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fe9d6c707c2821/Desktop/PL Universe/TDY/"/>
    </mc:Choice>
  </mc:AlternateContent>
  <xr:revisionPtr revIDLastSave="189" documentId="8_{8AC3A8B9-7C9E-40BD-B52D-24D0D5DC2C75}" xr6:coauthVersionLast="47" xr6:coauthVersionMax="47" xr10:uidLastSave="{806AD38E-7B00-42E8-91C1-AB8EF3AF82E1}"/>
  <bookViews>
    <workbookView xWindow="-120" yWindow="-120" windowWidth="29040" windowHeight="15720" tabRatio="500" activeTab="1" xr2:uid="{00000000-000D-0000-FFFF-FFFF00000000}"/>
  </bookViews>
  <sheets>
    <sheet name="Model" sheetId="1" r:id="rId1"/>
    <sheet name="Bull-Base-Bear" sheetId="2" r:id="rId2"/>
    <sheet name="DCF" sheetId="3" r:id="rId3"/>
    <sheet name="Charts" sheetId="4" r:id="rId4"/>
    <sheet name="Sheet1" sheetId="5" r:id="rId5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8" i="3" l="1"/>
  <c r="B67" i="3" s="1"/>
  <c r="B66" i="3" s="1"/>
  <c r="D39" i="3"/>
  <c r="E39" i="3"/>
  <c r="F39" i="3"/>
  <c r="G39" i="3"/>
  <c r="H39" i="3"/>
  <c r="I39" i="3"/>
  <c r="J39" i="3"/>
  <c r="K39" i="3"/>
  <c r="L39" i="3"/>
  <c r="M39" i="3"/>
  <c r="J31" i="3"/>
  <c r="K31" i="3" s="1"/>
  <c r="L31" i="3" s="1"/>
  <c r="C8" i="3"/>
  <c r="S27" i="2"/>
  <c r="S34" i="2" s="1"/>
  <c r="T27" i="2"/>
  <c r="Q34" i="2"/>
  <c r="R34" i="2"/>
  <c r="T34" i="2"/>
  <c r="Q44" i="2"/>
  <c r="R44" i="2"/>
  <c r="T44" i="2"/>
  <c r="CP390" i="1"/>
  <c r="CQ390" i="1"/>
  <c r="CR390" i="1"/>
  <c r="CS390" i="1"/>
  <c r="AF27" i="2"/>
  <c r="AF44" i="2" s="1"/>
  <c r="AE27" i="2"/>
  <c r="AD27" i="2"/>
  <c r="AD34" i="2" s="1"/>
  <c r="AC34" i="2"/>
  <c r="AC44" i="2"/>
  <c r="CP379" i="1"/>
  <c r="CQ379" i="1"/>
  <c r="CR379" i="1"/>
  <c r="CS379" i="1"/>
  <c r="CP12" i="1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9" i="4"/>
  <c r="C8" i="4"/>
  <c r="C97" i="3"/>
  <c r="C96" i="3"/>
  <c r="C58" i="3"/>
  <c r="C106" i="3" s="1"/>
  <c r="M21" i="3"/>
  <c r="L21" i="3"/>
  <c r="K21" i="3"/>
  <c r="J21" i="3"/>
  <c r="I21" i="3"/>
  <c r="H21" i="3"/>
  <c r="G21" i="3"/>
  <c r="F21" i="3"/>
  <c r="E21" i="3"/>
  <c r="D21" i="3"/>
  <c r="H20" i="3"/>
  <c r="I20" i="3" s="1"/>
  <c r="G20" i="3"/>
  <c r="F20" i="3"/>
  <c r="E20" i="3"/>
  <c r="C15" i="3"/>
  <c r="L34" i="3" s="1"/>
  <c r="C11" i="3"/>
  <c r="C21" i="2"/>
  <c r="C9" i="2"/>
  <c r="C5" i="2"/>
  <c r="K3" i="2"/>
  <c r="K2" i="2"/>
  <c r="CP432" i="1"/>
  <c r="CQ432" i="1" s="1"/>
  <c r="CR432" i="1" s="1"/>
  <c r="CI415" i="1"/>
  <c r="CC415" i="1"/>
  <c r="BW415" i="1"/>
  <c r="BQ415" i="1"/>
  <c r="BK415" i="1"/>
  <c r="BE415" i="1"/>
  <c r="AY415" i="1"/>
  <c r="AS415" i="1"/>
  <c r="AM415" i="1"/>
  <c r="AG415" i="1"/>
  <c r="AA415" i="1"/>
  <c r="U415" i="1"/>
  <c r="O415" i="1"/>
  <c r="I415" i="1"/>
  <c r="H415" i="1"/>
  <c r="G415" i="1"/>
  <c r="F415" i="1"/>
  <c r="E415" i="1"/>
  <c r="D415" i="1"/>
  <c r="C415" i="1"/>
  <c r="CS401" i="1"/>
  <c r="CS409" i="1" s="1"/>
  <c r="CR401" i="1"/>
  <c r="CR409" i="1" s="1"/>
  <c r="CQ401" i="1"/>
  <c r="CQ409" i="1" s="1"/>
  <c r="CP401" i="1"/>
  <c r="CP409" i="1" s="1"/>
  <c r="CI396" i="1"/>
  <c r="CC396" i="1"/>
  <c r="BW396" i="1"/>
  <c r="BQ396" i="1"/>
  <c r="BK396" i="1"/>
  <c r="BE396" i="1"/>
  <c r="AY396" i="1"/>
  <c r="AS396" i="1"/>
  <c r="AM396" i="1"/>
  <c r="AG396" i="1"/>
  <c r="AA396" i="1"/>
  <c r="U396" i="1"/>
  <c r="O396" i="1"/>
  <c r="I396" i="1"/>
  <c r="H396" i="1"/>
  <c r="G396" i="1"/>
  <c r="F396" i="1"/>
  <c r="E396" i="1"/>
  <c r="D396" i="1"/>
  <c r="C396" i="1"/>
  <c r="CI395" i="1"/>
  <c r="CC395" i="1"/>
  <c r="BW395" i="1"/>
  <c r="BQ395" i="1"/>
  <c r="BK395" i="1"/>
  <c r="BE395" i="1"/>
  <c r="AY395" i="1"/>
  <c r="AS395" i="1"/>
  <c r="AM395" i="1"/>
  <c r="AG395" i="1"/>
  <c r="AA395" i="1"/>
  <c r="U395" i="1"/>
  <c r="O395" i="1"/>
  <c r="I395" i="1"/>
  <c r="H395" i="1"/>
  <c r="G395" i="1"/>
  <c r="F395" i="1"/>
  <c r="E395" i="1"/>
  <c r="D395" i="1"/>
  <c r="C395" i="1"/>
  <c r="CL376" i="1"/>
  <c r="CI376" i="1"/>
  <c r="CC376" i="1"/>
  <c r="CC405" i="1" s="1"/>
  <c r="CC426" i="1" s="1"/>
  <c r="BW376" i="1"/>
  <c r="BQ376" i="1"/>
  <c r="BQ405" i="1" s="1"/>
  <c r="BQ426" i="1" s="1"/>
  <c r="BK376" i="1"/>
  <c r="BQ385" i="1" s="1"/>
  <c r="BE376" i="1"/>
  <c r="BE405" i="1" s="1"/>
  <c r="BE426" i="1" s="1"/>
  <c r="AY376" i="1"/>
  <c r="AY405" i="1" s="1"/>
  <c r="AY426" i="1" s="1"/>
  <c r="AS376" i="1"/>
  <c r="AM376" i="1"/>
  <c r="AG376" i="1"/>
  <c r="AG405" i="1" s="1"/>
  <c r="AG426" i="1" s="1"/>
  <c r="AA376" i="1"/>
  <c r="U376" i="1"/>
  <c r="O376" i="1"/>
  <c r="I376" i="1"/>
  <c r="I405" i="1" s="1"/>
  <c r="I426" i="1" s="1"/>
  <c r="H376" i="1"/>
  <c r="H405" i="1" s="1"/>
  <c r="H426" i="1" s="1"/>
  <c r="G376" i="1"/>
  <c r="F376" i="1"/>
  <c r="E376" i="1"/>
  <c r="E405" i="1" s="1"/>
  <c r="E426" i="1" s="1"/>
  <c r="D376" i="1"/>
  <c r="C376" i="1"/>
  <c r="CI371" i="1"/>
  <c r="CC371" i="1"/>
  <c r="BW371" i="1"/>
  <c r="BQ371" i="1"/>
  <c r="BK371" i="1"/>
  <c r="BE371" i="1"/>
  <c r="AY371" i="1"/>
  <c r="AS371" i="1"/>
  <c r="AM371" i="1"/>
  <c r="AG371" i="1"/>
  <c r="AA371" i="1"/>
  <c r="U371" i="1"/>
  <c r="O371" i="1"/>
  <c r="I371" i="1"/>
  <c r="H371" i="1"/>
  <c r="G371" i="1"/>
  <c r="F371" i="1"/>
  <c r="E371" i="1"/>
  <c r="D371" i="1"/>
  <c r="C371" i="1"/>
  <c r="CL365" i="1"/>
  <c r="CI365" i="1"/>
  <c r="CC365" i="1"/>
  <c r="BW365" i="1"/>
  <c r="BW366" i="1" s="1"/>
  <c r="BQ365" i="1"/>
  <c r="BK365" i="1"/>
  <c r="BE365" i="1"/>
  <c r="AY365" i="1"/>
  <c r="AY366" i="1" s="1"/>
  <c r="AS365" i="1"/>
  <c r="AM365" i="1"/>
  <c r="AG365" i="1"/>
  <c r="AG366" i="1" s="1"/>
  <c r="AA365" i="1"/>
  <c r="AA366" i="1" s="1"/>
  <c r="U365" i="1"/>
  <c r="O365" i="1"/>
  <c r="I365" i="1"/>
  <c r="I366" i="1" s="1"/>
  <c r="H365" i="1"/>
  <c r="G365" i="1"/>
  <c r="F365" i="1"/>
  <c r="E365" i="1"/>
  <c r="E366" i="1" s="1"/>
  <c r="D365" i="1"/>
  <c r="C365" i="1"/>
  <c r="C366" i="1" s="1"/>
  <c r="CI364" i="1"/>
  <c r="CC364" i="1"/>
  <c r="BW364" i="1"/>
  <c r="BQ364" i="1"/>
  <c r="BK364" i="1"/>
  <c r="BE364" i="1"/>
  <c r="AY364" i="1"/>
  <c r="AS364" i="1"/>
  <c r="AM364" i="1"/>
  <c r="AG364" i="1"/>
  <c r="AA364" i="1"/>
  <c r="U364" i="1"/>
  <c r="O364" i="1"/>
  <c r="I364" i="1"/>
  <c r="H364" i="1"/>
  <c r="G364" i="1"/>
  <c r="F364" i="1"/>
  <c r="E364" i="1"/>
  <c r="D364" i="1"/>
  <c r="C364" i="1"/>
  <c r="CI363" i="1"/>
  <c r="CC363" i="1"/>
  <c r="BW363" i="1"/>
  <c r="BQ363" i="1"/>
  <c r="BK363" i="1"/>
  <c r="BE363" i="1"/>
  <c r="AY363" i="1"/>
  <c r="AS363" i="1"/>
  <c r="AM363" i="1"/>
  <c r="AG363" i="1"/>
  <c r="AA363" i="1"/>
  <c r="U363" i="1"/>
  <c r="O363" i="1"/>
  <c r="I363" i="1"/>
  <c r="H363" i="1"/>
  <c r="G363" i="1"/>
  <c r="F363" i="1"/>
  <c r="E363" i="1"/>
  <c r="D363" i="1"/>
  <c r="C363" i="1"/>
  <c r="CI362" i="1"/>
  <c r="CC362" i="1"/>
  <c r="BW362" i="1"/>
  <c r="BQ362" i="1"/>
  <c r="BK362" i="1"/>
  <c r="BE362" i="1"/>
  <c r="AY362" i="1"/>
  <c r="AS362" i="1"/>
  <c r="AM362" i="1"/>
  <c r="AG362" i="1"/>
  <c r="AA362" i="1"/>
  <c r="U362" i="1"/>
  <c r="O362" i="1"/>
  <c r="I362" i="1"/>
  <c r="H362" i="1"/>
  <c r="G362" i="1"/>
  <c r="F362" i="1"/>
  <c r="E362" i="1"/>
  <c r="D362" i="1"/>
  <c r="C362" i="1"/>
  <c r="CI361" i="1"/>
  <c r="CC361" i="1"/>
  <c r="BW361" i="1"/>
  <c r="BQ361" i="1"/>
  <c r="BK361" i="1"/>
  <c r="BE361" i="1"/>
  <c r="AY361" i="1"/>
  <c r="AS361" i="1"/>
  <c r="AM361" i="1"/>
  <c r="AG361" i="1"/>
  <c r="AA361" i="1"/>
  <c r="U361" i="1"/>
  <c r="O361" i="1"/>
  <c r="I361" i="1"/>
  <c r="H361" i="1"/>
  <c r="G361" i="1"/>
  <c r="F361" i="1"/>
  <c r="E361" i="1"/>
  <c r="D361" i="1"/>
  <c r="C361" i="1"/>
  <c r="CI360" i="1"/>
  <c r="CC360" i="1"/>
  <c r="BW360" i="1"/>
  <c r="BQ360" i="1"/>
  <c r="BK360" i="1"/>
  <c r="BE360" i="1"/>
  <c r="AY360" i="1"/>
  <c r="AS360" i="1"/>
  <c r="AM360" i="1"/>
  <c r="AG360" i="1"/>
  <c r="AA360" i="1"/>
  <c r="U360" i="1"/>
  <c r="O360" i="1"/>
  <c r="I360" i="1"/>
  <c r="H360" i="1"/>
  <c r="G360" i="1"/>
  <c r="F360" i="1"/>
  <c r="E360" i="1"/>
  <c r="D360" i="1"/>
  <c r="C360" i="1"/>
  <c r="CI359" i="1"/>
  <c r="CC359" i="1"/>
  <c r="BW359" i="1"/>
  <c r="BQ359" i="1"/>
  <c r="BK359" i="1"/>
  <c r="BE359" i="1"/>
  <c r="AY359" i="1"/>
  <c r="AS359" i="1"/>
  <c r="AM359" i="1"/>
  <c r="AG359" i="1"/>
  <c r="AA359" i="1"/>
  <c r="U359" i="1"/>
  <c r="O359" i="1"/>
  <c r="I359" i="1"/>
  <c r="H359" i="1"/>
  <c r="G359" i="1"/>
  <c r="F359" i="1"/>
  <c r="E359" i="1"/>
  <c r="D359" i="1"/>
  <c r="C359" i="1"/>
  <c r="CL356" i="1"/>
  <c r="CI356" i="1"/>
  <c r="CC356" i="1"/>
  <c r="BW356" i="1"/>
  <c r="BQ356" i="1"/>
  <c r="BK356" i="1"/>
  <c r="BE356" i="1"/>
  <c r="AY356" i="1"/>
  <c r="AS356" i="1"/>
  <c r="AM356" i="1"/>
  <c r="AG356" i="1"/>
  <c r="AA356" i="1"/>
  <c r="U356" i="1"/>
  <c r="O356" i="1"/>
  <c r="I356" i="1"/>
  <c r="H356" i="1"/>
  <c r="G356" i="1"/>
  <c r="F356" i="1"/>
  <c r="E356" i="1"/>
  <c r="D356" i="1"/>
  <c r="C356" i="1"/>
  <c r="CL348" i="1"/>
  <c r="CL350" i="1" s="1"/>
  <c r="CI348" i="1"/>
  <c r="CC348" i="1"/>
  <c r="BW348" i="1"/>
  <c r="BW422" i="1" s="1"/>
  <c r="BQ348" i="1"/>
  <c r="BK348" i="1"/>
  <c r="BE348" i="1"/>
  <c r="AY348" i="1"/>
  <c r="AY422" i="1" s="1"/>
  <c r="AS348" i="1"/>
  <c r="AM348" i="1"/>
  <c r="AM422" i="1" s="1"/>
  <c r="AG348" i="1"/>
  <c r="AA348" i="1"/>
  <c r="AA422" i="1" s="1"/>
  <c r="U348" i="1"/>
  <c r="O348" i="1"/>
  <c r="I348" i="1"/>
  <c r="H348" i="1"/>
  <c r="H422" i="1" s="1"/>
  <c r="G348" i="1"/>
  <c r="F348" i="1"/>
  <c r="F422" i="1" s="1"/>
  <c r="E348" i="1"/>
  <c r="D348" i="1"/>
  <c r="D422" i="1" s="1"/>
  <c r="C348" i="1"/>
  <c r="CO347" i="1"/>
  <c r="CP347" i="1" s="1"/>
  <c r="CQ347" i="1" s="1"/>
  <c r="CR347" i="1" s="1"/>
  <c r="CS347" i="1" s="1"/>
  <c r="CO342" i="1"/>
  <c r="CO340" i="1"/>
  <c r="CP340" i="1" s="1"/>
  <c r="CQ340" i="1" s="1"/>
  <c r="CR340" i="1" s="1"/>
  <c r="CS340" i="1" s="1"/>
  <c r="CO339" i="1"/>
  <c r="CP339" i="1" s="1"/>
  <c r="CQ339" i="1" s="1"/>
  <c r="CR339" i="1" s="1"/>
  <c r="CS339" i="1" s="1"/>
  <c r="CO338" i="1"/>
  <c r="CP338" i="1" s="1"/>
  <c r="CQ338" i="1" s="1"/>
  <c r="CR338" i="1" s="1"/>
  <c r="CS338" i="1" s="1"/>
  <c r="CO337" i="1"/>
  <c r="CP337" i="1" s="1"/>
  <c r="CQ337" i="1" s="1"/>
  <c r="CR337" i="1" s="1"/>
  <c r="CS337" i="1" s="1"/>
  <c r="CL335" i="1"/>
  <c r="CL341" i="1" s="1"/>
  <c r="CI335" i="1"/>
  <c r="CI416" i="1" s="1"/>
  <c r="CC335" i="1"/>
  <c r="BW335" i="1"/>
  <c r="BQ335" i="1"/>
  <c r="BK335" i="1"/>
  <c r="BK416" i="1" s="1"/>
  <c r="BE335" i="1"/>
  <c r="AY335" i="1"/>
  <c r="AY416" i="1" s="1"/>
  <c r="AS335" i="1"/>
  <c r="AM335" i="1"/>
  <c r="AM416" i="1" s="1"/>
  <c r="AG335" i="1"/>
  <c r="AA335" i="1"/>
  <c r="AA416" i="1" s="1"/>
  <c r="U335" i="1"/>
  <c r="O335" i="1"/>
  <c r="O416" i="1" s="1"/>
  <c r="I335" i="1"/>
  <c r="H335" i="1"/>
  <c r="H416" i="1" s="1"/>
  <c r="G335" i="1"/>
  <c r="F335" i="1"/>
  <c r="F416" i="1" s="1"/>
  <c r="E335" i="1"/>
  <c r="D335" i="1"/>
  <c r="C335" i="1"/>
  <c r="CO334" i="1"/>
  <c r="CP334" i="1" s="1"/>
  <c r="CQ334" i="1" s="1"/>
  <c r="CR334" i="1" s="1"/>
  <c r="CS334" i="1" s="1"/>
  <c r="CO322" i="1"/>
  <c r="CP322" i="1" s="1"/>
  <c r="CQ322" i="1" s="1"/>
  <c r="CR322" i="1" s="1"/>
  <c r="CS322" i="1" s="1"/>
  <c r="CL320" i="1"/>
  <c r="CL326" i="1" s="1"/>
  <c r="CL354" i="1" s="1"/>
  <c r="CI320" i="1"/>
  <c r="CI326" i="1" s="1"/>
  <c r="CC320" i="1"/>
  <c r="CC326" i="1" s="1"/>
  <c r="BW320" i="1"/>
  <c r="BW326" i="1" s="1"/>
  <c r="BQ320" i="1"/>
  <c r="BQ326" i="1" s="1"/>
  <c r="BK320" i="1"/>
  <c r="BK326" i="1" s="1"/>
  <c r="BE320" i="1"/>
  <c r="BE326" i="1" s="1"/>
  <c r="AY320" i="1"/>
  <c r="AY326" i="1" s="1"/>
  <c r="AS320" i="1"/>
  <c r="AS326" i="1" s="1"/>
  <c r="AM320" i="1"/>
  <c r="AM326" i="1" s="1"/>
  <c r="AG320" i="1"/>
  <c r="AG326" i="1" s="1"/>
  <c r="AG354" i="1" s="1"/>
  <c r="AA320" i="1"/>
  <c r="AA326" i="1" s="1"/>
  <c r="U320" i="1"/>
  <c r="U326" i="1" s="1"/>
  <c r="O320" i="1"/>
  <c r="O326" i="1" s="1"/>
  <c r="I320" i="1"/>
  <c r="I326" i="1" s="1"/>
  <c r="H320" i="1"/>
  <c r="H326" i="1" s="1"/>
  <c r="H354" i="1" s="1"/>
  <c r="G320" i="1"/>
  <c r="G326" i="1" s="1"/>
  <c r="F320" i="1"/>
  <c r="F326" i="1" s="1"/>
  <c r="E320" i="1"/>
  <c r="E326" i="1" s="1"/>
  <c r="D320" i="1"/>
  <c r="D326" i="1" s="1"/>
  <c r="C320" i="1"/>
  <c r="C326" i="1" s="1"/>
  <c r="CO319" i="1"/>
  <c r="CP319" i="1" s="1"/>
  <c r="CQ319" i="1" s="1"/>
  <c r="CR319" i="1" s="1"/>
  <c r="CS319" i="1" s="1"/>
  <c r="CO306" i="1"/>
  <c r="CO302" i="1"/>
  <c r="CP302" i="1" s="1"/>
  <c r="CQ302" i="1" s="1"/>
  <c r="CR302" i="1" s="1"/>
  <c r="CS302" i="1" s="1"/>
  <c r="CI298" i="1"/>
  <c r="CC298" i="1"/>
  <c r="BW298" i="1"/>
  <c r="BQ298" i="1"/>
  <c r="BK298" i="1"/>
  <c r="BE298" i="1"/>
  <c r="AY298" i="1"/>
  <c r="AS298" i="1"/>
  <c r="AM298" i="1"/>
  <c r="AG298" i="1"/>
  <c r="AA298" i="1"/>
  <c r="U298" i="1"/>
  <c r="O298" i="1"/>
  <c r="I298" i="1"/>
  <c r="H298" i="1"/>
  <c r="G298" i="1"/>
  <c r="F298" i="1"/>
  <c r="E298" i="1"/>
  <c r="D298" i="1"/>
  <c r="C298" i="1"/>
  <c r="CL291" i="1"/>
  <c r="CI291" i="1"/>
  <c r="CC291" i="1"/>
  <c r="CC296" i="1" s="1"/>
  <c r="BW291" i="1"/>
  <c r="BW294" i="1" s="1"/>
  <c r="T21" i="4" s="1"/>
  <c r="BQ291" i="1"/>
  <c r="BQ296" i="1" s="1"/>
  <c r="BK291" i="1"/>
  <c r="BE291" i="1"/>
  <c r="BE296" i="1" s="1"/>
  <c r="AY291" i="1"/>
  <c r="AS291" i="1"/>
  <c r="AM291" i="1"/>
  <c r="AG291" i="1"/>
  <c r="AG296" i="1" s="1"/>
  <c r="AA291" i="1"/>
  <c r="U291" i="1"/>
  <c r="U296" i="1" s="1"/>
  <c r="O291" i="1"/>
  <c r="I291" i="1"/>
  <c r="I296" i="1" s="1"/>
  <c r="H291" i="1"/>
  <c r="H294" i="1" s="1"/>
  <c r="H21" i="4" s="1"/>
  <c r="G291" i="1"/>
  <c r="F291" i="1"/>
  <c r="E291" i="1"/>
  <c r="E296" i="1" s="1"/>
  <c r="D291" i="1"/>
  <c r="D294" i="1" s="1"/>
  <c r="D21" i="4" s="1"/>
  <c r="C291" i="1"/>
  <c r="C294" i="1" s="1"/>
  <c r="CL288" i="1"/>
  <c r="CI288" i="1"/>
  <c r="CC288" i="1"/>
  <c r="BW288" i="1"/>
  <c r="BQ288" i="1"/>
  <c r="BK288" i="1"/>
  <c r="BE288" i="1"/>
  <c r="AY288" i="1"/>
  <c r="AS288" i="1"/>
  <c r="AM288" i="1"/>
  <c r="AG288" i="1"/>
  <c r="AA288" i="1"/>
  <c r="U288" i="1"/>
  <c r="O288" i="1"/>
  <c r="I288" i="1"/>
  <c r="H288" i="1"/>
  <c r="G288" i="1"/>
  <c r="F288" i="1"/>
  <c r="E288" i="1"/>
  <c r="D288" i="1"/>
  <c r="C288" i="1"/>
  <c r="CO286" i="1"/>
  <c r="CO275" i="1"/>
  <c r="CO274" i="1"/>
  <c r="CO273" i="1"/>
  <c r="CO272" i="1"/>
  <c r="CY271" i="1"/>
  <c r="CX271" i="1"/>
  <c r="CW271" i="1"/>
  <c r="CS268" i="1"/>
  <c r="CR268" i="1"/>
  <c r="CQ268" i="1"/>
  <c r="CP268" i="1"/>
  <c r="CK259" i="1"/>
  <c r="CJ259" i="1"/>
  <c r="CI259" i="1"/>
  <c r="CH259" i="1"/>
  <c r="CG259" i="1"/>
  <c r="CE259" i="1"/>
  <c r="CD259" i="1"/>
  <c r="CC259" i="1"/>
  <c r="CB259" i="1"/>
  <c r="CA259" i="1"/>
  <c r="BY259" i="1"/>
  <c r="BX259" i="1"/>
  <c r="BW259" i="1"/>
  <c r="BV259" i="1"/>
  <c r="BU259" i="1"/>
  <c r="BS259" i="1"/>
  <c r="BR259" i="1"/>
  <c r="BQ259" i="1"/>
  <c r="BP259" i="1"/>
  <c r="BO259" i="1"/>
  <c r="BM259" i="1"/>
  <c r="BL259" i="1"/>
  <c r="BK259" i="1"/>
  <c r="BJ259" i="1"/>
  <c r="BI259" i="1"/>
  <c r="BG259" i="1"/>
  <c r="BF259" i="1"/>
  <c r="BE259" i="1"/>
  <c r="BD259" i="1"/>
  <c r="BC259" i="1"/>
  <c r="BA259" i="1"/>
  <c r="AZ259" i="1"/>
  <c r="AY259" i="1"/>
  <c r="AX259" i="1"/>
  <c r="AW259" i="1"/>
  <c r="AU259" i="1"/>
  <c r="AT259" i="1"/>
  <c r="AS259" i="1"/>
  <c r="AR259" i="1"/>
  <c r="AQ259" i="1"/>
  <c r="AO259" i="1"/>
  <c r="AN259" i="1"/>
  <c r="AM259" i="1"/>
  <c r="AL259" i="1"/>
  <c r="AK259" i="1"/>
  <c r="AI259" i="1"/>
  <c r="AH259" i="1"/>
  <c r="AG259" i="1"/>
  <c r="AF259" i="1"/>
  <c r="AE259" i="1"/>
  <c r="AC259" i="1"/>
  <c r="AB259" i="1"/>
  <c r="AA259" i="1"/>
  <c r="Z259" i="1"/>
  <c r="Y259" i="1"/>
  <c r="W259" i="1"/>
  <c r="V259" i="1"/>
  <c r="U259" i="1"/>
  <c r="T259" i="1"/>
  <c r="S259" i="1"/>
  <c r="Q259" i="1"/>
  <c r="P259" i="1"/>
  <c r="O259" i="1"/>
  <c r="N259" i="1"/>
  <c r="M259" i="1"/>
  <c r="K259" i="1"/>
  <c r="J259" i="1"/>
  <c r="I259" i="1"/>
  <c r="H259" i="1"/>
  <c r="G259" i="1"/>
  <c r="F259" i="1"/>
  <c r="E259" i="1"/>
  <c r="D259" i="1"/>
  <c r="C259" i="1"/>
  <c r="CN248" i="1"/>
  <c r="CM248" i="1"/>
  <c r="CK248" i="1"/>
  <c r="CJ248" i="1"/>
  <c r="CI248" i="1"/>
  <c r="V9" i="4" s="1"/>
  <c r="CH248" i="1"/>
  <c r="CG248" i="1"/>
  <c r="CE248" i="1"/>
  <c r="CD248" i="1"/>
  <c r="CC248" i="1"/>
  <c r="U9" i="4" s="1"/>
  <c r="CB248" i="1"/>
  <c r="CA248" i="1"/>
  <c r="BY248" i="1"/>
  <c r="BX248" i="1"/>
  <c r="BW248" i="1"/>
  <c r="T9" i="4" s="1"/>
  <c r="BV248" i="1"/>
  <c r="BU248" i="1"/>
  <c r="BS248" i="1"/>
  <c r="BR248" i="1"/>
  <c r="BQ248" i="1"/>
  <c r="S9" i="4" s="1"/>
  <c r="BP248" i="1"/>
  <c r="BO248" i="1"/>
  <c r="BM248" i="1"/>
  <c r="BL248" i="1"/>
  <c r="BK248" i="1"/>
  <c r="R9" i="4" s="1"/>
  <c r="BJ248" i="1"/>
  <c r="BI248" i="1"/>
  <c r="BG248" i="1"/>
  <c r="BF248" i="1"/>
  <c r="BE248" i="1"/>
  <c r="Q9" i="4" s="1"/>
  <c r="BD248" i="1"/>
  <c r="BC248" i="1"/>
  <c r="BA248" i="1"/>
  <c r="AZ248" i="1"/>
  <c r="AY248" i="1"/>
  <c r="P9" i="4" s="1"/>
  <c r="AX248" i="1"/>
  <c r="AW248" i="1"/>
  <c r="AU248" i="1"/>
  <c r="AT248" i="1"/>
  <c r="AS248" i="1"/>
  <c r="O9" i="4" s="1"/>
  <c r="AR248" i="1"/>
  <c r="AQ248" i="1"/>
  <c r="AO248" i="1"/>
  <c r="AN248" i="1"/>
  <c r="AM248" i="1"/>
  <c r="N9" i="4" s="1"/>
  <c r="AL248" i="1"/>
  <c r="AK248" i="1"/>
  <c r="AI248" i="1"/>
  <c r="AH248" i="1"/>
  <c r="AG248" i="1"/>
  <c r="M9" i="4" s="1"/>
  <c r="AF248" i="1"/>
  <c r="AE248" i="1"/>
  <c r="AC248" i="1"/>
  <c r="AB248" i="1"/>
  <c r="AA248" i="1"/>
  <c r="L9" i="4" s="1"/>
  <c r="Z248" i="1"/>
  <c r="Y248" i="1"/>
  <c r="W248" i="1"/>
  <c r="V248" i="1"/>
  <c r="U248" i="1"/>
  <c r="K9" i="4" s="1"/>
  <c r="T248" i="1"/>
  <c r="S248" i="1"/>
  <c r="Q248" i="1"/>
  <c r="P248" i="1"/>
  <c r="O248" i="1"/>
  <c r="J9" i="4" s="1"/>
  <c r="I248" i="1"/>
  <c r="I9" i="4" s="1"/>
  <c r="H248" i="1"/>
  <c r="H9" i="4" s="1"/>
  <c r="G248" i="1"/>
  <c r="G9" i="4" s="1"/>
  <c r="F248" i="1"/>
  <c r="F9" i="4" s="1"/>
  <c r="E248" i="1"/>
  <c r="E9" i="4" s="1"/>
  <c r="D248" i="1"/>
  <c r="D9" i="4" s="1"/>
  <c r="CK246" i="1"/>
  <c r="CJ246" i="1"/>
  <c r="CI246" i="1"/>
  <c r="CH246" i="1"/>
  <c r="CG246" i="1"/>
  <c r="CE246" i="1"/>
  <c r="CD246" i="1"/>
  <c r="CC246" i="1"/>
  <c r="CB246" i="1"/>
  <c r="CA246" i="1"/>
  <c r="BY246" i="1"/>
  <c r="BX246" i="1"/>
  <c r="BW246" i="1"/>
  <c r="BV246" i="1"/>
  <c r="BU246" i="1"/>
  <c r="BS246" i="1"/>
  <c r="BR246" i="1"/>
  <c r="BQ246" i="1"/>
  <c r="BP246" i="1"/>
  <c r="BO246" i="1"/>
  <c r="BM246" i="1"/>
  <c r="BL246" i="1"/>
  <c r="BK246" i="1"/>
  <c r="BJ246" i="1"/>
  <c r="BI246" i="1"/>
  <c r="BG246" i="1"/>
  <c r="BF246" i="1"/>
  <c r="BE246" i="1"/>
  <c r="BD246" i="1"/>
  <c r="BC246" i="1"/>
  <c r="BA246" i="1"/>
  <c r="AZ246" i="1"/>
  <c r="AY246" i="1"/>
  <c r="AX246" i="1"/>
  <c r="AW246" i="1"/>
  <c r="AU246" i="1"/>
  <c r="AT246" i="1"/>
  <c r="AS246" i="1"/>
  <c r="AR246" i="1"/>
  <c r="AQ246" i="1"/>
  <c r="AO246" i="1"/>
  <c r="AN246" i="1"/>
  <c r="AM246" i="1"/>
  <c r="AL246" i="1"/>
  <c r="AK246" i="1"/>
  <c r="AI246" i="1"/>
  <c r="AH246" i="1"/>
  <c r="AG246" i="1"/>
  <c r="AF246" i="1"/>
  <c r="AE246" i="1"/>
  <c r="AC246" i="1"/>
  <c r="AB246" i="1"/>
  <c r="AA246" i="1"/>
  <c r="Z246" i="1"/>
  <c r="Y246" i="1"/>
  <c r="W246" i="1"/>
  <c r="V246" i="1"/>
  <c r="U246" i="1"/>
  <c r="T246" i="1"/>
  <c r="S246" i="1"/>
  <c r="Q246" i="1"/>
  <c r="P246" i="1"/>
  <c r="O246" i="1"/>
  <c r="I246" i="1"/>
  <c r="H246" i="1"/>
  <c r="G246" i="1"/>
  <c r="F246" i="1"/>
  <c r="E246" i="1"/>
  <c r="D246" i="1"/>
  <c r="AX242" i="1"/>
  <c r="AX243" i="1" s="1"/>
  <c r="AW242" i="1"/>
  <c r="AW243" i="1" s="1"/>
  <c r="AV242" i="1"/>
  <c r="AU242" i="1"/>
  <c r="AU243" i="1" s="1"/>
  <c r="AT242" i="1"/>
  <c r="AT243" i="1" s="1"/>
  <c r="AR242" i="1"/>
  <c r="AR243" i="1" s="1"/>
  <c r="AQ242" i="1"/>
  <c r="AQ243" i="1" s="1"/>
  <c r="AP242" i="1"/>
  <c r="AO242" i="1"/>
  <c r="AO243" i="1" s="1"/>
  <c r="AN242" i="1"/>
  <c r="AN243" i="1" s="1"/>
  <c r="AL242" i="1"/>
  <c r="AL243" i="1" s="1"/>
  <c r="AK242" i="1"/>
  <c r="AK243" i="1" s="1"/>
  <c r="AJ242" i="1"/>
  <c r="AI242" i="1"/>
  <c r="AI243" i="1" s="1"/>
  <c r="AH242" i="1"/>
  <c r="AH243" i="1" s="1"/>
  <c r="AF242" i="1"/>
  <c r="AF243" i="1" s="1"/>
  <c r="AE242" i="1"/>
  <c r="AE243" i="1" s="1"/>
  <c r="AD242" i="1"/>
  <c r="AC242" i="1"/>
  <c r="AC243" i="1" s="1"/>
  <c r="AB242" i="1"/>
  <c r="AB243" i="1" s="1"/>
  <c r="Z242" i="1"/>
  <c r="Z243" i="1" s="1"/>
  <c r="Y242" i="1"/>
  <c r="Y243" i="1" s="1"/>
  <c r="X242" i="1"/>
  <c r="W242" i="1"/>
  <c r="W243" i="1" s="1"/>
  <c r="V242" i="1"/>
  <c r="V243" i="1" s="1"/>
  <c r="T242" i="1"/>
  <c r="T243" i="1" s="1"/>
  <c r="S242" i="1"/>
  <c r="S243" i="1" s="1"/>
  <c r="R242" i="1"/>
  <c r="Q242" i="1"/>
  <c r="Q243" i="1" s="1"/>
  <c r="P242" i="1"/>
  <c r="P243" i="1" s="1"/>
  <c r="N242" i="1"/>
  <c r="N243" i="1" s="1"/>
  <c r="M242" i="1"/>
  <c r="M243" i="1" s="1"/>
  <c r="L242" i="1"/>
  <c r="K242" i="1"/>
  <c r="K243" i="1" s="1"/>
  <c r="J242" i="1"/>
  <c r="J243" i="1" s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CL237" i="1"/>
  <c r="CF237" i="1"/>
  <c r="BZ237" i="1"/>
  <c r="BT237" i="1"/>
  <c r="BN237" i="1"/>
  <c r="BH237" i="1"/>
  <c r="BB237" i="1"/>
  <c r="AJ237" i="1"/>
  <c r="AD237" i="1"/>
  <c r="CK235" i="1"/>
  <c r="CJ235" i="1"/>
  <c r="CI235" i="1"/>
  <c r="CH235" i="1"/>
  <c r="CG235" i="1"/>
  <c r="CE235" i="1"/>
  <c r="CD235" i="1"/>
  <c r="CC235" i="1"/>
  <c r="CB235" i="1"/>
  <c r="CA235" i="1"/>
  <c r="BY235" i="1"/>
  <c r="BX235" i="1"/>
  <c r="BW235" i="1"/>
  <c r="BV235" i="1"/>
  <c r="BU235" i="1"/>
  <c r="BS235" i="1"/>
  <c r="BR235" i="1"/>
  <c r="BQ235" i="1"/>
  <c r="BP235" i="1"/>
  <c r="BO235" i="1"/>
  <c r="BM235" i="1"/>
  <c r="BL235" i="1"/>
  <c r="BK235" i="1"/>
  <c r="BJ235" i="1"/>
  <c r="BI235" i="1"/>
  <c r="BG235" i="1"/>
  <c r="BF235" i="1"/>
  <c r="BE235" i="1"/>
  <c r="BD235" i="1"/>
  <c r="BC235" i="1"/>
  <c r="BA235" i="1"/>
  <c r="AZ235" i="1"/>
  <c r="AY235" i="1"/>
  <c r="AX235" i="1"/>
  <c r="AW235" i="1"/>
  <c r="AU235" i="1"/>
  <c r="AT235" i="1"/>
  <c r="AS235" i="1"/>
  <c r="AR235" i="1"/>
  <c r="AQ235" i="1"/>
  <c r="AO235" i="1"/>
  <c r="AN235" i="1"/>
  <c r="AM235" i="1"/>
  <c r="AL235" i="1"/>
  <c r="AK235" i="1"/>
  <c r="AI235" i="1"/>
  <c r="AH235" i="1"/>
  <c r="AG235" i="1"/>
  <c r="AF235" i="1"/>
  <c r="AE235" i="1"/>
  <c r="AC235" i="1"/>
  <c r="AB235" i="1"/>
  <c r="AA235" i="1"/>
  <c r="Z235" i="1"/>
  <c r="Y235" i="1"/>
  <c r="W235" i="1"/>
  <c r="V235" i="1"/>
  <c r="U235" i="1"/>
  <c r="T235" i="1"/>
  <c r="S235" i="1"/>
  <c r="Q235" i="1"/>
  <c r="P235" i="1"/>
  <c r="O235" i="1"/>
  <c r="N235" i="1"/>
  <c r="M235" i="1"/>
  <c r="K235" i="1"/>
  <c r="J235" i="1"/>
  <c r="I235" i="1"/>
  <c r="H235" i="1"/>
  <c r="G235" i="1"/>
  <c r="F235" i="1"/>
  <c r="E235" i="1"/>
  <c r="D235" i="1"/>
  <c r="C235" i="1"/>
  <c r="CO234" i="1"/>
  <c r="CN234" i="1"/>
  <c r="CM234" i="1"/>
  <c r="CK234" i="1"/>
  <c r="CJ234" i="1"/>
  <c r="CI234" i="1"/>
  <c r="CH234" i="1"/>
  <c r="CG234" i="1"/>
  <c r="CE234" i="1"/>
  <c r="CD234" i="1"/>
  <c r="CC234" i="1"/>
  <c r="CB234" i="1"/>
  <c r="CA234" i="1"/>
  <c r="BY234" i="1"/>
  <c r="BX234" i="1"/>
  <c r="BW234" i="1"/>
  <c r="BV234" i="1"/>
  <c r="BU234" i="1"/>
  <c r="BS234" i="1"/>
  <c r="BR234" i="1"/>
  <c r="BQ234" i="1"/>
  <c r="BP234" i="1"/>
  <c r="BO234" i="1"/>
  <c r="BM234" i="1"/>
  <c r="BL234" i="1"/>
  <c r="BK234" i="1"/>
  <c r="BJ234" i="1"/>
  <c r="BI234" i="1"/>
  <c r="BG234" i="1"/>
  <c r="BF234" i="1"/>
  <c r="BE234" i="1"/>
  <c r="BD234" i="1"/>
  <c r="BC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I234" i="1"/>
  <c r="AH234" i="1"/>
  <c r="AG234" i="1"/>
  <c r="AF234" i="1"/>
  <c r="AE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AY233" i="1"/>
  <c r="AY236" i="1" s="1"/>
  <c r="AX233" i="1"/>
  <c r="AW233" i="1"/>
  <c r="AV233" i="1"/>
  <c r="AU233" i="1"/>
  <c r="AT233" i="1"/>
  <c r="AS233" i="1"/>
  <c r="AR233" i="1"/>
  <c r="AQ233" i="1"/>
  <c r="AP233" i="1"/>
  <c r="AO233" i="1"/>
  <c r="AN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CO232" i="1"/>
  <c r="CO231" i="1"/>
  <c r="CL231" i="1"/>
  <c r="CF231" i="1"/>
  <c r="BZ231" i="1"/>
  <c r="BT231" i="1"/>
  <c r="BN231" i="1"/>
  <c r="BH231" i="1"/>
  <c r="CL230" i="1"/>
  <c r="CF230" i="1"/>
  <c r="BZ230" i="1"/>
  <c r="BT230" i="1"/>
  <c r="BN230" i="1"/>
  <c r="BH230" i="1"/>
  <c r="BB230" i="1"/>
  <c r="AJ230" i="1"/>
  <c r="CO229" i="1"/>
  <c r="AJ229" i="1"/>
  <c r="AD229" i="1"/>
  <c r="AD234" i="1" s="1"/>
  <c r="CO228" i="1"/>
  <c r="BH228" i="1"/>
  <c r="AJ228" i="1"/>
  <c r="CO227" i="1"/>
  <c r="CO226" i="1"/>
  <c r="CO225" i="1"/>
  <c r="CS224" i="1"/>
  <c r="CR224" i="1"/>
  <c r="CQ224" i="1"/>
  <c r="CP224" i="1"/>
  <c r="CN224" i="1"/>
  <c r="CM224" i="1"/>
  <c r="CL224" i="1"/>
  <c r="CF224" i="1"/>
  <c r="BZ224" i="1"/>
  <c r="BH224" i="1"/>
  <c r="AJ224" i="1"/>
  <c r="CS223" i="1"/>
  <c r="CR223" i="1"/>
  <c r="CQ223" i="1"/>
  <c r="CP223" i="1"/>
  <c r="CN223" i="1"/>
  <c r="CM223" i="1"/>
  <c r="CL223" i="1"/>
  <c r="CF223" i="1"/>
  <c r="BZ223" i="1"/>
  <c r="BH223" i="1"/>
  <c r="AJ223" i="1"/>
  <c r="CL222" i="1"/>
  <c r="CF222" i="1"/>
  <c r="BZ222" i="1"/>
  <c r="BT222" i="1"/>
  <c r="BN222" i="1"/>
  <c r="BH222" i="1"/>
  <c r="BB222" i="1"/>
  <c r="CK215" i="1"/>
  <c r="CJ215" i="1"/>
  <c r="CI215" i="1"/>
  <c r="CH215" i="1"/>
  <c r="CG215" i="1"/>
  <c r="CE215" i="1"/>
  <c r="CD215" i="1"/>
  <c r="CC215" i="1"/>
  <c r="CB215" i="1"/>
  <c r="CA215" i="1"/>
  <c r="BY215" i="1"/>
  <c r="BX215" i="1"/>
  <c r="BW215" i="1"/>
  <c r="BV215" i="1"/>
  <c r="BU215" i="1"/>
  <c r="BS215" i="1"/>
  <c r="BR215" i="1"/>
  <c r="BQ215" i="1"/>
  <c r="BP215" i="1"/>
  <c r="BO215" i="1"/>
  <c r="BM215" i="1"/>
  <c r="BL215" i="1"/>
  <c r="BK215" i="1"/>
  <c r="BJ215" i="1"/>
  <c r="BI215" i="1"/>
  <c r="BG215" i="1"/>
  <c r="BF215" i="1"/>
  <c r="BE215" i="1"/>
  <c r="BD215" i="1"/>
  <c r="BC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CK214" i="1"/>
  <c r="CJ214" i="1"/>
  <c r="CI214" i="1"/>
  <c r="CH214" i="1"/>
  <c r="CG214" i="1"/>
  <c r="CE214" i="1"/>
  <c r="CD214" i="1"/>
  <c r="CC214" i="1"/>
  <c r="CB214" i="1"/>
  <c r="CA214" i="1"/>
  <c r="BY214" i="1"/>
  <c r="BX214" i="1"/>
  <c r="BW214" i="1"/>
  <c r="BV214" i="1"/>
  <c r="BU214" i="1"/>
  <c r="BS214" i="1"/>
  <c r="BR214" i="1"/>
  <c r="BQ214" i="1"/>
  <c r="BP214" i="1"/>
  <c r="BO214" i="1"/>
  <c r="BM214" i="1"/>
  <c r="BL214" i="1"/>
  <c r="BK214" i="1"/>
  <c r="BJ214" i="1"/>
  <c r="BI214" i="1"/>
  <c r="BG214" i="1"/>
  <c r="BF214" i="1"/>
  <c r="BE214" i="1"/>
  <c r="BD214" i="1"/>
  <c r="BC214" i="1"/>
  <c r="BA214" i="1"/>
  <c r="AZ214" i="1"/>
  <c r="AY214" i="1"/>
  <c r="AX214" i="1"/>
  <c r="AW214" i="1"/>
  <c r="AU214" i="1"/>
  <c r="AT214" i="1"/>
  <c r="AS214" i="1"/>
  <c r="AR214" i="1"/>
  <c r="AQ214" i="1"/>
  <c r="AO214" i="1"/>
  <c r="AN214" i="1"/>
  <c r="AM214" i="1"/>
  <c r="AL214" i="1"/>
  <c r="AK214" i="1"/>
  <c r="AI214" i="1"/>
  <c r="AH214" i="1"/>
  <c r="AG214" i="1"/>
  <c r="AF214" i="1"/>
  <c r="AE214" i="1"/>
  <c r="AC214" i="1"/>
  <c r="AB214" i="1"/>
  <c r="AA214" i="1"/>
  <c r="Z214" i="1"/>
  <c r="Y214" i="1"/>
  <c r="W214" i="1"/>
  <c r="V214" i="1"/>
  <c r="U214" i="1"/>
  <c r="T214" i="1"/>
  <c r="S214" i="1"/>
  <c r="Q214" i="1"/>
  <c r="P214" i="1"/>
  <c r="O214" i="1"/>
  <c r="N214" i="1"/>
  <c r="M214" i="1"/>
  <c r="K214" i="1"/>
  <c r="J214" i="1"/>
  <c r="I214" i="1"/>
  <c r="H214" i="1"/>
  <c r="G214" i="1"/>
  <c r="F214" i="1"/>
  <c r="E214" i="1"/>
  <c r="D214" i="1"/>
  <c r="C214" i="1"/>
  <c r="CK208" i="1"/>
  <c r="CJ208" i="1"/>
  <c r="CI208" i="1"/>
  <c r="CH208" i="1"/>
  <c r="CG208" i="1"/>
  <c r="CE208" i="1"/>
  <c r="CD208" i="1"/>
  <c r="CC208" i="1"/>
  <c r="CB208" i="1"/>
  <c r="CA208" i="1"/>
  <c r="BY208" i="1"/>
  <c r="BX208" i="1"/>
  <c r="BW208" i="1"/>
  <c r="BV208" i="1"/>
  <c r="BU208" i="1"/>
  <c r="BS208" i="1"/>
  <c r="BR208" i="1"/>
  <c r="BQ208" i="1"/>
  <c r="BP208" i="1"/>
  <c r="BO208" i="1"/>
  <c r="BM208" i="1"/>
  <c r="BL208" i="1"/>
  <c r="BK208" i="1"/>
  <c r="BJ208" i="1"/>
  <c r="BI208" i="1"/>
  <c r="BG208" i="1"/>
  <c r="BF208" i="1"/>
  <c r="BE208" i="1"/>
  <c r="BD208" i="1"/>
  <c r="BC208" i="1"/>
  <c r="BA208" i="1"/>
  <c r="AZ208" i="1"/>
  <c r="AY208" i="1"/>
  <c r="AX208" i="1"/>
  <c r="AW208" i="1"/>
  <c r="AU208" i="1"/>
  <c r="AT208" i="1"/>
  <c r="AS208" i="1"/>
  <c r="AR208" i="1"/>
  <c r="AQ208" i="1"/>
  <c r="AO208" i="1"/>
  <c r="AN208" i="1"/>
  <c r="AM208" i="1"/>
  <c r="AL208" i="1"/>
  <c r="AK208" i="1"/>
  <c r="AI208" i="1"/>
  <c r="AH208" i="1"/>
  <c r="AG208" i="1"/>
  <c r="AF208" i="1"/>
  <c r="AE208" i="1"/>
  <c r="AC208" i="1"/>
  <c r="AB208" i="1"/>
  <c r="AA208" i="1"/>
  <c r="Z208" i="1"/>
  <c r="Y208" i="1"/>
  <c r="W208" i="1"/>
  <c r="V208" i="1"/>
  <c r="U208" i="1"/>
  <c r="T208" i="1"/>
  <c r="S208" i="1"/>
  <c r="Q208" i="1"/>
  <c r="P208" i="1"/>
  <c r="O208" i="1"/>
  <c r="N208" i="1"/>
  <c r="M208" i="1"/>
  <c r="K208" i="1"/>
  <c r="J208" i="1"/>
  <c r="I208" i="1"/>
  <c r="H208" i="1"/>
  <c r="G208" i="1"/>
  <c r="F208" i="1"/>
  <c r="E208" i="1"/>
  <c r="D208" i="1"/>
  <c r="C208" i="1"/>
  <c r="CK207" i="1"/>
  <c r="CJ207" i="1"/>
  <c r="CI207" i="1"/>
  <c r="CH207" i="1"/>
  <c r="CG207" i="1"/>
  <c r="CE207" i="1"/>
  <c r="CD207" i="1"/>
  <c r="CC207" i="1"/>
  <c r="CB207" i="1"/>
  <c r="CA207" i="1"/>
  <c r="BY207" i="1"/>
  <c r="BX207" i="1"/>
  <c r="BW207" i="1"/>
  <c r="BV207" i="1"/>
  <c r="BU207" i="1"/>
  <c r="BS207" i="1"/>
  <c r="BR207" i="1"/>
  <c r="BQ207" i="1"/>
  <c r="BP207" i="1"/>
  <c r="BO207" i="1"/>
  <c r="BM207" i="1"/>
  <c r="BL207" i="1"/>
  <c r="BK207" i="1"/>
  <c r="BJ207" i="1"/>
  <c r="BI207" i="1"/>
  <c r="BG207" i="1"/>
  <c r="BF207" i="1"/>
  <c r="BE207" i="1"/>
  <c r="BD207" i="1"/>
  <c r="BC207" i="1"/>
  <c r="BA207" i="1"/>
  <c r="AZ207" i="1"/>
  <c r="AY207" i="1"/>
  <c r="AX207" i="1"/>
  <c r="AW207" i="1"/>
  <c r="AU207" i="1"/>
  <c r="AT207" i="1"/>
  <c r="AS207" i="1"/>
  <c r="AR207" i="1"/>
  <c r="AQ207" i="1"/>
  <c r="AO207" i="1"/>
  <c r="AN207" i="1"/>
  <c r="AM207" i="1"/>
  <c r="AL207" i="1"/>
  <c r="AK207" i="1"/>
  <c r="AI207" i="1"/>
  <c r="AH207" i="1"/>
  <c r="AG207" i="1"/>
  <c r="AF207" i="1"/>
  <c r="AE207" i="1"/>
  <c r="AC207" i="1"/>
  <c r="AB207" i="1"/>
  <c r="AA207" i="1"/>
  <c r="Z207" i="1"/>
  <c r="Y207" i="1"/>
  <c r="W207" i="1"/>
  <c r="V207" i="1"/>
  <c r="U207" i="1"/>
  <c r="T207" i="1"/>
  <c r="S207" i="1"/>
  <c r="Q207" i="1"/>
  <c r="P207" i="1"/>
  <c r="O207" i="1"/>
  <c r="N207" i="1"/>
  <c r="M207" i="1"/>
  <c r="K207" i="1"/>
  <c r="J207" i="1"/>
  <c r="I207" i="1"/>
  <c r="H207" i="1"/>
  <c r="G207" i="1"/>
  <c r="F207" i="1"/>
  <c r="E207" i="1"/>
  <c r="D207" i="1"/>
  <c r="C207" i="1"/>
  <c r="CK206" i="1"/>
  <c r="CJ206" i="1"/>
  <c r="CI206" i="1"/>
  <c r="CH206" i="1"/>
  <c r="CG206" i="1"/>
  <c r="CE206" i="1"/>
  <c r="CD206" i="1"/>
  <c r="CC206" i="1"/>
  <c r="CB206" i="1"/>
  <c r="CA206" i="1"/>
  <c r="BY206" i="1"/>
  <c r="BX206" i="1"/>
  <c r="BW206" i="1"/>
  <c r="BV206" i="1"/>
  <c r="BU206" i="1"/>
  <c r="BS206" i="1"/>
  <c r="BR206" i="1"/>
  <c r="BQ206" i="1"/>
  <c r="BP206" i="1"/>
  <c r="BO206" i="1"/>
  <c r="BM206" i="1"/>
  <c r="BL206" i="1"/>
  <c r="BK206" i="1"/>
  <c r="BJ206" i="1"/>
  <c r="BI206" i="1"/>
  <c r="BG206" i="1"/>
  <c r="BF206" i="1"/>
  <c r="BE206" i="1"/>
  <c r="BD206" i="1"/>
  <c r="BC206" i="1"/>
  <c r="BA206" i="1"/>
  <c r="AZ206" i="1"/>
  <c r="AY206" i="1"/>
  <c r="AX206" i="1"/>
  <c r="AW206" i="1"/>
  <c r="AU206" i="1"/>
  <c r="AT206" i="1"/>
  <c r="AS206" i="1"/>
  <c r="AR206" i="1"/>
  <c r="AQ206" i="1"/>
  <c r="AO206" i="1"/>
  <c r="AN206" i="1"/>
  <c r="AM206" i="1"/>
  <c r="AL206" i="1"/>
  <c r="AK206" i="1"/>
  <c r="AI206" i="1"/>
  <c r="AH206" i="1"/>
  <c r="AG206" i="1"/>
  <c r="AF206" i="1"/>
  <c r="AE206" i="1"/>
  <c r="AC206" i="1"/>
  <c r="AB206" i="1"/>
  <c r="AA206" i="1"/>
  <c r="Z206" i="1"/>
  <c r="Y206" i="1"/>
  <c r="W206" i="1"/>
  <c r="V206" i="1"/>
  <c r="U206" i="1"/>
  <c r="T206" i="1"/>
  <c r="S206" i="1"/>
  <c r="Q206" i="1"/>
  <c r="P206" i="1"/>
  <c r="O206" i="1"/>
  <c r="N206" i="1"/>
  <c r="M206" i="1"/>
  <c r="K206" i="1"/>
  <c r="J206" i="1"/>
  <c r="I206" i="1"/>
  <c r="H206" i="1"/>
  <c r="G206" i="1"/>
  <c r="F206" i="1"/>
  <c r="E206" i="1"/>
  <c r="D206" i="1"/>
  <c r="C206" i="1"/>
  <c r="CS205" i="1"/>
  <c r="CR205" i="1"/>
  <c r="CQ205" i="1"/>
  <c r="CP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AX200" i="1"/>
  <c r="AW200" i="1"/>
  <c r="AV200" i="1"/>
  <c r="AU200" i="1"/>
  <c r="AU201" i="1" s="1"/>
  <c r="AT200" i="1"/>
  <c r="AR200" i="1"/>
  <c r="AQ200" i="1"/>
  <c r="AP200" i="1"/>
  <c r="AO200" i="1"/>
  <c r="AN200" i="1"/>
  <c r="AL200" i="1"/>
  <c r="AK200" i="1"/>
  <c r="AK254" i="1" s="1"/>
  <c r="AJ200" i="1"/>
  <c r="AI200" i="1"/>
  <c r="AH200" i="1"/>
  <c r="AF200" i="1"/>
  <c r="AE200" i="1"/>
  <c r="AD200" i="1"/>
  <c r="AC200" i="1"/>
  <c r="AB200" i="1"/>
  <c r="Z200" i="1"/>
  <c r="Y200" i="1"/>
  <c r="X200" i="1"/>
  <c r="W200" i="1"/>
  <c r="W201" i="1" s="1"/>
  <c r="V200" i="1"/>
  <c r="T200" i="1"/>
  <c r="S200" i="1"/>
  <c r="R200" i="1"/>
  <c r="Q200" i="1"/>
  <c r="P200" i="1"/>
  <c r="N200" i="1"/>
  <c r="M200" i="1"/>
  <c r="L200" i="1"/>
  <c r="K200" i="1"/>
  <c r="K254" i="1" s="1"/>
  <c r="J200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CL195" i="1"/>
  <c r="CF195" i="1"/>
  <c r="BZ195" i="1"/>
  <c r="BT195" i="1"/>
  <c r="BN195" i="1"/>
  <c r="BH195" i="1"/>
  <c r="BB195" i="1"/>
  <c r="AJ195" i="1"/>
  <c r="AD195" i="1"/>
  <c r="AY193" i="1"/>
  <c r="AY194" i="1" s="1"/>
  <c r="AX193" i="1"/>
  <c r="AX194" i="1" s="1"/>
  <c r="AW193" i="1"/>
  <c r="AW194" i="1" s="1"/>
  <c r="AV193" i="1"/>
  <c r="AU193" i="1"/>
  <c r="AU194" i="1" s="1"/>
  <c r="AT193" i="1"/>
  <c r="AT194" i="1" s="1"/>
  <c r="AS193" i="1"/>
  <c r="AS194" i="1" s="1"/>
  <c r="AR193" i="1"/>
  <c r="AR194" i="1" s="1"/>
  <c r="AQ193" i="1"/>
  <c r="AQ194" i="1" s="1"/>
  <c r="AP193" i="1"/>
  <c r="AO193" i="1"/>
  <c r="AO194" i="1" s="1"/>
  <c r="AN193" i="1"/>
  <c r="AN194" i="1" s="1"/>
  <c r="AA193" i="1"/>
  <c r="AA194" i="1" s="1"/>
  <c r="Z193" i="1"/>
  <c r="Z194" i="1" s="1"/>
  <c r="Y193" i="1"/>
  <c r="Y194" i="1" s="1"/>
  <c r="X193" i="1"/>
  <c r="W193" i="1"/>
  <c r="W194" i="1" s="1"/>
  <c r="V193" i="1"/>
  <c r="V194" i="1" s="1"/>
  <c r="U193" i="1"/>
  <c r="U194" i="1" s="1"/>
  <c r="T193" i="1"/>
  <c r="T194" i="1" s="1"/>
  <c r="S193" i="1"/>
  <c r="S194" i="1" s="1"/>
  <c r="R193" i="1"/>
  <c r="Q193" i="1"/>
  <c r="Q194" i="1" s="1"/>
  <c r="P193" i="1"/>
  <c r="P194" i="1" s="1"/>
  <c r="O193" i="1"/>
  <c r="O194" i="1" s="1"/>
  <c r="N193" i="1"/>
  <c r="N194" i="1" s="1"/>
  <c r="M193" i="1"/>
  <c r="M194" i="1" s="1"/>
  <c r="L193" i="1"/>
  <c r="K193" i="1"/>
  <c r="K194" i="1" s="1"/>
  <c r="J193" i="1"/>
  <c r="J194" i="1" s="1"/>
  <c r="I193" i="1"/>
  <c r="I194" i="1" s="1"/>
  <c r="H193" i="1"/>
  <c r="H194" i="1" s="1"/>
  <c r="G193" i="1"/>
  <c r="G194" i="1" s="1"/>
  <c r="F193" i="1"/>
  <c r="F194" i="1" s="1"/>
  <c r="E193" i="1"/>
  <c r="E194" i="1" s="1"/>
  <c r="D193" i="1"/>
  <c r="D194" i="1" s="1"/>
  <c r="C193" i="1"/>
  <c r="C194" i="1" s="1"/>
  <c r="CK192" i="1"/>
  <c r="CK199" i="1" s="1"/>
  <c r="CK210" i="1" s="1"/>
  <c r="CJ192" i="1"/>
  <c r="CJ199" i="1" s="1"/>
  <c r="CI192" i="1"/>
  <c r="CI199" i="1" s="1"/>
  <c r="CI210" i="1" s="1"/>
  <c r="CH192" i="1"/>
  <c r="CH199" i="1" s="1"/>
  <c r="CH210" i="1" s="1"/>
  <c r="CG192" i="1"/>
  <c r="CG199" i="1" s="1"/>
  <c r="CG210" i="1" s="1"/>
  <c r="CE192" i="1"/>
  <c r="CE199" i="1" s="1"/>
  <c r="CE210" i="1" s="1"/>
  <c r="CD192" i="1"/>
  <c r="CD199" i="1" s="1"/>
  <c r="CD210" i="1" s="1"/>
  <c r="CC192" i="1"/>
  <c r="CC199" i="1" s="1"/>
  <c r="CC210" i="1" s="1"/>
  <c r="CB192" i="1"/>
  <c r="CB199" i="1" s="1"/>
  <c r="CB210" i="1" s="1"/>
  <c r="CA192" i="1"/>
  <c r="CA199" i="1" s="1"/>
  <c r="CA210" i="1" s="1"/>
  <c r="BY192" i="1"/>
  <c r="BY199" i="1" s="1"/>
  <c r="BY210" i="1" s="1"/>
  <c r="BX192" i="1"/>
  <c r="BX199" i="1" s="1"/>
  <c r="BX210" i="1" s="1"/>
  <c r="BW192" i="1"/>
  <c r="BW199" i="1" s="1"/>
  <c r="BW210" i="1" s="1"/>
  <c r="BV192" i="1"/>
  <c r="BV199" i="1" s="1"/>
  <c r="BV210" i="1" s="1"/>
  <c r="BU192" i="1"/>
  <c r="BU199" i="1" s="1"/>
  <c r="BU210" i="1" s="1"/>
  <c r="BS192" i="1"/>
  <c r="BS199" i="1" s="1"/>
  <c r="BS210" i="1" s="1"/>
  <c r="BR192" i="1"/>
  <c r="BR199" i="1" s="1"/>
  <c r="BR210" i="1" s="1"/>
  <c r="BQ192" i="1"/>
  <c r="BQ199" i="1" s="1"/>
  <c r="BQ210" i="1" s="1"/>
  <c r="BP192" i="1"/>
  <c r="BP199" i="1" s="1"/>
  <c r="BP210" i="1" s="1"/>
  <c r="BO192" i="1"/>
  <c r="BO199" i="1" s="1"/>
  <c r="BO210" i="1" s="1"/>
  <c r="BM192" i="1"/>
  <c r="BM199" i="1" s="1"/>
  <c r="BM210" i="1" s="1"/>
  <c r="BL192" i="1"/>
  <c r="BL199" i="1" s="1"/>
  <c r="BL210" i="1" s="1"/>
  <c r="BK192" i="1"/>
  <c r="BK199" i="1" s="1"/>
  <c r="BK210" i="1" s="1"/>
  <c r="BJ192" i="1"/>
  <c r="BJ199" i="1" s="1"/>
  <c r="BJ210" i="1" s="1"/>
  <c r="BI192" i="1"/>
  <c r="BI199" i="1" s="1"/>
  <c r="BI210" i="1" s="1"/>
  <c r="BG192" i="1"/>
  <c r="BG199" i="1" s="1"/>
  <c r="BG210" i="1" s="1"/>
  <c r="BF192" i="1"/>
  <c r="BF199" i="1" s="1"/>
  <c r="BF210" i="1" s="1"/>
  <c r="BE192" i="1"/>
  <c r="BE199" i="1" s="1"/>
  <c r="BE210" i="1" s="1"/>
  <c r="BD192" i="1"/>
  <c r="BD199" i="1" s="1"/>
  <c r="BD210" i="1" s="1"/>
  <c r="BC192" i="1"/>
  <c r="BC199" i="1" s="1"/>
  <c r="BC210" i="1" s="1"/>
  <c r="BA192" i="1"/>
  <c r="BA199" i="1" s="1"/>
  <c r="BA210" i="1" s="1"/>
  <c r="AZ192" i="1"/>
  <c r="AZ199" i="1" s="1"/>
  <c r="AZ210" i="1" s="1"/>
  <c r="AY192" i="1"/>
  <c r="AY199" i="1" s="1"/>
  <c r="AY210" i="1" s="1"/>
  <c r="AX192" i="1"/>
  <c r="AX199" i="1" s="1"/>
  <c r="AX210" i="1" s="1"/>
  <c r="AW192" i="1"/>
  <c r="AW199" i="1" s="1"/>
  <c r="AW210" i="1" s="1"/>
  <c r="AV192" i="1"/>
  <c r="AV199" i="1" s="1"/>
  <c r="AV210" i="1" s="1"/>
  <c r="AU192" i="1"/>
  <c r="AU199" i="1" s="1"/>
  <c r="AU210" i="1" s="1"/>
  <c r="AT192" i="1"/>
  <c r="AT199" i="1" s="1"/>
  <c r="AT210" i="1" s="1"/>
  <c r="AS192" i="1"/>
  <c r="AS199" i="1" s="1"/>
  <c r="AS210" i="1" s="1"/>
  <c r="AR192" i="1"/>
  <c r="AR199" i="1" s="1"/>
  <c r="AR210" i="1" s="1"/>
  <c r="AQ192" i="1"/>
  <c r="AQ199" i="1" s="1"/>
  <c r="AQ210" i="1" s="1"/>
  <c r="AP192" i="1"/>
  <c r="AP199" i="1" s="1"/>
  <c r="AP210" i="1" s="1"/>
  <c r="AO192" i="1"/>
  <c r="AO199" i="1" s="1"/>
  <c r="AO210" i="1" s="1"/>
  <c r="AN192" i="1"/>
  <c r="AN199" i="1" s="1"/>
  <c r="AN210" i="1" s="1"/>
  <c r="AM192" i="1"/>
  <c r="AM199" i="1" s="1"/>
  <c r="AM210" i="1" s="1"/>
  <c r="AL192" i="1"/>
  <c r="AL199" i="1" s="1"/>
  <c r="AL210" i="1" s="1"/>
  <c r="AK192" i="1"/>
  <c r="AK199" i="1" s="1"/>
  <c r="AK210" i="1" s="1"/>
  <c r="AI192" i="1"/>
  <c r="AI199" i="1" s="1"/>
  <c r="AI210" i="1" s="1"/>
  <c r="AH192" i="1"/>
  <c r="AH199" i="1" s="1"/>
  <c r="AH210" i="1" s="1"/>
  <c r="AG192" i="1"/>
  <c r="AG199" i="1" s="1"/>
  <c r="AG210" i="1" s="1"/>
  <c r="AF192" i="1"/>
  <c r="AF199" i="1" s="1"/>
  <c r="AF210" i="1" s="1"/>
  <c r="AE192" i="1"/>
  <c r="AE199" i="1" s="1"/>
  <c r="AE210" i="1" s="1"/>
  <c r="AD192" i="1"/>
  <c r="AD199" i="1" s="1"/>
  <c r="AD210" i="1" s="1"/>
  <c r="AC192" i="1"/>
  <c r="AC199" i="1" s="1"/>
  <c r="AC210" i="1" s="1"/>
  <c r="AB192" i="1"/>
  <c r="AB199" i="1" s="1"/>
  <c r="AB210" i="1" s="1"/>
  <c r="AA192" i="1"/>
  <c r="AA199" i="1" s="1"/>
  <c r="AA210" i="1" s="1"/>
  <c r="Z192" i="1"/>
  <c r="Z199" i="1" s="1"/>
  <c r="Z210" i="1" s="1"/>
  <c r="Y192" i="1"/>
  <c r="Y199" i="1" s="1"/>
  <c r="Y210" i="1" s="1"/>
  <c r="X192" i="1"/>
  <c r="X199" i="1" s="1"/>
  <c r="X210" i="1" s="1"/>
  <c r="W192" i="1"/>
  <c r="W199" i="1" s="1"/>
  <c r="W210" i="1" s="1"/>
  <c r="V192" i="1"/>
  <c r="V199" i="1" s="1"/>
  <c r="V210" i="1" s="1"/>
  <c r="U192" i="1"/>
  <c r="U199" i="1" s="1"/>
  <c r="U210" i="1" s="1"/>
  <c r="T192" i="1"/>
  <c r="T199" i="1" s="1"/>
  <c r="T210" i="1" s="1"/>
  <c r="S192" i="1"/>
  <c r="S199" i="1" s="1"/>
  <c r="S210" i="1" s="1"/>
  <c r="R192" i="1"/>
  <c r="R199" i="1" s="1"/>
  <c r="R210" i="1" s="1"/>
  <c r="Q192" i="1"/>
  <c r="Q199" i="1" s="1"/>
  <c r="Q210" i="1" s="1"/>
  <c r="P192" i="1"/>
  <c r="P199" i="1" s="1"/>
  <c r="P210" i="1" s="1"/>
  <c r="O192" i="1"/>
  <c r="O199" i="1" s="1"/>
  <c r="O210" i="1" s="1"/>
  <c r="N192" i="1"/>
  <c r="N199" i="1" s="1"/>
  <c r="N210" i="1" s="1"/>
  <c r="M192" i="1"/>
  <c r="M199" i="1" s="1"/>
  <c r="M210" i="1" s="1"/>
  <c r="L192" i="1"/>
  <c r="L199" i="1" s="1"/>
  <c r="L210" i="1" s="1"/>
  <c r="K192" i="1"/>
  <c r="K199" i="1" s="1"/>
  <c r="K210" i="1" s="1"/>
  <c r="J192" i="1"/>
  <c r="J199" i="1" s="1"/>
  <c r="J210" i="1" s="1"/>
  <c r="I192" i="1"/>
  <c r="I199" i="1" s="1"/>
  <c r="I210" i="1" s="1"/>
  <c r="H192" i="1"/>
  <c r="H199" i="1" s="1"/>
  <c r="H210" i="1" s="1"/>
  <c r="G192" i="1"/>
  <c r="G199" i="1" s="1"/>
  <c r="G210" i="1" s="1"/>
  <c r="F192" i="1"/>
  <c r="F199" i="1" s="1"/>
  <c r="F210" i="1" s="1"/>
  <c r="E192" i="1"/>
  <c r="E199" i="1" s="1"/>
  <c r="E210" i="1" s="1"/>
  <c r="D192" i="1"/>
  <c r="D199" i="1" s="1"/>
  <c r="D210" i="1" s="1"/>
  <c r="C192" i="1"/>
  <c r="C199" i="1" s="1"/>
  <c r="C210" i="1" s="1"/>
  <c r="CO191" i="1"/>
  <c r="AJ191" i="1"/>
  <c r="CO190" i="1"/>
  <c r="CS189" i="1"/>
  <c r="CR189" i="1"/>
  <c r="CQ189" i="1"/>
  <c r="CP189" i="1"/>
  <c r="CN189" i="1"/>
  <c r="CM189" i="1"/>
  <c r="CL189" i="1"/>
  <c r="CF189" i="1"/>
  <c r="BZ189" i="1"/>
  <c r="BH189" i="1"/>
  <c r="AJ189" i="1"/>
  <c r="CS188" i="1"/>
  <c r="CR188" i="1"/>
  <c r="CQ188" i="1"/>
  <c r="CP188" i="1"/>
  <c r="CN188" i="1"/>
  <c r="CM188" i="1"/>
  <c r="CL188" i="1"/>
  <c r="CF188" i="1"/>
  <c r="BZ188" i="1"/>
  <c r="BH188" i="1"/>
  <c r="AJ188" i="1"/>
  <c r="CL187" i="1"/>
  <c r="CF187" i="1"/>
  <c r="BZ187" i="1"/>
  <c r="BT187" i="1"/>
  <c r="BT192" i="1" s="1"/>
  <c r="BT199" i="1" s="1"/>
  <c r="BT210" i="1" s="1"/>
  <c r="BN187" i="1"/>
  <c r="BN192" i="1" s="1"/>
  <c r="BN199" i="1" s="1"/>
  <c r="BN210" i="1" s="1"/>
  <c r="BH187" i="1"/>
  <c r="BB187" i="1"/>
  <c r="BB192" i="1" s="1"/>
  <c r="BB199" i="1" s="1"/>
  <c r="BB210" i="1" s="1"/>
  <c r="CO183" i="1"/>
  <c r="CL179" i="1"/>
  <c r="CL235" i="1" s="1"/>
  <c r="CF179" i="1"/>
  <c r="CF235" i="1" s="1"/>
  <c r="BZ179" i="1"/>
  <c r="BZ235" i="1" s="1"/>
  <c r="BT179" i="1"/>
  <c r="BT235" i="1" s="1"/>
  <c r="BN179" i="1"/>
  <c r="BN235" i="1" s="1"/>
  <c r="BH179" i="1"/>
  <c r="BH235" i="1" s="1"/>
  <c r="BB179" i="1"/>
  <c r="BB235" i="1" s="1"/>
  <c r="AV179" i="1"/>
  <c r="AP179" i="1"/>
  <c r="AP235" i="1" s="1"/>
  <c r="AJ179" i="1"/>
  <c r="AJ235" i="1" s="1"/>
  <c r="AD179" i="1"/>
  <c r="AD235" i="1" s="1"/>
  <c r="X179" i="1"/>
  <c r="X235" i="1" s="1"/>
  <c r="R179" i="1"/>
  <c r="R235" i="1" s="1"/>
  <c r="L179" i="1"/>
  <c r="L235" i="1" s="1"/>
  <c r="CL178" i="1"/>
  <c r="CF178" i="1"/>
  <c r="BZ178" i="1"/>
  <c r="BT178" i="1"/>
  <c r="BN178" i="1"/>
  <c r="BH178" i="1"/>
  <c r="BB178" i="1"/>
  <c r="AV178" i="1"/>
  <c r="AP178" i="1"/>
  <c r="AJ178" i="1"/>
  <c r="AD178" i="1"/>
  <c r="X178" i="1"/>
  <c r="R178" i="1"/>
  <c r="L178" i="1"/>
  <c r="CL176" i="1"/>
  <c r="CF176" i="1"/>
  <c r="BZ176" i="1"/>
  <c r="CL175" i="1"/>
  <c r="CF175" i="1"/>
  <c r="BZ175" i="1"/>
  <c r="BT175" i="1"/>
  <c r="BN175" i="1"/>
  <c r="BH175" i="1"/>
  <c r="AD175" i="1"/>
  <c r="X175" i="1"/>
  <c r="R175" i="1"/>
  <c r="L175" i="1"/>
  <c r="CL174" i="1"/>
  <c r="CF174" i="1"/>
  <c r="BZ174" i="1"/>
  <c r="BT174" i="1"/>
  <c r="BN174" i="1"/>
  <c r="BH174" i="1"/>
  <c r="BH214" i="1" s="1"/>
  <c r="BB174" i="1"/>
  <c r="AV174" i="1"/>
  <c r="AP174" i="1"/>
  <c r="AP140" i="1" s="1"/>
  <c r="AJ174" i="1"/>
  <c r="AJ140" i="1" s="1"/>
  <c r="AD174" i="1"/>
  <c r="AD140" i="1" s="1"/>
  <c r="X174" i="1"/>
  <c r="X140" i="1" s="1"/>
  <c r="R174" i="1"/>
  <c r="R140" i="1" s="1"/>
  <c r="L174" i="1"/>
  <c r="L140" i="1" s="1"/>
  <c r="CL173" i="1"/>
  <c r="CF173" i="1"/>
  <c r="BZ173" i="1"/>
  <c r="BT173" i="1"/>
  <c r="BN173" i="1"/>
  <c r="BH173" i="1"/>
  <c r="BB173" i="1"/>
  <c r="AV173" i="1"/>
  <c r="AP173" i="1"/>
  <c r="AJ173" i="1"/>
  <c r="AD173" i="1"/>
  <c r="X173" i="1"/>
  <c r="R173" i="1"/>
  <c r="L173" i="1"/>
  <c r="CO170" i="1"/>
  <c r="CO349" i="1" s="1"/>
  <c r="CP349" i="1" s="1"/>
  <c r="CQ349" i="1" s="1"/>
  <c r="CR349" i="1" s="1"/>
  <c r="CS349" i="1" s="1"/>
  <c r="CL170" i="1"/>
  <c r="CF170" i="1"/>
  <c r="BZ170" i="1"/>
  <c r="BT170" i="1"/>
  <c r="BN170" i="1"/>
  <c r="AD170" i="1"/>
  <c r="X170" i="1"/>
  <c r="R170" i="1"/>
  <c r="L170" i="1"/>
  <c r="CO168" i="1"/>
  <c r="CL165" i="1"/>
  <c r="CF165" i="1"/>
  <c r="CF206" i="1" s="1"/>
  <c r="BZ165" i="1"/>
  <c r="BZ206" i="1" s="1"/>
  <c r="BT165" i="1"/>
  <c r="BT206" i="1" s="1"/>
  <c r="BN165" i="1"/>
  <c r="BH165" i="1"/>
  <c r="BH206" i="1" s="1"/>
  <c r="BB165" i="1"/>
  <c r="BB206" i="1" s="1"/>
  <c r="AV165" i="1"/>
  <c r="AV206" i="1" s="1"/>
  <c r="AP165" i="1"/>
  <c r="AJ165" i="1"/>
  <c r="AJ206" i="1" s="1"/>
  <c r="AD165" i="1"/>
  <c r="AD206" i="1" s="1"/>
  <c r="X165" i="1"/>
  <c r="X206" i="1" s="1"/>
  <c r="R165" i="1"/>
  <c r="L165" i="1"/>
  <c r="L206" i="1" s="1"/>
  <c r="CO163" i="1"/>
  <c r="CL163" i="1"/>
  <c r="CF163" i="1"/>
  <c r="BZ163" i="1"/>
  <c r="BT163" i="1"/>
  <c r="BN163" i="1"/>
  <c r="BH163" i="1"/>
  <c r="BB163" i="1"/>
  <c r="AV163" i="1"/>
  <c r="AP163" i="1"/>
  <c r="AJ163" i="1"/>
  <c r="AD163" i="1"/>
  <c r="X163" i="1"/>
  <c r="R163" i="1"/>
  <c r="L163" i="1"/>
  <c r="CN162" i="1"/>
  <c r="CM162" i="1"/>
  <c r="CL162" i="1"/>
  <c r="CF162" i="1"/>
  <c r="BZ162" i="1"/>
  <c r="BT162" i="1"/>
  <c r="BN162" i="1"/>
  <c r="BH162" i="1"/>
  <c r="BB162" i="1"/>
  <c r="AV162" i="1"/>
  <c r="AP162" i="1"/>
  <c r="AJ162" i="1"/>
  <c r="CN161" i="1"/>
  <c r="CN207" i="1" s="1"/>
  <c r="CM161" i="1"/>
  <c r="CM207" i="1" s="1"/>
  <c r="CL161" i="1"/>
  <c r="CL207" i="1" s="1"/>
  <c r="CF161" i="1"/>
  <c r="CF207" i="1" s="1"/>
  <c r="BZ161" i="1"/>
  <c r="BZ207" i="1" s="1"/>
  <c r="BT161" i="1"/>
  <c r="BT207" i="1" s="1"/>
  <c r="BN161" i="1"/>
  <c r="BN207" i="1" s="1"/>
  <c r="BH161" i="1"/>
  <c r="BH207" i="1" s="1"/>
  <c r="BB161" i="1"/>
  <c r="BB207" i="1" s="1"/>
  <c r="AV161" i="1"/>
  <c r="AV207" i="1" s="1"/>
  <c r="AP161" i="1"/>
  <c r="AP207" i="1" s="1"/>
  <c r="AJ161" i="1"/>
  <c r="AJ207" i="1" s="1"/>
  <c r="AD161" i="1"/>
  <c r="AD207" i="1" s="1"/>
  <c r="X161" i="1"/>
  <c r="X207" i="1" s="1"/>
  <c r="R161" i="1"/>
  <c r="R207" i="1" s="1"/>
  <c r="L161" i="1"/>
  <c r="L207" i="1" s="1"/>
  <c r="CO159" i="1"/>
  <c r="CL159" i="1"/>
  <c r="CF159" i="1"/>
  <c r="BZ159" i="1"/>
  <c r="BT159" i="1"/>
  <c r="BN159" i="1"/>
  <c r="BH159" i="1"/>
  <c r="CL158" i="1"/>
  <c r="CF158" i="1"/>
  <c r="BZ158" i="1"/>
  <c r="BT158" i="1"/>
  <c r="BN158" i="1"/>
  <c r="BH158" i="1"/>
  <c r="CL157" i="1"/>
  <c r="CF157" i="1"/>
  <c r="BZ157" i="1"/>
  <c r="BT157" i="1"/>
  <c r="BN157" i="1"/>
  <c r="BH157" i="1"/>
  <c r="BB157" i="1"/>
  <c r="AV157" i="1"/>
  <c r="AP157" i="1"/>
  <c r="AJ157" i="1"/>
  <c r="AD157" i="1"/>
  <c r="X157" i="1"/>
  <c r="R157" i="1"/>
  <c r="L157" i="1"/>
  <c r="CK156" i="1"/>
  <c r="CK253" i="1" s="1"/>
  <c r="CJ156" i="1"/>
  <c r="CJ253" i="1" s="1"/>
  <c r="CI156" i="1"/>
  <c r="CI253" i="1" s="1"/>
  <c r="CH156" i="1"/>
  <c r="CH253" i="1" s="1"/>
  <c r="CG156" i="1"/>
  <c r="CG253" i="1" s="1"/>
  <c r="CE156" i="1"/>
  <c r="CE253" i="1" s="1"/>
  <c r="CD156" i="1"/>
  <c r="CD253" i="1" s="1"/>
  <c r="CC156" i="1"/>
  <c r="CC253" i="1" s="1"/>
  <c r="CB156" i="1"/>
  <c r="CB253" i="1" s="1"/>
  <c r="CA156" i="1"/>
  <c r="BY156" i="1"/>
  <c r="BY253" i="1" s="1"/>
  <c r="BX156" i="1"/>
  <c r="BX253" i="1" s="1"/>
  <c r="BW156" i="1"/>
  <c r="BW253" i="1" s="1"/>
  <c r="BV156" i="1"/>
  <c r="BV253" i="1" s="1"/>
  <c r="BU156" i="1"/>
  <c r="BU253" i="1" s="1"/>
  <c r="BS156" i="1"/>
  <c r="BS253" i="1" s="1"/>
  <c r="BR156" i="1"/>
  <c r="BR253" i="1" s="1"/>
  <c r="BQ156" i="1"/>
  <c r="BQ253" i="1" s="1"/>
  <c r="BP156" i="1"/>
  <c r="BP253" i="1" s="1"/>
  <c r="BO156" i="1"/>
  <c r="BO253" i="1" s="1"/>
  <c r="BM156" i="1"/>
  <c r="BM253" i="1" s="1"/>
  <c r="BL156" i="1"/>
  <c r="BL253" i="1" s="1"/>
  <c r="BK156" i="1"/>
  <c r="BK253" i="1" s="1"/>
  <c r="BJ156" i="1"/>
  <c r="BJ253" i="1" s="1"/>
  <c r="BI156" i="1"/>
  <c r="BI253" i="1" s="1"/>
  <c r="BG156" i="1"/>
  <c r="BF156" i="1"/>
  <c r="BF253" i="1" s="1"/>
  <c r="BE156" i="1"/>
  <c r="BE253" i="1" s="1"/>
  <c r="BD156" i="1"/>
  <c r="BD253" i="1" s="1"/>
  <c r="BC156" i="1"/>
  <c r="BC253" i="1" s="1"/>
  <c r="BA156" i="1"/>
  <c r="BA253" i="1" s="1"/>
  <c r="AZ156" i="1"/>
  <c r="AZ253" i="1" s="1"/>
  <c r="AY156" i="1"/>
  <c r="AY253" i="1" s="1"/>
  <c r="AX156" i="1"/>
  <c r="AX253" i="1" s="1"/>
  <c r="AW156" i="1"/>
  <c r="AW253" i="1" s="1"/>
  <c r="AU156" i="1"/>
  <c r="AT156" i="1"/>
  <c r="AT253" i="1" s="1"/>
  <c r="AS156" i="1"/>
  <c r="AS253" i="1" s="1"/>
  <c r="AR156" i="1"/>
  <c r="AR253" i="1" s="1"/>
  <c r="AQ156" i="1"/>
  <c r="AQ253" i="1" s="1"/>
  <c r="AO156" i="1"/>
  <c r="AO253" i="1" s="1"/>
  <c r="AN156" i="1"/>
  <c r="AN253" i="1" s="1"/>
  <c r="AM156" i="1"/>
  <c r="AM253" i="1" s="1"/>
  <c r="AL156" i="1"/>
  <c r="AL253" i="1" s="1"/>
  <c r="AK156" i="1"/>
  <c r="AK253" i="1" s="1"/>
  <c r="AI156" i="1"/>
  <c r="AI253" i="1" s="1"/>
  <c r="AH156" i="1"/>
  <c r="AH253" i="1" s="1"/>
  <c r="AG156" i="1"/>
  <c r="AG253" i="1" s="1"/>
  <c r="AF156" i="1"/>
  <c r="AF253" i="1" s="1"/>
  <c r="AE156" i="1"/>
  <c r="AE253" i="1" s="1"/>
  <c r="AC156" i="1"/>
  <c r="AC253" i="1" s="1"/>
  <c r="AB156" i="1"/>
  <c r="AB253" i="1" s="1"/>
  <c r="AA156" i="1"/>
  <c r="AA253" i="1" s="1"/>
  <c r="Z156" i="1"/>
  <c r="Z253" i="1" s="1"/>
  <c r="Y156" i="1"/>
  <c r="Y253" i="1" s="1"/>
  <c r="W156" i="1"/>
  <c r="W253" i="1" s="1"/>
  <c r="V156" i="1"/>
  <c r="V253" i="1" s="1"/>
  <c r="U156" i="1"/>
  <c r="U253" i="1" s="1"/>
  <c r="T156" i="1"/>
  <c r="T253" i="1" s="1"/>
  <c r="S156" i="1"/>
  <c r="S253" i="1" s="1"/>
  <c r="Q156" i="1"/>
  <c r="Q253" i="1" s="1"/>
  <c r="P156" i="1"/>
  <c r="P253" i="1" s="1"/>
  <c r="O156" i="1"/>
  <c r="N156" i="1"/>
  <c r="N253" i="1" s="1"/>
  <c r="M156" i="1"/>
  <c r="M253" i="1" s="1"/>
  <c r="K156" i="1"/>
  <c r="K253" i="1" s="1"/>
  <c r="J156" i="1"/>
  <c r="J253" i="1" s="1"/>
  <c r="I156" i="1"/>
  <c r="I253" i="1" s="1"/>
  <c r="H156" i="1"/>
  <c r="H160" i="1" s="1"/>
  <c r="G156" i="1"/>
  <c r="G253" i="1" s="1"/>
  <c r="F156" i="1"/>
  <c r="F253" i="1" s="1"/>
  <c r="E156" i="1"/>
  <c r="E253" i="1" s="1"/>
  <c r="D156" i="1"/>
  <c r="D253" i="1" s="1"/>
  <c r="C156" i="1"/>
  <c r="C253" i="1" s="1"/>
  <c r="CL155" i="1"/>
  <c r="CF155" i="1"/>
  <c r="BZ155" i="1"/>
  <c r="BT155" i="1"/>
  <c r="BN155" i="1"/>
  <c r="BH155" i="1"/>
  <c r="BB155" i="1"/>
  <c r="AV155" i="1"/>
  <c r="AP155" i="1"/>
  <c r="AJ155" i="1"/>
  <c r="AD155" i="1"/>
  <c r="X155" i="1"/>
  <c r="R155" i="1"/>
  <c r="L155" i="1"/>
  <c r="CY152" i="1"/>
  <c r="CX152" i="1"/>
  <c r="CW152" i="1"/>
  <c r="CL152" i="1"/>
  <c r="CF152" i="1"/>
  <c r="BZ152" i="1"/>
  <c r="BT152" i="1"/>
  <c r="BN152" i="1"/>
  <c r="BN142" i="1" s="1"/>
  <c r="BH152" i="1"/>
  <c r="BB152" i="1"/>
  <c r="AV152" i="1"/>
  <c r="AV141" i="1" s="1"/>
  <c r="AP152" i="1"/>
  <c r="AP142" i="1" s="1"/>
  <c r="AJ152" i="1"/>
  <c r="AJ142" i="1" s="1"/>
  <c r="AD152" i="1"/>
  <c r="AD142" i="1" s="1"/>
  <c r="X152" i="1"/>
  <c r="R152" i="1"/>
  <c r="R142" i="1" s="1"/>
  <c r="L152" i="1"/>
  <c r="L142" i="1" s="1"/>
  <c r="CI148" i="1"/>
  <c r="CI149" i="1" s="1"/>
  <c r="CC148" i="1"/>
  <c r="CC149" i="1" s="1"/>
  <c r="BW148" i="1"/>
  <c r="BW149" i="1" s="1"/>
  <c r="BQ148" i="1"/>
  <c r="BQ149" i="1" s="1"/>
  <c r="BK148" i="1"/>
  <c r="BK149" i="1" s="1"/>
  <c r="BE148" i="1"/>
  <c r="BE149" i="1" s="1"/>
  <c r="AY148" i="1"/>
  <c r="AY149" i="1" s="1"/>
  <c r="AS148" i="1"/>
  <c r="AS149" i="1" s="1"/>
  <c r="AM148" i="1"/>
  <c r="AM149" i="1" s="1"/>
  <c r="AG148" i="1"/>
  <c r="AG149" i="1" s="1"/>
  <c r="AA148" i="1"/>
  <c r="AA149" i="1" s="1"/>
  <c r="U148" i="1"/>
  <c r="U149" i="1" s="1"/>
  <c r="O148" i="1"/>
  <c r="O149" i="1" s="1"/>
  <c r="I148" i="1"/>
  <c r="I149" i="1" s="1"/>
  <c r="H148" i="1"/>
  <c r="H149" i="1" s="1"/>
  <c r="G148" i="1"/>
  <c r="G149" i="1" s="1"/>
  <c r="F148" i="1"/>
  <c r="F149" i="1" s="1"/>
  <c r="E148" i="1"/>
  <c r="E149" i="1" s="1"/>
  <c r="D148" i="1"/>
  <c r="D149" i="1" s="1"/>
  <c r="C148" i="1"/>
  <c r="C149" i="1" s="1"/>
  <c r="CI146" i="1"/>
  <c r="CC146" i="1"/>
  <c r="BW146" i="1"/>
  <c r="BQ146" i="1"/>
  <c r="BK146" i="1"/>
  <c r="BE146" i="1"/>
  <c r="AY146" i="1"/>
  <c r="AS146" i="1"/>
  <c r="AM146" i="1"/>
  <c r="AG146" i="1"/>
  <c r="AA146" i="1"/>
  <c r="U146" i="1"/>
  <c r="O146" i="1"/>
  <c r="I146" i="1"/>
  <c r="H146" i="1"/>
  <c r="G146" i="1"/>
  <c r="F146" i="1"/>
  <c r="E146" i="1"/>
  <c r="D146" i="1"/>
  <c r="C146" i="1"/>
  <c r="CK142" i="1"/>
  <c r="CJ142" i="1"/>
  <c r="CI142" i="1"/>
  <c r="CH142" i="1"/>
  <c r="CG142" i="1"/>
  <c r="CE142" i="1"/>
  <c r="CD142" i="1"/>
  <c r="CC142" i="1"/>
  <c r="CB142" i="1"/>
  <c r="CA142" i="1"/>
  <c r="BY142" i="1"/>
  <c r="BX142" i="1"/>
  <c r="BW142" i="1"/>
  <c r="BV142" i="1"/>
  <c r="BU142" i="1"/>
  <c r="BS142" i="1"/>
  <c r="BR142" i="1"/>
  <c r="BQ142" i="1"/>
  <c r="BP142" i="1"/>
  <c r="BO142" i="1"/>
  <c r="BM142" i="1"/>
  <c r="BL142" i="1"/>
  <c r="BK142" i="1"/>
  <c r="BJ142" i="1"/>
  <c r="BI142" i="1"/>
  <c r="BG142" i="1"/>
  <c r="BF142" i="1"/>
  <c r="BE142" i="1"/>
  <c r="BD142" i="1"/>
  <c r="BC142" i="1"/>
  <c r="BA142" i="1"/>
  <c r="AZ142" i="1"/>
  <c r="AY142" i="1"/>
  <c r="AX142" i="1"/>
  <c r="AW142" i="1"/>
  <c r="AU142" i="1"/>
  <c r="AT142" i="1"/>
  <c r="AS142" i="1"/>
  <c r="AR142" i="1"/>
  <c r="AQ142" i="1"/>
  <c r="AO142" i="1"/>
  <c r="AN142" i="1"/>
  <c r="AM142" i="1"/>
  <c r="AL142" i="1"/>
  <c r="AK142" i="1"/>
  <c r="AI142" i="1"/>
  <c r="AH142" i="1"/>
  <c r="AG142" i="1"/>
  <c r="AF142" i="1"/>
  <c r="AE142" i="1"/>
  <c r="AC142" i="1"/>
  <c r="AB142" i="1"/>
  <c r="AA142" i="1"/>
  <c r="Z142" i="1"/>
  <c r="Y142" i="1"/>
  <c r="W142" i="1"/>
  <c r="V142" i="1"/>
  <c r="U142" i="1"/>
  <c r="T142" i="1"/>
  <c r="S142" i="1"/>
  <c r="Q142" i="1"/>
  <c r="P142" i="1"/>
  <c r="O142" i="1"/>
  <c r="N142" i="1"/>
  <c r="M142" i="1"/>
  <c r="K142" i="1"/>
  <c r="J142" i="1"/>
  <c r="I142" i="1"/>
  <c r="H142" i="1"/>
  <c r="G142" i="1"/>
  <c r="F142" i="1"/>
  <c r="E142" i="1"/>
  <c r="D142" i="1"/>
  <c r="C142" i="1"/>
  <c r="CK141" i="1"/>
  <c r="CJ141" i="1"/>
  <c r="CI141" i="1"/>
  <c r="CH141" i="1"/>
  <c r="CG141" i="1"/>
  <c r="CE141" i="1"/>
  <c r="CD141" i="1"/>
  <c r="CC141" i="1"/>
  <c r="CB141" i="1"/>
  <c r="CA141" i="1"/>
  <c r="BY141" i="1"/>
  <c r="BX141" i="1"/>
  <c r="BW141" i="1"/>
  <c r="BV141" i="1"/>
  <c r="BU141" i="1"/>
  <c r="BS141" i="1"/>
  <c r="BR141" i="1"/>
  <c r="BQ141" i="1"/>
  <c r="BP141" i="1"/>
  <c r="BO141" i="1"/>
  <c r="BM141" i="1"/>
  <c r="BL141" i="1"/>
  <c r="BK141" i="1"/>
  <c r="BJ141" i="1"/>
  <c r="BI141" i="1"/>
  <c r="BG141" i="1"/>
  <c r="BF141" i="1"/>
  <c r="BE141" i="1"/>
  <c r="BD141" i="1"/>
  <c r="BC141" i="1"/>
  <c r="BA141" i="1"/>
  <c r="AZ141" i="1"/>
  <c r="AY141" i="1"/>
  <c r="AX141" i="1"/>
  <c r="AW141" i="1"/>
  <c r="AU141" i="1"/>
  <c r="AT141" i="1"/>
  <c r="AS141" i="1"/>
  <c r="AR141" i="1"/>
  <c r="AQ141" i="1"/>
  <c r="AO141" i="1"/>
  <c r="AN141" i="1"/>
  <c r="AM141" i="1"/>
  <c r="AL141" i="1"/>
  <c r="AK141" i="1"/>
  <c r="AI141" i="1"/>
  <c r="AH141" i="1"/>
  <c r="AG141" i="1"/>
  <c r="AF141" i="1"/>
  <c r="AE141" i="1"/>
  <c r="AC141" i="1"/>
  <c r="AB141" i="1"/>
  <c r="AA141" i="1"/>
  <c r="Z141" i="1"/>
  <c r="Y141" i="1"/>
  <c r="W141" i="1"/>
  <c r="V141" i="1"/>
  <c r="U141" i="1"/>
  <c r="T141" i="1"/>
  <c r="S141" i="1"/>
  <c r="Q141" i="1"/>
  <c r="P141" i="1"/>
  <c r="O141" i="1"/>
  <c r="N141" i="1"/>
  <c r="M141" i="1"/>
  <c r="K141" i="1"/>
  <c r="J141" i="1"/>
  <c r="I141" i="1"/>
  <c r="H141" i="1"/>
  <c r="G141" i="1"/>
  <c r="F141" i="1"/>
  <c r="E141" i="1"/>
  <c r="D141" i="1"/>
  <c r="C141" i="1"/>
  <c r="CK140" i="1"/>
  <c r="CK139" i="1" s="1"/>
  <c r="CJ140" i="1"/>
  <c r="CI140" i="1"/>
  <c r="CH140" i="1"/>
  <c r="CH139" i="1" s="1"/>
  <c r="CG140" i="1"/>
  <c r="CG139" i="1" s="1"/>
  <c r="CE140" i="1"/>
  <c r="CE139" i="1" s="1"/>
  <c r="CD140" i="1"/>
  <c r="CD139" i="1" s="1"/>
  <c r="CC140" i="1"/>
  <c r="CB140" i="1"/>
  <c r="CB139" i="1" s="1"/>
  <c r="CA140" i="1"/>
  <c r="CA139" i="1" s="1"/>
  <c r="BY140" i="1"/>
  <c r="BY139" i="1" s="1"/>
  <c r="BX140" i="1"/>
  <c r="BX139" i="1" s="1"/>
  <c r="BW140" i="1"/>
  <c r="BV140" i="1"/>
  <c r="BV139" i="1" s="1"/>
  <c r="BU140" i="1"/>
  <c r="BU139" i="1" s="1"/>
  <c r="BS140" i="1"/>
  <c r="BS139" i="1" s="1"/>
  <c r="BR140" i="1"/>
  <c r="BR139" i="1" s="1"/>
  <c r="BQ140" i="1"/>
  <c r="BP140" i="1"/>
  <c r="BP139" i="1" s="1"/>
  <c r="BO140" i="1"/>
  <c r="BO139" i="1" s="1"/>
  <c r="BM140" i="1"/>
  <c r="BM139" i="1" s="1"/>
  <c r="BL140" i="1"/>
  <c r="BL139" i="1" s="1"/>
  <c r="BK140" i="1"/>
  <c r="BJ140" i="1"/>
  <c r="BJ139" i="1" s="1"/>
  <c r="BI140" i="1"/>
  <c r="BI139" i="1" s="1"/>
  <c r="BG140" i="1"/>
  <c r="BG139" i="1" s="1"/>
  <c r="BF140" i="1"/>
  <c r="BE140" i="1"/>
  <c r="BD140" i="1"/>
  <c r="BD139" i="1" s="1"/>
  <c r="BC140" i="1"/>
  <c r="BC139" i="1" s="1"/>
  <c r="BA140" i="1"/>
  <c r="BA139" i="1" s="1"/>
  <c r="AZ140" i="1"/>
  <c r="AZ139" i="1" s="1"/>
  <c r="AY140" i="1"/>
  <c r="AX140" i="1"/>
  <c r="AX139" i="1" s="1"/>
  <c r="AW140" i="1"/>
  <c r="AW139" i="1" s="1"/>
  <c r="AU140" i="1"/>
  <c r="AU139" i="1" s="1"/>
  <c r="AT140" i="1"/>
  <c r="AT139" i="1" s="1"/>
  <c r="AS140" i="1"/>
  <c r="AR140" i="1"/>
  <c r="AR139" i="1" s="1"/>
  <c r="AQ140" i="1"/>
  <c r="AQ139" i="1" s="1"/>
  <c r="AO140" i="1"/>
  <c r="AO139" i="1" s="1"/>
  <c r="AN140" i="1"/>
  <c r="AN139" i="1" s="1"/>
  <c r="AM140" i="1"/>
  <c r="AL140" i="1"/>
  <c r="AL139" i="1" s="1"/>
  <c r="AK140" i="1"/>
  <c r="AK139" i="1" s="1"/>
  <c r="AI140" i="1"/>
  <c r="AI139" i="1" s="1"/>
  <c r="AH140" i="1"/>
  <c r="AH139" i="1" s="1"/>
  <c r="AG140" i="1"/>
  <c r="AG299" i="1" s="1"/>
  <c r="AF140" i="1"/>
  <c r="AF139" i="1" s="1"/>
  <c r="AE140" i="1"/>
  <c r="AE139" i="1" s="1"/>
  <c r="AC140" i="1"/>
  <c r="AC139" i="1" s="1"/>
  <c r="AB140" i="1"/>
  <c r="AB139" i="1" s="1"/>
  <c r="AA140" i="1"/>
  <c r="Z140" i="1"/>
  <c r="Z139" i="1" s="1"/>
  <c r="Y140" i="1"/>
  <c r="Y139" i="1" s="1"/>
  <c r="W140" i="1"/>
  <c r="W139" i="1" s="1"/>
  <c r="V140" i="1"/>
  <c r="V139" i="1" s="1"/>
  <c r="U140" i="1"/>
  <c r="T140" i="1"/>
  <c r="T139" i="1" s="1"/>
  <c r="S140" i="1"/>
  <c r="S139" i="1" s="1"/>
  <c r="Q140" i="1"/>
  <c r="Q139" i="1" s="1"/>
  <c r="P140" i="1"/>
  <c r="P139" i="1" s="1"/>
  <c r="O140" i="1"/>
  <c r="N140" i="1"/>
  <c r="N139" i="1" s="1"/>
  <c r="M140" i="1"/>
  <c r="M139" i="1" s="1"/>
  <c r="K140" i="1"/>
  <c r="K139" i="1" s="1"/>
  <c r="J140" i="1"/>
  <c r="J139" i="1" s="1"/>
  <c r="I140" i="1"/>
  <c r="H140" i="1"/>
  <c r="H299" i="1" s="1"/>
  <c r="G140" i="1"/>
  <c r="F140" i="1"/>
  <c r="E140" i="1"/>
  <c r="D140" i="1"/>
  <c r="D299" i="1" s="1"/>
  <c r="C140" i="1"/>
  <c r="BF139" i="1"/>
  <c r="CK138" i="1"/>
  <c r="CJ138" i="1"/>
  <c r="CI138" i="1"/>
  <c r="CH138" i="1"/>
  <c r="CG138" i="1"/>
  <c r="CE138" i="1"/>
  <c r="CD138" i="1"/>
  <c r="CC138" i="1"/>
  <c r="CB138" i="1"/>
  <c r="CA138" i="1"/>
  <c r="BY138" i="1"/>
  <c r="BX138" i="1"/>
  <c r="BW138" i="1"/>
  <c r="BV138" i="1"/>
  <c r="BU138" i="1"/>
  <c r="BS138" i="1"/>
  <c r="BR138" i="1"/>
  <c r="BQ138" i="1"/>
  <c r="BP138" i="1"/>
  <c r="BO138" i="1"/>
  <c r="BM138" i="1"/>
  <c r="BL138" i="1"/>
  <c r="BK138" i="1"/>
  <c r="BJ138" i="1"/>
  <c r="BI138" i="1"/>
  <c r="BG138" i="1"/>
  <c r="BF138" i="1"/>
  <c r="BE138" i="1"/>
  <c r="BD138" i="1"/>
  <c r="BC138" i="1"/>
  <c r="BA138" i="1"/>
  <c r="AZ138" i="1"/>
  <c r="AY138" i="1"/>
  <c r="AX138" i="1"/>
  <c r="AW138" i="1"/>
  <c r="AU138" i="1"/>
  <c r="AT138" i="1"/>
  <c r="AS138" i="1"/>
  <c r="AR138" i="1"/>
  <c r="AQ138" i="1"/>
  <c r="AO138" i="1"/>
  <c r="AN138" i="1"/>
  <c r="AM138" i="1"/>
  <c r="AL138" i="1"/>
  <c r="AK138" i="1"/>
  <c r="AI138" i="1"/>
  <c r="AH138" i="1"/>
  <c r="AG138" i="1"/>
  <c r="AF138" i="1"/>
  <c r="AE138" i="1"/>
  <c r="AC138" i="1"/>
  <c r="AB138" i="1"/>
  <c r="AA138" i="1"/>
  <c r="Z138" i="1"/>
  <c r="Y138" i="1"/>
  <c r="W138" i="1"/>
  <c r="V138" i="1"/>
  <c r="U138" i="1"/>
  <c r="T138" i="1"/>
  <c r="S138" i="1"/>
  <c r="Q138" i="1"/>
  <c r="P138" i="1"/>
  <c r="O138" i="1"/>
  <c r="N138" i="1"/>
  <c r="M138" i="1"/>
  <c r="K138" i="1"/>
  <c r="J138" i="1"/>
  <c r="I138" i="1"/>
  <c r="H138" i="1"/>
  <c r="G138" i="1"/>
  <c r="F138" i="1"/>
  <c r="E138" i="1"/>
  <c r="D138" i="1"/>
  <c r="C138" i="1"/>
  <c r="CO130" i="1"/>
  <c r="CO248" i="1" s="1"/>
  <c r="CL130" i="1"/>
  <c r="CF130" i="1"/>
  <c r="BT130" i="1"/>
  <c r="BN130" i="1"/>
  <c r="BB130" i="1"/>
  <c r="AV130" i="1"/>
  <c r="AP130" i="1"/>
  <c r="AJ130" i="1"/>
  <c r="AD130" i="1"/>
  <c r="X130" i="1"/>
  <c r="R130" i="1"/>
  <c r="L130" i="1"/>
  <c r="CK126" i="1"/>
  <c r="CJ126" i="1"/>
  <c r="CI126" i="1"/>
  <c r="CH126" i="1"/>
  <c r="CG126" i="1"/>
  <c r="CE126" i="1"/>
  <c r="CD126" i="1"/>
  <c r="CC126" i="1"/>
  <c r="CB126" i="1"/>
  <c r="CA126" i="1"/>
  <c r="BY126" i="1"/>
  <c r="BX126" i="1"/>
  <c r="BW126" i="1"/>
  <c r="BV126" i="1"/>
  <c r="BU126" i="1"/>
  <c r="BS126" i="1"/>
  <c r="BR126" i="1"/>
  <c r="BQ126" i="1"/>
  <c r="BP126" i="1"/>
  <c r="BO126" i="1"/>
  <c r="BM126" i="1"/>
  <c r="BL126" i="1"/>
  <c r="BK126" i="1"/>
  <c r="BJ126" i="1"/>
  <c r="BI126" i="1"/>
  <c r="BG126" i="1"/>
  <c r="BF126" i="1"/>
  <c r="BE126" i="1"/>
  <c r="BD126" i="1"/>
  <c r="BC126" i="1"/>
  <c r="BA126" i="1"/>
  <c r="AZ126" i="1"/>
  <c r="AY126" i="1"/>
  <c r="AX126" i="1"/>
  <c r="AW126" i="1"/>
  <c r="AU126" i="1"/>
  <c r="AT126" i="1"/>
  <c r="AS126" i="1"/>
  <c r="AR126" i="1"/>
  <c r="AQ126" i="1"/>
  <c r="AO126" i="1"/>
  <c r="AN126" i="1"/>
  <c r="AM126" i="1"/>
  <c r="AL126" i="1"/>
  <c r="AK126" i="1"/>
  <c r="AI126" i="1"/>
  <c r="AH126" i="1"/>
  <c r="AG126" i="1"/>
  <c r="AF126" i="1"/>
  <c r="AE126" i="1"/>
  <c r="AC126" i="1"/>
  <c r="AB126" i="1"/>
  <c r="AA126" i="1"/>
  <c r="Z126" i="1"/>
  <c r="Y126" i="1"/>
  <c r="W126" i="1"/>
  <c r="V126" i="1"/>
  <c r="U126" i="1"/>
  <c r="T126" i="1"/>
  <c r="S126" i="1"/>
  <c r="Q126" i="1"/>
  <c r="P126" i="1"/>
  <c r="O126" i="1"/>
  <c r="N126" i="1"/>
  <c r="M126" i="1"/>
  <c r="K126" i="1"/>
  <c r="J126" i="1"/>
  <c r="I126" i="1"/>
  <c r="H126" i="1"/>
  <c r="G126" i="1"/>
  <c r="F126" i="1"/>
  <c r="E126" i="1"/>
  <c r="D126" i="1"/>
  <c r="C126" i="1"/>
  <c r="CL125" i="1"/>
  <c r="CF125" i="1"/>
  <c r="BZ125" i="1"/>
  <c r="BT125" i="1"/>
  <c r="BN125" i="1"/>
  <c r="BH125" i="1"/>
  <c r="BB125" i="1"/>
  <c r="CK122" i="1"/>
  <c r="CK133" i="1" s="1"/>
  <c r="CJ122" i="1"/>
  <c r="CI122" i="1"/>
  <c r="CH122" i="1"/>
  <c r="CG122" i="1"/>
  <c r="CG133" i="1" s="1"/>
  <c r="CE122" i="1"/>
  <c r="CD122" i="1"/>
  <c r="CC122" i="1"/>
  <c r="CC133" i="1" s="1"/>
  <c r="CB122" i="1"/>
  <c r="CB133" i="1" s="1"/>
  <c r="CA122" i="1"/>
  <c r="BY122" i="1"/>
  <c r="BY133" i="1" s="1"/>
  <c r="BX122" i="1"/>
  <c r="BX133" i="1" s="1"/>
  <c r="BW122" i="1"/>
  <c r="BW133" i="1" s="1"/>
  <c r="BV122" i="1"/>
  <c r="BU122" i="1"/>
  <c r="BU133" i="1" s="1"/>
  <c r="BS122" i="1"/>
  <c r="BR122" i="1"/>
  <c r="BQ122" i="1"/>
  <c r="BP122" i="1"/>
  <c r="BP133" i="1" s="1"/>
  <c r="BO122" i="1"/>
  <c r="BM122" i="1"/>
  <c r="BM133" i="1" s="1"/>
  <c r="BL122" i="1"/>
  <c r="BK122" i="1"/>
  <c r="BK133" i="1" s="1"/>
  <c r="BJ122" i="1"/>
  <c r="BI122" i="1"/>
  <c r="BI133" i="1" s="1"/>
  <c r="BG122" i="1"/>
  <c r="BF122" i="1"/>
  <c r="BE122" i="1"/>
  <c r="BE133" i="1" s="1"/>
  <c r="BD122" i="1"/>
  <c r="BD133" i="1" s="1"/>
  <c r="BC122" i="1"/>
  <c r="BA122" i="1"/>
  <c r="BA133" i="1" s="1"/>
  <c r="AZ122" i="1"/>
  <c r="AZ133" i="1" s="1"/>
  <c r="AY122" i="1"/>
  <c r="AX122" i="1"/>
  <c r="AW122" i="1"/>
  <c r="AW133" i="1" s="1"/>
  <c r="AU122" i="1"/>
  <c r="AU133" i="1" s="1"/>
  <c r="AT122" i="1"/>
  <c r="AS122" i="1"/>
  <c r="AS133" i="1" s="1"/>
  <c r="AR122" i="1"/>
  <c r="AR133" i="1" s="1"/>
  <c r="AQ122" i="1"/>
  <c r="AQ133" i="1" s="1"/>
  <c r="AO122" i="1"/>
  <c r="AO133" i="1" s="1"/>
  <c r="AN122" i="1"/>
  <c r="AM122" i="1"/>
  <c r="AL122" i="1"/>
  <c r="AK122" i="1"/>
  <c r="AK133" i="1" s="1"/>
  <c r="AI122" i="1"/>
  <c r="AH122" i="1"/>
  <c r="AG122" i="1"/>
  <c r="AG133" i="1" s="1"/>
  <c r="AF122" i="1"/>
  <c r="AF133" i="1" s="1"/>
  <c r="AE122" i="1"/>
  <c r="AC122" i="1"/>
  <c r="AC133" i="1" s="1"/>
  <c r="AB122" i="1"/>
  <c r="AB133" i="1" s="1"/>
  <c r="AA122" i="1"/>
  <c r="Z122" i="1"/>
  <c r="Y122" i="1"/>
  <c r="Y133" i="1" s="1"/>
  <c r="W122" i="1"/>
  <c r="V122" i="1"/>
  <c r="U122" i="1"/>
  <c r="U133" i="1" s="1"/>
  <c r="T122" i="1"/>
  <c r="T133" i="1" s="1"/>
  <c r="S122" i="1"/>
  <c r="Q122" i="1"/>
  <c r="Q133" i="1" s="1"/>
  <c r="P122" i="1"/>
  <c r="P133" i="1" s="1"/>
  <c r="O122" i="1"/>
  <c r="O133" i="1" s="1"/>
  <c r="N122" i="1"/>
  <c r="N133" i="1" s="1"/>
  <c r="M122" i="1"/>
  <c r="M133" i="1" s="1"/>
  <c r="K122" i="1"/>
  <c r="K133" i="1" s="1"/>
  <c r="J122" i="1"/>
  <c r="J133" i="1" s="1"/>
  <c r="I122" i="1"/>
  <c r="I133" i="1" s="1"/>
  <c r="H122" i="1"/>
  <c r="H133" i="1" s="1"/>
  <c r="G122" i="1"/>
  <c r="G133" i="1" s="1"/>
  <c r="F122" i="1"/>
  <c r="F133" i="1" s="1"/>
  <c r="E122" i="1"/>
  <c r="E133" i="1" s="1"/>
  <c r="D122" i="1"/>
  <c r="D133" i="1" s="1"/>
  <c r="C122" i="1"/>
  <c r="C133" i="1" s="1"/>
  <c r="CO101" i="1"/>
  <c r="CK99" i="1"/>
  <c r="CK100" i="1" s="1"/>
  <c r="CJ99" i="1"/>
  <c r="CJ100" i="1" s="1"/>
  <c r="CI99" i="1"/>
  <c r="CI100" i="1" s="1"/>
  <c r="CH99" i="1"/>
  <c r="CH100" i="1" s="1"/>
  <c r="CG99" i="1"/>
  <c r="CG100" i="1" s="1"/>
  <c r="CE99" i="1"/>
  <c r="CE100" i="1" s="1"/>
  <c r="CD99" i="1"/>
  <c r="CD100" i="1" s="1"/>
  <c r="CC99" i="1"/>
  <c r="CC100" i="1" s="1"/>
  <c r="CB99" i="1"/>
  <c r="CB100" i="1" s="1"/>
  <c r="CA99" i="1"/>
  <c r="CA100" i="1" s="1"/>
  <c r="BY99" i="1"/>
  <c r="BY100" i="1" s="1"/>
  <c r="BX99" i="1"/>
  <c r="BX100" i="1" s="1"/>
  <c r="BW99" i="1"/>
  <c r="BW100" i="1" s="1"/>
  <c r="BV99" i="1"/>
  <c r="BV100" i="1" s="1"/>
  <c r="BU99" i="1"/>
  <c r="BU100" i="1" s="1"/>
  <c r="BS99" i="1"/>
  <c r="BS100" i="1" s="1"/>
  <c r="BR99" i="1"/>
  <c r="BR100" i="1" s="1"/>
  <c r="BQ99" i="1"/>
  <c r="BQ100" i="1" s="1"/>
  <c r="BP99" i="1"/>
  <c r="BP100" i="1" s="1"/>
  <c r="BO99" i="1"/>
  <c r="BO100" i="1" s="1"/>
  <c r="BM99" i="1"/>
  <c r="BM100" i="1" s="1"/>
  <c r="BL99" i="1"/>
  <c r="BL100" i="1" s="1"/>
  <c r="BK99" i="1"/>
  <c r="BK100" i="1" s="1"/>
  <c r="BJ99" i="1"/>
  <c r="BJ100" i="1" s="1"/>
  <c r="BI99" i="1"/>
  <c r="BI100" i="1" s="1"/>
  <c r="BG99" i="1"/>
  <c r="BG100" i="1" s="1"/>
  <c r="BF99" i="1"/>
  <c r="BF100" i="1" s="1"/>
  <c r="BE99" i="1"/>
  <c r="BE100" i="1" s="1"/>
  <c r="BD99" i="1"/>
  <c r="BD100" i="1" s="1"/>
  <c r="BC99" i="1"/>
  <c r="BC100" i="1" s="1"/>
  <c r="BA99" i="1"/>
  <c r="BA100" i="1" s="1"/>
  <c r="AZ99" i="1"/>
  <c r="AZ100" i="1" s="1"/>
  <c r="AY99" i="1"/>
  <c r="AY100" i="1" s="1"/>
  <c r="AX99" i="1"/>
  <c r="AX100" i="1" s="1"/>
  <c r="AW99" i="1"/>
  <c r="AW100" i="1" s="1"/>
  <c r="AU99" i="1"/>
  <c r="AU100" i="1" s="1"/>
  <c r="AT99" i="1"/>
  <c r="AT100" i="1" s="1"/>
  <c r="AS99" i="1"/>
  <c r="AS100" i="1" s="1"/>
  <c r="AR99" i="1"/>
  <c r="AR100" i="1" s="1"/>
  <c r="AQ99" i="1"/>
  <c r="AQ100" i="1" s="1"/>
  <c r="AO99" i="1"/>
  <c r="AO100" i="1" s="1"/>
  <c r="AN99" i="1"/>
  <c r="AN100" i="1" s="1"/>
  <c r="AM99" i="1"/>
  <c r="AM100" i="1" s="1"/>
  <c r="AL99" i="1"/>
  <c r="AL100" i="1" s="1"/>
  <c r="AK99" i="1"/>
  <c r="AK100" i="1" s="1"/>
  <c r="AI99" i="1"/>
  <c r="AI100" i="1" s="1"/>
  <c r="AH99" i="1"/>
  <c r="AH100" i="1" s="1"/>
  <c r="AG99" i="1"/>
  <c r="AG100" i="1" s="1"/>
  <c r="AF99" i="1"/>
  <c r="AF100" i="1" s="1"/>
  <c r="AE99" i="1"/>
  <c r="AE100" i="1" s="1"/>
  <c r="AC99" i="1"/>
  <c r="AC100" i="1" s="1"/>
  <c r="AB99" i="1"/>
  <c r="AB100" i="1" s="1"/>
  <c r="AA99" i="1"/>
  <c r="AA100" i="1" s="1"/>
  <c r="Z99" i="1"/>
  <c r="Z100" i="1" s="1"/>
  <c r="Y99" i="1"/>
  <c r="Y100" i="1" s="1"/>
  <c r="W99" i="1"/>
  <c r="W100" i="1" s="1"/>
  <c r="V99" i="1"/>
  <c r="V100" i="1" s="1"/>
  <c r="U99" i="1"/>
  <c r="U100" i="1" s="1"/>
  <c r="T99" i="1"/>
  <c r="T100" i="1" s="1"/>
  <c r="S99" i="1"/>
  <c r="S100" i="1" s="1"/>
  <c r="Q99" i="1"/>
  <c r="Q100" i="1" s="1"/>
  <c r="P99" i="1"/>
  <c r="P100" i="1" s="1"/>
  <c r="O99" i="1"/>
  <c r="O100" i="1" s="1"/>
  <c r="N99" i="1"/>
  <c r="N100" i="1" s="1"/>
  <c r="M99" i="1"/>
  <c r="M100" i="1" s="1"/>
  <c r="K99" i="1"/>
  <c r="K100" i="1" s="1"/>
  <c r="J99" i="1"/>
  <c r="J100" i="1" s="1"/>
  <c r="I99" i="1"/>
  <c r="I100" i="1" s="1"/>
  <c r="H99" i="1"/>
  <c r="H100" i="1" s="1"/>
  <c r="G99" i="1"/>
  <c r="G100" i="1" s="1"/>
  <c r="F99" i="1"/>
  <c r="F100" i="1" s="1"/>
  <c r="E99" i="1"/>
  <c r="E100" i="1" s="1"/>
  <c r="D99" i="1"/>
  <c r="D100" i="1" s="1"/>
  <c r="C99" i="1"/>
  <c r="C100" i="1" s="1"/>
  <c r="CO98" i="1"/>
  <c r="D20" i="3" s="1"/>
  <c r="CL98" i="1"/>
  <c r="CF98" i="1"/>
  <c r="BH98" i="1"/>
  <c r="CL97" i="1"/>
  <c r="CF97" i="1"/>
  <c r="BZ97" i="1"/>
  <c r="BZ99" i="1" s="1"/>
  <c r="BT97" i="1"/>
  <c r="BT99" i="1" s="1"/>
  <c r="BN97" i="1"/>
  <c r="BN99" i="1" s="1"/>
  <c r="BH97" i="1"/>
  <c r="BB97" i="1"/>
  <c r="BB99" i="1" s="1"/>
  <c r="AV97" i="1"/>
  <c r="AV99" i="1" s="1"/>
  <c r="AP97" i="1"/>
  <c r="AP99" i="1" s="1"/>
  <c r="AJ97" i="1"/>
  <c r="AJ99" i="1" s="1"/>
  <c r="AD97" i="1"/>
  <c r="AD99" i="1" s="1"/>
  <c r="X97" i="1"/>
  <c r="X99" i="1" s="1"/>
  <c r="R97" i="1"/>
  <c r="R99" i="1" s="1"/>
  <c r="L97" i="1"/>
  <c r="L99" i="1" s="1"/>
  <c r="CI83" i="1"/>
  <c r="CC83" i="1"/>
  <c r="BW83" i="1"/>
  <c r="BQ83" i="1"/>
  <c r="BK83" i="1"/>
  <c r="BE83" i="1"/>
  <c r="AY83" i="1"/>
  <c r="AS83" i="1"/>
  <c r="AM83" i="1"/>
  <c r="AG83" i="1"/>
  <c r="AA83" i="1"/>
  <c r="U83" i="1"/>
  <c r="O83" i="1"/>
  <c r="I83" i="1"/>
  <c r="H83" i="1"/>
  <c r="G83" i="1"/>
  <c r="F83" i="1"/>
  <c r="E83" i="1"/>
  <c r="D83" i="1"/>
  <c r="C83" i="1"/>
  <c r="AD80" i="1"/>
  <c r="X80" i="1"/>
  <c r="R80" i="1"/>
  <c r="L80" i="1"/>
  <c r="DE79" i="1"/>
  <c r="DC79" i="1"/>
  <c r="AD79" i="1"/>
  <c r="X79" i="1"/>
  <c r="R79" i="1"/>
  <c r="L79" i="1"/>
  <c r="DE78" i="1"/>
  <c r="DC78" i="1"/>
  <c r="DE77" i="1"/>
  <c r="DC77" i="1"/>
  <c r="CK77" i="1"/>
  <c r="CJ77" i="1"/>
  <c r="CI77" i="1"/>
  <c r="CH77" i="1"/>
  <c r="CG77" i="1"/>
  <c r="CE77" i="1"/>
  <c r="CD77" i="1"/>
  <c r="CC77" i="1"/>
  <c r="CB77" i="1"/>
  <c r="CA77" i="1"/>
  <c r="BY77" i="1"/>
  <c r="BX77" i="1"/>
  <c r="BW77" i="1"/>
  <c r="BV77" i="1"/>
  <c r="BU77" i="1"/>
  <c r="BS77" i="1"/>
  <c r="BR77" i="1"/>
  <c r="BQ77" i="1"/>
  <c r="BP77" i="1"/>
  <c r="BO77" i="1"/>
  <c r="BM77" i="1"/>
  <c r="BL77" i="1"/>
  <c r="BK77" i="1"/>
  <c r="BJ77" i="1"/>
  <c r="BI77" i="1"/>
  <c r="BG77" i="1"/>
  <c r="BF77" i="1"/>
  <c r="BE77" i="1"/>
  <c r="BD77" i="1"/>
  <c r="BC77" i="1"/>
  <c r="BA77" i="1"/>
  <c r="AZ77" i="1"/>
  <c r="AY77" i="1"/>
  <c r="AX77" i="1"/>
  <c r="AW77" i="1"/>
  <c r="AU77" i="1"/>
  <c r="AT77" i="1"/>
  <c r="AS77" i="1"/>
  <c r="AR77" i="1"/>
  <c r="AQ77" i="1"/>
  <c r="AO77" i="1"/>
  <c r="AN77" i="1"/>
  <c r="AM77" i="1"/>
  <c r="AL77" i="1"/>
  <c r="AK77" i="1"/>
  <c r="AI77" i="1"/>
  <c r="AH77" i="1"/>
  <c r="AG77" i="1"/>
  <c r="AF77" i="1"/>
  <c r="AE77" i="1"/>
  <c r="AC77" i="1"/>
  <c r="AB77" i="1"/>
  <c r="AA77" i="1"/>
  <c r="Z77" i="1"/>
  <c r="Y77" i="1"/>
  <c r="W77" i="1"/>
  <c r="V77" i="1"/>
  <c r="U77" i="1"/>
  <c r="T77" i="1"/>
  <c r="S77" i="1"/>
  <c r="Q77" i="1"/>
  <c r="P77" i="1"/>
  <c r="O77" i="1"/>
  <c r="I77" i="1"/>
  <c r="H77" i="1"/>
  <c r="G77" i="1"/>
  <c r="F77" i="1"/>
  <c r="E77" i="1"/>
  <c r="D77" i="1"/>
  <c r="DE76" i="1"/>
  <c r="DC76" i="1"/>
  <c r="DE75" i="1"/>
  <c r="DC75" i="1"/>
  <c r="CO280" i="1" s="1"/>
  <c r="CK75" i="1"/>
  <c r="CJ75" i="1"/>
  <c r="CI75" i="1"/>
  <c r="CH75" i="1"/>
  <c r="CG75" i="1"/>
  <c r="CE75" i="1"/>
  <c r="CD75" i="1"/>
  <c r="CC75" i="1"/>
  <c r="CB75" i="1"/>
  <c r="CA75" i="1"/>
  <c r="BY75" i="1"/>
  <c r="BX75" i="1"/>
  <c r="BW75" i="1"/>
  <c r="BV75" i="1"/>
  <c r="BU75" i="1"/>
  <c r="BS75" i="1"/>
  <c r="BR75" i="1"/>
  <c r="BQ75" i="1"/>
  <c r="BP75" i="1"/>
  <c r="BO75" i="1"/>
  <c r="BM75" i="1"/>
  <c r="BL75" i="1"/>
  <c r="BK75" i="1"/>
  <c r="BJ75" i="1"/>
  <c r="BI75" i="1"/>
  <c r="BG75" i="1"/>
  <c r="BF75" i="1"/>
  <c r="BE75" i="1"/>
  <c r="BD75" i="1"/>
  <c r="BC75" i="1"/>
  <c r="BA75" i="1"/>
  <c r="AZ75" i="1"/>
  <c r="AY75" i="1"/>
  <c r="AX75" i="1"/>
  <c r="AW75" i="1"/>
  <c r="AU75" i="1"/>
  <c r="AT75" i="1"/>
  <c r="AS75" i="1"/>
  <c r="AR75" i="1"/>
  <c r="AQ75" i="1"/>
  <c r="AO75" i="1"/>
  <c r="AN75" i="1"/>
  <c r="AM75" i="1"/>
  <c r="AL75" i="1"/>
  <c r="AK75" i="1"/>
  <c r="AI75" i="1"/>
  <c r="AH75" i="1"/>
  <c r="AG75" i="1"/>
  <c r="AF75" i="1"/>
  <c r="AE75" i="1"/>
  <c r="AC75" i="1"/>
  <c r="AB75" i="1"/>
  <c r="AA75" i="1"/>
  <c r="Z75" i="1"/>
  <c r="Y75" i="1"/>
  <c r="W75" i="1"/>
  <c r="V75" i="1"/>
  <c r="U75" i="1"/>
  <c r="T75" i="1"/>
  <c r="S75" i="1"/>
  <c r="Q75" i="1"/>
  <c r="P75" i="1"/>
  <c r="O75" i="1"/>
  <c r="N75" i="1"/>
  <c r="M75" i="1"/>
  <c r="K75" i="1"/>
  <c r="J75" i="1"/>
  <c r="I75" i="1"/>
  <c r="H75" i="1"/>
  <c r="G75" i="1"/>
  <c r="F75" i="1"/>
  <c r="E75" i="1"/>
  <c r="D75" i="1"/>
  <c r="C75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CL73" i="1"/>
  <c r="CF73" i="1"/>
  <c r="BZ73" i="1"/>
  <c r="BT73" i="1"/>
  <c r="BN73" i="1"/>
  <c r="BH73" i="1"/>
  <c r="BB73" i="1"/>
  <c r="DE72" i="1"/>
  <c r="CS106" i="1" s="1"/>
  <c r="DC72" i="1"/>
  <c r="CK72" i="1"/>
  <c r="CK74" i="1" s="1"/>
  <c r="CJ72" i="1"/>
  <c r="CJ76" i="1" s="1"/>
  <c r="CI72" i="1"/>
  <c r="CH72" i="1"/>
  <c r="CG72" i="1"/>
  <c r="CG74" i="1" s="1"/>
  <c r="CE72" i="1"/>
  <c r="CD72" i="1"/>
  <c r="CC72" i="1"/>
  <c r="CB72" i="1"/>
  <c r="CB76" i="1" s="1"/>
  <c r="CA72" i="1"/>
  <c r="BY72" i="1"/>
  <c r="BY74" i="1" s="1"/>
  <c r="BX72" i="1"/>
  <c r="BX76" i="1" s="1"/>
  <c r="BW72" i="1"/>
  <c r="BV72" i="1"/>
  <c r="BU72" i="1"/>
  <c r="BU74" i="1" s="1"/>
  <c r="BS72" i="1"/>
  <c r="BR72" i="1"/>
  <c r="BR74" i="1" s="1"/>
  <c r="BQ72" i="1"/>
  <c r="BQ74" i="1" s="1"/>
  <c r="BP72" i="1"/>
  <c r="BP76" i="1" s="1"/>
  <c r="BO72" i="1"/>
  <c r="BM72" i="1"/>
  <c r="BM74" i="1" s="1"/>
  <c r="BL72" i="1"/>
  <c r="BL76" i="1" s="1"/>
  <c r="BK72" i="1"/>
  <c r="BJ72" i="1"/>
  <c r="BI72" i="1"/>
  <c r="BG72" i="1"/>
  <c r="BF72" i="1"/>
  <c r="BF74" i="1" s="1"/>
  <c r="BE72" i="1"/>
  <c r="BE74" i="1" s="1"/>
  <c r="BD72" i="1"/>
  <c r="BD76" i="1" s="1"/>
  <c r="BC72" i="1"/>
  <c r="BA72" i="1"/>
  <c r="BA74" i="1" s="1"/>
  <c r="AZ72" i="1"/>
  <c r="AZ76" i="1" s="1"/>
  <c r="AY72" i="1"/>
  <c r="AY76" i="1" s="1"/>
  <c r="AX72" i="1"/>
  <c r="AW72" i="1"/>
  <c r="AW76" i="1" s="1"/>
  <c r="AV72" i="1"/>
  <c r="AU72" i="1"/>
  <c r="AT72" i="1"/>
  <c r="AS72" i="1"/>
  <c r="AS76" i="1" s="1"/>
  <c r="AR72" i="1"/>
  <c r="AR76" i="1" s="1"/>
  <c r="AQ72" i="1"/>
  <c r="AQ76" i="1" s="1"/>
  <c r="AP72" i="1"/>
  <c r="AO72" i="1"/>
  <c r="AO76" i="1" s="1"/>
  <c r="AN72" i="1"/>
  <c r="AN76" i="1" s="1"/>
  <c r="AM72" i="1"/>
  <c r="AM76" i="1" s="1"/>
  <c r="AL72" i="1"/>
  <c r="AK72" i="1"/>
  <c r="AK76" i="1" s="1"/>
  <c r="AJ72" i="1"/>
  <c r="AI72" i="1"/>
  <c r="AI76" i="1" s="1"/>
  <c r="AH72" i="1"/>
  <c r="AG72" i="1"/>
  <c r="AG76" i="1" s="1"/>
  <c r="AF72" i="1"/>
  <c r="AF76" i="1" s="1"/>
  <c r="AE72" i="1"/>
  <c r="AD72" i="1"/>
  <c r="AC72" i="1"/>
  <c r="AC76" i="1" s="1"/>
  <c r="AB72" i="1"/>
  <c r="AB76" i="1" s="1"/>
  <c r="AA72" i="1"/>
  <c r="AA76" i="1" s="1"/>
  <c r="Z72" i="1"/>
  <c r="Y72" i="1"/>
  <c r="Y76" i="1" s="1"/>
  <c r="X72" i="1"/>
  <c r="W72" i="1"/>
  <c r="W76" i="1" s="1"/>
  <c r="V72" i="1"/>
  <c r="U72" i="1"/>
  <c r="U76" i="1" s="1"/>
  <c r="T72" i="1"/>
  <c r="T76" i="1" s="1"/>
  <c r="S72" i="1"/>
  <c r="S76" i="1" s="1"/>
  <c r="R72" i="1"/>
  <c r="Q72" i="1"/>
  <c r="Q76" i="1" s="1"/>
  <c r="P72" i="1"/>
  <c r="P76" i="1" s="1"/>
  <c r="O72" i="1"/>
  <c r="O76" i="1" s="1"/>
  <c r="N72" i="1"/>
  <c r="M72" i="1"/>
  <c r="M76" i="1" s="1"/>
  <c r="L72" i="1"/>
  <c r="K72" i="1"/>
  <c r="K76" i="1" s="1"/>
  <c r="J72" i="1"/>
  <c r="J76" i="1" s="1"/>
  <c r="I72" i="1"/>
  <c r="H72" i="1"/>
  <c r="H76" i="1" s="1"/>
  <c r="G72" i="1"/>
  <c r="F72" i="1"/>
  <c r="E72" i="1"/>
  <c r="E76" i="1" s="1"/>
  <c r="D72" i="1"/>
  <c r="D76" i="1" s="1"/>
  <c r="C72" i="1"/>
  <c r="C76" i="1" s="1"/>
  <c r="DE71" i="1"/>
  <c r="DC71" i="1"/>
  <c r="CO71" i="1"/>
  <c r="DE70" i="1"/>
  <c r="DC70" i="1"/>
  <c r="CQ106" i="1" s="1"/>
  <c r="CQ273" i="1" s="1"/>
  <c r="CL70" i="1"/>
  <c r="CF70" i="1"/>
  <c r="BZ70" i="1"/>
  <c r="BT70" i="1"/>
  <c r="BN70" i="1"/>
  <c r="BH70" i="1"/>
  <c r="BB70" i="1"/>
  <c r="DE69" i="1"/>
  <c r="DC69" i="1"/>
  <c r="CP106" i="1" s="1"/>
  <c r="CP273" i="1" s="1"/>
  <c r="CY69" i="1"/>
  <c r="CX69" i="1"/>
  <c r="CW69" i="1"/>
  <c r="CL69" i="1"/>
  <c r="CF69" i="1"/>
  <c r="BZ69" i="1"/>
  <c r="BT69" i="1"/>
  <c r="BN69" i="1"/>
  <c r="BH69" i="1"/>
  <c r="BB69" i="1"/>
  <c r="AV69" i="1"/>
  <c r="AP69" i="1"/>
  <c r="AJ69" i="1"/>
  <c r="AD69" i="1"/>
  <c r="X69" i="1"/>
  <c r="R69" i="1"/>
  <c r="L69" i="1"/>
  <c r="CK68" i="1"/>
  <c r="CJ68" i="1"/>
  <c r="CI68" i="1"/>
  <c r="CH68" i="1"/>
  <c r="CG68" i="1"/>
  <c r="CE68" i="1"/>
  <c r="CD68" i="1"/>
  <c r="CC68" i="1"/>
  <c r="CB68" i="1"/>
  <c r="CA68" i="1"/>
  <c r="BY68" i="1"/>
  <c r="BX68" i="1"/>
  <c r="BW68" i="1"/>
  <c r="BV68" i="1"/>
  <c r="BU68" i="1"/>
  <c r="BS68" i="1"/>
  <c r="BR68" i="1"/>
  <c r="BQ68" i="1"/>
  <c r="BP68" i="1"/>
  <c r="BO68" i="1"/>
  <c r="BM68" i="1"/>
  <c r="BL68" i="1"/>
  <c r="BK68" i="1"/>
  <c r="BJ68" i="1"/>
  <c r="BI68" i="1"/>
  <c r="BG68" i="1"/>
  <c r="BF68" i="1"/>
  <c r="BE68" i="1"/>
  <c r="BD68" i="1"/>
  <c r="BC68" i="1"/>
  <c r="BA68" i="1"/>
  <c r="AZ68" i="1"/>
  <c r="AY68" i="1"/>
  <c r="AX68" i="1"/>
  <c r="AW68" i="1"/>
  <c r="AU68" i="1"/>
  <c r="AT68" i="1"/>
  <c r="AS68" i="1"/>
  <c r="AR68" i="1"/>
  <c r="AQ68" i="1"/>
  <c r="AO68" i="1"/>
  <c r="AN68" i="1"/>
  <c r="AM68" i="1"/>
  <c r="AL68" i="1"/>
  <c r="AK68" i="1"/>
  <c r="AI68" i="1"/>
  <c r="AH68" i="1"/>
  <c r="AG68" i="1"/>
  <c r="AF68" i="1"/>
  <c r="AE68" i="1"/>
  <c r="AC68" i="1"/>
  <c r="AB68" i="1"/>
  <c r="AA68" i="1"/>
  <c r="Z68" i="1"/>
  <c r="Y68" i="1"/>
  <c r="W68" i="1"/>
  <c r="V68" i="1"/>
  <c r="U68" i="1"/>
  <c r="T68" i="1"/>
  <c r="S68" i="1"/>
  <c r="Q68" i="1"/>
  <c r="P68" i="1"/>
  <c r="O68" i="1"/>
  <c r="I68" i="1"/>
  <c r="H68" i="1"/>
  <c r="G68" i="1"/>
  <c r="F68" i="1"/>
  <c r="E68" i="1"/>
  <c r="D68" i="1"/>
  <c r="CY67" i="1"/>
  <c r="CX67" i="1"/>
  <c r="CW67" i="1"/>
  <c r="CN67" i="1"/>
  <c r="CN68" i="1" s="1"/>
  <c r="CM67" i="1"/>
  <c r="CM68" i="1" s="1"/>
  <c r="CL67" i="1"/>
  <c r="CF67" i="1"/>
  <c r="BZ67" i="1"/>
  <c r="BT67" i="1"/>
  <c r="BN67" i="1"/>
  <c r="BH67" i="1"/>
  <c r="BB67" i="1"/>
  <c r="AV67" i="1"/>
  <c r="AP67" i="1"/>
  <c r="AJ67" i="1"/>
  <c r="AD67" i="1"/>
  <c r="X67" i="1"/>
  <c r="R67" i="1"/>
  <c r="L67" i="1"/>
  <c r="DE66" i="1"/>
  <c r="DC66" i="1"/>
  <c r="CS76" i="1" s="1"/>
  <c r="DE65" i="1"/>
  <c r="DC65" i="1"/>
  <c r="DE64" i="1"/>
  <c r="DC64" i="1"/>
  <c r="CQ76" i="1" s="1"/>
  <c r="CI64" i="1"/>
  <c r="CC64" i="1"/>
  <c r="BW64" i="1"/>
  <c r="BQ64" i="1"/>
  <c r="BK64" i="1"/>
  <c r="BE64" i="1"/>
  <c r="AY64" i="1"/>
  <c r="AS64" i="1"/>
  <c r="AM64" i="1"/>
  <c r="AG64" i="1"/>
  <c r="AA64" i="1"/>
  <c r="U64" i="1"/>
  <c r="O64" i="1"/>
  <c r="I64" i="1"/>
  <c r="H64" i="1"/>
  <c r="G64" i="1"/>
  <c r="F64" i="1"/>
  <c r="E64" i="1"/>
  <c r="D64" i="1"/>
  <c r="C64" i="1"/>
  <c r="DE63" i="1"/>
  <c r="CP76" i="1" s="1"/>
  <c r="DC63" i="1"/>
  <c r="DE60" i="1"/>
  <c r="DC60" i="1"/>
  <c r="DE59" i="1"/>
  <c r="DC59" i="1"/>
  <c r="DE58" i="1"/>
  <c r="DC58" i="1"/>
  <c r="CQ57" i="1" s="1"/>
  <c r="CK58" i="1"/>
  <c r="CJ58" i="1"/>
  <c r="CI58" i="1"/>
  <c r="CH58" i="1"/>
  <c r="CG58" i="1"/>
  <c r="CE58" i="1"/>
  <c r="CD58" i="1"/>
  <c r="CC58" i="1"/>
  <c r="CB58" i="1"/>
  <c r="CA58" i="1"/>
  <c r="BY58" i="1"/>
  <c r="BX58" i="1"/>
  <c r="BW58" i="1"/>
  <c r="BV58" i="1"/>
  <c r="BU58" i="1"/>
  <c r="BS58" i="1"/>
  <c r="BR58" i="1"/>
  <c r="BQ58" i="1"/>
  <c r="BP58" i="1"/>
  <c r="BO58" i="1"/>
  <c r="BM58" i="1"/>
  <c r="BL58" i="1"/>
  <c r="BK58" i="1"/>
  <c r="BJ58" i="1"/>
  <c r="BI58" i="1"/>
  <c r="BG58" i="1"/>
  <c r="BF58" i="1"/>
  <c r="BE58" i="1"/>
  <c r="BD58" i="1"/>
  <c r="BC58" i="1"/>
  <c r="BA58" i="1"/>
  <c r="AZ58" i="1"/>
  <c r="AY58" i="1"/>
  <c r="AX58" i="1"/>
  <c r="AW58" i="1"/>
  <c r="AU58" i="1"/>
  <c r="AT58" i="1"/>
  <c r="AS58" i="1"/>
  <c r="AR58" i="1"/>
  <c r="AQ58" i="1"/>
  <c r="AO58" i="1"/>
  <c r="AN58" i="1"/>
  <c r="AM58" i="1"/>
  <c r="AL58" i="1"/>
  <c r="AK58" i="1"/>
  <c r="AI58" i="1"/>
  <c r="AH58" i="1"/>
  <c r="AG58" i="1"/>
  <c r="AF58" i="1"/>
  <c r="AE58" i="1"/>
  <c r="AC58" i="1"/>
  <c r="AB58" i="1"/>
  <c r="AA58" i="1"/>
  <c r="Z58" i="1"/>
  <c r="Y58" i="1"/>
  <c r="W58" i="1"/>
  <c r="V58" i="1"/>
  <c r="U58" i="1"/>
  <c r="T58" i="1"/>
  <c r="S58" i="1"/>
  <c r="Q58" i="1"/>
  <c r="P58" i="1"/>
  <c r="O58" i="1"/>
  <c r="I58" i="1"/>
  <c r="H58" i="1"/>
  <c r="G58" i="1"/>
  <c r="F58" i="1"/>
  <c r="E58" i="1"/>
  <c r="D58" i="1"/>
  <c r="DE57" i="1"/>
  <c r="DC57" i="1"/>
  <c r="CS57" i="1"/>
  <c r="CK56" i="1"/>
  <c r="CJ56" i="1"/>
  <c r="CI56" i="1"/>
  <c r="CH56" i="1"/>
  <c r="CG56" i="1"/>
  <c r="CE56" i="1"/>
  <c r="CD56" i="1"/>
  <c r="CC56" i="1"/>
  <c r="CB56" i="1"/>
  <c r="CA56" i="1"/>
  <c r="BY56" i="1"/>
  <c r="BX56" i="1"/>
  <c r="BW56" i="1"/>
  <c r="BV56" i="1"/>
  <c r="BU56" i="1"/>
  <c r="BS56" i="1"/>
  <c r="BR56" i="1"/>
  <c r="BQ56" i="1"/>
  <c r="BP56" i="1"/>
  <c r="BO56" i="1"/>
  <c r="BM56" i="1"/>
  <c r="BL56" i="1"/>
  <c r="BK56" i="1"/>
  <c r="BJ56" i="1"/>
  <c r="BI56" i="1"/>
  <c r="BG56" i="1"/>
  <c r="BF56" i="1"/>
  <c r="BE56" i="1"/>
  <c r="BD56" i="1"/>
  <c r="BC56" i="1"/>
  <c r="BA56" i="1"/>
  <c r="AZ56" i="1"/>
  <c r="AY56" i="1"/>
  <c r="AX56" i="1"/>
  <c r="AW56" i="1"/>
  <c r="AU56" i="1"/>
  <c r="AT56" i="1"/>
  <c r="AS56" i="1"/>
  <c r="AR56" i="1"/>
  <c r="AQ56" i="1"/>
  <c r="AO56" i="1"/>
  <c r="AN56" i="1"/>
  <c r="AM56" i="1"/>
  <c r="AL56" i="1"/>
  <c r="AK56" i="1"/>
  <c r="AI56" i="1"/>
  <c r="AH56" i="1"/>
  <c r="AG56" i="1"/>
  <c r="AF56" i="1"/>
  <c r="AE56" i="1"/>
  <c r="AC56" i="1"/>
  <c r="AB56" i="1"/>
  <c r="AA56" i="1"/>
  <c r="Z56" i="1"/>
  <c r="Y56" i="1"/>
  <c r="W56" i="1"/>
  <c r="V56" i="1"/>
  <c r="U56" i="1"/>
  <c r="T56" i="1"/>
  <c r="S56" i="1"/>
  <c r="Q56" i="1"/>
  <c r="P56" i="1"/>
  <c r="O56" i="1"/>
  <c r="N56" i="1"/>
  <c r="M56" i="1"/>
  <c r="K56" i="1"/>
  <c r="J56" i="1"/>
  <c r="I56" i="1"/>
  <c r="H56" i="1"/>
  <c r="G56" i="1"/>
  <c r="F56" i="1"/>
  <c r="E56" i="1"/>
  <c r="D56" i="1"/>
  <c r="C56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DE54" i="1"/>
  <c r="DC54" i="1"/>
  <c r="CL54" i="1"/>
  <c r="CF54" i="1"/>
  <c r="BZ54" i="1"/>
  <c r="BT54" i="1"/>
  <c r="BN54" i="1"/>
  <c r="BH54" i="1"/>
  <c r="BB54" i="1"/>
  <c r="DE53" i="1"/>
  <c r="DC53" i="1"/>
  <c r="CK53" i="1"/>
  <c r="CK57" i="1" s="1"/>
  <c r="CJ53" i="1"/>
  <c r="CJ57" i="1" s="1"/>
  <c r="CI53" i="1"/>
  <c r="CI57" i="1" s="1"/>
  <c r="CH53" i="1"/>
  <c r="CH57" i="1" s="1"/>
  <c r="CG53" i="1"/>
  <c r="CG57" i="1" s="1"/>
  <c r="CE53" i="1"/>
  <c r="CD53" i="1"/>
  <c r="CD57" i="1" s="1"/>
  <c r="CC53" i="1"/>
  <c r="CC57" i="1" s="1"/>
  <c r="CB53" i="1"/>
  <c r="CB57" i="1" s="1"/>
  <c r="CA53" i="1"/>
  <c r="CA55" i="1" s="1"/>
  <c r="BY53" i="1"/>
  <c r="BY57" i="1" s="1"/>
  <c r="BX53" i="1"/>
  <c r="BW53" i="1"/>
  <c r="BV53" i="1"/>
  <c r="BV57" i="1" s="1"/>
  <c r="BU53" i="1"/>
  <c r="BU57" i="1" s="1"/>
  <c r="BS53" i="1"/>
  <c r="BR53" i="1"/>
  <c r="BR57" i="1" s="1"/>
  <c r="BQ53" i="1"/>
  <c r="BQ57" i="1" s="1"/>
  <c r="BP53" i="1"/>
  <c r="BO53" i="1"/>
  <c r="BM53" i="1"/>
  <c r="BM57" i="1" s="1"/>
  <c r="BL53" i="1"/>
  <c r="BL57" i="1" s="1"/>
  <c r="BK53" i="1"/>
  <c r="BK55" i="1" s="1"/>
  <c r="BJ53" i="1"/>
  <c r="BJ57" i="1" s="1"/>
  <c r="BI53" i="1"/>
  <c r="BI57" i="1" s="1"/>
  <c r="BG53" i="1"/>
  <c r="BF53" i="1"/>
  <c r="BF57" i="1" s="1"/>
  <c r="BE53" i="1"/>
  <c r="BE57" i="1" s="1"/>
  <c r="BD53" i="1"/>
  <c r="BD57" i="1" s="1"/>
  <c r="BC53" i="1"/>
  <c r="BC57" i="1" s="1"/>
  <c r="BA53" i="1"/>
  <c r="BA57" i="1" s="1"/>
  <c r="AZ53" i="1"/>
  <c r="AZ57" i="1" s="1"/>
  <c r="AY53" i="1"/>
  <c r="AX53" i="1"/>
  <c r="AX57" i="1" s="1"/>
  <c r="AW53" i="1"/>
  <c r="AW57" i="1" s="1"/>
  <c r="AV53" i="1"/>
  <c r="AU53" i="1"/>
  <c r="AU57" i="1" s="1"/>
  <c r="AT53" i="1"/>
  <c r="AT57" i="1" s="1"/>
  <c r="AS53" i="1"/>
  <c r="AS57" i="1" s="1"/>
  <c r="AR53" i="1"/>
  <c r="AR57" i="1" s="1"/>
  <c r="AQ53" i="1"/>
  <c r="AP53" i="1"/>
  <c r="AO53" i="1"/>
  <c r="AO57" i="1" s="1"/>
  <c r="AN53" i="1"/>
  <c r="AN57" i="1" s="1"/>
  <c r="AM53" i="1"/>
  <c r="AM57" i="1" s="1"/>
  <c r="AL53" i="1"/>
  <c r="AL57" i="1" s="1"/>
  <c r="AK53" i="1"/>
  <c r="AK57" i="1" s="1"/>
  <c r="AJ53" i="1"/>
  <c r="AI53" i="1"/>
  <c r="AH53" i="1"/>
  <c r="AH57" i="1" s="1"/>
  <c r="AG53" i="1"/>
  <c r="AG57" i="1" s="1"/>
  <c r="AF53" i="1"/>
  <c r="AF57" i="1" s="1"/>
  <c r="AE53" i="1"/>
  <c r="AE57" i="1" s="1"/>
  <c r="AD53" i="1"/>
  <c r="AC53" i="1"/>
  <c r="AC57" i="1" s="1"/>
  <c r="AB53" i="1"/>
  <c r="AB57" i="1" s="1"/>
  <c r="AA53" i="1"/>
  <c r="Z53" i="1"/>
  <c r="Z57" i="1" s="1"/>
  <c r="Y53" i="1"/>
  <c r="Y57" i="1" s="1"/>
  <c r="X53" i="1"/>
  <c r="W53" i="1"/>
  <c r="W57" i="1" s="1"/>
  <c r="V53" i="1"/>
  <c r="V57" i="1" s="1"/>
  <c r="U53" i="1"/>
  <c r="U57" i="1" s="1"/>
  <c r="T53" i="1"/>
  <c r="T57" i="1" s="1"/>
  <c r="S53" i="1"/>
  <c r="R53" i="1"/>
  <c r="Q53" i="1"/>
  <c r="Q57" i="1" s="1"/>
  <c r="P53" i="1"/>
  <c r="P57" i="1" s="1"/>
  <c r="O53" i="1"/>
  <c r="O57" i="1" s="1"/>
  <c r="N53" i="1"/>
  <c r="N57" i="1" s="1"/>
  <c r="M53" i="1"/>
  <c r="M57" i="1" s="1"/>
  <c r="L53" i="1"/>
  <c r="K53" i="1"/>
  <c r="K57" i="1" s="1"/>
  <c r="J53" i="1"/>
  <c r="J57" i="1" s="1"/>
  <c r="I53" i="1"/>
  <c r="I57" i="1" s="1"/>
  <c r="H53" i="1"/>
  <c r="G53" i="1"/>
  <c r="F53" i="1"/>
  <c r="E53" i="1"/>
  <c r="D53" i="1"/>
  <c r="C53" i="1"/>
  <c r="C57" i="1" s="1"/>
  <c r="DE52" i="1"/>
  <c r="DC52" i="1"/>
  <c r="CO52" i="1"/>
  <c r="CF52" i="1"/>
  <c r="DE51" i="1"/>
  <c r="DC51" i="1"/>
  <c r="CL51" i="1"/>
  <c r="CF51" i="1"/>
  <c r="BZ51" i="1"/>
  <c r="BT51" i="1"/>
  <c r="BN51" i="1"/>
  <c r="BH51" i="1"/>
  <c r="BB51" i="1"/>
  <c r="CY50" i="1"/>
  <c r="CX50" i="1"/>
  <c r="CW50" i="1"/>
  <c r="CL50" i="1"/>
  <c r="CF50" i="1"/>
  <c r="BZ50" i="1"/>
  <c r="BT50" i="1"/>
  <c r="BN50" i="1"/>
  <c r="BH50" i="1"/>
  <c r="BB50" i="1"/>
  <c r="AV50" i="1"/>
  <c r="AP50" i="1"/>
  <c r="AJ50" i="1"/>
  <c r="AD50" i="1"/>
  <c r="X50" i="1"/>
  <c r="R50" i="1"/>
  <c r="L50" i="1"/>
  <c r="CK49" i="1"/>
  <c r="CJ49" i="1"/>
  <c r="CI49" i="1"/>
  <c r="CH49" i="1"/>
  <c r="CG49" i="1"/>
  <c r="CE49" i="1"/>
  <c r="CD49" i="1"/>
  <c r="CC49" i="1"/>
  <c r="CB49" i="1"/>
  <c r="CA49" i="1"/>
  <c r="BY49" i="1"/>
  <c r="BX49" i="1"/>
  <c r="BW49" i="1"/>
  <c r="BV49" i="1"/>
  <c r="BU49" i="1"/>
  <c r="BS49" i="1"/>
  <c r="BR49" i="1"/>
  <c r="BQ49" i="1"/>
  <c r="BP49" i="1"/>
  <c r="BO49" i="1"/>
  <c r="BM49" i="1"/>
  <c r="BL49" i="1"/>
  <c r="BK49" i="1"/>
  <c r="BJ49" i="1"/>
  <c r="BI49" i="1"/>
  <c r="BG49" i="1"/>
  <c r="BF49" i="1"/>
  <c r="BE49" i="1"/>
  <c r="BD49" i="1"/>
  <c r="BC49" i="1"/>
  <c r="BA49" i="1"/>
  <c r="AZ49" i="1"/>
  <c r="AY49" i="1"/>
  <c r="AX49" i="1"/>
  <c r="AW49" i="1"/>
  <c r="AU49" i="1"/>
  <c r="AT49" i="1"/>
  <c r="AS49" i="1"/>
  <c r="AR49" i="1"/>
  <c r="AQ49" i="1"/>
  <c r="AO49" i="1"/>
  <c r="AN49" i="1"/>
  <c r="AM49" i="1"/>
  <c r="AL49" i="1"/>
  <c r="AK49" i="1"/>
  <c r="AI49" i="1"/>
  <c r="AH49" i="1"/>
  <c r="AG49" i="1"/>
  <c r="AF49" i="1"/>
  <c r="AE49" i="1"/>
  <c r="AC49" i="1"/>
  <c r="AB49" i="1"/>
  <c r="AA49" i="1"/>
  <c r="Z49" i="1"/>
  <c r="Y49" i="1"/>
  <c r="W49" i="1"/>
  <c r="V49" i="1"/>
  <c r="U49" i="1"/>
  <c r="T49" i="1"/>
  <c r="S49" i="1"/>
  <c r="Q49" i="1"/>
  <c r="P49" i="1"/>
  <c r="O49" i="1"/>
  <c r="I49" i="1"/>
  <c r="H49" i="1"/>
  <c r="G49" i="1"/>
  <c r="F49" i="1"/>
  <c r="E49" i="1"/>
  <c r="D49" i="1"/>
  <c r="DE48" i="1"/>
  <c r="DC48" i="1"/>
  <c r="CY48" i="1"/>
  <c r="CX48" i="1"/>
  <c r="CW48" i="1"/>
  <c r="CN48" i="1"/>
  <c r="CM48" i="1"/>
  <c r="CL48" i="1"/>
  <c r="CF48" i="1"/>
  <c r="BZ48" i="1"/>
  <c r="BT48" i="1"/>
  <c r="BN48" i="1"/>
  <c r="BH48" i="1"/>
  <c r="BB48" i="1"/>
  <c r="AV48" i="1"/>
  <c r="AP48" i="1"/>
  <c r="AJ48" i="1"/>
  <c r="AD48" i="1"/>
  <c r="X48" i="1"/>
  <c r="R48" i="1"/>
  <c r="L48" i="1"/>
  <c r="DE47" i="1"/>
  <c r="DC47" i="1"/>
  <c r="DE46" i="1"/>
  <c r="DC46" i="1"/>
  <c r="DE45" i="1"/>
  <c r="DC45" i="1"/>
  <c r="CP20" i="1" s="1"/>
  <c r="CI45" i="1"/>
  <c r="CC45" i="1"/>
  <c r="BW45" i="1"/>
  <c r="BQ45" i="1"/>
  <c r="BK45" i="1"/>
  <c r="BE45" i="1"/>
  <c r="AY45" i="1"/>
  <c r="AS45" i="1"/>
  <c r="AM45" i="1"/>
  <c r="AG45" i="1"/>
  <c r="AA45" i="1"/>
  <c r="U45" i="1"/>
  <c r="O45" i="1"/>
  <c r="I45" i="1"/>
  <c r="H45" i="1"/>
  <c r="G45" i="1"/>
  <c r="F45" i="1"/>
  <c r="E45" i="1"/>
  <c r="D45" i="1"/>
  <c r="C45" i="1"/>
  <c r="DE42" i="1"/>
  <c r="DC42" i="1"/>
  <c r="CL42" i="1"/>
  <c r="CF42" i="1"/>
  <c r="BZ42" i="1"/>
  <c r="BT42" i="1"/>
  <c r="BN42" i="1"/>
  <c r="BH42" i="1"/>
  <c r="AD42" i="1"/>
  <c r="X42" i="1"/>
  <c r="R42" i="1"/>
  <c r="L42" i="1"/>
  <c r="DE41" i="1"/>
  <c r="DC41" i="1"/>
  <c r="CL41" i="1"/>
  <c r="CF41" i="1"/>
  <c r="BZ41" i="1"/>
  <c r="BT41" i="1"/>
  <c r="BN41" i="1"/>
  <c r="BH41" i="1"/>
  <c r="AD41" i="1"/>
  <c r="X41" i="1"/>
  <c r="R41" i="1"/>
  <c r="L41" i="1"/>
  <c r="DE40" i="1"/>
  <c r="DC40" i="1"/>
  <c r="CL40" i="1"/>
  <c r="CF40" i="1"/>
  <c r="BZ40" i="1"/>
  <c r="BT40" i="1"/>
  <c r="BN40" i="1"/>
  <c r="BH40" i="1"/>
  <c r="AD40" i="1"/>
  <c r="X40" i="1"/>
  <c r="R40" i="1"/>
  <c r="L40" i="1"/>
  <c r="DE39" i="1"/>
  <c r="DC39" i="1"/>
  <c r="CK38" i="1"/>
  <c r="CJ38" i="1"/>
  <c r="CI38" i="1"/>
  <c r="CH38" i="1"/>
  <c r="CG38" i="1"/>
  <c r="CE38" i="1"/>
  <c r="CD38" i="1"/>
  <c r="CC38" i="1"/>
  <c r="CB38" i="1"/>
  <c r="CA38" i="1"/>
  <c r="BY38" i="1"/>
  <c r="BX38" i="1"/>
  <c r="BW38" i="1"/>
  <c r="BV38" i="1"/>
  <c r="BU38" i="1"/>
  <c r="BS38" i="1"/>
  <c r="BR38" i="1"/>
  <c r="BQ38" i="1"/>
  <c r="BP38" i="1"/>
  <c r="BO38" i="1"/>
  <c r="BM38" i="1"/>
  <c r="BL38" i="1"/>
  <c r="BK38" i="1"/>
  <c r="BJ38" i="1"/>
  <c r="BI38" i="1"/>
  <c r="BG38" i="1"/>
  <c r="BF38" i="1"/>
  <c r="BE38" i="1"/>
  <c r="BD38" i="1"/>
  <c r="BC38" i="1"/>
  <c r="BA38" i="1"/>
  <c r="AZ38" i="1"/>
  <c r="AY38" i="1"/>
  <c r="AX38" i="1"/>
  <c r="AW38" i="1"/>
  <c r="AU38" i="1"/>
  <c r="AT38" i="1"/>
  <c r="AS38" i="1"/>
  <c r="AR38" i="1"/>
  <c r="AQ38" i="1"/>
  <c r="AO38" i="1"/>
  <c r="AN38" i="1"/>
  <c r="AM38" i="1"/>
  <c r="AL38" i="1"/>
  <c r="AK38" i="1"/>
  <c r="AI38" i="1"/>
  <c r="AH38" i="1"/>
  <c r="AG38" i="1"/>
  <c r="AF38" i="1"/>
  <c r="AE38" i="1"/>
  <c r="AC38" i="1"/>
  <c r="AB38" i="1"/>
  <c r="AA38" i="1"/>
  <c r="Z38" i="1"/>
  <c r="Y38" i="1"/>
  <c r="W38" i="1"/>
  <c r="V38" i="1"/>
  <c r="U38" i="1"/>
  <c r="T38" i="1"/>
  <c r="S38" i="1"/>
  <c r="Q38" i="1"/>
  <c r="P38" i="1"/>
  <c r="O38" i="1"/>
  <c r="I38" i="1"/>
  <c r="H38" i="1"/>
  <c r="G38" i="1"/>
  <c r="F38" i="1"/>
  <c r="E38" i="1"/>
  <c r="D38" i="1"/>
  <c r="CR37" i="1"/>
  <c r="DE36" i="1"/>
  <c r="DC36" i="1"/>
  <c r="CS49" i="1" s="1"/>
  <c r="CK36" i="1"/>
  <c r="CJ36" i="1"/>
  <c r="CI36" i="1"/>
  <c r="CH36" i="1"/>
  <c r="CG36" i="1"/>
  <c r="CE36" i="1"/>
  <c r="CD36" i="1"/>
  <c r="CC36" i="1"/>
  <c r="CB36" i="1"/>
  <c r="CA36" i="1"/>
  <c r="BY36" i="1"/>
  <c r="BX36" i="1"/>
  <c r="BW36" i="1"/>
  <c r="BV36" i="1"/>
  <c r="BU36" i="1"/>
  <c r="BS36" i="1"/>
  <c r="BR36" i="1"/>
  <c r="BQ36" i="1"/>
  <c r="BP36" i="1"/>
  <c r="BO36" i="1"/>
  <c r="BM36" i="1"/>
  <c r="BL36" i="1"/>
  <c r="BK36" i="1"/>
  <c r="BJ36" i="1"/>
  <c r="BI36" i="1"/>
  <c r="BG36" i="1"/>
  <c r="BF36" i="1"/>
  <c r="BE36" i="1"/>
  <c r="BD36" i="1"/>
  <c r="BC36" i="1"/>
  <c r="BA36" i="1"/>
  <c r="AZ36" i="1"/>
  <c r="AY36" i="1"/>
  <c r="AX36" i="1"/>
  <c r="AW36" i="1"/>
  <c r="AU36" i="1"/>
  <c r="AT36" i="1"/>
  <c r="AS36" i="1"/>
  <c r="AR36" i="1"/>
  <c r="AQ36" i="1"/>
  <c r="AO36" i="1"/>
  <c r="AN36" i="1"/>
  <c r="AM36" i="1"/>
  <c r="AL36" i="1"/>
  <c r="AK36" i="1"/>
  <c r="AI36" i="1"/>
  <c r="AH36" i="1"/>
  <c r="AG36" i="1"/>
  <c r="AF36" i="1"/>
  <c r="AE36" i="1"/>
  <c r="AC36" i="1"/>
  <c r="AB36" i="1"/>
  <c r="AA36" i="1"/>
  <c r="Z36" i="1"/>
  <c r="Y36" i="1"/>
  <c r="W36" i="1"/>
  <c r="V36" i="1"/>
  <c r="U36" i="1"/>
  <c r="T36" i="1"/>
  <c r="S36" i="1"/>
  <c r="Q36" i="1"/>
  <c r="P36" i="1"/>
  <c r="O36" i="1"/>
  <c r="N36" i="1"/>
  <c r="M36" i="1"/>
  <c r="K36" i="1"/>
  <c r="J36" i="1"/>
  <c r="I36" i="1"/>
  <c r="H36" i="1"/>
  <c r="G36" i="1"/>
  <c r="F36" i="1"/>
  <c r="E36" i="1"/>
  <c r="D36" i="1"/>
  <c r="C36" i="1"/>
  <c r="DE35" i="1"/>
  <c r="CR49" i="1" s="1"/>
  <c r="DC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E34" i="1"/>
  <c r="DC34" i="1"/>
  <c r="CQ49" i="1" s="1"/>
  <c r="CL34" i="1"/>
  <c r="CF34" i="1"/>
  <c r="BZ34" i="1"/>
  <c r="BT34" i="1"/>
  <c r="BN34" i="1"/>
  <c r="BH34" i="1"/>
  <c r="BB34" i="1"/>
  <c r="DE33" i="1"/>
  <c r="DC33" i="1"/>
  <c r="CP49" i="1" s="1"/>
  <c r="CK33" i="1"/>
  <c r="CJ33" i="1"/>
  <c r="CJ37" i="1" s="1"/>
  <c r="CI33" i="1"/>
  <c r="CH33" i="1"/>
  <c r="CG33" i="1"/>
  <c r="CE33" i="1"/>
  <c r="CE37" i="1" s="1"/>
  <c r="CD33" i="1"/>
  <c r="CC33" i="1"/>
  <c r="CB33" i="1"/>
  <c r="CA33" i="1"/>
  <c r="BY33" i="1"/>
  <c r="BX33" i="1"/>
  <c r="BX37" i="1" s="1"/>
  <c r="BW33" i="1"/>
  <c r="BW37" i="1" s="1"/>
  <c r="BV33" i="1"/>
  <c r="BV37" i="1" s="1"/>
  <c r="BU33" i="1"/>
  <c r="BS33" i="1"/>
  <c r="BS35" i="1" s="1"/>
  <c r="BR33" i="1"/>
  <c r="BR35" i="1" s="1"/>
  <c r="BQ33" i="1"/>
  <c r="BP33" i="1"/>
  <c r="BO33" i="1"/>
  <c r="BM33" i="1"/>
  <c r="BL33" i="1"/>
  <c r="BK33" i="1"/>
  <c r="BJ33" i="1"/>
  <c r="BI33" i="1"/>
  <c r="BG33" i="1"/>
  <c r="BF33" i="1"/>
  <c r="BE33" i="1"/>
  <c r="BD33" i="1"/>
  <c r="BC33" i="1"/>
  <c r="BC35" i="1" s="1"/>
  <c r="BA33" i="1"/>
  <c r="AZ33" i="1"/>
  <c r="AY33" i="1"/>
  <c r="AX33" i="1"/>
  <c r="AX37" i="1" s="1"/>
  <c r="AW33" i="1"/>
  <c r="AV33" i="1"/>
  <c r="AU33" i="1"/>
  <c r="AT33" i="1"/>
  <c r="AT37" i="1" s="1"/>
  <c r="AS33" i="1"/>
  <c r="AR33" i="1"/>
  <c r="AQ33" i="1"/>
  <c r="AP33" i="1"/>
  <c r="AO33" i="1"/>
  <c r="AN33" i="1"/>
  <c r="AN37" i="1" s="1"/>
  <c r="AM33" i="1"/>
  <c r="AL33" i="1"/>
  <c r="AK33" i="1"/>
  <c r="AJ33" i="1"/>
  <c r="AI33" i="1"/>
  <c r="AH33" i="1"/>
  <c r="AH37" i="1" s="1"/>
  <c r="AG33" i="1"/>
  <c r="AF33" i="1"/>
  <c r="AE33" i="1"/>
  <c r="AD33" i="1"/>
  <c r="AC33" i="1"/>
  <c r="AB33" i="1"/>
  <c r="AA33" i="1"/>
  <c r="Z33" i="1"/>
  <c r="Z37" i="1" s="1"/>
  <c r="Y33" i="1"/>
  <c r="X33" i="1"/>
  <c r="W33" i="1"/>
  <c r="V33" i="1"/>
  <c r="U33" i="1"/>
  <c r="T33" i="1"/>
  <c r="S33" i="1"/>
  <c r="R33" i="1"/>
  <c r="Q33" i="1"/>
  <c r="P33" i="1"/>
  <c r="P37" i="1" s="1"/>
  <c r="O33" i="1"/>
  <c r="N33" i="1"/>
  <c r="N37" i="1" s="1"/>
  <c r="M33" i="1"/>
  <c r="M37" i="1" s="1"/>
  <c r="L33" i="1"/>
  <c r="K33" i="1"/>
  <c r="K37" i="1" s="1"/>
  <c r="J33" i="1"/>
  <c r="J37" i="1" s="1"/>
  <c r="I33" i="1"/>
  <c r="I37" i="1" s="1"/>
  <c r="H33" i="1"/>
  <c r="G33" i="1"/>
  <c r="F33" i="1"/>
  <c r="E33" i="1"/>
  <c r="E37" i="1" s="1"/>
  <c r="D33" i="1"/>
  <c r="C33" i="1"/>
  <c r="C37" i="1" s="1"/>
  <c r="CO32" i="1"/>
  <c r="CL31" i="1"/>
  <c r="CF31" i="1"/>
  <c r="BZ31" i="1"/>
  <c r="BT31" i="1"/>
  <c r="BN31" i="1"/>
  <c r="BH31" i="1"/>
  <c r="BB31" i="1"/>
  <c r="DE30" i="1"/>
  <c r="DC30" i="1"/>
  <c r="CY30" i="1"/>
  <c r="CX30" i="1"/>
  <c r="CW30" i="1"/>
  <c r="CL30" i="1"/>
  <c r="CF30" i="1"/>
  <c r="BZ30" i="1"/>
  <c r="BT30" i="1"/>
  <c r="BN30" i="1"/>
  <c r="BH30" i="1"/>
  <c r="BB30" i="1"/>
  <c r="AV30" i="1"/>
  <c r="AP30" i="1"/>
  <c r="AJ30" i="1"/>
  <c r="AD30" i="1"/>
  <c r="X30" i="1"/>
  <c r="R30" i="1"/>
  <c r="L30" i="1"/>
  <c r="DE29" i="1"/>
  <c r="DC29" i="1"/>
  <c r="CR29" i="1" s="1"/>
  <c r="CS29" i="1"/>
  <c r="CK29" i="1"/>
  <c r="CJ29" i="1"/>
  <c r="CI29" i="1"/>
  <c r="CH29" i="1"/>
  <c r="CG29" i="1"/>
  <c r="CE29" i="1"/>
  <c r="CD29" i="1"/>
  <c r="CC29" i="1"/>
  <c r="CB29" i="1"/>
  <c r="CA29" i="1"/>
  <c r="BY29" i="1"/>
  <c r="BX29" i="1"/>
  <c r="BW29" i="1"/>
  <c r="BV29" i="1"/>
  <c r="BU29" i="1"/>
  <c r="BS29" i="1"/>
  <c r="BR29" i="1"/>
  <c r="BQ29" i="1"/>
  <c r="BP29" i="1"/>
  <c r="BO29" i="1"/>
  <c r="BM29" i="1"/>
  <c r="BL29" i="1"/>
  <c r="BK29" i="1"/>
  <c r="BJ29" i="1"/>
  <c r="BI29" i="1"/>
  <c r="BG29" i="1"/>
  <c r="BF29" i="1"/>
  <c r="BE29" i="1"/>
  <c r="BD29" i="1"/>
  <c r="BC29" i="1"/>
  <c r="BA29" i="1"/>
  <c r="AZ29" i="1"/>
  <c r="AY29" i="1"/>
  <c r="AX29" i="1"/>
  <c r="AW29" i="1"/>
  <c r="AU29" i="1"/>
  <c r="AT29" i="1"/>
  <c r="AS29" i="1"/>
  <c r="AR29" i="1"/>
  <c r="AQ29" i="1"/>
  <c r="AO29" i="1"/>
  <c r="AN29" i="1"/>
  <c r="AM29" i="1"/>
  <c r="AL29" i="1"/>
  <c r="AK29" i="1"/>
  <c r="AI29" i="1"/>
  <c r="AH29" i="1"/>
  <c r="AG29" i="1"/>
  <c r="AF29" i="1"/>
  <c r="AE29" i="1"/>
  <c r="AC29" i="1"/>
  <c r="AB29" i="1"/>
  <c r="AA29" i="1"/>
  <c r="Z29" i="1"/>
  <c r="Y29" i="1"/>
  <c r="W29" i="1"/>
  <c r="V29" i="1"/>
  <c r="U29" i="1"/>
  <c r="T29" i="1"/>
  <c r="S29" i="1"/>
  <c r="Q29" i="1"/>
  <c r="P29" i="1"/>
  <c r="O29" i="1"/>
  <c r="I29" i="1"/>
  <c r="H29" i="1"/>
  <c r="G29" i="1"/>
  <c r="F29" i="1"/>
  <c r="E29" i="1"/>
  <c r="D29" i="1"/>
  <c r="DE28" i="1"/>
  <c r="DC28" i="1"/>
  <c r="CQ29" i="1" s="1"/>
  <c r="CY28" i="1"/>
  <c r="CX28" i="1"/>
  <c r="CW28" i="1"/>
  <c r="CN28" i="1"/>
  <c r="CN29" i="1" s="1"/>
  <c r="CM28" i="1"/>
  <c r="CM29" i="1" s="1"/>
  <c r="CL28" i="1"/>
  <c r="CF28" i="1"/>
  <c r="BZ28" i="1"/>
  <c r="BT28" i="1"/>
  <c r="BN28" i="1"/>
  <c r="BH28" i="1"/>
  <c r="BB28" i="1"/>
  <c r="AV28" i="1"/>
  <c r="AP28" i="1"/>
  <c r="AJ28" i="1"/>
  <c r="AD28" i="1"/>
  <c r="X28" i="1"/>
  <c r="R28" i="1"/>
  <c r="L28" i="1"/>
  <c r="DE27" i="1"/>
  <c r="DC27" i="1"/>
  <c r="CP29" i="1" s="1"/>
  <c r="CI25" i="1"/>
  <c r="CC25" i="1"/>
  <c r="BW25" i="1"/>
  <c r="BQ25" i="1"/>
  <c r="BK25" i="1"/>
  <c r="BE25" i="1"/>
  <c r="AY25" i="1"/>
  <c r="AS25" i="1"/>
  <c r="AM25" i="1"/>
  <c r="AG25" i="1"/>
  <c r="AA25" i="1"/>
  <c r="U25" i="1"/>
  <c r="O25" i="1"/>
  <c r="I25" i="1"/>
  <c r="H25" i="1"/>
  <c r="G25" i="1"/>
  <c r="F25" i="1"/>
  <c r="E25" i="1"/>
  <c r="D25" i="1"/>
  <c r="C25" i="1"/>
  <c r="DE24" i="1"/>
  <c r="DC24" i="1"/>
  <c r="DE23" i="1"/>
  <c r="DC23" i="1"/>
  <c r="DE22" i="1"/>
  <c r="DC22" i="1"/>
  <c r="DE21" i="1"/>
  <c r="DC21" i="1"/>
  <c r="CK21" i="1"/>
  <c r="CJ21" i="1"/>
  <c r="CI21" i="1"/>
  <c r="CH21" i="1"/>
  <c r="CG21" i="1"/>
  <c r="CE21" i="1"/>
  <c r="CD21" i="1"/>
  <c r="CC21" i="1"/>
  <c r="CB21" i="1"/>
  <c r="CA21" i="1"/>
  <c r="BY21" i="1"/>
  <c r="BX21" i="1"/>
  <c r="BW21" i="1"/>
  <c r="BV21" i="1"/>
  <c r="BU21" i="1"/>
  <c r="BS21" i="1"/>
  <c r="BR21" i="1"/>
  <c r="BQ21" i="1"/>
  <c r="BP21" i="1"/>
  <c r="BO21" i="1"/>
  <c r="BM21" i="1"/>
  <c r="BL21" i="1"/>
  <c r="BK21" i="1"/>
  <c r="BJ21" i="1"/>
  <c r="BI21" i="1"/>
  <c r="BG21" i="1"/>
  <c r="BF21" i="1"/>
  <c r="BE21" i="1"/>
  <c r="BD21" i="1"/>
  <c r="BC21" i="1"/>
  <c r="BA21" i="1"/>
  <c r="AZ21" i="1"/>
  <c r="AY21" i="1"/>
  <c r="AX21" i="1"/>
  <c r="AW21" i="1"/>
  <c r="AU21" i="1"/>
  <c r="AT21" i="1"/>
  <c r="AS21" i="1"/>
  <c r="AR21" i="1"/>
  <c r="AQ21" i="1"/>
  <c r="AO21" i="1"/>
  <c r="AN21" i="1"/>
  <c r="AM21" i="1"/>
  <c r="AL21" i="1"/>
  <c r="AK21" i="1"/>
  <c r="AI21" i="1"/>
  <c r="AH21" i="1"/>
  <c r="AG21" i="1"/>
  <c r="AF21" i="1"/>
  <c r="AE21" i="1"/>
  <c r="AC21" i="1"/>
  <c r="AB21" i="1"/>
  <c r="AA21" i="1"/>
  <c r="Z21" i="1"/>
  <c r="Y21" i="1"/>
  <c r="W21" i="1"/>
  <c r="V21" i="1"/>
  <c r="U21" i="1"/>
  <c r="T21" i="1"/>
  <c r="S21" i="1"/>
  <c r="Q21" i="1"/>
  <c r="P21" i="1"/>
  <c r="O21" i="1"/>
  <c r="I21" i="1"/>
  <c r="H21" i="1"/>
  <c r="G21" i="1"/>
  <c r="F21" i="1"/>
  <c r="E21" i="1"/>
  <c r="D21" i="1"/>
  <c r="CR20" i="1"/>
  <c r="CK19" i="1"/>
  <c r="CJ19" i="1"/>
  <c r="CI19" i="1"/>
  <c r="CH19" i="1"/>
  <c r="CG19" i="1"/>
  <c r="CE19" i="1"/>
  <c r="CD19" i="1"/>
  <c r="CC19" i="1"/>
  <c r="CB19" i="1"/>
  <c r="CA19" i="1"/>
  <c r="BY19" i="1"/>
  <c r="BX19" i="1"/>
  <c r="BW19" i="1"/>
  <c r="BV19" i="1"/>
  <c r="BU19" i="1"/>
  <c r="BS19" i="1"/>
  <c r="BR19" i="1"/>
  <c r="BQ19" i="1"/>
  <c r="BP19" i="1"/>
  <c r="BO19" i="1"/>
  <c r="BM19" i="1"/>
  <c r="BL19" i="1"/>
  <c r="BK19" i="1"/>
  <c r="BJ19" i="1"/>
  <c r="BI19" i="1"/>
  <c r="BG19" i="1"/>
  <c r="BF19" i="1"/>
  <c r="BE19" i="1"/>
  <c r="BD19" i="1"/>
  <c r="BC19" i="1"/>
  <c r="BA19" i="1"/>
  <c r="AZ19" i="1"/>
  <c r="AY19" i="1"/>
  <c r="AX19" i="1"/>
  <c r="AW19" i="1"/>
  <c r="AU19" i="1"/>
  <c r="AT19" i="1"/>
  <c r="AS19" i="1"/>
  <c r="AR19" i="1"/>
  <c r="AQ19" i="1"/>
  <c r="AO19" i="1"/>
  <c r="AN19" i="1"/>
  <c r="AM19" i="1"/>
  <c r="AL19" i="1"/>
  <c r="AK19" i="1"/>
  <c r="AI19" i="1"/>
  <c r="AH19" i="1"/>
  <c r="AG19" i="1"/>
  <c r="AF19" i="1"/>
  <c r="AE19" i="1"/>
  <c r="AC19" i="1"/>
  <c r="AB19" i="1"/>
  <c r="AA19" i="1"/>
  <c r="Z19" i="1"/>
  <c r="Y19" i="1"/>
  <c r="W19" i="1"/>
  <c r="V19" i="1"/>
  <c r="U19" i="1"/>
  <c r="T19" i="1"/>
  <c r="S19" i="1"/>
  <c r="Q19" i="1"/>
  <c r="P19" i="1"/>
  <c r="O19" i="1"/>
  <c r="N19" i="1"/>
  <c r="M19" i="1"/>
  <c r="K19" i="1"/>
  <c r="J19" i="1"/>
  <c r="I19" i="1"/>
  <c r="H19" i="1"/>
  <c r="G19" i="1"/>
  <c r="F19" i="1"/>
  <c r="E19" i="1"/>
  <c r="D19" i="1"/>
  <c r="C19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L17" i="1"/>
  <c r="CF17" i="1"/>
  <c r="BZ17" i="1"/>
  <c r="BT17" i="1"/>
  <c r="BN17" i="1"/>
  <c r="BH17" i="1"/>
  <c r="BB17" i="1"/>
  <c r="CK16" i="1"/>
  <c r="CJ16" i="1"/>
  <c r="CI16" i="1"/>
  <c r="CH16" i="1"/>
  <c r="CG16" i="1"/>
  <c r="CE16" i="1"/>
  <c r="CD16" i="1"/>
  <c r="CD20" i="1" s="1"/>
  <c r="CC16" i="1"/>
  <c r="CB16" i="1"/>
  <c r="CA16" i="1"/>
  <c r="CA20" i="1" s="1"/>
  <c r="BY16" i="1"/>
  <c r="BX16" i="1"/>
  <c r="BX20" i="1" s="1"/>
  <c r="BW16" i="1"/>
  <c r="BV16" i="1"/>
  <c r="BU16" i="1"/>
  <c r="BS16" i="1"/>
  <c r="BR16" i="1"/>
  <c r="BR18" i="1" s="1"/>
  <c r="BQ16" i="1"/>
  <c r="BP16" i="1"/>
  <c r="BO16" i="1"/>
  <c r="BM16" i="1"/>
  <c r="BL16" i="1"/>
  <c r="BK16" i="1"/>
  <c r="BJ16" i="1"/>
  <c r="BJ20" i="1" s="1"/>
  <c r="BI16" i="1"/>
  <c r="BG16" i="1"/>
  <c r="BF16" i="1"/>
  <c r="BE16" i="1"/>
  <c r="BD16" i="1"/>
  <c r="BC16" i="1"/>
  <c r="BA16" i="1"/>
  <c r="AZ16" i="1"/>
  <c r="AZ20" i="1" s="1"/>
  <c r="AY16" i="1"/>
  <c r="AY123" i="1" s="1"/>
  <c r="AX16" i="1"/>
  <c r="AW16" i="1"/>
  <c r="AW123" i="1" s="1"/>
  <c r="AV16" i="1"/>
  <c r="AV123" i="1" s="1"/>
  <c r="AU16" i="1"/>
  <c r="AU20" i="1" s="1"/>
  <c r="AT16" i="1"/>
  <c r="AS16" i="1"/>
  <c r="AS123" i="1" s="1"/>
  <c r="AR16" i="1"/>
  <c r="AQ16" i="1"/>
  <c r="AQ123" i="1" s="1"/>
  <c r="AP16" i="1"/>
  <c r="AP123" i="1" s="1"/>
  <c r="AO16" i="1"/>
  <c r="AO123" i="1" s="1"/>
  <c r="AN16" i="1"/>
  <c r="AM16" i="1"/>
  <c r="AM123" i="1" s="1"/>
  <c r="AL16" i="1"/>
  <c r="AK16" i="1"/>
  <c r="AK123" i="1" s="1"/>
  <c r="AJ16" i="1"/>
  <c r="AI16" i="1"/>
  <c r="AH16" i="1"/>
  <c r="AH123" i="1" s="1"/>
  <c r="AG16" i="1"/>
  <c r="AG123" i="1" s="1"/>
  <c r="AF16" i="1"/>
  <c r="AF20" i="1" s="1"/>
  <c r="AE16" i="1"/>
  <c r="AE123" i="1" s="1"/>
  <c r="AD16" i="1"/>
  <c r="AD123" i="1" s="1"/>
  <c r="AC16" i="1"/>
  <c r="AC123" i="1" s="1"/>
  <c r="AB16" i="1"/>
  <c r="AA16" i="1"/>
  <c r="AA123" i="1" s="1"/>
  <c r="Z16" i="1"/>
  <c r="Z123" i="1" s="1"/>
  <c r="Y16" i="1"/>
  <c r="Y123" i="1" s="1"/>
  <c r="X16" i="1"/>
  <c r="X123" i="1" s="1"/>
  <c r="W16" i="1"/>
  <c r="W123" i="1" s="1"/>
  <c r="V16" i="1"/>
  <c r="U16" i="1"/>
  <c r="U123" i="1" s="1"/>
  <c r="T16" i="1"/>
  <c r="T123" i="1" s="1"/>
  <c r="S16" i="1"/>
  <c r="S123" i="1" s="1"/>
  <c r="R16" i="1"/>
  <c r="R123" i="1" s="1"/>
  <c r="Q16" i="1"/>
  <c r="Q123" i="1" s="1"/>
  <c r="P16" i="1"/>
  <c r="P20" i="1" s="1"/>
  <c r="O16" i="1"/>
  <c r="N16" i="1"/>
  <c r="M16" i="1"/>
  <c r="M123" i="1" s="1"/>
  <c r="L16" i="1"/>
  <c r="L123" i="1" s="1"/>
  <c r="L135" i="1" s="1"/>
  <c r="K16" i="1"/>
  <c r="K123" i="1" s="1"/>
  <c r="J16" i="1"/>
  <c r="I16" i="1"/>
  <c r="I123" i="1" s="1"/>
  <c r="H16" i="1"/>
  <c r="G16" i="1"/>
  <c r="G123" i="1" s="1"/>
  <c r="F16" i="1"/>
  <c r="E16" i="1"/>
  <c r="E123" i="1" s="1"/>
  <c r="D16" i="1"/>
  <c r="C16" i="1"/>
  <c r="C123" i="1" s="1"/>
  <c r="CO15" i="1"/>
  <c r="BZ15" i="1"/>
  <c r="BH15" i="1"/>
  <c r="CL14" i="1"/>
  <c r="CF14" i="1"/>
  <c r="BZ14" i="1"/>
  <c r="BT14" i="1"/>
  <c r="BN14" i="1"/>
  <c r="BH14" i="1"/>
  <c r="BB14" i="1"/>
  <c r="CY13" i="1"/>
  <c r="CX13" i="1"/>
  <c r="CW13" i="1"/>
  <c r="CL13" i="1"/>
  <c r="CF13" i="1"/>
  <c r="BZ13" i="1"/>
  <c r="BT13" i="1"/>
  <c r="BN13" i="1"/>
  <c r="BH13" i="1"/>
  <c r="BB13" i="1"/>
  <c r="AV13" i="1"/>
  <c r="AP13" i="1"/>
  <c r="AJ13" i="1"/>
  <c r="AD13" i="1"/>
  <c r="X13" i="1"/>
  <c r="R13" i="1"/>
  <c r="L13" i="1"/>
  <c r="CR12" i="1"/>
  <c r="CK12" i="1"/>
  <c r="CJ12" i="1"/>
  <c r="CI12" i="1"/>
  <c r="CH12" i="1"/>
  <c r="CG12" i="1"/>
  <c r="CE12" i="1"/>
  <c r="CD12" i="1"/>
  <c r="CC12" i="1"/>
  <c r="CB12" i="1"/>
  <c r="CA12" i="1"/>
  <c r="BY12" i="1"/>
  <c r="BX12" i="1"/>
  <c r="BW12" i="1"/>
  <c r="BV12" i="1"/>
  <c r="BU12" i="1"/>
  <c r="BS12" i="1"/>
  <c r="BR12" i="1"/>
  <c r="BQ12" i="1"/>
  <c r="BP12" i="1"/>
  <c r="BO12" i="1"/>
  <c r="BM12" i="1"/>
  <c r="BL12" i="1"/>
  <c r="BK12" i="1"/>
  <c r="BJ12" i="1"/>
  <c r="BI12" i="1"/>
  <c r="BG12" i="1"/>
  <c r="BF12" i="1"/>
  <c r="BE12" i="1"/>
  <c r="BD12" i="1"/>
  <c r="BC12" i="1"/>
  <c r="BA12" i="1"/>
  <c r="AZ12" i="1"/>
  <c r="AY12" i="1"/>
  <c r="AX12" i="1"/>
  <c r="AW12" i="1"/>
  <c r="AU12" i="1"/>
  <c r="AT12" i="1"/>
  <c r="AS12" i="1"/>
  <c r="AR12" i="1"/>
  <c r="AQ12" i="1"/>
  <c r="AO12" i="1"/>
  <c r="AN12" i="1"/>
  <c r="AM12" i="1"/>
  <c r="AL12" i="1"/>
  <c r="AK12" i="1"/>
  <c r="AI12" i="1"/>
  <c r="AH12" i="1"/>
  <c r="AG12" i="1"/>
  <c r="AF12" i="1"/>
  <c r="AE12" i="1"/>
  <c r="AC12" i="1"/>
  <c r="AB12" i="1"/>
  <c r="AA12" i="1"/>
  <c r="Z12" i="1"/>
  <c r="Y12" i="1"/>
  <c r="W12" i="1"/>
  <c r="V12" i="1"/>
  <c r="U12" i="1"/>
  <c r="T12" i="1"/>
  <c r="S12" i="1"/>
  <c r="Q12" i="1"/>
  <c r="P12" i="1"/>
  <c r="O12" i="1"/>
  <c r="I12" i="1"/>
  <c r="H12" i="1"/>
  <c r="G12" i="1"/>
  <c r="F12" i="1"/>
  <c r="E12" i="1"/>
  <c r="D12" i="1"/>
  <c r="CY11" i="1"/>
  <c r="CX11" i="1"/>
  <c r="CW11" i="1"/>
  <c r="CN11" i="1"/>
  <c r="CN12" i="1" s="1"/>
  <c r="CM11" i="1"/>
  <c r="CL11" i="1"/>
  <c r="CF11" i="1"/>
  <c r="BZ11" i="1"/>
  <c r="BT11" i="1"/>
  <c r="BN11" i="1"/>
  <c r="BH11" i="1"/>
  <c r="BB11" i="1"/>
  <c r="AV11" i="1"/>
  <c r="AP11" i="1"/>
  <c r="AJ11" i="1"/>
  <c r="AD11" i="1"/>
  <c r="X11" i="1"/>
  <c r="R11" i="1"/>
  <c r="L11" i="1"/>
  <c r="J20" i="3" l="1"/>
  <c r="B69" i="3"/>
  <c r="B70" i="3" s="1"/>
  <c r="S44" i="2"/>
  <c r="C13" i="3"/>
  <c r="F65" i="3" s="1"/>
  <c r="CO48" i="1"/>
  <c r="CO49" i="1" s="1"/>
  <c r="S29" i="2"/>
  <c r="AD44" i="2"/>
  <c r="CO223" i="1"/>
  <c r="S236" i="1"/>
  <c r="W236" i="1"/>
  <c r="AQ236" i="1"/>
  <c r="AU236" i="1"/>
  <c r="K20" i="3"/>
  <c r="L20" i="3" s="1"/>
  <c r="M20" i="3" s="1"/>
  <c r="AD28" i="2"/>
  <c r="AJ20" i="1"/>
  <c r="BH49" i="1"/>
  <c r="T28" i="2"/>
  <c r="S28" i="2"/>
  <c r="AF29" i="2"/>
  <c r="X100" i="1"/>
  <c r="AV100" i="1"/>
  <c r="BT100" i="1"/>
  <c r="AL247" i="1"/>
  <c r="AQ247" i="1"/>
  <c r="AU247" i="1"/>
  <c r="AZ247" i="1"/>
  <c r="BE247" i="1"/>
  <c r="Q8" i="4" s="1"/>
  <c r="BJ247" i="1"/>
  <c r="BO247" i="1"/>
  <c r="BS247" i="1"/>
  <c r="BX247" i="1"/>
  <c r="CH247" i="1"/>
  <c r="AD29" i="2"/>
  <c r="T29" i="2"/>
  <c r="AF34" i="2"/>
  <c r="AE29" i="2"/>
  <c r="AE44" i="2"/>
  <c r="CS12" i="1"/>
  <c r="CP37" i="1"/>
  <c r="CQ37" i="1"/>
  <c r="CS37" i="1"/>
  <c r="CR106" i="1"/>
  <c r="CR273" i="1" s="1"/>
  <c r="BZ72" i="1"/>
  <c r="BZ74" i="1" s="1"/>
  <c r="AD100" i="1"/>
  <c r="BB100" i="1"/>
  <c r="BZ100" i="1"/>
  <c r="BK160" i="1"/>
  <c r="R13" i="4" s="1"/>
  <c r="AE34" i="2"/>
  <c r="CF138" i="1"/>
  <c r="AG293" i="1"/>
  <c r="AE28" i="2"/>
  <c r="AF28" i="2"/>
  <c r="CO189" i="1"/>
  <c r="BD39" i="1"/>
  <c r="BI39" i="1"/>
  <c r="BM39" i="1"/>
  <c r="CC294" i="1"/>
  <c r="U21" i="4" s="1"/>
  <c r="R38" i="1"/>
  <c r="AP38" i="1"/>
  <c r="BN38" i="1"/>
  <c r="CL38" i="1"/>
  <c r="AH39" i="1"/>
  <c r="AX39" i="1"/>
  <c r="AJ57" i="1"/>
  <c r="CF49" i="1"/>
  <c r="AD77" i="1"/>
  <c r="BB77" i="1"/>
  <c r="AC247" i="1"/>
  <c r="BV39" i="1"/>
  <c r="BM76" i="1"/>
  <c r="CF156" i="1"/>
  <c r="CF253" i="1" s="1"/>
  <c r="R139" i="1"/>
  <c r="AP139" i="1"/>
  <c r="AT236" i="1"/>
  <c r="BQ123" i="1"/>
  <c r="BQ124" i="1" s="1"/>
  <c r="X68" i="1"/>
  <c r="AV68" i="1"/>
  <c r="BC78" i="1"/>
  <c r="AJ138" i="1"/>
  <c r="CF234" i="1"/>
  <c r="R19" i="1"/>
  <c r="AP19" i="1"/>
  <c r="CL19" i="1"/>
  <c r="AD126" i="1"/>
  <c r="BB126" i="1"/>
  <c r="BZ126" i="1"/>
  <c r="BI123" i="1"/>
  <c r="BM123" i="1"/>
  <c r="BM135" i="1" s="1"/>
  <c r="CG123" i="1"/>
  <c r="CG135" i="1" s="1"/>
  <c r="CK123" i="1"/>
  <c r="CQ12" i="1"/>
  <c r="CP57" i="1"/>
  <c r="X122" i="1"/>
  <c r="X124" i="1" s="1"/>
  <c r="AV122" i="1"/>
  <c r="AV133" i="1" s="1"/>
  <c r="BT122" i="1"/>
  <c r="BT133" i="1" s="1"/>
  <c r="CM122" i="1"/>
  <c r="CM128" i="1" s="1"/>
  <c r="CP68" i="1"/>
  <c r="CQ68" i="1"/>
  <c r="CR68" i="1"/>
  <c r="CS68" i="1"/>
  <c r="CQ20" i="1"/>
  <c r="R49" i="1"/>
  <c r="CS20" i="1"/>
  <c r="CR57" i="1"/>
  <c r="CR76" i="1"/>
  <c r="CJ127" i="1"/>
  <c r="AG139" i="1"/>
  <c r="CF142" i="1"/>
  <c r="AX236" i="1"/>
  <c r="L37" i="1"/>
  <c r="BK37" i="1"/>
  <c r="BK35" i="1"/>
  <c r="BP37" i="1"/>
  <c r="BB68" i="1"/>
  <c r="BZ68" i="1"/>
  <c r="AV208" i="1"/>
  <c r="AV140" i="1"/>
  <c r="AV139" i="1" s="1"/>
  <c r="CL142" i="1"/>
  <c r="R236" i="1"/>
  <c r="BH234" i="1"/>
  <c r="R12" i="1"/>
  <c r="BN12" i="1"/>
  <c r="CL12" i="1"/>
  <c r="R126" i="1"/>
  <c r="AP126" i="1"/>
  <c r="BN126" i="1"/>
  <c r="CL126" i="1"/>
  <c r="BA123" i="1"/>
  <c r="BA135" i="1" s="1"/>
  <c r="BF20" i="1"/>
  <c r="BF18" i="1"/>
  <c r="BK123" i="1"/>
  <c r="BK135" i="1" s="1"/>
  <c r="BU123" i="1"/>
  <c r="BU135" i="1" s="1"/>
  <c r="BY123" i="1"/>
  <c r="BY124" i="1" s="1"/>
  <c r="CE57" i="1"/>
  <c r="CE55" i="1"/>
  <c r="BP127" i="1"/>
  <c r="AD68" i="1"/>
  <c r="L138" i="1"/>
  <c r="CF141" i="1"/>
  <c r="AP236" i="1"/>
  <c r="S39" i="1"/>
  <c r="W39" i="1"/>
  <c r="AE39" i="1"/>
  <c r="AI39" i="1"/>
  <c r="AI37" i="1"/>
  <c r="AQ39" i="1"/>
  <c r="AU39" i="1"/>
  <c r="AV58" i="1"/>
  <c r="BT58" i="1"/>
  <c r="BW57" i="1"/>
  <c r="BW55" i="1"/>
  <c r="AS299" i="1"/>
  <c r="AS139" i="1"/>
  <c r="AP141" i="1"/>
  <c r="BE367" i="1"/>
  <c r="AD58" i="1"/>
  <c r="BB58" i="1"/>
  <c r="BZ58" i="1"/>
  <c r="CL53" i="1"/>
  <c r="CL57" i="1" s="1"/>
  <c r="H59" i="1"/>
  <c r="AJ77" i="1"/>
  <c r="BH77" i="1"/>
  <c r="CF77" i="1"/>
  <c r="L100" i="1"/>
  <c r="AJ100" i="1"/>
  <c r="AX128" i="1"/>
  <c r="T127" i="1"/>
  <c r="AR127" i="1"/>
  <c r="R259" i="1"/>
  <c r="AP259" i="1"/>
  <c r="BN259" i="1"/>
  <c r="AJ192" i="1"/>
  <c r="AJ199" i="1" s="1"/>
  <c r="AJ210" i="1" s="1"/>
  <c r="D247" i="1"/>
  <c r="D8" i="4" s="1"/>
  <c r="H247" i="1"/>
  <c r="H8" i="4" s="1"/>
  <c r="Q247" i="1"/>
  <c r="AK247" i="1"/>
  <c r="BM247" i="1"/>
  <c r="CG247" i="1"/>
  <c r="BE123" i="1"/>
  <c r="BE135" i="1" s="1"/>
  <c r="F39" i="1"/>
  <c r="BV35" i="1"/>
  <c r="BK57" i="1"/>
  <c r="CL75" i="1"/>
  <c r="BA76" i="1"/>
  <c r="R100" i="1"/>
  <c r="AP100" i="1"/>
  <c r="BN100" i="1"/>
  <c r="BT234" i="1"/>
  <c r="AR252" i="1"/>
  <c r="E247" i="1"/>
  <c r="E8" i="4" s="1"/>
  <c r="I247" i="1"/>
  <c r="I8" i="4" s="1"/>
  <c r="S247" i="1"/>
  <c r="W247" i="1"/>
  <c r="AB247" i="1"/>
  <c r="H367" i="1"/>
  <c r="AY367" i="1"/>
  <c r="H123" i="1"/>
  <c r="H124" i="1" s="1"/>
  <c r="H20" i="1"/>
  <c r="AR123" i="1"/>
  <c r="AR124" i="1" s="1"/>
  <c r="AR20" i="1"/>
  <c r="BO20" i="1"/>
  <c r="BO18" i="1"/>
  <c r="BS20" i="1"/>
  <c r="BS18" i="1"/>
  <c r="CH18" i="1"/>
  <c r="CH20" i="1"/>
  <c r="CF29" i="1"/>
  <c r="BE299" i="1"/>
  <c r="BE139" i="1"/>
  <c r="CC299" i="1"/>
  <c r="CC139" i="1"/>
  <c r="BP22" i="1"/>
  <c r="CX16" i="1"/>
  <c r="AQ20" i="1"/>
  <c r="AJ29" i="1"/>
  <c r="BH29" i="1"/>
  <c r="AD38" i="1"/>
  <c r="BB38" i="1"/>
  <c r="BZ38" i="1"/>
  <c r="G39" i="1"/>
  <c r="AU37" i="1"/>
  <c r="CX56" i="1"/>
  <c r="AV56" i="1"/>
  <c r="X76" i="1"/>
  <c r="AV76" i="1"/>
  <c r="CG76" i="1"/>
  <c r="V128" i="1"/>
  <c r="U299" i="1"/>
  <c r="U139" i="1"/>
  <c r="BQ422" i="1"/>
  <c r="BQ350" i="1"/>
  <c r="BQ404" i="1" s="1"/>
  <c r="BQ403" i="1" s="1"/>
  <c r="BQ408" i="1" s="1"/>
  <c r="AD129" i="1"/>
  <c r="BR20" i="1"/>
  <c r="CI20" i="1"/>
  <c r="BJ39" i="1"/>
  <c r="BJ35" i="1"/>
  <c r="CH39" i="1"/>
  <c r="CY33" i="1"/>
  <c r="W37" i="1"/>
  <c r="BT56" i="1"/>
  <c r="I59" i="1"/>
  <c r="R77" i="1"/>
  <c r="CC74" i="1"/>
  <c r="CC76" i="1"/>
  <c r="E299" i="1"/>
  <c r="E139" i="1"/>
  <c r="I299" i="1"/>
  <c r="I139" i="1"/>
  <c r="BG253" i="1"/>
  <c r="BG160" i="1"/>
  <c r="BG164" i="1" s="1"/>
  <c r="G236" i="1"/>
  <c r="K236" i="1"/>
  <c r="U405" i="1"/>
  <c r="U426" i="1" s="1"/>
  <c r="U384" i="1"/>
  <c r="AD122" i="1"/>
  <c r="AD124" i="1" s="1"/>
  <c r="BB122" i="1"/>
  <c r="BB133" i="1" s="1"/>
  <c r="BZ122" i="1"/>
  <c r="CD18" i="1"/>
  <c r="AY20" i="1"/>
  <c r="X36" i="1"/>
  <c r="AV36" i="1"/>
  <c r="BT36" i="1"/>
  <c r="BF39" i="1"/>
  <c r="BU39" i="1"/>
  <c r="BY39" i="1"/>
  <c r="CD39" i="1"/>
  <c r="CY36" i="1"/>
  <c r="CX36" i="1"/>
  <c r="BJ37" i="1"/>
  <c r="AD49" i="1"/>
  <c r="BZ49" i="1"/>
  <c r="CY53" i="1"/>
  <c r="AZ55" i="1"/>
  <c r="AJ68" i="1"/>
  <c r="BH68" i="1"/>
  <c r="CF68" i="1"/>
  <c r="CO67" i="1"/>
  <c r="CO68" i="1" s="1"/>
  <c r="F76" i="1"/>
  <c r="F78" i="1"/>
  <c r="BK78" i="1"/>
  <c r="CW126" i="1"/>
  <c r="AJ156" i="1"/>
  <c r="AJ253" i="1" s="1"/>
  <c r="AJ141" i="1"/>
  <c r="BH141" i="1"/>
  <c r="BH142" i="1"/>
  <c r="BH138" i="1"/>
  <c r="AD138" i="1"/>
  <c r="BZ138" i="1"/>
  <c r="BH156" i="1"/>
  <c r="BH253" i="1" s="1"/>
  <c r="AN236" i="1"/>
  <c r="AG416" i="1"/>
  <c r="AG341" i="1"/>
  <c r="AE255" i="1"/>
  <c r="L214" i="1"/>
  <c r="V236" i="1"/>
  <c r="P252" i="1"/>
  <c r="T252" i="1"/>
  <c r="AO247" i="1"/>
  <c r="AT247" i="1"/>
  <c r="CK247" i="1"/>
  <c r="E294" i="1"/>
  <c r="E21" i="4" s="1"/>
  <c r="CW298" i="1"/>
  <c r="E367" i="1"/>
  <c r="I367" i="1"/>
  <c r="BW367" i="1"/>
  <c r="D367" i="1"/>
  <c r="CL99" i="1"/>
  <c r="CM99" i="1" s="1"/>
  <c r="CH128" i="1"/>
  <c r="AQ128" i="1"/>
  <c r="AD139" i="1"/>
  <c r="R141" i="1"/>
  <c r="BN141" i="1"/>
  <c r="CL141" i="1"/>
  <c r="CM141" i="1" s="1"/>
  <c r="AE201" i="1"/>
  <c r="N236" i="1"/>
  <c r="AE252" i="1"/>
  <c r="AX252" i="1"/>
  <c r="AA294" i="1"/>
  <c r="L21" i="4" s="1"/>
  <c r="AG367" i="1"/>
  <c r="Z39" i="1"/>
  <c r="AD37" i="1"/>
  <c r="BC39" i="1"/>
  <c r="BQ39" i="1"/>
  <c r="CE35" i="1"/>
  <c r="AT39" i="1"/>
  <c r="BZ53" i="1"/>
  <c r="BZ57" i="1" s="1"/>
  <c r="AD57" i="1"/>
  <c r="BL55" i="1"/>
  <c r="BZ77" i="1"/>
  <c r="BB72" i="1"/>
  <c r="BB74" i="1" s="1"/>
  <c r="CA78" i="1"/>
  <c r="BH99" i="1"/>
  <c r="BH100" i="1" s="1"/>
  <c r="AH128" i="1"/>
  <c r="BF128" i="1"/>
  <c r="CD128" i="1"/>
  <c r="BW127" i="1"/>
  <c r="CB127" i="1"/>
  <c r="BK128" i="1"/>
  <c r="R138" i="1"/>
  <c r="AP138" i="1"/>
  <c r="BN138" i="1"/>
  <c r="CO162" i="1"/>
  <c r="CO268" i="1" s="1"/>
  <c r="CO325" i="1" s="1"/>
  <c r="CP325" i="1" s="1"/>
  <c r="CQ325" i="1" s="1"/>
  <c r="CR325" i="1" s="1"/>
  <c r="CS325" i="1" s="1"/>
  <c r="L139" i="1"/>
  <c r="AJ139" i="1"/>
  <c r="BZ142" i="1"/>
  <c r="BZ192" i="1"/>
  <c r="BZ199" i="1" s="1"/>
  <c r="BZ210" i="1" s="1"/>
  <c r="CO188" i="1"/>
  <c r="AS247" i="1"/>
  <c r="O8" i="4" s="1"/>
  <c r="BQ247" i="1"/>
  <c r="S8" i="4" s="1"/>
  <c r="AW247" i="1"/>
  <c r="BA247" i="1"/>
  <c r="AM293" i="1"/>
  <c r="AG294" i="1"/>
  <c r="M21" i="4" s="1"/>
  <c r="BE366" i="1"/>
  <c r="CY395" i="1"/>
  <c r="CY396" i="1"/>
  <c r="Z20" i="1"/>
  <c r="BH33" i="1"/>
  <c r="BH37" i="1" s="1"/>
  <c r="CF33" i="1"/>
  <c r="CF35" i="1" s="1"/>
  <c r="BO55" i="1"/>
  <c r="BO57" i="1"/>
  <c r="BS57" i="1"/>
  <c r="BS55" i="1"/>
  <c r="BX55" i="1"/>
  <c r="BX57" i="1"/>
  <c r="F123" i="1"/>
  <c r="F124" i="1" s="1"/>
  <c r="F20" i="1"/>
  <c r="J123" i="1"/>
  <c r="J135" i="1" s="1"/>
  <c r="J20" i="1"/>
  <c r="N123" i="1"/>
  <c r="T129" i="1" s="1"/>
  <c r="N20" i="1"/>
  <c r="V123" i="1"/>
  <c r="V20" i="1"/>
  <c r="AB22" i="1"/>
  <c r="AL123" i="1"/>
  <c r="AL124" i="1" s="1"/>
  <c r="AR22" i="1"/>
  <c r="AL20" i="1"/>
  <c r="AT123" i="1"/>
  <c r="AT124" i="1" s="1"/>
  <c r="AT20" i="1"/>
  <c r="AX123" i="1"/>
  <c r="AX135" i="1" s="1"/>
  <c r="AX20" i="1"/>
  <c r="BC123" i="1"/>
  <c r="BC129" i="1" s="1"/>
  <c r="BC20" i="1"/>
  <c r="BG123" i="1"/>
  <c r="BG135" i="1" s="1"/>
  <c r="BG18" i="1"/>
  <c r="BL123" i="1"/>
  <c r="BL135" i="1" s="1"/>
  <c r="BL20" i="1"/>
  <c r="BV20" i="1"/>
  <c r="BV18" i="1"/>
  <c r="CA18" i="1"/>
  <c r="CA123" i="1"/>
  <c r="CA135" i="1" s="1"/>
  <c r="CE123" i="1"/>
  <c r="CE20" i="1"/>
  <c r="CE18" i="1"/>
  <c r="CJ123" i="1"/>
  <c r="CJ124" i="1" s="1"/>
  <c r="CJ20" i="1"/>
  <c r="CJ22" i="1"/>
  <c r="T22" i="1"/>
  <c r="AU253" i="1"/>
  <c r="AU160" i="1"/>
  <c r="CR31" i="1"/>
  <c r="CQ14" i="1"/>
  <c r="AH20" i="1"/>
  <c r="BL22" i="1"/>
  <c r="BW78" i="1"/>
  <c r="BQ76" i="1"/>
  <c r="Z128" i="1"/>
  <c r="Z133" i="1"/>
  <c r="AE133" i="1"/>
  <c r="AE128" i="1"/>
  <c r="AI133" i="1"/>
  <c r="AI128" i="1"/>
  <c r="AN133" i="1"/>
  <c r="AN127" i="1"/>
  <c r="BC133" i="1"/>
  <c r="BC128" i="1"/>
  <c r="BG133" i="1"/>
  <c r="BG128" i="1"/>
  <c r="BL133" i="1"/>
  <c r="BL127" i="1"/>
  <c r="BQ133" i="1"/>
  <c r="BW128" i="1"/>
  <c r="BV128" i="1"/>
  <c r="BV133" i="1"/>
  <c r="CA133" i="1"/>
  <c r="CA128" i="1"/>
  <c r="CE133" i="1"/>
  <c r="CE128" i="1"/>
  <c r="BC18" i="1"/>
  <c r="BG20" i="1"/>
  <c r="L126" i="1"/>
  <c r="AJ126" i="1"/>
  <c r="BH126" i="1"/>
  <c r="CF126" i="1"/>
  <c r="O123" i="1"/>
  <c r="O129" i="1" s="1"/>
  <c r="O20" i="1"/>
  <c r="AI123" i="1"/>
  <c r="AI135" i="1" s="1"/>
  <c r="AI20" i="1"/>
  <c r="BD123" i="1"/>
  <c r="BD135" i="1" s="1"/>
  <c r="BD22" i="1"/>
  <c r="BW123" i="1"/>
  <c r="BW135" i="1" s="1"/>
  <c r="BW20" i="1"/>
  <c r="CB123" i="1"/>
  <c r="CB135" i="1" s="1"/>
  <c r="CB22" i="1"/>
  <c r="CX19" i="1"/>
  <c r="C20" i="1"/>
  <c r="K20" i="1"/>
  <c r="S20" i="1"/>
  <c r="AA20" i="1"/>
  <c r="BK20" i="1"/>
  <c r="CB20" i="1"/>
  <c r="CW33" i="1"/>
  <c r="CI37" i="1"/>
  <c r="CI35" i="1"/>
  <c r="CX33" i="1"/>
  <c r="CW36" i="1"/>
  <c r="AJ37" i="1"/>
  <c r="R57" i="1"/>
  <c r="AP57" i="1"/>
  <c r="BB53" i="1"/>
  <c r="BB55" i="1" s="1"/>
  <c r="BP55" i="1"/>
  <c r="BP57" i="1"/>
  <c r="BN53" i="1"/>
  <c r="BN57" i="1" s="1"/>
  <c r="CW56" i="1"/>
  <c r="BB75" i="1"/>
  <c r="AE76" i="1"/>
  <c r="AE78" i="1"/>
  <c r="AU76" i="1"/>
  <c r="AU78" i="1"/>
  <c r="BI74" i="1"/>
  <c r="BI76" i="1"/>
  <c r="R75" i="1"/>
  <c r="R122" i="1"/>
  <c r="R124" i="1" s="1"/>
  <c r="AA133" i="1"/>
  <c r="AA128" i="1"/>
  <c r="AT128" i="1"/>
  <c r="AY133" i="1"/>
  <c r="AY128" i="1"/>
  <c r="D134" i="1"/>
  <c r="D127" i="1"/>
  <c r="H134" i="1"/>
  <c r="H127" i="1"/>
  <c r="AA127" i="1"/>
  <c r="AF127" i="1"/>
  <c r="AY127" i="1"/>
  <c r="BD127" i="1"/>
  <c r="O253" i="1"/>
  <c r="O160" i="1"/>
  <c r="O200" i="1" s="1"/>
  <c r="X141" i="1"/>
  <c r="BT141" i="1"/>
  <c r="W252" i="1"/>
  <c r="E385" i="1"/>
  <c r="D405" i="1"/>
  <c r="D426" i="1" s="1"/>
  <c r="AG385" i="1"/>
  <c r="AA405" i="1"/>
  <c r="AA426" i="1" s="1"/>
  <c r="AA384" i="1"/>
  <c r="CC385" i="1"/>
  <c r="BW405" i="1"/>
  <c r="BW426" i="1" s="1"/>
  <c r="BN19" i="1"/>
  <c r="BN122" i="1"/>
  <c r="AP12" i="1"/>
  <c r="BB16" i="1"/>
  <c r="BZ16" i="1"/>
  <c r="BZ18" i="1" s="1"/>
  <c r="D123" i="1"/>
  <c r="D135" i="1" s="1"/>
  <c r="D20" i="1"/>
  <c r="P123" i="1"/>
  <c r="P124" i="1" s="1"/>
  <c r="P22" i="1"/>
  <c r="X129" i="1"/>
  <c r="AB123" i="1"/>
  <c r="AH129" i="1" s="1"/>
  <c r="AB20" i="1"/>
  <c r="AF123" i="1"/>
  <c r="AF129" i="1" s="1"/>
  <c r="AF22" i="1"/>
  <c r="AJ123" i="1"/>
  <c r="AJ129" i="1" s="1"/>
  <c r="AJ22" i="1"/>
  <c r="AN123" i="1"/>
  <c r="AN129" i="1" s="1"/>
  <c r="AN20" i="1"/>
  <c r="AV129" i="1"/>
  <c r="AZ123" i="1"/>
  <c r="AZ135" i="1" s="1"/>
  <c r="AZ22" i="1"/>
  <c r="BO123" i="1"/>
  <c r="BO135" i="1" s="1"/>
  <c r="BS123" i="1"/>
  <c r="BS135" i="1" s="1"/>
  <c r="BX123" i="1"/>
  <c r="BX22" i="1"/>
  <c r="CC123" i="1"/>
  <c r="CC135" i="1" s="1"/>
  <c r="BJ18" i="1"/>
  <c r="L20" i="1"/>
  <c r="T20" i="1"/>
  <c r="AE20" i="1"/>
  <c r="BD20" i="1"/>
  <c r="AN22" i="1"/>
  <c r="R39" i="1"/>
  <c r="V39" i="1"/>
  <c r="V37" i="1"/>
  <c r="AL39" i="1"/>
  <c r="AL37" i="1"/>
  <c r="AP39" i="1"/>
  <c r="BG39" i="1"/>
  <c r="BG37" i="1"/>
  <c r="BG35" i="1"/>
  <c r="BL39" i="1"/>
  <c r="BL37" i="1"/>
  <c r="CA39" i="1"/>
  <c r="CA35" i="1"/>
  <c r="CA37" i="1"/>
  <c r="CE39" i="1"/>
  <c r="CJ39" i="1"/>
  <c r="CD35" i="1"/>
  <c r="F37" i="1"/>
  <c r="BC37" i="1"/>
  <c r="CD37" i="1"/>
  <c r="BR39" i="1"/>
  <c r="X58" i="1"/>
  <c r="X56" i="1"/>
  <c r="BG57" i="1"/>
  <c r="BG55" i="1"/>
  <c r="BC55" i="1"/>
  <c r="BH72" i="1"/>
  <c r="CF72" i="1"/>
  <c r="L76" i="1"/>
  <c r="AJ76" i="1"/>
  <c r="CX75" i="1"/>
  <c r="CS273" i="1"/>
  <c r="CS108" i="1"/>
  <c r="X126" i="1"/>
  <c r="AV126" i="1"/>
  <c r="BT126" i="1"/>
  <c r="BP123" i="1"/>
  <c r="BP135" i="1" s="1"/>
  <c r="BP20" i="1"/>
  <c r="CI123" i="1"/>
  <c r="CI18" i="1"/>
  <c r="CY16" i="1"/>
  <c r="BT16" i="1"/>
  <c r="BT20" i="1" s="1"/>
  <c r="BK18" i="1"/>
  <c r="BW18" i="1"/>
  <c r="CY19" i="1"/>
  <c r="G20" i="1"/>
  <c r="W20" i="1"/>
  <c r="AM20" i="1"/>
  <c r="G22" i="1"/>
  <c r="O39" i="1"/>
  <c r="O37" i="1"/>
  <c r="AA39" i="1"/>
  <c r="AA37" i="1"/>
  <c r="AM39" i="1"/>
  <c r="AM37" i="1"/>
  <c r="AY39" i="1"/>
  <c r="AY37" i="1"/>
  <c r="G37" i="1"/>
  <c r="S37" i="1"/>
  <c r="AE37" i="1"/>
  <c r="AQ37" i="1"/>
  <c r="BD37" i="1"/>
  <c r="BR37" i="1"/>
  <c r="CP51" i="1"/>
  <c r="CQ51" i="1"/>
  <c r="CB55" i="1"/>
  <c r="AP75" i="1"/>
  <c r="AP77" i="1"/>
  <c r="BN77" i="1"/>
  <c r="BN75" i="1"/>
  <c r="BN72" i="1"/>
  <c r="BN76" i="1" s="1"/>
  <c r="CQ70" i="1"/>
  <c r="CP70" i="1"/>
  <c r="CL72" i="1"/>
  <c r="CL77" i="1"/>
  <c r="O78" i="1"/>
  <c r="CY122" i="1"/>
  <c r="CI128" i="1"/>
  <c r="AU123" i="1"/>
  <c r="BQ299" i="1"/>
  <c r="BQ139" i="1"/>
  <c r="CO303" i="1"/>
  <c r="CO304" i="1" s="1"/>
  <c r="CO309" i="1" s="1"/>
  <c r="CO346" i="1"/>
  <c r="AY294" i="1"/>
  <c r="P21" i="4" s="1"/>
  <c r="BE293" i="1"/>
  <c r="E293" i="1"/>
  <c r="AT252" i="1"/>
  <c r="D416" i="1"/>
  <c r="D341" i="1"/>
  <c r="BW416" i="1"/>
  <c r="BW341" i="1"/>
  <c r="R37" i="1"/>
  <c r="AP37" i="1"/>
  <c r="BN29" i="1"/>
  <c r="CL29" i="1"/>
  <c r="R36" i="1"/>
  <c r="AP36" i="1"/>
  <c r="BN36" i="1"/>
  <c r="CL36" i="1"/>
  <c r="BN33" i="1"/>
  <c r="BN37" i="1" s="1"/>
  <c r="CL33" i="1"/>
  <c r="CL35" i="1" s="1"/>
  <c r="D39" i="1"/>
  <c r="H39" i="1"/>
  <c r="P39" i="1"/>
  <c r="T39" i="1"/>
  <c r="X39" i="1"/>
  <c r="AB39" i="1"/>
  <c r="AF39" i="1"/>
  <c r="AJ39" i="1"/>
  <c r="AN39" i="1"/>
  <c r="AR39" i="1"/>
  <c r="AV39" i="1"/>
  <c r="AZ39" i="1"/>
  <c r="BE39" i="1"/>
  <c r="BO39" i="1"/>
  <c r="BS39" i="1"/>
  <c r="BW39" i="1"/>
  <c r="CB39" i="1"/>
  <c r="CG39" i="1"/>
  <c r="CK39" i="1"/>
  <c r="BF35" i="1"/>
  <c r="BO35" i="1"/>
  <c r="BW35" i="1"/>
  <c r="CH35" i="1"/>
  <c r="H37" i="1"/>
  <c r="T37" i="1"/>
  <c r="AF37" i="1"/>
  <c r="AR37" i="1"/>
  <c r="BF37" i="1"/>
  <c r="BS37" i="1"/>
  <c r="CH37" i="1"/>
  <c r="X49" i="1"/>
  <c r="AV49" i="1"/>
  <c r="BT49" i="1"/>
  <c r="BB49" i="1"/>
  <c r="L56" i="1"/>
  <c r="AJ56" i="1"/>
  <c r="BH58" i="1"/>
  <c r="CF56" i="1"/>
  <c r="BT53" i="1"/>
  <c r="BT57" i="1" s="1"/>
  <c r="D59" i="1"/>
  <c r="L57" i="1"/>
  <c r="X57" i="1"/>
  <c r="AV57" i="1"/>
  <c r="CX53" i="1"/>
  <c r="BD55" i="1"/>
  <c r="CI55" i="1"/>
  <c r="D57" i="1"/>
  <c r="CA57" i="1"/>
  <c r="R68" i="1"/>
  <c r="AP68" i="1"/>
  <c r="BN68" i="1"/>
  <c r="CL68" i="1"/>
  <c r="BT68" i="1"/>
  <c r="E78" i="1"/>
  <c r="I78" i="1"/>
  <c r="BO78" i="1"/>
  <c r="I76" i="1"/>
  <c r="BE76" i="1"/>
  <c r="BU76" i="1"/>
  <c r="CK76" i="1"/>
  <c r="CF99" i="1"/>
  <c r="CF100" i="1" s="1"/>
  <c r="S133" i="1"/>
  <c r="S128" i="1"/>
  <c r="W133" i="1"/>
  <c r="W128" i="1"/>
  <c r="AL128" i="1"/>
  <c r="BJ128" i="1"/>
  <c r="BR128" i="1"/>
  <c r="BH140" i="1"/>
  <c r="BH139" i="1" s="1"/>
  <c r="CF140" i="1"/>
  <c r="CF139" i="1" s="1"/>
  <c r="S127" i="1"/>
  <c r="W127" i="1"/>
  <c r="AB127" i="1"/>
  <c r="AQ127" i="1"/>
  <c r="AU127" i="1"/>
  <c r="AZ127" i="1"/>
  <c r="BO127" i="1"/>
  <c r="BS127" i="1"/>
  <c r="BX127" i="1"/>
  <c r="O128" i="1"/>
  <c r="AU128" i="1"/>
  <c r="F299" i="1"/>
  <c r="F139" i="1"/>
  <c r="BB142" i="1"/>
  <c r="BB138" i="1"/>
  <c r="Z236" i="1"/>
  <c r="AB252" i="1"/>
  <c r="AF252" i="1"/>
  <c r="AU252" i="1"/>
  <c r="AQ252" i="1"/>
  <c r="E416" i="1"/>
  <c r="E341" i="1"/>
  <c r="I416" i="1"/>
  <c r="I341" i="1"/>
  <c r="BE416" i="1"/>
  <c r="BE341" i="1"/>
  <c r="CC416" i="1"/>
  <c r="CC341" i="1"/>
  <c r="C422" i="1"/>
  <c r="C350" i="1"/>
  <c r="C404" i="1" s="1"/>
  <c r="G422" i="1"/>
  <c r="G350" i="1"/>
  <c r="G404" i="1" s="1"/>
  <c r="U422" i="1"/>
  <c r="U350" i="1"/>
  <c r="U404" i="1" s="1"/>
  <c r="AS422" i="1"/>
  <c r="AS350" i="1"/>
  <c r="AS404" i="1" s="1"/>
  <c r="CW19" i="1"/>
  <c r="X38" i="1"/>
  <c r="AV38" i="1"/>
  <c r="BT38" i="1"/>
  <c r="CS31" i="1"/>
  <c r="Q39" i="1"/>
  <c r="U39" i="1"/>
  <c r="Y39" i="1"/>
  <c r="AC39" i="1"/>
  <c r="AG39" i="1"/>
  <c r="AK39" i="1"/>
  <c r="AO39" i="1"/>
  <c r="AS39" i="1"/>
  <c r="AW39" i="1"/>
  <c r="BA39" i="1"/>
  <c r="BK39" i="1"/>
  <c r="BP39" i="1"/>
  <c r="BT33" i="1"/>
  <c r="BT35" i="1" s="1"/>
  <c r="BX39" i="1"/>
  <c r="CC39" i="1"/>
  <c r="D37" i="1"/>
  <c r="AB37" i="1"/>
  <c r="AZ37" i="1"/>
  <c r="BO37" i="1"/>
  <c r="CB37" i="1"/>
  <c r="E59" i="1"/>
  <c r="BH53" i="1"/>
  <c r="CF53" i="1"/>
  <c r="CF55" i="1" s="1"/>
  <c r="CJ55" i="1"/>
  <c r="H57" i="1"/>
  <c r="CW75" i="1"/>
  <c r="BY76" i="1"/>
  <c r="AM133" i="1"/>
  <c r="AM128" i="1"/>
  <c r="BO133" i="1"/>
  <c r="BO128" i="1"/>
  <c r="BS133" i="1"/>
  <c r="BS128" i="1"/>
  <c r="O127" i="1"/>
  <c r="AM127" i="1"/>
  <c r="P127" i="1"/>
  <c r="BF133" i="1"/>
  <c r="CA253" i="1"/>
  <c r="CA160" i="1"/>
  <c r="CA200" i="1" s="1"/>
  <c r="F247" i="1"/>
  <c r="F8" i="4" s="1"/>
  <c r="O247" i="1"/>
  <c r="J8" i="4" s="1"/>
  <c r="Y247" i="1"/>
  <c r="AH247" i="1"/>
  <c r="AM247" i="1"/>
  <c r="N8" i="4" s="1"/>
  <c r="AR247" i="1"/>
  <c r="BF247" i="1"/>
  <c r="BK247" i="1"/>
  <c r="R8" i="4" s="1"/>
  <c r="BU247" i="1"/>
  <c r="BY247" i="1"/>
  <c r="CD247" i="1"/>
  <c r="CI247" i="1"/>
  <c r="V8" i="4" s="1"/>
  <c r="C296" i="1"/>
  <c r="AA341" i="1"/>
  <c r="AM350" i="1"/>
  <c r="AM404" i="1" s="1"/>
  <c r="BK127" i="1"/>
  <c r="CY138" i="1"/>
  <c r="X139" i="1"/>
  <c r="L156" i="1"/>
  <c r="AJ234" i="1"/>
  <c r="M236" i="1"/>
  <c r="Q236" i="1"/>
  <c r="U236" i="1"/>
  <c r="Y236" i="1"/>
  <c r="S252" i="1"/>
  <c r="G247" i="1"/>
  <c r="G8" i="4" s="1"/>
  <c r="P247" i="1"/>
  <c r="U247" i="1"/>
  <c r="K8" i="4" s="1"/>
  <c r="Z247" i="1"/>
  <c r="AE247" i="1"/>
  <c r="AI247" i="1"/>
  <c r="AN247" i="1"/>
  <c r="AX247" i="1"/>
  <c r="BC247" i="1"/>
  <c r="BG247" i="1"/>
  <c r="BL247" i="1"/>
  <c r="BV247" i="1"/>
  <c r="CA247" i="1"/>
  <c r="CE247" i="1"/>
  <c r="CJ247" i="1"/>
  <c r="H253" i="1"/>
  <c r="CX298" i="1"/>
  <c r="AA367" i="1"/>
  <c r="D366" i="1"/>
  <c r="CX396" i="1"/>
  <c r="C127" i="1"/>
  <c r="G127" i="1"/>
  <c r="K127" i="1"/>
  <c r="AE127" i="1"/>
  <c r="AI127" i="1"/>
  <c r="BC127" i="1"/>
  <c r="BG127" i="1"/>
  <c r="CA127" i="1"/>
  <c r="CE127" i="1"/>
  <c r="L141" i="1"/>
  <c r="AA160" i="1"/>
  <c r="AA200" i="1" s="1"/>
  <c r="BH192" i="1"/>
  <c r="BH199" i="1" s="1"/>
  <c r="BH210" i="1" s="1"/>
  <c r="BB234" i="1"/>
  <c r="BZ234" i="1"/>
  <c r="AI252" i="1"/>
  <c r="BI247" i="1"/>
  <c r="CW259" i="1"/>
  <c r="F293" i="1"/>
  <c r="F296" i="1"/>
  <c r="CL351" i="1"/>
  <c r="CL353" i="1" s="1"/>
  <c r="CC367" i="1"/>
  <c r="H366" i="1"/>
  <c r="D384" i="1"/>
  <c r="D385" i="1"/>
  <c r="BW384" i="1"/>
  <c r="BW385" i="1"/>
  <c r="CX395" i="1"/>
  <c r="CW395" i="1"/>
  <c r="CW396" i="1"/>
  <c r="CL259" i="1"/>
  <c r="CL192" i="1"/>
  <c r="CL199" i="1" s="1"/>
  <c r="CL210" i="1" s="1"/>
  <c r="CO205" i="1"/>
  <c r="BN234" i="1"/>
  <c r="CL234" i="1"/>
  <c r="H236" i="1"/>
  <c r="P236" i="1"/>
  <c r="T236" i="1"/>
  <c r="X236" i="1"/>
  <c r="AR236" i="1"/>
  <c r="F236" i="1"/>
  <c r="J236" i="1"/>
  <c r="O236" i="1"/>
  <c r="X243" i="1"/>
  <c r="V247" i="1"/>
  <c r="AA247" i="1"/>
  <c r="L8" i="4" s="1"/>
  <c r="AY247" i="1"/>
  <c r="P8" i="4" s="1"/>
  <c r="BD247" i="1"/>
  <c r="BR247" i="1"/>
  <c r="BW247" i="1"/>
  <c r="T8" i="4" s="1"/>
  <c r="CB247" i="1"/>
  <c r="I293" i="1"/>
  <c r="CC293" i="1"/>
  <c r="I294" i="1"/>
  <c r="I21" i="4" s="1"/>
  <c r="BE294" i="1"/>
  <c r="Q21" i="4" s="1"/>
  <c r="CC366" i="1"/>
  <c r="CP380" i="1"/>
  <c r="CQ380" i="1" s="1"/>
  <c r="CR380" i="1" s="1"/>
  <c r="CS380" i="1" s="1"/>
  <c r="J34" i="3"/>
  <c r="K34" i="3"/>
  <c r="D34" i="3"/>
  <c r="F34" i="3"/>
  <c r="C135" i="1"/>
  <c r="C124" i="1"/>
  <c r="G135" i="1"/>
  <c r="G124" i="1"/>
  <c r="G129" i="1"/>
  <c r="K135" i="1"/>
  <c r="K124" i="1"/>
  <c r="S135" i="1"/>
  <c r="S124" i="1"/>
  <c r="S129" i="1"/>
  <c r="W135" i="1"/>
  <c r="W124" i="1"/>
  <c r="W129" i="1"/>
  <c r="AA135" i="1"/>
  <c r="AA124" i="1"/>
  <c r="AA129" i="1"/>
  <c r="AI129" i="1"/>
  <c r="AM135" i="1"/>
  <c r="AM124" i="1"/>
  <c r="AM129" i="1"/>
  <c r="AQ135" i="1"/>
  <c r="AQ124" i="1"/>
  <c r="AQ129" i="1"/>
  <c r="AY135" i="1"/>
  <c r="AY124" i="1"/>
  <c r="AY129" i="1"/>
  <c r="AD133" i="1"/>
  <c r="I135" i="1"/>
  <c r="I124" i="1"/>
  <c r="AC129" i="1"/>
  <c r="AC135" i="1"/>
  <c r="AC124" i="1"/>
  <c r="BA124" i="1"/>
  <c r="X20" i="1"/>
  <c r="BT29" i="1"/>
  <c r="X37" i="1"/>
  <c r="I39" i="1"/>
  <c r="AL59" i="1"/>
  <c r="CY72" i="1"/>
  <c r="CI76" i="1"/>
  <c r="CX72" i="1"/>
  <c r="CI74" i="1"/>
  <c r="CM97" i="1"/>
  <c r="AD12" i="1"/>
  <c r="BZ12" i="1"/>
  <c r="M135" i="1"/>
  <c r="M124" i="1"/>
  <c r="Y129" i="1"/>
  <c r="Y135" i="1"/>
  <c r="Y124" i="1"/>
  <c r="AO135" i="1"/>
  <c r="AO124" i="1"/>
  <c r="X22" i="1"/>
  <c r="AV22" i="1"/>
  <c r="X29" i="1"/>
  <c r="AV29" i="1"/>
  <c r="E39" i="1"/>
  <c r="AP49" i="1"/>
  <c r="BN49" i="1"/>
  <c r="CL49" i="1"/>
  <c r="V59" i="1"/>
  <c r="CD78" i="1"/>
  <c r="CJ78" i="1"/>
  <c r="CD76" i="1"/>
  <c r="CW72" i="1"/>
  <c r="AE135" i="1"/>
  <c r="AE124" i="1"/>
  <c r="AE129" i="1"/>
  <c r="CI299" i="1"/>
  <c r="CI139" i="1"/>
  <c r="H13" i="4"/>
  <c r="H256" i="1"/>
  <c r="H15" i="4" s="1"/>
  <c r="H200" i="1"/>
  <c r="H186" i="1"/>
  <c r="H164" i="1"/>
  <c r="CN122" i="1"/>
  <c r="CM12" i="1"/>
  <c r="CR14" i="1"/>
  <c r="R135" i="1"/>
  <c r="Z135" i="1"/>
  <c r="Z124" i="1"/>
  <c r="AD135" i="1"/>
  <c r="AH135" i="1"/>
  <c r="AH124" i="1"/>
  <c r="AP135" i="1"/>
  <c r="BF123" i="1"/>
  <c r="BJ123" i="1"/>
  <c r="BN16" i="1"/>
  <c r="BN18" i="1" s="1"/>
  <c r="BR123" i="1"/>
  <c r="BV123" i="1"/>
  <c r="CD123" i="1"/>
  <c r="CH123" i="1"/>
  <c r="CL16" i="1"/>
  <c r="AZ18" i="1"/>
  <c r="BD18" i="1"/>
  <c r="BL18" i="1"/>
  <c r="BP18" i="1"/>
  <c r="BX18" i="1"/>
  <c r="CB18" i="1"/>
  <c r="CJ18" i="1"/>
  <c r="L19" i="1"/>
  <c r="X19" i="1"/>
  <c r="AJ19" i="1"/>
  <c r="AV19" i="1"/>
  <c r="BH19" i="1"/>
  <c r="BT19" i="1"/>
  <c r="CF19" i="1"/>
  <c r="E20" i="1"/>
  <c r="I20" i="1"/>
  <c r="M20" i="1"/>
  <c r="Q20" i="1"/>
  <c r="U20" i="1"/>
  <c r="Y20" i="1"/>
  <c r="AC20" i="1"/>
  <c r="AG20" i="1"/>
  <c r="AK20" i="1"/>
  <c r="AO20" i="1"/>
  <c r="AS20" i="1"/>
  <c r="AW20" i="1"/>
  <c r="BA20" i="1"/>
  <c r="BE20" i="1"/>
  <c r="BI20" i="1"/>
  <c r="BM20" i="1"/>
  <c r="BQ20" i="1"/>
  <c r="BU20" i="1"/>
  <c r="BY20" i="1"/>
  <c r="CC20" i="1"/>
  <c r="CG20" i="1"/>
  <c r="CK20" i="1"/>
  <c r="X21" i="1"/>
  <c r="AJ21" i="1"/>
  <c r="AV21" i="1"/>
  <c r="BH21" i="1"/>
  <c r="BT21" i="1"/>
  <c r="CF21" i="1"/>
  <c r="D22" i="1"/>
  <c r="H22" i="1"/>
  <c r="Q22" i="1"/>
  <c r="U22" i="1"/>
  <c r="Y22" i="1"/>
  <c r="AC22" i="1"/>
  <c r="AG22" i="1"/>
  <c r="AK22" i="1"/>
  <c r="AO22" i="1"/>
  <c r="AS22" i="1"/>
  <c r="AW22" i="1"/>
  <c r="BA22" i="1"/>
  <c r="BE22" i="1"/>
  <c r="BI22" i="1"/>
  <c r="BM22" i="1"/>
  <c r="BQ22" i="1"/>
  <c r="BU22" i="1"/>
  <c r="BY22" i="1"/>
  <c r="CC22" i="1"/>
  <c r="CG22" i="1"/>
  <c r="CK22" i="1"/>
  <c r="CP31" i="1"/>
  <c r="BB33" i="1"/>
  <c r="BZ33" i="1"/>
  <c r="AZ35" i="1"/>
  <c r="BD35" i="1"/>
  <c r="BL35" i="1"/>
  <c r="BP35" i="1"/>
  <c r="BX35" i="1"/>
  <c r="CB35" i="1"/>
  <c r="CJ35" i="1"/>
  <c r="AD36" i="1"/>
  <c r="BB36" i="1"/>
  <c r="BZ36" i="1"/>
  <c r="Q37" i="1"/>
  <c r="U37" i="1"/>
  <c r="Y37" i="1"/>
  <c r="AC37" i="1"/>
  <c r="AG37" i="1"/>
  <c r="AK37" i="1"/>
  <c r="AO37" i="1"/>
  <c r="AS37" i="1"/>
  <c r="AW37" i="1"/>
  <c r="BA37" i="1"/>
  <c r="BE37" i="1"/>
  <c r="BI37" i="1"/>
  <c r="BM37" i="1"/>
  <c r="BQ37" i="1"/>
  <c r="BU37" i="1"/>
  <c r="BY37" i="1"/>
  <c r="CC37" i="1"/>
  <c r="CG37" i="1"/>
  <c r="CK37" i="1"/>
  <c r="AJ38" i="1"/>
  <c r="BH38" i="1"/>
  <c r="CF38" i="1"/>
  <c r="CI39" i="1"/>
  <c r="CP48" i="1"/>
  <c r="CM49" i="1"/>
  <c r="R58" i="1"/>
  <c r="AP58" i="1"/>
  <c r="BN58" i="1"/>
  <c r="CL58" i="1"/>
  <c r="CR51" i="1"/>
  <c r="G59" i="1"/>
  <c r="O59" i="1"/>
  <c r="S59" i="1"/>
  <c r="W59" i="1"/>
  <c r="AA59" i="1"/>
  <c r="AE59" i="1"/>
  <c r="AI59" i="1"/>
  <c r="AM59" i="1"/>
  <c r="AQ59" i="1"/>
  <c r="AU59" i="1"/>
  <c r="AY59" i="1"/>
  <c r="BC59" i="1"/>
  <c r="BG59" i="1"/>
  <c r="BK59" i="1"/>
  <c r="BO59" i="1"/>
  <c r="BS59" i="1"/>
  <c r="BW59" i="1"/>
  <c r="CA59" i="1"/>
  <c r="CE59" i="1"/>
  <c r="CI59" i="1"/>
  <c r="CW53" i="1"/>
  <c r="BA55" i="1"/>
  <c r="BE55" i="1"/>
  <c r="BI55" i="1"/>
  <c r="BM55" i="1"/>
  <c r="BQ55" i="1"/>
  <c r="BU55" i="1"/>
  <c r="BY55" i="1"/>
  <c r="CC55" i="1"/>
  <c r="CG55" i="1"/>
  <c r="CK55" i="1"/>
  <c r="E57" i="1"/>
  <c r="AJ58" i="1"/>
  <c r="CF58" i="1"/>
  <c r="Q59" i="1"/>
  <c r="Y59" i="1"/>
  <c r="AG59" i="1"/>
  <c r="AO59" i="1"/>
  <c r="AW59" i="1"/>
  <c r="BE59" i="1"/>
  <c r="BM59" i="1"/>
  <c r="BU59" i="1"/>
  <c r="CC59" i="1"/>
  <c r="CK59" i="1"/>
  <c r="L75" i="1"/>
  <c r="Q78" i="1"/>
  <c r="U78" i="1"/>
  <c r="Y78" i="1"/>
  <c r="AC78" i="1"/>
  <c r="AG78" i="1"/>
  <c r="AK78" i="1"/>
  <c r="AO78" i="1"/>
  <c r="AS78" i="1"/>
  <c r="AW78" i="1"/>
  <c r="BJ78" i="1"/>
  <c r="BP78" i="1"/>
  <c r="BJ76" i="1"/>
  <c r="BR78" i="1"/>
  <c r="BX78" i="1"/>
  <c r="BR76" i="1"/>
  <c r="BW76" i="1"/>
  <c r="BW74" i="1"/>
  <c r="CA76" i="1"/>
  <c r="CA74" i="1"/>
  <c r="CE76" i="1"/>
  <c r="CE74" i="1"/>
  <c r="BJ74" i="1"/>
  <c r="CY75" i="1"/>
  <c r="S78" i="1"/>
  <c r="AI78" i="1"/>
  <c r="AY78" i="1"/>
  <c r="CE78" i="1"/>
  <c r="AV124" i="1"/>
  <c r="BN215" i="1"/>
  <c r="BN140" i="1"/>
  <c r="BN139" i="1" s="1"/>
  <c r="CL371" i="1"/>
  <c r="CL140" i="1"/>
  <c r="CN125" i="1"/>
  <c r="CM125" i="1"/>
  <c r="F128" i="1"/>
  <c r="R129" i="1"/>
  <c r="AT133" i="1"/>
  <c r="BJ133" i="1"/>
  <c r="AV135" i="1"/>
  <c r="CL362" i="1"/>
  <c r="CL361" i="1"/>
  <c r="CL138" i="1"/>
  <c r="CN138" i="1" s="1"/>
  <c r="CW253" i="1"/>
  <c r="C160" i="1"/>
  <c r="S160" i="1"/>
  <c r="S134" i="1" s="1"/>
  <c r="AI160" i="1"/>
  <c r="AI134" i="1" s="1"/>
  <c r="AY160" i="1"/>
  <c r="BO160" i="1"/>
  <c r="CE160" i="1"/>
  <c r="CE134" i="1" s="1"/>
  <c r="R206" i="1"/>
  <c r="AP206" i="1"/>
  <c r="BN206" i="1"/>
  <c r="CL206" i="1"/>
  <c r="J254" i="1"/>
  <c r="J201" i="1"/>
  <c r="N254" i="1"/>
  <c r="N201" i="1"/>
  <c r="AH255" i="1"/>
  <c r="AH254" i="1"/>
  <c r="AH249" i="1"/>
  <c r="AH201" i="1"/>
  <c r="AL255" i="1"/>
  <c r="AL249" i="1"/>
  <c r="AL254" i="1"/>
  <c r="AL201" i="1"/>
  <c r="E135" i="1"/>
  <c r="E124" i="1"/>
  <c r="U135" i="1"/>
  <c r="U124" i="1"/>
  <c r="AK129" i="1"/>
  <c r="AK135" i="1"/>
  <c r="AK124" i="1"/>
  <c r="AS129" i="1"/>
  <c r="AS135" i="1"/>
  <c r="AS124" i="1"/>
  <c r="BI124" i="1"/>
  <c r="AV37" i="1"/>
  <c r="BH56" i="1"/>
  <c r="AT59" i="1"/>
  <c r="CH59" i="1"/>
  <c r="BV78" i="1"/>
  <c r="CB78" i="1"/>
  <c r="BV76" i="1"/>
  <c r="BV74" i="1"/>
  <c r="BK299" i="1"/>
  <c r="BK139" i="1"/>
  <c r="AE160" i="1"/>
  <c r="AE134" i="1" s="1"/>
  <c r="CJ210" i="1"/>
  <c r="L122" i="1"/>
  <c r="AJ122" i="1"/>
  <c r="BH122" i="1"/>
  <c r="CF122" i="1"/>
  <c r="CO11" i="1"/>
  <c r="X12" i="1"/>
  <c r="AJ12" i="1"/>
  <c r="AV12" i="1"/>
  <c r="BH12" i="1"/>
  <c r="BT12" i="1"/>
  <c r="CF12" i="1"/>
  <c r="CS14" i="1"/>
  <c r="CW16" i="1"/>
  <c r="BA18" i="1"/>
  <c r="BE18" i="1"/>
  <c r="BI18" i="1"/>
  <c r="BM18" i="1"/>
  <c r="BQ18" i="1"/>
  <c r="BU18" i="1"/>
  <c r="BY18" i="1"/>
  <c r="CC18" i="1"/>
  <c r="CG18" i="1"/>
  <c r="CK18" i="1"/>
  <c r="R20" i="1"/>
  <c r="AD20" i="1"/>
  <c r="AP20" i="1"/>
  <c r="E22" i="1"/>
  <c r="I22" i="1"/>
  <c r="R22" i="1"/>
  <c r="V22" i="1"/>
  <c r="Z22" i="1"/>
  <c r="AD22" i="1"/>
  <c r="AH22" i="1"/>
  <c r="AL22" i="1"/>
  <c r="AP22" i="1"/>
  <c r="AT22" i="1"/>
  <c r="AX22" i="1"/>
  <c r="BF22" i="1"/>
  <c r="BJ22" i="1"/>
  <c r="BR22" i="1"/>
  <c r="BV22" i="1"/>
  <c r="CD22" i="1"/>
  <c r="CH22" i="1"/>
  <c r="CO28" i="1"/>
  <c r="R29" i="1"/>
  <c r="AD29" i="1"/>
  <c r="AP29" i="1"/>
  <c r="BB29" i="1"/>
  <c r="BZ29" i="1"/>
  <c r="CQ31" i="1"/>
  <c r="BA35" i="1"/>
  <c r="BE35" i="1"/>
  <c r="BI35" i="1"/>
  <c r="BM35" i="1"/>
  <c r="BQ35" i="1"/>
  <c r="BU35" i="1"/>
  <c r="BY35" i="1"/>
  <c r="CC35" i="1"/>
  <c r="CG35" i="1"/>
  <c r="CK35" i="1"/>
  <c r="AJ49" i="1"/>
  <c r="CN49" i="1"/>
  <c r="CS51" i="1"/>
  <c r="P59" i="1"/>
  <c r="T59" i="1"/>
  <c r="X59" i="1"/>
  <c r="AB59" i="1"/>
  <c r="AF59" i="1"/>
  <c r="AJ59" i="1"/>
  <c r="AN59" i="1"/>
  <c r="AR59" i="1"/>
  <c r="AV59" i="1"/>
  <c r="AZ59" i="1"/>
  <c r="BD59" i="1"/>
  <c r="BL59" i="1"/>
  <c r="BP59" i="1"/>
  <c r="BX59" i="1"/>
  <c r="CB59" i="1"/>
  <c r="CJ59" i="1"/>
  <c r="BF55" i="1"/>
  <c r="BJ55" i="1"/>
  <c r="BR55" i="1"/>
  <c r="BV55" i="1"/>
  <c r="CD55" i="1"/>
  <c r="CH55" i="1"/>
  <c r="R56" i="1"/>
  <c r="AD56" i="1"/>
  <c r="AP56" i="1"/>
  <c r="BB56" i="1"/>
  <c r="BN56" i="1"/>
  <c r="BZ56" i="1"/>
  <c r="CL56" i="1"/>
  <c r="G57" i="1"/>
  <c r="S57" i="1"/>
  <c r="AA57" i="1"/>
  <c r="AI57" i="1"/>
  <c r="AQ57" i="1"/>
  <c r="AY57" i="1"/>
  <c r="R59" i="1"/>
  <c r="Z59" i="1"/>
  <c r="AH59" i="1"/>
  <c r="AP59" i="1"/>
  <c r="AX59" i="1"/>
  <c r="BF59" i="1"/>
  <c r="BV59" i="1"/>
  <c r="CD59" i="1"/>
  <c r="CS70" i="1"/>
  <c r="CR70" i="1"/>
  <c r="T78" i="1"/>
  <c r="N76" i="1"/>
  <c r="R78" i="1"/>
  <c r="X78" i="1"/>
  <c r="R76" i="1"/>
  <c r="V78" i="1"/>
  <c r="AB78" i="1"/>
  <c r="V76" i="1"/>
  <c r="Z78" i="1"/>
  <c r="AF78" i="1"/>
  <c r="Z76" i="1"/>
  <c r="AD78" i="1"/>
  <c r="AJ78" i="1"/>
  <c r="AD76" i="1"/>
  <c r="AH78" i="1"/>
  <c r="AN78" i="1"/>
  <c r="AH76" i="1"/>
  <c r="AL78" i="1"/>
  <c r="AR78" i="1"/>
  <c r="AL76" i="1"/>
  <c r="AP78" i="1"/>
  <c r="AV78" i="1"/>
  <c r="AP76" i="1"/>
  <c r="AT78" i="1"/>
  <c r="AZ78" i="1"/>
  <c r="AT76" i="1"/>
  <c r="AX78" i="1"/>
  <c r="BD78" i="1"/>
  <c r="AX76" i="1"/>
  <c r="BF78" i="1"/>
  <c r="BL78" i="1"/>
  <c r="BF76" i="1"/>
  <c r="BK76" i="1"/>
  <c r="BK74" i="1"/>
  <c r="BO76" i="1"/>
  <c r="BO74" i="1"/>
  <c r="BS76" i="1"/>
  <c r="BS74" i="1"/>
  <c r="BT72" i="1"/>
  <c r="CD74" i="1"/>
  <c r="AD75" i="1"/>
  <c r="BZ75" i="1"/>
  <c r="W78" i="1"/>
  <c r="AM78" i="1"/>
  <c r="BS78" i="1"/>
  <c r="CI78" i="1"/>
  <c r="AP122" i="1"/>
  <c r="AP127" i="1" s="1"/>
  <c r="CL122" i="1"/>
  <c r="T124" i="1"/>
  <c r="CI127" i="1"/>
  <c r="CY126" i="1"/>
  <c r="CX126" i="1"/>
  <c r="AH133" i="1"/>
  <c r="AX133" i="1"/>
  <c r="CD133" i="1"/>
  <c r="C134" i="1"/>
  <c r="AY134" i="1"/>
  <c r="T135" i="1"/>
  <c r="CX138" i="1"/>
  <c r="CW138" i="1"/>
  <c r="C299" i="1"/>
  <c r="C139" i="1"/>
  <c r="G299" i="1"/>
  <c r="G139" i="1"/>
  <c r="O299" i="1"/>
  <c r="O139" i="1"/>
  <c r="AA299" i="1"/>
  <c r="AA139" i="1"/>
  <c r="AM299" i="1"/>
  <c r="AM139" i="1"/>
  <c r="AY299" i="1"/>
  <c r="AY139" i="1"/>
  <c r="BW299" i="1"/>
  <c r="BW139" i="1"/>
  <c r="G160" i="1"/>
  <c r="H250" i="1" s="1"/>
  <c r="W160" i="1"/>
  <c r="AM160" i="1"/>
  <c r="BC160" i="1"/>
  <c r="BC134" i="1" s="1"/>
  <c r="BS160" i="1"/>
  <c r="CI160" i="1"/>
  <c r="CI134" i="1" s="1"/>
  <c r="CL215" i="1"/>
  <c r="BB12" i="1"/>
  <c r="Q129" i="1"/>
  <c r="Q135" i="1"/>
  <c r="Q124" i="1"/>
  <c r="AG129" i="1"/>
  <c r="AG135" i="1"/>
  <c r="AG124" i="1"/>
  <c r="AW129" i="1"/>
  <c r="AW135" i="1"/>
  <c r="AW124" i="1"/>
  <c r="AV20" i="1"/>
  <c r="AD39" i="1"/>
  <c r="F57" i="1"/>
  <c r="F59" i="1"/>
  <c r="AD59" i="1"/>
  <c r="BJ59" i="1"/>
  <c r="BR59" i="1"/>
  <c r="CP14" i="1"/>
  <c r="BH16" i="1"/>
  <c r="BH18" i="1" s="1"/>
  <c r="CF16" i="1"/>
  <c r="CF18" i="1" s="1"/>
  <c r="AD19" i="1"/>
  <c r="BB19" i="1"/>
  <c r="BZ19" i="1"/>
  <c r="R21" i="1"/>
  <c r="AD21" i="1"/>
  <c r="AP21" i="1"/>
  <c r="BB21" i="1"/>
  <c r="BN21" i="1"/>
  <c r="BZ21" i="1"/>
  <c r="CL21" i="1"/>
  <c r="F22" i="1"/>
  <c r="O22" i="1"/>
  <c r="S22" i="1"/>
  <c r="W22" i="1"/>
  <c r="AA22" i="1"/>
  <c r="AE22" i="1"/>
  <c r="AI22" i="1"/>
  <c r="AM22" i="1"/>
  <c r="AQ22" i="1"/>
  <c r="AU22" i="1"/>
  <c r="AY22" i="1"/>
  <c r="BC22" i="1"/>
  <c r="BG22" i="1"/>
  <c r="BK22" i="1"/>
  <c r="BO22" i="1"/>
  <c r="BS22" i="1"/>
  <c r="BW22" i="1"/>
  <c r="CA22" i="1"/>
  <c r="CE22" i="1"/>
  <c r="CI22" i="1"/>
  <c r="L36" i="1"/>
  <c r="AJ36" i="1"/>
  <c r="BH36" i="1"/>
  <c r="CF36" i="1"/>
  <c r="CY56" i="1"/>
  <c r="U59" i="1"/>
  <c r="AC59" i="1"/>
  <c r="AK59" i="1"/>
  <c r="AS59" i="1"/>
  <c r="BA59" i="1"/>
  <c r="BI59" i="1"/>
  <c r="BQ59" i="1"/>
  <c r="BY59" i="1"/>
  <c r="CG59" i="1"/>
  <c r="X77" i="1"/>
  <c r="X75" i="1"/>
  <c r="AV77" i="1"/>
  <c r="AV75" i="1"/>
  <c r="BT77" i="1"/>
  <c r="BT75" i="1"/>
  <c r="G76" i="1"/>
  <c r="G78" i="1"/>
  <c r="BC76" i="1"/>
  <c r="BC74" i="1"/>
  <c r="BG76" i="1"/>
  <c r="BG74" i="1"/>
  <c r="CH78" i="1"/>
  <c r="CH76" i="1"/>
  <c r="CH74" i="1"/>
  <c r="AA78" i="1"/>
  <c r="AQ78" i="1"/>
  <c r="BG78" i="1"/>
  <c r="AN124" i="1"/>
  <c r="Z129" i="1"/>
  <c r="V133" i="1"/>
  <c r="AL133" i="1"/>
  <c r="BR133" i="1"/>
  <c r="CH133" i="1"/>
  <c r="X135" i="1"/>
  <c r="AD248" i="1"/>
  <c r="X246" i="1"/>
  <c r="X142" i="1"/>
  <c r="X138" i="1"/>
  <c r="X156" i="1"/>
  <c r="BB248" i="1"/>
  <c r="AV246" i="1"/>
  <c r="AV142" i="1"/>
  <c r="AV138" i="1"/>
  <c r="AV156" i="1"/>
  <c r="BZ248" i="1"/>
  <c r="BT246" i="1"/>
  <c r="BT142" i="1"/>
  <c r="BT138" i="1"/>
  <c r="BT156" i="1"/>
  <c r="K160" i="1"/>
  <c r="AA256" i="1"/>
  <c r="L15" i="4" s="1"/>
  <c r="AQ160" i="1"/>
  <c r="BW160" i="1"/>
  <c r="AV194" i="1"/>
  <c r="P78" i="1"/>
  <c r="CP108" i="1"/>
  <c r="CP116" i="1"/>
  <c r="CP117" i="1"/>
  <c r="CP125" i="1" s="1"/>
  <c r="CW122" i="1"/>
  <c r="BT215" i="1"/>
  <c r="E127" i="1"/>
  <c r="I127" i="1"/>
  <c r="M127" i="1"/>
  <c r="Q127" i="1"/>
  <c r="U127" i="1"/>
  <c r="Y127" i="1"/>
  <c r="AC127" i="1"/>
  <c r="AG127" i="1"/>
  <c r="AK127" i="1"/>
  <c r="AO127" i="1"/>
  <c r="AS127" i="1"/>
  <c r="AW127" i="1"/>
  <c r="BA127" i="1"/>
  <c r="BE127" i="1"/>
  <c r="BI127" i="1"/>
  <c r="BM127" i="1"/>
  <c r="BQ127" i="1"/>
  <c r="BU127" i="1"/>
  <c r="BY127" i="1"/>
  <c r="CC127" i="1"/>
  <c r="CG127" i="1"/>
  <c r="CK127" i="1"/>
  <c r="G128" i="1"/>
  <c r="P128" i="1"/>
  <c r="T128" i="1"/>
  <c r="AB128" i="1"/>
  <c r="AF128" i="1"/>
  <c r="AN128" i="1"/>
  <c r="AR128" i="1"/>
  <c r="AZ128" i="1"/>
  <c r="BD128" i="1"/>
  <c r="BL128" i="1"/>
  <c r="BP128" i="1"/>
  <c r="BX128" i="1"/>
  <c r="CB128" i="1"/>
  <c r="CJ128" i="1"/>
  <c r="CI133" i="1"/>
  <c r="BT140" i="1"/>
  <c r="BT139" i="1" s="1"/>
  <c r="AD246" i="1"/>
  <c r="AJ248" i="1"/>
  <c r="BH248" i="1"/>
  <c r="BB246" i="1"/>
  <c r="CF248" i="1"/>
  <c r="BZ246" i="1"/>
  <c r="X259" i="1"/>
  <c r="AV259" i="1"/>
  <c r="BT259" i="1"/>
  <c r="D160" i="1"/>
  <c r="P160" i="1"/>
  <c r="T160" i="1"/>
  <c r="AB160" i="1"/>
  <c r="AB134" i="1" s="1"/>
  <c r="AF160" i="1"/>
  <c r="AN160" i="1"/>
  <c r="AR160" i="1"/>
  <c r="AZ160" i="1"/>
  <c r="AZ134" i="1" s="1"/>
  <c r="BD160" i="1"/>
  <c r="BL160" i="1"/>
  <c r="BL134" i="1" s="1"/>
  <c r="BP160" i="1"/>
  <c r="BX160" i="1"/>
  <c r="CB160" i="1"/>
  <c r="CB134" i="1" s="1"/>
  <c r="CJ160" i="1"/>
  <c r="R208" i="1"/>
  <c r="R214" i="1"/>
  <c r="AP208" i="1"/>
  <c r="AP214" i="1"/>
  <c r="BN208" i="1"/>
  <c r="BN214" i="1"/>
  <c r="CL208" i="1"/>
  <c r="CL214" i="1"/>
  <c r="L194" i="1"/>
  <c r="X194" i="1"/>
  <c r="AD255" i="1"/>
  <c r="AD249" i="1"/>
  <c r="AD254" i="1"/>
  <c r="AD201" i="1"/>
  <c r="AZ74" i="1"/>
  <c r="BD74" i="1"/>
  <c r="BL74" i="1"/>
  <c r="BP74" i="1"/>
  <c r="BX74" i="1"/>
  <c r="CB74" i="1"/>
  <c r="CJ74" i="1"/>
  <c r="AJ75" i="1"/>
  <c r="BH75" i="1"/>
  <c r="CF75" i="1"/>
  <c r="D78" i="1"/>
  <c r="H78" i="1"/>
  <c r="BA78" i="1"/>
  <c r="BE78" i="1"/>
  <c r="BI78" i="1"/>
  <c r="BM78" i="1"/>
  <c r="BQ78" i="1"/>
  <c r="BU78" i="1"/>
  <c r="BY78" i="1"/>
  <c r="CC78" i="1"/>
  <c r="CG78" i="1"/>
  <c r="CK78" i="1"/>
  <c r="CQ108" i="1"/>
  <c r="CX122" i="1"/>
  <c r="BB215" i="1"/>
  <c r="BZ215" i="1"/>
  <c r="F127" i="1"/>
  <c r="J127" i="1"/>
  <c r="N127" i="1"/>
  <c r="V127" i="1"/>
  <c r="Z127" i="1"/>
  <c r="AH127" i="1"/>
  <c r="AL127" i="1"/>
  <c r="AT127" i="1"/>
  <c r="AX127" i="1"/>
  <c r="BF127" i="1"/>
  <c r="BJ127" i="1"/>
  <c r="BR127" i="1"/>
  <c r="BV127" i="1"/>
  <c r="CD127" i="1"/>
  <c r="CH127" i="1"/>
  <c r="D128" i="1"/>
  <c r="H128" i="1"/>
  <c r="Q128" i="1"/>
  <c r="U128" i="1"/>
  <c r="Y128" i="1"/>
  <c r="AC128" i="1"/>
  <c r="AG128" i="1"/>
  <c r="AK128" i="1"/>
  <c r="AO128" i="1"/>
  <c r="AS128" i="1"/>
  <c r="AW128" i="1"/>
  <c r="BA128" i="1"/>
  <c r="BE128" i="1"/>
  <c r="BI128" i="1"/>
  <c r="BM128" i="1"/>
  <c r="BQ128" i="1"/>
  <c r="BU128" i="1"/>
  <c r="BY128" i="1"/>
  <c r="CC128" i="1"/>
  <c r="CG128" i="1"/>
  <c r="CK128" i="1"/>
  <c r="CJ133" i="1"/>
  <c r="D139" i="1"/>
  <c r="H139" i="1"/>
  <c r="CJ139" i="1"/>
  <c r="AD141" i="1"/>
  <c r="BB141" i="1"/>
  <c r="BZ141" i="1"/>
  <c r="R248" i="1"/>
  <c r="AP248" i="1"/>
  <c r="AJ246" i="1"/>
  <c r="BN248" i="1"/>
  <c r="BH246" i="1"/>
  <c r="CL248" i="1"/>
  <c r="CF246" i="1"/>
  <c r="CX253" i="1"/>
  <c r="AD259" i="1"/>
  <c r="BB259" i="1"/>
  <c r="BZ259" i="1"/>
  <c r="E160" i="1"/>
  <c r="I160" i="1"/>
  <c r="M160" i="1"/>
  <c r="M134" i="1" s="1"/>
  <c r="Q160" i="1"/>
  <c r="U160" i="1"/>
  <c r="Y160" i="1"/>
  <c r="AC160" i="1"/>
  <c r="AC134" i="1" s="1"/>
  <c r="AG160" i="1"/>
  <c r="AK160" i="1"/>
  <c r="AO160" i="1"/>
  <c r="AO134" i="1" s="1"/>
  <c r="AS160" i="1"/>
  <c r="AS134" i="1" s="1"/>
  <c r="AW160" i="1"/>
  <c r="BA160" i="1"/>
  <c r="BE160" i="1"/>
  <c r="BI160" i="1"/>
  <c r="BM160" i="1"/>
  <c r="BQ160" i="1"/>
  <c r="BQ134" i="1" s="1"/>
  <c r="BU160" i="1"/>
  <c r="BY160" i="1"/>
  <c r="BY134" i="1" s="1"/>
  <c r="CC160" i="1"/>
  <c r="CC134" i="1" s="1"/>
  <c r="CG160" i="1"/>
  <c r="CK160" i="1"/>
  <c r="X214" i="1"/>
  <c r="X208" i="1"/>
  <c r="AV214" i="1"/>
  <c r="BT214" i="1"/>
  <c r="BT208" i="1"/>
  <c r="CF192" i="1"/>
  <c r="CF199" i="1" s="1"/>
  <c r="CF210" i="1" s="1"/>
  <c r="V255" i="1"/>
  <c r="V249" i="1"/>
  <c r="V254" i="1"/>
  <c r="V201" i="1"/>
  <c r="Z255" i="1"/>
  <c r="Z249" i="1"/>
  <c r="Z254" i="1"/>
  <c r="Z201" i="1"/>
  <c r="AT255" i="1"/>
  <c r="AT249" i="1"/>
  <c r="AT254" i="1"/>
  <c r="AT201" i="1"/>
  <c r="AX255" i="1"/>
  <c r="AX254" i="1"/>
  <c r="AX201" i="1"/>
  <c r="AX249" i="1"/>
  <c r="CR108" i="1"/>
  <c r="BH215" i="1"/>
  <c r="CF215" i="1"/>
  <c r="E128" i="1"/>
  <c r="I128" i="1"/>
  <c r="BB140" i="1"/>
  <c r="BB139" i="1" s="1"/>
  <c r="BZ140" i="1"/>
  <c r="BZ139" i="1" s="1"/>
  <c r="X248" i="1"/>
  <c r="R246" i="1"/>
  <c r="AV248" i="1"/>
  <c r="AP246" i="1"/>
  <c r="AP194" i="1"/>
  <c r="BT248" i="1"/>
  <c r="BN246" i="1"/>
  <c r="CL360" i="1"/>
  <c r="CL364" i="1"/>
  <c r="CL359" i="1"/>
  <c r="CL298" i="1"/>
  <c r="CL363" i="1"/>
  <c r="CL246" i="1"/>
  <c r="R156" i="1"/>
  <c r="AD156" i="1"/>
  <c r="AP156" i="1"/>
  <c r="BB156" i="1"/>
  <c r="BN156" i="1"/>
  <c r="BZ156" i="1"/>
  <c r="CL156" i="1"/>
  <c r="L259" i="1"/>
  <c r="AJ259" i="1"/>
  <c r="BH259" i="1"/>
  <c r="CF259" i="1"/>
  <c r="F160" i="1"/>
  <c r="F134" i="1" s="1"/>
  <c r="J160" i="1"/>
  <c r="J134" i="1" s="1"/>
  <c r="N160" i="1"/>
  <c r="V160" i="1"/>
  <c r="V134" i="1" s="1"/>
  <c r="Z160" i="1"/>
  <c r="Z134" i="1" s="1"/>
  <c r="AH160" i="1"/>
  <c r="AH134" i="1" s="1"/>
  <c r="AL160" i="1"/>
  <c r="AT160" i="1"/>
  <c r="AT134" i="1" s="1"/>
  <c r="AX160" i="1"/>
  <c r="AX134" i="1" s="1"/>
  <c r="BF160" i="1"/>
  <c r="BF134" i="1" s="1"/>
  <c r="BJ160" i="1"/>
  <c r="BR160" i="1"/>
  <c r="BR134" i="1" s="1"/>
  <c r="BV160" i="1"/>
  <c r="CD160" i="1"/>
  <c r="CD134" i="1" s="1"/>
  <c r="CH160" i="1"/>
  <c r="CO161" i="1"/>
  <c r="CO385" i="1" s="1"/>
  <c r="AD208" i="1"/>
  <c r="AD214" i="1"/>
  <c r="BB208" i="1"/>
  <c r="BB214" i="1"/>
  <c r="BZ208" i="1"/>
  <c r="BZ214" i="1"/>
  <c r="R194" i="1"/>
  <c r="R255" i="1"/>
  <c r="R254" i="1"/>
  <c r="R249" i="1"/>
  <c r="R201" i="1"/>
  <c r="AP255" i="1"/>
  <c r="AP249" i="1"/>
  <c r="AP254" i="1"/>
  <c r="AP201" i="1"/>
  <c r="L236" i="1"/>
  <c r="S254" i="1"/>
  <c r="S255" i="1"/>
  <c r="S249" i="1"/>
  <c r="W254" i="1"/>
  <c r="W255" i="1"/>
  <c r="W249" i="1"/>
  <c r="AE254" i="1"/>
  <c r="AE249" i="1"/>
  <c r="AI254" i="1"/>
  <c r="AI255" i="1"/>
  <c r="AI249" i="1"/>
  <c r="AQ254" i="1"/>
  <c r="AQ255" i="1"/>
  <c r="AQ249" i="1"/>
  <c r="AU254" i="1"/>
  <c r="AU249" i="1"/>
  <c r="CO207" i="1"/>
  <c r="AJ208" i="1"/>
  <c r="CF208" i="1"/>
  <c r="L243" i="1"/>
  <c r="AU255" i="1"/>
  <c r="AV235" i="1"/>
  <c r="AV236" i="1" s="1"/>
  <c r="AV243" i="1"/>
  <c r="L254" i="1"/>
  <c r="L201" i="1"/>
  <c r="P254" i="1"/>
  <c r="P255" i="1"/>
  <c r="P249" i="1"/>
  <c r="P201" i="1"/>
  <c r="T254" i="1"/>
  <c r="T249" i="1"/>
  <c r="T201" i="1"/>
  <c r="T255" i="1"/>
  <c r="X254" i="1"/>
  <c r="X249" i="1"/>
  <c r="X255" i="1"/>
  <c r="X201" i="1"/>
  <c r="AB254" i="1"/>
  <c r="AB249" i="1"/>
  <c r="AB255" i="1"/>
  <c r="AB201" i="1"/>
  <c r="AF254" i="1"/>
  <c r="AF249" i="1"/>
  <c r="AF255" i="1"/>
  <c r="AF201" i="1"/>
  <c r="AJ254" i="1"/>
  <c r="AJ249" i="1"/>
  <c r="AJ201" i="1"/>
  <c r="AJ255" i="1"/>
  <c r="AN254" i="1"/>
  <c r="AN249" i="1"/>
  <c r="AN255" i="1"/>
  <c r="AN201" i="1"/>
  <c r="AR254" i="1"/>
  <c r="AR249" i="1"/>
  <c r="AR255" i="1"/>
  <c r="AR201" i="1"/>
  <c r="AV201" i="1"/>
  <c r="K201" i="1"/>
  <c r="S201" i="1"/>
  <c r="AI201" i="1"/>
  <c r="AQ201" i="1"/>
  <c r="AJ214" i="1"/>
  <c r="CF214" i="1"/>
  <c r="AJ243" i="1"/>
  <c r="D29" i="3"/>
  <c r="D24" i="3" s="1"/>
  <c r="CO276" i="1"/>
  <c r="M201" i="1"/>
  <c r="M254" i="1"/>
  <c r="Q249" i="1"/>
  <c r="Q255" i="1"/>
  <c r="Q254" i="1"/>
  <c r="Q201" i="1"/>
  <c r="Y249" i="1"/>
  <c r="Y255" i="1"/>
  <c r="Y254" i="1"/>
  <c r="Y201" i="1"/>
  <c r="AC249" i="1"/>
  <c r="AC255" i="1"/>
  <c r="AC201" i="1"/>
  <c r="AC254" i="1"/>
  <c r="AK249" i="1"/>
  <c r="AK255" i="1"/>
  <c r="AK201" i="1"/>
  <c r="AO249" i="1"/>
  <c r="AO255" i="1"/>
  <c r="AO254" i="1"/>
  <c r="AO201" i="1"/>
  <c r="AW249" i="1"/>
  <c r="AW255" i="1"/>
  <c r="AW254" i="1"/>
  <c r="AW201" i="1"/>
  <c r="L208" i="1"/>
  <c r="BH208" i="1"/>
  <c r="AA236" i="1"/>
  <c r="E236" i="1"/>
  <c r="I236" i="1"/>
  <c r="AH252" i="1"/>
  <c r="AL252" i="1"/>
  <c r="AP243" i="1"/>
  <c r="AF247" i="1"/>
  <c r="CX259" i="1"/>
  <c r="AO236" i="1"/>
  <c r="AS236" i="1"/>
  <c r="AW236" i="1"/>
  <c r="V252" i="1"/>
  <c r="Z252" i="1"/>
  <c r="AD243" i="1"/>
  <c r="AD252" i="1" s="1"/>
  <c r="AN252" i="1"/>
  <c r="T247" i="1"/>
  <c r="BP247" i="1"/>
  <c r="AG247" i="1"/>
  <c r="M8" i="4" s="1"/>
  <c r="CC247" i="1"/>
  <c r="U8" i="4" s="1"/>
  <c r="O414" i="1"/>
  <c r="O417" i="1" s="1"/>
  <c r="O354" i="1"/>
  <c r="BK414" i="1"/>
  <c r="BK417" i="1" s="1"/>
  <c r="BK354" i="1"/>
  <c r="G414" i="1"/>
  <c r="G354" i="1"/>
  <c r="CO436" i="1"/>
  <c r="C54" i="3" s="1"/>
  <c r="CP342" i="1"/>
  <c r="F350" i="1"/>
  <c r="F404" i="1" s="1"/>
  <c r="AV254" i="1"/>
  <c r="AV249" i="1"/>
  <c r="AV255" i="1"/>
  <c r="CO224" i="1"/>
  <c r="R243" i="1"/>
  <c r="CY259" i="1"/>
  <c r="F294" i="1"/>
  <c r="F21" i="4" s="1"/>
  <c r="O294" i="1"/>
  <c r="J21" i="4" s="1"/>
  <c r="O296" i="1"/>
  <c r="O293" i="1"/>
  <c r="AM294" i="1"/>
  <c r="N21" i="4" s="1"/>
  <c r="AM296" i="1"/>
  <c r="BK294" i="1"/>
  <c r="BK296" i="1"/>
  <c r="BK293" i="1"/>
  <c r="CI294" i="1"/>
  <c r="V21" i="4" s="1"/>
  <c r="CY291" i="1"/>
  <c r="C31" i="2"/>
  <c r="CX291" i="1"/>
  <c r="CI293" i="1"/>
  <c r="CW291" i="1"/>
  <c r="CI296" i="1"/>
  <c r="CI414" i="1"/>
  <c r="CI417" i="1" s="1"/>
  <c r="CI354" i="1"/>
  <c r="C416" i="1"/>
  <c r="C341" i="1"/>
  <c r="G416" i="1"/>
  <c r="G341" i="1"/>
  <c r="U416" i="1"/>
  <c r="U341" i="1"/>
  <c r="AS416" i="1"/>
  <c r="AS341" i="1"/>
  <c r="BQ416" i="1"/>
  <c r="BQ341" i="1"/>
  <c r="O422" i="1"/>
  <c r="O350" i="1"/>
  <c r="O404" i="1" s="1"/>
  <c r="BK350" i="1"/>
  <c r="BK404" i="1" s="1"/>
  <c r="BK422" i="1"/>
  <c r="CI422" i="1"/>
  <c r="CI350" i="1"/>
  <c r="CI404" i="1" s="1"/>
  <c r="CS432" i="1"/>
  <c r="Q252" i="1"/>
  <c r="Y252" i="1"/>
  <c r="AC252" i="1"/>
  <c r="AK252" i="1"/>
  <c r="AO252" i="1"/>
  <c r="AW252" i="1"/>
  <c r="D414" i="1"/>
  <c r="D354" i="1"/>
  <c r="H414" i="1"/>
  <c r="H417" i="1" s="1"/>
  <c r="AA414" i="1"/>
  <c r="AA417" i="1" s="1"/>
  <c r="AA354" i="1"/>
  <c r="AY414" i="1"/>
  <c r="AY417" i="1" s="1"/>
  <c r="BW414" i="1"/>
  <c r="BW354" i="1"/>
  <c r="AM414" i="1"/>
  <c r="AM417" i="1" s="1"/>
  <c r="AM354" i="1"/>
  <c r="AY354" i="1"/>
  <c r="CO323" i="1"/>
  <c r="E414" i="1"/>
  <c r="I414" i="1"/>
  <c r="I354" i="1"/>
  <c r="AG414" i="1"/>
  <c r="BE414" i="1"/>
  <c r="BE354" i="1"/>
  <c r="CC414" i="1"/>
  <c r="F414" i="1"/>
  <c r="F417" i="1" s="1"/>
  <c r="F354" i="1"/>
  <c r="AS414" i="1"/>
  <c r="AS354" i="1"/>
  <c r="E422" i="1"/>
  <c r="E350" i="1"/>
  <c r="E404" i="1" s="1"/>
  <c r="E403" i="1" s="1"/>
  <c r="E408" i="1" s="1"/>
  <c r="I422" i="1"/>
  <c r="I350" i="1"/>
  <c r="AG422" i="1"/>
  <c r="AG350" i="1"/>
  <c r="AG404" i="1" s="1"/>
  <c r="AG403" i="1" s="1"/>
  <c r="AG408" i="1" s="1"/>
  <c r="BE422" i="1"/>
  <c r="BE350" i="1"/>
  <c r="CC422" i="1"/>
  <c r="CC350" i="1"/>
  <c r="CC404" i="1" s="1"/>
  <c r="CC403" i="1" s="1"/>
  <c r="CC408" i="1" s="1"/>
  <c r="E354" i="1"/>
  <c r="CC354" i="1"/>
  <c r="C21" i="4"/>
  <c r="G294" i="1"/>
  <c r="G21" i="4" s="1"/>
  <c r="G293" i="1"/>
  <c r="U294" i="1"/>
  <c r="K21" i="4" s="1"/>
  <c r="U293" i="1"/>
  <c r="AS294" i="1"/>
  <c r="O21" i="4" s="1"/>
  <c r="AS293" i="1"/>
  <c r="BQ294" i="1"/>
  <c r="S21" i="4" s="1"/>
  <c r="BQ293" i="1"/>
  <c r="G296" i="1"/>
  <c r="AS296" i="1"/>
  <c r="H341" i="1"/>
  <c r="AY341" i="1"/>
  <c r="F405" i="1"/>
  <c r="F426" i="1" s="1"/>
  <c r="F384" i="1"/>
  <c r="G385" i="1"/>
  <c r="O405" i="1"/>
  <c r="O426" i="1" s="1"/>
  <c r="O384" i="1"/>
  <c r="AM405" i="1"/>
  <c r="AM426" i="1" s="1"/>
  <c r="AM384" i="1"/>
  <c r="AS385" i="1"/>
  <c r="BK405" i="1"/>
  <c r="BK426" i="1" s="1"/>
  <c r="BK384" i="1"/>
  <c r="CI405" i="1"/>
  <c r="CI426" i="1" s="1"/>
  <c r="CI384" i="1"/>
  <c r="BQ384" i="1"/>
  <c r="U385" i="1"/>
  <c r="C405" i="1"/>
  <c r="C426" i="1" s="1"/>
  <c r="D293" i="1"/>
  <c r="H293" i="1"/>
  <c r="AA293" i="1"/>
  <c r="AY293" i="1"/>
  <c r="BW293" i="1"/>
  <c r="CY298" i="1"/>
  <c r="C414" i="1"/>
  <c r="C417" i="1" s="1"/>
  <c r="C354" i="1"/>
  <c r="U414" i="1"/>
  <c r="U354" i="1"/>
  <c r="BQ414" i="1"/>
  <c r="BQ417" i="1" s="1"/>
  <c r="BQ354" i="1"/>
  <c r="G405" i="1"/>
  <c r="G426" i="1" s="1"/>
  <c r="H385" i="1"/>
  <c r="H384" i="1"/>
  <c r="G384" i="1"/>
  <c r="AS405" i="1"/>
  <c r="AS426" i="1" s="1"/>
  <c r="AY385" i="1"/>
  <c r="AY384" i="1"/>
  <c r="AS384" i="1"/>
  <c r="AA385" i="1"/>
  <c r="D296" i="1"/>
  <c r="H296" i="1"/>
  <c r="AA296" i="1"/>
  <c r="AY296" i="1"/>
  <c r="BW296" i="1"/>
  <c r="F341" i="1"/>
  <c r="O341" i="1"/>
  <c r="AM341" i="1"/>
  <c r="BK341" i="1"/>
  <c r="CI341" i="1"/>
  <c r="D350" i="1"/>
  <c r="D404" i="1" s="1"/>
  <c r="H350" i="1"/>
  <c r="H404" i="1" s="1"/>
  <c r="H403" i="1" s="1"/>
  <c r="H408" i="1" s="1"/>
  <c r="AA350" i="1"/>
  <c r="AY350" i="1"/>
  <c r="AY404" i="1" s="1"/>
  <c r="AY403" i="1" s="1"/>
  <c r="AY408" i="1" s="1"/>
  <c r="BW350" i="1"/>
  <c r="BW404" i="1" s="1"/>
  <c r="F367" i="1"/>
  <c r="F366" i="1"/>
  <c r="O367" i="1"/>
  <c r="O366" i="1"/>
  <c r="AM367" i="1"/>
  <c r="AM366" i="1"/>
  <c r="BK367" i="1"/>
  <c r="BK366" i="1"/>
  <c r="CI367" i="1"/>
  <c r="CI366" i="1"/>
  <c r="G367" i="1"/>
  <c r="G366" i="1"/>
  <c r="U367" i="1"/>
  <c r="U366" i="1"/>
  <c r="AS367" i="1"/>
  <c r="AS366" i="1"/>
  <c r="BQ367" i="1"/>
  <c r="BQ366" i="1"/>
  <c r="E384" i="1"/>
  <c r="I384" i="1"/>
  <c r="AG384" i="1"/>
  <c r="BE384" i="1"/>
  <c r="CC384" i="1"/>
  <c r="I385" i="1"/>
  <c r="BE385" i="1"/>
  <c r="F385" i="1"/>
  <c r="O385" i="1"/>
  <c r="AM385" i="1"/>
  <c r="BK385" i="1"/>
  <c r="CI385" i="1"/>
  <c r="G34" i="3"/>
  <c r="M34" i="3"/>
  <c r="N34" i="3" s="1"/>
  <c r="I34" i="3"/>
  <c r="E34" i="3"/>
  <c r="H34" i="3"/>
  <c r="BC135" i="1" l="1"/>
  <c r="F129" i="1"/>
  <c r="C81" i="3"/>
  <c r="C87" i="3" s="1"/>
  <c r="CA186" i="1"/>
  <c r="CA193" i="1" s="1"/>
  <c r="O164" i="1"/>
  <c r="O167" i="1" s="1"/>
  <c r="O169" i="1" s="1"/>
  <c r="G65" i="3"/>
  <c r="H65" i="3" s="1"/>
  <c r="E65" i="3"/>
  <c r="D65" i="3" s="1"/>
  <c r="BK186" i="1"/>
  <c r="BK193" i="1" s="1"/>
  <c r="BK196" i="1" s="1"/>
  <c r="BK134" i="1"/>
  <c r="E129" i="1"/>
  <c r="I129" i="1"/>
  <c r="AD127" i="1"/>
  <c r="H129" i="1"/>
  <c r="CF160" i="1"/>
  <c r="CF164" i="1" s="1"/>
  <c r="D129" i="1"/>
  <c r="BP124" i="1"/>
  <c r="CN99" i="1"/>
  <c r="CO99" i="1" s="1"/>
  <c r="CF127" i="1"/>
  <c r="BH35" i="1"/>
  <c r="BU129" i="1"/>
  <c r="CL39" i="1"/>
  <c r="AG417" i="1"/>
  <c r="H135" i="1"/>
  <c r="BP129" i="1"/>
  <c r="CL100" i="1"/>
  <c r="CC124" i="1"/>
  <c r="BO124" i="1"/>
  <c r="BZ128" i="1"/>
  <c r="CY253" i="1"/>
  <c r="CB129" i="1"/>
  <c r="F135" i="1"/>
  <c r="CG124" i="1"/>
  <c r="CF37" i="1"/>
  <c r="U403" i="1"/>
  <c r="U408" i="1" s="1"/>
  <c r="C88" i="3"/>
  <c r="C89" i="3" s="1"/>
  <c r="I417" i="1"/>
  <c r="AT135" i="1"/>
  <c r="BI129" i="1"/>
  <c r="I35" i="3"/>
  <c r="CR119" i="1"/>
  <c r="CR130" i="1" s="1"/>
  <c r="O135" i="1"/>
  <c r="AJ135" i="1"/>
  <c r="N124" i="1"/>
  <c r="CL37" i="1"/>
  <c r="BC124" i="1"/>
  <c r="AZ129" i="1"/>
  <c r="D417" i="1"/>
  <c r="AS351" i="1"/>
  <c r="AS353" i="1" s="1"/>
  <c r="BB78" i="1"/>
  <c r="AF124" i="1"/>
  <c r="AX124" i="1"/>
  <c r="AV127" i="1"/>
  <c r="G351" i="1"/>
  <c r="G353" i="1" s="1"/>
  <c r="C11" i="2"/>
  <c r="L13" i="4"/>
  <c r="AA134" i="1"/>
  <c r="BZ76" i="1"/>
  <c r="CM138" i="1"/>
  <c r="BK200" i="1"/>
  <c r="BK400" i="1" s="1"/>
  <c r="BX129" i="1"/>
  <c r="CA164" i="1"/>
  <c r="CA167" i="1" s="1"/>
  <c r="CA169" i="1" s="1"/>
  <c r="BK256" i="1"/>
  <c r="X133" i="1"/>
  <c r="BN35" i="1"/>
  <c r="BW129" i="1"/>
  <c r="BZ55" i="1"/>
  <c r="BB128" i="1"/>
  <c r="AM351" i="1"/>
  <c r="AM353" i="1" s="1"/>
  <c r="BM124" i="1"/>
  <c r="BU124" i="1"/>
  <c r="AD128" i="1"/>
  <c r="J35" i="3"/>
  <c r="D403" i="1"/>
  <c r="D408" i="1" s="1"/>
  <c r="BQ351" i="1"/>
  <c r="BQ353" i="1" s="1"/>
  <c r="R252" i="1"/>
  <c r="BK250" i="1"/>
  <c r="BH247" i="1"/>
  <c r="BD124" i="1"/>
  <c r="BB127" i="1"/>
  <c r="BK164" i="1"/>
  <c r="BK166" i="1" s="1"/>
  <c r="CB124" i="1"/>
  <c r="AO129" i="1"/>
  <c r="CF59" i="1"/>
  <c r="BG129" i="1"/>
  <c r="CC129" i="1"/>
  <c r="AD247" i="1"/>
  <c r="BG256" i="1"/>
  <c r="BK124" i="1"/>
  <c r="CL127" i="1"/>
  <c r="BI135" i="1"/>
  <c r="BQ129" i="1"/>
  <c r="X127" i="1"/>
  <c r="CW57" i="1"/>
  <c r="O351" i="1"/>
  <c r="O353" i="1" s="1"/>
  <c r="U351" i="1"/>
  <c r="U353" i="1" s="1"/>
  <c r="C351" i="1"/>
  <c r="C353" i="1" s="1"/>
  <c r="CL59" i="1"/>
  <c r="O134" i="1"/>
  <c r="BO129" i="1"/>
  <c r="BT128" i="1"/>
  <c r="CJ135" i="1"/>
  <c r="AZ124" i="1"/>
  <c r="AJ127" i="1"/>
  <c r="BT37" i="1"/>
  <c r="X128" i="1"/>
  <c r="AU256" i="1"/>
  <c r="AU164" i="1"/>
  <c r="CF76" i="1"/>
  <c r="CF74" i="1"/>
  <c r="CE135" i="1"/>
  <c r="CE124" i="1"/>
  <c r="V135" i="1"/>
  <c r="V124" i="1"/>
  <c r="CK129" i="1"/>
  <c r="CK135" i="1"/>
  <c r="BM129" i="1"/>
  <c r="AU186" i="1"/>
  <c r="P135" i="1"/>
  <c r="CK124" i="1"/>
  <c r="BT39" i="1"/>
  <c r="BG124" i="1"/>
  <c r="CO307" i="1"/>
  <c r="CO357" i="1" s="1"/>
  <c r="CO308" i="1"/>
  <c r="CL74" i="1"/>
  <c r="CL78" i="1"/>
  <c r="BN78" i="1"/>
  <c r="BH74" i="1"/>
  <c r="BH76" i="1"/>
  <c r="BB57" i="1"/>
  <c r="BB59" i="1"/>
  <c r="CA129" i="1"/>
  <c r="CA124" i="1"/>
  <c r="AL129" i="1"/>
  <c r="AL135" i="1"/>
  <c r="BG166" i="1"/>
  <c r="BG167" i="1"/>
  <c r="BG169" i="1" s="1"/>
  <c r="BG204" i="1" s="1"/>
  <c r="BG209" i="1" s="1"/>
  <c r="BG211" i="1" s="1"/>
  <c r="BK129" i="1"/>
  <c r="BE124" i="1"/>
  <c r="CE129" i="1"/>
  <c r="CG129" i="1"/>
  <c r="BA129" i="1"/>
  <c r="AU135" i="1"/>
  <c r="CI124" i="1"/>
  <c r="CI129" i="1"/>
  <c r="CX123" i="1"/>
  <c r="BB18" i="1"/>
  <c r="BB22" i="1"/>
  <c r="O186" i="1"/>
  <c r="O256" i="1"/>
  <c r="J15" i="4" s="1"/>
  <c r="BE417" i="1"/>
  <c r="E417" i="1"/>
  <c r="AJ160" i="1"/>
  <c r="AJ134" i="1" s="1"/>
  <c r="CJ129" i="1"/>
  <c r="J13" i="4"/>
  <c r="J124" i="1"/>
  <c r="BQ135" i="1"/>
  <c r="CI135" i="1"/>
  <c r="BB20" i="1"/>
  <c r="AA164" i="1"/>
  <c r="AA186" i="1"/>
  <c r="CA134" i="1"/>
  <c r="CA256" i="1"/>
  <c r="BN55" i="1"/>
  <c r="U129" i="1"/>
  <c r="O124" i="1"/>
  <c r="BZ247" i="1"/>
  <c r="CM152" i="1"/>
  <c r="CM100" i="1" s="1"/>
  <c r="AP129" i="1"/>
  <c r="CL76" i="1"/>
  <c r="V129" i="1"/>
  <c r="BB76" i="1"/>
  <c r="AU134" i="1"/>
  <c r="CF78" i="1"/>
  <c r="BZ133" i="1"/>
  <c r="L253" i="1"/>
  <c r="L160" i="1"/>
  <c r="L134" i="1" s="1"/>
  <c r="BZ22" i="1"/>
  <c r="BZ20" i="1"/>
  <c r="R133" i="1"/>
  <c r="R127" i="1"/>
  <c r="F35" i="3"/>
  <c r="N35" i="3"/>
  <c r="AS417" i="1"/>
  <c r="BL129" i="1"/>
  <c r="R128" i="1"/>
  <c r="BL124" i="1"/>
  <c r="N135" i="1"/>
  <c r="CF57" i="1"/>
  <c r="BH59" i="1"/>
  <c r="BZ59" i="1"/>
  <c r="BT127" i="1"/>
  <c r="BN127" i="1"/>
  <c r="CL55" i="1"/>
  <c r="H35" i="3"/>
  <c r="G35" i="3"/>
  <c r="C90" i="3"/>
  <c r="BN247" i="1"/>
  <c r="BH160" i="1"/>
  <c r="BH256" i="1" s="1"/>
  <c r="BG186" i="1"/>
  <c r="BG193" i="1" s="1"/>
  <c r="BG194" i="1" s="1"/>
  <c r="G134" i="1"/>
  <c r="BZ127" i="1"/>
  <c r="BY135" i="1"/>
  <c r="CP67" i="1"/>
  <c r="CP72" i="1" s="1"/>
  <c r="BT18" i="1"/>
  <c r="AU129" i="1"/>
  <c r="BE129" i="1"/>
  <c r="BH55" i="1"/>
  <c r="CY123" i="1"/>
  <c r="BT55" i="1"/>
  <c r="BS129" i="1"/>
  <c r="BN74" i="1"/>
  <c r="BW124" i="1"/>
  <c r="AI124" i="1"/>
  <c r="D35" i="3"/>
  <c r="BG134" i="1"/>
  <c r="AR135" i="1"/>
  <c r="CN141" i="1"/>
  <c r="E35" i="3"/>
  <c r="L35" i="3"/>
  <c r="CX366" i="1"/>
  <c r="BW403" i="1"/>
  <c r="BW408" i="1" s="1"/>
  <c r="CC417" i="1"/>
  <c r="BW417" i="1"/>
  <c r="BG200" i="1"/>
  <c r="BG254" i="1" s="1"/>
  <c r="AN135" i="1"/>
  <c r="BY129" i="1"/>
  <c r="BN133" i="1"/>
  <c r="D124" i="1"/>
  <c r="BN59" i="1"/>
  <c r="AF135" i="1"/>
  <c r="AX129" i="1"/>
  <c r="BH78" i="1"/>
  <c r="CW20" i="1"/>
  <c r="AU124" i="1"/>
  <c r="BH57" i="1"/>
  <c r="CW123" i="1"/>
  <c r="BT59" i="1"/>
  <c r="BN39" i="1"/>
  <c r="BS124" i="1"/>
  <c r="K35" i="3"/>
  <c r="AR129" i="1"/>
  <c r="P129" i="1"/>
  <c r="BD129" i="1"/>
  <c r="R247" i="1"/>
  <c r="AJ124" i="1"/>
  <c r="CX76" i="1"/>
  <c r="CI351" i="1"/>
  <c r="CI353" i="1" s="1"/>
  <c r="CY76" i="1"/>
  <c r="CY366" i="1"/>
  <c r="BK351" i="1"/>
  <c r="BK353" i="1" s="1"/>
  <c r="X252" i="1"/>
  <c r="AJ247" i="1"/>
  <c r="X247" i="1"/>
  <c r="CW139" i="1"/>
  <c r="CY37" i="1"/>
  <c r="AB129" i="1"/>
  <c r="AB124" i="1"/>
  <c r="AB135" i="1"/>
  <c r="U417" i="1"/>
  <c r="AY351" i="1"/>
  <c r="AY353" i="1" s="1"/>
  <c r="CY294" i="1"/>
  <c r="AP252" i="1"/>
  <c r="CQ119" i="1"/>
  <c r="CQ130" i="1" s="1"/>
  <c r="CX139" i="1"/>
  <c r="CY57" i="1"/>
  <c r="BX135" i="1"/>
  <c r="BX124" i="1"/>
  <c r="AT129" i="1"/>
  <c r="L32" i="2"/>
  <c r="C403" i="1"/>
  <c r="C408" i="1" s="1"/>
  <c r="CW127" i="1"/>
  <c r="CY127" i="1"/>
  <c r="CW37" i="1"/>
  <c r="CM178" i="1"/>
  <c r="CN178" i="1"/>
  <c r="CN179" i="1" s="1"/>
  <c r="CN235" i="1" s="1"/>
  <c r="CX127" i="1"/>
  <c r="AL256" i="1"/>
  <c r="AL250" i="1"/>
  <c r="AL186" i="1"/>
  <c r="AL193" i="1" s="1"/>
  <c r="AL164" i="1"/>
  <c r="BZ253" i="1"/>
  <c r="BZ160" i="1"/>
  <c r="BU256" i="1"/>
  <c r="BU250" i="1"/>
  <c r="BU200" i="1"/>
  <c r="CA255" i="1" s="1"/>
  <c r="BU186" i="1"/>
  <c r="BU193" i="1" s="1"/>
  <c r="BU164" i="1"/>
  <c r="Y256" i="1"/>
  <c r="Y186" i="1"/>
  <c r="Y250" i="1"/>
  <c r="Y164" i="1"/>
  <c r="T250" i="1"/>
  <c r="T256" i="1"/>
  <c r="T186" i="1"/>
  <c r="T164" i="1"/>
  <c r="H351" i="1"/>
  <c r="H353" i="1" s="1"/>
  <c r="C32" i="2"/>
  <c r="C33" i="2"/>
  <c r="AG351" i="1"/>
  <c r="AG353" i="1" s="1"/>
  <c r="CH256" i="1"/>
  <c r="CH250" i="1"/>
  <c r="CH186" i="1"/>
  <c r="CH193" i="1" s="1"/>
  <c r="CH200" i="1"/>
  <c r="CH164" i="1"/>
  <c r="N256" i="1"/>
  <c r="N186" i="1"/>
  <c r="N164" i="1"/>
  <c r="CK256" i="1"/>
  <c r="CK200" i="1"/>
  <c r="CK186" i="1"/>
  <c r="CK193" i="1" s="1"/>
  <c r="CK164" i="1"/>
  <c r="CK250" i="1"/>
  <c r="I13" i="4"/>
  <c r="I256" i="1"/>
  <c r="I15" i="4" s="1"/>
  <c r="I250" i="1"/>
  <c r="I200" i="1"/>
  <c r="O249" i="1" s="1"/>
  <c r="I186" i="1"/>
  <c r="I164" i="1"/>
  <c r="BH164" i="1"/>
  <c r="L12" i="4"/>
  <c r="AA254" i="1"/>
  <c r="AA400" i="1"/>
  <c r="AA201" i="1"/>
  <c r="CK134" i="1"/>
  <c r="N13" i="4"/>
  <c r="AM250" i="1"/>
  <c r="AM256" i="1"/>
  <c r="N15" i="4" s="1"/>
  <c r="AM200" i="1"/>
  <c r="AM186" i="1"/>
  <c r="AM193" i="1" s="1"/>
  <c r="AM164" i="1"/>
  <c r="BT76" i="1"/>
  <c r="BT78" i="1"/>
  <c r="R15" i="4"/>
  <c r="J12" i="4"/>
  <c r="O400" i="1"/>
  <c r="O254" i="1"/>
  <c r="O201" i="1"/>
  <c r="BO250" i="1"/>
  <c r="BO256" i="1"/>
  <c r="BO200" i="1"/>
  <c r="BO186" i="1"/>
  <c r="BO193" i="1" s="1"/>
  <c r="BO164" i="1"/>
  <c r="BO134" i="1"/>
  <c r="C13" i="4"/>
  <c r="C256" i="1"/>
  <c r="C200" i="1"/>
  <c r="C186" i="1"/>
  <c r="C164" i="1"/>
  <c r="BE134" i="1"/>
  <c r="CM222" i="1"/>
  <c r="CM215" i="1"/>
  <c r="CM187" i="1"/>
  <c r="CO125" i="1"/>
  <c r="CM158" i="1"/>
  <c r="CM70" i="1"/>
  <c r="CM14" i="1"/>
  <c r="CM31" i="1"/>
  <c r="CM51" i="1"/>
  <c r="BZ37" i="1"/>
  <c r="BZ39" i="1"/>
  <c r="CH135" i="1"/>
  <c r="CH124" i="1"/>
  <c r="CH129" i="1"/>
  <c r="CA254" i="1"/>
  <c r="CA201" i="1"/>
  <c r="CX57" i="1"/>
  <c r="M35" i="3"/>
  <c r="F351" i="1"/>
  <c r="F353" i="1" s="1"/>
  <c r="AS403" i="1"/>
  <c r="AS408" i="1" s="1"/>
  <c r="J32" i="2"/>
  <c r="BE404" i="1"/>
  <c r="BE403" i="1" s="1"/>
  <c r="BE408" i="1" s="1"/>
  <c r="BE351" i="1"/>
  <c r="BE353" i="1" s="1"/>
  <c r="I404" i="1"/>
  <c r="I403" i="1" s="1"/>
  <c r="I408" i="1" s="1"/>
  <c r="I351" i="1"/>
  <c r="I353" i="1" s="1"/>
  <c r="CC351" i="1"/>
  <c r="CC353" i="1" s="1"/>
  <c r="BK403" i="1"/>
  <c r="BK408" i="1" s="1"/>
  <c r="CP436" i="1"/>
  <c r="Q45" i="2" s="1"/>
  <c r="Q46" i="2" s="1"/>
  <c r="Q47" i="2" s="1"/>
  <c r="CQ342" i="1"/>
  <c r="G417" i="1"/>
  <c r="D351" i="1"/>
  <c r="D353" i="1" s="1"/>
  <c r="CD250" i="1"/>
  <c r="CD186" i="1"/>
  <c r="CD193" i="1" s="1"/>
  <c r="CD256" i="1"/>
  <c r="CD164" i="1"/>
  <c r="CD200" i="1"/>
  <c r="BF250" i="1"/>
  <c r="BF256" i="1"/>
  <c r="BF186" i="1"/>
  <c r="BF193" i="1" s="1"/>
  <c r="BF200" i="1"/>
  <c r="BF164" i="1"/>
  <c r="AH250" i="1"/>
  <c r="AH186" i="1"/>
  <c r="AH193" i="1" s="1"/>
  <c r="AH256" i="1"/>
  <c r="AH164" i="1"/>
  <c r="J256" i="1"/>
  <c r="J186" i="1"/>
  <c r="J164" i="1"/>
  <c r="BN253" i="1"/>
  <c r="BN160" i="1"/>
  <c r="R253" i="1"/>
  <c r="R160" i="1"/>
  <c r="CG256" i="1"/>
  <c r="CG250" i="1"/>
  <c r="CG186" i="1"/>
  <c r="CG193" i="1" s="1"/>
  <c r="CG200" i="1"/>
  <c r="CG164" i="1"/>
  <c r="S13" i="4"/>
  <c r="BQ256" i="1"/>
  <c r="S15" i="4" s="1"/>
  <c r="BQ250" i="1"/>
  <c r="BQ186" i="1"/>
  <c r="BQ193" i="1" s="1"/>
  <c r="BQ200" i="1"/>
  <c r="BQ164" i="1"/>
  <c r="BA256" i="1"/>
  <c r="BA250" i="1"/>
  <c r="BA186" i="1"/>
  <c r="BA193" i="1" s="1"/>
  <c r="BA200" i="1"/>
  <c r="BA164" i="1"/>
  <c r="AK256" i="1"/>
  <c r="AK250" i="1"/>
  <c r="AK186" i="1"/>
  <c r="AK193" i="1" s="1"/>
  <c r="AK164" i="1"/>
  <c r="K13" i="4"/>
  <c r="U256" i="1"/>
  <c r="K15" i="4" s="1"/>
  <c r="U250" i="1"/>
  <c r="U200" i="1"/>
  <c r="U186" i="1"/>
  <c r="U164" i="1"/>
  <c r="E13" i="4"/>
  <c r="E256" i="1"/>
  <c r="E15" i="4" s="1"/>
  <c r="E250" i="1"/>
  <c r="E200" i="1"/>
  <c r="E186" i="1"/>
  <c r="E164" i="1"/>
  <c r="BX250" i="1"/>
  <c r="BX256" i="1"/>
  <c r="BX200" i="1"/>
  <c r="BX186" i="1"/>
  <c r="BX193" i="1" s="1"/>
  <c r="BX164" i="1"/>
  <c r="BD250" i="1"/>
  <c r="BD256" i="1"/>
  <c r="BD200" i="1"/>
  <c r="BD186" i="1"/>
  <c r="BD193" i="1" s="1"/>
  <c r="BD164" i="1"/>
  <c r="AJ186" i="1"/>
  <c r="AJ193" i="1" s="1"/>
  <c r="P250" i="1"/>
  <c r="P256" i="1"/>
  <c r="P186" i="1"/>
  <c r="P164" i="1"/>
  <c r="BB247" i="1"/>
  <c r="CP119" i="1"/>
  <c r="CP130" i="1" s="1"/>
  <c r="CP111" i="1"/>
  <c r="CP113" i="1" s="1"/>
  <c r="CP118" i="1" s="1"/>
  <c r="CP110" i="1"/>
  <c r="T13" i="4"/>
  <c r="BW250" i="1"/>
  <c r="BW256" i="1"/>
  <c r="T15" i="4" s="1"/>
  <c r="BW200" i="1"/>
  <c r="BW186" i="1"/>
  <c r="BW193" i="1" s="1"/>
  <c r="BW164" i="1"/>
  <c r="BG250" i="1"/>
  <c r="X253" i="1"/>
  <c r="X160" i="1"/>
  <c r="U134" i="1"/>
  <c r="BZ78" i="1"/>
  <c r="V13" i="4"/>
  <c r="C15" i="2"/>
  <c r="C17" i="2" s="1"/>
  <c r="CI250" i="1"/>
  <c r="CI200" i="1"/>
  <c r="CI256" i="1"/>
  <c r="V15" i="4" s="1"/>
  <c r="CI186" i="1"/>
  <c r="CI193" i="1" s="1"/>
  <c r="CY160" i="1"/>
  <c r="CX160" i="1"/>
  <c r="CW160" i="1"/>
  <c r="CI164" i="1"/>
  <c r="W250" i="1"/>
  <c r="W256" i="1"/>
  <c r="W186" i="1"/>
  <c r="W134" i="1"/>
  <c r="W164" i="1"/>
  <c r="BU134" i="1"/>
  <c r="BA134" i="1"/>
  <c r="BT74" i="1"/>
  <c r="AJ133" i="1"/>
  <c r="AJ128" i="1"/>
  <c r="CA196" i="1"/>
  <c r="CA194" i="1"/>
  <c r="AV128" i="1"/>
  <c r="P13" i="4"/>
  <c r="AY250" i="1"/>
  <c r="AY256" i="1"/>
  <c r="P15" i="4" s="1"/>
  <c r="AY200" i="1"/>
  <c r="AY186" i="1"/>
  <c r="AY164" i="1"/>
  <c r="N134" i="1"/>
  <c r="CN222" i="1"/>
  <c r="CN230" i="1" s="1"/>
  <c r="CN215" i="1"/>
  <c r="CN187" i="1"/>
  <c r="CN192" i="1" s="1"/>
  <c r="CN199" i="1" s="1"/>
  <c r="CN210" i="1" s="1"/>
  <c r="CN158" i="1"/>
  <c r="CN70" i="1"/>
  <c r="CN31" i="1"/>
  <c r="CN51" i="1"/>
  <c r="CN14" i="1"/>
  <c r="BB39" i="1"/>
  <c r="BB37" i="1"/>
  <c r="CD135" i="1"/>
  <c r="CD124" i="1"/>
  <c r="CD129" i="1"/>
  <c r="BJ135" i="1"/>
  <c r="BJ124" i="1"/>
  <c r="BJ129" i="1"/>
  <c r="H166" i="1"/>
  <c r="H401" i="1" s="1"/>
  <c r="H409" i="1" s="1"/>
  <c r="H167" i="1"/>
  <c r="H169" i="1" s="1"/>
  <c r="CG134" i="1"/>
  <c r="AK134" i="1"/>
  <c r="CW366" i="1"/>
  <c r="BW351" i="1"/>
  <c r="BW353" i="1" s="1"/>
  <c r="CW296" i="1"/>
  <c r="CY296" i="1"/>
  <c r="CX296" i="1"/>
  <c r="F403" i="1"/>
  <c r="F408" i="1" s="1"/>
  <c r="BJ256" i="1"/>
  <c r="BJ250" i="1"/>
  <c r="BJ186" i="1"/>
  <c r="BJ193" i="1" s="1"/>
  <c r="BJ200" i="1"/>
  <c r="BJ164" i="1"/>
  <c r="AD253" i="1"/>
  <c r="AD160" i="1"/>
  <c r="Q13" i="4"/>
  <c r="BE256" i="1"/>
  <c r="Q15" i="4" s="1"/>
  <c r="BE200" i="1"/>
  <c r="BK255" i="1" s="1"/>
  <c r="BE250" i="1"/>
  <c r="BE186" i="1"/>
  <c r="BE193" i="1" s="1"/>
  <c r="BE164" i="1"/>
  <c r="AO256" i="1"/>
  <c r="AO186" i="1"/>
  <c r="AO250" i="1"/>
  <c r="AO164" i="1"/>
  <c r="CB250" i="1"/>
  <c r="CB256" i="1"/>
  <c r="CB200" i="1"/>
  <c r="CB186" i="1"/>
  <c r="CB193" i="1" s="1"/>
  <c r="CB164" i="1"/>
  <c r="AN250" i="1"/>
  <c r="AN256" i="1"/>
  <c r="AN186" i="1"/>
  <c r="AN164" i="1"/>
  <c r="CQ117" i="1"/>
  <c r="CQ125" i="1" s="1"/>
  <c r="CQ116" i="1"/>
  <c r="K256" i="1"/>
  <c r="K186" i="1"/>
  <c r="K134" i="1"/>
  <c r="K164" i="1"/>
  <c r="AV253" i="1"/>
  <c r="AV160" i="1"/>
  <c r="AP128" i="1"/>
  <c r="AP133" i="1"/>
  <c r="BH133" i="1"/>
  <c r="BH128" i="1"/>
  <c r="BN128" i="1"/>
  <c r="CH134" i="1"/>
  <c r="CQ48" i="1"/>
  <c r="CP53" i="1"/>
  <c r="CX20" i="1"/>
  <c r="BN123" i="1"/>
  <c r="BN22" i="1"/>
  <c r="BN20" i="1"/>
  <c r="AU250" i="1"/>
  <c r="BT123" i="1"/>
  <c r="CY20" i="1"/>
  <c r="CF39" i="1"/>
  <c r="AA404" i="1"/>
  <c r="AA403" i="1" s="1"/>
  <c r="AA408" i="1" s="1"/>
  <c r="AA351" i="1"/>
  <c r="AA353" i="1" s="1"/>
  <c r="C38" i="2"/>
  <c r="G403" i="1"/>
  <c r="G408" i="1" s="1"/>
  <c r="K32" i="2"/>
  <c r="CX294" i="1"/>
  <c r="CI403" i="1"/>
  <c r="O403" i="1"/>
  <c r="O408" i="1" s="1"/>
  <c r="R21" i="4"/>
  <c r="CW294" i="1"/>
  <c r="AM403" i="1"/>
  <c r="AM408" i="1" s="1"/>
  <c r="AJ252" i="1"/>
  <c r="AV252" i="1"/>
  <c r="BV250" i="1"/>
  <c r="BV256" i="1"/>
  <c r="BV186" i="1"/>
  <c r="BV193" i="1" s="1"/>
  <c r="BV164" i="1"/>
  <c r="BV200" i="1"/>
  <c r="AX250" i="1"/>
  <c r="AX256" i="1"/>
  <c r="AX186" i="1"/>
  <c r="AX164" i="1"/>
  <c r="Z250" i="1"/>
  <c r="Z256" i="1"/>
  <c r="Z186" i="1"/>
  <c r="Z164" i="1"/>
  <c r="F13" i="4"/>
  <c r="F250" i="1"/>
  <c r="F256" i="1"/>
  <c r="F15" i="4" s="1"/>
  <c r="F186" i="1"/>
  <c r="F200" i="1"/>
  <c r="F164" i="1"/>
  <c r="BB253" i="1"/>
  <c r="BB160" i="1"/>
  <c r="CL247" i="1"/>
  <c r="U13" i="4"/>
  <c r="CC256" i="1"/>
  <c r="U15" i="4" s="1"/>
  <c r="CC250" i="1"/>
  <c r="CC200" i="1"/>
  <c r="CC186" i="1"/>
  <c r="CC193" i="1" s="1"/>
  <c r="CC164" i="1"/>
  <c r="BM256" i="1"/>
  <c r="BM250" i="1"/>
  <c r="BM200" i="1"/>
  <c r="BM186" i="1"/>
  <c r="BM193" i="1" s="1"/>
  <c r="BM164" i="1"/>
  <c r="AW256" i="1"/>
  <c r="AW250" i="1"/>
  <c r="AW186" i="1"/>
  <c r="AW164" i="1"/>
  <c r="M13" i="4"/>
  <c r="AG256" i="1"/>
  <c r="AG250" i="1"/>
  <c r="AG200" i="1"/>
  <c r="AG186" i="1"/>
  <c r="AG193" i="1" s="1"/>
  <c r="AG164" i="1"/>
  <c r="Q256" i="1"/>
  <c r="Q250" i="1"/>
  <c r="Q186" i="1"/>
  <c r="Q164" i="1"/>
  <c r="CJ250" i="1"/>
  <c r="CJ256" i="1"/>
  <c r="CJ200" i="1"/>
  <c r="CJ186" i="1"/>
  <c r="CJ164" i="1"/>
  <c r="BP250" i="1"/>
  <c r="BP256" i="1"/>
  <c r="BP200" i="1"/>
  <c r="BP186" i="1"/>
  <c r="BP193" i="1" s="1"/>
  <c r="BP164" i="1"/>
  <c r="AZ250" i="1"/>
  <c r="AZ256" i="1"/>
  <c r="AZ200" i="1"/>
  <c r="AZ186" i="1"/>
  <c r="AZ193" i="1" s="1"/>
  <c r="AZ164" i="1"/>
  <c r="AF250" i="1"/>
  <c r="AF256" i="1"/>
  <c r="AF186" i="1"/>
  <c r="AF193" i="1" s="1"/>
  <c r="AF164" i="1"/>
  <c r="CJ134" i="1"/>
  <c r="BG196" i="1"/>
  <c r="AQ250" i="1"/>
  <c r="AQ256" i="1"/>
  <c r="AQ186" i="1"/>
  <c r="AQ134" i="1"/>
  <c r="AQ164" i="1"/>
  <c r="AA250" i="1"/>
  <c r="BT247" i="1"/>
  <c r="BV134" i="1"/>
  <c r="P134" i="1"/>
  <c r="CF123" i="1"/>
  <c r="CF20" i="1"/>
  <c r="CF22" i="1"/>
  <c r="BM134" i="1"/>
  <c r="BS250" i="1"/>
  <c r="BS200" i="1"/>
  <c r="BS256" i="1"/>
  <c r="BS186" i="1"/>
  <c r="BS193" i="1" s="1"/>
  <c r="BS134" i="1"/>
  <c r="BS164" i="1"/>
  <c r="G13" i="4"/>
  <c r="G250" i="1"/>
  <c r="G256" i="1"/>
  <c r="G15" i="4" s="1"/>
  <c r="G200" i="1"/>
  <c r="H255" i="1" s="1"/>
  <c r="G186" i="1"/>
  <c r="G164" i="1"/>
  <c r="BP134" i="1"/>
  <c r="AW134" i="1"/>
  <c r="Y134" i="1"/>
  <c r="CO12" i="1"/>
  <c r="CP11" i="1"/>
  <c r="CP16" i="1" s="1"/>
  <c r="L133" i="1"/>
  <c r="L124" i="1"/>
  <c r="O250" i="1"/>
  <c r="BW134" i="1"/>
  <c r="AI250" i="1"/>
  <c r="AI256" i="1"/>
  <c r="AI186" i="1"/>
  <c r="AI193" i="1" s="1"/>
  <c r="AI164" i="1"/>
  <c r="BX134" i="1"/>
  <c r="AL134" i="1"/>
  <c r="I134" i="1"/>
  <c r="CL299" i="1"/>
  <c r="CL139" i="1"/>
  <c r="BV135" i="1"/>
  <c r="BV124" i="1"/>
  <c r="BV129" i="1"/>
  <c r="BF135" i="1"/>
  <c r="BF124" i="1"/>
  <c r="BF129" i="1"/>
  <c r="CN152" i="1"/>
  <c r="CN133" i="1" s="1"/>
  <c r="CN128" i="1"/>
  <c r="CA250" i="1"/>
  <c r="AF134" i="1"/>
  <c r="CO122" i="1"/>
  <c r="BZ35" i="1"/>
  <c r="BT22" i="1"/>
  <c r="BZ123" i="1"/>
  <c r="BB123" i="1"/>
  <c r="L127" i="1"/>
  <c r="BH39" i="1"/>
  <c r="CP323" i="1"/>
  <c r="E351" i="1"/>
  <c r="E353" i="1" s="1"/>
  <c r="BR256" i="1"/>
  <c r="BR250" i="1"/>
  <c r="BR186" i="1"/>
  <c r="BR193" i="1" s="1"/>
  <c r="BR200" i="1"/>
  <c r="BR164" i="1"/>
  <c r="AT256" i="1"/>
  <c r="AT250" i="1"/>
  <c r="AT186" i="1"/>
  <c r="AT164" i="1"/>
  <c r="V256" i="1"/>
  <c r="V250" i="1"/>
  <c r="V186" i="1"/>
  <c r="V164" i="1"/>
  <c r="CL253" i="1"/>
  <c r="CL160" i="1"/>
  <c r="AP253" i="1"/>
  <c r="AP160" i="1"/>
  <c r="AP247" i="1"/>
  <c r="BY256" i="1"/>
  <c r="BY250" i="1"/>
  <c r="BY186" i="1"/>
  <c r="BY193" i="1" s="1"/>
  <c r="BY200" i="1"/>
  <c r="BY164" i="1"/>
  <c r="BI256" i="1"/>
  <c r="BI250" i="1"/>
  <c r="BI186" i="1"/>
  <c r="BI193" i="1" s="1"/>
  <c r="BI200" i="1"/>
  <c r="BI164" i="1"/>
  <c r="O13" i="4"/>
  <c r="AS256" i="1"/>
  <c r="O15" i="4" s="1"/>
  <c r="AS250" i="1"/>
  <c r="AS200" i="1"/>
  <c r="AS186" i="1"/>
  <c r="AS164" i="1"/>
  <c r="AC256" i="1"/>
  <c r="AC250" i="1"/>
  <c r="AC186" i="1"/>
  <c r="AC193" i="1" s="1"/>
  <c r="AC164" i="1"/>
  <c r="M256" i="1"/>
  <c r="M186" i="1"/>
  <c r="M164" i="1"/>
  <c r="CF247" i="1"/>
  <c r="BL250" i="1"/>
  <c r="BL256" i="1"/>
  <c r="BL200" i="1"/>
  <c r="BL186" i="1"/>
  <c r="BL193" i="1" s="1"/>
  <c r="BL164" i="1"/>
  <c r="AR250" i="1"/>
  <c r="AR256" i="1"/>
  <c r="AR186" i="1"/>
  <c r="AR164" i="1"/>
  <c r="AB250" i="1"/>
  <c r="AB256" i="1"/>
  <c r="AB186" i="1"/>
  <c r="AB193" i="1" s="1"/>
  <c r="AB164" i="1"/>
  <c r="D13" i="4"/>
  <c r="D256" i="1"/>
  <c r="D15" i="4" s="1"/>
  <c r="D250" i="1"/>
  <c r="D200" i="1"/>
  <c r="D186" i="1"/>
  <c r="D164" i="1"/>
  <c r="CP222" i="1"/>
  <c r="CP230" i="1" s="1"/>
  <c r="CP215" i="1"/>
  <c r="CP187" i="1"/>
  <c r="CP192" i="1" s="1"/>
  <c r="CP199" i="1" s="1"/>
  <c r="CP210" i="1" s="1"/>
  <c r="CP158" i="1"/>
  <c r="BT253" i="1"/>
  <c r="BT160" i="1"/>
  <c r="AV247" i="1"/>
  <c r="AM134" i="1"/>
  <c r="AN134" i="1"/>
  <c r="BH123" i="1"/>
  <c r="BH20" i="1"/>
  <c r="BH22" i="1"/>
  <c r="BI134" i="1"/>
  <c r="AU167" i="1"/>
  <c r="AU169" i="1" s="1"/>
  <c r="AU166" i="1"/>
  <c r="BC250" i="1"/>
  <c r="BC200" i="1"/>
  <c r="BC256" i="1"/>
  <c r="BC186" i="1"/>
  <c r="BC193" i="1" s="1"/>
  <c r="BC164" i="1"/>
  <c r="CY139" i="1"/>
  <c r="BH127" i="1"/>
  <c r="AR134" i="1"/>
  <c r="T134" i="1"/>
  <c r="CL128" i="1"/>
  <c r="CL133" i="1"/>
  <c r="CW76" i="1"/>
  <c r="CP28" i="1"/>
  <c r="CO29" i="1"/>
  <c r="CF133" i="1"/>
  <c r="CF128" i="1"/>
  <c r="R12" i="4"/>
  <c r="AE250" i="1"/>
  <c r="AE256" i="1"/>
  <c r="AE164" i="1"/>
  <c r="AE186" i="1"/>
  <c r="AE193" i="1" s="1"/>
  <c r="CE250" i="1"/>
  <c r="CE256" i="1"/>
  <c r="CE200" i="1"/>
  <c r="CE186" i="1"/>
  <c r="CE193" i="1" s="1"/>
  <c r="CE164" i="1"/>
  <c r="S250" i="1"/>
  <c r="S256" i="1"/>
  <c r="S186" i="1"/>
  <c r="S164" i="1"/>
  <c r="BJ134" i="1"/>
  <c r="AG134" i="1"/>
  <c r="E134" i="1"/>
  <c r="CX37" i="1"/>
  <c r="CL123" i="1"/>
  <c r="CL22" i="1"/>
  <c r="CL20" i="1"/>
  <c r="BR135" i="1"/>
  <c r="BR124" i="1"/>
  <c r="BR129" i="1"/>
  <c r="AP124" i="1"/>
  <c r="H12" i="4"/>
  <c r="H400" i="1"/>
  <c r="H254" i="1"/>
  <c r="H201" i="1"/>
  <c r="BD134" i="1"/>
  <c r="Q134" i="1"/>
  <c r="BB35" i="1"/>
  <c r="CS119" i="1"/>
  <c r="CS130" i="1" s="1"/>
  <c r="CL18" i="1"/>
  <c r="H249" i="1" l="1"/>
  <c r="BK201" i="1"/>
  <c r="BG171" i="1"/>
  <c r="BG172" i="1" s="1"/>
  <c r="BK254" i="1"/>
  <c r="O166" i="1"/>
  <c r="O401" i="1" s="1"/>
  <c r="O409" i="1" s="1"/>
  <c r="BK194" i="1"/>
  <c r="C91" i="3"/>
  <c r="C92" i="3" s="1"/>
  <c r="CF186" i="1"/>
  <c r="CF193" i="1" s="1"/>
  <c r="CF196" i="1" s="1"/>
  <c r="BK167" i="1"/>
  <c r="BK169" i="1" s="1"/>
  <c r="BK204" i="1" s="1"/>
  <c r="BK209" i="1" s="1"/>
  <c r="BK211" i="1" s="1"/>
  <c r="CQ67" i="1"/>
  <c r="CI408" i="1"/>
  <c r="D42" i="3"/>
  <c r="CN97" i="1"/>
  <c r="CO97" i="1" s="1"/>
  <c r="CM246" i="1"/>
  <c r="CM247" i="1" s="1"/>
  <c r="CY124" i="1"/>
  <c r="CF256" i="1"/>
  <c r="CF250" i="1"/>
  <c r="L256" i="1"/>
  <c r="CF200" i="1"/>
  <c r="CF134" i="1"/>
  <c r="BG201" i="1"/>
  <c r="CX124" i="1"/>
  <c r="CP306" i="1"/>
  <c r="L164" i="1"/>
  <c r="L166" i="1" s="1"/>
  <c r="CA166" i="1"/>
  <c r="BK249" i="1"/>
  <c r="L186" i="1"/>
  <c r="BG249" i="1"/>
  <c r="CM133" i="1"/>
  <c r="AJ256" i="1"/>
  <c r="BG255" i="1"/>
  <c r="CW124" i="1"/>
  <c r="CM175" i="1"/>
  <c r="CM155" i="1"/>
  <c r="CM156" i="1" s="1"/>
  <c r="CM253" i="1" s="1"/>
  <c r="AJ164" i="1"/>
  <c r="AJ167" i="1" s="1"/>
  <c r="AJ169" i="1" s="1"/>
  <c r="AC45" i="2"/>
  <c r="AC46" i="2" s="1"/>
  <c r="AC47" i="2" s="1"/>
  <c r="O255" i="1"/>
  <c r="AA166" i="1"/>
  <c r="AA401" i="1" s="1"/>
  <c r="AA409" i="1" s="1"/>
  <c r="AA167" i="1"/>
  <c r="AA169" i="1" s="1"/>
  <c r="BH134" i="1"/>
  <c r="BH200" i="1"/>
  <c r="BH254" i="1" s="1"/>
  <c r="CA249" i="1"/>
  <c r="BH186" i="1"/>
  <c r="BH193" i="1" s="1"/>
  <c r="BH194" i="1" s="1"/>
  <c r="BH250" i="1"/>
  <c r="CO178" i="1"/>
  <c r="CM179" i="1"/>
  <c r="BC196" i="1"/>
  <c r="BC194" i="1"/>
  <c r="AB196" i="1"/>
  <c r="AB194" i="1"/>
  <c r="BL196" i="1"/>
  <c r="BL194" i="1"/>
  <c r="CF166" i="1"/>
  <c r="CF167" i="1"/>
  <c r="CF169" i="1" s="1"/>
  <c r="BI249" i="1"/>
  <c r="BI255" i="1"/>
  <c r="BI201" i="1"/>
  <c r="BI254" i="1"/>
  <c r="BY166" i="1"/>
  <c r="BY167" i="1"/>
  <c r="BY169" i="1" s="1"/>
  <c r="BR255" i="1"/>
  <c r="BR249" i="1"/>
  <c r="BR254" i="1"/>
  <c r="BR201" i="1"/>
  <c r="BZ135" i="1"/>
  <c r="BZ124" i="1"/>
  <c r="BZ129" i="1"/>
  <c r="AI167" i="1"/>
  <c r="AI169" i="1" s="1"/>
  <c r="AI166" i="1"/>
  <c r="CP122" i="1"/>
  <c r="CQ11" i="1"/>
  <c r="G167" i="1"/>
  <c r="G169" i="1" s="1"/>
  <c r="G166" i="1"/>
  <c r="G401" i="1" s="1"/>
  <c r="G409" i="1" s="1"/>
  <c r="BS196" i="1"/>
  <c r="BS194" i="1"/>
  <c r="BK401" i="1"/>
  <c r="BK409" i="1" s="1"/>
  <c r="BP254" i="1"/>
  <c r="BP249" i="1"/>
  <c r="BP201" i="1"/>
  <c r="BP255" i="1"/>
  <c r="BM194" i="1"/>
  <c r="BM196" i="1"/>
  <c r="CC166" i="1"/>
  <c r="CC401" i="1" s="1"/>
  <c r="CC409" i="1" s="1"/>
  <c r="CC167" i="1"/>
  <c r="CC169" i="1" s="1"/>
  <c r="F12" i="4"/>
  <c r="F400" i="1"/>
  <c r="F255" i="1"/>
  <c r="F254" i="1"/>
  <c r="F249" i="1"/>
  <c r="F201" i="1"/>
  <c r="CR48" i="1"/>
  <c r="CQ53" i="1"/>
  <c r="O204" i="1"/>
  <c r="O209" i="1" s="1"/>
  <c r="O211" i="1" s="1"/>
  <c r="O171" i="1"/>
  <c r="CQ215" i="1"/>
  <c r="CQ222" i="1"/>
  <c r="CQ230" i="1" s="1"/>
  <c r="CQ187" i="1"/>
  <c r="CQ192" i="1" s="1"/>
  <c r="CQ199" i="1" s="1"/>
  <c r="CQ210" i="1" s="1"/>
  <c r="CQ158" i="1"/>
  <c r="AD256" i="1"/>
  <c r="AD250" i="1"/>
  <c r="AD186" i="1"/>
  <c r="AD193" i="1" s="1"/>
  <c r="AD164" i="1"/>
  <c r="AD134" i="1"/>
  <c r="BJ196" i="1"/>
  <c r="BJ194" i="1"/>
  <c r="H204" i="1"/>
  <c r="H209" i="1" s="1"/>
  <c r="H211" i="1" s="1"/>
  <c r="H171" i="1"/>
  <c r="BW167" i="1"/>
  <c r="BW169" i="1" s="1"/>
  <c r="BW166" i="1"/>
  <c r="BW401" i="1" s="1"/>
  <c r="BW409" i="1" s="1"/>
  <c r="BD254" i="1"/>
  <c r="BD249" i="1"/>
  <c r="BD255" i="1"/>
  <c r="BD201" i="1"/>
  <c r="BX196" i="1"/>
  <c r="BX194" i="1"/>
  <c r="E166" i="1"/>
  <c r="E401" i="1" s="1"/>
  <c r="E409" i="1" s="1"/>
  <c r="E167" i="1"/>
  <c r="E169" i="1" s="1"/>
  <c r="K12" i="4"/>
  <c r="U400" i="1"/>
  <c r="U249" i="1"/>
  <c r="U255" i="1"/>
  <c r="U201" i="1"/>
  <c r="U254" i="1"/>
  <c r="AK166" i="1"/>
  <c r="AK167" i="1"/>
  <c r="AK169" i="1" s="1"/>
  <c r="BA166" i="1"/>
  <c r="BA167" i="1"/>
  <c r="BA169" i="1" s="1"/>
  <c r="CG249" i="1"/>
  <c r="CG255" i="1"/>
  <c r="CG201" i="1"/>
  <c r="CG254" i="1"/>
  <c r="AH166" i="1"/>
  <c r="AH167" i="1"/>
  <c r="AH169" i="1" s="1"/>
  <c r="BF166" i="1"/>
  <c r="BF167" i="1"/>
  <c r="BF169" i="1" s="1"/>
  <c r="CD196" i="1"/>
  <c r="CD194" i="1"/>
  <c r="CO31" i="1"/>
  <c r="CO324" i="1"/>
  <c r="C15" i="4"/>
  <c r="K17" i="2"/>
  <c r="J17" i="2"/>
  <c r="L17" i="2"/>
  <c r="CY256" i="1"/>
  <c r="BO196" i="1"/>
  <c r="BO194" i="1"/>
  <c r="O407" i="1"/>
  <c r="O410" i="1" s="1"/>
  <c r="O402" i="1"/>
  <c r="AA255" i="1"/>
  <c r="CK166" i="1"/>
  <c r="CK167" i="1"/>
  <c r="CK169" i="1" s="1"/>
  <c r="N166" i="1"/>
  <c r="N167" i="1"/>
  <c r="N169" i="1" s="1"/>
  <c r="CH255" i="1"/>
  <c r="CH249" i="1"/>
  <c r="CH254" i="1"/>
  <c r="CH201" i="1"/>
  <c r="T166" i="1"/>
  <c r="T167" i="1"/>
  <c r="T169" i="1" s="1"/>
  <c r="Y166" i="1"/>
  <c r="Y167" i="1"/>
  <c r="Y169" i="1" s="1"/>
  <c r="BU166" i="1"/>
  <c r="BU167" i="1"/>
  <c r="BU169" i="1" s="1"/>
  <c r="AL196" i="1"/>
  <c r="AL194" i="1"/>
  <c r="S167" i="1"/>
  <c r="S169" i="1" s="1"/>
  <c r="S166" i="1"/>
  <c r="CE167" i="1"/>
  <c r="CE169" i="1" s="1"/>
  <c r="CE166" i="1"/>
  <c r="R20" i="4"/>
  <c r="R14" i="4"/>
  <c r="AU204" i="1"/>
  <c r="AU209" i="1" s="1"/>
  <c r="AU211" i="1" s="1"/>
  <c r="AU171" i="1"/>
  <c r="D166" i="1"/>
  <c r="D401" i="1" s="1"/>
  <c r="D409" i="1" s="1"/>
  <c r="D167" i="1"/>
  <c r="D169" i="1" s="1"/>
  <c r="BL254" i="1"/>
  <c r="BL249" i="1"/>
  <c r="BL255" i="1"/>
  <c r="BL201" i="1"/>
  <c r="CF194" i="1"/>
  <c r="AC166" i="1"/>
  <c r="AC167" i="1"/>
  <c r="AC169" i="1" s="1"/>
  <c r="AS166" i="1"/>
  <c r="AS401" i="1" s="1"/>
  <c r="AS409" i="1" s="1"/>
  <c r="AS167" i="1"/>
  <c r="AS169" i="1" s="1"/>
  <c r="BI196" i="1"/>
  <c r="BI194" i="1"/>
  <c r="BY249" i="1"/>
  <c r="BY255" i="1"/>
  <c r="BY201" i="1"/>
  <c r="BY254" i="1"/>
  <c r="CL250" i="1"/>
  <c r="CL256" i="1"/>
  <c r="CL186" i="1"/>
  <c r="CL193" i="1" s="1"/>
  <c r="CL164" i="1"/>
  <c r="CL200" i="1"/>
  <c r="CL134" i="1"/>
  <c r="BR196" i="1"/>
  <c r="BR194" i="1"/>
  <c r="CQ323" i="1"/>
  <c r="AI196" i="1"/>
  <c r="AI194" i="1"/>
  <c r="BK171" i="1"/>
  <c r="AF166" i="1"/>
  <c r="AF167" i="1"/>
  <c r="AF169" i="1" s="1"/>
  <c r="AZ166" i="1"/>
  <c r="AZ167" i="1"/>
  <c r="AZ169" i="1" s="1"/>
  <c r="CJ193" i="1"/>
  <c r="Q166" i="1"/>
  <c r="Q167" i="1"/>
  <c r="Q169" i="1" s="1"/>
  <c r="AG166" i="1"/>
  <c r="AG167" i="1"/>
  <c r="AG169" i="1" s="1"/>
  <c r="M15" i="4"/>
  <c r="CX256" i="1"/>
  <c r="BM249" i="1"/>
  <c r="BM255" i="1"/>
  <c r="BM254" i="1"/>
  <c r="BM201" i="1"/>
  <c r="CC194" i="1"/>
  <c r="CC196" i="1"/>
  <c r="BB256" i="1"/>
  <c r="BB250" i="1"/>
  <c r="BB186" i="1"/>
  <c r="BB193" i="1" s="1"/>
  <c r="BB164" i="1"/>
  <c r="BB200" i="1"/>
  <c r="BB134" i="1"/>
  <c r="Z166" i="1"/>
  <c r="Z167" i="1"/>
  <c r="Z169" i="1" s="1"/>
  <c r="AX166" i="1"/>
  <c r="AX167" i="1"/>
  <c r="AX169" i="1" s="1"/>
  <c r="BV255" i="1"/>
  <c r="BV249" i="1"/>
  <c r="BV254" i="1"/>
  <c r="BV201" i="1"/>
  <c r="BT129" i="1"/>
  <c r="BT135" i="1"/>
  <c r="BT124" i="1"/>
  <c r="BN135" i="1"/>
  <c r="BN124" i="1"/>
  <c r="BN129" i="1"/>
  <c r="AV250" i="1"/>
  <c r="AV256" i="1"/>
  <c r="AV186" i="1"/>
  <c r="AV164" i="1"/>
  <c r="AV134" i="1"/>
  <c r="AN166" i="1"/>
  <c r="AN167" i="1"/>
  <c r="AN169" i="1" s="1"/>
  <c r="CB166" i="1"/>
  <c r="CB167" i="1"/>
  <c r="CB169" i="1" s="1"/>
  <c r="Q12" i="4"/>
  <c r="BE400" i="1"/>
  <c r="BE249" i="1"/>
  <c r="BE255" i="1"/>
  <c r="BE254" i="1"/>
  <c r="BE201" i="1"/>
  <c r="P12" i="4"/>
  <c r="AY400" i="1"/>
  <c r="AY254" i="1"/>
  <c r="AY255" i="1"/>
  <c r="AY249" i="1"/>
  <c r="AY201" i="1"/>
  <c r="V12" i="4"/>
  <c r="C12" i="2"/>
  <c r="C13" i="2" s="1"/>
  <c r="CI400" i="1"/>
  <c r="CI254" i="1"/>
  <c r="CX200" i="1"/>
  <c r="CI255" i="1"/>
  <c r="CW200" i="1"/>
  <c r="CI249" i="1"/>
  <c r="CY200" i="1"/>
  <c r="CI201" i="1"/>
  <c r="X250" i="1"/>
  <c r="X256" i="1"/>
  <c r="X186" i="1"/>
  <c r="X164" i="1"/>
  <c r="X134" i="1"/>
  <c r="BW196" i="1"/>
  <c r="BW194" i="1"/>
  <c r="AJ250" i="1"/>
  <c r="BX254" i="1"/>
  <c r="BX249" i="1"/>
  <c r="BX255" i="1"/>
  <c r="BX201" i="1"/>
  <c r="AK194" i="1"/>
  <c r="AK196" i="1"/>
  <c r="BA249" i="1"/>
  <c r="BA255" i="1"/>
  <c r="BA201" i="1"/>
  <c r="BA254" i="1"/>
  <c r="BQ166" i="1"/>
  <c r="BQ401" i="1" s="1"/>
  <c r="BQ409" i="1" s="1"/>
  <c r="BQ167" i="1"/>
  <c r="BQ169" i="1" s="1"/>
  <c r="CG194" i="1"/>
  <c r="CG196" i="1"/>
  <c r="R250" i="1"/>
  <c r="R186" i="1"/>
  <c r="R256" i="1"/>
  <c r="R164" i="1"/>
  <c r="R134" i="1"/>
  <c r="J166" i="1"/>
  <c r="J167" i="1"/>
  <c r="J169" i="1" s="1"/>
  <c r="BF255" i="1"/>
  <c r="BF249" i="1"/>
  <c r="BF254" i="1"/>
  <c r="BF201" i="1"/>
  <c r="CD255" i="1"/>
  <c r="CD254" i="1"/>
  <c r="CD249" i="1"/>
  <c r="CD201" i="1"/>
  <c r="C99" i="3"/>
  <c r="CO14" i="1"/>
  <c r="CM192" i="1"/>
  <c r="CO187" i="1"/>
  <c r="C167" i="1"/>
  <c r="C169" i="1" s="1"/>
  <c r="C166" i="1"/>
  <c r="BO254" i="1"/>
  <c r="BO255" i="1"/>
  <c r="BO249" i="1"/>
  <c r="BO201" i="1"/>
  <c r="CP69" i="1"/>
  <c r="AM167" i="1"/>
  <c r="AM169" i="1" s="1"/>
  <c r="AM166" i="1"/>
  <c r="AM401" i="1" s="1"/>
  <c r="AM409" i="1" s="1"/>
  <c r="L20" i="4"/>
  <c r="L14" i="4"/>
  <c r="BH166" i="1"/>
  <c r="BH167" i="1"/>
  <c r="BH169" i="1" s="1"/>
  <c r="I166" i="1"/>
  <c r="I401" i="1" s="1"/>
  <c r="I409" i="1" s="1"/>
  <c r="I167" i="1"/>
  <c r="I169" i="1" s="1"/>
  <c r="CK196" i="1"/>
  <c r="CK194" i="1"/>
  <c r="CH196" i="1"/>
  <c r="CH194" i="1"/>
  <c r="BU196" i="1"/>
  <c r="BU194" i="1"/>
  <c r="BZ256" i="1"/>
  <c r="BZ250" i="1"/>
  <c r="BZ186" i="1"/>
  <c r="BZ193" i="1" s="1"/>
  <c r="BZ164" i="1"/>
  <c r="BZ200" i="1"/>
  <c r="BZ134" i="1"/>
  <c r="H20" i="4"/>
  <c r="H14" i="4"/>
  <c r="CE196" i="1"/>
  <c r="CE194" i="1"/>
  <c r="AE196" i="1"/>
  <c r="AE194" i="1"/>
  <c r="BK407" i="1"/>
  <c r="BC254" i="1"/>
  <c r="BC255" i="1"/>
  <c r="BC249" i="1"/>
  <c r="BC201" i="1"/>
  <c r="BH129" i="1"/>
  <c r="BH135" i="1"/>
  <c r="BH124" i="1"/>
  <c r="BT250" i="1"/>
  <c r="BT256" i="1"/>
  <c r="BT186" i="1"/>
  <c r="BT193" i="1" s="1"/>
  <c r="BT164" i="1"/>
  <c r="BT134" i="1"/>
  <c r="BT200" i="1"/>
  <c r="M166" i="1"/>
  <c r="M167" i="1"/>
  <c r="M169" i="1" s="1"/>
  <c r="AC194" i="1"/>
  <c r="AC196" i="1"/>
  <c r="BY196" i="1"/>
  <c r="BY194" i="1"/>
  <c r="CO128" i="1"/>
  <c r="CN246" i="1"/>
  <c r="CN247" i="1" s="1"/>
  <c r="CN175" i="1"/>
  <c r="CN155" i="1"/>
  <c r="CN156" i="1" s="1"/>
  <c r="CN100" i="1"/>
  <c r="G12" i="4"/>
  <c r="G400" i="1"/>
  <c r="G254" i="1"/>
  <c r="G255" i="1"/>
  <c r="G249" i="1"/>
  <c r="G201" i="1"/>
  <c r="BS167" i="1"/>
  <c r="BS169" i="1" s="1"/>
  <c r="BS166" i="1"/>
  <c r="BS254" i="1"/>
  <c r="BS255" i="1"/>
  <c r="BS249" i="1"/>
  <c r="BS201" i="1"/>
  <c r="AQ167" i="1"/>
  <c r="AQ169" i="1" s="1"/>
  <c r="AQ166" i="1"/>
  <c r="L167" i="1"/>
  <c r="L169" i="1" s="1"/>
  <c r="AF196" i="1"/>
  <c r="AF194" i="1"/>
  <c r="AZ196" i="1"/>
  <c r="AZ194" i="1"/>
  <c r="BP166" i="1"/>
  <c r="BP167" i="1"/>
  <c r="BP169" i="1" s="1"/>
  <c r="CJ254" i="1"/>
  <c r="CJ249" i="1"/>
  <c r="CJ255" i="1"/>
  <c r="CJ201" i="1"/>
  <c r="AG196" i="1"/>
  <c r="AG194" i="1"/>
  <c r="U12" i="4"/>
  <c r="CC400" i="1"/>
  <c r="CC249" i="1"/>
  <c r="CC255" i="1"/>
  <c r="CC254" i="1"/>
  <c r="CC201" i="1"/>
  <c r="BV166" i="1"/>
  <c r="BV167" i="1"/>
  <c r="BV169" i="1" s="1"/>
  <c r="BG180" i="1"/>
  <c r="CB196" i="1"/>
  <c r="CB194" i="1"/>
  <c r="AO166" i="1"/>
  <c r="AO167" i="1"/>
  <c r="AO169" i="1" s="1"/>
  <c r="BE166" i="1"/>
  <c r="BE401" i="1" s="1"/>
  <c r="BE409" i="1" s="1"/>
  <c r="BE167" i="1"/>
  <c r="BE169" i="1" s="1"/>
  <c r="BJ166" i="1"/>
  <c r="BJ167" i="1"/>
  <c r="BJ169" i="1" s="1"/>
  <c r="W167" i="1"/>
  <c r="W169" i="1" s="1"/>
  <c r="W166" i="1"/>
  <c r="CA204" i="1"/>
  <c r="CA209" i="1" s="1"/>
  <c r="CA211" i="1" s="1"/>
  <c r="CA171" i="1"/>
  <c r="T12" i="4"/>
  <c r="BW400" i="1"/>
  <c r="BW254" i="1"/>
  <c r="BW255" i="1"/>
  <c r="BW249" i="1"/>
  <c r="BW201" i="1"/>
  <c r="CQ111" i="1"/>
  <c r="CQ113" i="1" s="1"/>
  <c r="CQ118" i="1" s="1"/>
  <c r="CQ110" i="1"/>
  <c r="P166" i="1"/>
  <c r="P167" i="1"/>
  <c r="P169" i="1" s="1"/>
  <c r="AJ166" i="1"/>
  <c r="BD166" i="1"/>
  <c r="BD167" i="1"/>
  <c r="BD169" i="1" s="1"/>
  <c r="E12" i="4"/>
  <c r="E400" i="1"/>
  <c r="E255" i="1"/>
  <c r="E249" i="1"/>
  <c r="E201" i="1"/>
  <c r="E254" i="1"/>
  <c r="U166" i="1"/>
  <c r="U401" i="1" s="1"/>
  <c r="U409" i="1" s="1"/>
  <c r="U167" i="1"/>
  <c r="U169" i="1" s="1"/>
  <c r="BA194" i="1"/>
  <c r="BA196" i="1"/>
  <c r="S12" i="4"/>
  <c r="BQ400" i="1"/>
  <c r="BQ249" i="1"/>
  <c r="BQ255" i="1"/>
  <c r="BQ201" i="1"/>
  <c r="BQ254" i="1"/>
  <c r="AH196" i="1"/>
  <c r="AH194" i="1"/>
  <c r="BF196" i="1"/>
  <c r="BF194" i="1"/>
  <c r="CD166" i="1"/>
  <c r="CD167" i="1"/>
  <c r="CD169" i="1" s="1"/>
  <c r="CO70" i="1"/>
  <c r="CO215" i="1"/>
  <c r="CW256" i="1"/>
  <c r="CR67" i="1"/>
  <c r="CQ72" i="1"/>
  <c r="AM196" i="1"/>
  <c r="AM194" i="1"/>
  <c r="AA407" i="1"/>
  <c r="CK249" i="1"/>
  <c r="CK255" i="1"/>
  <c r="CK254" i="1"/>
  <c r="CK201" i="1"/>
  <c r="BU249" i="1"/>
  <c r="BU255" i="1"/>
  <c r="BU254" i="1"/>
  <c r="BU201" i="1"/>
  <c r="H407" i="1"/>
  <c r="H410" i="1" s="1"/>
  <c r="H402" i="1"/>
  <c r="CL135" i="1"/>
  <c r="CL124" i="1"/>
  <c r="CL129" i="1"/>
  <c r="CE254" i="1"/>
  <c r="CE255" i="1"/>
  <c r="CE249" i="1"/>
  <c r="CE201" i="1"/>
  <c r="AE167" i="1"/>
  <c r="AE169" i="1" s="1"/>
  <c r="AE166" i="1"/>
  <c r="CQ28" i="1"/>
  <c r="CP33" i="1"/>
  <c r="BC167" i="1"/>
  <c r="BC169" i="1" s="1"/>
  <c r="BC166" i="1"/>
  <c r="D12" i="4"/>
  <c r="D254" i="1"/>
  <c r="D249" i="1"/>
  <c r="D400" i="1"/>
  <c r="D255" i="1"/>
  <c r="D201" i="1"/>
  <c r="AB166" i="1"/>
  <c r="AB167" i="1"/>
  <c r="AB169" i="1" s="1"/>
  <c r="AR166" i="1"/>
  <c r="AR167" i="1"/>
  <c r="AR169" i="1" s="1"/>
  <c r="BL166" i="1"/>
  <c r="BL167" i="1"/>
  <c r="BL169" i="1" s="1"/>
  <c r="O12" i="4"/>
  <c r="AS400" i="1"/>
  <c r="AS249" i="1"/>
  <c r="AS255" i="1"/>
  <c r="AS201" i="1"/>
  <c r="AS254" i="1"/>
  <c r="BI166" i="1"/>
  <c r="BI167" i="1"/>
  <c r="BI169" i="1" s="1"/>
  <c r="AP250" i="1"/>
  <c r="AP256" i="1"/>
  <c r="AP186" i="1"/>
  <c r="AP164" i="1"/>
  <c r="AP134" i="1"/>
  <c r="V166" i="1"/>
  <c r="V167" i="1"/>
  <c r="V169" i="1" s="1"/>
  <c r="AT166" i="1"/>
  <c r="AT167" i="1"/>
  <c r="AT169" i="1" s="1"/>
  <c r="BR166" i="1"/>
  <c r="BR167" i="1"/>
  <c r="BR169" i="1" s="1"/>
  <c r="BB135" i="1"/>
  <c r="BB124" i="1"/>
  <c r="BB129" i="1"/>
  <c r="CN139" i="1"/>
  <c r="CN140" i="1" s="1"/>
  <c r="CN174" i="1" s="1"/>
  <c r="CM139" i="1"/>
  <c r="CM140" i="1" s="1"/>
  <c r="CF129" i="1"/>
  <c r="CF135" i="1"/>
  <c r="CF124" i="1"/>
  <c r="CO152" i="1"/>
  <c r="AZ254" i="1"/>
  <c r="AZ249" i="1"/>
  <c r="AZ201" i="1"/>
  <c r="AZ255" i="1"/>
  <c r="BP196" i="1"/>
  <c r="BP194" i="1"/>
  <c r="CJ166" i="1"/>
  <c r="CJ167" i="1"/>
  <c r="M12" i="4"/>
  <c r="AG249" i="1"/>
  <c r="AG255" i="1"/>
  <c r="AG254" i="1"/>
  <c r="AG400" i="1"/>
  <c r="AG201" i="1"/>
  <c r="AW166" i="1"/>
  <c r="AW167" i="1"/>
  <c r="AW169" i="1" s="1"/>
  <c r="BM166" i="1"/>
  <c r="BM167" i="1"/>
  <c r="BM169" i="1" s="1"/>
  <c r="F166" i="1"/>
  <c r="F401" i="1" s="1"/>
  <c r="F409" i="1" s="1"/>
  <c r="F167" i="1"/>
  <c r="F169" i="1" s="1"/>
  <c r="BV196" i="1"/>
  <c r="BV194" i="1"/>
  <c r="BG257" i="1"/>
  <c r="BG212" i="1"/>
  <c r="BG216" i="1"/>
  <c r="CP50" i="1"/>
  <c r="K167" i="1"/>
  <c r="K169" i="1" s="1"/>
  <c r="K166" i="1"/>
  <c r="CR117" i="1"/>
  <c r="CR125" i="1" s="1"/>
  <c r="CR116" i="1"/>
  <c r="CB254" i="1"/>
  <c r="CB249" i="1"/>
  <c r="CB255" i="1"/>
  <c r="CB201" i="1"/>
  <c r="BE196" i="1"/>
  <c r="BE194" i="1"/>
  <c r="BJ255" i="1"/>
  <c r="BJ249" i="1"/>
  <c r="BJ254" i="1"/>
  <c r="BJ201" i="1"/>
  <c r="AY167" i="1"/>
  <c r="AY169" i="1" s="1"/>
  <c r="AY166" i="1"/>
  <c r="AY401" i="1" s="1"/>
  <c r="AY409" i="1" s="1"/>
  <c r="CI167" i="1"/>
  <c r="CI169" i="1" s="1"/>
  <c r="CY164" i="1"/>
  <c r="CX164" i="1"/>
  <c r="CW164" i="1"/>
  <c r="CI166" i="1"/>
  <c r="CI401" i="1" s="1"/>
  <c r="CI409" i="1" s="1"/>
  <c r="CW193" i="1"/>
  <c r="CI196" i="1"/>
  <c r="CI194" i="1"/>
  <c r="CY193" i="1"/>
  <c r="CX193" i="1"/>
  <c r="AJ194" i="1"/>
  <c r="AJ196" i="1"/>
  <c r="BD196" i="1"/>
  <c r="BD194" i="1"/>
  <c r="BX166" i="1"/>
  <c r="BX167" i="1"/>
  <c r="BX169" i="1" s="1"/>
  <c r="BQ194" i="1"/>
  <c r="BQ196" i="1"/>
  <c r="CG166" i="1"/>
  <c r="CG167" i="1"/>
  <c r="CG169" i="1" s="1"/>
  <c r="BN250" i="1"/>
  <c r="BN186" i="1"/>
  <c r="BN193" i="1" s="1"/>
  <c r="BN164" i="1"/>
  <c r="BN200" i="1"/>
  <c r="BN256" i="1"/>
  <c r="BN134" i="1"/>
  <c r="CQ436" i="1"/>
  <c r="R45" i="2" s="1"/>
  <c r="R46" i="2" s="1"/>
  <c r="R47" i="2" s="1"/>
  <c r="CR342" i="1"/>
  <c r="CO51" i="1"/>
  <c r="CO158" i="1"/>
  <c r="CO222" i="1"/>
  <c r="CM230" i="1"/>
  <c r="CO230" i="1" s="1"/>
  <c r="C12" i="4"/>
  <c r="C400" i="1"/>
  <c r="C254" i="1"/>
  <c r="C201" i="1"/>
  <c r="BO167" i="1"/>
  <c r="BO169" i="1" s="1"/>
  <c r="BO166" i="1"/>
  <c r="J20" i="4"/>
  <c r="J14" i="4"/>
  <c r="N12" i="4"/>
  <c r="AM400" i="1"/>
  <c r="AM254" i="1"/>
  <c r="AM255" i="1"/>
  <c r="AM249" i="1"/>
  <c r="AM201" i="1"/>
  <c r="AA249" i="1"/>
  <c r="I12" i="4"/>
  <c r="I400" i="1"/>
  <c r="I255" i="1"/>
  <c r="I254" i="1"/>
  <c r="I249" i="1"/>
  <c r="I201" i="1"/>
  <c r="CH166" i="1"/>
  <c r="CH167" i="1"/>
  <c r="CH169" i="1" s="1"/>
  <c r="AL166" i="1"/>
  <c r="AL167" i="1"/>
  <c r="AL169" i="1" s="1"/>
  <c r="BG221" i="1" l="1"/>
  <c r="BG233" i="1" s="1"/>
  <c r="BG181" i="1"/>
  <c r="BG258" i="1"/>
  <c r="BK402" i="1"/>
  <c r="BK413" i="1" s="1"/>
  <c r="BK418" i="1" s="1"/>
  <c r="BK410" i="1"/>
  <c r="BH201" i="1"/>
  <c r="AA402" i="1"/>
  <c r="CF201" i="1"/>
  <c r="CF254" i="1"/>
  <c r="AA410" i="1"/>
  <c r="BH196" i="1"/>
  <c r="CO175" i="1"/>
  <c r="CO141" i="1" s="1"/>
  <c r="AD45" i="2"/>
  <c r="AD46" i="2" s="1"/>
  <c r="AD47" i="2" s="1"/>
  <c r="AA171" i="1"/>
  <c r="AA204" i="1"/>
  <c r="AA209" i="1" s="1"/>
  <c r="AA211" i="1" s="1"/>
  <c r="CW255" i="1"/>
  <c r="CW194" i="1"/>
  <c r="CW201" i="1"/>
  <c r="CO179" i="1"/>
  <c r="CM235" i="1"/>
  <c r="CM103" i="1"/>
  <c r="CM102" i="1" s="1"/>
  <c r="CM76" i="1" s="1"/>
  <c r="CM72" i="1" s="1"/>
  <c r="CO155" i="1"/>
  <c r="CO330" i="1" s="1"/>
  <c r="CW254" i="1"/>
  <c r="CN253" i="1"/>
  <c r="CO156" i="1"/>
  <c r="CO253" i="1" s="1"/>
  <c r="CN214" i="1"/>
  <c r="CN208" i="1"/>
  <c r="BO204" i="1"/>
  <c r="BO209" i="1" s="1"/>
  <c r="BO211" i="1" s="1"/>
  <c r="BO171" i="1"/>
  <c r="BN194" i="1"/>
  <c r="BN196" i="1"/>
  <c r="BG218" i="1"/>
  <c r="BG217" i="1"/>
  <c r="CX255" i="1"/>
  <c r="D9" i="2"/>
  <c r="D10" i="2" s="1"/>
  <c r="CO317" i="1"/>
  <c r="CO316" i="1"/>
  <c r="CO331" i="1"/>
  <c r="CO246" i="1"/>
  <c r="CO247" i="1" s="1"/>
  <c r="D11" i="2" s="1"/>
  <c r="CO332" i="1"/>
  <c r="CO298" i="1"/>
  <c r="CV298" i="1" s="1"/>
  <c r="CO100" i="1"/>
  <c r="CM174" i="1"/>
  <c r="CO140" i="1"/>
  <c r="AT204" i="1"/>
  <c r="AT209" i="1" s="1"/>
  <c r="AT211" i="1" s="1"/>
  <c r="AT171" i="1"/>
  <c r="CY255" i="1"/>
  <c r="CQ33" i="1"/>
  <c r="CR28" i="1"/>
  <c r="CR72" i="1"/>
  <c r="CS67" i="1"/>
  <c r="W204" i="1"/>
  <c r="W209" i="1" s="1"/>
  <c r="W211" i="1" s="1"/>
  <c r="W171" i="1"/>
  <c r="BG239" i="1"/>
  <c r="BG236" i="1"/>
  <c r="BG242" i="1"/>
  <c r="BG243" i="1" s="1"/>
  <c r="L204" i="1"/>
  <c r="L209" i="1" s="1"/>
  <c r="L211" i="1" s="1"/>
  <c r="L171" i="1"/>
  <c r="CO133" i="1"/>
  <c r="BK406" i="1"/>
  <c r="BZ194" i="1"/>
  <c r="BZ196" i="1"/>
  <c r="AM204" i="1"/>
  <c r="AM209" i="1" s="1"/>
  <c r="AM211" i="1" s="1"/>
  <c r="AM171" i="1"/>
  <c r="C204" i="1"/>
  <c r="C209" i="1" s="1"/>
  <c r="C211" i="1" s="1"/>
  <c r="C171" i="1"/>
  <c r="J204" i="1"/>
  <c r="J209" i="1" s="1"/>
  <c r="J211" i="1" s="1"/>
  <c r="J171" i="1"/>
  <c r="CI407" i="1"/>
  <c r="CI410" i="1" s="1"/>
  <c r="CI402" i="1"/>
  <c r="AV167" i="1"/>
  <c r="AV169" i="1" s="1"/>
  <c r="AV166" i="1"/>
  <c r="BB255" i="1"/>
  <c r="BB249" i="1"/>
  <c r="BB254" i="1"/>
  <c r="BB201" i="1"/>
  <c r="BK427" i="1"/>
  <c r="BK428" i="1" s="1"/>
  <c r="BK212" i="1"/>
  <c r="BK257" i="1"/>
  <c r="BK216" i="1"/>
  <c r="CL255" i="1"/>
  <c r="CL249" i="1"/>
  <c r="CL254" i="1"/>
  <c r="CL201" i="1"/>
  <c r="AU212" i="1"/>
  <c r="AU216" i="1"/>
  <c r="AU257" i="1"/>
  <c r="CO396" i="1"/>
  <c r="AH204" i="1"/>
  <c r="AH209" i="1" s="1"/>
  <c r="AH211" i="1" s="1"/>
  <c r="AH171" i="1"/>
  <c r="BH249" i="1"/>
  <c r="AK204" i="1"/>
  <c r="AK209" i="1" s="1"/>
  <c r="AK211" i="1" s="1"/>
  <c r="AK171" i="1"/>
  <c r="E204" i="1"/>
  <c r="E209" i="1" s="1"/>
  <c r="E211" i="1" s="1"/>
  <c r="E171" i="1"/>
  <c r="CP248" i="1"/>
  <c r="H427" i="1"/>
  <c r="H428" i="1" s="1"/>
  <c r="H257" i="1"/>
  <c r="H216" i="1"/>
  <c r="H212" i="1"/>
  <c r="AD167" i="1"/>
  <c r="AD169" i="1" s="1"/>
  <c r="AD166" i="1"/>
  <c r="CR53" i="1"/>
  <c r="CS48" i="1"/>
  <c r="CH204" i="1"/>
  <c r="CH209" i="1" s="1"/>
  <c r="CH211" i="1" s="1"/>
  <c r="CH171" i="1"/>
  <c r="I20" i="4"/>
  <c r="I14" i="4"/>
  <c r="L13" i="2"/>
  <c r="K13" i="2"/>
  <c r="J13" i="2"/>
  <c r="CY201" i="1"/>
  <c r="CR436" i="1"/>
  <c r="S45" i="2" s="1"/>
  <c r="S46" i="2" s="1"/>
  <c r="S47" i="2" s="1"/>
  <c r="CS342" i="1"/>
  <c r="CS436" i="1" s="1"/>
  <c r="T45" i="2" s="1"/>
  <c r="T46" i="2" s="1"/>
  <c r="T47" i="2" s="1"/>
  <c r="CI204" i="1"/>
  <c r="CI209" i="1" s="1"/>
  <c r="CW169" i="1"/>
  <c r="CY169" i="1"/>
  <c r="CI171" i="1"/>
  <c r="CX169" i="1"/>
  <c r="K204" i="1"/>
  <c r="K209" i="1" s="1"/>
  <c r="K211" i="1" s="1"/>
  <c r="K171" i="1"/>
  <c r="F204" i="1"/>
  <c r="F209" i="1" s="1"/>
  <c r="F211" i="1" s="1"/>
  <c r="F171" i="1"/>
  <c r="BM204" i="1"/>
  <c r="BM209" i="1" s="1"/>
  <c r="BM211" i="1" s="1"/>
  <c r="BM171" i="1"/>
  <c r="CX201" i="1"/>
  <c r="AP167" i="1"/>
  <c r="AP169" i="1" s="1"/>
  <c r="AP166" i="1"/>
  <c r="BI204" i="1"/>
  <c r="BI209" i="1" s="1"/>
  <c r="BI211" i="1" s="1"/>
  <c r="BI171" i="1"/>
  <c r="BL204" i="1"/>
  <c r="BL209" i="1" s="1"/>
  <c r="BL211" i="1" s="1"/>
  <c r="BL171" i="1"/>
  <c r="AB171" i="1"/>
  <c r="AB204" i="1"/>
  <c r="AB209" i="1" s="1"/>
  <c r="AB211" i="1" s="1"/>
  <c r="D407" i="1"/>
  <c r="D410" i="1" s="1"/>
  <c r="D402" i="1"/>
  <c r="CD204" i="1"/>
  <c r="CD209" i="1" s="1"/>
  <c r="CD211" i="1" s="1"/>
  <c r="CD171" i="1"/>
  <c r="E20" i="4"/>
  <c r="E14" i="4"/>
  <c r="E402" i="1"/>
  <c r="E407" i="1"/>
  <c r="E410" i="1" s="1"/>
  <c r="AJ204" i="1"/>
  <c r="AJ209" i="1" s="1"/>
  <c r="AJ211" i="1" s="1"/>
  <c r="AJ171" i="1"/>
  <c r="CR111" i="1"/>
  <c r="CR113" i="1" s="1"/>
  <c r="CR118" i="1" s="1"/>
  <c r="CR110" i="1"/>
  <c r="CA258" i="1"/>
  <c r="CA221" i="1"/>
  <c r="CA233" i="1" s="1"/>
  <c r="CA180" i="1"/>
  <c r="CA181" i="1"/>
  <c r="CA172" i="1"/>
  <c r="BJ204" i="1"/>
  <c r="BJ209" i="1" s="1"/>
  <c r="BJ211" i="1" s="1"/>
  <c r="BJ171" i="1"/>
  <c r="AO204" i="1"/>
  <c r="AO209" i="1" s="1"/>
  <c r="AO211" i="1" s="1"/>
  <c r="AO171" i="1"/>
  <c r="AU251" i="1" s="1"/>
  <c r="CC402" i="1"/>
  <c r="CC407" i="1"/>
  <c r="CC410" i="1" s="1"/>
  <c r="M204" i="1"/>
  <c r="M209" i="1" s="1"/>
  <c r="M211" i="1" s="1"/>
  <c r="M171" i="1"/>
  <c r="BT167" i="1"/>
  <c r="BT169" i="1" s="1"/>
  <c r="BT166" i="1"/>
  <c r="I204" i="1"/>
  <c r="I209" i="1" s="1"/>
  <c r="I211" i="1" s="1"/>
  <c r="I171" i="1"/>
  <c r="CP75" i="1"/>
  <c r="BQ204" i="1"/>
  <c r="BQ209" i="1" s="1"/>
  <c r="BQ211" i="1" s="1"/>
  <c r="BQ171" i="1"/>
  <c r="X167" i="1"/>
  <c r="X169" i="1" s="1"/>
  <c r="X166" i="1"/>
  <c r="BE402" i="1"/>
  <c r="BE407" i="1"/>
  <c r="BE410" i="1" s="1"/>
  <c r="AN204" i="1"/>
  <c r="AN209" i="1" s="1"/>
  <c r="AN211" i="1" s="1"/>
  <c r="AN171" i="1"/>
  <c r="Z204" i="1"/>
  <c r="Z209" i="1" s="1"/>
  <c r="Z211" i="1" s="1"/>
  <c r="Z171" i="1"/>
  <c r="BB167" i="1"/>
  <c r="BB169" i="1" s="1"/>
  <c r="BB166" i="1"/>
  <c r="AG204" i="1"/>
  <c r="AG209" i="1" s="1"/>
  <c r="AG211" i="1" s="1"/>
  <c r="AG171" i="1"/>
  <c r="CJ196" i="1"/>
  <c r="CJ194" i="1"/>
  <c r="AF204" i="1"/>
  <c r="AF209" i="1" s="1"/>
  <c r="AF211" i="1" s="1"/>
  <c r="AF171" i="1"/>
  <c r="CL167" i="1"/>
  <c r="CL169" i="1" s="1"/>
  <c r="CL166" i="1"/>
  <c r="AC204" i="1"/>
  <c r="AC209" i="1" s="1"/>
  <c r="AC211" i="1" s="1"/>
  <c r="AC171" i="1"/>
  <c r="D204" i="1"/>
  <c r="D209" i="1" s="1"/>
  <c r="D211" i="1" s="1"/>
  <c r="D171" i="1"/>
  <c r="CE204" i="1"/>
  <c r="CE209" i="1" s="1"/>
  <c r="CE211" i="1" s="1"/>
  <c r="CE171" i="1"/>
  <c r="Y204" i="1"/>
  <c r="Y209" i="1" s="1"/>
  <c r="Y211" i="1" s="1"/>
  <c r="Y171" i="1"/>
  <c r="N204" i="1"/>
  <c r="N209" i="1" s="1"/>
  <c r="N211" i="1" s="1"/>
  <c r="N171" i="1"/>
  <c r="AD194" i="1"/>
  <c r="AD196" i="1"/>
  <c r="O421" i="1"/>
  <c r="O423" i="1" s="1"/>
  <c r="O258" i="1"/>
  <c r="O251" i="1"/>
  <c r="O221" i="1"/>
  <c r="O180" i="1"/>
  <c r="O172" i="1"/>
  <c r="O242" i="1"/>
  <c r="O181" i="1"/>
  <c r="F20" i="4"/>
  <c r="F14" i="4"/>
  <c r="CC204" i="1"/>
  <c r="CC209" i="1" s="1"/>
  <c r="CC211" i="1" s="1"/>
  <c r="CC171" i="1"/>
  <c r="CP13" i="1"/>
  <c r="AI204" i="1"/>
  <c r="AI209" i="1" s="1"/>
  <c r="AI211" i="1" s="1"/>
  <c r="AI171" i="1"/>
  <c r="BY204" i="1"/>
  <c r="BY209" i="1" s="1"/>
  <c r="BY211" i="1" s="1"/>
  <c r="BY171" i="1"/>
  <c r="C20" i="4"/>
  <c r="C14" i="4"/>
  <c r="CY254" i="1"/>
  <c r="BN255" i="1"/>
  <c r="BN254" i="1"/>
  <c r="BN249" i="1"/>
  <c r="BN201" i="1"/>
  <c r="CG204" i="1"/>
  <c r="CG209" i="1" s="1"/>
  <c r="CG211" i="1" s="1"/>
  <c r="CG171" i="1"/>
  <c r="CS117" i="1"/>
  <c r="CS125" i="1" s="1"/>
  <c r="CS116" i="1"/>
  <c r="AG407" i="1"/>
  <c r="BR204" i="1"/>
  <c r="BR209" i="1" s="1"/>
  <c r="BR211" i="1" s="1"/>
  <c r="BR171" i="1"/>
  <c r="V204" i="1"/>
  <c r="V209" i="1" s="1"/>
  <c r="V211" i="1" s="1"/>
  <c r="V171" i="1"/>
  <c r="BC204" i="1"/>
  <c r="BC209" i="1" s="1"/>
  <c r="BC211" i="1" s="1"/>
  <c r="BC171" i="1"/>
  <c r="T20" i="4"/>
  <c r="T14" i="4"/>
  <c r="CA257" i="1"/>
  <c r="CA212" i="1"/>
  <c r="CA216" i="1"/>
  <c r="U20" i="4"/>
  <c r="U14" i="4"/>
  <c r="BP204" i="1"/>
  <c r="BP209" i="1" s="1"/>
  <c r="BP211" i="1" s="1"/>
  <c r="BP171" i="1"/>
  <c r="BS204" i="1"/>
  <c r="BS209" i="1" s="1"/>
  <c r="BS211" i="1" s="1"/>
  <c r="BS171" i="1"/>
  <c r="G20" i="4"/>
  <c r="G14" i="4"/>
  <c r="BT194" i="1"/>
  <c r="BT196" i="1"/>
  <c r="BZ255" i="1"/>
  <c r="BZ249" i="1"/>
  <c r="BZ254" i="1"/>
  <c r="BZ201" i="1"/>
  <c r="CF255" i="1"/>
  <c r="CF249" i="1"/>
  <c r="CM199" i="1"/>
  <c r="CO192" i="1"/>
  <c r="P20" i="4"/>
  <c r="P14" i="4"/>
  <c r="Q20" i="4"/>
  <c r="Q14" i="4"/>
  <c r="BB196" i="1"/>
  <c r="BB194" i="1"/>
  <c r="AG401" i="1"/>
  <c r="AG409" i="1" s="1"/>
  <c r="CX166" i="1"/>
  <c r="CL194" i="1"/>
  <c r="CL196" i="1"/>
  <c r="O413" i="1"/>
  <c r="O418" i="1" s="1"/>
  <c r="J19" i="4" s="1"/>
  <c r="O406" i="1"/>
  <c r="J18" i="4" s="1"/>
  <c r="BF204" i="1"/>
  <c r="BF209" i="1" s="1"/>
  <c r="BF211" i="1" s="1"/>
  <c r="BF171" i="1"/>
  <c r="BA204" i="1"/>
  <c r="BA209" i="1" s="1"/>
  <c r="BA211" i="1" s="1"/>
  <c r="BA171" i="1"/>
  <c r="K20" i="4"/>
  <c r="K14" i="4"/>
  <c r="U407" i="1"/>
  <c r="U410" i="1" s="1"/>
  <c r="U402" i="1"/>
  <c r="BW204" i="1"/>
  <c r="BW209" i="1" s="1"/>
  <c r="BW211" i="1" s="1"/>
  <c r="BW171" i="1"/>
  <c r="O427" i="1"/>
  <c r="O428" i="1" s="1"/>
  <c r="O257" i="1"/>
  <c r="O212" i="1"/>
  <c r="O216" i="1"/>
  <c r="CW166" i="1"/>
  <c r="CQ122" i="1"/>
  <c r="CQ16" i="1"/>
  <c r="CR11" i="1"/>
  <c r="N14" i="4"/>
  <c r="N20" i="4"/>
  <c r="BX204" i="1"/>
  <c r="BX209" i="1" s="1"/>
  <c r="BX211" i="1" s="1"/>
  <c r="BX171" i="1"/>
  <c r="AL204" i="1"/>
  <c r="AL209" i="1" s="1"/>
  <c r="AL211" i="1" s="1"/>
  <c r="AL171" i="1"/>
  <c r="I402" i="1"/>
  <c r="I407" i="1"/>
  <c r="I410" i="1" s="1"/>
  <c r="AM407" i="1"/>
  <c r="AM410" i="1" s="1"/>
  <c r="AM402" i="1"/>
  <c r="C407" i="1"/>
  <c r="BN167" i="1"/>
  <c r="BN169" i="1" s="1"/>
  <c r="BN166" i="1"/>
  <c r="AY204" i="1"/>
  <c r="AY209" i="1" s="1"/>
  <c r="AY211" i="1" s="1"/>
  <c r="AY171" i="1"/>
  <c r="CR215" i="1"/>
  <c r="CR222" i="1"/>
  <c r="CR230" i="1" s="1"/>
  <c r="CR187" i="1"/>
  <c r="CR192" i="1" s="1"/>
  <c r="CR199" i="1" s="1"/>
  <c r="CR210" i="1" s="1"/>
  <c r="CR158" i="1"/>
  <c r="CP56" i="1"/>
  <c r="AW204" i="1"/>
  <c r="AW209" i="1" s="1"/>
  <c r="AW211" i="1" s="1"/>
  <c r="AW171" i="1"/>
  <c r="M14" i="4"/>
  <c r="M20" i="4"/>
  <c r="CX254" i="1"/>
  <c r="CJ169" i="1"/>
  <c r="O20" i="4"/>
  <c r="O14" i="4"/>
  <c r="AS407" i="1"/>
  <c r="AS410" i="1" s="1"/>
  <c r="AS402" i="1"/>
  <c r="AR204" i="1"/>
  <c r="AR209" i="1" s="1"/>
  <c r="AR211" i="1" s="1"/>
  <c r="AR171" i="1"/>
  <c r="D20" i="4"/>
  <c r="D14" i="4"/>
  <c r="CP30" i="1"/>
  <c r="AE204" i="1"/>
  <c r="AE209" i="1" s="1"/>
  <c r="AE211" i="1" s="1"/>
  <c r="AE171" i="1"/>
  <c r="H413" i="1"/>
  <c r="H418" i="1" s="1"/>
  <c r="H19" i="4" s="1"/>
  <c r="H406" i="1"/>
  <c r="H18" i="4" s="1"/>
  <c r="AA413" i="1"/>
  <c r="AA418" i="1" s="1"/>
  <c r="L19" i="4" s="1"/>
  <c r="AA406" i="1"/>
  <c r="L18" i="4" s="1"/>
  <c r="CQ78" i="1"/>
  <c r="CQ69" i="1"/>
  <c r="S20" i="4"/>
  <c r="S14" i="4"/>
  <c r="BQ407" i="1"/>
  <c r="BQ410" i="1" s="1"/>
  <c r="BQ402" i="1"/>
  <c r="U204" i="1"/>
  <c r="U209" i="1" s="1"/>
  <c r="U211" i="1" s="1"/>
  <c r="U171" i="1"/>
  <c r="BD204" i="1"/>
  <c r="BD209" i="1" s="1"/>
  <c r="BD211" i="1" s="1"/>
  <c r="BD171" i="1"/>
  <c r="P204" i="1"/>
  <c r="P209" i="1" s="1"/>
  <c r="P211" i="1" s="1"/>
  <c r="P171" i="1"/>
  <c r="BW407" i="1"/>
  <c r="BW410" i="1" s="1"/>
  <c r="BW402" i="1"/>
  <c r="BE204" i="1"/>
  <c r="BE209" i="1" s="1"/>
  <c r="BE211" i="1" s="1"/>
  <c r="BE171" i="1"/>
  <c r="BK251" i="1" s="1"/>
  <c r="BV204" i="1"/>
  <c r="BV209" i="1" s="1"/>
  <c r="BV211" i="1" s="1"/>
  <c r="BV171" i="1"/>
  <c r="CX194" i="1"/>
  <c r="CY194" i="1"/>
  <c r="AQ204" i="1"/>
  <c r="AQ209" i="1" s="1"/>
  <c r="AQ211" i="1" s="1"/>
  <c r="AQ171" i="1"/>
  <c r="G407" i="1"/>
  <c r="G410" i="1" s="1"/>
  <c r="G402" i="1"/>
  <c r="BT254" i="1"/>
  <c r="BT249" i="1"/>
  <c r="BT255" i="1"/>
  <c r="BT201" i="1"/>
  <c r="BZ167" i="1"/>
  <c r="BZ169" i="1" s="1"/>
  <c r="BZ166" i="1"/>
  <c r="BH171" i="1"/>
  <c r="BH204" i="1"/>
  <c r="BH209" i="1" s="1"/>
  <c r="BH211" i="1" s="1"/>
  <c r="C401" i="1"/>
  <c r="C409" i="1" s="1"/>
  <c r="CY166" i="1"/>
  <c r="R167" i="1"/>
  <c r="R169" i="1" s="1"/>
  <c r="R166" i="1"/>
  <c r="V20" i="4"/>
  <c r="V14" i="4"/>
  <c r="AY407" i="1"/>
  <c r="AY410" i="1" s="1"/>
  <c r="AY402" i="1"/>
  <c r="CB204" i="1"/>
  <c r="CB209" i="1" s="1"/>
  <c r="CB211" i="1" s="1"/>
  <c r="CB171" i="1"/>
  <c r="AX204" i="1"/>
  <c r="AX209" i="1" s="1"/>
  <c r="AX211" i="1" s="1"/>
  <c r="AX171" i="1"/>
  <c r="Q204" i="1"/>
  <c r="Q209" i="1" s="1"/>
  <c r="Q211" i="1" s="1"/>
  <c r="Q171" i="1"/>
  <c r="AZ204" i="1"/>
  <c r="AZ209" i="1" s="1"/>
  <c r="AZ211" i="1" s="1"/>
  <c r="AZ171" i="1"/>
  <c r="BK421" i="1"/>
  <c r="BK423" i="1" s="1"/>
  <c r="BK258" i="1"/>
  <c r="BK221" i="1"/>
  <c r="BK233" i="1" s="1"/>
  <c r="BK180" i="1"/>
  <c r="BK172" i="1"/>
  <c r="BK181" i="1"/>
  <c r="CR323" i="1"/>
  <c r="AS204" i="1"/>
  <c r="AS209" i="1" s="1"/>
  <c r="AS211" i="1" s="1"/>
  <c r="AS171" i="1"/>
  <c r="AU258" i="1"/>
  <c r="AU221" i="1"/>
  <c r="AU180" i="1"/>
  <c r="AU172" i="1"/>
  <c r="AU181" i="1"/>
  <c r="S204" i="1"/>
  <c r="S209" i="1" s="1"/>
  <c r="S211" i="1" s="1"/>
  <c r="S171" i="1"/>
  <c r="BU204" i="1"/>
  <c r="BU209" i="1" s="1"/>
  <c r="BU211" i="1" s="1"/>
  <c r="BU171" i="1"/>
  <c r="T204" i="1"/>
  <c r="T209" i="1" s="1"/>
  <c r="T211" i="1" s="1"/>
  <c r="T171" i="1"/>
  <c r="CK204" i="1"/>
  <c r="CK209" i="1" s="1"/>
  <c r="CK211" i="1" s="1"/>
  <c r="CK171" i="1"/>
  <c r="CP324" i="1"/>
  <c r="CO415" i="1"/>
  <c r="BH255" i="1"/>
  <c r="H421" i="1"/>
  <c r="H423" i="1" s="1"/>
  <c r="H258" i="1"/>
  <c r="H221" i="1"/>
  <c r="H242" i="1"/>
  <c r="H180" i="1"/>
  <c r="H181" i="1"/>
  <c r="H172" i="1"/>
  <c r="CQ59" i="1"/>
  <c r="CQ50" i="1"/>
  <c r="F407" i="1"/>
  <c r="F410" i="1" s="1"/>
  <c r="F402" i="1"/>
  <c r="G204" i="1"/>
  <c r="G209" i="1" s="1"/>
  <c r="G211" i="1" s="1"/>
  <c r="G171" i="1"/>
  <c r="H251" i="1" s="1"/>
  <c r="CP152" i="1"/>
  <c r="CP133" i="1" s="1"/>
  <c r="CP128" i="1"/>
  <c r="CF204" i="1"/>
  <c r="CF209" i="1" s="1"/>
  <c r="CF211" i="1" s="1"/>
  <c r="CF171" i="1"/>
  <c r="CO138" i="1" l="1"/>
  <c r="CV138" i="1" s="1"/>
  <c r="CO318" i="1"/>
  <c r="CO266" i="1"/>
  <c r="CO344" i="1" s="1"/>
  <c r="CM37" i="1"/>
  <c r="CM33" i="1" s="1"/>
  <c r="CM30" i="1" s="1"/>
  <c r="CM57" i="1"/>
  <c r="CM53" i="1" s="1"/>
  <c r="CM50" i="1" s="1"/>
  <c r="CM20" i="1"/>
  <c r="CM16" i="1" s="1"/>
  <c r="CM13" i="1" s="1"/>
  <c r="AF45" i="2"/>
  <c r="AF46" i="2" s="1"/>
  <c r="AF47" i="2" s="1"/>
  <c r="AE45" i="2"/>
  <c r="AE46" i="2" s="1"/>
  <c r="AE47" i="2" s="1"/>
  <c r="AA257" i="1"/>
  <c r="AA212" i="1"/>
  <c r="AA216" i="1"/>
  <c r="AA427" i="1"/>
  <c r="AA428" i="1" s="1"/>
  <c r="AA242" i="1"/>
  <c r="AA221" i="1"/>
  <c r="AA421" i="1"/>
  <c r="AA423" i="1" s="1"/>
  <c r="AA180" i="1"/>
  <c r="AA181" i="1"/>
  <c r="AA258" i="1"/>
  <c r="AA172" i="1"/>
  <c r="CO433" i="1"/>
  <c r="CO434" i="1" s="1"/>
  <c r="D21" i="2"/>
  <c r="C56" i="3"/>
  <c r="C110" i="3" s="1"/>
  <c r="CO235" i="1"/>
  <c r="CF258" i="1"/>
  <c r="CF221" i="1"/>
  <c r="CF233" i="1" s="1"/>
  <c r="CF180" i="1"/>
  <c r="CF181" i="1"/>
  <c r="CF172" i="1"/>
  <c r="E9" i="2"/>
  <c r="E10" i="2" s="1"/>
  <c r="CP316" i="1"/>
  <c r="CP332" i="1"/>
  <c r="CP331" i="1"/>
  <c r="CP317" i="1"/>
  <c r="CP272" i="1"/>
  <c r="CP246" i="1"/>
  <c r="CP247" i="1" s="1"/>
  <c r="E11" i="2" s="1"/>
  <c r="CP140" i="1"/>
  <c r="CP99" i="1"/>
  <c r="CP175" i="1"/>
  <c r="CP266" i="1" s="1"/>
  <c r="CP344" i="1" s="1"/>
  <c r="CP155" i="1"/>
  <c r="CQ248" i="1"/>
  <c r="CP396" i="1"/>
  <c r="T251" i="1"/>
  <c r="T258" i="1"/>
  <c r="T221" i="1"/>
  <c r="T180" i="1"/>
  <c r="T181" i="1"/>
  <c r="T172" i="1"/>
  <c r="S258" i="1"/>
  <c r="S251" i="1"/>
  <c r="S221" i="1"/>
  <c r="S180" i="1"/>
  <c r="S181" i="1"/>
  <c r="S172" i="1"/>
  <c r="AS421" i="1"/>
  <c r="AS423" i="1" s="1"/>
  <c r="AS242" i="1"/>
  <c r="AS258" i="1"/>
  <c r="AS251" i="1"/>
  <c r="AS221" i="1"/>
  <c r="AS180" i="1"/>
  <c r="AS181" i="1"/>
  <c r="AS172" i="1"/>
  <c r="AZ216" i="1"/>
  <c r="AZ257" i="1"/>
  <c r="AZ212" i="1"/>
  <c r="AX257" i="1"/>
  <c r="AX212" i="1"/>
  <c r="AX216" i="1"/>
  <c r="R204" i="1"/>
  <c r="R209" i="1" s="1"/>
  <c r="R211" i="1" s="1"/>
  <c r="R171" i="1"/>
  <c r="BH221" i="1"/>
  <c r="BH233" i="1" s="1"/>
  <c r="BH180" i="1"/>
  <c r="BH181" i="1"/>
  <c r="BH258" i="1"/>
  <c r="BH172" i="1"/>
  <c r="BE427" i="1"/>
  <c r="BE428" i="1" s="1"/>
  <c r="BE257" i="1"/>
  <c r="BE216" i="1"/>
  <c r="BE212" i="1"/>
  <c r="P257" i="1"/>
  <c r="P216" i="1"/>
  <c r="P212" i="1"/>
  <c r="U427" i="1"/>
  <c r="U428" i="1" s="1"/>
  <c r="U257" i="1"/>
  <c r="U216" i="1"/>
  <c r="U212" i="1"/>
  <c r="AE212" i="1"/>
  <c r="AE216" i="1"/>
  <c r="AE257" i="1"/>
  <c r="AW251" i="1"/>
  <c r="AW221" i="1"/>
  <c r="AW258" i="1"/>
  <c r="AW180" i="1"/>
  <c r="AW181" i="1"/>
  <c r="AW172" i="1"/>
  <c r="BN204" i="1"/>
  <c r="BN209" i="1" s="1"/>
  <c r="BN211" i="1" s="1"/>
  <c r="BN171" i="1"/>
  <c r="AL257" i="1"/>
  <c r="AL212" i="1"/>
  <c r="AL216" i="1"/>
  <c r="CQ22" i="1"/>
  <c r="CQ13" i="1"/>
  <c r="BW427" i="1"/>
  <c r="BW428" i="1" s="1"/>
  <c r="BW257" i="1"/>
  <c r="BW212" i="1"/>
  <c r="BW216" i="1"/>
  <c r="BF257" i="1"/>
  <c r="BF212" i="1"/>
  <c r="BF216" i="1"/>
  <c r="CM210" i="1"/>
  <c r="CO210" i="1" s="1"/>
  <c r="CO199" i="1"/>
  <c r="BS257" i="1"/>
  <c r="BS212" i="1"/>
  <c r="BS216" i="1"/>
  <c r="BC257" i="1"/>
  <c r="BC212" i="1"/>
  <c r="BC216" i="1"/>
  <c r="BR257" i="1"/>
  <c r="BR212" i="1"/>
  <c r="BR216" i="1"/>
  <c r="CS222" i="1"/>
  <c r="CS230" i="1" s="1"/>
  <c r="CS215" i="1"/>
  <c r="CS187" i="1"/>
  <c r="CS192" i="1" s="1"/>
  <c r="CS199" i="1" s="1"/>
  <c r="CS210" i="1" s="1"/>
  <c r="CS158" i="1"/>
  <c r="BY257" i="1"/>
  <c r="BY216" i="1"/>
  <c r="BY212" i="1"/>
  <c r="N257" i="1"/>
  <c r="N212" i="1"/>
  <c r="N216" i="1"/>
  <c r="CE257" i="1"/>
  <c r="CE212" i="1"/>
  <c r="CE216" i="1"/>
  <c r="AC257" i="1"/>
  <c r="AC216" i="1"/>
  <c r="AC212" i="1"/>
  <c r="AF257" i="1"/>
  <c r="AF216" i="1"/>
  <c r="AF212" i="1"/>
  <c r="AG421" i="1"/>
  <c r="AG423" i="1" s="1"/>
  <c r="AG242" i="1"/>
  <c r="AG251" i="1"/>
  <c r="AG221" i="1"/>
  <c r="AG233" i="1" s="1"/>
  <c r="AG258" i="1"/>
  <c r="AG180" i="1"/>
  <c r="AG181" i="1"/>
  <c r="AG172" i="1"/>
  <c r="Z258" i="1"/>
  <c r="Z251" i="1"/>
  <c r="Z181" i="1"/>
  <c r="Z221" i="1"/>
  <c r="Z172" i="1"/>
  <c r="Z180" i="1"/>
  <c r="BQ258" i="1"/>
  <c r="BQ421" i="1"/>
  <c r="BQ423" i="1" s="1"/>
  <c r="BQ251" i="1"/>
  <c r="BQ180" i="1"/>
  <c r="BQ221" i="1"/>
  <c r="BQ233" i="1" s="1"/>
  <c r="BQ181" i="1"/>
  <c r="BQ172" i="1"/>
  <c r="I421" i="1"/>
  <c r="I423" i="1" s="1"/>
  <c r="I251" i="1"/>
  <c r="I242" i="1"/>
  <c r="I258" i="1"/>
  <c r="I221" i="1"/>
  <c r="I180" i="1"/>
  <c r="I181" i="1"/>
  <c r="I172" i="1"/>
  <c r="M258" i="1"/>
  <c r="M221" i="1"/>
  <c r="M180" i="1"/>
  <c r="M181" i="1"/>
  <c r="M172" i="1"/>
  <c r="BJ258" i="1"/>
  <c r="BJ251" i="1"/>
  <c r="BJ221" i="1"/>
  <c r="BJ233" i="1" s="1"/>
  <c r="BJ181" i="1"/>
  <c r="BJ172" i="1"/>
  <c r="BJ180" i="1"/>
  <c r="CS110" i="1"/>
  <c r="CS111" i="1"/>
  <c r="CS113" i="1" s="1"/>
  <c r="CS118" i="1" s="1"/>
  <c r="CD258" i="1"/>
  <c r="CD251" i="1"/>
  <c r="CD221" i="1"/>
  <c r="CD233" i="1" s="1"/>
  <c r="CD181" i="1"/>
  <c r="CD172" i="1"/>
  <c r="CD180" i="1"/>
  <c r="AB257" i="1"/>
  <c r="AB216" i="1"/>
  <c r="AB212" i="1"/>
  <c r="BI258" i="1"/>
  <c r="BI251" i="1"/>
  <c r="BI221" i="1"/>
  <c r="BI233" i="1" s="1"/>
  <c r="BI180" i="1"/>
  <c r="BI181" i="1"/>
  <c r="BI172" i="1"/>
  <c r="F427" i="1"/>
  <c r="F428" i="1" s="1"/>
  <c r="F257" i="1"/>
  <c r="F212" i="1"/>
  <c r="F216" i="1"/>
  <c r="CI421" i="1"/>
  <c r="CI423" i="1" s="1"/>
  <c r="CI258" i="1"/>
  <c r="CI251" i="1"/>
  <c r="CI221" i="1"/>
  <c r="CI233" i="1" s="1"/>
  <c r="CI180" i="1"/>
  <c r="CI172" i="1"/>
  <c r="CY171" i="1"/>
  <c r="CX171" i="1"/>
  <c r="CW171" i="1"/>
  <c r="CI181" i="1"/>
  <c r="CH258" i="1"/>
  <c r="CH251" i="1"/>
  <c r="CH221" i="1"/>
  <c r="CH233" i="1" s="1"/>
  <c r="CH181" i="1"/>
  <c r="CH180" i="1"/>
  <c r="CH172" i="1"/>
  <c r="E427" i="1"/>
  <c r="E428" i="1" s="1"/>
  <c r="E257" i="1"/>
  <c r="E216" i="1"/>
  <c r="E212" i="1"/>
  <c r="AH258" i="1"/>
  <c r="AH251" i="1"/>
  <c r="AH221" i="1"/>
  <c r="AH233" i="1" s="1"/>
  <c r="AH181" i="1"/>
  <c r="AH180" i="1"/>
  <c r="AH172" i="1"/>
  <c r="AU218" i="1"/>
  <c r="AU217" i="1"/>
  <c r="CI413" i="1"/>
  <c r="CI418" i="1" s="1"/>
  <c r="CI406" i="1"/>
  <c r="C421" i="1"/>
  <c r="C423" i="1" s="1"/>
  <c r="C258" i="1"/>
  <c r="C221" i="1"/>
  <c r="C233" i="1" s="1"/>
  <c r="C242" i="1"/>
  <c r="C180" i="1"/>
  <c r="C181" i="1"/>
  <c r="C172" i="1"/>
  <c r="L221" i="1"/>
  <c r="L180" i="1"/>
  <c r="L258" i="1"/>
  <c r="L181" i="1"/>
  <c r="L172" i="1"/>
  <c r="CS72" i="1"/>
  <c r="CV67" i="1"/>
  <c r="CM214" i="1"/>
  <c r="CO214" i="1" s="1"/>
  <c r="CM208" i="1"/>
  <c r="CO208" i="1" s="1"/>
  <c r="CO174" i="1"/>
  <c r="CF216" i="1"/>
  <c r="CF257" i="1"/>
  <c r="CF212" i="1"/>
  <c r="G421" i="1"/>
  <c r="G423" i="1" s="1"/>
  <c r="G258" i="1"/>
  <c r="G251" i="1"/>
  <c r="G221" i="1"/>
  <c r="G242" i="1"/>
  <c r="G180" i="1"/>
  <c r="G172" i="1"/>
  <c r="G181" i="1"/>
  <c r="CQ58" i="1"/>
  <c r="CQ56" i="1"/>
  <c r="CQ324" i="1"/>
  <c r="CP415" i="1"/>
  <c r="T216" i="1"/>
  <c r="T257" i="1"/>
  <c r="T212" i="1"/>
  <c r="S257" i="1"/>
  <c r="S212" i="1"/>
  <c r="S216" i="1"/>
  <c r="AS427" i="1"/>
  <c r="AS428" i="1" s="1"/>
  <c r="AS257" i="1"/>
  <c r="AS216" i="1"/>
  <c r="AS212" i="1"/>
  <c r="Q251" i="1"/>
  <c r="Q221" i="1"/>
  <c r="Q258" i="1"/>
  <c r="Q180" i="1"/>
  <c r="Q181" i="1"/>
  <c r="Q172" i="1"/>
  <c r="CB258" i="1"/>
  <c r="CB221" i="1"/>
  <c r="CB233" i="1" s="1"/>
  <c r="CB180" i="1"/>
  <c r="CB251" i="1"/>
  <c r="CB181" i="1"/>
  <c r="CB172" i="1"/>
  <c r="AQ258" i="1"/>
  <c r="AQ251" i="1"/>
  <c r="AQ221" i="1"/>
  <c r="AQ180" i="1"/>
  <c r="AQ172" i="1"/>
  <c r="AQ181" i="1"/>
  <c r="BV258" i="1"/>
  <c r="BV251" i="1"/>
  <c r="BV181" i="1"/>
  <c r="BV221" i="1"/>
  <c r="BV233" i="1" s="1"/>
  <c r="BV172" i="1"/>
  <c r="BV180" i="1"/>
  <c r="BW413" i="1"/>
  <c r="BW418" i="1" s="1"/>
  <c r="T19" i="4" s="1"/>
  <c r="BW406" i="1"/>
  <c r="T18" i="4" s="1"/>
  <c r="BD258" i="1"/>
  <c r="BD221" i="1"/>
  <c r="BD233" i="1" s="1"/>
  <c r="BD251" i="1"/>
  <c r="BD180" i="1"/>
  <c r="BD181" i="1"/>
  <c r="BD172" i="1"/>
  <c r="BQ413" i="1"/>
  <c r="BQ418" i="1" s="1"/>
  <c r="S19" i="4" s="1"/>
  <c r="BQ406" i="1"/>
  <c r="S18" i="4" s="1"/>
  <c r="CQ77" i="1"/>
  <c r="CQ75" i="1"/>
  <c r="AR251" i="1"/>
  <c r="AR221" i="1"/>
  <c r="AR258" i="1"/>
  <c r="AR180" i="1"/>
  <c r="AR181" i="1"/>
  <c r="AR172" i="1"/>
  <c r="AW257" i="1"/>
  <c r="AW216" i="1"/>
  <c r="AW212" i="1"/>
  <c r="AY421" i="1"/>
  <c r="AY423" i="1" s="1"/>
  <c r="AY258" i="1"/>
  <c r="AY251" i="1"/>
  <c r="AY221" i="1"/>
  <c r="AY242" i="1"/>
  <c r="AY180" i="1"/>
  <c r="AY181" i="1"/>
  <c r="AY172" i="1"/>
  <c r="C402" i="1"/>
  <c r="BX251" i="1"/>
  <c r="BX221" i="1"/>
  <c r="BX233" i="1" s="1"/>
  <c r="BX180" i="1"/>
  <c r="BX258" i="1"/>
  <c r="BX181" i="1"/>
  <c r="BX172" i="1"/>
  <c r="CQ128" i="1"/>
  <c r="CQ152" i="1"/>
  <c r="U413" i="1"/>
  <c r="U418" i="1" s="1"/>
  <c r="K19" i="4" s="1"/>
  <c r="U406" i="1"/>
  <c r="K18" i="4" s="1"/>
  <c r="BA258" i="1"/>
  <c r="BA251" i="1"/>
  <c r="BA180" i="1"/>
  <c r="BA181" i="1"/>
  <c r="BA221" i="1"/>
  <c r="BA233" i="1" s="1"/>
  <c r="BA172" i="1"/>
  <c r="BG251" i="1"/>
  <c r="BP251" i="1"/>
  <c r="BP258" i="1"/>
  <c r="BP180" i="1"/>
  <c r="BP221" i="1"/>
  <c r="BP233" i="1" s="1"/>
  <c r="BP181" i="1"/>
  <c r="BP172" i="1"/>
  <c r="CA217" i="1"/>
  <c r="CA218" i="1"/>
  <c r="V258" i="1"/>
  <c r="V251" i="1"/>
  <c r="V221" i="1"/>
  <c r="V181" i="1"/>
  <c r="V180" i="1"/>
  <c r="V172" i="1"/>
  <c r="AG410" i="1"/>
  <c r="CG258" i="1"/>
  <c r="CG251" i="1"/>
  <c r="CG180" i="1"/>
  <c r="CG181" i="1"/>
  <c r="CG172" i="1"/>
  <c r="CG221" i="1"/>
  <c r="CG233" i="1" s="1"/>
  <c r="AI258" i="1"/>
  <c r="AI251" i="1"/>
  <c r="AI221" i="1"/>
  <c r="AI233" i="1" s="1"/>
  <c r="AI180" i="1"/>
  <c r="AI181" i="1"/>
  <c r="AI172" i="1"/>
  <c r="CC421" i="1"/>
  <c r="CC423" i="1" s="1"/>
  <c r="CC251" i="1"/>
  <c r="CC221" i="1"/>
  <c r="CC233" i="1" s="1"/>
  <c r="CC258" i="1"/>
  <c r="CC180" i="1"/>
  <c r="CC181" i="1"/>
  <c r="CC172" i="1"/>
  <c r="Y251" i="1"/>
  <c r="Y258" i="1"/>
  <c r="Y180" i="1"/>
  <c r="Y181" i="1"/>
  <c r="Y221" i="1"/>
  <c r="Y172" i="1"/>
  <c r="D421" i="1"/>
  <c r="D423" i="1" s="1"/>
  <c r="D251" i="1"/>
  <c r="D242" i="1"/>
  <c r="D258" i="1"/>
  <c r="D180" i="1"/>
  <c r="D221" i="1"/>
  <c r="D233" i="1" s="1"/>
  <c r="D181" i="1"/>
  <c r="D172" i="1"/>
  <c r="AG427" i="1"/>
  <c r="AG428" i="1" s="1"/>
  <c r="AG257" i="1"/>
  <c r="AG216" i="1"/>
  <c r="AG212" i="1"/>
  <c r="Z257" i="1"/>
  <c r="Z212" i="1"/>
  <c r="Z216" i="1"/>
  <c r="BE406" i="1"/>
  <c r="Q18" i="4" s="1"/>
  <c r="BE413" i="1"/>
  <c r="BE418" i="1" s="1"/>
  <c r="Q19" i="4" s="1"/>
  <c r="BQ427" i="1"/>
  <c r="BQ428" i="1" s="1"/>
  <c r="BQ257" i="1"/>
  <c r="BQ216" i="1"/>
  <c r="BQ212" i="1"/>
  <c r="I427" i="1"/>
  <c r="I428" i="1" s="1"/>
  <c r="I257" i="1"/>
  <c r="I216" i="1"/>
  <c r="I212" i="1"/>
  <c r="M257" i="1"/>
  <c r="M216" i="1"/>
  <c r="M212" i="1"/>
  <c r="CC406" i="1"/>
  <c r="U18" i="4" s="1"/>
  <c r="CC413" i="1"/>
  <c r="CC418" i="1" s="1"/>
  <c r="U19" i="4" s="1"/>
  <c r="BJ257" i="1"/>
  <c r="BJ212" i="1"/>
  <c r="BJ216" i="1"/>
  <c r="CA242" i="1"/>
  <c r="CA243" i="1" s="1"/>
  <c r="CA239" i="1"/>
  <c r="CA236" i="1"/>
  <c r="E406" i="1"/>
  <c r="E18" i="4" s="1"/>
  <c r="E413" i="1"/>
  <c r="E418" i="1" s="1"/>
  <c r="E19" i="4" s="1"/>
  <c r="CD257" i="1"/>
  <c r="CD212" i="1"/>
  <c r="CD216" i="1"/>
  <c r="AB251" i="1"/>
  <c r="AB221" i="1"/>
  <c r="AB233" i="1" s="1"/>
  <c r="AB258" i="1"/>
  <c r="AB180" i="1"/>
  <c r="AB181" i="1"/>
  <c r="AB172" i="1"/>
  <c r="BI257" i="1"/>
  <c r="BI216" i="1"/>
  <c r="BI212" i="1"/>
  <c r="BM251" i="1"/>
  <c r="BM221" i="1"/>
  <c r="BM233" i="1" s="1"/>
  <c r="BM258" i="1"/>
  <c r="BM180" i="1"/>
  <c r="BM181" i="1"/>
  <c r="BM172" i="1"/>
  <c r="K258" i="1"/>
  <c r="K221" i="1"/>
  <c r="K180" i="1"/>
  <c r="K172" i="1"/>
  <c r="K181" i="1"/>
  <c r="CH257" i="1"/>
  <c r="CH212" i="1"/>
  <c r="CH216" i="1"/>
  <c r="AD204" i="1"/>
  <c r="AD209" i="1" s="1"/>
  <c r="AD211" i="1" s="1"/>
  <c r="AD171" i="1"/>
  <c r="AJ251" i="1" s="1"/>
  <c r="AK258" i="1"/>
  <c r="AK251" i="1"/>
  <c r="AK180" i="1"/>
  <c r="AK221" i="1"/>
  <c r="AK233" i="1" s="1"/>
  <c r="AK181" i="1"/>
  <c r="AK172" i="1"/>
  <c r="AH257" i="1"/>
  <c r="AH212" i="1"/>
  <c r="AH216" i="1"/>
  <c r="C427" i="1"/>
  <c r="C428" i="1" s="1"/>
  <c r="C257" i="1"/>
  <c r="C212" i="1"/>
  <c r="C216" i="1"/>
  <c r="L257" i="1"/>
  <c r="L216" i="1"/>
  <c r="L212" i="1"/>
  <c r="W258" i="1"/>
  <c r="W251" i="1"/>
  <c r="W221" i="1"/>
  <c r="W180" i="1"/>
  <c r="W172" i="1"/>
  <c r="W181" i="1"/>
  <c r="CR69" i="1"/>
  <c r="CR78" i="1"/>
  <c r="AT258" i="1"/>
  <c r="AT251" i="1"/>
  <c r="AT181" i="1"/>
  <c r="AT221" i="1"/>
  <c r="AT172" i="1"/>
  <c r="AT180" i="1"/>
  <c r="G427" i="1"/>
  <c r="G428" i="1" s="1"/>
  <c r="G257" i="1"/>
  <c r="G212" i="1"/>
  <c r="G216" i="1"/>
  <c r="H295" i="1"/>
  <c r="H243" i="1"/>
  <c r="CK251" i="1"/>
  <c r="CK258" i="1"/>
  <c r="CK180" i="1"/>
  <c r="CK181" i="1"/>
  <c r="CK172" i="1"/>
  <c r="CK221" i="1"/>
  <c r="CK233" i="1" s="1"/>
  <c r="BU251" i="1"/>
  <c r="BU258" i="1"/>
  <c r="BU221" i="1"/>
  <c r="BU233" i="1" s="1"/>
  <c r="BU180" i="1"/>
  <c r="BU181" i="1"/>
  <c r="BU172" i="1"/>
  <c r="CS323" i="1"/>
  <c r="Q257" i="1"/>
  <c r="Q216" i="1"/>
  <c r="Q212" i="1"/>
  <c r="CB257" i="1"/>
  <c r="CB216" i="1"/>
  <c r="CB212" i="1"/>
  <c r="BZ204" i="1"/>
  <c r="BZ209" i="1" s="1"/>
  <c r="BZ211" i="1" s="1"/>
  <c r="BZ171" i="1"/>
  <c r="AQ257" i="1"/>
  <c r="AQ212" i="1"/>
  <c r="AQ216" i="1"/>
  <c r="BV257" i="1"/>
  <c r="BV212" i="1"/>
  <c r="BV216" i="1"/>
  <c r="BD257" i="1"/>
  <c r="BD216" i="1"/>
  <c r="BD212" i="1"/>
  <c r="CP36" i="1"/>
  <c r="AR257" i="1"/>
  <c r="AR216" i="1"/>
  <c r="AR212" i="1"/>
  <c r="AY427" i="1"/>
  <c r="AY428" i="1" s="1"/>
  <c r="AY257" i="1"/>
  <c r="AY212" i="1"/>
  <c r="AY216" i="1"/>
  <c r="CM59" i="1"/>
  <c r="C410" i="1"/>
  <c r="I406" i="1"/>
  <c r="I18" i="4" s="1"/>
  <c r="I413" i="1"/>
  <c r="I418" i="1" s="1"/>
  <c r="I19" i="4" s="1"/>
  <c r="BX257" i="1"/>
  <c r="BX216" i="1"/>
  <c r="BX212" i="1"/>
  <c r="BA257" i="1"/>
  <c r="BA216" i="1"/>
  <c r="BA212" i="1"/>
  <c r="BP216" i="1"/>
  <c r="BP257" i="1"/>
  <c r="BP212" i="1"/>
  <c r="V257" i="1"/>
  <c r="V212" i="1"/>
  <c r="V216" i="1"/>
  <c r="AG402" i="1"/>
  <c r="CG257" i="1"/>
  <c r="CG216" i="1"/>
  <c r="CG212" i="1"/>
  <c r="AI257" i="1"/>
  <c r="AI212" i="1"/>
  <c r="AI216" i="1"/>
  <c r="CC427" i="1"/>
  <c r="CC428" i="1" s="1"/>
  <c r="CC257" i="1"/>
  <c r="CC216" i="1"/>
  <c r="CC212" i="1"/>
  <c r="O243" i="1"/>
  <c r="O295" i="1"/>
  <c r="Y257" i="1"/>
  <c r="Y216" i="1"/>
  <c r="Y212" i="1"/>
  <c r="D427" i="1"/>
  <c r="D428" i="1" s="1"/>
  <c r="D216" i="1"/>
  <c r="D257" i="1"/>
  <c r="D212" i="1"/>
  <c r="CL204" i="1"/>
  <c r="CL209" i="1" s="1"/>
  <c r="CL211" i="1" s="1"/>
  <c r="CL171" i="1"/>
  <c r="AN258" i="1"/>
  <c r="AN221" i="1"/>
  <c r="AN251" i="1"/>
  <c r="AN180" i="1"/>
  <c r="AN181" i="1"/>
  <c r="AN172" i="1"/>
  <c r="AO251" i="1"/>
  <c r="AO258" i="1"/>
  <c r="AO221" i="1"/>
  <c r="AO180" i="1"/>
  <c r="AO181" i="1"/>
  <c r="AO172" i="1"/>
  <c r="CA251" i="1"/>
  <c r="AJ258" i="1"/>
  <c r="AJ180" i="1"/>
  <c r="AJ221" i="1"/>
  <c r="AJ233" i="1" s="1"/>
  <c r="AJ181" i="1"/>
  <c r="AJ172" i="1"/>
  <c r="D413" i="1"/>
  <c r="D418" i="1" s="1"/>
  <c r="D19" i="4" s="1"/>
  <c r="D406" i="1"/>
  <c r="D18" i="4" s="1"/>
  <c r="BL258" i="1"/>
  <c r="BL180" i="1"/>
  <c r="BL181" i="1"/>
  <c r="BL221" i="1"/>
  <c r="BL233" i="1" s="1"/>
  <c r="BL251" i="1"/>
  <c r="BL172" i="1"/>
  <c r="BM257" i="1"/>
  <c r="BM216" i="1"/>
  <c r="BM212" i="1"/>
  <c r="K257" i="1"/>
  <c r="K212" i="1"/>
  <c r="K216" i="1"/>
  <c r="CS53" i="1"/>
  <c r="CV48" i="1"/>
  <c r="AK257" i="1"/>
  <c r="AK216" i="1"/>
  <c r="AK212" i="1"/>
  <c r="BK217" i="1"/>
  <c r="BK218" i="1"/>
  <c r="J258" i="1"/>
  <c r="J181" i="1"/>
  <c r="J172" i="1"/>
  <c r="J221" i="1"/>
  <c r="J180" i="1"/>
  <c r="AM421" i="1"/>
  <c r="AM423" i="1" s="1"/>
  <c r="AM258" i="1"/>
  <c r="AM251" i="1"/>
  <c r="AM221" i="1"/>
  <c r="AM233" i="1" s="1"/>
  <c r="AM242" i="1"/>
  <c r="AM180" i="1"/>
  <c r="AM172" i="1"/>
  <c r="AM181" i="1"/>
  <c r="R18" i="4"/>
  <c r="W257" i="1"/>
  <c r="W212" i="1"/>
  <c r="W216" i="1"/>
  <c r="CR33" i="1"/>
  <c r="CS28" i="1"/>
  <c r="AT257" i="1"/>
  <c r="AT212" i="1"/>
  <c r="AT216" i="1"/>
  <c r="CO365" i="1"/>
  <c r="CO270" i="1"/>
  <c r="D25" i="3" s="1"/>
  <c r="BO258" i="1"/>
  <c r="BO251" i="1"/>
  <c r="BO221" i="1"/>
  <c r="BO233" i="1" s="1"/>
  <c r="BO180" i="1"/>
  <c r="BO181" i="1"/>
  <c r="BO172" i="1"/>
  <c r="F413" i="1"/>
  <c r="F418" i="1" s="1"/>
  <c r="F19" i="4" s="1"/>
  <c r="F406" i="1"/>
  <c r="F18" i="4" s="1"/>
  <c r="CK257" i="1"/>
  <c r="CK216" i="1"/>
  <c r="CK212" i="1"/>
  <c r="BU257" i="1"/>
  <c r="BU216" i="1"/>
  <c r="BU212" i="1"/>
  <c r="BK242" i="1"/>
  <c r="BK239" i="1"/>
  <c r="BK236" i="1"/>
  <c r="AZ251" i="1"/>
  <c r="AZ258" i="1"/>
  <c r="AZ221" i="1"/>
  <c r="AZ233" i="1" s="1"/>
  <c r="AZ180" i="1"/>
  <c r="AZ181" i="1"/>
  <c r="AZ172" i="1"/>
  <c r="AX258" i="1"/>
  <c r="AX251" i="1"/>
  <c r="AX221" i="1"/>
  <c r="AX181" i="1"/>
  <c r="AX180" i="1"/>
  <c r="AX172" i="1"/>
  <c r="AY413" i="1"/>
  <c r="AY418" i="1" s="1"/>
  <c r="P19" i="4" s="1"/>
  <c r="AY406" i="1"/>
  <c r="P18" i="4" s="1"/>
  <c r="BH257" i="1"/>
  <c r="BH216" i="1"/>
  <c r="BH212" i="1"/>
  <c r="G413" i="1"/>
  <c r="G418" i="1" s="1"/>
  <c r="G19" i="4" s="1"/>
  <c r="G406" i="1"/>
  <c r="G18" i="4" s="1"/>
  <c r="BE421" i="1"/>
  <c r="BE423" i="1" s="1"/>
  <c r="BE251" i="1"/>
  <c r="BE258" i="1"/>
  <c r="BE180" i="1"/>
  <c r="BE181" i="1"/>
  <c r="BE221" i="1"/>
  <c r="BE233" i="1" s="1"/>
  <c r="BE172" i="1"/>
  <c r="P258" i="1"/>
  <c r="P221" i="1"/>
  <c r="P180" i="1"/>
  <c r="P251" i="1"/>
  <c r="P181" i="1"/>
  <c r="P172" i="1"/>
  <c r="U421" i="1"/>
  <c r="U423" i="1" s="1"/>
  <c r="U242" i="1"/>
  <c r="U258" i="1"/>
  <c r="U251" i="1"/>
  <c r="U180" i="1"/>
  <c r="U181" i="1"/>
  <c r="U221" i="1"/>
  <c r="U172" i="1"/>
  <c r="AA251" i="1"/>
  <c r="AE258" i="1"/>
  <c r="AE251" i="1"/>
  <c r="AE221" i="1"/>
  <c r="AE233" i="1" s="1"/>
  <c r="AE180" i="1"/>
  <c r="AE172" i="1"/>
  <c r="AE181" i="1"/>
  <c r="AS413" i="1"/>
  <c r="AS418" i="1" s="1"/>
  <c r="O19" i="4" s="1"/>
  <c r="AS406" i="1"/>
  <c r="O18" i="4" s="1"/>
  <c r="CJ204" i="1"/>
  <c r="CJ171" i="1"/>
  <c r="CM78" i="1"/>
  <c r="CM69" i="1"/>
  <c r="AM413" i="1"/>
  <c r="AM418" i="1" s="1"/>
  <c r="N19" i="4" s="1"/>
  <c r="AM406" i="1"/>
  <c r="N18" i="4" s="1"/>
  <c r="AL258" i="1"/>
  <c r="AL251" i="1"/>
  <c r="AL221" i="1"/>
  <c r="AL233" i="1" s="1"/>
  <c r="AL181" i="1"/>
  <c r="AL180" i="1"/>
  <c r="AL172" i="1"/>
  <c r="CR122" i="1"/>
  <c r="CR16" i="1"/>
  <c r="CS11" i="1"/>
  <c r="O218" i="1"/>
  <c r="O217" i="1"/>
  <c r="BW421" i="1"/>
  <c r="BW423" i="1" s="1"/>
  <c r="BW258" i="1"/>
  <c r="BW251" i="1"/>
  <c r="BW221" i="1"/>
  <c r="BW233" i="1" s="1"/>
  <c r="BW180" i="1"/>
  <c r="BW172" i="1"/>
  <c r="BW181" i="1"/>
  <c r="BF258" i="1"/>
  <c r="BF251" i="1"/>
  <c r="BF181" i="1"/>
  <c r="BF221" i="1"/>
  <c r="BF233" i="1" s="1"/>
  <c r="BF172" i="1"/>
  <c r="BF180" i="1"/>
  <c r="BS258" i="1"/>
  <c r="BS251" i="1"/>
  <c r="BS221" i="1"/>
  <c r="BS233" i="1" s="1"/>
  <c r="BS180" i="1"/>
  <c r="BS172" i="1"/>
  <c r="BS181" i="1"/>
  <c r="BC258" i="1"/>
  <c r="BC251" i="1"/>
  <c r="BC221" i="1"/>
  <c r="BC233" i="1" s="1"/>
  <c r="BC180" i="1"/>
  <c r="BC172" i="1"/>
  <c r="BC181" i="1"/>
  <c r="BR258" i="1"/>
  <c r="BR251" i="1"/>
  <c r="BR221" i="1"/>
  <c r="BR233" i="1" s="1"/>
  <c r="BR181" i="1"/>
  <c r="BR180" i="1"/>
  <c r="BR172" i="1"/>
  <c r="BY258" i="1"/>
  <c r="BY251" i="1"/>
  <c r="BY221" i="1"/>
  <c r="BY233" i="1" s="1"/>
  <c r="BY180" i="1"/>
  <c r="BY181" i="1"/>
  <c r="BY172" i="1"/>
  <c r="CP19" i="1"/>
  <c r="N258" i="1"/>
  <c r="N181" i="1"/>
  <c r="N221" i="1"/>
  <c r="N172" i="1"/>
  <c r="N180" i="1"/>
  <c r="CE258" i="1"/>
  <c r="CE251" i="1"/>
  <c r="CE221" i="1"/>
  <c r="CE233" i="1" s="1"/>
  <c r="CE180" i="1"/>
  <c r="CE181" i="1"/>
  <c r="CE172" i="1"/>
  <c r="AC258" i="1"/>
  <c r="AC251" i="1"/>
  <c r="AC221" i="1"/>
  <c r="AC233" i="1" s="1"/>
  <c r="AC180" i="1"/>
  <c r="AC181" i="1"/>
  <c r="AC172" i="1"/>
  <c r="AF258" i="1"/>
  <c r="AF251" i="1"/>
  <c r="AF180" i="1"/>
  <c r="AF181" i="1"/>
  <c r="AF221" i="1"/>
  <c r="AF233" i="1" s="1"/>
  <c r="AF172" i="1"/>
  <c r="BB204" i="1"/>
  <c r="BB209" i="1" s="1"/>
  <c r="BB211" i="1" s="1"/>
  <c r="BB171" i="1"/>
  <c r="BH251" i="1" s="1"/>
  <c r="AN257" i="1"/>
  <c r="AN216" i="1"/>
  <c r="AN212" i="1"/>
  <c r="X204" i="1"/>
  <c r="X209" i="1" s="1"/>
  <c r="X211" i="1" s="1"/>
  <c r="X171" i="1"/>
  <c r="BT204" i="1"/>
  <c r="BT209" i="1" s="1"/>
  <c r="BT211" i="1" s="1"/>
  <c r="BT171" i="1"/>
  <c r="AO257" i="1"/>
  <c r="AO216" i="1"/>
  <c r="AO212" i="1"/>
  <c r="AJ216" i="1"/>
  <c r="AJ257" i="1"/>
  <c r="AJ212" i="1"/>
  <c r="BL257" i="1"/>
  <c r="BL216" i="1"/>
  <c r="BL212" i="1"/>
  <c r="AP204" i="1"/>
  <c r="AP209" i="1" s="1"/>
  <c r="AP211" i="1" s="1"/>
  <c r="AP171" i="1"/>
  <c r="F421" i="1"/>
  <c r="F423" i="1" s="1"/>
  <c r="F251" i="1"/>
  <c r="F258" i="1"/>
  <c r="F221" i="1"/>
  <c r="F181" i="1"/>
  <c r="F242" i="1"/>
  <c r="F180" i="1"/>
  <c r="F172" i="1"/>
  <c r="CW209" i="1"/>
  <c r="CX209" i="1"/>
  <c r="CI211" i="1"/>
  <c r="CY209" i="1"/>
  <c r="CR59" i="1"/>
  <c r="CR50" i="1"/>
  <c r="H218" i="1"/>
  <c r="H217" i="1"/>
  <c r="E421" i="1"/>
  <c r="E423" i="1" s="1"/>
  <c r="E251" i="1"/>
  <c r="E242" i="1"/>
  <c r="E258" i="1"/>
  <c r="E180" i="1"/>
  <c r="E221" i="1"/>
  <c r="E181" i="1"/>
  <c r="E172" i="1"/>
  <c r="AV204" i="1"/>
  <c r="AV209" i="1" s="1"/>
  <c r="AV211" i="1" s="1"/>
  <c r="AV171" i="1"/>
  <c r="J257" i="1"/>
  <c r="J212" i="1"/>
  <c r="J216" i="1"/>
  <c r="AM427" i="1"/>
  <c r="AM428" i="1" s="1"/>
  <c r="AM257" i="1"/>
  <c r="AM212" i="1"/>
  <c r="AM216" i="1"/>
  <c r="R19" i="4"/>
  <c r="CQ30" i="1"/>
  <c r="CQ39" i="1"/>
  <c r="D23" i="3"/>
  <c r="CO139" i="1"/>
  <c r="CV139" i="1" s="1"/>
  <c r="CO321" i="1"/>
  <c r="CO299" i="1"/>
  <c r="BO257" i="1"/>
  <c r="BO212" i="1"/>
  <c r="BO216" i="1"/>
  <c r="CM39" i="1" l="1"/>
  <c r="CM22" i="1"/>
  <c r="CM123" i="1"/>
  <c r="CM129" i="1" s="1"/>
  <c r="CW258" i="1"/>
  <c r="CW423" i="1"/>
  <c r="AA217" i="1"/>
  <c r="AA218" i="1"/>
  <c r="AA295" i="1"/>
  <c r="AA243" i="1"/>
  <c r="CW418" i="1"/>
  <c r="CW406" i="1"/>
  <c r="CP321" i="1"/>
  <c r="BL218" i="1"/>
  <c r="BL217" i="1"/>
  <c r="AJ218" i="1"/>
  <c r="AJ217" i="1"/>
  <c r="BT258" i="1"/>
  <c r="BT221" i="1"/>
  <c r="BT233" i="1" s="1"/>
  <c r="BT251" i="1"/>
  <c r="BT180" i="1"/>
  <c r="BT181" i="1"/>
  <c r="BT172" i="1"/>
  <c r="BB257" i="1"/>
  <c r="BB212" i="1"/>
  <c r="BB216" i="1"/>
  <c r="CE242" i="1"/>
  <c r="CE243" i="1" s="1"/>
  <c r="CE236" i="1"/>
  <c r="CE239" i="1"/>
  <c r="BF239" i="1"/>
  <c r="BF236" i="1"/>
  <c r="BF242" i="1"/>
  <c r="BF243" i="1" s="1"/>
  <c r="CJ258" i="1"/>
  <c r="CJ221" i="1"/>
  <c r="CJ251" i="1"/>
  <c r="CJ180" i="1"/>
  <c r="CJ181" i="1"/>
  <c r="CJ172" i="1"/>
  <c r="AZ242" i="1"/>
  <c r="AZ243" i="1" s="1"/>
  <c r="AZ252" i="1" s="1"/>
  <c r="AZ239" i="1"/>
  <c r="AZ236" i="1"/>
  <c r="CM21" i="1"/>
  <c r="CM19" i="1"/>
  <c r="CM126" i="1"/>
  <c r="AM243" i="1"/>
  <c r="AM295" i="1"/>
  <c r="CL257" i="1"/>
  <c r="CL212" i="1"/>
  <c r="CL216" i="1"/>
  <c r="AG406" i="1"/>
  <c r="AG413" i="1"/>
  <c r="AG418" i="1" s="1"/>
  <c r="BA217" i="1"/>
  <c r="BA218" i="1"/>
  <c r="AR218" i="1"/>
  <c r="AR217" i="1"/>
  <c r="CB218" i="1"/>
  <c r="CB217" i="1"/>
  <c r="CH218" i="1"/>
  <c r="CH217" i="1"/>
  <c r="D236" i="1"/>
  <c r="D239" i="1"/>
  <c r="CC242" i="1"/>
  <c r="CC239" i="1"/>
  <c r="CC236" i="1"/>
  <c r="F9" i="2"/>
  <c r="F10" i="2" s="1"/>
  <c r="CQ332" i="1"/>
  <c r="CQ331" i="1"/>
  <c r="CQ272" i="1"/>
  <c r="CQ316" i="1"/>
  <c r="CQ246" i="1"/>
  <c r="CQ247" i="1" s="1"/>
  <c r="F11" i="2" s="1"/>
  <c r="CQ317" i="1"/>
  <c r="CQ175" i="1"/>
  <c r="CQ266" i="1" s="1"/>
  <c r="CQ344" i="1" s="1"/>
  <c r="CQ155" i="1"/>
  <c r="CQ156" i="1" s="1"/>
  <c r="CQ140" i="1"/>
  <c r="CQ99" i="1"/>
  <c r="CR248" i="1"/>
  <c r="CQ396" i="1"/>
  <c r="CM36" i="1"/>
  <c r="CM38" i="1"/>
  <c r="AY295" i="1"/>
  <c r="AY243" i="1"/>
  <c r="BV239" i="1"/>
  <c r="BV236" i="1"/>
  <c r="BV242" i="1"/>
  <c r="BV243" i="1" s="1"/>
  <c r="AS217" i="1"/>
  <c r="AS218" i="1"/>
  <c r="T218" i="1"/>
  <c r="T217" i="1"/>
  <c r="G243" i="1"/>
  <c r="H252" i="1" s="1"/>
  <c r="G295" i="1"/>
  <c r="CY258" i="1"/>
  <c r="CH242" i="1"/>
  <c r="CH243" i="1" s="1"/>
  <c r="CH239" i="1"/>
  <c r="CH236" i="1"/>
  <c r="I243" i="1"/>
  <c r="I252" i="1" s="1"/>
  <c r="I295" i="1"/>
  <c r="AG239" i="1"/>
  <c r="AG236" i="1"/>
  <c r="AC217" i="1"/>
  <c r="AC218" i="1"/>
  <c r="BR218" i="1"/>
  <c r="BR217" i="1"/>
  <c r="AL217" i="1"/>
  <c r="AL218" i="1"/>
  <c r="BN257" i="1"/>
  <c r="BN212" i="1"/>
  <c r="BN216" i="1"/>
  <c r="AE218" i="1"/>
  <c r="AE217" i="1"/>
  <c r="R257" i="1"/>
  <c r="R212" i="1"/>
  <c r="R216" i="1"/>
  <c r="E23" i="3"/>
  <c r="CP174" i="1"/>
  <c r="AP258" i="1"/>
  <c r="AP251" i="1"/>
  <c r="AP181" i="1"/>
  <c r="AP172" i="1"/>
  <c r="AP180" i="1"/>
  <c r="AP221" i="1"/>
  <c r="BT257" i="1"/>
  <c r="BT216" i="1"/>
  <c r="BT212" i="1"/>
  <c r="AN218" i="1"/>
  <c r="AN217" i="1"/>
  <c r="BY242" i="1"/>
  <c r="BY243" i="1" s="1"/>
  <c r="BY239" i="1"/>
  <c r="BY236" i="1"/>
  <c r="BC242" i="1"/>
  <c r="BC243" i="1" s="1"/>
  <c r="BC252" i="1" s="1"/>
  <c r="BC239" i="1"/>
  <c r="BC236" i="1"/>
  <c r="CS122" i="1"/>
  <c r="CV11" i="1"/>
  <c r="CS16" i="1"/>
  <c r="CM77" i="1"/>
  <c r="CM75" i="1"/>
  <c r="CJ209" i="1"/>
  <c r="U295" i="1"/>
  <c r="U243" i="1"/>
  <c r="BK243" i="1"/>
  <c r="BK295" i="1"/>
  <c r="BO242" i="1"/>
  <c r="BO243" i="1" s="1"/>
  <c r="BO239" i="1"/>
  <c r="BO236" i="1"/>
  <c r="CO367" i="1"/>
  <c r="CO366" i="1"/>
  <c r="CV28" i="1"/>
  <c r="CS33" i="1"/>
  <c r="AM236" i="1"/>
  <c r="AM239" i="1"/>
  <c r="CS50" i="1"/>
  <c r="CS59" i="1"/>
  <c r="CV53" i="1"/>
  <c r="V217" i="1"/>
  <c r="V218" i="1"/>
  <c r="CM58" i="1"/>
  <c r="CM56" i="1"/>
  <c r="BD218" i="1"/>
  <c r="BD217" i="1"/>
  <c r="BZ258" i="1"/>
  <c r="BZ251" i="1"/>
  <c r="BZ181" i="1"/>
  <c r="BZ221" i="1"/>
  <c r="BZ233" i="1" s="1"/>
  <c r="BZ180" i="1"/>
  <c r="BZ172" i="1"/>
  <c r="C218" i="1"/>
  <c r="C217" i="1"/>
  <c r="AH217" i="1"/>
  <c r="AH218" i="1"/>
  <c r="BI217" i="1"/>
  <c r="BI218" i="1"/>
  <c r="CD218" i="1"/>
  <c r="CD217" i="1"/>
  <c r="BJ218" i="1"/>
  <c r="BJ217" i="1"/>
  <c r="CG242" i="1"/>
  <c r="CG243" i="1" s="1"/>
  <c r="CG252" i="1" s="1"/>
  <c r="CG239" i="1"/>
  <c r="CG236" i="1"/>
  <c r="BA242" i="1"/>
  <c r="BA243" i="1" s="1"/>
  <c r="BA239" i="1"/>
  <c r="BA236" i="1"/>
  <c r="C413" i="1"/>
  <c r="C418" i="1" s="1"/>
  <c r="C406" i="1"/>
  <c r="CO395" i="1"/>
  <c r="CO265" i="1"/>
  <c r="CS69" i="1"/>
  <c r="CS78" i="1"/>
  <c r="CV72" i="1"/>
  <c r="CY423" i="1"/>
  <c r="CY181" i="1"/>
  <c r="CX181" i="1"/>
  <c r="CW181" i="1"/>
  <c r="BQ242" i="1"/>
  <c r="BQ239" i="1"/>
  <c r="BQ236" i="1"/>
  <c r="AF218" i="1"/>
  <c r="AF217" i="1"/>
  <c r="N217" i="1"/>
  <c r="N218" i="1"/>
  <c r="BY217" i="1"/>
  <c r="BY218" i="1"/>
  <c r="BH242" i="1"/>
  <c r="BH243" i="1" s="1"/>
  <c r="BH239" i="1"/>
  <c r="BH236" i="1"/>
  <c r="AX217" i="1"/>
  <c r="AX218" i="1"/>
  <c r="AS243" i="1"/>
  <c r="AS295" i="1"/>
  <c r="CP318" i="1"/>
  <c r="CP330" i="1"/>
  <c r="CP156" i="1"/>
  <c r="CF242" i="1"/>
  <c r="CF243" i="1" s="1"/>
  <c r="CF239" i="1"/>
  <c r="CF236" i="1"/>
  <c r="AV258" i="1"/>
  <c r="AV251" i="1"/>
  <c r="AV221" i="1"/>
  <c r="AV180" i="1"/>
  <c r="AV181" i="1"/>
  <c r="AV172" i="1"/>
  <c r="E243" i="1"/>
  <c r="E295" i="1"/>
  <c r="C35" i="2"/>
  <c r="CI427" i="1"/>
  <c r="CI428" i="1" s="1"/>
  <c r="CY211" i="1"/>
  <c r="CI257" i="1"/>
  <c r="CW257" i="1" s="1"/>
  <c r="CX211" i="1"/>
  <c r="CI212" i="1"/>
  <c r="CW212" i="1" s="1"/>
  <c r="CI216" i="1"/>
  <c r="CW211" i="1"/>
  <c r="AP257" i="1"/>
  <c r="AP212" i="1"/>
  <c r="AP216" i="1"/>
  <c r="AO217" i="1"/>
  <c r="AO218" i="1"/>
  <c r="X258" i="1"/>
  <c r="X221" i="1"/>
  <c r="X251" i="1"/>
  <c r="X180" i="1"/>
  <c r="X181" i="1"/>
  <c r="X172" i="1"/>
  <c r="AF239" i="1"/>
  <c r="AF236" i="1"/>
  <c r="AC239" i="1"/>
  <c r="AC236" i="1"/>
  <c r="CR13" i="1"/>
  <c r="CR22" i="1"/>
  <c r="BE242" i="1"/>
  <c r="BE239" i="1"/>
  <c r="BE236" i="1"/>
  <c r="CK217" i="1"/>
  <c r="CK218" i="1"/>
  <c r="CM124" i="1"/>
  <c r="AT217" i="1"/>
  <c r="AT218" i="1"/>
  <c r="CR30" i="1"/>
  <c r="CR39" i="1"/>
  <c r="AK217" i="1"/>
  <c r="AK218" i="1"/>
  <c r="K218" i="1"/>
  <c r="K217" i="1"/>
  <c r="BM218" i="1"/>
  <c r="BM217" i="1"/>
  <c r="BL242" i="1"/>
  <c r="BL243" i="1" s="1"/>
  <c r="BL252" i="1" s="1"/>
  <c r="BL239" i="1"/>
  <c r="BL236" i="1"/>
  <c r="AJ236" i="1"/>
  <c r="AJ239" i="1"/>
  <c r="Y217" i="1"/>
  <c r="Y218" i="1"/>
  <c r="AI218" i="1"/>
  <c r="AI217" i="1"/>
  <c r="CG218" i="1"/>
  <c r="CG217" i="1"/>
  <c r="BP218" i="1"/>
  <c r="BP217" i="1"/>
  <c r="AQ218" i="1"/>
  <c r="AQ217" i="1"/>
  <c r="BZ257" i="1"/>
  <c r="BZ212" i="1"/>
  <c r="BZ216" i="1"/>
  <c r="CK242" i="1"/>
  <c r="CK243" i="1" s="1"/>
  <c r="CK239" i="1"/>
  <c r="CK236" i="1"/>
  <c r="G218" i="1"/>
  <c r="G217" i="1"/>
  <c r="AK239" i="1"/>
  <c r="AK236" i="1"/>
  <c r="AD258" i="1"/>
  <c r="AD251" i="1"/>
  <c r="AD221" i="1"/>
  <c r="AD233" i="1" s="1"/>
  <c r="AD181" i="1"/>
  <c r="AD180" i="1"/>
  <c r="AD172" i="1"/>
  <c r="BM242" i="1"/>
  <c r="BM243" i="1" s="1"/>
  <c r="BM252" i="1" s="1"/>
  <c r="BM239" i="1"/>
  <c r="BM236" i="1"/>
  <c r="I217" i="1"/>
  <c r="I218" i="1"/>
  <c r="BQ218" i="1"/>
  <c r="BQ217" i="1"/>
  <c r="AI239" i="1"/>
  <c r="AI236" i="1"/>
  <c r="BP242" i="1"/>
  <c r="BP243" i="1" s="1"/>
  <c r="BP239" i="1"/>
  <c r="BP236" i="1"/>
  <c r="CQ133" i="1"/>
  <c r="AW217" i="1"/>
  <c r="AW218" i="1"/>
  <c r="BD242" i="1"/>
  <c r="BD243" i="1" s="1"/>
  <c r="BD252" i="1" s="1"/>
  <c r="BD239" i="1"/>
  <c r="BD236" i="1"/>
  <c r="CB242" i="1"/>
  <c r="CB243" i="1" s="1"/>
  <c r="CB239" i="1"/>
  <c r="CB236" i="1"/>
  <c r="CR324" i="1"/>
  <c r="CQ415" i="1"/>
  <c r="C243" i="1"/>
  <c r="C295" i="1"/>
  <c r="C41" i="2"/>
  <c r="V18" i="4"/>
  <c r="AH236" i="1"/>
  <c r="AH239" i="1"/>
  <c r="E217" i="1"/>
  <c r="E218" i="1"/>
  <c r="CY180" i="1"/>
  <c r="CX180" i="1"/>
  <c r="CW180" i="1"/>
  <c r="BI242" i="1"/>
  <c r="BI243" i="1" s="1"/>
  <c r="BI239" i="1"/>
  <c r="BI236" i="1"/>
  <c r="AB218" i="1"/>
  <c r="AB217" i="1"/>
  <c r="AG243" i="1"/>
  <c r="AG295" i="1"/>
  <c r="CE218" i="1"/>
  <c r="CE217" i="1"/>
  <c r="BS218" i="1"/>
  <c r="BS217" i="1"/>
  <c r="BW218" i="1"/>
  <c r="BW217" i="1"/>
  <c r="CQ21" i="1"/>
  <c r="CQ19" i="1"/>
  <c r="BE217" i="1"/>
  <c r="BE218" i="1"/>
  <c r="AZ218" i="1"/>
  <c r="AZ217" i="1"/>
  <c r="BO218" i="1"/>
  <c r="BO217" i="1"/>
  <c r="CQ36" i="1"/>
  <c r="CQ38" i="1"/>
  <c r="AM218" i="1"/>
  <c r="AM217" i="1"/>
  <c r="J217" i="1"/>
  <c r="J218" i="1"/>
  <c r="AV257" i="1"/>
  <c r="AV216" i="1"/>
  <c r="AV212" i="1"/>
  <c r="CR56" i="1"/>
  <c r="CR58" i="1"/>
  <c r="F243" i="1"/>
  <c r="F295" i="1"/>
  <c r="X257" i="1"/>
  <c r="X216" i="1"/>
  <c r="X212" i="1"/>
  <c r="BB258" i="1"/>
  <c r="BB251" i="1"/>
  <c r="BB221" i="1"/>
  <c r="BB233" i="1" s="1"/>
  <c r="BB181" i="1"/>
  <c r="BB180" i="1"/>
  <c r="BB172" i="1"/>
  <c r="BB242" i="1"/>
  <c r="BB243" i="1" s="1"/>
  <c r="BB252" i="1" s="1"/>
  <c r="BR242" i="1"/>
  <c r="BR243" i="1" s="1"/>
  <c r="BR239" i="1"/>
  <c r="BR236" i="1"/>
  <c r="BS242" i="1"/>
  <c r="BS243" i="1" s="1"/>
  <c r="BS239" i="1"/>
  <c r="BS236" i="1"/>
  <c r="BW239" i="1"/>
  <c r="BW236" i="1"/>
  <c r="BW242" i="1"/>
  <c r="CR152" i="1"/>
  <c r="CR133" i="1" s="1"/>
  <c r="CR128" i="1"/>
  <c r="AL239" i="1"/>
  <c r="AL236" i="1"/>
  <c r="AE239" i="1"/>
  <c r="AE236" i="1"/>
  <c r="BH218" i="1"/>
  <c r="BH217" i="1"/>
  <c r="BU217" i="1"/>
  <c r="BU218" i="1"/>
  <c r="W218" i="1"/>
  <c r="W217" i="1"/>
  <c r="CL258" i="1"/>
  <c r="CL251" i="1"/>
  <c r="CL181" i="1"/>
  <c r="CL221" i="1"/>
  <c r="CL233" i="1" s="1"/>
  <c r="CL172" i="1"/>
  <c r="CL180" i="1"/>
  <c r="D218" i="1"/>
  <c r="D217" i="1"/>
  <c r="CC218" i="1"/>
  <c r="CC217" i="1"/>
  <c r="BX218" i="1"/>
  <c r="BX217" i="1"/>
  <c r="AY218" i="1"/>
  <c r="AY217" i="1"/>
  <c r="BV218" i="1"/>
  <c r="BV217" i="1"/>
  <c r="Q217" i="1"/>
  <c r="Q218" i="1"/>
  <c r="BU242" i="1"/>
  <c r="BU243" i="1" s="1"/>
  <c r="BU239" i="1"/>
  <c r="BU236" i="1"/>
  <c r="CR77" i="1"/>
  <c r="CR75" i="1"/>
  <c r="L218" i="1"/>
  <c r="L217" i="1"/>
  <c r="J36" i="2"/>
  <c r="AD257" i="1"/>
  <c r="AD212" i="1"/>
  <c r="AD216" i="1"/>
  <c r="AB236" i="1"/>
  <c r="AB239" i="1"/>
  <c r="M217" i="1"/>
  <c r="M218" i="1"/>
  <c r="Z217" i="1"/>
  <c r="Z218" i="1"/>
  <c r="AG217" i="1"/>
  <c r="AG218" i="1"/>
  <c r="D295" i="1"/>
  <c r="D243" i="1"/>
  <c r="BX242" i="1"/>
  <c r="BX243" i="1" s="1"/>
  <c r="BX239" i="1"/>
  <c r="BX236" i="1"/>
  <c r="S218" i="1"/>
  <c r="S217" i="1"/>
  <c r="CF217" i="1"/>
  <c r="CF218" i="1"/>
  <c r="C239" i="1"/>
  <c r="C236" i="1"/>
  <c r="V19" i="4"/>
  <c r="C42" i="2"/>
  <c r="CI242" i="1"/>
  <c r="CI239" i="1"/>
  <c r="CI236" i="1"/>
  <c r="CY233" i="1"/>
  <c r="CX233" i="1"/>
  <c r="CW233" i="1"/>
  <c r="F217" i="1"/>
  <c r="F218" i="1"/>
  <c r="CD239" i="1"/>
  <c r="CD236" i="1"/>
  <c r="CD242" i="1"/>
  <c r="CD243" i="1" s="1"/>
  <c r="BJ242" i="1"/>
  <c r="BJ243" i="1" s="1"/>
  <c r="BJ236" i="1"/>
  <c r="BJ239" i="1"/>
  <c r="CX258" i="1"/>
  <c r="CX423" i="1"/>
  <c r="BC218" i="1"/>
  <c r="BC217" i="1"/>
  <c r="BF218" i="1"/>
  <c r="BF217" i="1"/>
  <c r="BN258" i="1"/>
  <c r="BN251" i="1"/>
  <c r="BN221" i="1"/>
  <c r="BN233" i="1" s="1"/>
  <c r="BN181" i="1"/>
  <c r="BN180" i="1"/>
  <c r="BN172" i="1"/>
  <c r="U217" i="1"/>
  <c r="U218" i="1"/>
  <c r="P218" i="1"/>
  <c r="P217" i="1"/>
  <c r="R258" i="1"/>
  <c r="R251" i="1"/>
  <c r="R221" i="1"/>
  <c r="R181" i="1"/>
  <c r="R180" i="1"/>
  <c r="R172" i="1"/>
  <c r="CP123" i="1"/>
  <c r="CP97" i="1"/>
  <c r="CP126" i="1" s="1"/>
  <c r="E29" i="3"/>
  <c r="E24" i="3" s="1"/>
  <c r="CP299" i="1"/>
  <c r="CP276" i="1"/>
  <c r="CF251" i="1"/>
  <c r="CB252" i="1" l="1"/>
  <c r="CX212" i="1"/>
  <c r="CY212" i="1"/>
  <c r="AS252" i="1"/>
  <c r="BJ252" i="1"/>
  <c r="BI252" i="1"/>
  <c r="CY257" i="1"/>
  <c r="AG252" i="1"/>
  <c r="O252" i="1"/>
  <c r="K36" i="2"/>
  <c r="BX252" i="1"/>
  <c r="L36" i="2"/>
  <c r="BS252" i="1"/>
  <c r="CK252" i="1"/>
  <c r="D252" i="1"/>
  <c r="CP365" i="1"/>
  <c r="CP367" i="1" s="1"/>
  <c r="CQ321" i="1"/>
  <c r="BR252" i="1"/>
  <c r="F252" i="1"/>
  <c r="BU252" i="1"/>
  <c r="CP270" i="1"/>
  <c r="E25" i="3" s="1"/>
  <c r="BN236" i="1"/>
  <c r="BN242" i="1"/>
  <c r="BN243" i="1" s="1"/>
  <c r="BN252" i="1" s="1"/>
  <c r="BN239" i="1"/>
  <c r="CD252" i="1"/>
  <c r="CY236" i="1"/>
  <c r="CX236" i="1"/>
  <c r="CW236" i="1"/>
  <c r="AD217" i="1"/>
  <c r="AD218" i="1"/>
  <c r="CL239" i="1"/>
  <c r="CL236" i="1"/>
  <c r="CL242" i="1"/>
  <c r="CL243" i="1" s="1"/>
  <c r="CL252" i="1" s="1"/>
  <c r="CN103" i="1"/>
  <c r="CN102" i="1" s="1"/>
  <c r="G9" i="2"/>
  <c r="G10" i="2" s="1"/>
  <c r="CR331" i="1"/>
  <c r="CR317" i="1"/>
  <c r="CR272" i="1"/>
  <c r="CR332" i="1"/>
  <c r="CR316" i="1"/>
  <c r="CR246" i="1"/>
  <c r="CR247" i="1" s="1"/>
  <c r="G11" i="2" s="1"/>
  <c r="CR175" i="1"/>
  <c r="CR266" i="1" s="1"/>
  <c r="CR344" i="1" s="1"/>
  <c r="CR155" i="1"/>
  <c r="CR156" i="1" s="1"/>
  <c r="CR140" i="1"/>
  <c r="CR99" i="1"/>
  <c r="CS248" i="1"/>
  <c r="CR396" i="1"/>
  <c r="CR21" i="1"/>
  <c r="CR19" i="1"/>
  <c r="BH252" i="1"/>
  <c r="CS77" i="1"/>
  <c r="CS75" i="1"/>
  <c r="CV69" i="1"/>
  <c r="C19" i="4"/>
  <c r="L42" i="2"/>
  <c r="K42" i="2"/>
  <c r="CY418" i="1"/>
  <c r="J42" i="2"/>
  <c r="CS39" i="1"/>
  <c r="CV33" i="1"/>
  <c r="CS30" i="1"/>
  <c r="CS22" i="1"/>
  <c r="CV16" i="1"/>
  <c r="CS13" i="1"/>
  <c r="BY252" i="1"/>
  <c r="BT218" i="1"/>
  <c r="BT217" i="1"/>
  <c r="R217" i="1"/>
  <c r="R218" i="1"/>
  <c r="CH252" i="1"/>
  <c r="BV252" i="1"/>
  <c r="CQ253" i="1"/>
  <c r="CX257" i="1"/>
  <c r="M18" i="4"/>
  <c r="CX406" i="1"/>
  <c r="BF252" i="1"/>
  <c r="CS324" i="1"/>
  <c r="CS415" i="1" s="1"/>
  <c r="CR415" i="1"/>
  <c r="BP252" i="1"/>
  <c r="AP217" i="1"/>
  <c r="AP218" i="1"/>
  <c r="CI218" i="1"/>
  <c r="CY216" i="1"/>
  <c r="CX216" i="1"/>
  <c r="CI217" i="1"/>
  <c r="CW217" i="1" s="1"/>
  <c r="CW216" i="1"/>
  <c r="E252" i="1"/>
  <c r="BQ243" i="1"/>
  <c r="BQ252" i="1" s="1"/>
  <c r="BQ295" i="1"/>
  <c r="CS56" i="1"/>
  <c r="CS58" i="1"/>
  <c r="CV50" i="1"/>
  <c r="U252" i="1"/>
  <c r="AA252" i="1"/>
  <c r="BN218" i="1"/>
  <c r="BN217" i="1"/>
  <c r="CQ318" i="1"/>
  <c r="CQ330" i="1"/>
  <c r="CC243" i="1"/>
  <c r="CC295" i="1"/>
  <c r="CA252" i="1"/>
  <c r="CL218" i="1"/>
  <c r="CL217" i="1"/>
  <c r="AM252" i="1"/>
  <c r="CE252" i="1"/>
  <c r="BT242" i="1"/>
  <c r="BT243" i="1" s="1"/>
  <c r="BT252" i="1" s="1"/>
  <c r="BT239" i="1"/>
  <c r="BT236" i="1"/>
  <c r="CP124" i="1"/>
  <c r="C19" i="2"/>
  <c r="CY242" i="1"/>
  <c r="CX242" i="1"/>
  <c r="CI243" i="1"/>
  <c r="CW242" i="1"/>
  <c r="CI295" i="1"/>
  <c r="BW295" i="1"/>
  <c r="BW243" i="1"/>
  <c r="AV218" i="1"/>
  <c r="AV217" i="1"/>
  <c r="BZ218" i="1"/>
  <c r="BZ217" i="1"/>
  <c r="BE243" i="1"/>
  <c r="BE252" i="1" s="1"/>
  <c r="BE295" i="1"/>
  <c r="BO252" i="1"/>
  <c r="CS152" i="1"/>
  <c r="CS133" i="1" s="1"/>
  <c r="CS128" i="1"/>
  <c r="CV122" i="1"/>
  <c r="CP395" i="1"/>
  <c r="CP265" i="1"/>
  <c r="CP208" i="1"/>
  <c r="CP214" i="1"/>
  <c r="CQ97" i="1"/>
  <c r="CQ126" i="1" s="1"/>
  <c r="CQ123" i="1"/>
  <c r="F29" i="3"/>
  <c r="F24" i="3" s="1"/>
  <c r="CQ299" i="1"/>
  <c r="CQ276" i="1"/>
  <c r="CM127" i="1"/>
  <c r="CM157" i="1"/>
  <c r="CJ233" i="1"/>
  <c r="BB217" i="1"/>
  <c r="BB218" i="1"/>
  <c r="CP127" i="1"/>
  <c r="BB236" i="1"/>
  <c r="BB239" i="1"/>
  <c r="X218" i="1"/>
  <c r="X217" i="1"/>
  <c r="AD239" i="1"/>
  <c r="AD236" i="1"/>
  <c r="CR36" i="1"/>
  <c r="CR38" i="1"/>
  <c r="C36" i="2"/>
  <c r="C39" i="2"/>
  <c r="CP253" i="1"/>
  <c r="CP157" i="1"/>
  <c r="CP259" i="1" s="1"/>
  <c r="C18" i="4"/>
  <c r="L41" i="2"/>
  <c r="J41" i="2"/>
  <c r="CY406" i="1"/>
  <c r="K41" i="2"/>
  <c r="BA252" i="1"/>
  <c r="BG252" i="1"/>
  <c r="BZ242" i="1"/>
  <c r="BZ243" i="1" s="1"/>
  <c r="CF252" i="1" s="1"/>
  <c r="BZ236" i="1"/>
  <c r="BZ239" i="1"/>
  <c r="CJ211" i="1"/>
  <c r="G252" i="1"/>
  <c r="AY252" i="1"/>
  <c r="F23" i="3"/>
  <c r="CQ174" i="1"/>
  <c r="M19" i="4"/>
  <c r="CX418" i="1"/>
  <c r="CP366" i="1" l="1"/>
  <c r="CY217" i="1"/>
  <c r="CY295" i="1"/>
  <c r="CX295" i="1"/>
  <c r="CR321" i="1"/>
  <c r="CQ270" i="1"/>
  <c r="F25" i="3" s="1"/>
  <c r="CP160" i="1"/>
  <c r="CP134" i="1" s="1"/>
  <c r="CQ365" i="1"/>
  <c r="CQ367" i="1" s="1"/>
  <c r="CR253" i="1"/>
  <c r="CW295" i="1"/>
  <c r="CQ124" i="1"/>
  <c r="CQ129" i="1"/>
  <c r="H9" i="2"/>
  <c r="CS317" i="1"/>
  <c r="CS316" i="1"/>
  <c r="CS332" i="1"/>
  <c r="CS246" i="1"/>
  <c r="CS247" i="1" s="1"/>
  <c r="H11" i="2" s="1"/>
  <c r="CS272" i="1"/>
  <c r="CS331" i="1"/>
  <c r="CS175" i="1"/>
  <c r="CS266" i="1" s="1"/>
  <c r="CS344" i="1" s="1"/>
  <c r="CS155" i="1"/>
  <c r="CS156" i="1" s="1"/>
  <c r="CV152" i="1"/>
  <c r="CS140" i="1"/>
  <c r="CS99" i="1"/>
  <c r="CS396" i="1"/>
  <c r="CV396" i="1" s="1"/>
  <c r="BW252" i="1"/>
  <c r="C23" i="2"/>
  <c r="CY243" i="1"/>
  <c r="CX243" i="1"/>
  <c r="CW243" i="1"/>
  <c r="CI252" i="1"/>
  <c r="CC252" i="1"/>
  <c r="CR97" i="1"/>
  <c r="CR126" i="1" s="1"/>
  <c r="CR123" i="1"/>
  <c r="G29" i="3"/>
  <c r="G24" i="3" s="1"/>
  <c r="CR276" i="1"/>
  <c r="CR299" i="1"/>
  <c r="CP200" i="1"/>
  <c r="CM259" i="1"/>
  <c r="CM160" i="1"/>
  <c r="CQ127" i="1"/>
  <c r="CQ366" i="1"/>
  <c r="G23" i="3"/>
  <c r="CR174" i="1"/>
  <c r="CN57" i="1"/>
  <c r="CN53" i="1" s="1"/>
  <c r="CN37" i="1"/>
  <c r="CN33" i="1" s="1"/>
  <c r="CN76" i="1"/>
  <c r="CN72" i="1" s="1"/>
  <c r="CN20" i="1"/>
  <c r="CN16" i="1" s="1"/>
  <c r="CO16" i="1" s="1"/>
  <c r="CO102" i="1"/>
  <c r="CQ395" i="1"/>
  <c r="CQ265" i="1"/>
  <c r="CQ214" i="1"/>
  <c r="CQ208" i="1"/>
  <c r="BK252" i="1"/>
  <c r="CO103" i="1"/>
  <c r="CJ257" i="1"/>
  <c r="CJ216" i="1"/>
  <c r="CJ212" i="1"/>
  <c r="BZ252" i="1"/>
  <c r="CJ242" i="1"/>
  <c r="CJ239" i="1"/>
  <c r="CJ236" i="1"/>
  <c r="CX217" i="1"/>
  <c r="CQ157" i="1"/>
  <c r="CS21" i="1"/>
  <c r="CS19" i="1"/>
  <c r="CV13" i="1"/>
  <c r="CS38" i="1"/>
  <c r="CS36" i="1"/>
  <c r="CV30" i="1"/>
  <c r="CR318" i="1"/>
  <c r="CR330" i="1"/>
  <c r="CP186" i="1" l="1"/>
  <c r="CP193" i="1" s="1"/>
  <c r="CP256" i="1"/>
  <c r="CS321" i="1"/>
  <c r="E15" i="2"/>
  <c r="E17" i="2" s="1"/>
  <c r="CR270" i="1"/>
  <c r="G25" i="3" s="1"/>
  <c r="CJ218" i="1"/>
  <c r="CJ217" i="1"/>
  <c r="CR365" i="1"/>
  <c r="CN59" i="1"/>
  <c r="CN50" i="1"/>
  <c r="CO53" i="1"/>
  <c r="CM250" i="1"/>
  <c r="CM256" i="1"/>
  <c r="CM200" i="1"/>
  <c r="CM186" i="1"/>
  <c r="CM164" i="1"/>
  <c r="CM134" i="1"/>
  <c r="E12" i="2"/>
  <c r="E13" i="2" s="1"/>
  <c r="E18" i="3"/>
  <c r="CP400" i="1"/>
  <c r="CP254" i="1"/>
  <c r="CP201" i="1"/>
  <c r="CR129" i="1"/>
  <c r="CR124" i="1"/>
  <c r="CS253" i="1"/>
  <c r="CV253" i="1" s="1"/>
  <c r="CN13" i="1"/>
  <c r="CN22" i="1"/>
  <c r="CN123" i="1"/>
  <c r="CR395" i="1"/>
  <c r="CR265" i="1"/>
  <c r="CR214" i="1"/>
  <c r="CR208" i="1"/>
  <c r="CP194" i="1"/>
  <c r="CP135" i="1"/>
  <c r="CR127" i="1"/>
  <c r="H29" i="3"/>
  <c r="CS299" i="1"/>
  <c r="CS276" i="1"/>
  <c r="CJ243" i="1"/>
  <c r="CJ252" i="1" s="1"/>
  <c r="CN69" i="1"/>
  <c r="CN78" i="1"/>
  <c r="CO72" i="1"/>
  <c r="CS97" i="1"/>
  <c r="CS126" i="1" s="1"/>
  <c r="CS157" i="1" s="1"/>
  <c r="CS123" i="1"/>
  <c r="CS330" i="1"/>
  <c r="CS318" i="1"/>
  <c r="CR157" i="1"/>
  <c r="CQ259" i="1"/>
  <c r="CQ160" i="1"/>
  <c r="CN30" i="1"/>
  <c r="CN39" i="1"/>
  <c r="CO33" i="1"/>
  <c r="H23" i="3"/>
  <c r="I23" i="3" s="1"/>
  <c r="J23" i="3" s="1"/>
  <c r="K23" i="3" s="1"/>
  <c r="L23" i="3" s="1"/>
  <c r="M23" i="3" s="1"/>
  <c r="CS174" i="1"/>
  <c r="H10" i="2"/>
  <c r="I9" i="2"/>
  <c r="E22" i="3" l="1"/>
  <c r="E26" i="3"/>
  <c r="E40" i="3"/>
  <c r="CS365" i="1"/>
  <c r="CS367" i="1" s="1"/>
  <c r="CS259" i="1"/>
  <c r="CS160" i="1"/>
  <c r="CS134" i="1" s="1"/>
  <c r="F15" i="2"/>
  <c r="CQ250" i="1"/>
  <c r="CQ256" i="1"/>
  <c r="CQ200" i="1"/>
  <c r="CQ186" i="1"/>
  <c r="CQ193" i="1" s="1"/>
  <c r="CQ134" i="1"/>
  <c r="CO22" i="1"/>
  <c r="CO20" i="1"/>
  <c r="CV20" i="1" s="1"/>
  <c r="CP22" i="1"/>
  <c r="CM165" i="1"/>
  <c r="CR367" i="1"/>
  <c r="CR366" i="1"/>
  <c r="CO39" i="1"/>
  <c r="CO37" i="1"/>
  <c r="CV37" i="1" s="1"/>
  <c r="CP39" i="1"/>
  <c r="CS129" i="1"/>
  <c r="CV123" i="1"/>
  <c r="CS124" i="1"/>
  <c r="CN77" i="1"/>
  <c r="CN75" i="1"/>
  <c r="CO69" i="1"/>
  <c r="CN129" i="1"/>
  <c r="CN124" i="1"/>
  <c r="CO123" i="1"/>
  <c r="CS270" i="1"/>
  <c r="H25" i="3" s="1"/>
  <c r="I25" i="3" s="1"/>
  <c r="J25" i="3" s="1"/>
  <c r="K25" i="3" s="1"/>
  <c r="L25" i="3" s="1"/>
  <c r="M25" i="3" s="1"/>
  <c r="CM193" i="1"/>
  <c r="CO57" i="1"/>
  <c r="CV57" i="1" s="1"/>
  <c r="CO59" i="1"/>
  <c r="CP59" i="1"/>
  <c r="CS395" i="1"/>
  <c r="CV395" i="1" s="1"/>
  <c r="CS265" i="1"/>
  <c r="CS208" i="1"/>
  <c r="CS214" i="1"/>
  <c r="CR259" i="1"/>
  <c r="CR160" i="1"/>
  <c r="CV126" i="1"/>
  <c r="CS127" i="1"/>
  <c r="CM254" i="1"/>
  <c r="CM255" i="1"/>
  <c r="CM249" i="1"/>
  <c r="CM201" i="1"/>
  <c r="CN58" i="1"/>
  <c r="CN56" i="1"/>
  <c r="CO50" i="1"/>
  <c r="CN36" i="1"/>
  <c r="CN38" i="1"/>
  <c r="CO30" i="1"/>
  <c r="CO78" i="1"/>
  <c r="CO76" i="1"/>
  <c r="CV76" i="1" s="1"/>
  <c r="CP78" i="1"/>
  <c r="H24" i="3"/>
  <c r="I29" i="3"/>
  <c r="CN21" i="1"/>
  <c r="CN19" i="1"/>
  <c r="CN126" i="1"/>
  <c r="CO13" i="1"/>
  <c r="CP407" i="1"/>
  <c r="CP402" i="1"/>
  <c r="E36" i="3" l="1"/>
  <c r="E41" i="3"/>
  <c r="E45" i="3" s="1"/>
  <c r="CS366" i="1"/>
  <c r="CV366" i="1" s="1"/>
  <c r="CR250" i="1"/>
  <c r="CR256" i="1"/>
  <c r="CR200" i="1"/>
  <c r="G15" i="2"/>
  <c r="CR186" i="1"/>
  <c r="CR193" i="1" s="1"/>
  <c r="CR134" i="1"/>
  <c r="CO21" i="1"/>
  <c r="CO19" i="1"/>
  <c r="CV19" i="1" s="1"/>
  <c r="CP21" i="1"/>
  <c r="I24" i="3"/>
  <c r="J29" i="3"/>
  <c r="CO56" i="1"/>
  <c r="CV56" i="1" s="1"/>
  <c r="CO58" i="1"/>
  <c r="CP58" i="1"/>
  <c r="CO129" i="1"/>
  <c r="CO124" i="1"/>
  <c r="CV124" i="1" s="1"/>
  <c r="CP129" i="1"/>
  <c r="CO77" i="1"/>
  <c r="CO75" i="1"/>
  <c r="CV75" i="1" s="1"/>
  <c r="CP77" i="1"/>
  <c r="CQ194" i="1"/>
  <c r="CQ135" i="1"/>
  <c r="CN127" i="1"/>
  <c r="CN157" i="1"/>
  <c r="CO126" i="1"/>
  <c r="CO38" i="1"/>
  <c r="CO36" i="1"/>
  <c r="CV36" i="1" s="1"/>
  <c r="CP38" i="1"/>
  <c r="CM206" i="1"/>
  <c r="CM166" i="1"/>
  <c r="F17" i="2"/>
  <c r="F16" i="2"/>
  <c r="H15" i="2"/>
  <c r="CS256" i="1"/>
  <c r="CS250" i="1"/>
  <c r="CS200" i="1"/>
  <c r="CS186" i="1"/>
  <c r="CS193" i="1" s="1"/>
  <c r="CV160" i="1"/>
  <c r="CP413" i="1"/>
  <c r="CM194" i="1"/>
  <c r="CM135" i="1"/>
  <c r="CM167" i="1"/>
  <c r="F18" i="3"/>
  <c r="C95" i="3"/>
  <c r="C98" i="3" s="1"/>
  <c r="C100" i="3" s="1"/>
  <c r="F12" i="2"/>
  <c r="F13" i="2" s="1"/>
  <c r="CQ400" i="1"/>
  <c r="CQ254" i="1"/>
  <c r="CQ249" i="1"/>
  <c r="CQ255" i="1"/>
  <c r="CQ201" i="1"/>
  <c r="F22" i="3" l="1"/>
  <c r="F19" i="3"/>
  <c r="F26" i="3"/>
  <c r="F40" i="3"/>
  <c r="H18" i="3"/>
  <c r="CS400" i="1"/>
  <c r="H12" i="2"/>
  <c r="CS249" i="1"/>
  <c r="CS255" i="1"/>
  <c r="CS254" i="1"/>
  <c r="CS201" i="1"/>
  <c r="CV200" i="1"/>
  <c r="CO127" i="1"/>
  <c r="CV127" i="1" s="1"/>
  <c r="K29" i="3"/>
  <c r="J24" i="3"/>
  <c r="G16" i="2"/>
  <c r="G17" i="2"/>
  <c r="CN259" i="1"/>
  <c r="CN160" i="1"/>
  <c r="CO157" i="1"/>
  <c r="CO259" i="1" s="1"/>
  <c r="CV259" i="1" s="1"/>
  <c r="G18" i="3"/>
  <c r="CR400" i="1"/>
  <c r="CR254" i="1"/>
  <c r="CR249" i="1"/>
  <c r="G12" i="2"/>
  <c r="G13" i="2" s="1"/>
  <c r="CR255" i="1"/>
  <c r="CR201" i="1"/>
  <c r="CQ402" i="1"/>
  <c r="CQ407" i="1"/>
  <c r="CM169" i="1"/>
  <c r="CV193" i="1"/>
  <c r="CS194" i="1"/>
  <c r="CS135" i="1"/>
  <c r="H16" i="2"/>
  <c r="I15" i="2"/>
  <c r="H17" i="2"/>
  <c r="CR194" i="1"/>
  <c r="CR135" i="1"/>
  <c r="F36" i="3" l="1"/>
  <c r="F27" i="3"/>
  <c r="G22" i="3"/>
  <c r="G19" i="3"/>
  <c r="H19" i="3"/>
  <c r="G26" i="3"/>
  <c r="G40" i="3"/>
  <c r="F46" i="3"/>
  <c r="F41" i="3"/>
  <c r="F45" i="3" s="1"/>
  <c r="CM204" i="1"/>
  <c r="CM171" i="1"/>
  <c r="CR407" i="1"/>
  <c r="CR402" i="1"/>
  <c r="K24" i="3"/>
  <c r="L29" i="3"/>
  <c r="I12" i="2"/>
  <c r="H13" i="2"/>
  <c r="CQ413" i="1"/>
  <c r="CS407" i="1"/>
  <c r="CS402" i="1"/>
  <c r="CN250" i="1"/>
  <c r="CN256" i="1"/>
  <c r="CN200" i="1"/>
  <c r="CN186" i="1"/>
  <c r="CN164" i="1"/>
  <c r="CO160" i="1"/>
  <c r="CN134" i="1"/>
  <c r="H22" i="3"/>
  <c r="I18" i="3"/>
  <c r="I19" i="3" s="1"/>
  <c r="G36" i="3" l="1"/>
  <c r="G27" i="3"/>
  <c r="G41" i="3"/>
  <c r="G45" i="3" s="1"/>
  <c r="G46" i="3"/>
  <c r="H26" i="3"/>
  <c r="H40" i="3"/>
  <c r="D15" i="2"/>
  <c r="CO256" i="1"/>
  <c r="CV256" i="1" s="1"/>
  <c r="CO250" i="1"/>
  <c r="CP250" i="1"/>
  <c r="CO134" i="1"/>
  <c r="J18" i="3"/>
  <c r="J19" i="3" s="1"/>
  <c r="I22" i="3"/>
  <c r="CN165" i="1"/>
  <c r="CN167" i="1" s="1"/>
  <c r="CO164" i="1"/>
  <c r="M29" i="3"/>
  <c r="M24" i="3" s="1"/>
  <c r="L24" i="3"/>
  <c r="CN193" i="1"/>
  <c r="CO186" i="1"/>
  <c r="CS413" i="1"/>
  <c r="CM258" i="1"/>
  <c r="CM251" i="1"/>
  <c r="CM221" i="1"/>
  <c r="CM180" i="1"/>
  <c r="CM181" i="1"/>
  <c r="CN254" i="1"/>
  <c r="CN249" i="1"/>
  <c r="CN255" i="1"/>
  <c r="CN201" i="1"/>
  <c r="CO200" i="1"/>
  <c r="CR413" i="1"/>
  <c r="CM209" i="1"/>
  <c r="H36" i="3" l="1"/>
  <c r="H27" i="3"/>
  <c r="I26" i="3"/>
  <c r="I40" i="3"/>
  <c r="H41" i="3"/>
  <c r="H45" i="3" s="1"/>
  <c r="H46" i="3"/>
  <c r="CN169" i="1"/>
  <c r="CO167" i="1"/>
  <c r="K18" i="3"/>
  <c r="K19" i="3" s="1"/>
  <c r="J22" i="3"/>
  <c r="CN194" i="1"/>
  <c r="CN135" i="1"/>
  <c r="CO193" i="1"/>
  <c r="CN206" i="1"/>
  <c r="CO206" i="1" s="1"/>
  <c r="CN166" i="1"/>
  <c r="CO165" i="1"/>
  <c r="CO166" i="1" s="1"/>
  <c r="CM211" i="1"/>
  <c r="D12" i="2"/>
  <c r="D13" i="2" s="1"/>
  <c r="D18" i="3"/>
  <c r="CO400" i="1"/>
  <c r="CO249" i="1"/>
  <c r="CO255" i="1"/>
  <c r="CV255" i="1" s="1"/>
  <c r="CO201" i="1"/>
  <c r="CV201" i="1" s="1"/>
  <c r="CO254" i="1"/>
  <c r="CV254" i="1" s="1"/>
  <c r="CP255" i="1"/>
  <c r="CP249" i="1"/>
  <c r="CM233" i="1"/>
  <c r="D16" i="2"/>
  <c r="D17" i="2"/>
  <c r="E16" i="2"/>
  <c r="D22" i="3" l="1"/>
  <c r="D26" i="3" s="1"/>
  <c r="E19" i="3"/>
  <c r="P18" i="3"/>
  <c r="I36" i="3"/>
  <c r="I27" i="3"/>
  <c r="J26" i="3"/>
  <c r="J40" i="3"/>
  <c r="D40" i="3"/>
  <c r="I46" i="3"/>
  <c r="I41" i="3"/>
  <c r="I45" i="3" s="1"/>
  <c r="CO407" i="1"/>
  <c r="CM257" i="1"/>
  <c r="CM212" i="1"/>
  <c r="CM216" i="1"/>
  <c r="CO194" i="1"/>
  <c r="CV194" i="1" s="1"/>
  <c r="CO135" i="1"/>
  <c r="CO401" i="1"/>
  <c r="CO409" i="1" s="1"/>
  <c r="CV166" i="1"/>
  <c r="K22" i="3"/>
  <c r="L18" i="3"/>
  <c r="L19" i="3" s="1"/>
  <c r="CM236" i="1"/>
  <c r="CM242" i="1"/>
  <c r="CN171" i="1"/>
  <c r="CN204" i="1"/>
  <c r="CO169" i="1"/>
  <c r="CO263" i="1" s="1"/>
  <c r="CO271" i="1" s="1"/>
  <c r="D36" i="3" l="1"/>
  <c r="E27" i="3"/>
  <c r="P26" i="3"/>
  <c r="J36" i="3"/>
  <c r="J27" i="3"/>
  <c r="D41" i="3"/>
  <c r="D44" i="3"/>
  <c r="E46" i="3"/>
  <c r="K26" i="3"/>
  <c r="K40" i="3"/>
  <c r="J46" i="3"/>
  <c r="J41" i="3"/>
  <c r="J45" i="3" s="1"/>
  <c r="CO381" i="1"/>
  <c r="CO383" i="1" s="1"/>
  <c r="CO291" i="1"/>
  <c r="CM243" i="1"/>
  <c r="CM252" i="1" s="1"/>
  <c r="CN209" i="1"/>
  <c r="CO204" i="1"/>
  <c r="CN251" i="1"/>
  <c r="CN221" i="1"/>
  <c r="CN258" i="1"/>
  <c r="CN180" i="1"/>
  <c r="CN181" i="1"/>
  <c r="CO171" i="1"/>
  <c r="L22" i="3"/>
  <c r="M18" i="3"/>
  <c r="CO402" i="1"/>
  <c r="CM218" i="1"/>
  <c r="CM217" i="1"/>
  <c r="M22" i="3" l="1"/>
  <c r="Q18" i="3"/>
  <c r="M19" i="3"/>
  <c r="K36" i="3"/>
  <c r="K27" i="3"/>
  <c r="L26" i="3"/>
  <c r="L40" i="3"/>
  <c r="M26" i="3"/>
  <c r="M40" i="3"/>
  <c r="K41" i="3"/>
  <c r="K45" i="3" s="1"/>
  <c r="K46" i="3"/>
  <c r="D45" i="3"/>
  <c r="D43" i="3"/>
  <c r="E42" i="3" s="1"/>
  <c r="CO413" i="1"/>
  <c r="CN211" i="1"/>
  <c r="CO209" i="1"/>
  <c r="D31" i="2"/>
  <c r="CO445" i="1"/>
  <c r="CO294" i="1"/>
  <c r="CO293" i="1"/>
  <c r="CO296" i="1"/>
  <c r="CO421" i="1"/>
  <c r="CO345" i="1"/>
  <c r="CO258" i="1"/>
  <c r="CO251" i="1"/>
  <c r="CO180" i="1"/>
  <c r="CO181" i="1"/>
  <c r="CO443" i="1" s="1"/>
  <c r="CN233" i="1"/>
  <c r="CO221" i="1"/>
  <c r="CO376" i="1"/>
  <c r="M36" i="3" l="1"/>
  <c r="Q26" i="3"/>
  <c r="M27" i="3"/>
  <c r="L36" i="3"/>
  <c r="L27" i="3"/>
  <c r="N26" i="3"/>
  <c r="N28" i="3" s="1"/>
  <c r="N36" i="3" s="1"/>
  <c r="C51" i="3" s="1"/>
  <c r="N40" i="3"/>
  <c r="M41" i="3"/>
  <c r="M45" i="3" s="1"/>
  <c r="L41" i="3"/>
  <c r="L45" i="3" s="1"/>
  <c r="L46" i="3"/>
  <c r="E43" i="3"/>
  <c r="F42" i="3" s="1"/>
  <c r="E44" i="3"/>
  <c r="CN242" i="1"/>
  <c r="CN236" i="1"/>
  <c r="CO233" i="1"/>
  <c r="CO236" i="1" s="1"/>
  <c r="D33" i="2"/>
  <c r="D32" i="2"/>
  <c r="CO384" i="1"/>
  <c r="CO333" i="1"/>
  <c r="CO279" i="1"/>
  <c r="CO278" i="1"/>
  <c r="CO348" i="1"/>
  <c r="CN257" i="1"/>
  <c r="CN216" i="1"/>
  <c r="CN212" i="1"/>
  <c r="CO211" i="1"/>
  <c r="C50" i="3" l="1"/>
  <c r="C52" i="3" s="1"/>
  <c r="M46" i="3"/>
  <c r="C47" i="3"/>
  <c r="F43" i="3"/>
  <c r="G42" i="3" s="1"/>
  <c r="F44" i="3"/>
  <c r="N41" i="3"/>
  <c r="N45" i="3" s="1"/>
  <c r="N46" i="3" s="1"/>
  <c r="CO422" i="1"/>
  <c r="CO423" i="1" s="1"/>
  <c r="CO350" i="1"/>
  <c r="CO404" i="1" s="1"/>
  <c r="CO335" i="1"/>
  <c r="D35" i="2"/>
  <c r="D36" i="2" s="1"/>
  <c r="CO427" i="1"/>
  <c r="CO257" i="1"/>
  <c r="CO212" i="1"/>
  <c r="CO336" i="1"/>
  <c r="CN218" i="1"/>
  <c r="CN217" i="1"/>
  <c r="CO216" i="1"/>
  <c r="CO283" i="1"/>
  <c r="CO285" i="1" s="1"/>
  <c r="CO287" i="1" s="1"/>
  <c r="CN243" i="1"/>
  <c r="CN252" i="1" s="1"/>
  <c r="CO242" i="1"/>
  <c r="G43" i="3" l="1"/>
  <c r="H42" i="3" s="1"/>
  <c r="G44" i="3"/>
  <c r="D19" i="2"/>
  <c r="CO243" i="1"/>
  <c r="CO295" i="1"/>
  <c r="CO416" i="1"/>
  <c r="CO341" i="1"/>
  <c r="CO351" i="1" s="1"/>
  <c r="CO217" i="1"/>
  <c r="CO218" i="1"/>
  <c r="CP286" i="1"/>
  <c r="CO315" i="1"/>
  <c r="H43" i="3" l="1"/>
  <c r="I42" i="3" s="1"/>
  <c r="H44" i="3"/>
  <c r="CP161" i="1"/>
  <c r="CO320" i="1"/>
  <c r="CO326" i="1" s="1"/>
  <c r="CO405" i="1"/>
  <c r="CO444" i="1"/>
  <c r="D23" i="2"/>
  <c r="D24" i="2" s="1"/>
  <c r="CO252" i="1"/>
  <c r="I43" i="3" l="1"/>
  <c r="J42" i="3" s="1"/>
  <c r="I44" i="3"/>
  <c r="CO414" i="1"/>
  <c r="CO417" i="1" s="1"/>
  <c r="CO418" i="1" s="1"/>
  <c r="CO353" i="1"/>
  <c r="CO426" i="1"/>
  <c r="CO403" i="1"/>
  <c r="CP207" i="1"/>
  <c r="CP164" i="1"/>
  <c r="J43" i="3" l="1"/>
  <c r="K42" i="3" s="1"/>
  <c r="J44" i="3"/>
  <c r="C53" i="3"/>
  <c r="D38" i="2"/>
  <c r="D39" i="2" s="1"/>
  <c r="CO428" i="1"/>
  <c r="CO435" i="1"/>
  <c r="CO437" i="1" s="1"/>
  <c r="CO408" i="1"/>
  <c r="CO410" i="1" s="1"/>
  <c r="CO406" i="1"/>
  <c r="CP165" i="1"/>
  <c r="CP206" i="1" s="1"/>
  <c r="D42" i="2"/>
  <c r="K43" i="3" l="1"/>
  <c r="L42" i="3" s="1"/>
  <c r="K44" i="3"/>
  <c r="CO439" i="1"/>
  <c r="CO442" i="1"/>
  <c r="CO441" i="1"/>
  <c r="CO440" i="1"/>
  <c r="CP167" i="1"/>
  <c r="CP169" i="1" s="1"/>
  <c r="D41" i="2"/>
  <c r="C111" i="3"/>
  <c r="C112" i="3" s="1"/>
  <c r="C113" i="3" s="1"/>
  <c r="F70" i="3"/>
  <c r="E70" i="3"/>
  <c r="G67" i="3"/>
  <c r="D69" i="3"/>
  <c r="F67" i="3"/>
  <c r="H69" i="3"/>
  <c r="E69" i="3"/>
  <c r="E67" i="3"/>
  <c r="H67" i="3"/>
  <c r="F68" i="3"/>
  <c r="H68" i="3"/>
  <c r="D66" i="3"/>
  <c r="G70" i="3"/>
  <c r="G68" i="3"/>
  <c r="G69" i="3"/>
  <c r="E68" i="3"/>
  <c r="H70" i="3"/>
  <c r="H66" i="3"/>
  <c r="E66" i="3"/>
  <c r="F69" i="3"/>
  <c r="F66" i="3"/>
  <c r="D67" i="3"/>
  <c r="G66" i="3"/>
  <c r="D68" i="3"/>
  <c r="D70" i="3"/>
  <c r="C55" i="3"/>
  <c r="C57" i="3" s="1"/>
  <c r="C59" i="3" s="1"/>
  <c r="L43" i="3" l="1"/>
  <c r="M42" i="3" s="1"/>
  <c r="L44" i="3"/>
  <c r="C116" i="3"/>
  <c r="C115" i="3"/>
  <c r="CP263" i="1"/>
  <c r="CP271" i="1" s="1"/>
  <c r="CP204" i="1"/>
  <c r="CP209" i="1" s="1"/>
  <c r="CP211" i="1" s="1"/>
  <c r="CP171" i="1"/>
  <c r="M43" i="3" l="1"/>
  <c r="N42" i="3" s="1"/>
  <c r="N44" i="3" s="1"/>
  <c r="M44" i="3"/>
  <c r="CP391" i="1"/>
  <c r="E35" i="2"/>
  <c r="E36" i="2" s="1"/>
  <c r="CP427" i="1"/>
  <c r="CP392" i="1" s="1"/>
  <c r="CP257" i="1"/>
  <c r="CP212" i="1"/>
  <c r="CP216" i="1"/>
  <c r="CP291" i="1"/>
  <c r="CP421" i="1"/>
  <c r="CP258" i="1"/>
  <c r="CP251" i="1"/>
  <c r="CP221" i="1"/>
  <c r="CP233" i="1" s="1"/>
  <c r="CP345" i="1"/>
  <c r="CP393" i="1" l="1"/>
  <c r="CP280" i="1" s="1"/>
  <c r="CP303" i="1" s="1"/>
  <c r="CP304" i="1" s="1"/>
  <c r="CP381" i="1"/>
  <c r="CP383" i="1" s="1"/>
  <c r="CP278" i="1" s="1"/>
  <c r="E31" i="2"/>
  <c r="CP293" i="1"/>
  <c r="CP294" i="1"/>
  <c r="CP242" i="1"/>
  <c r="CP218" i="1"/>
  <c r="CP217" i="1"/>
  <c r="CP346" i="1" l="1"/>
  <c r="CP348" i="1" s="1"/>
  <c r="CP279" i="1"/>
  <c r="CP376" i="1"/>
  <c r="CP384" i="1" s="1"/>
  <c r="CP308" i="1"/>
  <c r="CP309" i="1"/>
  <c r="CP307" i="1"/>
  <c r="E32" i="2"/>
  <c r="CP333" i="1"/>
  <c r="E19" i="2"/>
  <c r="CP295" i="1"/>
  <c r="CP422" i="1"/>
  <c r="CP423" i="1" s="1"/>
  <c r="CP350" i="1"/>
  <c r="CP404" i="1" s="1"/>
  <c r="CP178" i="1" l="1"/>
  <c r="CP357" i="1"/>
  <c r="CQ306" i="1"/>
  <c r="CP283" i="1"/>
  <c r="CP285" i="1" s="1"/>
  <c r="CP287" i="1" s="1"/>
  <c r="CP315" i="1" s="1"/>
  <c r="CP335" i="1"/>
  <c r="CP336" i="1"/>
  <c r="CP179" i="1" l="1"/>
  <c r="CP180" i="1"/>
  <c r="CQ161" i="1"/>
  <c r="CQ286" i="1"/>
  <c r="CP416" i="1"/>
  <c r="CP341" i="1"/>
  <c r="CP351" i="1" s="1"/>
  <c r="CP320" i="1"/>
  <c r="CP326" i="1" s="1"/>
  <c r="CP405" i="1"/>
  <c r="CP235" i="1" l="1"/>
  <c r="CP236" i="1" s="1"/>
  <c r="E21" i="2"/>
  <c r="E33" i="2" s="1"/>
  <c r="CP433" i="1"/>
  <c r="CP434" i="1" s="1"/>
  <c r="CP445" i="1" s="1"/>
  <c r="CP181" i="1"/>
  <c r="CP443" i="1" s="1"/>
  <c r="CP296" i="1"/>
  <c r="CP243" i="1"/>
  <c r="CQ207" i="1"/>
  <c r="CQ164" i="1"/>
  <c r="CP353" i="1"/>
  <c r="CP414" i="1"/>
  <c r="CP417" i="1" s="1"/>
  <c r="CP418" i="1" s="1"/>
  <c r="CP426" i="1"/>
  <c r="CP403" i="1"/>
  <c r="CP444" i="1" l="1"/>
  <c r="E23" i="2"/>
  <c r="CP252" i="1"/>
  <c r="E42" i="2"/>
  <c r="CP408" i="1"/>
  <c r="CP410" i="1" s="1"/>
  <c r="CP406" i="1"/>
  <c r="CQ165" i="1"/>
  <c r="CQ206" i="1" s="1"/>
  <c r="C101" i="3"/>
  <c r="C102" i="3" s="1"/>
  <c r="E38" i="2"/>
  <c r="CP428" i="1"/>
  <c r="CP435" i="1"/>
  <c r="CP437" i="1" s="1"/>
  <c r="E24" i="2" l="1"/>
  <c r="E41" i="2"/>
  <c r="CP442" i="1"/>
  <c r="CP441" i="1"/>
  <c r="CP439" i="1"/>
  <c r="CP440" i="1"/>
  <c r="E39" i="2"/>
  <c r="E45" i="2"/>
  <c r="CQ167" i="1"/>
  <c r="CQ169" i="1" s="1"/>
  <c r="E44" i="2" l="1"/>
  <c r="E46" i="2" s="1"/>
  <c r="E47" i="2" s="1"/>
  <c r="E34" i="2"/>
  <c r="CQ263" i="1"/>
  <c r="CQ271" i="1" s="1"/>
  <c r="CQ204" i="1"/>
  <c r="CQ209" i="1" s="1"/>
  <c r="CQ211" i="1" s="1"/>
  <c r="CQ171" i="1"/>
  <c r="CQ391" i="1" l="1"/>
  <c r="CQ421" i="1"/>
  <c r="CQ258" i="1"/>
  <c r="CQ251" i="1"/>
  <c r="CQ221" i="1"/>
  <c r="CQ233" i="1" s="1"/>
  <c r="CQ345" i="1"/>
  <c r="F35" i="2"/>
  <c r="F36" i="2" s="1"/>
  <c r="CQ427" i="1"/>
  <c r="CQ392" i="1" s="1"/>
  <c r="CQ212" i="1"/>
  <c r="CQ216" i="1"/>
  <c r="CQ257" i="1"/>
  <c r="CQ291" i="1"/>
  <c r="CQ393" i="1" l="1"/>
  <c r="CQ280" i="1" s="1"/>
  <c r="CQ242" i="1"/>
  <c r="CQ295" i="1" s="1"/>
  <c r="CQ217" i="1"/>
  <c r="CQ218" i="1"/>
  <c r="F31" i="2"/>
  <c r="CQ294" i="1"/>
  <c r="CQ293" i="1"/>
  <c r="CQ303" i="1" l="1"/>
  <c r="CQ304" i="1" s="1"/>
  <c r="CQ346" i="1"/>
  <c r="CQ381" i="1"/>
  <c r="CQ383" i="1" s="1"/>
  <c r="F32" i="2"/>
  <c r="F19" i="2"/>
  <c r="CQ279" i="1" l="1"/>
  <c r="CQ278" i="1"/>
  <c r="CQ283" i="1" s="1"/>
  <c r="CQ285" i="1" s="1"/>
  <c r="CQ287" i="1" s="1"/>
  <c r="CQ315" i="1" s="1"/>
  <c r="CQ376" i="1"/>
  <c r="CQ348" i="1"/>
  <c r="CQ308" i="1"/>
  <c r="CQ309" i="1"/>
  <c r="CQ307" i="1"/>
  <c r="CR286" i="1" l="1"/>
  <c r="CQ357" i="1"/>
  <c r="CR306" i="1"/>
  <c r="CQ178" i="1"/>
  <c r="CQ384" i="1"/>
  <c r="CQ333" i="1"/>
  <c r="CQ422" i="1"/>
  <c r="CQ423" i="1" s="1"/>
  <c r="CQ350" i="1"/>
  <c r="CQ404" i="1" s="1"/>
  <c r="CR161" i="1"/>
  <c r="CQ320" i="1"/>
  <c r="CQ326" i="1" s="1"/>
  <c r="CQ405" i="1"/>
  <c r="CQ336" i="1" l="1"/>
  <c r="CQ335" i="1"/>
  <c r="CQ179" i="1"/>
  <c r="CQ180" i="1"/>
  <c r="CR207" i="1"/>
  <c r="CR164" i="1"/>
  <c r="CQ414" i="1"/>
  <c r="CQ426" i="1"/>
  <c r="CQ403" i="1"/>
  <c r="CQ235" i="1" l="1"/>
  <c r="CQ236" i="1" s="1"/>
  <c r="F21" i="2"/>
  <c r="F33" i="2" s="1"/>
  <c r="C103" i="3"/>
  <c r="C104" i="3" s="1"/>
  <c r="C107" i="3" s="1"/>
  <c r="CQ433" i="1"/>
  <c r="CQ434" i="1" s="1"/>
  <c r="CQ445" i="1" s="1"/>
  <c r="CQ181" i="1"/>
  <c r="CQ443" i="1" s="1"/>
  <c r="CQ296" i="1"/>
  <c r="CQ243" i="1"/>
  <c r="CQ416" i="1"/>
  <c r="CQ417" i="1" s="1"/>
  <c r="CQ418" i="1" s="1"/>
  <c r="F42" i="2" s="1"/>
  <c r="CQ341" i="1"/>
  <c r="CQ351" i="1" s="1"/>
  <c r="CQ353" i="1" s="1"/>
  <c r="CQ408" i="1"/>
  <c r="CQ410" i="1" s="1"/>
  <c r="CQ406" i="1"/>
  <c r="CR165" i="1"/>
  <c r="CR206" i="1" s="1"/>
  <c r="CQ428" i="1"/>
  <c r="CQ435" i="1"/>
  <c r="F38" i="2"/>
  <c r="CQ437" i="1" l="1"/>
  <c r="CQ441" i="1" s="1"/>
  <c r="CQ252" i="1"/>
  <c r="CQ444" i="1"/>
  <c r="F23" i="2"/>
  <c r="CR167" i="1"/>
  <c r="CR169" i="1" s="1"/>
  <c r="CR263" i="1" s="1"/>
  <c r="CR271" i="1" s="1"/>
  <c r="F39" i="2"/>
  <c r="F45" i="2"/>
  <c r="CQ440" i="1"/>
  <c r="CQ439" i="1"/>
  <c r="CQ442" i="1"/>
  <c r="F41" i="2"/>
  <c r="CR171" i="1" l="1"/>
  <c r="CR221" i="1" s="1"/>
  <c r="CR233" i="1" s="1"/>
  <c r="CR204" i="1"/>
  <c r="CR209" i="1" s="1"/>
  <c r="CR211" i="1" s="1"/>
  <c r="CR216" i="1" s="1"/>
  <c r="F24" i="2"/>
  <c r="CR391" i="1"/>
  <c r="CR421" i="1"/>
  <c r="CR258" i="1"/>
  <c r="CR251" i="1"/>
  <c r="CR345" i="1"/>
  <c r="CR291" i="1"/>
  <c r="CR212" i="1" l="1"/>
  <c r="G35" i="2"/>
  <c r="G36" i="2" s="1"/>
  <c r="CR257" i="1"/>
  <c r="CR427" i="1"/>
  <c r="CR392" i="1" s="1"/>
  <c r="CR393" i="1" s="1"/>
  <c r="CR280" i="1" s="1"/>
  <c r="CR381" i="1" s="1"/>
  <c r="CR383" i="1" s="1"/>
  <c r="CR376" i="1" s="1"/>
  <c r="F44" i="2"/>
  <c r="F46" i="2" s="1"/>
  <c r="F47" i="2" s="1"/>
  <c r="F34" i="2"/>
  <c r="CR218" i="1"/>
  <c r="CR217" i="1"/>
  <c r="CR242" i="1"/>
  <c r="CR295" i="1" s="1"/>
  <c r="G31" i="2"/>
  <c r="CR294" i="1"/>
  <c r="CR293" i="1"/>
  <c r="CR278" i="1" l="1"/>
  <c r="CR346" i="1"/>
  <c r="CR348" i="1" s="1"/>
  <c r="CR422" i="1" s="1"/>
  <c r="CR423" i="1" s="1"/>
  <c r="CR279" i="1"/>
  <c r="CR303" i="1"/>
  <c r="CR304" i="1" s="1"/>
  <c r="CR308" i="1" s="1"/>
  <c r="G32" i="2"/>
  <c r="CR350" i="1"/>
  <c r="CR404" i="1" s="1"/>
  <c r="CR384" i="1"/>
  <c r="CR283" i="1"/>
  <c r="CR285" i="1" s="1"/>
  <c r="CR287" i="1" s="1"/>
  <c r="CR333" i="1"/>
  <c r="G19" i="2"/>
  <c r="CR307" i="1" l="1"/>
  <c r="CR357" i="1" s="1"/>
  <c r="CR309" i="1"/>
  <c r="CR178" i="1"/>
  <c r="CS286" i="1"/>
  <c r="CR315" i="1"/>
  <c r="CR335" i="1"/>
  <c r="CR336" i="1"/>
  <c r="CS306" i="1" l="1"/>
  <c r="CR179" i="1"/>
  <c r="CR180" i="1"/>
  <c r="CS161" i="1"/>
  <c r="CR320" i="1"/>
  <c r="CR326" i="1" s="1"/>
  <c r="CR405" i="1"/>
  <c r="CR341" i="1"/>
  <c r="CR351" i="1" s="1"/>
  <c r="CR416" i="1"/>
  <c r="CR433" i="1" l="1"/>
  <c r="CR434" i="1" s="1"/>
  <c r="CR445" i="1" s="1"/>
  <c r="CR235" i="1"/>
  <c r="CR236" i="1" s="1"/>
  <c r="G21" i="2"/>
  <c r="G33" i="2" s="1"/>
  <c r="CR181" i="1"/>
  <c r="CR443" i="1" s="1"/>
  <c r="CR296" i="1"/>
  <c r="CR243" i="1"/>
  <c r="G23" i="2" s="1"/>
  <c r="G27" i="2" s="1"/>
  <c r="CS207" i="1"/>
  <c r="CS164" i="1"/>
  <c r="CR426" i="1"/>
  <c r="CR403" i="1"/>
  <c r="CR414" i="1"/>
  <c r="CR417" i="1" s="1"/>
  <c r="CR418" i="1" s="1"/>
  <c r="CR353" i="1"/>
  <c r="CR252" i="1" l="1"/>
  <c r="CR444" i="1"/>
  <c r="CR408" i="1"/>
  <c r="CR410" i="1" s="1"/>
  <c r="CR406" i="1"/>
  <c r="G38" i="2"/>
  <c r="CR435" i="1"/>
  <c r="CR437" i="1" s="1"/>
  <c r="CR428" i="1"/>
  <c r="CS165" i="1"/>
  <c r="CS206" i="1" s="1"/>
  <c r="CV164" i="1"/>
  <c r="G42" i="2"/>
  <c r="G24" i="2" l="1"/>
  <c r="G45" i="2"/>
  <c r="G39" i="2"/>
  <c r="G41" i="2"/>
  <c r="CS167" i="1"/>
  <c r="CS169" i="1" s="1"/>
  <c r="CR442" i="1"/>
  <c r="CR440" i="1"/>
  <c r="CR439" i="1"/>
  <c r="CR441" i="1"/>
  <c r="G44" i="2" l="1"/>
  <c r="G46" i="2" s="1"/>
  <c r="G47" i="2" s="1"/>
  <c r="G28" i="2"/>
  <c r="G29" i="2"/>
  <c r="G34" i="2"/>
  <c r="CS263" i="1"/>
  <c r="CS271" i="1" s="1"/>
  <c r="CS204" i="1"/>
  <c r="CS209" i="1" s="1"/>
  <c r="CS171" i="1"/>
  <c r="CV169" i="1"/>
  <c r="CS391" i="1" l="1"/>
  <c r="CS421" i="1"/>
  <c r="CS251" i="1"/>
  <c r="CS221" i="1"/>
  <c r="CS233" i="1" s="1"/>
  <c r="CS258" i="1"/>
  <c r="CV258" i="1" s="1"/>
  <c r="CV171" i="1"/>
  <c r="CS345" i="1"/>
  <c r="CS211" i="1"/>
  <c r="CV209" i="1"/>
  <c r="CS291" i="1"/>
  <c r="CV271" i="1"/>
  <c r="CS242" i="1" l="1"/>
  <c r="CS295" i="1" s="1"/>
  <c r="CV295" i="1" s="1"/>
  <c r="CV233" i="1"/>
  <c r="H31" i="2"/>
  <c r="CS294" i="1"/>
  <c r="CV294" i="1" s="1"/>
  <c r="CV291" i="1"/>
  <c r="CS293" i="1"/>
  <c r="H35" i="2"/>
  <c r="CS427" i="1"/>
  <c r="CS392" i="1" s="1"/>
  <c r="CS393" i="1" s="1"/>
  <c r="CS280" i="1" s="1"/>
  <c r="CS257" i="1"/>
  <c r="CV257" i="1" s="1"/>
  <c r="CS216" i="1"/>
  <c r="CS212" i="1"/>
  <c r="CV212" i="1" s="1"/>
  <c r="CV211" i="1"/>
  <c r="CS303" i="1" l="1"/>
  <c r="CS304" i="1" s="1"/>
  <c r="CS346" i="1"/>
  <c r="CS348" i="1" s="1"/>
  <c r="CS381" i="1"/>
  <c r="CS383" i="1" s="1"/>
  <c r="I31" i="2"/>
  <c r="H32" i="2"/>
  <c r="CS218" i="1"/>
  <c r="CS217" i="1"/>
  <c r="CV217" i="1" s="1"/>
  <c r="CV216" i="1"/>
  <c r="H36" i="2"/>
  <c r="I35" i="2"/>
  <c r="H19" i="2"/>
  <c r="I19" i="2" s="1"/>
  <c r="CV242" i="1"/>
  <c r="CS279" i="1" l="1"/>
  <c r="CS278" i="1"/>
  <c r="CS283" i="1" s="1"/>
  <c r="CS285" i="1" s="1"/>
  <c r="CS287" i="1" s="1"/>
  <c r="CS315" i="1" s="1"/>
  <c r="CS320" i="1" s="1"/>
  <c r="CS326" i="1" s="1"/>
  <c r="CS414" i="1" s="1"/>
  <c r="CS376" i="1"/>
  <c r="CS350" i="1"/>
  <c r="CS404" i="1" s="1"/>
  <c r="CS422" i="1"/>
  <c r="CS423" i="1" s="1"/>
  <c r="CV423" i="1" s="1"/>
  <c r="CS308" i="1"/>
  <c r="CS309" i="1"/>
  <c r="CS307" i="1"/>
  <c r="CS357" i="1" l="1"/>
  <c r="CS178" i="1"/>
  <c r="CS384" i="1"/>
  <c r="CS333" i="1"/>
  <c r="CS335" i="1" s="1"/>
  <c r="CS416" i="1" s="1"/>
  <c r="CS417" i="1" s="1"/>
  <c r="CS418" i="1" s="1"/>
  <c r="CS405" i="1"/>
  <c r="CS426" i="1" s="1"/>
  <c r="CV418" i="1" l="1"/>
  <c r="H42" i="2"/>
  <c r="CS428" i="1"/>
  <c r="H38" i="2"/>
  <c r="CS435" i="1"/>
  <c r="CS179" i="1"/>
  <c r="CS180" i="1"/>
  <c r="CV180" i="1" s="1"/>
  <c r="CS336" i="1"/>
  <c r="CS341" i="1" s="1"/>
  <c r="CS351" i="1" s="1"/>
  <c r="CS353" i="1" s="1"/>
  <c r="CS403" i="1"/>
  <c r="H45" i="2" l="1"/>
  <c r="H39" i="2"/>
  <c r="H21" i="2"/>
  <c r="CS433" i="1"/>
  <c r="CS434" i="1" s="1"/>
  <c r="CS445" i="1" s="1"/>
  <c r="CS235" i="1"/>
  <c r="CS236" i="1" s="1"/>
  <c r="CV236" i="1" s="1"/>
  <c r="CS181" i="1"/>
  <c r="CS296" i="1"/>
  <c r="CV296" i="1" s="1"/>
  <c r="CS243" i="1"/>
  <c r="CS406" i="1"/>
  <c r="CS408" i="1"/>
  <c r="CS410" i="1" s="1"/>
  <c r="H23" i="2" l="1"/>
  <c r="CS252" i="1"/>
  <c r="CV243" i="1"/>
  <c r="CS444" i="1"/>
  <c r="CS437" i="1"/>
  <c r="I21" i="2"/>
  <c r="H33" i="2"/>
  <c r="CV181" i="1"/>
  <c r="CS443" i="1"/>
  <c r="H41" i="2"/>
  <c r="CV406" i="1"/>
  <c r="CS440" i="1" l="1"/>
  <c r="CS439" i="1"/>
  <c r="CS442" i="1"/>
  <c r="CS441" i="1"/>
  <c r="H27" i="2"/>
  <c r="H24" i="2"/>
  <c r="I23" i="2"/>
  <c r="H44" i="2" l="1"/>
  <c r="H46" i="2" s="1"/>
  <c r="H47" i="2" s="1"/>
  <c r="H28" i="2"/>
  <c r="H29" i="2"/>
  <c r="H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T2" authorId="0" shapeId="0" xr:uid="{00000000-0006-0000-0000-000061010000}">
      <text>
        <r>
          <rPr>
            <sz val="10"/>
            <rFont val="Arial"/>
            <family val="2"/>
          </rPr>
          <t>Scenario toggle. Choose Bull / Base / Bear. Drives: FY26 outlook end-points (FY and Q3 non-GAAP EPS), 2027E–30E segment organic growth and non-GAAP operating margins, acquisition spend (M&amp;A lever) and share repurchases (scenario input table to the right). Bull / Bear = Base + Δ.</t>
        </r>
      </text>
    </comment>
    <comment ref="B11" authorId="0" shapeId="0" xr:uid="{00000000-0006-0000-0000-000001000000}">
      <text>
        <r>
          <rPr>
            <sz val="10"/>
            <rFont val="Arial"/>
            <family val="2"/>
          </rPr>
          <t>Source: earnings releases (Form 8-K Ex. 99.1) segment tables; 10-K segment note for FY. FY2008–09 as recast into the current four segments in the FY2010 10-K.</t>
        </r>
      </text>
    </comment>
    <comment ref="DB11" authorId="0" shapeId="0" xr:uid="{00000000-0006-0000-0000-000062010000}">
      <text>
        <r>
          <rPr>
            <sz val="10"/>
            <rFont val="Arial"/>
            <family val="2"/>
          </rPr>
          <t>FY26 outlook per Teledyne Q2-2026 earnings release (Form 8-K Ex. 99.1, 22-Jul-2026): GAAP diluted EPS $20.73–$20.99 and non-GAAP diluted EPS $24.45–$24.65 (raised from $20.08–$20.44 / $23.85–$24.15); Q3-26 GAAP EPS $5.10–$5.25, non-GAAP $6.05–$6.15. Bridge: acquired-intangible amortization $3.70/$3.65 and transaction &amp; integration costs $0.02/$0.01 per share. No sales, tax-rate, capex or FCF guidance.</t>
        </r>
      </text>
    </comment>
    <comment ref="BG15" authorId="0" shapeId="0" xr:uid="{00000000-0006-0000-0000-000072000000}">
      <text>
        <r>
          <rPr>
            <sz val="10"/>
            <rFont val="Arial"/>
            <family val="2"/>
          </rPr>
          <t>Company wording: Inventory step-up expense: 23.4 | Transaction and integration costs: 24.0</t>
        </r>
      </text>
    </comment>
    <comment ref="BI15" authorId="0" shapeId="0" xr:uid="{00000000-0006-0000-0000-00007C000000}">
      <text>
        <r>
          <rPr>
            <sz val="10"/>
            <rFont val="Arial"/>
            <family val="2"/>
          </rPr>
          <t>Company wording: Inventory step-up expense: 35.2 | Transaction and integration costs: 1.5</t>
        </r>
      </text>
    </comment>
    <comment ref="BJ15" authorId="0" shapeId="0" xr:uid="{00000000-0006-0000-0000-000087000000}">
      <text>
        <r>
          <rPr>
            <sz val="10"/>
            <rFont val="Arial"/>
            <family val="2"/>
          </rPr>
          <t>Company wording: Inventory step-up expense: 47.8 | Transaction and integration costs: 0.4</t>
        </r>
      </text>
    </comment>
    <comment ref="BK15" authorId="0" shapeId="0" xr:uid="{00000000-0006-0000-0000-000092000000}">
      <text>
        <r>
          <rPr>
            <sz val="10"/>
            <rFont val="Arial"/>
            <family val="2"/>
          </rPr>
          <t>Company wording: Inventory step-up expense: 106.4 | Transaction and integration costs: 25.9</t>
        </r>
      </text>
    </comment>
    <comment ref="BP15" authorId="0" shapeId="0" xr:uid="{00000000-0006-0000-0000-0000AB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Q15" authorId="0" shapeId="0" xr:uid="{00000000-0006-0000-0000-0000B3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U15" authorId="0" shapeId="0" xr:uid="{00000000-0006-0000-0000-0000C2000000}">
      <text>
        <r>
          <rPr>
            <sz val="10"/>
            <rFont val="Arial"/>
            <family val="2"/>
          </rPr>
          <t>Company wording: FLIR integration costs: 5.8</t>
        </r>
      </text>
    </comment>
    <comment ref="BV15" authorId="0" shapeId="0" xr:uid="{00000000-0006-0000-0000-0000CB000000}">
      <text>
        <r>
          <rPr>
            <sz val="10"/>
            <rFont val="Arial"/>
            <family val="2"/>
          </rPr>
          <t>Company wording: Transaction and integration costs: 3.0</t>
        </r>
      </text>
    </comment>
    <comment ref="BW15" authorId="0" shapeId="0" xr:uid="{00000000-0006-0000-0000-0000D2000000}">
      <text>
        <r>
          <rPr>
            <sz val="10"/>
            <rFont val="Arial"/>
            <family val="2"/>
          </rPr>
          <t>Company wording: Transaction and integration costs: 8.8</t>
        </r>
      </text>
    </comment>
    <comment ref="BX15" authorId="0" shapeId="0" xr:uid="{00000000-0006-0000-0000-0000D9000000}">
      <text>
        <r>
          <rPr>
            <sz val="10"/>
            <rFont val="Arial"/>
            <family val="2"/>
          </rPr>
          <t>Company wording: Transaction and Integration Costs: 2.2</t>
        </r>
      </text>
    </comment>
    <comment ref="BY15" authorId="0" shapeId="0" xr:uid="{00000000-0006-0000-0000-0000E2000000}">
      <text>
        <r>
          <rPr>
            <sz val="10"/>
            <rFont val="Arial"/>
            <family val="2"/>
          </rPr>
          <t>Company wording: Transaction and Integration Costs: 1.0</t>
        </r>
      </text>
    </comment>
    <comment ref="CA15" authorId="0" shapeId="0" xr:uid="{00000000-0006-0000-0000-0000EB000000}">
      <text>
        <r>
          <rPr>
            <sz val="10"/>
            <rFont val="Arial"/>
            <family val="2"/>
          </rPr>
          <t>Company wording: Transaction and Integration Costs: 3.7</t>
        </r>
      </text>
    </comment>
    <comment ref="CB15" authorId="0" shapeId="0" xr:uid="{00000000-0006-0000-0000-0000F4000000}">
      <text>
        <r>
          <rPr>
            <sz val="10"/>
            <rFont val="Arial"/>
            <family val="2"/>
          </rPr>
          <t>Company wording: Non-cash Trademark Impairments: 49.5 | Transaction and Integration Costs: 1.5</t>
        </r>
      </text>
    </comment>
    <comment ref="CC15" authorId="0" shapeId="0" xr:uid="{00000000-0006-0000-0000-000002010000}">
      <text>
        <r>
          <rPr>
            <sz val="10"/>
            <rFont val="Arial"/>
            <family val="2"/>
          </rPr>
          <t>Company wording: Non-cash Trademark Impairments: 49.5 | Transaction and Integration Costs: 8.4</t>
        </r>
      </text>
    </comment>
    <comment ref="CB32" authorId="0" shapeId="0" xr:uid="{00000000-0006-0000-0000-0000F5000000}">
      <text>
        <r>
          <rPr>
            <sz val="10"/>
            <rFont val="Arial"/>
            <family val="2"/>
          </rPr>
          <t>Company wording: Non-cash Trademark Impairments: 3.0</t>
        </r>
      </text>
    </comment>
    <comment ref="CC32" authorId="0" shapeId="0" xr:uid="{00000000-0006-0000-0000-000003010000}">
      <text>
        <r>
          <rPr>
            <sz val="10"/>
            <rFont val="Arial"/>
            <family val="2"/>
          </rPr>
          <t>Company wording: Non-cash Trademark Impairments: 3.0</t>
        </r>
      </text>
    </comment>
    <comment ref="B40" authorId="0" shapeId="0" xr:uid="{00000000-0006-0000-0000-000002000000}">
      <text>
        <r>
          <rPr>
            <sz val="10"/>
            <rFont val="Arial"/>
            <family val="2"/>
          </rPr>
          <t>Product-line sales as stated in the earnings release / 10-K MD&amp;A.</t>
        </r>
      </text>
    </comment>
    <comment ref="CD52" authorId="0" shapeId="0" xr:uid="{00000000-0006-0000-0000-00000E010000}">
      <text>
        <r>
          <rPr>
            <sz val="10"/>
            <rFont val="Arial"/>
            <family val="2"/>
          </rPr>
          <t>Company wording: Inventory Step-up Expense: 0.6 | Transaction and Integration Costs: 3.2</t>
        </r>
      </text>
    </comment>
    <comment ref="CE52" authorId="0" shapeId="0" xr:uid="{00000000-0006-0000-0000-00001A010000}">
      <text>
        <r>
          <rPr>
            <sz val="10"/>
            <rFont val="Arial"/>
            <family val="2"/>
          </rPr>
          <t>Company wording: Inventory Step-up Expense: 1.2 | Transaction and Integration Costs: 0.6</t>
        </r>
      </text>
    </comment>
    <comment ref="CG52" authorId="0" shapeId="0" xr:uid="{00000000-0006-0000-0000-000024010000}">
      <text>
        <r>
          <rPr>
            <sz val="10"/>
            <rFont val="Arial"/>
            <family val="2"/>
          </rPr>
          <t>Company wording: Inventory Step-up Expense: 1.4 | Transaction and Integration Costs: 0.5</t>
        </r>
      </text>
    </comment>
    <comment ref="CH52" authorId="0" shapeId="0" xr:uid="{00000000-0006-0000-0000-00002E010000}">
      <text>
        <r>
          <rPr>
            <sz val="10"/>
            <rFont val="Arial"/>
            <family val="2"/>
          </rPr>
          <t>Company wording: Inventory Step-up Expense: 0.2 | Transaction and Integration Costs: 0.5</t>
        </r>
      </text>
    </comment>
    <comment ref="CI52" authorId="0" shapeId="0" xr:uid="{00000000-0006-0000-0000-00003A010000}">
      <text>
        <r>
          <rPr>
            <sz val="10"/>
            <rFont val="Arial"/>
            <family val="2"/>
          </rPr>
          <t>Company wording: Inventory Step-up Expense: 3.4 | Transaction and Integration Costs: 4.8</t>
        </r>
      </text>
    </comment>
    <comment ref="B60" authorId="0" shapeId="0" xr:uid="{00000000-0006-0000-0000-000003000000}">
      <text>
        <r>
          <rPr>
            <sz val="10"/>
            <rFont val="Arial"/>
            <family val="2"/>
          </rPr>
          <t>Product-line sales as stated in the earnings release / 10-K MD&amp;A.</t>
        </r>
      </text>
    </comment>
    <comment ref="B79" authorId="0" shapeId="0" xr:uid="{00000000-0006-0000-0000-000004000000}">
      <text>
        <r>
          <rPr>
            <sz val="10"/>
            <rFont val="Arial"/>
            <family val="2"/>
          </rPr>
          <t>Product-line sales as stated in the earnings release / 10-K MD&amp;A.</t>
        </r>
      </text>
    </comment>
    <comment ref="BF98" authorId="0" shapeId="0" xr:uid="{00000000-0006-0000-0000-000069000000}">
      <text>
        <r>
          <rPr>
            <sz val="10"/>
            <rFont val="Arial"/>
            <family val="2"/>
          </rPr>
          <t>Company wording: Transaction and integration costs: 5.9</t>
        </r>
      </text>
    </comment>
    <comment ref="BG98" authorId="0" shapeId="0" xr:uid="{00000000-0006-0000-0000-000073000000}">
      <text>
        <r>
          <rPr>
            <sz val="10"/>
            <rFont val="Arial"/>
            <family val="2"/>
          </rPr>
          <t>Company wording: Transaction and integration costs: 70.5</t>
        </r>
      </text>
    </comment>
    <comment ref="BI98" authorId="0" shapeId="0" xr:uid="{00000000-0006-0000-0000-00007D000000}">
      <text>
        <r>
          <rPr>
            <sz val="10"/>
            <rFont val="Arial"/>
            <family val="2"/>
          </rPr>
          <t>Company wording: Transaction and integration costs: 0.3</t>
        </r>
      </text>
    </comment>
    <comment ref="BJ98" authorId="0" shapeId="0" xr:uid="{00000000-0006-0000-0000-000088000000}">
      <text>
        <r>
          <rPr>
            <sz val="10"/>
            <rFont val="Arial"/>
            <family val="2"/>
          </rPr>
          <t>Company wording: Transaction and integration costs: 0.4</t>
        </r>
      </text>
    </comment>
    <comment ref="BK98" authorId="0" shapeId="0" xr:uid="{00000000-0006-0000-0000-000093000000}">
      <text>
        <r>
          <rPr>
            <sz val="10"/>
            <rFont val="Arial"/>
            <family val="2"/>
          </rPr>
          <t>Company wording: Transaction and integration costs: 77.1</t>
        </r>
      </text>
    </comment>
    <comment ref="CD98" authorId="0" shapeId="0" xr:uid="{00000000-0006-0000-0000-00000F010000}">
      <text>
        <r>
          <rPr>
            <sz val="10"/>
            <rFont val="Arial"/>
            <family val="2"/>
          </rPr>
          <t>Company wording: Transaction and Integration Costs: 3.6</t>
        </r>
      </text>
    </comment>
    <comment ref="CE98" authorId="0" shapeId="0" xr:uid="{00000000-0006-0000-0000-00001B010000}">
      <text>
        <r>
          <rPr>
            <sz val="10"/>
            <rFont val="Arial"/>
            <family val="2"/>
          </rPr>
          <t>Company wording: Transaction and Integration Costs: 1.3</t>
        </r>
      </text>
    </comment>
    <comment ref="CG98" authorId="0" shapeId="0" xr:uid="{00000000-0006-0000-0000-000025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H98" authorId="0" shapeId="0" xr:uid="{00000000-0006-0000-0000-00002F010000}">
      <text>
        <r>
          <rPr>
            <sz val="10"/>
            <rFont val="Arial"/>
            <family val="2"/>
          </rPr>
          <t>Company wording: Transaction and Integration Costs: 0.3</t>
        </r>
      </text>
    </comment>
    <comment ref="CI98" authorId="0" shapeId="0" xr:uid="{00000000-0006-0000-0000-00003B010000}">
      <text>
        <r>
          <rPr>
            <sz val="10"/>
            <rFont val="Arial"/>
            <family val="2"/>
          </rPr>
          <t>Company wording: Transaction and Integration Costs: 5.4</t>
        </r>
      </text>
    </comment>
    <comment ref="CJ98" authorId="0" shapeId="0" xr:uid="{00000000-0006-0000-0000-000046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K98" authorId="0" shapeId="0" xr:uid="{00000000-0006-0000-0000-00004F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L98" authorId="0" shapeId="0" xr:uid="{00000000-0006-0000-0000-000058010000}">
      <text>
        <r>
          <rPr>
            <sz val="10"/>
            <rFont val="Arial"/>
            <family val="2"/>
          </rPr>
          <t>Company wording: Transaction and Integration Costs: 0.4</t>
        </r>
      </text>
    </comment>
    <comment ref="B101" authorId="0" shapeId="0" xr:uid="{00000000-0006-0000-0000-000005000000}">
      <text>
        <r>
          <rPr>
            <sz val="10"/>
            <rFont val="Arial"/>
            <family val="2"/>
          </rPr>
          <t>Any line between total segment operating income and consolidated operating income other than corporate expense (e.g. unallocated pension in some years) — see data notes.</t>
        </r>
      </text>
    </comment>
    <comment ref="B125" authorId="0" shapeId="0" xr:uid="{00000000-0006-0000-0000-000006000000}">
      <text>
        <r>
          <rPr>
            <sz val="10"/>
            <rFont val="Arial"/>
            <family val="2"/>
          </rPr>
          <t>Total amortization of acquired intangible assets (all acquisitions).</t>
        </r>
      </text>
    </comment>
    <comment ref="B145" authorId="0" shapeId="0" xr:uid="{00000000-0006-0000-0000-000007000000}">
      <text>
        <r>
          <rPr>
            <sz val="10"/>
            <rFont val="Arial"/>
            <family val="2"/>
          </rPr>
          <t>Source: 10-K business section / segment note.</t>
        </r>
      </text>
    </comment>
    <comment ref="B152" authorId="0" shapeId="0" xr:uid="{00000000-0006-0000-0000-000008000000}">
      <text>
        <r>
          <rPr>
            <sz val="10"/>
            <rFont val="Arial"/>
            <family val="2"/>
          </rPr>
          <t>Source: 10-K (annual) and earnings releases / 10-Q (quarters), latest filing presenting each period.</t>
        </r>
      </text>
    </comment>
    <comment ref="B158" authorId="0" shapeId="0" xr:uid="{00000000-0006-0000-0000-000009000000}">
      <text>
        <r>
          <rPr>
            <sz val="10"/>
            <rFont val="Arial"/>
            <family val="2"/>
          </rPr>
          <t>From the Q2-21 release / FY2021 10-K Teledyne presents acquired-intangible amortization as a separate line (Q1/21 and FY2019–20 reclassified out of SG&amp;A in later filings); earlier periods include it in cost of sales and SG&amp;A (not re-presented). Q4/24: incl. in other operating items the $52.5m trademark impairment.</t>
        </r>
      </text>
    </comment>
    <comment ref="AZ187" authorId="0" shapeId="0" xr:uid="{00000000-0006-0000-0000-000056000000}">
      <text>
        <r>
          <rPr>
            <sz val="10"/>
            <rFont val="Arial"/>
            <family val="2"/>
          </rPr>
          <t>Company wording: Acquired intangible asset amortization: 9.6</t>
        </r>
      </text>
    </comment>
    <comment ref="BA187" authorId="0" shapeId="0" xr:uid="{00000000-0006-0000-0000-00005B000000}">
      <text>
        <r>
          <rPr>
            <sz val="10"/>
            <rFont val="Arial"/>
            <family val="2"/>
          </rPr>
          <t>Company wording: Acquired intangible asset amortization: 9.7</t>
        </r>
      </text>
    </comment>
    <comment ref="BC187" authorId="0" shapeId="0" xr:uid="{00000000-0006-0000-0000-00005E000000}">
      <text>
        <r>
          <rPr>
            <sz val="10"/>
            <rFont val="Arial"/>
            <family val="2"/>
          </rPr>
          <t>Company wording: Acquired intangible asset amortization: 9.9</t>
        </r>
      </text>
    </comment>
    <comment ref="BD187" authorId="0" shapeId="0" xr:uid="{00000000-0006-0000-0000-000061000000}">
      <text>
        <r>
          <rPr>
            <sz val="10"/>
            <rFont val="Arial"/>
            <family val="2"/>
          </rPr>
          <t>Company wording: Acquired intangible asset amortization: 9.6</t>
        </r>
      </text>
    </comment>
    <comment ref="BE187" authorId="0" shapeId="0" xr:uid="{00000000-0006-0000-0000-000064000000}">
      <text>
        <r>
          <rPr>
            <sz val="10"/>
            <rFont val="Arial"/>
            <family val="2"/>
          </rPr>
          <t>Company wording: Acquired intangible asset amortization: 38.8</t>
        </r>
      </text>
    </comment>
    <comment ref="BF187" authorId="0" shapeId="0" xr:uid="{00000000-0006-0000-0000-00006A000000}">
      <text>
        <r>
          <rPr>
            <sz val="10"/>
            <rFont val="Arial"/>
            <family val="2"/>
          </rPr>
          <t>Company wording: Acquired intangible asset amortization: 9.8</t>
        </r>
      </text>
    </comment>
    <comment ref="BG187" authorId="0" shapeId="0" xr:uid="{00000000-0006-0000-0000-000074000000}">
      <text>
        <r>
          <rPr>
            <sz val="10"/>
            <rFont val="Arial"/>
            <family val="2"/>
          </rPr>
          <t>Company wording: Acquired intangible asset amortization: 32.8</t>
        </r>
      </text>
    </comment>
    <comment ref="BI187" authorId="0" shapeId="0" xr:uid="{00000000-0006-0000-0000-00007E000000}">
      <text>
        <r>
          <rPr>
            <sz val="10"/>
            <rFont val="Arial"/>
            <family val="2"/>
          </rPr>
          <t>Company wording: Acquired intangible asset amortization: 55.3</t>
        </r>
      </text>
    </comment>
    <comment ref="BJ187" authorId="0" shapeId="0" xr:uid="{00000000-0006-0000-0000-000089000000}">
      <text>
        <r>
          <rPr>
            <sz val="10"/>
            <rFont val="Arial"/>
            <family val="2"/>
          </rPr>
          <t>Company wording: Acquired intangible asset amortization: 51.4</t>
        </r>
      </text>
    </comment>
    <comment ref="BK187" authorId="0" shapeId="0" xr:uid="{00000000-0006-0000-0000-000094000000}">
      <text>
        <r>
          <rPr>
            <sz val="10"/>
            <rFont val="Arial"/>
            <family val="2"/>
          </rPr>
          <t>Company wording: Acquired intangible asset amortization: 149.3</t>
        </r>
      </text>
    </comment>
    <comment ref="BL187" authorId="0" shapeId="0" xr:uid="{00000000-0006-0000-0000-00009F000000}">
      <text>
        <r>
          <rPr>
            <sz val="10"/>
            <rFont val="Arial"/>
            <family val="2"/>
          </rPr>
          <t>Company wording: Acquired intangible asset amortization: 53.6</t>
        </r>
      </text>
    </comment>
    <comment ref="BM187" authorId="0" shapeId="0" xr:uid="{00000000-0006-0000-0000-0000A3000000}">
      <text>
        <r>
          <rPr>
            <sz val="10"/>
            <rFont val="Arial"/>
            <family val="2"/>
          </rPr>
          <t>Company wording: Acquired intangible asset amortization: 51.3</t>
        </r>
      </text>
    </comment>
    <comment ref="BO187" authorId="0" shapeId="0" xr:uid="{00000000-0006-0000-0000-0000A7000000}">
      <text>
        <r>
          <rPr>
            <sz val="10"/>
            <rFont val="Arial"/>
            <family val="2"/>
          </rPr>
          <t>Company wording: Acquired intangible asset amortization: 48.9</t>
        </r>
      </text>
    </comment>
    <comment ref="BP187" authorId="0" shapeId="0" xr:uid="{00000000-0006-0000-0000-0000AC000000}">
      <text>
        <r>
          <rPr>
            <sz val="10"/>
            <rFont val="Arial"/>
            <family val="2"/>
          </rPr>
          <t>Company wording: Acquired intangible asset amortization: 47.9</t>
        </r>
      </text>
    </comment>
    <comment ref="BQ187" authorId="0" shapeId="0" xr:uid="{00000000-0006-0000-0000-0000B4000000}">
      <text>
        <r>
          <rPr>
            <sz val="10"/>
            <rFont val="Arial"/>
            <family val="2"/>
          </rPr>
          <t>Company wording: Acquired intangible asset amortization: 201.7</t>
        </r>
      </text>
    </comment>
    <comment ref="BR187" authorId="0" shapeId="0" xr:uid="{00000000-0006-0000-0000-0000BA000000}">
      <text>
        <r>
          <rPr>
            <sz val="10"/>
            <rFont val="Arial"/>
            <family val="2"/>
          </rPr>
          <t>Company wording: Acquired intangible asset amortization: 49.7</t>
        </r>
      </text>
    </comment>
    <comment ref="BS187" authorId="0" shapeId="0" xr:uid="{00000000-0006-0000-0000-0000BE000000}">
      <text>
        <r>
          <rPr>
            <sz val="10"/>
            <rFont val="Arial"/>
            <family val="2"/>
          </rPr>
          <t>Company wording: Acquired intangible asset amortization: 49.3</t>
        </r>
      </text>
    </comment>
    <comment ref="BU187" authorId="0" shapeId="0" xr:uid="{00000000-0006-0000-0000-0000C3000000}">
      <text>
        <r>
          <rPr>
            <sz val="10"/>
            <rFont val="Arial"/>
            <family val="2"/>
          </rPr>
          <t>Company wording: Acquired intangible asset amortization: 49.1</t>
        </r>
      </text>
    </comment>
    <comment ref="BV187" authorId="0" shapeId="0" xr:uid="{00000000-0006-0000-0000-0000CC000000}">
      <text>
        <r>
          <rPr>
            <sz val="10"/>
            <rFont val="Arial"/>
            <family val="2"/>
          </rPr>
          <t>Company wording: Acquired intangible asset amortization: 48.6</t>
        </r>
      </text>
    </comment>
    <comment ref="BW187" authorId="0" shapeId="0" xr:uid="{00000000-0006-0000-0000-0000D3000000}">
      <text>
        <r>
          <rPr>
            <sz val="10"/>
            <rFont val="Arial"/>
            <family val="2"/>
          </rPr>
          <t>Company wording: Acquired intangible asset amortization: 196.7</t>
        </r>
      </text>
    </comment>
    <comment ref="BX187" authorId="0" shapeId="0" xr:uid="{00000000-0006-0000-0000-0000DA000000}">
      <text>
        <r>
          <rPr>
            <sz val="10"/>
            <rFont val="Arial"/>
            <family val="2"/>
          </rPr>
          <t>Company wording: Acquired intangible asset amortization: 49.4</t>
        </r>
      </text>
    </comment>
    <comment ref="BY187" authorId="0" shapeId="0" xr:uid="{00000000-0006-0000-0000-0000E3000000}">
      <text>
        <r>
          <rPr>
            <sz val="10"/>
            <rFont val="Arial"/>
            <family val="2"/>
          </rPr>
          <t>Company wording: Acquired intangible asset amortization: 49.1</t>
        </r>
      </text>
    </comment>
    <comment ref="CA187" authorId="0" shapeId="0" xr:uid="{00000000-0006-0000-0000-0000EC000000}">
      <text>
        <r>
          <rPr>
            <sz val="10"/>
            <rFont val="Arial"/>
            <family val="2"/>
          </rPr>
          <t>Company wording: Acquired intangible asset amortization: 49.8</t>
        </r>
      </text>
    </comment>
    <comment ref="CB187" authorId="0" shapeId="0" xr:uid="{00000000-0006-0000-0000-0000F6000000}">
      <text>
        <r>
          <rPr>
            <sz val="10"/>
            <rFont val="Arial"/>
            <family val="2"/>
          </rPr>
          <t>Company wording: Acquired intangible asset amortization: 49.7</t>
        </r>
      </text>
    </comment>
    <comment ref="CC187" authorId="0" shapeId="0" xr:uid="{00000000-0006-0000-0000-000004010000}">
      <text>
        <r>
          <rPr>
            <sz val="10"/>
            <rFont val="Arial"/>
            <family val="2"/>
          </rPr>
          <t>Company wording: Acquired intangible asset amortization: 198.0</t>
        </r>
      </text>
    </comment>
    <comment ref="CD187" authorId="0" shapeId="0" xr:uid="{00000000-0006-0000-0000-000010010000}">
      <text>
        <r>
          <rPr>
            <sz val="10"/>
            <rFont val="Arial"/>
            <family val="2"/>
          </rPr>
          <t>Company wording: Acquired intangible asset amortization: 52.0</t>
        </r>
      </text>
    </comment>
    <comment ref="CE187" authorId="0" shapeId="0" xr:uid="{00000000-0006-0000-0000-00001C010000}">
      <text>
        <r>
          <rPr>
            <sz val="10"/>
            <rFont val="Arial"/>
            <family val="2"/>
          </rPr>
          <t>Company wording: Acquired intangible asset amortization: 54.6</t>
        </r>
      </text>
    </comment>
    <comment ref="CG187" authorId="0" shapeId="0" xr:uid="{00000000-0006-0000-0000-000026010000}">
      <text>
        <r>
          <rPr>
            <sz val="10"/>
            <rFont val="Arial"/>
            <family val="2"/>
          </rPr>
          <t>Company wording: Acquired intangible asset amortization: 55.1</t>
        </r>
      </text>
    </comment>
    <comment ref="CH187" authorId="0" shapeId="0" xr:uid="{00000000-0006-0000-0000-000030010000}">
      <text>
        <r>
          <rPr>
            <sz val="10"/>
            <rFont val="Arial"/>
            <family val="2"/>
          </rPr>
          <t>Company wording: Acquired intangible asset amortization: 54.9</t>
        </r>
      </text>
    </comment>
    <comment ref="CI187" authorId="0" shapeId="0" xr:uid="{00000000-0006-0000-0000-00003C010000}">
      <text>
        <r>
          <rPr>
            <sz val="10"/>
            <rFont val="Arial"/>
            <family val="2"/>
          </rPr>
          <t>Company wording: Acquired intangible asset amortization: 216.6</t>
        </r>
      </text>
    </comment>
    <comment ref="CJ187" authorId="0" shapeId="0" xr:uid="{00000000-0006-0000-0000-000047010000}">
      <text>
        <r>
          <rPr>
            <sz val="10"/>
            <rFont val="Arial"/>
            <family val="2"/>
          </rPr>
          <t>Company wording: Acquired intangible asset amortization: 57.6</t>
        </r>
      </text>
    </comment>
    <comment ref="CK187" authorId="0" shapeId="0" xr:uid="{00000000-0006-0000-0000-000050010000}">
      <text>
        <r>
          <rPr>
            <sz val="10"/>
            <rFont val="Arial"/>
            <family val="2"/>
          </rPr>
          <t>Company wording: Acquired intangible asset amortization: 56.0</t>
        </r>
      </text>
    </comment>
    <comment ref="CL187" authorId="0" shapeId="0" xr:uid="{00000000-0006-0000-0000-000059010000}">
      <text>
        <r>
          <rPr>
            <sz val="10"/>
            <rFont val="Arial"/>
            <family val="2"/>
          </rPr>
          <t>Company wording: Acquired intangible asset amortization: 113.6</t>
        </r>
      </text>
    </comment>
    <comment ref="AF188" authorId="0" shapeId="0" xr:uid="{00000000-0006-0000-0000-00001A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1.9 | e2v transaction costs, including stamp duty, advisory, legal and other consulting fees and other costs: 1.9</t>
        </r>
      </text>
    </comment>
    <comment ref="AG188" authorId="0" shapeId="0" xr:uid="{00000000-0006-0000-0000-000022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1.9 | e2v transaction costs, including stamp duty, advisory, legal and other consulting fees and other costs: 1.9</t>
        </r>
      </text>
    </comment>
    <comment ref="AH188" authorId="0" shapeId="0" xr:uid="{00000000-0006-0000-0000-00002A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11.5</t>
        </r>
      </text>
    </comment>
    <comment ref="AI188" authorId="0" shapeId="0" xr:uid="{00000000-0006-0000-0000-000033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1.3</t>
        </r>
      </text>
    </comment>
    <comment ref="AK188" authorId="0" shapeId="0" xr:uid="{00000000-0006-0000-0000-00003A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0.2</t>
        </r>
      </text>
    </comment>
    <comment ref="AL188" authorId="0" shapeId="0" xr:uid="{00000000-0006-0000-0000-000042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0.0</t>
        </r>
      </text>
    </comment>
    <comment ref="AM188" authorId="0" shapeId="0" xr:uid="{00000000-0006-0000-0000-00004A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13.0</t>
        </r>
      </text>
    </comment>
    <comment ref="BF188" authorId="0" shapeId="0" xr:uid="{00000000-0006-0000-0000-00006B000000}">
      <text>
        <r>
          <rPr>
            <sz val="10"/>
            <rFont val="Arial"/>
            <family val="2"/>
          </rPr>
          <t>Company wording: FLIR transaction and integration costs: 5.9</t>
        </r>
      </text>
    </comment>
    <comment ref="BG188" authorId="0" shapeId="0" xr:uid="{00000000-0006-0000-0000-000075000000}">
      <text>
        <r>
          <rPr>
            <sz val="10"/>
            <rFont val="Arial"/>
            <family val="2"/>
          </rPr>
          <t>Company wording: FLIR transaction and integration costs: 94.5</t>
        </r>
      </text>
    </comment>
    <comment ref="BI188" authorId="0" shapeId="0" xr:uid="{00000000-0006-0000-0000-00007F000000}">
      <text>
        <r>
          <rPr>
            <sz val="10"/>
            <rFont val="Arial"/>
            <family val="2"/>
          </rPr>
          <t>Company wording: FLIR transaction and integration costs: 1.8</t>
        </r>
      </text>
    </comment>
    <comment ref="BJ188" authorId="0" shapeId="0" xr:uid="{00000000-0006-0000-0000-00008A000000}">
      <text>
        <r>
          <rPr>
            <sz val="10"/>
            <rFont val="Arial"/>
            <family val="2"/>
          </rPr>
          <t>Company wording: FLIR transaction and integration costs: 0.8</t>
        </r>
      </text>
    </comment>
    <comment ref="BK188" authorId="0" shapeId="0" xr:uid="{00000000-0006-0000-0000-000095000000}">
      <text>
        <r>
          <rPr>
            <sz val="10"/>
            <rFont val="Arial"/>
            <family val="2"/>
          </rPr>
          <t>Company wording: FLIR transaction and integration costs: 103.0</t>
        </r>
      </text>
    </comment>
    <comment ref="BP188" authorId="0" shapeId="0" xr:uid="{00000000-0006-0000-0000-0000AD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Q188" authorId="0" shapeId="0" xr:uid="{00000000-0006-0000-0000-0000B5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U188" authorId="0" shapeId="0" xr:uid="{00000000-0006-0000-0000-0000C4000000}">
      <text>
        <r>
          <rPr>
            <sz val="10"/>
            <rFont val="Arial"/>
            <family val="2"/>
          </rPr>
          <t>Company wording: FLIR integration costs: 5.8</t>
        </r>
      </text>
    </comment>
    <comment ref="BV188" authorId="0" shapeId="0" xr:uid="{00000000-0006-0000-0000-0000CD000000}">
      <text>
        <r>
          <rPr>
            <sz val="10"/>
            <rFont val="Arial"/>
            <family val="2"/>
          </rPr>
          <t>Company wording: Transaction and integration costs: 3.0</t>
        </r>
      </text>
    </comment>
    <comment ref="BW188" authorId="0" shapeId="0" xr:uid="{00000000-0006-0000-0000-0000D4000000}">
      <text>
        <r>
          <rPr>
            <sz val="10"/>
            <rFont val="Arial"/>
            <family val="2"/>
          </rPr>
          <t>Company wording: Transaction and integration costs: 8.8</t>
        </r>
      </text>
    </comment>
    <comment ref="BX188" authorId="0" shapeId="0" xr:uid="{00000000-0006-0000-0000-0000DB000000}">
      <text>
        <r>
          <rPr>
            <sz val="10"/>
            <rFont val="Arial"/>
            <family val="2"/>
          </rPr>
          <t>Company wording: Transaction and integration costs: 2.2</t>
        </r>
      </text>
    </comment>
    <comment ref="BY188" authorId="0" shapeId="0" xr:uid="{00000000-0006-0000-0000-0000E4000000}">
      <text>
        <r>
          <rPr>
            <sz val="10"/>
            <rFont val="Arial"/>
            <family val="2"/>
          </rPr>
          <t>Company wording: Transaction and integration costs: 1.0</t>
        </r>
      </text>
    </comment>
    <comment ref="CA188" authorId="0" shapeId="0" xr:uid="{00000000-0006-0000-0000-0000ED000000}">
      <text>
        <r>
          <rPr>
            <sz val="10"/>
            <rFont val="Arial"/>
            <family val="2"/>
          </rPr>
          <t>Company wording: Transaction and integration costs: 3.7</t>
        </r>
      </text>
    </comment>
    <comment ref="CB188" authorId="0" shapeId="0" xr:uid="{00000000-0006-0000-0000-0000F7000000}">
      <text>
        <r>
          <rPr>
            <sz val="10"/>
            <rFont val="Arial"/>
            <family val="2"/>
          </rPr>
          <t>Company wording: Transaction and integration costs: 1.5</t>
        </r>
      </text>
    </comment>
    <comment ref="CC188" authorId="0" shapeId="0" xr:uid="{00000000-0006-0000-0000-000005010000}">
      <text>
        <r>
          <rPr>
            <sz val="10"/>
            <rFont val="Arial"/>
            <family val="2"/>
          </rPr>
          <t>Company wording: Transaction and integration costs: 8.4</t>
        </r>
      </text>
    </comment>
    <comment ref="CD188" authorId="0" shapeId="0" xr:uid="{00000000-0006-0000-0000-000011010000}">
      <text>
        <r>
          <rPr>
            <sz val="10"/>
            <rFont val="Arial"/>
            <family val="2"/>
          </rPr>
          <t>Company wording: Transaction and integration costs: 6.8</t>
        </r>
      </text>
    </comment>
    <comment ref="CE188" authorId="0" shapeId="0" xr:uid="{00000000-0006-0000-0000-00001D010000}">
      <text>
        <r>
          <rPr>
            <sz val="10"/>
            <rFont val="Arial"/>
            <family val="2"/>
          </rPr>
          <t>Company wording: Transaction and integration costs: 1.9</t>
        </r>
      </text>
    </comment>
    <comment ref="CG188" authorId="0" shapeId="0" xr:uid="{00000000-0006-0000-0000-000027010000}">
      <text>
        <r>
          <rPr>
            <sz val="10"/>
            <rFont val="Arial"/>
            <family val="2"/>
          </rPr>
          <t>Company wording: Transaction and integration costs: 0.7</t>
        </r>
      </text>
    </comment>
    <comment ref="CH188" authorId="0" shapeId="0" xr:uid="{00000000-0006-0000-0000-000031010000}">
      <text>
        <r>
          <rPr>
            <sz val="10"/>
            <rFont val="Arial"/>
            <family val="2"/>
          </rPr>
          <t>Company wording: Transaction and integration costs: 0.8</t>
        </r>
      </text>
    </comment>
    <comment ref="CI188" authorId="0" shapeId="0" xr:uid="{00000000-0006-0000-0000-00003D010000}">
      <text>
        <r>
          <rPr>
            <sz val="10"/>
            <rFont val="Arial"/>
            <family val="2"/>
          </rPr>
          <t>Company wording: Transaction and integration costs: 10.2</t>
        </r>
      </text>
    </comment>
    <comment ref="CJ188" authorId="0" shapeId="0" xr:uid="{00000000-0006-0000-0000-000048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K188" authorId="0" shapeId="0" xr:uid="{00000000-0006-0000-0000-000051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L188" authorId="0" shapeId="0" xr:uid="{00000000-0006-0000-0000-00005A010000}">
      <text>
        <r>
          <rPr>
            <sz val="10"/>
            <rFont val="Arial"/>
            <family val="2"/>
          </rPr>
          <t>Company wording: Transaction and integration costs: 0.4</t>
        </r>
      </text>
    </comment>
    <comment ref="AH189" authorId="0" shapeId="0" xr:uid="{00000000-0006-0000-0000-00002B000000}">
      <text>
        <r>
          <rPr>
            <sz val="10"/>
            <rFont val="Arial"/>
            <family val="2"/>
          </rPr>
          <t>Company wording: e2v inventory fair value step-up amortization expense: 1.4</t>
        </r>
      </text>
    </comment>
    <comment ref="AI189" authorId="0" shapeId="0" xr:uid="{00000000-0006-0000-0000-000034000000}">
      <text>
        <r>
          <rPr>
            <sz val="10"/>
            <rFont val="Arial"/>
            <family val="2"/>
          </rPr>
          <t>Company wording: e2v inventory fair value step-up amortization expense: 2.7</t>
        </r>
      </text>
    </comment>
    <comment ref="AK189" authorId="0" shapeId="0" xr:uid="{00000000-0006-0000-0000-00003B000000}">
      <text>
        <r>
          <rPr>
            <sz val="10"/>
            <rFont val="Arial"/>
            <family val="2"/>
          </rPr>
          <t>Company wording: e2v inventory fair value step-up amortization expense: 2.7</t>
        </r>
      </text>
    </comment>
    <comment ref="AL189" authorId="0" shapeId="0" xr:uid="{00000000-0006-0000-0000-000043000000}">
      <text>
        <r>
          <rPr>
            <sz val="10"/>
            <rFont val="Arial"/>
            <family val="2"/>
          </rPr>
          <t>Company wording: e2v inventory fair value step-up amortization expense: -1.1</t>
        </r>
      </text>
    </comment>
    <comment ref="AM189" authorId="0" shapeId="0" xr:uid="{00000000-0006-0000-0000-00004B000000}">
      <text>
        <r>
          <rPr>
            <sz val="10"/>
            <rFont val="Arial"/>
            <family val="2"/>
          </rPr>
          <t>Company wording: e2v inventory fair value step-up amortization expense: 5.7</t>
        </r>
      </text>
    </comment>
    <comment ref="BG189" authorId="0" shapeId="0" xr:uid="{00000000-0006-0000-0000-000076000000}">
      <text>
        <r>
          <rPr>
            <sz val="10"/>
            <rFont val="Arial"/>
            <family val="2"/>
          </rPr>
          <t>Company wording: FLIR inventory step-up expense: 23.4</t>
        </r>
      </text>
    </comment>
    <comment ref="BI189" authorId="0" shapeId="0" xr:uid="{00000000-0006-0000-0000-000080000000}">
      <text>
        <r>
          <rPr>
            <sz val="10"/>
            <rFont val="Arial"/>
            <family val="2"/>
          </rPr>
          <t>Company wording: FLIR inventory step-up expense: 35.2</t>
        </r>
      </text>
    </comment>
    <comment ref="BJ189" authorId="0" shapeId="0" xr:uid="{00000000-0006-0000-0000-00008B000000}">
      <text>
        <r>
          <rPr>
            <sz val="10"/>
            <rFont val="Arial"/>
            <family val="2"/>
          </rPr>
          <t>Company wording: FLIR inventory step-up expense: 47.8</t>
        </r>
      </text>
    </comment>
    <comment ref="BK189" authorId="0" shapeId="0" xr:uid="{00000000-0006-0000-0000-000096000000}">
      <text>
        <r>
          <rPr>
            <sz val="10"/>
            <rFont val="Arial"/>
            <family val="2"/>
          </rPr>
          <t>Company wording: FLIR inventory step-up expense: 106.4</t>
        </r>
      </text>
    </comment>
    <comment ref="BX189" authorId="0" shapeId="0" xr:uid="{00000000-0006-0000-0000-0000DC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BY189" authorId="0" shapeId="0" xr:uid="{00000000-0006-0000-0000-0000E5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A189" authorId="0" shapeId="0" xr:uid="{00000000-0006-0000-0000-0000EE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B189" authorId="0" shapeId="0" xr:uid="{00000000-0006-0000-0000-0000F8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C189" authorId="0" shapeId="0" xr:uid="{00000000-0006-0000-0000-000006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D189" authorId="0" shapeId="0" xr:uid="{00000000-0006-0000-0000-000012010000}">
      <text>
        <r>
          <rPr>
            <sz val="10"/>
            <rFont val="Arial"/>
            <family val="2"/>
          </rPr>
          <t>Company wording: Inventory step-up expense: 0.6</t>
        </r>
      </text>
    </comment>
    <comment ref="CE189" authorId="0" shapeId="0" xr:uid="{00000000-0006-0000-0000-00001E010000}">
      <text>
        <r>
          <rPr>
            <sz val="10"/>
            <rFont val="Arial"/>
            <family val="2"/>
          </rPr>
          <t>Company wording: Inventory step-up expense: 1.2</t>
        </r>
      </text>
    </comment>
    <comment ref="CG189" authorId="0" shapeId="0" xr:uid="{00000000-0006-0000-0000-000028010000}">
      <text>
        <r>
          <rPr>
            <sz val="10"/>
            <rFont val="Arial"/>
            <family val="2"/>
          </rPr>
          <t>Company wording: Inventory step-up expense: 1.4</t>
        </r>
      </text>
    </comment>
    <comment ref="CH189" authorId="0" shapeId="0" xr:uid="{00000000-0006-0000-0000-000032010000}">
      <text>
        <r>
          <rPr>
            <sz val="10"/>
            <rFont val="Arial"/>
            <family val="2"/>
          </rPr>
          <t>Company wording: Inventory step-up expense: 0.2</t>
        </r>
      </text>
    </comment>
    <comment ref="CI189" authorId="0" shapeId="0" xr:uid="{00000000-0006-0000-0000-00003E010000}">
      <text>
        <r>
          <rPr>
            <sz val="10"/>
            <rFont val="Arial"/>
            <family val="2"/>
          </rPr>
          <t>Company wording: Inventory step-up expense: 3.4</t>
        </r>
      </text>
    </comment>
    <comment ref="CJ189" authorId="0" shapeId="0" xr:uid="{00000000-0006-0000-0000-000049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K189" authorId="0" shapeId="0" xr:uid="{00000000-0006-0000-0000-000052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L189" authorId="0" shapeId="0" xr:uid="{00000000-0006-0000-0000-00005B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B190" authorId="0" shapeId="0" xr:uid="{00000000-0006-0000-0000-0000F9000000}">
      <text>
        <r>
          <rPr>
            <sz val="10"/>
            <rFont val="Arial"/>
            <family val="2"/>
          </rPr>
          <t>Company wording: Non-cash trademark impairments: 52.5</t>
        </r>
      </text>
    </comment>
    <comment ref="CC190" authorId="0" shapeId="0" xr:uid="{00000000-0006-0000-0000-000007010000}">
      <text>
        <r>
          <rPr>
            <sz val="10"/>
            <rFont val="Arial"/>
            <family val="2"/>
          </rPr>
          <t>Company wording: Non-cash trademark impairments: 52.5</t>
        </r>
      </text>
    </comment>
    <comment ref="CH190" authorId="0" shapeId="0" xr:uid="{00000000-0006-0000-0000-000033010000}">
      <text>
        <r>
          <rPr>
            <sz val="10"/>
            <rFont val="Arial"/>
            <family val="2"/>
          </rPr>
          <t>Company wording: Non-cash trademark impairments: 0.0</t>
        </r>
      </text>
    </comment>
    <comment ref="CI190" authorId="0" shapeId="0" xr:uid="{00000000-0006-0000-0000-00003F010000}">
      <text>
        <r>
          <rPr>
            <sz val="10"/>
            <rFont val="Arial"/>
            <family val="2"/>
          </rPr>
          <t>Company wording: Non-cash trademark impairments: 0.0</t>
        </r>
      </text>
    </comment>
    <comment ref="AH191" authorId="0" shapeId="0" xr:uid="{00000000-0006-0000-0000-00002C000000}">
      <text>
        <r>
          <rPr>
            <sz val="10"/>
            <rFont val="Arial"/>
            <family val="2"/>
          </rPr>
          <t>Company wording: Company bridge starts from OI as originally reported 58.1 vs recast 54.8</t>
        </r>
      </text>
    </comment>
    <comment ref="AI191" authorId="0" shapeId="0" xr:uid="{00000000-0006-0000-0000-000035000000}">
      <text>
        <r>
          <rPr>
            <sz val="10"/>
            <rFont val="Arial"/>
            <family val="2"/>
          </rPr>
          <t>Company wording: Company bridge starts from OI as originally reported 86.2 vs recast 82.8</t>
        </r>
      </text>
    </comment>
    <comment ref="AK191" authorId="0" shapeId="0" xr:uid="{00000000-0006-0000-0000-00003C000000}">
      <text>
        <r>
          <rPr>
            <sz val="10"/>
            <rFont val="Arial"/>
            <family val="2"/>
          </rPr>
          <t>Company wording: Company bridge starts from OI as originally reported 92.9 vs recast 89.5</t>
        </r>
      </text>
    </comment>
    <comment ref="AL191" authorId="0" shapeId="0" xr:uid="{00000000-0006-0000-0000-000044000000}">
      <text>
        <r>
          <rPr>
            <sz val="10"/>
            <rFont val="Arial"/>
            <family val="2"/>
          </rPr>
          <t>Company wording: Company bridge starts from OI as originally reported 98.4 vs recast 94.6</t>
        </r>
      </text>
    </comment>
    <comment ref="AM191" authorId="0" shapeId="0" xr:uid="{00000000-0006-0000-0000-00004C000000}">
      <text>
        <r>
          <rPr>
            <sz val="10"/>
            <rFont val="Arial"/>
            <family val="2"/>
          </rPr>
          <t>Company wording: Company bridge starts from OI as originally reported 335.6 vs recast 321.7</t>
        </r>
      </text>
    </comment>
    <comment ref="C197" authorId="0" shapeId="0" xr:uid="{00000000-0006-0000-0000-00000A000000}">
      <text>
        <r>
          <rPr>
            <sz val="10"/>
            <rFont val="Arial"/>
            <family val="2"/>
          </rPr>
          <t>Teledyne published no adjusted operating income before the Q4-2016 release (the 2006–07 'pro forma' measure was EPS only). Current-definition memo below applies today's definition using 10-K amortization.</t>
        </r>
      </text>
    </comment>
    <comment ref="AF197" authorId="0" shapeId="0" xr:uid="{00000000-0006-0000-0000-00001B000000}">
      <text>
        <r>
          <rPr>
            <sz val="10"/>
            <rFont val="Arial"/>
            <family val="2"/>
          </rPr>
          <t>Q4-2016 release (2-Feb-2017) introduced non-GAAP measures excluding e2v transaction costs, bridge-facility fees and the FX option contract; 2017 releases 'Adjusted operating income'. Published on the pre-ASU 2017-07 basis — the difference to the recast GAAP OI is shown as a separate basis line. Severance / facility costs were never excluded.</t>
        </r>
      </text>
    </comment>
    <comment ref="AG197" authorId="0" shapeId="0" xr:uid="{00000000-0006-0000-0000-000023000000}">
      <text>
        <r>
          <rPr>
            <sz val="10"/>
            <rFont val="Arial"/>
            <family val="2"/>
          </rPr>
          <t>FY2016 adjusted OI as re-presented in the Q4-2017 release (e2v transaction costs in Q4/16).</t>
        </r>
      </text>
    </comment>
    <comment ref="AS197" authorId="0" shapeId="0" xr:uid="{00000000-0006-0000-0000-000054000000}">
      <text>
        <r>
          <rPr>
            <sz val="10"/>
            <rFont val="Arial"/>
            <family val="2"/>
          </rPr>
          <t>No adjusted measures in 2018–2019 releases (free cash flow only).</t>
        </r>
      </text>
    </comment>
    <comment ref="AZ197" authorId="0" shapeId="0" xr:uid="{00000000-0006-0000-0000-000057000000}">
      <text>
        <r>
          <rPr>
            <sz val="10"/>
            <rFont val="Arial"/>
            <family val="2"/>
          </rPr>
          <t>2020 comparatives on the FLIR-era definition were first published in the Q2-21 (Q1–Q2/20), Q3-21 (Q3/20) and Q4-21 (Q4/20, FY2020) releases. Only item in 2020: amortization of all acquired intangibles (severance / facility costs not excluded). Q1-21 release had shown Q1/20 'adjusted' = GAAP.</t>
        </r>
      </text>
    </comment>
    <comment ref="BE197" authorId="0" shapeId="0" xr:uid="{00000000-0006-0000-0000-000065000000}">
      <text>
        <r>
          <rPr>
            <sz val="10"/>
            <rFont val="Arial"/>
            <family val="2"/>
          </rPr>
          <t>FY2020 non-GAAP OI 518.9 (16.8%) first published in the Q4-2021 release.</t>
        </r>
      </text>
    </comment>
    <comment ref="BF197" authorId="0" shapeId="0" xr:uid="{00000000-0006-0000-0000-00006C000000}">
      <text>
        <r>
          <rPr>
            <sz val="10"/>
            <rFont val="Arial"/>
            <family val="2"/>
          </rPr>
          <t>Q1-21 release (28-Apr-2021) originally called the measure 'adjusted' and excluded only FLIR transaction costs (OI 141.1, 17.5%). From the Q2-21 release (first after the 14-May-2021 FLIR close) all acquired-intangible amortization, FLIR inventory step-up and transaction / integration costs are excluded; Q1/21 recast to 150.9 (18.7%).</t>
        </r>
      </text>
    </comment>
    <comment ref="BK197" authorId="0" shapeId="0" xr:uid="{00000000-0006-0000-0000-000097000000}">
      <text>
        <r>
          <rPr>
            <sz val="10"/>
            <rFont val="Arial"/>
            <family val="2"/>
          </rPr>
          <t>FY2021 per the Q4-2022 release.</t>
        </r>
      </text>
    </comment>
    <comment ref="BP197" authorId="0" shapeId="0" xr:uid="{00000000-0006-0000-0000-0000AE000000}">
      <text>
        <r>
          <rPr>
            <sz val="10"/>
            <rFont val="Arial"/>
            <family val="2"/>
          </rPr>
          <t>Q4/22: credit of $4.0m for FLIR integration costs.</t>
        </r>
      </text>
    </comment>
    <comment ref="BU197" authorId="0" shapeId="0" xr:uid="{00000000-0006-0000-0000-0000C5000000}">
      <text>
        <r>
          <rPr>
            <sz val="10"/>
            <rFont val="Arial"/>
            <family val="2"/>
          </rPr>
          <t>Q3-23 release: new 'FLIR integration costs' item (5.8; Q4/23 3.0); 2024 Q1–Q3 'FLIR integration costs'.</t>
        </r>
      </text>
    </comment>
    <comment ref="CB197" authorId="0" shapeId="0" xr:uid="{00000000-0006-0000-0000-0000FA000000}">
      <text>
        <r>
          <rPr>
            <sz val="10"/>
            <rFont val="Arial"/>
            <family val="2"/>
          </rPr>
          <t>Q4-24 release: non-cash impairment of indefinite-lived trademarks $52.5m (DI 49.5, Instrumentation 3.0) excluded — only use; integration item relabelled 'transaction and integration costs'.</t>
        </r>
      </text>
    </comment>
    <comment ref="CD197" authorId="0" shapeId="0" xr:uid="{00000000-0006-0000-0000-000013010000}">
      <text>
        <r>
          <rPr>
            <sz val="10"/>
            <rFont val="Arial"/>
            <family val="2"/>
          </rPr>
          <t>Q1-25 release: inventory step-up expense (Micropac 30-Dec-2024; Excelitas A&amp;D / Qioptiq 3-Feb-2025) excluded.</t>
        </r>
      </text>
    </comment>
    <comment ref="AZ222" authorId="0" shapeId="0" xr:uid="{00000000-0006-0000-0000-000058000000}">
      <text>
        <r>
          <rPr>
            <sz val="10"/>
            <rFont val="Arial"/>
            <family val="2"/>
          </rPr>
          <t>Company wording: Acquired intangible asset amortization: 9.6</t>
        </r>
      </text>
    </comment>
    <comment ref="BA222" authorId="0" shapeId="0" xr:uid="{00000000-0006-0000-0000-00005C000000}">
      <text>
        <r>
          <rPr>
            <sz val="10"/>
            <rFont val="Arial"/>
            <family val="2"/>
          </rPr>
          <t>Company wording: Acquired intangible asset amortization: 9.7</t>
        </r>
      </text>
    </comment>
    <comment ref="BC222" authorId="0" shapeId="0" xr:uid="{00000000-0006-0000-0000-00005F000000}">
      <text>
        <r>
          <rPr>
            <sz val="10"/>
            <rFont val="Arial"/>
            <family val="2"/>
          </rPr>
          <t>Company wording: Acquired intangible asset amortization: 9.9</t>
        </r>
      </text>
    </comment>
    <comment ref="BD222" authorId="0" shapeId="0" xr:uid="{00000000-0006-0000-0000-000062000000}">
      <text>
        <r>
          <rPr>
            <sz val="10"/>
            <rFont val="Arial"/>
            <family val="2"/>
          </rPr>
          <t>Company wording: Acquired intangible asset amortization: 9.6</t>
        </r>
      </text>
    </comment>
    <comment ref="BE222" authorId="0" shapeId="0" xr:uid="{00000000-0006-0000-0000-000066000000}">
      <text>
        <r>
          <rPr>
            <sz val="10"/>
            <rFont val="Arial"/>
            <family val="2"/>
          </rPr>
          <t>Company wording: Acquired intangible asset amortization: 38.8</t>
        </r>
      </text>
    </comment>
    <comment ref="BF222" authorId="0" shapeId="0" xr:uid="{00000000-0006-0000-0000-00006D000000}">
      <text>
        <r>
          <rPr>
            <sz val="10"/>
            <rFont val="Arial"/>
            <family val="2"/>
          </rPr>
          <t>Company wording: Acquired intangible asset amortization: 9.8</t>
        </r>
      </text>
    </comment>
    <comment ref="BG222" authorId="0" shapeId="0" xr:uid="{00000000-0006-0000-0000-000077000000}">
      <text>
        <r>
          <rPr>
            <sz val="10"/>
            <rFont val="Arial"/>
            <family val="2"/>
          </rPr>
          <t>Company wording: Acquired intangible asset amortization: 32.8</t>
        </r>
      </text>
    </comment>
    <comment ref="BI222" authorId="0" shapeId="0" xr:uid="{00000000-0006-0000-0000-000081000000}">
      <text>
        <r>
          <rPr>
            <sz val="10"/>
            <rFont val="Arial"/>
            <family val="2"/>
          </rPr>
          <t>Company wording: Acquired intangible asset amortization: 55.3</t>
        </r>
      </text>
    </comment>
    <comment ref="BJ222" authorId="0" shapeId="0" xr:uid="{00000000-0006-0000-0000-00008C000000}">
      <text>
        <r>
          <rPr>
            <sz val="10"/>
            <rFont val="Arial"/>
            <family val="2"/>
          </rPr>
          <t>Company wording: Acquired intangible asset amortization: 51.4</t>
        </r>
      </text>
    </comment>
    <comment ref="BK222" authorId="0" shapeId="0" xr:uid="{00000000-0006-0000-0000-000098000000}">
      <text>
        <r>
          <rPr>
            <sz val="10"/>
            <rFont val="Arial"/>
            <family val="2"/>
          </rPr>
          <t>Company wording: Acquired intangible asset amortization: 149.3</t>
        </r>
      </text>
    </comment>
    <comment ref="BL222" authorId="0" shapeId="0" xr:uid="{00000000-0006-0000-0000-0000A0000000}">
      <text>
        <r>
          <rPr>
            <sz val="10"/>
            <rFont val="Arial"/>
            <family val="2"/>
          </rPr>
          <t>Company wording: Acquired intangible asset amortization: 53.6</t>
        </r>
      </text>
    </comment>
    <comment ref="BM222" authorId="0" shapeId="0" xr:uid="{00000000-0006-0000-0000-0000A4000000}">
      <text>
        <r>
          <rPr>
            <sz val="10"/>
            <rFont val="Arial"/>
            <family val="2"/>
          </rPr>
          <t>Company wording: Acquired intangible asset amortization: 51.3</t>
        </r>
      </text>
    </comment>
    <comment ref="BO222" authorId="0" shapeId="0" xr:uid="{00000000-0006-0000-0000-0000A8000000}">
      <text>
        <r>
          <rPr>
            <sz val="10"/>
            <rFont val="Arial"/>
            <family val="2"/>
          </rPr>
          <t>Company wording: Acquired intangible asset amortization: 48.9</t>
        </r>
      </text>
    </comment>
    <comment ref="BP222" authorId="0" shapeId="0" xr:uid="{00000000-0006-0000-0000-0000AF000000}">
      <text>
        <r>
          <rPr>
            <sz val="10"/>
            <rFont val="Arial"/>
            <family val="2"/>
          </rPr>
          <t>Company wording: Acquired intangible asset amortization: 47.9</t>
        </r>
      </text>
    </comment>
    <comment ref="BQ222" authorId="0" shapeId="0" xr:uid="{00000000-0006-0000-0000-0000B6000000}">
      <text>
        <r>
          <rPr>
            <sz val="10"/>
            <rFont val="Arial"/>
            <family val="2"/>
          </rPr>
          <t>Company wording: Acquired intangible asset amortization: 201.7</t>
        </r>
      </text>
    </comment>
    <comment ref="BR222" authorId="0" shapeId="0" xr:uid="{00000000-0006-0000-0000-0000BB000000}">
      <text>
        <r>
          <rPr>
            <sz val="10"/>
            <rFont val="Arial"/>
            <family val="2"/>
          </rPr>
          <t>Company wording: Acquired intangible asset amortization: 49.7</t>
        </r>
      </text>
    </comment>
    <comment ref="BS222" authorId="0" shapeId="0" xr:uid="{00000000-0006-0000-0000-0000BF000000}">
      <text>
        <r>
          <rPr>
            <sz val="10"/>
            <rFont val="Arial"/>
            <family val="2"/>
          </rPr>
          <t>Company wording: Acquired intangible asset amortization: 49.3</t>
        </r>
      </text>
    </comment>
    <comment ref="BU222" authorId="0" shapeId="0" xr:uid="{00000000-0006-0000-0000-0000C6000000}">
      <text>
        <r>
          <rPr>
            <sz val="10"/>
            <rFont val="Arial"/>
            <family val="2"/>
          </rPr>
          <t>Company wording: Acquired intangible asset amortization: 49.1</t>
        </r>
      </text>
    </comment>
    <comment ref="BV222" authorId="0" shapeId="0" xr:uid="{00000000-0006-0000-0000-0000CE000000}">
      <text>
        <r>
          <rPr>
            <sz val="10"/>
            <rFont val="Arial"/>
            <family val="2"/>
          </rPr>
          <t>Company wording: Acquired intangible asset amortization: 48.6</t>
        </r>
      </text>
    </comment>
    <comment ref="BW222" authorId="0" shapeId="0" xr:uid="{00000000-0006-0000-0000-0000D5000000}">
      <text>
        <r>
          <rPr>
            <sz val="10"/>
            <rFont val="Arial"/>
            <family val="2"/>
          </rPr>
          <t>Company wording: Acquired intangible asset amortization: 196.7</t>
        </r>
      </text>
    </comment>
    <comment ref="BX222" authorId="0" shapeId="0" xr:uid="{00000000-0006-0000-0000-0000DD000000}">
      <text>
        <r>
          <rPr>
            <sz val="10"/>
            <rFont val="Arial"/>
            <family val="2"/>
          </rPr>
          <t>Company wording: Acquired intangible asset amortization: 49.4</t>
        </r>
      </text>
    </comment>
    <comment ref="BY222" authorId="0" shapeId="0" xr:uid="{00000000-0006-0000-0000-0000E6000000}">
      <text>
        <r>
          <rPr>
            <sz val="10"/>
            <rFont val="Arial"/>
            <family val="2"/>
          </rPr>
          <t>Company wording: Acquired intangible asset amortization: 49.1</t>
        </r>
      </text>
    </comment>
    <comment ref="CA222" authorId="0" shapeId="0" xr:uid="{00000000-0006-0000-0000-0000EF000000}">
      <text>
        <r>
          <rPr>
            <sz val="10"/>
            <rFont val="Arial"/>
            <family val="2"/>
          </rPr>
          <t>Company wording: Acquired intangible asset amortization: 49.8</t>
        </r>
      </text>
    </comment>
    <comment ref="CB222" authorId="0" shapeId="0" xr:uid="{00000000-0006-0000-0000-0000FB000000}">
      <text>
        <r>
          <rPr>
            <sz val="10"/>
            <rFont val="Arial"/>
            <family val="2"/>
          </rPr>
          <t>Company wording: Acquired intangible asset amortization: 49.7</t>
        </r>
      </text>
    </comment>
    <comment ref="CC222" authorId="0" shapeId="0" xr:uid="{00000000-0006-0000-0000-000008010000}">
      <text>
        <r>
          <rPr>
            <sz val="10"/>
            <rFont val="Arial"/>
            <family val="2"/>
          </rPr>
          <t>Company wording: Acquired intangible asset amortization: 198.0</t>
        </r>
      </text>
    </comment>
    <comment ref="CD222" authorId="0" shapeId="0" xr:uid="{00000000-0006-0000-0000-000014010000}">
      <text>
        <r>
          <rPr>
            <sz val="10"/>
            <rFont val="Arial"/>
            <family val="2"/>
          </rPr>
          <t>Company wording: Acquired intangible asset amortization: 52.0</t>
        </r>
      </text>
    </comment>
    <comment ref="CE222" authorId="0" shapeId="0" xr:uid="{00000000-0006-0000-0000-00001F010000}">
      <text>
        <r>
          <rPr>
            <sz val="10"/>
            <rFont val="Arial"/>
            <family val="2"/>
          </rPr>
          <t>Company wording: Acquired intangible asset amortization: 54.6</t>
        </r>
      </text>
    </comment>
    <comment ref="CG222" authorId="0" shapeId="0" xr:uid="{00000000-0006-0000-0000-000029010000}">
      <text>
        <r>
          <rPr>
            <sz val="10"/>
            <rFont val="Arial"/>
            <family val="2"/>
          </rPr>
          <t>Company wording: Acquired intangible asset amortization: 55.1</t>
        </r>
      </text>
    </comment>
    <comment ref="CH222" authorId="0" shapeId="0" xr:uid="{00000000-0006-0000-0000-000034010000}">
      <text>
        <r>
          <rPr>
            <sz val="10"/>
            <rFont val="Arial"/>
            <family val="2"/>
          </rPr>
          <t>Company wording: Acquired intangible asset amortization: 54.9</t>
        </r>
      </text>
    </comment>
    <comment ref="CI222" authorId="0" shapeId="0" xr:uid="{00000000-0006-0000-0000-000040010000}">
      <text>
        <r>
          <rPr>
            <sz val="10"/>
            <rFont val="Arial"/>
            <family val="2"/>
          </rPr>
          <t>Company wording: Acquired intangible asset amortization: 216.6</t>
        </r>
      </text>
    </comment>
    <comment ref="CJ222" authorId="0" shapeId="0" xr:uid="{00000000-0006-0000-0000-00004A010000}">
      <text>
        <r>
          <rPr>
            <sz val="10"/>
            <rFont val="Arial"/>
            <family val="2"/>
          </rPr>
          <t>Company wording: Acquired intangible asset amortization: 57.6</t>
        </r>
      </text>
    </comment>
    <comment ref="CK222" authorId="0" shapeId="0" xr:uid="{00000000-0006-0000-0000-000053010000}">
      <text>
        <r>
          <rPr>
            <sz val="10"/>
            <rFont val="Arial"/>
            <family val="2"/>
          </rPr>
          <t>Company wording: Acquired intangible asset amortization: 56.0</t>
        </r>
      </text>
    </comment>
    <comment ref="CL222" authorId="0" shapeId="0" xr:uid="{00000000-0006-0000-0000-00005C010000}">
      <text>
        <r>
          <rPr>
            <sz val="10"/>
            <rFont val="Arial"/>
            <family val="2"/>
          </rPr>
          <t>Company wording: Acquired intangible asset amortization: 113.6</t>
        </r>
      </text>
    </comment>
    <comment ref="AF223" authorId="0" shapeId="0" xr:uid="{00000000-0006-0000-0000-00001C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1.9 | Foreign currency option contract expense to hedge the e2v purchase price: 5.5 | e2v transaction costs, including stamp duty, advisory, legal and other consulting fees and other costs: 1.9 | Foreign currency option contract expense to hedge the e2v purchase price: 5.5</t>
        </r>
      </text>
    </comment>
    <comment ref="AG223" authorId="0" shapeId="0" xr:uid="{00000000-0006-0000-0000-000024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1.9 | Foreign currency option contract expense to hedge the e2v purchase price: 5.5 | e2v transaction costs, including stamp duty, advisory, legal and other consulting fees and other costs: 1.9 | Foreign currency option contract expense to hedge the e2v purchase price: 5.5</t>
        </r>
      </text>
    </comment>
    <comment ref="AH223" authorId="0" shapeId="0" xr:uid="{00000000-0006-0000-0000-00002D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11.5 | Foreign currency option contract expense to hedge the e2v purchase price: 6.0</t>
        </r>
      </text>
    </comment>
    <comment ref="AI223" authorId="0" shapeId="0" xr:uid="{00000000-0006-0000-0000-000036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1.3</t>
        </r>
      </text>
    </comment>
    <comment ref="AK223" authorId="0" shapeId="0" xr:uid="{00000000-0006-0000-0000-00003D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0.2</t>
        </r>
      </text>
    </comment>
    <comment ref="AM223" authorId="0" shapeId="0" xr:uid="{00000000-0006-0000-0000-00004D000000}">
      <text>
        <r>
          <rPr>
            <sz val="10"/>
            <rFont val="Arial"/>
            <family val="2"/>
          </rPr>
          <t>Company wording: e2v transaction costs, including stamp duty, advisory, legal and other consulting fees and other costs: 13.0 | Foreign currency option contract expense to hedge the e2v purchase price: 6.0</t>
        </r>
      </text>
    </comment>
    <comment ref="BF223" authorId="0" shapeId="0" xr:uid="{00000000-0006-0000-0000-00006E000000}">
      <text>
        <r>
          <rPr>
            <sz val="10"/>
            <rFont val="Arial"/>
            <family val="2"/>
          </rPr>
          <t>Company wording: FLIR transaction and integration costs: 5.9</t>
        </r>
      </text>
    </comment>
    <comment ref="BG223" authorId="0" shapeId="0" xr:uid="{00000000-0006-0000-0000-000078000000}">
      <text>
        <r>
          <rPr>
            <sz val="10"/>
            <rFont val="Arial"/>
            <family val="2"/>
          </rPr>
          <t>Company wording: FLIR transaction and integration costs: 94.5</t>
        </r>
      </text>
    </comment>
    <comment ref="BI223" authorId="0" shapeId="0" xr:uid="{00000000-0006-0000-0000-000082000000}">
      <text>
        <r>
          <rPr>
            <sz val="10"/>
            <rFont val="Arial"/>
            <family val="2"/>
          </rPr>
          <t>Company wording: FLIR transaction and integration costs: 1.8</t>
        </r>
      </text>
    </comment>
    <comment ref="BJ223" authorId="0" shapeId="0" xr:uid="{00000000-0006-0000-0000-00008D000000}">
      <text>
        <r>
          <rPr>
            <sz val="10"/>
            <rFont val="Arial"/>
            <family val="2"/>
          </rPr>
          <t>Company wording: FLIR transaction and integration costs: 0.8</t>
        </r>
      </text>
    </comment>
    <comment ref="BK223" authorId="0" shapeId="0" xr:uid="{00000000-0006-0000-0000-000099000000}">
      <text>
        <r>
          <rPr>
            <sz val="10"/>
            <rFont val="Arial"/>
            <family val="2"/>
          </rPr>
          <t>Company wording: FLIR transaction and integration costs: 103.0</t>
        </r>
      </text>
    </comment>
    <comment ref="BP223" authorId="0" shapeId="0" xr:uid="{00000000-0006-0000-0000-0000B0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Q223" authorId="0" shapeId="0" xr:uid="{00000000-0006-0000-0000-0000B7000000}">
      <text>
        <r>
          <rPr>
            <sz val="10"/>
            <rFont val="Arial"/>
            <family val="2"/>
          </rPr>
          <t>Company wording: FLIR integration costs: -4.0</t>
        </r>
      </text>
    </comment>
    <comment ref="BU223" authorId="0" shapeId="0" xr:uid="{00000000-0006-0000-0000-0000C7000000}">
      <text>
        <r>
          <rPr>
            <sz val="10"/>
            <rFont val="Arial"/>
            <family val="2"/>
          </rPr>
          <t>Company wording: FLIR integration costs: 5.8</t>
        </r>
      </text>
    </comment>
    <comment ref="BV223" authorId="0" shapeId="0" xr:uid="{00000000-0006-0000-0000-0000CF000000}">
      <text>
        <r>
          <rPr>
            <sz val="10"/>
            <rFont val="Arial"/>
            <family val="2"/>
          </rPr>
          <t>Company wording: Transaction and integration costs: 3.0</t>
        </r>
      </text>
    </comment>
    <comment ref="BW223" authorId="0" shapeId="0" xr:uid="{00000000-0006-0000-0000-0000D6000000}">
      <text>
        <r>
          <rPr>
            <sz val="10"/>
            <rFont val="Arial"/>
            <family val="2"/>
          </rPr>
          <t>Company wording: Transaction and integration costs: 8.8</t>
        </r>
      </text>
    </comment>
    <comment ref="BX223" authorId="0" shapeId="0" xr:uid="{00000000-0006-0000-0000-0000DE000000}">
      <text>
        <r>
          <rPr>
            <sz val="10"/>
            <rFont val="Arial"/>
            <family val="2"/>
          </rPr>
          <t>Company wording: Transaction and integration costs: 2.2</t>
        </r>
      </text>
    </comment>
    <comment ref="BY223" authorId="0" shapeId="0" xr:uid="{00000000-0006-0000-0000-0000E7000000}">
      <text>
        <r>
          <rPr>
            <sz val="10"/>
            <rFont val="Arial"/>
            <family val="2"/>
          </rPr>
          <t>Company wording: Transaction and integration costs: 1.0</t>
        </r>
      </text>
    </comment>
    <comment ref="CA223" authorId="0" shapeId="0" xr:uid="{00000000-0006-0000-0000-0000F0000000}">
      <text>
        <r>
          <rPr>
            <sz val="10"/>
            <rFont val="Arial"/>
            <family val="2"/>
          </rPr>
          <t>Company wording: Transaction and integration costs: 3.7</t>
        </r>
      </text>
    </comment>
    <comment ref="CB223" authorId="0" shapeId="0" xr:uid="{00000000-0006-0000-0000-0000FC000000}">
      <text>
        <r>
          <rPr>
            <sz val="10"/>
            <rFont val="Arial"/>
            <family val="2"/>
          </rPr>
          <t>Company wording: Transaction and integration costs: 1.5</t>
        </r>
      </text>
    </comment>
    <comment ref="CC223" authorId="0" shapeId="0" xr:uid="{00000000-0006-0000-0000-000009010000}">
      <text>
        <r>
          <rPr>
            <sz val="10"/>
            <rFont val="Arial"/>
            <family val="2"/>
          </rPr>
          <t>Company wording: Transaction and integration costs: 8.4</t>
        </r>
      </text>
    </comment>
    <comment ref="CD223" authorId="0" shapeId="0" xr:uid="{00000000-0006-0000-0000-000015010000}">
      <text>
        <r>
          <rPr>
            <sz val="10"/>
            <rFont val="Arial"/>
            <family val="2"/>
          </rPr>
          <t>Company wording: Transaction and integration costs: 6.8</t>
        </r>
      </text>
    </comment>
    <comment ref="CE223" authorId="0" shapeId="0" xr:uid="{00000000-0006-0000-0000-000020010000}">
      <text>
        <r>
          <rPr>
            <sz val="10"/>
            <rFont val="Arial"/>
            <family val="2"/>
          </rPr>
          <t>Company wording: Transaction and integration costs: 1.9</t>
        </r>
      </text>
    </comment>
    <comment ref="CG223" authorId="0" shapeId="0" xr:uid="{00000000-0006-0000-0000-00002A010000}">
      <text>
        <r>
          <rPr>
            <sz val="10"/>
            <rFont val="Arial"/>
            <family val="2"/>
          </rPr>
          <t>Company wording: Transaction and integration costs: 0.7</t>
        </r>
      </text>
    </comment>
    <comment ref="CH223" authorId="0" shapeId="0" xr:uid="{00000000-0006-0000-0000-000035010000}">
      <text>
        <r>
          <rPr>
            <sz val="10"/>
            <rFont val="Arial"/>
            <family val="2"/>
          </rPr>
          <t>Company wording: Transaction and integration costs: 0.8</t>
        </r>
      </text>
    </comment>
    <comment ref="CI223" authorId="0" shapeId="0" xr:uid="{00000000-0006-0000-0000-000041010000}">
      <text>
        <r>
          <rPr>
            <sz val="10"/>
            <rFont val="Arial"/>
            <family val="2"/>
          </rPr>
          <t>Company wording: Transaction and integration costs: 10.2</t>
        </r>
      </text>
    </comment>
    <comment ref="CJ223" authorId="0" shapeId="0" xr:uid="{00000000-0006-0000-0000-00004B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K223" authorId="0" shapeId="0" xr:uid="{00000000-0006-0000-0000-000054010000}">
      <text>
        <r>
          <rPr>
            <sz val="10"/>
            <rFont val="Arial"/>
            <family val="2"/>
          </rPr>
          <t>Company wording: Transaction and integration costs: 0.2</t>
        </r>
      </text>
    </comment>
    <comment ref="CL223" authorId="0" shapeId="0" xr:uid="{00000000-0006-0000-0000-00005D010000}">
      <text>
        <r>
          <rPr>
            <sz val="10"/>
            <rFont val="Arial"/>
            <family val="2"/>
          </rPr>
          <t>Company wording: Transaction and integration costs: 0.4</t>
        </r>
      </text>
    </comment>
    <comment ref="AH224" authorId="0" shapeId="0" xr:uid="{00000000-0006-0000-0000-00002E000000}">
      <text>
        <r>
          <rPr>
            <sz val="10"/>
            <rFont val="Arial"/>
            <family val="2"/>
          </rPr>
          <t>Company wording: e2v inventory fair value step-up amortization expense: 1.4</t>
        </r>
      </text>
    </comment>
    <comment ref="AI224" authorId="0" shapeId="0" xr:uid="{00000000-0006-0000-0000-000037000000}">
      <text>
        <r>
          <rPr>
            <sz val="10"/>
            <rFont val="Arial"/>
            <family val="2"/>
          </rPr>
          <t>Company wording: e2v inventory fair value step-up amortization expense: 2.7</t>
        </r>
      </text>
    </comment>
    <comment ref="AK224" authorId="0" shapeId="0" xr:uid="{00000000-0006-0000-0000-00003E000000}">
      <text>
        <r>
          <rPr>
            <sz val="10"/>
            <rFont val="Arial"/>
            <family val="2"/>
          </rPr>
          <t>Company wording: e2v inventory fair value step-up amortization expense: 2.7</t>
        </r>
      </text>
    </comment>
    <comment ref="AL224" authorId="0" shapeId="0" xr:uid="{00000000-0006-0000-0000-000045000000}">
      <text>
        <r>
          <rPr>
            <sz val="10"/>
            <rFont val="Arial"/>
            <family val="2"/>
          </rPr>
          <t>Company wording: e2v inventory fair value step-up amortization expense: -1.1</t>
        </r>
      </text>
    </comment>
    <comment ref="AM224" authorId="0" shapeId="0" xr:uid="{00000000-0006-0000-0000-00004E000000}">
      <text>
        <r>
          <rPr>
            <sz val="10"/>
            <rFont val="Arial"/>
            <family val="2"/>
          </rPr>
          <t>Company wording: e2v inventory fair value step-up amortization expense: 5.7</t>
        </r>
      </text>
    </comment>
    <comment ref="BG224" authorId="0" shapeId="0" xr:uid="{00000000-0006-0000-0000-000079000000}">
      <text>
        <r>
          <rPr>
            <sz val="10"/>
            <rFont val="Arial"/>
            <family val="2"/>
          </rPr>
          <t>Company wording: FLIR inventory step-up expense: 23.4</t>
        </r>
      </text>
    </comment>
    <comment ref="BI224" authorId="0" shapeId="0" xr:uid="{00000000-0006-0000-0000-000083000000}">
      <text>
        <r>
          <rPr>
            <sz val="10"/>
            <rFont val="Arial"/>
            <family val="2"/>
          </rPr>
          <t>Company wording: FLIR inventory step-up expense: 35.2</t>
        </r>
      </text>
    </comment>
    <comment ref="BJ224" authorId="0" shapeId="0" xr:uid="{00000000-0006-0000-0000-00008E000000}">
      <text>
        <r>
          <rPr>
            <sz val="10"/>
            <rFont val="Arial"/>
            <family val="2"/>
          </rPr>
          <t>Company wording: FLIR inventory step-up expense: 47.8</t>
        </r>
      </text>
    </comment>
    <comment ref="BK224" authorId="0" shapeId="0" xr:uid="{00000000-0006-0000-0000-00009A000000}">
      <text>
        <r>
          <rPr>
            <sz val="10"/>
            <rFont val="Arial"/>
            <family val="2"/>
          </rPr>
          <t>Company wording: FLIR inventory step-up expense: 106.4</t>
        </r>
      </text>
    </comment>
    <comment ref="BX224" authorId="0" shapeId="0" xr:uid="{00000000-0006-0000-0000-0000DF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BY224" authorId="0" shapeId="0" xr:uid="{00000000-0006-0000-0000-0000E8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A224" authorId="0" shapeId="0" xr:uid="{00000000-0006-0000-0000-0000F1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B224" authorId="0" shapeId="0" xr:uid="{00000000-0006-0000-0000-0000FD00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C224" authorId="0" shapeId="0" xr:uid="{00000000-0006-0000-0000-00000A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D224" authorId="0" shapeId="0" xr:uid="{00000000-0006-0000-0000-000016010000}">
      <text>
        <r>
          <rPr>
            <sz val="10"/>
            <rFont val="Arial"/>
            <family val="2"/>
          </rPr>
          <t>Company wording: Inventory step-up expense: 0.6</t>
        </r>
      </text>
    </comment>
    <comment ref="CE224" authorId="0" shapeId="0" xr:uid="{00000000-0006-0000-0000-000021010000}">
      <text>
        <r>
          <rPr>
            <sz val="10"/>
            <rFont val="Arial"/>
            <family val="2"/>
          </rPr>
          <t>Company wording: Inventory step-up expense: 1.2</t>
        </r>
      </text>
    </comment>
    <comment ref="CG224" authorId="0" shapeId="0" xr:uid="{00000000-0006-0000-0000-00002B010000}">
      <text>
        <r>
          <rPr>
            <sz val="10"/>
            <rFont val="Arial"/>
            <family val="2"/>
          </rPr>
          <t>Company wording: Inventory step-up expense: 1.4</t>
        </r>
      </text>
    </comment>
    <comment ref="CH224" authorId="0" shapeId="0" xr:uid="{00000000-0006-0000-0000-000036010000}">
      <text>
        <r>
          <rPr>
            <sz val="10"/>
            <rFont val="Arial"/>
            <family val="2"/>
          </rPr>
          <t>Company wording: Inventory step-up expense: 0.2</t>
        </r>
      </text>
    </comment>
    <comment ref="CI224" authorId="0" shapeId="0" xr:uid="{00000000-0006-0000-0000-000042010000}">
      <text>
        <r>
          <rPr>
            <sz val="10"/>
            <rFont val="Arial"/>
            <family val="2"/>
          </rPr>
          <t>Company wording: Inventory step-up expense: 3.4</t>
        </r>
      </text>
    </comment>
    <comment ref="CJ224" authorId="0" shapeId="0" xr:uid="{00000000-0006-0000-0000-00004C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K224" authorId="0" shapeId="0" xr:uid="{00000000-0006-0000-0000-000055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L224" authorId="0" shapeId="0" xr:uid="{00000000-0006-0000-0000-00005E010000}">
      <text>
        <r>
          <rPr>
            <sz val="10"/>
            <rFont val="Arial"/>
            <family val="2"/>
          </rPr>
          <t>Company wording: Inventory step-up expense: 0.0</t>
        </r>
      </text>
    </comment>
    <comment ref="CB225" authorId="0" shapeId="0" xr:uid="{00000000-0006-0000-0000-0000FE000000}">
      <text>
        <r>
          <rPr>
            <sz val="10"/>
            <rFont val="Arial"/>
            <family val="2"/>
          </rPr>
          <t>Company wording: Non-cash trademark impairments: 52.5</t>
        </r>
      </text>
    </comment>
    <comment ref="CC225" authorId="0" shapeId="0" xr:uid="{00000000-0006-0000-0000-00000B010000}">
      <text>
        <r>
          <rPr>
            <sz val="10"/>
            <rFont val="Arial"/>
            <family val="2"/>
          </rPr>
          <t>Company wording: Non-cash trademark impairments: 52.5</t>
        </r>
      </text>
    </comment>
    <comment ref="CH225" authorId="0" shapeId="0" xr:uid="{00000000-0006-0000-0000-000037010000}">
      <text>
        <r>
          <rPr>
            <sz val="10"/>
            <rFont val="Arial"/>
            <family val="2"/>
          </rPr>
          <t>Company wording: Non-cash trademark impairments: 0.0</t>
        </r>
      </text>
    </comment>
    <comment ref="CI225" authorId="0" shapeId="0" xr:uid="{00000000-0006-0000-0000-000043010000}">
      <text>
        <r>
          <rPr>
            <sz val="10"/>
            <rFont val="Arial"/>
            <family val="2"/>
          </rPr>
          <t>Company wording: Non-cash trademark impairments: 0.0</t>
        </r>
      </text>
    </comment>
    <comment ref="C226" authorId="0" shapeId="0" xr:uid="{00000000-0006-0000-0000-00000B000000}">
      <text>
        <r>
          <rPr>
            <sz val="10"/>
            <rFont val="Arial"/>
            <family val="2"/>
          </rPr>
          <t>Company wording: Pension expense - SFAS No. 87 and No. 158: $0.27/sh × 35.5m diluted shares | Pension expense - CAS (recovered from government contracts): $-0.18/sh × 35.5m diluted shares</t>
        </r>
      </text>
    </comment>
    <comment ref="D226" authorId="0" shapeId="0" xr:uid="{00000000-0006-0000-0000-000011000000}">
      <text>
        <r>
          <rPr>
            <sz val="10"/>
            <rFont val="Arial"/>
            <family val="2"/>
          </rPr>
          <t>Company wording: Pension expense - SFAS No. 87 and No. 158: $0.21/sh × 36.2m diluted shares | Pension expense - CAS (recovered from government contracts): $-0.18/sh × 36.2m diluted shares</t>
        </r>
      </text>
    </comment>
    <comment ref="C227" authorId="0" shapeId="0" xr:uid="{00000000-0006-0000-0000-00000C000000}">
      <text>
        <r>
          <rPr>
            <sz val="10"/>
            <rFont val="Arial"/>
            <family val="2"/>
          </rPr>
          <t>Company wording: Stock option expense: $0.10/sh × 35.5m diluted shares</t>
        </r>
      </text>
    </comment>
    <comment ref="D227" authorId="0" shapeId="0" xr:uid="{00000000-0006-0000-0000-000012000000}">
      <text>
        <r>
          <rPr>
            <sz val="10"/>
            <rFont val="Arial"/>
            <family val="2"/>
          </rPr>
          <t>Company wording: Stock option expense: $0.12/sh × 36.2m diluted shares</t>
        </r>
      </text>
    </comment>
    <comment ref="AF228" authorId="0" shapeId="0" xr:uid="{00000000-0006-0000-0000-00001D000000}">
      <text>
        <r>
          <rPr>
            <sz val="10"/>
            <rFont val="Arial"/>
            <family val="2"/>
          </rPr>
          <t>Company wording: e2v funds-certain bank bridge facility commitment expense: 0.5 | e2v funds-certain bank bridge facility commitment expense: 0.5</t>
        </r>
      </text>
    </comment>
    <comment ref="AG228" authorId="0" shapeId="0" xr:uid="{00000000-0006-0000-0000-000025000000}">
      <text>
        <r>
          <rPr>
            <sz val="10"/>
            <rFont val="Arial"/>
            <family val="2"/>
          </rPr>
          <t>Company wording: e2v funds-certain bank bridge facility commitment expense: 0.5 | e2v funds-certain bank bridge facility commitment expense: 0.5</t>
        </r>
      </text>
    </comment>
    <comment ref="AH228" authorId="0" shapeId="0" xr:uid="{00000000-0006-0000-0000-00002F000000}">
      <text>
        <r>
          <rPr>
            <sz val="10"/>
            <rFont val="Arial"/>
            <family val="2"/>
          </rPr>
          <t>Company wording: e2v funds-certain bank bridge facility commitment expense: 2.3</t>
        </r>
      </text>
    </comment>
    <comment ref="AM228" authorId="0" shapeId="0" xr:uid="{00000000-0006-0000-0000-00004F000000}">
      <text>
        <r>
          <rPr>
            <sz val="10"/>
            <rFont val="Arial"/>
            <family val="2"/>
          </rPr>
          <t>Company wording: e2v funds-certain bank bridge facility commitment expense: 2.3</t>
        </r>
      </text>
    </comment>
    <comment ref="BF228" authorId="0" shapeId="0" xr:uid="{00000000-0006-0000-0000-00006F000000}">
      <text>
        <r>
          <rPr>
            <sz val="10"/>
            <rFont val="Arial"/>
            <family val="2"/>
          </rPr>
          <t>Company wording: Bridge loan and debt extinguishment fees: 30.6</t>
        </r>
      </text>
    </comment>
    <comment ref="BK228" authorId="0" shapeId="0" xr:uid="{00000000-0006-0000-0000-00009B000000}">
      <text>
        <r>
          <rPr>
            <sz val="10"/>
            <rFont val="Arial"/>
            <family val="2"/>
          </rPr>
          <t>Company wording: Bridge loan and debt extinguishment fees: 30.6</t>
        </r>
      </text>
    </comment>
    <comment ref="C229" authorId="0" shapeId="0" xr:uid="{00000000-0006-0000-0000-00000D000000}">
      <text>
        <r>
          <rPr>
            <sz val="10"/>
            <rFont val="Arial"/>
            <family val="2"/>
          </rPr>
          <t>Company wording: Per-share rounding residual -0.1</t>
        </r>
      </text>
    </comment>
    <comment ref="AB229" authorId="0" shapeId="0" xr:uid="{00000000-0006-0000-0000-000016000000}">
      <text>
        <r>
          <rPr>
            <sz val="10"/>
            <rFont val="Arial"/>
            <family val="2"/>
          </rPr>
          <t>Company wording: Per-share rounding residual 0.1</t>
        </r>
      </text>
    </comment>
    <comment ref="AF229" authorId="0" shapeId="0" xr:uid="{00000000-0006-0000-0000-00001E000000}">
      <text>
        <r>
          <rPr>
            <sz val="10"/>
            <rFont val="Arial"/>
            <family val="2"/>
          </rPr>
          <t>Company wording: Per-share rounding residual 2.3</t>
        </r>
      </text>
    </comment>
    <comment ref="AG229" authorId="0" shapeId="0" xr:uid="{00000000-0006-0000-0000-000026000000}">
      <text>
        <r>
          <rPr>
            <sz val="10"/>
            <rFont val="Arial"/>
            <family val="2"/>
          </rPr>
          <t>Company wording: Per-share rounding residual 1.8</t>
        </r>
      </text>
    </comment>
    <comment ref="AH229" authorId="0" shapeId="0" xr:uid="{00000000-0006-0000-0000-000030000000}">
      <text>
        <r>
          <rPr>
            <sz val="10"/>
            <rFont val="Arial"/>
            <family val="2"/>
          </rPr>
          <t>Company wording: Per-share rounding residual -0.1</t>
        </r>
      </text>
    </comment>
    <comment ref="AK229" authorId="0" shapeId="0" xr:uid="{00000000-0006-0000-0000-00003F000000}">
      <text>
        <r>
          <rPr>
            <sz val="10"/>
            <rFont val="Arial"/>
            <family val="2"/>
          </rPr>
          <t>Company wording: Per-share rounding residual 0.2</t>
        </r>
      </text>
    </comment>
    <comment ref="AM229" authorId="0" shapeId="0" xr:uid="{00000000-0006-0000-0000-000050000000}">
      <text>
        <r>
          <rPr>
            <sz val="10"/>
            <rFont val="Arial"/>
            <family val="2"/>
          </rPr>
          <t>Company wording: Per-share rounding residual -0.1</t>
        </r>
      </text>
    </comment>
    <comment ref="AF230" authorId="0" shapeId="0" xr:uid="{00000000-0006-0000-0000-00001F000000}">
      <text>
        <r>
          <rPr>
            <sz val="10"/>
            <rFont val="Arial"/>
            <family val="2"/>
          </rPr>
          <t>Company wording: Income tax effect of the above (derived: 7.9 x 27.5%; published per-share items are already net of $0.06/share tax): -2.2 | Income tax effect (company: adjustments shown net of income taxes of $0.06 per diluted share, based on a 27.5% rate); memo only - per-share items above are already after tax: $-0.06/sh × 35.9m diluted shares</t>
        </r>
      </text>
    </comment>
    <comment ref="AG230" authorId="0" shapeId="0" xr:uid="{00000000-0006-0000-0000-000027000000}">
      <text>
        <r>
          <rPr>
            <sz val="10"/>
            <rFont val="Arial"/>
            <family val="2"/>
          </rPr>
          <t>Company wording: Income tax effect of the above (derived: 7.9 x 27.5%; published per-share items are already net of $0.06/share tax): -2.2 | Income tax effect (company: adjustments shown net of income taxes of $0.06 per diluted share, based on a 27.5% rate); memo only - per-share items above are already after tax: $-0.06/sh × 35.5m diluted shares</t>
        </r>
      </text>
    </comment>
    <comment ref="AH230" authorId="0" shapeId="0" xr:uid="{00000000-0006-0000-0000-000031000000}">
      <text>
        <r>
          <rPr>
            <sz val="10"/>
            <rFont val="Arial"/>
            <family val="2"/>
          </rPr>
          <t>Company wording: Income tax effect (company: adjustments shown net of income taxes of $0.17 per diluted share); memo only - per-share items above are already after tax: $-0.17/sh × 36.1m diluted shares</t>
        </r>
      </text>
    </comment>
    <comment ref="AI230" authorId="0" shapeId="0" xr:uid="{00000000-0006-0000-0000-000038000000}">
      <text>
        <r>
          <rPr>
            <sz val="10"/>
            <rFont val="Arial"/>
            <family val="2"/>
          </rPr>
          <t>Company wording: Income tax effect (company: adjustments shown net of income taxes of $0.03 per diluted share, based on a 27.4% rate); memo only - per-share items above are already after tax: $-0.03/sh × 36.2m diluted shares</t>
        </r>
      </text>
    </comment>
    <comment ref="AK230" authorId="0" shapeId="0" xr:uid="{00000000-0006-0000-0000-000040000000}">
      <text>
        <r>
          <rPr>
            <sz val="10"/>
            <rFont val="Arial"/>
            <family val="2"/>
          </rPr>
          <t>Company wording: Income tax effect (company: adjustments shown net of income taxes of $0.02 per diluted share, based on a 27.7% rate); memo only - per-share items above are already after tax: $-0.02/sh × 36.4m diluted shares</t>
        </r>
      </text>
    </comment>
    <comment ref="AL230" authorId="0" shapeId="0" xr:uid="{00000000-0006-0000-0000-000046000000}">
      <text>
        <r>
          <rPr>
            <sz val="10"/>
            <rFont val="Arial"/>
            <family val="2"/>
          </rPr>
          <t>Company wording: Income tax effect (company: adjustments shown net of income taxes of $0.01 per diluted share, based on a 24.9% rate); memo only - per-share items above are already after tax: $0.01/sh × 36.7m diluted shares</t>
        </r>
      </text>
    </comment>
    <comment ref="AM230" authorId="0" shapeId="0" xr:uid="{00000000-0006-0000-0000-000051000000}">
      <text>
        <r>
          <rPr>
            <sz val="10"/>
            <rFont val="Arial"/>
            <family val="2"/>
          </rPr>
          <t>Company wording: Income tax effect (company: adjustments shown net of income taxes of $0.20 per diluted share, based on a 26.8% rate); memo only - per-share items above are already after tax: $-0.20/sh × 36.3m diluted shares</t>
        </r>
      </text>
    </comment>
    <comment ref="AZ230" authorId="0" shapeId="0" xr:uid="{00000000-0006-0000-0000-000059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column): -2.3</t>
        </r>
      </text>
    </comment>
    <comment ref="BA230" authorId="0" shapeId="0" xr:uid="{00000000-0006-0000-0000-00005D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column): -2.3</t>
        </r>
      </text>
    </comment>
    <comment ref="BC230" authorId="0" shapeId="0" xr:uid="{00000000-0006-0000-0000-000060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column): -2.3</t>
        </r>
      </text>
    </comment>
    <comment ref="BD230" authorId="0" shapeId="0" xr:uid="{00000000-0006-0000-0000-000063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column): -2.2</t>
        </r>
      </text>
    </comment>
    <comment ref="BE230" authorId="0" shapeId="0" xr:uid="{00000000-0006-0000-0000-000067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column): -9.1</t>
        </r>
      </text>
    </comment>
    <comment ref="BF230" authorId="0" shapeId="0" xr:uid="{00000000-0006-0000-0000-000070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-9.7</t>
        </r>
      </text>
    </comment>
    <comment ref="BG230" authorId="0" shapeId="0" xr:uid="{00000000-0006-0000-0000-00007A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-26.8</t>
        </r>
      </text>
    </comment>
    <comment ref="BI230" authorId="0" shapeId="0" xr:uid="{00000000-0006-0000-0000-000084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-20.9</t>
        </r>
      </text>
    </comment>
    <comment ref="BJ230" authorId="0" shapeId="0" xr:uid="{00000000-0006-0000-0000-00008F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-23.0</t>
        </r>
      </text>
    </comment>
    <comment ref="BK230" authorId="0" shapeId="0" xr:uid="{00000000-0006-0000-0000-00009C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-80.4</t>
        </r>
      </text>
    </comment>
    <comment ref="BL230" authorId="0" shapeId="0" xr:uid="{00000000-0006-0000-0000-0000A1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-12.3</t>
        </r>
      </text>
    </comment>
    <comment ref="BM230" authorId="0" shapeId="0" xr:uid="{00000000-0006-0000-0000-0000A5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-11.9</t>
        </r>
      </text>
    </comment>
    <comment ref="BO230" authorId="0" shapeId="0" xr:uid="{00000000-0006-0000-0000-0000A9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-11.5</t>
        </r>
      </text>
    </comment>
    <comment ref="BP230" authorId="0" shapeId="0" xr:uid="{00000000-0006-0000-0000-0000B1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-10.1</t>
        </r>
      </text>
    </comment>
    <comment ref="BQ230" authorId="0" shapeId="0" xr:uid="{00000000-0006-0000-0000-0000B8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-45.8</t>
        </r>
      </text>
    </comment>
    <comment ref="BR230" authorId="0" shapeId="0" xr:uid="{00000000-0006-0000-0000-0000BC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-11.5</t>
        </r>
      </text>
    </comment>
    <comment ref="BS230" authorId="0" shapeId="0" xr:uid="{00000000-0006-0000-0000-0000C0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-11.3</t>
        </r>
      </text>
    </comment>
    <comment ref="BU230" authorId="0" shapeId="0" xr:uid="{00000000-0006-0000-0000-0000C8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-12.6</t>
        </r>
      </text>
    </comment>
    <comment ref="BV230" authorId="0" shapeId="0" xr:uid="{00000000-0006-0000-0000-0000D0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-12.0</t>
        </r>
      </text>
    </comment>
    <comment ref="BW230" authorId="0" shapeId="0" xr:uid="{00000000-0006-0000-0000-0000D7000000}">
      <text>
        <r>
          <rPr>
            <sz val="10"/>
            <rFont val="Arial"/>
            <family val="2"/>
          </rPr>
          <t>Company wording: Income tax effect of pre-tax adjustments (derived: 'Net income' column less 'Income before income taxes' column, summed over pre-tax items): -47.4</t>
        </r>
      </text>
    </comment>
    <comment ref="BX230" authorId="0" shapeId="0" xr:uid="{00000000-0006-0000-0000-0000E000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-12.1</t>
        </r>
      </text>
    </comment>
    <comment ref="BY230" authorId="0" shapeId="0" xr:uid="{00000000-0006-0000-0000-0000E900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-11.8</t>
        </r>
      </text>
    </comment>
    <comment ref="CA230" authorId="0" shapeId="0" xr:uid="{00000000-0006-0000-0000-0000F200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-12.5</t>
        </r>
      </text>
    </comment>
    <comment ref="CB230" authorId="0" shapeId="0" xr:uid="{00000000-0006-0000-0000-0000FF00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-24.7</t>
        </r>
      </text>
    </comment>
    <comment ref="CC230" authorId="0" shapeId="0" xr:uid="{00000000-0006-0000-0000-00000C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-61.1</t>
        </r>
      </text>
    </comment>
    <comment ref="CD230" authorId="0" shapeId="0" xr:uid="{00000000-0006-0000-0000-000017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-14.0</t>
        </r>
      </text>
    </comment>
    <comment ref="CE230" authorId="0" shapeId="0" xr:uid="{00000000-0006-0000-0000-000022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-13.6</t>
        </r>
      </text>
    </comment>
    <comment ref="CG230" authorId="0" shapeId="0" xr:uid="{00000000-0006-0000-0000-00002C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-13.6</t>
        </r>
      </text>
    </comment>
    <comment ref="CH230" authorId="0" shapeId="0" xr:uid="{00000000-0006-0000-0000-000038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-13.2</t>
        </r>
      </text>
    </comment>
    <comment ref="CI230" authorId="0" shapeId="0" xr:uid="{00000000-0006-0000-0000-000044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-54.4</t>
        </r>
      </text>
    </comment>
    <comment ref="CJ230" authorId="0" shapeId="0" xr:uid="{00000000-0006-0000-0000-00004D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-13.7</t>
        </r>
      </text>
    </comment>
    <comment ref="CK230" authorId="0" shapeId="0" xr:uid="{00000000-0006-0000-0000-000056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-13.1</t>
        </r>
      </text>
    </comment>
    <comment ref="CL230" authorId="0" shapeId="0" xr:uid="{00000000-0006-0000-0000-00005F010000}">
      <text>
        <r>
          <rPr>
            <sz val="10"/>
            <rFont val="Arial"/>
            <family val="2"/>
          </rPr>
          <t>Company wording: Income tax effect of specified pre-tax items (derived: company after-tax amounts less pre-tax amounts): -26.8</t>
        </r>
      </text>
    </comment>
    <comment ref="C231" authorId="0" shapeId="0" xr:uid="{00000000-0006-0000-0000-00000E000000}">
      <text>
        <r>
          <rPr>
            <sz val="10"/>
            <rFont val="Arial"/>
            <family val="2"/>
          </rPr>
          <t>Company wording: Income tax benefit (reversal of income tax contingency reserves): $-0.09/sh × 35.5m diluted shares</t>
        </r>
      </text>
    </comment>
    <comment ref="D231" authorId="0" shapeId="0" xr:uid="{00000000-0006-0000-0000-000013000000}">
      <text>
        <r>
          <rPr>
            <sz val="10"/>
            <rFont val="Arial"/>
            <family val="2"/>
          </rPr>
          <t>Company wording: Income tax benefit (R&amp;D tax credits $4.4m + reversal of tax contingency reserves $1.1m): $-0.15/sh × 36.2m diluted shares</t>
        </r>
      </text>
    </comment>
    <comment ref="AL231" authorId="0" shapeId="0" xr:uid="{00000000-0006-0000-0000-000047000000}">
      <text>
        <r>
          <rPr>
            <sz val="10"/>
            <rFont val="Arial"/>
            <family val="2"/>
          </rPr>
          <t>Company wording: Tax Cuts and Jobs Act repatriation tax and other impacts: 4.7</t>
        </r>
      </text>
    </comment>
    <comment ref="AM231" authorId="0" shapeId="0" xr:uid="{00000000-0006-0000-0000-000052000000}">
      <text>
        <r>
          <rPr>
            <sz val="10"/>
            <rFont val="Arial"/>
            <family val="2"/>
          </rPr>
          <t>Company wording: Tax Cuts and Jobs Act repatriation tax and other impacts: 4.7</t>
        </r>
      </text>
    </comment>
    <comment ref="BG231" authorId="0" shapeId="0" xr:uid="{00000000-0006-0000-0000-00007B000000}">
      <text>
        <r>
          <rPr>
            <sz val="10"/>
            <rFont val="Arial"/>
            <family val="2"/>
          </rPr>
          <t>Company wording: Acquisition-related tax matters: 12.4</t>
        </r>
      </text>
    </comment>
    <comment ref="BI231" authorId="0" shapeId="0" xr:uid="{00000000-0006-0000-0000-000085000000}">
      <text>
        <r>
          <rPr>
            <sz val="10"/>
            <rFont val="Arial"/>
            <family val="2"/>
          </rPr>
          <t>Company wording: Acquisition-related tax matters: 1.7</t>
        </r>
      </text>
    </comment>
    <comment ref="BJ231" authorId="0" shapeId="0" xr:uid="{00000000-0006-0000-0000-000090000000}">
      <text>
        <r>
          <rPr>
            <sz val="10"/>
            <rFont val="Arial"/>
            <family val="2"/>
          </rPr>
          <t>Company wording: Acquisition-related tax matters: -21.4</t>
        </r>
      </text>
    </comment>
    <comment ref="BK231" authorId="0" shapeId="0" xr:uid="{00000000-0006-0000-0000-00009D000000}">
      <text>
        <r>
          <rPr>
            <sz val="10"/>
            <rFont val="Arial"/>
            <family val="2"/>
          </rPr>
          <t>Company wording: Acquisition-related tax matters: -7.3</t>
        </r>
      </text>
    </comment>
    <comment ref="BL231" authorId="0" shapeId="0" xr:uid="{00000000-0006-0000-0000-0000A2000000}">
      <text>
        <r>
          <rPr>
            <sz val="10"/>
            <rFont val="Arial"/>
            <family val="2"/>
          </rPr>
          <t>Company wording: Acquisition-related tax matters: -50.0</t>
        </r>
      </text>
    </comment>
    <comment ref="BM231" authorId="0" shapeId="0" xr:uid="{00000000-0006-0000-0000-0000A6000000}">
      <text>
        <r>
          <rPr>
            <sz val="10"/>
            <rFont val="Arial"/>
            <family val="2"/>
          </rPr>
          <t>Company wording: Acquisition-related tax matters: 0.6</t>
        </r>
      </text>
    </comment>
    <comment ref="BO231" authorId="0" shapeId="0" xr:uid="{00000000-0006-0000-0000-0000AA000000}">
      <text>
        <r>
          <rPr>
            <sz val="10"/>
            <rFont val="Arial"/>
            <family val="2"/>
          </rPr>
          <t>Company wording: Acquisition-related tax matters: 0.8</t>
        </r>
      </text>
    </comment>
    <comment ref="BP231" authorId="0" shapeId="0" xr:uid="{00000000-0006-0000-0000-0000B2000000}">
      <text>
        <r>
          <rPr>
            <sz val="10"/>
            <rFont val="Arial"/>
            <family val="2"/>
          </rPr>
          <t>Company wording: Acquisition-related tax matters: -24.1</t>
        </r>
      </text>
    </comment>
    <comment ref="BQ231" authorId="0" shapeId="0" xr:uid="{00000000-0006-0000-0000-0000B9000000}">
      <text>
        <r>
          <rPr>
            <sz val="10"/>
            <rFont val="Arial"/>
            <family val="2"/>
          </rPr>
          <t>Company wording: Acquisition-related tax matters: -72.7</t>
        </r>
      </text>
    </comment>
    <comment ref="BR231" authorId="0" shapeId="0" xr:uid="{00000000-0006-0000-0000-0000BD000000}">
      <text>
        <r>
          <rPr>
            <sz val="10"/>
            <rFont val="Arial"/>
            <family val="2"/>
          </rPr>
          <t>Company wording: Acquisition-related tax matters: 0.3</t>
        </r>
      </text>
    </comment>
    <comment ref="BS231" authorId="0" shapeId="0" xr:uid="{00000000-0006-0000-0000-0000C1000000}">
      <text>
        <r>
          <rPr>
            <sz val="10"/>
            <rFont val="Arial"/>
            <family val="2"/>
          </rPr>
          <t>Company wording: FLIR acquisition-related tax matters: 0.4</t>
        </r>
      </text>
    </comment>
    <comment ref="BU231" authorId="0" shapeId="0" xr:uid="{00000000-0006-0000-0000-0000C9000000}">
      <text>
        <r>
          <rPr>
            <sz val="10"/>
            <rFont val="Arial"/>
            <family val="2"/>
          </rPr>
          <t>Company wording: FLIR acquisition-related tax matters: 1.0</t>
        </r>
      </text>
    </comment>
    <comment ref="BV231" authorId="0" shapeId="0" xr:uid="{00000000-0006-0000-0000-0000D1000000}">
      <text>
        <r>
          <rPr>
            <sz val="10"/>
            <rFont val="Arial"/>
            <family val="2"/>
          </rPr>
          <t>Company wording: FLIR acquisition-related tax matters: -102.2</t>
        </r>
      </text>
    </comment>
    <comment ref="BW231" authorId="0" shapeId="0" xr:uid="{00000000-0006-0000-0000-0000D8000000}">
      <text>
        <r>
          <rPr>
            <sz val="10"/>
            <rFont val="Arial"/>
            <family val="2"/>
          </rPr>
          <t>Company wording: FLIR acquisition-related tax matters: -100.5</t>
        </r>
      </text>
    </comment>
    <comment ref="BX231" authorId="0" shapeId="0" xr:uid="{00000000-0006-0000-0000-0000E1000000}">
      <text>
        <r>
          <rPr>
            <sz val="10"/>
            <rFont val="Arial"/>
            <family val="2"/>
          </rPr>
          <t>Company wording: FLIR acquisition-related tax matters: 0.3</t>
        </r>
      </text>
    </comment>
    <comment ref="BY231" authorId="0" shapeId="0" xr:uid="{00000000-0006-0000-0000-0000EA000000}">
      <text>
        <r>
          <rPr>
            <sz val="10"/>
            <rFont val="Arial"/>
            <family val="2"/>
          </rPr>
          <t>Company wording: FLIR acquisition-related tax matters: 0.2</t>
        </r>
      </text>
    </comment>
    <comment ref="CA231" authorId="0" shapeId="0" xr:uid="{00000000-0006-0000-0000-0000F3000000}">
      <text>
        <r>
          <rPr>
            <sz val="10"/>
            <rFont val="Arial"/>
            <family val="2"/>
          </rPr>
          <t>Company wording: FLIR acquisition-related tax matters: -61.7</t>
        </r>
      </text>
    </comment>
    <comment ref="CB231" authorId="0" shapeId="0" xr:uid="{00000000-0006-0000-0000-000000010000}">
      <text>
        <r>
          <rPr>
            <sz val="10"/>
            <rFont val="Arial"/>
            <family val="2"/>
          </rPr>
          <t>Company wording: FLIR acquisition-related tax matters: -16.6</t>
        </r>
      </text>
    </comment>
    <comment ref="CC231" authorId="0" shapeId="0" xr:uid="{00000000-0006-0000-0000-00000D010000}">
      <text>
        <r>
          <rPr>
            <sz val="10"/>
            <rFont val="Arial"/>
            <family val="2"/>
          </rPr>
          <t>Company wording: FLIR acquisition-related tax matters: -77.8</t>
        </r>
      </text>
    </comment>
    <comment ref="CD231" authorId="0" shapeId="0" xr:uid="{00000000-0006-0000-0000-000018010000}">
      <text>
        <r>
          <rPr>
            <sz val="10"/>
            <rFont val="Arial"/>
            <family val="2"/>
          </rPr>
          <t>Company wording: FLIR acquisition-related tax matters: 0.0</t>
        </r>
      </text>
    </comment>
    <comment ref="CE231" authorId="0" shapeId="0" xr:uid="{00000000-0006-0000-0000-000023010000}">
      <text>
        <r>
          <rPr>
            <sz val="10"/>
            <rFont val="Arial"/>
            <family val="2"/>
          </rPr>
          <t>Company wording: FLIR acquisition-related tax matters: -7.7</t>
        </r>
      </text>
    </comment>
    <comment ref="CG231" authorId="0" shapeId="0" xr:uid="{00000000-0006-0000-0000-00002D010000}">
      <text>
        <r>
          <rPr>
            <sz val="10"/>
            <rFont val="Arial"/>
            <family val="2"/>
          </rPr>
          <t>Company wording: FLIR acquisition-related tax matters: 0.2</t>
        </r>
      </text>
    </comment>
    <comment ref="CH231" authorId="0" shapeId="0" xr:uid="{00000000-0006-0000-0000-000039010000}">
      <text>
        <r>
          <rPr>
            <sz val="10"/>
            <rFont val="Arial"/>
            <family val="2"/>
          </rPr>
          <t>Company wording: FLIR acquisition-related tax matters: -20.8</t>
        </r>
      </text>
    </comment>
    <comment ref="CI231" authorId="0" shapeId="0" xr:uid="{00000000-0006-0000-0000-000045010000}">
      <text>
        <r>
          <rPr>
            <sz val="10"/>
            <rFont val="Arial"/>
            <family val="2"/>
          </rPr>
          <t>Company wording: FLIR acquisition-related tax matters: -28.3</t>
        </r>
      </text>
    </comment>
    <comment ref="CJ231" authorId="0" shapeId="0" xr:uid="{00000000-0006-0000-0000-00004E010000}">
      <text>
        <r>
          <rPr>
            <sz val="10"/>
            <rFont val="Arial"/>
            <family val="2"/>
          </rPr>
          <t>Company wording: FLIR acquisition-related tax matters: 0.5</t>
        </r>
      </text>
    </comment>
    <comment ref="CK231" authorId="0" shapeId="0" xr:uid="{00000000-0006-0000-0000-000057010000}">
      <text>
        <r>
          <rPr>
            <sz val="10"/>
            <rFont val="Arial"/>
            <family val="2"/>
          </rPr>
          <t>Company wording: FLIR acquisition-related tax matters: -0.5</t>
        </r>
      </text>
    </comment>
    <comment ref="CL231" authorId="0" shapeId="0" xr:uid="{00000000-0006-0000-0000-000060010000}">
      <text>
        <r>
          <rPr>
            <sz val="10"/>
            <rFont val="Arial"/>
            <family val="2"/>
          </rPr>
          <t>Company wording: FLIR acquisition-related tax matters: 0.0</t>
        </r>
      </text>
    </comment>
    <comment ref="C233" authorId="0" shapeId="0" xr:uid="{00000000-0006-0000-0000-00000F000000}">
      <text>
        <r>
          <rPr>
            <sz val="10"/>
            <rFont val="Arial"/>
            <family val="2"/>
          </rPr>
          <t>Company wording: Published non-GAAP EPS $2.36 × 35.5m diluted shares (no $m figure published)</t>
        </r>
      </text>
    </comment>
    <comment ref="D233" authorId="0" shapeId="0" xr:uid="{00000000-0006-0000-0000-000014000000}">
      <text>
        <r>
          <rPr>
            <sz val="10"/>
            <rFont val="Arial"/>
            <family val="2"/>
          </rPr>
          <t>Company wording: Published non-GAAP EPS $2.72 × 36.2m diluted shares (no $m figure published)</t>
        </r>
      </text>
    </comment>
    <comment ref="AB233" authorId="0" shapeId="0" xr:uid="{00000000-0006-0000-0000-000017000000}">
      <text>
        <r>
          <rPr>
            <sz val="10"/>
            <rFont val="Arial"/>
            <family val="2"/>
          </rPr>
          <t>Company wording: Published non-GAAP EPS $1.11 × 35.2m diluted shares (no $m figure published)</t>
        </r>
      </text>
    </comment>
    <comment ref="AC233" authorId="0" shapeId="0" xr:uid="{00000000-0006-0000-0000-000018000000}">
      <text>
        <r>
          <rPr>
            <sz val="10"/>
            <rFont val="Arial"/>
            <family val="2"/>
          </rPr>
          <t>Company wording: Published non-GAAP EPS $1.33 × 35.3m diluted shares (no $m figure published)</t>
        </r>
      </text>
    </comment>
    <comment ref="AE233" authorId="0" shapeId="0" xr:uid="{00000000-0006-0000-0000-000019000000}">
      <text>
        <r>
          <rPr>
            <sz val="10"/>
            <rFont val="Arial"/>
            <family val="2"/>
          </rPr>
          <t>Company wording: Published non-GAAP EPS $1.46 × 35.6m diluted shares (no $m figure published)</t>
        </r>
      </text>
    </comment>
    <comment ref="AF233" authorId="0" shapeId="0" xr:uid="{00000000-0006-0000-0000-000020000000}">
      <text>
        <r>
          <rPr>
            <sz val="10"/>
            <rFont val="Arial"/>
            <family val="2"/>
          </rPr>
          <t>Company wording: Published non-GAAP EPS $1.64 × 35.9m diluted shares (no $m figure published) | Published non-GAAP EPS $1.64 × 35.9m diluted shares (no $m figure published)</t>
        </r>
      </text>
    </comment>
    <comment ref="AG233" authorId="0" shapeId="0" xr:uid="{00000000-0006-0000-0000-000028000000}">
      <text>
        <r>
          <rPr>
            <sz val="10"/>
            <rFont val="Arial"/>
            <family val="2"/>
          </rPr>
          <t>Company wording: Published non-GAAP EPS $5.53 × 35.5m diluted shares (no $m figure published) | Published non-GAAP EPS $5.53 × 35.5m diluted shares (no $m figure published)</t>
        </r>
      </text>
    </comment>
    <comment ref="AH233" authorId="0" shapeId="0" xr:uid="{00000000-0006-0000-0000-000032000000}">
      <text>
        <r>
          <rPr>
            <sz val="10"/>
            <rFont val="Arial"/>
            <family val="2"/>
          </rPr>
          <t>Company wording: Published non-GAAP EPS $1.26 × 36.1m diluted shares (no $m figure published)</t>
        </r>
      </text>
    </comment>
    <comment ref="AI233" authorId="0" shapeId="0" xr:uid="{00000000-0006-0000-0000-000039000000}">
      <text>
        <r>
          <rPr>
            <sz val="10"/>
            <rFont val="Arial"/>
            <family val="2"/>
          </rPr>
          <t>Company wording: Published non-GAAP EPS $1.74 × 36.2m diluted shares (no $m figure published)</t>
        </r>
      </text>
    </comment>
    <comment ref="AK233" authorId="0" shapeId="0" xr:uid="{00000000-0006-0000-0000-000041000000}">
      <text>
        <r>
          <rPr>
            <sz val="10"/>
            <rFont val="Arial"/>
            <family val="2"/>
          </rPr>
          <t>Company wording: Published non-GAAP EPS $1.96 × 36.4m diluted shares (no $m figure published)</t>
        </r>
      </text>
    </comment>
    <comment ref="AL233" authorId="0" shapeId="0" xr:uid="{00000000-0006-0000-0000-000048000000}">
      <text>
        <r>
          <rPr>
            <sz val="10"/>
            <rFont val="Arial"/>
            <family val="2"/>
          </rPr>
          <t>Company wording: Published non-GAAP EPS $1.95 × 36.7m diluted shares (no $m figure published)</t>
        </r>
      </text>
    </comment>
    <comment ref="AM233" authorId="0" shapeId="0" xr:uid="{00000000-0006-0000-0000-000053000000}">
      <text>
        <r>
          <rPr>
            <sz val="10"/>
            <rFont val="Arial"/>
            <family val="2"/>
          </rPr>
          <t>Company wording: Published non-GAAP EPS $6.93 × 36.3m diluted shares (no $m figure published)</t>
        </r>
      </text>
    </comment>
    <comment ref="C240" authorId="0" shapeId="0" xr:uid="{00000000-0006-0000-0000-000010000000}">
      <text>
        <r>
          <rPr>
            <sz val="10"/>
            <rFont val="Arial"/>
            <family val="2"/>
          </rPr>
          <t>Q4-2006 / Q4-2007 releases ('Earnings per share summary'): EPS excluding net pension expense (incl. CAS pension recovery), stock option expense and income tax benefits — 2006 $2.36, 2007 $2.72 (GAAP $2.26 / $2.72). Per-share reconciliation only: $m amounts here = per-share items × weighted diluted shares (flagged).</t>
        </r>
      </text>
    </comment>
    <comment ref="E240" authorId="0" shapeId="0" xr:uid="{00000000-0006-0000-0000-000015000000}">
      <text>
        <r>
          <rPr>
            <sz val="10"/>
            <rFont val="Arial"/>
            <family val="2"/>
          </rPr>
          <t>No adjusted EPS from 2008 to Q3-2016 (releases discussed discrete tax items and ex-discrete tax rates only).</t>
        </r>
      </text>
    </comment>
    <comment ref="AF240" authorId="0" shapeId="0" xr:uid="{00000000-0006-0000-0000-000021000000}">
      <text>
        <r>
          <rPr>
            <sz val="10"/>
            <rFont val="Arial"/>
            <family val="2"/>
          </rPr>
          <t>Q4-2016 release introduced EPS excluding e2v transaction costs, bridge-facility fees and FX option contract; 2017 'adjusted fully diluted EPS'. Per-share after-tax items only — $m at weighted diluted shares. Q2–Q3/17 do not exclude discrete tax benefits.</t>
        </r>
      </text>
    </comment>
    <comment ref="AG240" authorId="0" shapeId="0" xr:uid="{00000000-0006-0000-0000-000029000000}">
      <text>
        <r>
          <rPr>
            <sz val="10"/>
            <rFont val="Arial"/>
            <family val="2"/>
          </rPr>
          <t>FY2016 5.37 → 5.53 as re-presented in the Q4-2017 release.</t>
        </r>
      </text>
    </comment>
    <comment ref="AL240" authorId="0" shapeId="0" xr:uid="{00000000-0006-0000-0000-000049000000}">
      <text>
        <r>
          <rPr>
            <sz val="10"/>
            <rFont val="Arial"/>
            <family val="2"/>
          </rPr>
          <t>Q4/17 and FY2017 also exclude the $4.7m provisional US Tax Act charge.</t>
        </r>
      </text>
    </comment>
    <comment ref="AS240" authorId="0" shapeId="0" xr:uid="{00000000-0006-0000-0000-000055000000}">
      <text>
        <r>
          <rPr>
            <sz val="10"/>
            <rFont val="Arial"/>
            <family val="2"/>
          </rPr>
          <t>No adjusted EPS in 2018–2019 releases (Tax Act true-ups inside discrete tax items).</t>
        </r>
      </text>
    </comment>
    <comment ref="AZ240" authorId="0" shapeId="0" xr:uid="{00000000-0006-0000-0000-00005A000000}">
      <text>
        <r>
          <rPr>
            <sz val="10"/>
            <rFont val="Arial"/>
            <family val="2"/>
          </rPr>
          <t>2020 comparatives (FLIR-era definition) first published in the 2021 releases; amortization the only item (tax effect derived from the company's after-tax amounts).</t>
        </r>
      </text>
    </comment>
    <comment ref="BE240" authorId="0" shapeId="0" xr:uid="{00000000-0006-0000-0000-000068000000}">
      <text>
        <r>
          <rPr>
            <sz val="10"/>
            <rFont val="Arial"/>
            <family val="2"/>
          </rPr>
          <t>FY2020 non-GAAP NI 431.6, EPS $11.41.</t>
        </r>
      </text>
    </comment>
    <comment ref="BF240" authorId="0" shapeId="0" xr:uid="{00000000-0006-0000-0000-000071000000}">
      <text>
        <r>
          <rPr>
            <sz val="10"/>
            <rFont val="Arial"/>
            <family val="2"/>
          </rPr>
          <t>Original Q1-21 'adjusted' EPS $3.02 excluded only FLIR transaction and debt costs; recast in the Q2-21 release to $3.19 incl. all acquired-intangible amortization. Bridge shows pre-tax items with the tax effect derived from the company's after-tax column.</t>
        </r>
      </text>
    </comment>
    <comment ref="BI240" authorId="0" shapeId="0" xr:uid="{00000000-0006-0000-0000-000086000000}">
      <text>
        <r>
          <rPr>
            <sz val="10"/>
            <rFont val="Arial"/>
            <family val="2"/>
          </rPr>
          <t>Q3-21: interest on FLIR income-tax reserves and the UK deferred-tax remeasurement grouped as a tax item.</t>
        </r>
      </text>
    </comment>
    <comment ref="BJ240" authorId="0" shapeId="0" xr:uid="{00000000-0006-0000-0000-000091000000}">
      <text>
        <r>
          <rPr>
            <sz val="10"/>
            <rFont val="Arial"/>
            <family val="2"/>
          </rPr>
          <t>Q4-21: tax benefits / costs from settlement or resolution of FLIR tax reserves added (Q4/21 −21.4).</t>
        </r>
      </text>
    </comment>
    <comment ref="BK240" authorId="0" shapeId="0" xr:uid="{00000000-0006-0000-0000-00009E000000}">
      <text>
        <r>
          <rPr>
            <sz val="10"/>
            <rFont val="Arial"/>
            <family val="2"/>
          </rPr>
          <t>FY2021 non-GAAP EPS $16.86.</t>
        </r>
      </text>
    </comment>
    <comment ref="BU240" authorId="0" shapeId="0" xr:uid="{00000000-0006-0000-0000-0000CA000000}">
      <text>
        <r>
          <rPr>
            <sz val="10"/>
            <rFont val="Arial"/>
            <family val="2"/>
          </rPr>
          <t>'FLIR integration costs' added</t>
        </r>
      </text>
    </comment>
    <comment ref="CB240" authorId="0" shapeId="0" xr:uid="{00000000-0006-0000-0000-000001010000}">
      <text>
        <r>
          <rPr>
            <sz val="10"/>
            <rFont val="Arial"/>
            <family val="2"/>
          </rPr>
          <t>Q4-24 release: non-cash trademark impairment excluded; 'FLIR acquisition-related tax matters' label.</t>
        </r>
      </text>
    </comment>
    <comment ref="CD240" authorId="0" shapeId="0" xr:uid="{00000000-0006-0000-0000-000019010000}">
      <text>
        <r>
          <rPr>
            <sz val="10"/>
            <rFont val="Arial"/>
            <family val="2"/>
          </rPr>
          <t>Inventory step-up excluded (Micropac / Excelitas A&amp;D)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26" authorId="0" shapeId="0" xr:uid="{00000000-0006-0000-0100-000001000000}">
      <text>
        <r>
          <rPr>
            <sz val="10"/>
            <rFont val="Arial"/>
            <family val="2"/>
          </rPr>
          <t>Bull P/E on non-GAAP EPS (company definition). Teledyne traded ~20–30x NTM non-GAAP EPS 2022–26 (≈25x at $615 on the FY26 outlook mid-point).</t>
        </r>
      </text>
    </comment>
  </commentList>
</comments>
</file>

<file path=xl/sharedStrings.xml><?xml version="1.0" encoding="utf-8"?>
<sst xmlns="http://schemas.openxmlformats.org/spreadsheetml/2006/main" count="996" uniqueCount="763">
  <si>
    <t>SCENARIO SWITCH ▼ (Bull / Base / Bear) — drives all scenario-linked forecast drivers</t>
  </si>
  <si>
    <t>Teledyne Technologies Incorporated (NYSE: TDY) — 3-Statement Financial Model</t>
  </si>
  <si>
    <t>Base</t>
  </si>
  <si>
    <t>US GAAP as reported · USD millions (per-share data in USD) · Source: Teledyne Forms 10-K / 10-Q and Form 8-K earnings releases (Ex. 99.1), SEC EDGAR CIK 0001094285 (investor-relations releases are the same documents as filed on EDGAR)</t>
  </si>
  <si>
    <t>Basis notes: 52/53-week fiscal year (FY2009, FY2015, FY2020 = 53 weeks). FY2006–07 include Teledyne Continental Motors (piston engines, sold Apr-2011; discontinued from the FY2010 10-K). Segments on the current four-segment basis from FY2008 (FY2010 10-K recast); FY2006–07 legacy segments shown as memo. ASU 2017-07 (2018) recast 2017; ASC 606 from 2018 (2017 not restated). FLIR from 14-May-2021. Q3/26E–Q4/26E = FY26 non-GAAP EPS outlook less 1H/26 actuals.</t>
  </si>
  <si>
    <t>Forecast</t>
  </si>
  <si>
    <t>Historical</t>
  </si>
  <si>
    <t>(USDm)</t>
  </si>
  <si>
    <t>Q1/13</t>
  </si>
  <si>
    <t>Q2/13</t>
  </si>
  <si>
    <t>1H/13</t>
  </si>
  <si>
    <t>Q3/13</t>
  </si>
  <si>
    <t>Q4/13</t>
  </si>
  <si>
    <t>Q1/14</t>
  </si>
  <si>
    <t>Q2/14</t>
  </si>
  <si>
    <t>1H/14</t>
  </si>
  <si>
    <t>Q3/14</t>
  </si>
  <si>
    <t>Q4/14</t>
  </si>
  <si>
    <t>Q1/15</t>
  </si>
  <si>
    <t>Q2/15</t>
  </si>
  <si>
    <t>1H/15</t>
  </si>
  <si>
    <t>Q3/15</t>
  </si>
  <si>
    <t>Q4/15</t>
  </si>
  <si>
    <t>Q1/16</t>
  </si>
  <si>
    <t>Q2/16</t>
  </si>
  <si>
    <t>1H/16</t>
  </si>
  <si>
    <t>Q3/16</t>
  </si>
  <si>
    <t>Q4/16</t>
  </si>
  <si>
    <t>Q1/17</t>
  </si>
  <si>
    <t>Q2/17</t>
  </si>
  <si>
    <t>1H/17</t>
  </si>
  <si>
    <t>Q3/17</t>
  </si>
  <si>
    <t>Q4/17</t>
  </si>
  <si>
    <t>Q1/18</t>
  </si>
  <si>
    <t>Q2/18</t>
  </si>
  <si>
    <t>1H/18</t>
  </si>
  <si>
    <t>Q3/18</t>
  </si>
  <si>
    <t>Q4/18</t>
  </si>
  <si>
    <t>Q1/19</t>
  </si>
  <si>
    <t>Q2/19</t>
  </si>
  <si>
    <t>1H/19</t>
  </si>
  <si>
    <t>Q3/19</t>
  </si>
  <si>
    <t>Q4/19</t>
  </si>
  <si>
    <t>Q1/20</t>
  </si>
  <si>
    <t>Q2/20</t>
  </si>
  <si>
    <t>1H/20</t>
  </si>
  <si>
    <t>Q3/20</t>
  </si>
  <si>
    <t>Q4/20</t>
  </si>
  <si>
    <t>Q1/21</t>
  </si>
  <si>
    <t>Q2/21</t>
  </si>
  <si>
    <t>1H/21</t>
  </si>
  <si>
    <t>Q3/21</t>
  </si>
  <si>
    <t>Q4/21</t>
  </si>
  <si>
    <t>Q1/22</t>
  </si>
  <si>
    <t>Q2/22</t>
  </si>
  <si>
    <t>1H/22</t>
  </si>
  <si>
    <t>Q3/22</t>
  </si>
  <si>
    <t>Q4/22</t>
  </si>
  <si>
    <t>Q1/23</t>
  </si>
  <si>
    <t>Q2/23</t>
  </si>
  <si>
    <t>1H/23</t>
  </si>
  <si>
    <t>Q3/23</t>
  </si>
  <si>
    <t>Q4/23</t>
  </si>
  <si>
    <t>Q1/24</t>
  </si>
  <si>
    <t>Q2/24</t>
  </si>
  <si>
    <t>1H/24</t>
  </si>
  <si>
    <t>Q3/24</t>
  </si>
  <si>
    <t>Q4/24</t>
  </si>
  <si>
    <t>Q1/25</t>
  </si>
  <si>
    <t>Q2/25</t>
  </si>
  <si>
    <t>1H/25</t>
  </si>
  <si>
    <t>Q3/25</t>
  </si>
  <si>
    <t>Q4/25</t>
  </si>
  <si>
    <t>Q1/26</t>
  </si>
  <si>
    <t>Q2/26</t>
  </si>
  <si>
    <t>1H/26</t>
  </si>
  <si>
    <t>Q3/26E</t>
  </si>
  <si>
    <t>Q4/26E</t>
  </si>
  <si>
    <t>2026E</t>
  </si>
  <si>
    <t>2027E</t>
  </si>
  <si>
    <t>2028E</t>
  </si>
  <si>
    <t>2029E</t>
  </si>
  <si>
    <t>2030E</t>
  </si>
  <si>
    <t>Modelling Notes</t>
  </si>
  <si>
    <t>5Y CAGR</t>
  </si>
  <si>
    <t>10Y CAGR</t>
  </si>
  <si>
    <t>19Y CAGR</t>
  </si>
  <si>
    <t>25-'30</t>
  </si>
  <si>
    <t>20-'25</t>
  </si>
  <si>
    <t>15-'25</t>
  </si>
  <si>
    <t>06-'25</t>
  </si>
  <si>
    <t>SEGMENT P&amp;L — BY SEGMENT (four reportable segments; current basis from FY2008)</t>
  </si>
  <si>
    <t>SEGMENT BUILD — modelling logic (segment sales → GAAP OI → non-GAAP OI)</t>
  </si>
  <si>
    <t>SCENARIO INPUT TABLE — driver assumptions per Bull / Base / Bear</t>
  </si>
  <si>
    <t>Bull</t>
  </si>
  <si>
    <t>Bear</t>
  </si>
  <si>
    <t>Bull / Bear = Base + Δ (Δ inputs on each block header). Outlook block = high / mid / low end of FY26 ranges.</t>
  </si>
  <si>
    <t>Digital Imaging (infrared / visible / X-ray sensors, cameras &amp; systems; FLIR from 14-May-2021)</t>
  </si>
  <si>
    <t>DIGITAL IMAGING — modelling logic</t>
  </si>
  <si>
    <t xml:space="preserve">  Net sales</t>
  </si>
  <si>
    <t>Q3/26E–Q4/26E: prior-year quarter × Q2/26 y/y growth of the segment (after the Excelitas A&amp;D anniversary). 2027E+: prior year × (1 + scenario organic growth).</t>
  </si>
  <si>
    <t>FY26 outlook — Q2-26 release (22-Jul-26)</t>
  </si>
  <si>
    <t>High</t>
  </si>
  <si>
    <t>Mid</t>
  </si>
  <si>
    <t>Low</t>
  </si>
  <si>
    <t xml:space="preserve">  Net sales y/y %</t>
  </si>
  <si>
    <t>2027E–2030E: scenario lever (DI_organicGrowth, Bull/Base/Bear table →).</t>
  </si>
  <si>
    <t xml:space="preserve">  FY26 non-GAAP diluted EPS ($)</t>
  </si>
  <si>
    <t xml:space="preserve">  Segment operating income (GAAP)</t>
  </si>
  <si>
    <t>Forecast GAAP OI = non-GAAP OI − acquired-intangible amortization − other items.</t>
  </si>
  <si>
    <t xml:space="preserve">  Q3/26 non-GAAP diluted EPS ($)</t>
  </si>
  <si>
    <t xml:space="preserve">  (+) Acquired intangible asset amortization</t>
  </si>
  <si>
    <t>Disclosed by segment from Q1/21. Forecast = amortization of existing intangibles (10-K schedule) × 1H/26 segment share.</t>
  </si>
  <si>
    <t xml:space="preserve">  FY26 GAAP diluted EPS ($, memo)</t>
  </si>
  <si>
    <t xml:space="preserve">  (+) Other segment non-GAAP items (inventory step-up, transaction costs)</t>
  </si>
  <si>
    <t>FY26 point estimates (all cases)</t>
  </si>
  <si>
    <t>Not guided — analyst estimates: tax rate ≈ 1H/26 ETR before discrete items (Q2-26 21.7%); capex ≈ 2% of sales (FY25 $117m).</t>
  </si>
  <si>
    <t xml:space="preserve">  Non-GAAP segment operating income</t>
  </si>
  <si>
    <t>Company non-GAAP measure from Q1/21 (segment OI excluding acquired-intangible amortization and acquisition items). Forecast = net sales × non-GAAP margin.</t>
  </si>
  <si>
    <t xml:space="preserve">  Tax rate (GAAP &amp; non-GAAP)</t>
  </si>
  <si>
    <t xml:space="preserve">  Memo: non-GAAP segment operating income as published</t>
  </si>
  <si>
    <t xml:space="preserve">  Capital expenditures ($m)</t>
  </si>
  <si>
    <t xml:space="preserve">  Check: build vs published (should be 0)</t>
  </si>
  <si>
    <t xml:space="preserve">  Segment operating margin (GAAP) %</t>
  </si>
  <si>
    <t xml:space="preserve">  Non-GAAP segment operating margin %</t>
  </si>
  <si>
    <t>Q3/Q4-26E: prior-year quarter margin + 1H/26 vs 1H/25 change + outlook calibration Δ. 2027E+: scenario lever (DI_margin).</t>
  </si>
  <si>
    <t>DI_organicGrowth (Digital Imaging sales y/y)</t>
  </si>
  <si>
    <t>Δ →</t>
  </si>
  <si>
    <t>Digital Imaging: defense IR / unmanned systems, space sensors, industrial machine vision; commercial IR and semis capex cyclical.</t>
  </si>
  <si>
    <t xml:space="preserve">  Segment operating income (GAAP) y/y %</t>
  </si>
  <si>
    <t xml:space="preserve">  2027E</t>
  </si>
  <si>
    <t xml:space="preserve">  Incremental non-GAAP margin (ΔOI / ΔSales)</t>
  </si>
  <si>
    <t xml:space="preserve">  2028E</t>
  </si>
  <si>
    <t xml:space="preserve">  Segment D&amp;A (annual, 10-K segment note)</t>
  </si>
  <si>
    <t xml:space="preserve">  2029E</t>
  </si>
  <si>
    <t xml:space="preserve">  Segment capital expenditures (annual)</t>
  </si>
  <si>
    <t xml:space="preserve">  2030E</t>
  </si>
  <si>
    <t xml:space="preserve">  Segment capex % of sales</t>
  </si>
  <si>
    <t>INST_organicGrowth (Instrumentation sales y/y)</t>
  </si>
  <si>
    <t>Instrumentation: marine (offshore energy, defense subsea), environmental (regulation), ETM.</t>
  </si>
  <si>
    <t>Instrumentation (marine, environmental, electronic test &amp; measurement)</t>
  </si>
  <si>
    <t>INSTRUMENTATION — modelling logic</t>
  </si>
  <si>
    <t>2027E–2030E: scenario lever (INST_organicGrowth, Bull/Base/Bear table →).</t>
  </si>
  <si>
    <t>ADE_organicGrowth (Aerospace and Defense Electronics sales y/y)</t>
  </si>
  <si>
    <t>A&amp;DE: defense electronics (budget growth), commercial aerospace build rates.</t>
  </si>
  <si>
    <t>Q3/Q4-26E: prior-year quarter margin + 1H/26 vs 1H/25 change + outlook calibration Δ. 2027E+: scenario lever (INST_margin).</t>
  </si>
  <si>
    <t>ES_organicGrowth (Engineered Systems sales y/y)</t>
  </si>
  <si>
    <t>Engineered Systems: US Government programs (missile defense, space), energy systems.</t>
  </si>
  <si>
    <t xml:space="preserve">  Memo: Marine instrumentation sales</t>
  </si>
  <si>
    <t xml:space="preserve">  Memo: Environmental instrumentation sales</t>
  </si>
  <si>
    <t xml:space="preserve">  Memo: Electronic test &amp; measurement sales</t>
  </si>
  <si>
    <t>DI_margin (Digital Imaging non-GAAP OI margin)</t>
  </si>
  <si>
    <t>FY25 non-GAAP margin 22.6%; 1H/26 ~24% (mix, tariff refunds).</t>
  </si>
  <si>
    <t>Aerospace and Defense Electronics (aerospace &amp; defense electronics; Excelitas A&amp;D from Dec-2024)</t>
  </si>
  <si>
    <t>AEROSPACE AND DEFENSE ELECTRONICS — modelling logic</t>
  </si>
  <si>
    <t>2027E–2030E: scenario lever (ADE_organicGrowth, Bull/Base/Bear table →).</t>
  </si>
  <si>
    <t>INST_margin (Instrumentation non-GAAP OI margin)</t>
  </si>
  <si>
    <t>FY25 28.4%; 1H/26 26.3% (unfavourable mix) — recovery assumed gradual.</t>
  </si>
  <si>
    <t>ADE_margin (Aerospace and Defense Electronics non-GAAP OI margin)</t>
  </si>
  <si>
    <t>FY25 27.3% (incl. Excelitas A&amp;D).</t>
  </si>
  <si>
    <t>Q3/Q4-26E: prior-year quarter margin + 1H/26 vs 1H/25 change + outlook calibration Δ. 2027E+: scenario lever (ADE_margin).</t>
  </si>
  <si>
    <t xml:space="preserve">  Memo: Aerospace electronics sales</t>
  </si>
  <si>
    <t xml:space="preserve">  Memo: Defense electronics sales</t>
  </si>
  <si>
    <t>ES_margin (Engineered Systems non-GAAP OI margin)</t>
  </si>
  <si>
    <t>FY25 10.7%; program-mix driven.</t>
  </si>
  <si>
    <t>Engineered Systems (engineered products &amp; services, energy systems)</t>
  </si>
  <si>
    <t>ENGINEERED SYSTEMS — modelling logic</t>
  </si>
  <si>
    <t>2027E–2030E: scenario lever (ES_organicGrowth, Bull/Base/Bear table →).</t>
  </si>
  <si>
    <t>M&amp;A_spend (acquisition spend, $m)</t>
  </si>
  <si>
    <t>Acquisition spend ($m). Teledyne 2017–25 ex FLIR averaged ~$0.4bn p.a.; balance-sheet capacity (~1x leverage, ~$1.1bn FCF) supports $1bn+ p.a.</t>
  </si>
  <si>
    <t>Buybacks ($m)</t>
  </si>
  <si>
    <t>Repurchases are opportunistic (M&amp;A first).</t>
  </si>
  <si>
    <t xml:space="preserve">  2H/26E</t>
  </si>
  <si>
    <t>Q3/Q4-26E: prior-year quarter margin + 1H/26 vs 1H/25 change + outlook calibration Δ. 2027E+: scenario lever (ES_margin).</t>
  </si>
  <si>
    <t xml:space="preserve">  Memo: Engineered products &amp; services sales</t>
  </si>
  <si>
    <t xml:space="preserve">  Memo: Energy systems sales</t>
  </si>
  <si>
    <t>Legacy segments (as originally reported, FY2006–07; superseded by the FY2010 10-K recast)</t>
  </si>
  <si>
    <t>LEGACY SEGMENTS — memo only (not comparable with the current basis)</t>
  </si>
  <si>
    <t xml:space="preserve">  Electronics and Communications — net sales</t>
  </si>
  <si>
    <t xml:space="preserve">  Electronics and Communications — operating profit</t>
  </si>
  <si>
    <t xml:space="preserve">  Systems Engineering Solutions / Engineered Systems — net sales</t>
  </si>
  <si>
    <t xml:space="preserve">  Systems Engineering Solutions / Engineered Systems — operating profit</t>
  </si>
  <si>
    <t xml:space="preserve">  Aerospace Engines and Components (piston engines sold Apr-2011) — net sales</t>
  </si>
  <si>
    <t xml:space="preserve">  Aerospace Engines and Components (piston engines sold Apr-2011) — operating profit</t>
  </si>
  <si>
    <t xml:space="preserve">  Energy (and Power) Systems — net sales</t>
  </si>
  <si>
    <t xml:space="preserve">  Energy (and Power) Systems — operating profit</t>
  </si>
  <si>
    <t xml:space="preserve">  Corporate expense (legacy basis)</t>
  </si>
  <si>
    <t>Corporate &amp; reconciling items</t>
  </si>
  <si>
    <t>CORPORATE — modelling logic</t>
  </si>
  <si>
    <t xml:space="preserve">  Corporate expense (GAAP)</t>
  </si>
  <si>
    <t>Forecast = non-GAAP corporate expense + corporate adjusting items.</t>
  </si>
  <si>
    <t xml:space="preserve">  Corporate non-GAAP items (transaction &amp; integration costs)</t>
  </si>
  <si>
    <t>Acquisition transaction / integration costs recorded at corporate (input).</t>
  </si>
  <si>
    <t xml:space="preserve">  Non-GAAP corporate expense</t>
  </si>
  <si>
    <t>Q3/Q4-26E at the 1H/26 run-rate; 2027E+: % of sales input.</t>
  </si>
  <si>
    <t xml:space="preserve">  Non-GAAP corporate expense % of sales</t>
  </si>
  <si>
    <t xml:space="preserve">  Other reconciling items to operating income (signed)</t>
  </si>
  <si>
    <t xml:space="preserve">  Outlook calibration: Δ non-GAAP margin applied to all segments (Q3/Q4-26E)</t>
  </si>
  <si>
    <t>Solves the margin shift (vs prior-year quarter + 1H/26 drift) so that non-GAAP net income equals the FY26 / Q3 non-GAAP EPS outlook (scenario: high / mid / low) × diluted shares.</t>
  </si>
  <si>
    <t xml:space="preserve">  Memo: non-GAAP net income target (FY26 outlook × diluted shares)</t>
  </si>
  <si>
    <t>Q3/26E = Q3 non-GAAP EPS outlook × Q3 diluted shares; Q4/26E = FY26 outlook × FY diluted shares − 1H actual − Q3E.</t>
  </si>
  <si>
    <t>Future acquisitions (M&amp;A lever — unallocated; deals closed from 2027E)</t>
  </si>
  <si>
    <t>M&amp;A LEVER — acquired sales = spend ÷ EV/sales; mid-year convention</t>
  </si>
  <si>
    <t xml:space="preserve">  Acquisition spend (USDm, scenario)</t>
  </si>
  <si>
    <t>Scenario lever (M&amp;A_spend, Bull/Base/Bear table →). Teledyne deployed ~$0.3–1.0bn p.a. on bolt-on deals ex FLIR (2017 e2v $0.8bn; 2021 FLIR $8.2bn; 2024–25 Excelitas A&amp;D $0.7bn).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</si>
  <si>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</si>
  <si>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</si>
  <si>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</si>
  <si>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</si>
  <si>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Net sales from future acquisitions</t>
  </si>
  <si>
    <t>Mid-year convention: deals close evenly through the year (half a year of sales in year 1).</t>
  </si>
  <si>
    <t xml:space="preserve">  Non-GAAP operating margin of acquired businesses %</t>
  </si>
  <si>
    <t xml:space="preserve">  Non-GAAP operating income from future acquisitions</t>
  </si>
  <si>
    <t xml:space="preserve">  Acquired intangibles % of spend</t>
  </si>
  <si>
    <t xml:space="preserve">  Amortization life (years)</t>
  </si>
  <si>
    <t xml:space="preserve">  Cumulative acquired intangibles (gross)</t>
  </si>
  <si>
    <t xml:space="preserve">  Amortization of future-acquisition intangibles</t>
  </si>
  <si>
    <t xml:space="preserve">  Operating income (GAAP) from future acquisitions</t>
  </si>
  <si>
    <t xml:space="preserve">  Incremental acquisition sales (first 12 months of ownership)</t>
  </si>
  <si>
    <t>Group Total — non-GAAP operating income (Teledyne's primary profit KPI)</t>
  </si>
  <si>
    <t>GROUP TOTAL (CONSOLIDATED) — modelling logic</t>
  </si>
  <si>
    <t xml:space="preserve">  Net sales (segment build)</t>
  </si>
  <si>
    <t>Σ segment net sales (+ future acquisitions from 2027E).</t>
  </si>
  <si>
    <t xml:space="preserve">  Non-GAAP operating income (Σ segments − non-GAAP corporate)</t>
  </si>
  <si>
    <t xml:space="preserve">  Non-GAAP operating margin %</t>
  </si>
  <si>
    <t xml:space="preserve">  Acquired intangible asset amortization (total)</t>
  </si>
  <si>
    <t>Historical: earnings releases (quarterly from 2021) / 10-K intangibles note (annual). Forecast = 10-K expected amortization of existing intangibles + future-M&amp;A amortization.</t>
  </si>
  <si>
    <t xml:space="preserve">  Operating income (GAAP; Σ segment OI − corporate)</t>
  </si>
  <si>
    <t xml:space="preserve">  Operating margin (GAAP) %</t>
  </si>
  <si>
    <t xml:space="preserve">  Non-GAAP operating income y/y %</t>
  </si>
  <si>
    <t xml:space="preserve">  Incremental sales from acquisitions (disclosed)</t>
  </si>
  <si>
    <t>Releases: 'net sales included $x million of incremental sales from recent acquisitions'. Q3/Q4-26E input; 2027E+ = future-M&amp;A contribution.</t>
  </si>
  <si>
    <t xml:space="preserve">  Funded backlog (period end, as disclosed)</t>
  </si>
  <si>
    <t xml:space="preserve">  Orders (as disclosed)</t>
  </si>
  <si>
    <t xml:space="preserve">  Check: segment build vs consolidated net sales (should be 0)</t>
  </si>
  <si>
    <t xml:space="preserve">  Check: segment build vs consolidated operating income (should be 0)</t>
  </si>
  <si>
    <t xml:space="preserve">  Check: segment build vs company non-GAAP operating income (should be 0)</t>
  </si>
  <si>
    <t>Cost drivers (% of sales)</t>
  </si>
  <si>
    <t>% OF SALES drivers — inputs that drive forecast cost lines</t>
  </si>
  <si>
    <t xml:space="preserve">  Cost of sales % of net sales</t>
  </si>
  <si>
    <t>Cost of sales incl. acquired-intangible amortization charged to cost of sales. SG&amp;A is the balancing line to the segment-build operating income.</t>
  </si>
  <si>
    <t xml:space="preserve">  Depreciation (D&amp;A ex acquired-intangible amortization) % of sales</t>
  </si>
  <si>
    <t xml:space="preserve">  Depreciation &amp; other amortization (total D&amp;A − acquired-intangible amortization)</t>
  </si>
  <si>
    <t xml:space="preserve">  Stock-based compensation % of sales</t>
  </si>
  <si>
    <t xml:space="preserve">  Company-funded R&amp;D % of sales (memo)</t>
  </si>
  <si>
    <t>Sales by customer &amp; geography (annual disclosure)</t>
  </si>
  <si>
    <t>CUSTOMER / GEOGRAPHY — historical disclosure only (not forecast)</t>
  </si>
  <si>
    <t xml:space="preserve">  Sales to the US Government</t>
  </si>
  <si>
    <t xml:space="preserve">  US Government % of sales</t>
  </si>
  <si>
    <t xml:space="preserve">  Sales — United States</t>
  </si>
  <si>
    <t xml:space="preserve">  Sales — outside the United States</t>
  </si>
  <si>
    <t xml:space="preserve">  International % of sales</t>
  </si>
  <si>
    <t>CONSOLIDATED INCOME STATEMENT (US GAAP)</t>
  </si>
  <si>
    <t>CONSOLIDATED IS — forecast logic</t>
  </si>
  <si>
    <t>Net sales</t>
  </si>
  <si>
    <t>Forecast linked to the segment build.</t>
  </si>
  <si>
    <t xml:space="preserve">  of which: product sales</t>
  </si>
  <si>
    <t xml:space="preserve">  of which: service sales</t>
  </si>
  <si>
    <t>Cost of sales</t>
  </si>
  <si>
    <t>Gross profit</t>
  </si>
  <si>
    <t>Selling, general and administrative expenses (incl. R&amp;D)</t>
  </si>
  <si>
    <t>Forecast SG&amp;A is the balancing line so that operating income equals the segment build.</t>
  </si>
  <si>
    <t>Acquired intangible asset amortization (separate IS line from 2021)</t>
  </si>
  <si>
    <t>Other operating items (gains, impairments; signed)</t>
  </si>
  <si>
    <t>Operating income</t>
  </si>
  <si>
    <t>Interest and debt expense, net</t>
  </si>
  <si>
    <t>Q3/Q4-26E at the Q2/26 run-rate (after the $450m April-2026 maturity). 2027E+ = rate × opening debt − yield × opening cash (no circularity).</t>
  </si>
  <si>
    <t>Non-service retirement benefit income (expense)</t>
  </si>
  <si>
    <t>ASU 2017-07 (2018; 2017 recast): non-service pension cost presented below operating income.</t>
  </si>
  <si>
    <t>Other income (expense), net (incl. gain / loss on debt extinguishment)</t>
  </si>
  <si>
    <t>Income before income taxes</t>
  </si>
  <si>
    <t>Provision for income taxes</t>
  </si>
  <si>
    <t>Q3/Q4-26E at the FY26 outlook tax rate; 2027E+ input ETR.</t>
  </si>
  <si>
    <t xml:space="preserve">  Effective tax rate</t>
  </si>
  <si>
    <t>Income from continuing operations</t>
  </si>
  <si>
    <t>Income (loss) from discontinued operations, net of tax</t>
  </si>
  <si>
    <t>Net income (incl. non-controlling interests)</t>
  </si>
  <si>
    <t xml:space="preserve">  Net income attributable to non-controlling interests</t>
  </si>
  <si>
    <t>Net income attributable to Teledyne</t>
  </si>
  <si>
    <t xml:space="preserve">  Check: net income attributable to Teledyne vs reported (should be 0)</t>
  </si>
  <si>
    <t xml:space="preserve">  Memo: net income attributable to Teledyne as reported</t>
  </si>
  <si>
    <t xml:space="preserve">  Memo: depreciation and amortization (total)</t>
  </si>
  <si>
    <t xml:space="preserve">  Memo: stock-based compensation</t>
  </si>
  <si>
    <t xml:space="preserve">  Memo: company-funded research and development</t>
  </si>
  <si>
    <t>(Earnings per share)</t>
  </si>
  <si>
    <t xml:space="preserve">  Weighted-average basic shares (m)</t>
  </si>
  <si>
    <t>Q3/Q4-26E: Q2/26 less the 2H/26 buyback phased in. 2027E+ = average of beginning and ending shares.</t>
  </si>
  <si>
    <t xml:space="preserve">  Weighted-average diluted shares (m)</t>
  </si>
  <si>
    <t>Diluted = basic + dilutive stock options / RSUs (schedule input).</t>
  </si>
  <si>
    <t>EPS – basic, attributable to Teledyne ($)</t>
  </si>
  <si>
    <t>EPS – diluted, attributable to Teledyne ($)</t>
  </si>
  <si>
    <t>EPS computed as NI attributable to Teledyne / weighted diluted shares (may differ by ±$0.01 vs reported).</t>
  </si>
  <si>
    <t xml:space="preserve">  Memo: EPS – diluted as reported ($)</t>
  </si>
  <si>
    <t xml:space="preserve">  Memo: FY26 GAAP diluted EPS outlook (scenario end-point, $)</t>
  </si>
  <si>
    <t>Compare with the model 2026E GAAP EPS above (the outlook embeds the company's own amortization / tax assumptions).</t>
  </si>
  <si>
    <t>RECONCILIATION: GAAP OPERATING INCOME → NON-GAAP OPERATING INCOME (company definition)</t>
  </si>
  <si>
    <t>NON-GAAP OPERATING INCOME — per Teledyne earnings-release reconciliation; company definition in force in each period</t>
  </si>
  <si>
    <t>Operating income (GAAP)</t>
  </si>
  <si>
    <t xml:space="preserve">  (+) Acquisition-related transaction and integration costs (FLIR, Excelitas A&amp;D, other)</t>
  </si>
  <si>
    <t xml:space="preserve">  (+) Inventory step-up / purchase-accounting adjustments</t>
  </si>
  <si>
    <t xml:space="preserve">  (+) Impairment / asset write-downs</t>
  </si>
  <si>
    <t xml:space="preserve">  (+) Basis difference: company bridge starts from OI as originally reported (pre-ASU 2017-07 recast)</t>
  </si>
  <si>
    <t xml:space="preserve">  Total adjusting items</t>
  </si>
  <si>
    <t xml:space="preserve">  = Non-GAAP operating income (model bridge)</t>
  </si>
  <si>
    <t>Historical shown only where Teledyne published a non-GAAP operating income (see the current-definition memo below for all periods).</t>
  </si>
  <si>
    <t xml:space="preserve">  Company-published non-GAAP operating income</t>
  </si>
  <si>
    <t xml:space="preserve">  Check: model bridge vs company-published (should be 0)</t>
  </si>
  <si>
    <t xml:space="preserve">  Definition basis (company non-GAAP operating income definition in force)</t>
  </si>
  <si>
    <t>Not published (2006–Q3/16): GAAP operating income only</t>
  </si>
  <si>
    <t>Adjusted OI ex e2v acquisition charges (Q4/16–Q4/17)</t>
  </si>
  <si>
    <t>FY2016: e2v charges excluded (Q4/16 only)</t>
  </si>
  <si>
    <t>Not published (2018–2019): GAAP only</t>
  </si>
  <si>
    <t>Recast in 2021 releases: ex acquired-intangible amortization</t>
  </si>
  <si>
    <t>FY2020 recast (Q4-21 release)</t>
  </si>
  <si>
    <t>Current definition (Q2-21 recast): ex amortization, FLIR transaction / integration, step-up</t>
  </si>
  <si>
    <t>FY2021: FLIR definition</t>
  </si>
  <si>
    <t>Integration-cost credit (Q4/22)</t>
  </si>
  <si>
    <t>'FLIR integration costs' added</t>
  </si>
  <si>
    <t>Trademark impairment excluded; 'transaction &amp; integration costs' label</t>
  </si>
  <si>
    <t>Inventory step-up excluded again (Micropac / Excelitas A&amp;D)</t>
  </si>
  <si>
    <t>Definition changes are flagged in the column where they take effect (cell comment gives the detail).</t>
  </si>
  <si>
    <t>Memo — current definition applied to all periods (model):</t>
  </si>
  <si>
    <t xml:space="preserve">  Non-amortization items (company-published: transaction, step-up, restructuring etc.)</t>
  </si>
  <si>
    <t>Company-published adjusting items other than amortization; pension and stock-option exclusions (2005–06 'pro forma' EPS) are not part of the current definition and are left out.</t>
  </si>
  <si>
    <t xml:space="preserve">  Non-GAAP operating income — current definition (GAAP OI + acquired-intangible amortization + items)</t>
  </si>
  <si>
    <t>Consistent series: Teledyne's current definition (from 2021) applied back to every period using total acquired-intangible amortization (releases quarterly from 2021; 10-K annually before).</t>
  </si>
  <si>
    <t xml:space="preserve">  Non-GAAP operating margin — current definition %</t>
  </si>
  <si>
    <t>RECONCILIATION: GAAP NET INCOME → EBITDA → ADJUSTED EBITDA → ADJUSTED EBIT (model)</t>
  </si>
  <si>
    <t>EBITDA BRIDGE — model measure (Teledyne does not publish EBITDA / adjusted EBITDA; it uses EBITDA only within its credit-agreement leverage ratio)</t>
  </si>
  <si>
    <t>Net income (GAAP, incl. NCI)</t>
  </si>
  <si>
    <t xml:space="preserve">  (−) Income from discontinued operations</t>
  </si>
  <si>
    <t xml:space="preserve">  (+) Provision for income taxes</t>
  </si>
  <si>
    <t xml:space="preserve">  (+) Interest and debt expense, net</t>
  </si>
  <si>
    <t xml:space="preserve">  (+) Depreciation and amortization</t>
  </si>
  <si>
    <t xml:space="preserve">  = EBITDA</t>
  </si>
  <si>
    <t xml:space="preserve">  (+) Non-amortization adjusting items (company-published, pre-tax)</t>
  </si>
  <si>
    <t xml:space="preserve">  = Adjusted EBITDA (model)</t>
  </si>
  <si>
    <t xml:space="preserve">  Adjusted EBITDA margin %</t>
  </si>
  <si>
    <t>To adjusted EBIT:</t>
  </si>
  <si>
    <t xml:space="preserve">  (−) Depreciation and amortization</t>
  </si>
  <si>
    <t xml:space="preserve">  = Adjusted EBIT (model; current-definition non-GAAP OI + non-operating income)</t>
  </si>
  <si>
    <t xml:space="preserve">  Adjusted EBIT margin %</t>
  </si>
  <si>
    <t xml:space="preserve">  Check: adj. EBIT − (current-def. non-GAAP OI + pension + other income) (should be 0)</t>
  </si>
  <si>
    <t>RECONCILIATION: GAAP NET INCOME ATTRIBUTABLE TO TELEDYNE → NON-GAAP NET INCOME / NON-GAAP EPS</t>
  </si>
  <si>
    <t>NON-GAAP NET INCOME &amp; EPS — company definition in force in each period (definition changes flagged in the definition row and cell comments)</t>
  </si>
  <si>
    <t>Net income attributable to Teledyne (GAAP)</t>
  </si>
  <si>
    <t xml:space="preserve">  (+) Pension expense (excluded in 2005–06 'pro forma' EPS)</t>
  </si>
  <si>
    <t xml:space="preserve">  (+) Stock option expense (excluded in 2005–06 'pro forma' EPS)</t>
  </si>
  <si>
    <t xml:space="preserve">  (+) Debt extinguishment / acquisition financing costs</t>
  </si>
  <si>
    <t xml:space="preserve">  (+) Per-share rounding (company reconciled in per-share amounts only; $m = EPS × diluted shares)</t>
  </si>
  <si>
    <t xml:space="preserve">  (−) Income tax effect of the above</t>
  </si>
  <si>
    <t xml:space="preserve">  (+/−) Discrete tax items (FLIR acquisition-related tax matters, tax-law changes)</t>
  </si>
  <si>
    <t xml:space="preserve">  (−) Portion attributable to non-controlling interests</t>
  </si>
  <si>
    <t xml:space="preserve">  = Non-GAAP net income attributable to Teledyne (model bridge)</t>
  </si>
  <si>
    <t>Historical shown only where Teledyne published non-GAAP net income (see current-definition memo).</t>
  </si>
  <si>
    <t xml:space="preserve">  Tax rate applied to adjustments (forecast input; historical = implied)</t>
  </si>
  <si>
    <t>Q3/Q4-26E = FY26 outlook tax rate (same rate as GAAP, so the outlook EPS is hit exactly).</t>
  </si>
  <si>
    <t>Non-GAAP EPS – diluted ($) (model bridge)</t>
  </si>
  <si>
    <t xml:space="preserve">  Company-published non-GAAP net income</t>
  </si>
  <si>
    <t xml:space="preserve">  Company-published non-GAAP diluted EPS ($)</t>
  </si>
  <si>
    <t xml:space="preserve">  Check: model bridge vs company-published non-GAAP net income (should be 0)</t>
  </si>
  <si>
    <t xml:space="preserve">  Definition basis (company non-GAAP EPS definition in force)</t>
  </si>
  <si>
    <t>'EPS excl. net pension expense, stock option expense &amp; tax benefit' (2005–07)</t>
  </si>
  <si>
    <t>Not published (2008–Q3/16)</t>
  </si>
  <si>
    <t>Non-GAAP EPS ex e2v charges (per-share; $m = EPS × shares)</t>
  </si>
  <si>
    <t>FY2016: Q4/16 e2v charges</t>
  </si>
  <si>
    <t>Tax Act provisional charge also excluded</t>
  </si>
  <si>
    <t>Not published (2018–2019)</t>
  </si>
  <si>
    <t>Current definition (Q2-21 recast): amortization, FLIR transaction / integration, step-up, financing fees, tax-law remeasurement</t>
  </si>
  <si>
    <t>'Acquisition-related foreign tax matters' added</t>
  </si>
  <si>
    <t>'Acquisition-related tax matters' widened (FLIR reserve settlements)</t>
  </si>
  <si>
    <t>Trademark impairment excluded (Q4/24); relabels</t>
  </si>
  <si>
    <t>Inventory step-up excluded (Micropac / Excelitas A&amp;D)</t>
  </si>
  <si>
    <t xml:space="preserve">  Non-GAAP net income — current definition</t>
  </si>
  <si>
    <t>Periods before the current definition: NI from continuing operations + (acquired-intangible amortization + company-published non-amortization items) × (1 − period ETR, bounded 15–40%). From the current definition onward = company bridge.</t>
  </si>
  <si>
    <t xml:space="preserve">  Non-GAAP EPS — current definition, diluted ($)</t>
  </si>
  <si>
    <t>GROWTH &amp; MARGINS</t>
  </si>
  <si>
    <t>GROWTH &amp; MARGINS (consolidated) — forecast outputs</t>
  </si>
  <si>
    <t xml:space="preserve">  Net sales — organic y/y %</t>
  </si>
  <si>
    <t>Organic = total growth less disclosed incremental acquisition sales (first 12 months), incl. FX.</t>
  </si>
  <si>
    <t xml:space="preserve">  Net sales — acquisition y/y %</t>
  </si>
  <si>
    <t xml:space="preserve">  Non-GAAP operating income (current definition) y/y %</t>
  </si>
  <si>
    <t xml:space="preserve">  Operating income (GAAP) y/y %</t>
  </si>
  <si>
    <t xml:space="preserve">  Net income attributable to Teledyne y/y %</t>
  </si>
  <si>
    <t xml:space="preserve">  Non-GAAP EPS (current definition) y/y %</t>
  </si>
  <si>
    <t xml:space="preserve">  Gross margin %</t>
  </si>
  <si>
    <t xml:space="preserve">  Non-GAAP operating margin (current definition) %</t>
  </si>
  <si>
    <t xml:space="preserve">  Adjusted EBITDA margin (model) %</t>
  </si>
  <si>
    <t xml:space="preserve">  Net margin %</t>
  </si>
  <si>
    <t xml:space="preserve">  Incremental non-GAAP operating margin (ΔOI / ΔSales)</t>
  </si>
  <si>
    <t xml:space="preserve">  SG&amp;A % of sales</t>
  </si>
  <si>
    <t>CONSOLIDATED CASH FLOW STATEMENT</t>
  </si>
  <si>
    <t>CONSOLIDATED CASH FLOW STATEMENT — forecast logic (annual; 1H/26 = reported six months)</t>
  </si>
  <si>
    <t>Net income (incl. NCI)</t>
  </si>
  <si>
    <t>Adjustments:</t>
  </si>
  <si>
    <t xml:space="preserve">  Depreciation and amortization</t>
  </si>
  <si>
    <t xml:space="preserve">  Stock-based compensation</t>
  </si>
  <si>
    <t xml:space="preserve">  Deferred income taxes</t>
  </si>
  <si>
    <t>Deferred tax benefit from book amortization of acquired intangibles in excess of tax — input.</t>
  </si>
  <si>
    <t xml:space="preserve">  Pension / retirement-benefit (income) expense and contributions</t>
  </si>
  <si>
    <t>Forecast reverses the non-cash non-service pension income (no contributions assumed; plans over-funded).</t>
  </si>
  <si>
    <t xml:space="preserve">  Other non-cash items, net (incl. gains, discontinued ops)</t>
  </si>
  <si>
    <t xml:space="preserve">  Changes in operating assets and liabilities</t>
  </si>
  <si>
    <t>Linked to BS: −Δ(receivables, unbilled, inventories, other current assets) + Δ(payables, accrued, contract liabilities, other current, pension and other non-current liabilities).</t>
  </si>
  <si>
    <t>Net cash provided by operating activities</t>
  </si>
  <si>
    <t>Purchases of property, plant and equipment</t>
  </si>
  <si>
    <t>2026E: capex estimate (scenario table point estimate). 2027E+: sales × capex % input.</t>
  </si>
  <si>
    <t>Purchase of businesses, net of cash acquired</t>
  </si>
  <si>
    <t>2026E = 1H/26 actual (no further 2026 M&amp;A assumed). 2027E+ = M&amp;A lever.</t>
  </si>
  <si>
    <t>Proceeds from sale of businesses / assets</t>
  </si>
  <si>
    <t>Other investing activities, net</t>
  </si>
  <si>
    <t>Net cash used in investing activities</t>
  </si>
  <si>
    <t>Proceeds from debt / credit-facility borrowings (incl. net short-term)</t>
  </si>
  <si>
    <t>Repayment of debt</t>
  </si>
  <si>
    <t>Net issuance / (repayment) = change in total debt per the debt schedule (maturities + revolver).</t>
  </si>
  <si>
    <t>Purchases of treasury stock (share repurchases)</t>
  </si>
  <si>
    <t>Proceeds from exercise of stock options</t>
  </si>
  <si>
    <t>Other financing activities, net (debt costs, excess tax benefit, other)</t>
  </si>
  <si>
    <t>Net cash provided by (used in) financing activities</t>
  </si>
  <si>
    <t>Effect of exchange-rate changes on cash</t>
  </si>
  <si>
    <t>Change in cash and cash equivalents</t>
  </si>
  <si>
    <t>Cash and cash equivalents — beginning</t>
  </si>
  <si>
    <t>Cash and cash equivalents — end</t>
  </si>
  <si>
    <t xml:space="preserve">  Check: CFO + CFI + CFF + FX = change in cash (should be 0)</t>
  </si>
  <si>
    <t xml:space="preserve">  Memo: net cash from discontinued operations (where presented separately)</t>
  </si>
  <si>
    <t>(Memo)</t>
  </si>
  <si>
    <t>Free cash flow (CFO − capital expenditures; company definition)</t>
  </si>
  <si>
    <t>Teledyne defines free cash flow as cash from operating activities less capital expenditures for PP&amp;E.</t>
  </si>
  <si>
    <t xml:space="preserve">  Memo: free cash flow as published</t>
  </si>
  <si>
    <t xml:space="preserve">  FCF y/y %</t>
  </si>
  <si>
    <t xml:space="preserve">  FCF % of sales</t>
  </si>
  <si>
    <t xml:space="preserve">  FCF / non-GAAP net income (current definition) conversion %</t>
  </si>
  <si>
    <t xml:space="preserve">  FCF per diluted share ($)</t>
  </si>
  <si>
    <t>Capex ratios</t>
  </si>
  <si>
    <t xml:space="preserve">  Capex % of sales</t>
  </si>
  <si>
    <t xml:space="preserve">  Capex / depreciation (ex acquired-intangible amortization) (x)</t>
  </si>
  <si>
    <t>SHARE BUYBACK SCHEDULE</t>
  </si>
  <si>
    <t xml:space="preserve">  Avg buyback price ($)</t>
  </si>
  <si>
    <t>2026E = current share price ($615, valuation input); appreciates with the share-price input.</t>
  </si>
  <si>
    <t xml:space="preserve">  Buyback cash deployed (USDm)</t>
  </si>
  <si>
    <t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</si>
  <si>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</si>
  <si>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</si>
  <si>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</si>
  <si>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</si>
  <si>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</si>
  <si>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2H/26 (m)</t>
  </si>
  <si>
    <t>CONSOLIDATED BALANCE SHEET</t>
  </si>
  <si>
    <t>BS FORECAST — first-principles roll-forward (2026E from FY2025 year-end; 1H/26 shown as reported)</t>
  </si>
  <si>
    <t>ASSETS</t>
  </si>
  <si>
    <t>Current assets:</t>
  </si>
  <si>
    <t xml:space="preserve">  Cash and cash equivalents</t>
  </si>
  <si>
    <t xml:space="preserve">  Accounts receivable, net</t>
  </si>
  <si>
    <t>Receivables = net sales × DSO / 365.</t>
  </si>
  <si>
    <t xml:space="preserve">  Unbilled receivables / contract assets</t>
  </si>
  <si>
    <t xml:space="preserve">  Inventories, net</t>
  </si>
  <si>
    <t xml:space="preserve">  Prepaid expenses and other current assets (incl. held for sale)</t>
  </si>
  <si>
    <t>Total current assets</t>
  </si>
  <si>
    <t xml:space="preserve">  Property, plant and equipment, net</t>
  </si>
  <si>
    <t>PP&amp;E roll-forward: prior + capex − depreciation (D&amp;A ex acquired-intangible amortization) − disposals.</t>
  </si>
  <si>
    <t xml:space="preserve">  Operating lease right-of-use assets (2019+)</t>
  </si>
  <si>
    <t xml:space="preserve">  Goodwill</t>
  </si>
  <si>
    <t>Goodwill + acquisition consideration not allocated to intangibles.</t>
  </si>
  <si>
    <t xml:space="preserve">  Acquired intangible assets, net</t>
  </si>
  <si>
    <t>Intangibles roll-forward: prior + acquired intangibles − amortization.</t>
  </si>
  <si>
    <t xml:space="preserve">  Other assets (incl. prepaid pension, deferred taxes)</t>
  </si>
  <si>
    <t>Prepaid pension grows with the non-cash pension income reversed in the CF statement.</t>
  </si>
  <si>
    <t>TOTAL ASSETS</t>
  </si>
  <si>
    <t>LIABILITIES AND STOCKHOLDERS' EQUITY</t>
  </si>
  <si>
    <t>Current liabilities:</t>
  </si>
  <si>
    <t xml:space="preserve">  Accounts payable</t>
  </si>
  <si>
    <t xml:space="preserve">  Accrued liabilities</t>
  </si>
  <si>
    <t xml:space="preserve">  Contract liabilities / customer deposits (where separate)</t>
  </si>
  <si>
    <t xml:space="preserve">  Current portion of long-term debt and other debt</t>
  </si>
  <si>
    <t xml:space="preserve">  Other current liabilities (incl. held for sale)</t>
  </si>
  <si>
    <t>Total current liabilities</t>
  </si>
  <si>
    <t xml:space="preserve">  Long-term debt, net of current portion</t>
  </si>
  <si>
    <t xml:space="preserve">  Long-term operating lease liabilities</t>
  </si>
  <si>
    <t xml:space="preserve">  Accrued pension and postretirement benefits</t>
  </si>
  <si>
    <t xml:space="preserve">  Other long-term liabilities</t>
  </si>
  <si>
    <t>Total liabilities</t>
  </si>
  <si>
    <t xml:space="preserve">  Redeemable non-controlling interest (temporary equity)</t>
  </si>
  <si>
    <t>Stockholders' equity:</t>
  </si>
  <si>
    <t xml:space="preserve">  Common stock &amp; additional paid-in capital</t>
  </si>
  <si>
    <t>Common stock + APIC + SBC + option proceeds.</t>
  </si>
  <si>
    <t xml:space="preserve">  Retained earnings</t>
  </si>
  <si>
    <t>Retained earnings + NI attributable to Teledyne (Teledyne pays no dividend).</t>
  </si>
  <si>
    <t xml:space="preserve">  Treasury stock</t>
  </si>
  <si>
    <t>Repurchased shares held in treasury (at cost).</t>
  </si>
  <si>
    <t xml:space="preserve">  Accumulated other comprehensive income (loss)</t>
  </si>
  <si>
    <t>Total Teledyne stockholders' equity</t>
  </si>
  <si>
    <t xml:space="preserve">  Non-controlling interests</t>
  </si>
  <si>
    <t>Total stockholders' equity</t>
  </si>
  <si>
    <t>TOTAL LIABILITIES AND STOCKHOLDERS' EQUITY</t>
  </si>
  <si>
    <t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</si>
  <si>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</si>
  <si>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</si>
  <si>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vs cash-flow ending cash (should be 0)</t>
  </si>
  <si>
    <t xml:space="preserve">  Memo: common shares outstanding at period end (m)</t>
  </si>
  <si>
    <t>WORKING CAPITAL &amp; CASH CONVERSION</t>
  </si>
  <si>
    <t>WORKING CAPITAL — forecast drivers (blue = input)</t>
  </si>
  <si>
    <t xml:space="preserve">  DSO — receivables / sales × 365</t>
  </si>
  <si>
    <t xml:space="preserve">  Unbilled receivables % of sales</t>
  </si>
  <si>
    <t xml:space="preserve">  Inventory days — inventories / cost of sales × 365</t>
  </si>
  <si>
    <t xml:space="preserve">  Payable days — payables / cost of sales × 365</t>
  </si>
  <si>
    <t xml:space="preserve">  Accrued liabilities % of sales</t>
  </si>
  <si>
    <t xml:space="preserve">  Contract liabilities % of sales</t>
  </si>
  <si>
    <t xml:space="preserve">  Operating NWC (receivables + unbilled + inventories − payables − accrued − contract liabilities)</t>
  </si>
  <si>
    <t xml:space="preserve">  NWC % of sales</t>
  </si>
  <si>
    <t xml:space="preserve">  ΔNWC (y/y)</t>
  </si>
  <si>
    <t>BALANCE SHEET FORECAST SCHEDULES</t>
  </si>
  <si>
    <t>BS FORECAST SCHEDULES — explicit driver assumptions</t>
  </si>
  <si>
    <t>Asset roll-forwards &amp; non-cash items</t>
  </si>
  <si>
    <t xml:space="preserve">  Amortization of existing acquired intangibles (USDm)</t>
  </si>
  <si>
    <t>Existing acquired intangibles: FY2025 10-K expected amortization 2027 $211.8m, 2028 $208.9m, 2029 $165.0m, 2030 $138.8m. 2026E $226m = FY26 outlook bridge ($3.70/$3.65 per share after tax ≈ $225–227m pre-tax; 10-K schedule $219.1m excl. 2026 deals); 1H/26 actual $113.6m.</t>
  </si>
  <si>
    <t xml:space="preserve">  Acquired intangibles % of 2026 acquisition consideration</t>
  </si>
  <si>
    <t>1H/26 acquisitions $53.4m (bolt-ons); intangibles share estimated at 30% (Excelitas A&amp;D 2025: $208.2m of $702.8m).</t>
  </si>
  <si>
    <t xml:space="preserve">  Dilutive securities (m shares)</t>
  </si>
  <si>
    <t xml:space="preserve">  Share-price appreciation % (buyback pricing)</t>
  </si>
  <si>
    <t>Debt schedule (scheduled maturities + revolver to a minimum cash balance)</t>
  </si>
  <si>
    <t xml:space="preserve">  Total debt (current + long-term)</t>
  </si>
  <si>
    <t>Debt at 28-Jun-26 $2,027.0m: 2.25% notes $700m due Apr-2028, 2.50% $427.3m due Aug-2030, 2.75% $910.8m due Apr-2031 ($450m 1.60% notes repaid Apr-2026); $1.2bn revolver (undrawn, Jun-2029). Maturities repaid from cash / revolver.</t>
  </si>
  <si>
    <t xml:space="preserve">  Scheduled maturities / repayments (input, negative)</t>
  </si>
  <si>
    <t>2026E includes the $450m April-2026 maturity repaid in Q2.</t>
  </si>
  <si>
    <t xml:space="preserve">  Cash before revolver (opening cash + CFO + CFI + non-debt CFF + FX + maturities)</t>
  </si>
  <si>
    <t xml:space="preserve">  Minimum cash balance</t>
  </si>
  <si>
    <t xml:space="preserve">  Revolver / new borrowings outstanding (year end)</t>
  </si>
  <si>
    <t>Draws when cash would fall below the minimum (e.g. Bull M&amp;A); repaid from surplus cash first.</t>
  </si>
  <si>
    <t xml:space="preserve">  Net issuance / (repayment)</t>
  </si>
  <si>
    <t xml:space="preserve">  Interest income yield on opening cash %</t>
  </si>
  <si>
    <t>Teledyne reports interest net; historical rate above is net interest / opening debt.</t>
  </si>
  <si>
    <t>Historical reference (driver context)</t>
  </si>
  <si>
    <t xml:space="preserve">  Total D&amp;A % of sales</t>
  </si>
  <si>
    <t xml:space="preserve">  Acquired-intangible amortization % of sales</t>
  </si>
  <si>
    <t>RATIO ANALYSIS</t>
  </si>
  <si>
    <t>DuPont decomposition of ROIC</t>
  </si>
  <si>
    <t>Non-GAAP operating income (current definition)</t>
  </si>
  <si>
    <t>Effective tax rate (actual)</t>
  </si>
  <si>
    <t>NOPAT  =  Non-GAAP OI × (1 − tax rate)</t>
  </si>
  <si>
    <t>Invested capital (IC)  =  Equity + Net debt</t>
  </si>
  <si>
    <t xml:space="preserve">  Total equity incl. redeemable NCI</t>
  </si>
  <si>
    <t xml:space="preserve">  Net debt  =  Total debt − Cash</t>
  </si>
  <si>
    <t>ROIC  =  NOPAT / IC</t>
  </si>
  <si>
    <t xml:space="preserve">  Margin  =  Non-GAAP OI / Sales</t>
  </si>
  <si>
    <t xml:space="preserve">  Capital turnover  =  Sales / IC</t>
  </si>
  <si>
    <t xml:space="preserve">  Tax burden  =  (1 − effective tax rate)</t>
  </si>
  <si>
    <t xml:space="preserve">  Check: Margin × Turnover × Tax burden  =  ROIC</t>
  </si>
  <si>
    <t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</si>
  <si>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</si>
  <si>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</si>
  <si>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</si>
  <si>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</si>
  <si>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>RONTA  =  NOPAT / NTA</t>
  </si>
  <si>
    <t>Return on Equity (ROE)</t>
  </si>
  <si>
    <t>Teledyne stockholders' equity</t>
  </si>
  <si>
    <t>ROE  =  NI / Equity</t>
  </si>
  <si>
    <t>Leverage</t>
  </si>
  <si>
    <t>Net debt  =  Total debt − cash (company definition)</t>
  </si>
  <si>
    <t>Adjusted EBITDA (model)</t>
  </si>
  <si>
    <t>Net debt / adjusted EBITDA (x)</t>
  </si>
  <si>
    <t xml:space="preserve">  Memo: company leverage ratio as published (x)</t>
  </si>
  <si>
    <t>VALUATION</t>
  </si>
  <si>
    <t>VALUATION — current share price input $615 (per user); applied to 2026E–2030E</t>
  </si>
  <si>
    <t>Share price ($) — current</t>
  </si>
  <si>
    <t>Diluted shares (m)</t>
  </si>
  <si>
    <t>Market capitalisation (USDm)</t>
  </si>
  <si>
    <t>Net debt (USDm)</t>
  </si>
  <si>
    <t>Non-controlling interests (incl. redeemable, USDm)</t>
  </si>
  <si>
    <t>Enterprise value (USDm)</t>
  </si>
  <si>
    <t>Multiples</t>
  </si>
  <si>
    <t xml:space="preserve">  EV / Sales</t>
  </si>
  <si>
    <t xml:space="preserve">  EV / Adjusted EBITDA</t>
  </si>
  <si>
    <t xml:space="preserve">  EV / Non-GAAP operating income</t>
  </si>
  <si>
    <t xml:space="preserve">  EV / IC</t>
  </si>
  <si>
    <t xml:space="preserve">  P / E (GAAP diluted)</t>
  </si>
  <si>
    <t xml:space="preserve">  P / E (non-GAAP, company definition)</t>
  </si>
  <si>
    <t xml:space="preserve">  FCF yield</t>
  </si>
  <si>
    <t>Teledyne Technologies (TDY) — Bull / Base / Bear Case P&amp;L Summary</t>
  </si>
  <si>
    <t>Share price ($):</t>
  </si>
  <si>
    <t>Non-GAAP figures (company current definition) · USD millions · Live panel linked to Model — toggle scenario via Model!CT2. Bull and Bear panels are value snapshots generated from the Model with the switch set to each case.</t>
  </si>
  <si>
    <t>As of:</t>
  </si>
  <si>
    <t>Scenario:</t>
  </si>
  <si>
    <t>Snapshot (values) — Model run with switch = Bull</t>
  </si>
  <si>
    <t>Snapshot (values) — Model run with switch = Bear</t>
  </si>
  <si>
    <t>(USDm, except EPS and shares)</t>
  </si>
  <si>
    <t>2025A</t>
  </si>
  <si>
    <t>25-'30 CAGR</t>
  </si>
  <si>
    <t>LT Hist Avg</t>
  </si>
  <si>
    <t>LT Hist Min</t>
  </si>
  <si>
    <t>LT Hist Max</t>
  </si>
  <si>
    <t>Net Sales</t>
  </si>
  <si>
    <t xml:space="preserve">   Net sales y/y %</t>
  </si>
  <si>
    <t xml:space="preserve">   Organic growth %</t>
  </si>
  <si>
    <t>Non-GAAP Operating Income</t>
  </si>
  <si>
    <t xml:space="preserve">   Non-GAAP operating margin %</t>
  </si>
  <si>
    <t>Operating Income (GAAP)</t>
  </si>
  <si>
    <t xml:space="preserve">   Operating income y/y %</t>
  </si>
  <si>
    <t xml:space="preserve">   Operating margin (GAAP) %</t>
  </si>
  <si>
    <t>Non-GAAP Net Income (attributable to Teledyne)</t>
  </si>
  <si>
    <t>FDSO (m)</t>
  </si>
  <si>
    <t>Non-GAAP EPS — Diluted ($)</t>
  </si>
  <si>
    <t xml:space="preserve">   EPS y/y %</t>
  </si>
  <si>
    <t>P / E (x) — assumed (non-GAAP EPS)</t>
  </si>
  <si>
    <t>Price Target ($)</t>
  </si>
  <si>
    <t xml:space="preserve">   Upside / (Downside) vs current</t>
  </si>
  <si>
    <t>IRR (to Dec-Y-1)</t>
  </si>
  <si>
    <t>Free Cash Flow</t>
  </si>
  <si>
    <t xml:space="preserve">   FCF %</t>
  </si>
  <si>
    <t xml:space="preserve">   FCF / share ($)</t>
  </si>
  <si>
    <t xml:space="preserve">   FCF Yield (on PT)</t>
  </si>
  <si>
    <t xml:space="preserve">   Adjusted EBITDA margin %</t>
  </si>
  <si>
    <t>Net Debt</t>
  </si>
  <si>
    <t xml:space="preserve">   Net Debt / Adjusted EBITDA (x)</t>
  </si>
  <si>
    <t>ROIC</t>
  </si>
  <si>
    <t>RONTA</t>
  </si>
  <si>
    <t>Implied Market Cap (USDm)</t>
  </si>
  <si>
    <t>(+) Net Debt &amp; NCI</t>
  </si>
  <si>
    <t>Implied Enterprise Value (USDm)</t>
  </si>
  <si>
    <t>Implied EV / Adjusted EBITDA (x)</t>
  </si>
  <si>
    <t>DCF VALUATION — TELEDYNE TECHNOLOGIES (TDY)</t>
  </si>
  <si>
    <t>1. WACC BUILD</t>
  </si>
  <si>
    <t>Risk-free rate (US 10Y govt)</t>
  </si>
  <si>
    <t>Assumption (~US 10Y Treasury yield); update to market</t>
  </si>
  <si>
    <t>Equity risk premium</t>
  </si>
  <si>
    <t>US implied ERP ~4.5–5.5% (Damodaran)</t>
  </si>
  <si>
    <t>Levered beta</t>
  </si>
  <si>
    <t>Diversified instrumentation / A&amp;D electronics peers (AME, KEYS, LHX) ~0.9–1.1; ~25% US Government sales dampen cyclicality</t>
  </si>
  <si>
    <t>Cost of equity</t>
  </si>
  <si>
    <t>Pre-tax cost of debt</t>
  </si>
  <si>
    <t>BBB-rated (investment grade); FLIR-acquisition notes 1.6%–2.75% fixed coupons; marginal cost ~4.5–5.0%</t>
  </si>
  <si>
    <t>Tax rate</t>
  </si>
  <si>
    <t>Model 2027E+ effective tax rate (FY26 outlook rate in the scenario table)</t>
  </si>
  <si>
    <t>After-tax cost of debt</t>
  </si>
  <si>
    <t>Target D/V</t>
  </si>
  <si>
    <t>Net debt ~$1.7bn vs ~$29bn market cap; leverage 1.1x at 30-Jun-26</t>
  </si>
  <si>
    <t>WACC</t>
  </si>
  <si>
    <t>Valuation date (live)</t>
  </si>
  <si>
    <t>Periods = (Dec-31-Year − today) / 365.25; cash flows assumed at year-end</t>
  </si>
  <si>
    <t>2. UNLEVERED FREE CASH FLOW BUILD (USDm)</t>
  </si>
  <si>
    <t>2031E</t>
  </si>
  <si>
    <t>2032E</t>
  </si>
  <si>
    <t>2033E</t>
  </si>
  <si>
    <t>2034E</t>
  </si>
  <si>
    <t>2035E</t>
  </si>
  <si>
    <t>Terminal</t>
  </si>
  <si>
    <t>Non-GAAP operating income (Model, current definition)</t>
  </si>
  <si>
    <t>(−) Transaction &amp; integration costs (cash, excluded from non-GAAP)</t>
  </si>
  <si>
    <t>× (1 − tax rate)</t>
  </si>
  <si>
    <t>NOPAT  =  (Non-GAAP OI − transaction costs) × (1 − t)</t>
  </si>
  <si>
    <t>plus depreciation (D&amp;A ex acquired-intangible amortization)</t>
  </si>
  <si>
    <t>− Capex (PP&amp;E) and acquisitions (M&amp;A lever, 2027E+)</t>
  </si>
  <si>
    <t>− Δ Working capital (CF statement)</t>
  </si>
  <si>
    <t>Unlevered FCF</t>
  </si>
  <si>
    <t>Terminal Value (Gordon Growth)</t>
  </si>
  <si>
    <t xml:space="preserve">   memo: PP&amp;E capex only (fade years carry no new acquisitions)</t>
  </si>
  <si>
    <t>Fade-period growth (2031E–35E)</t>
  </si>
  <si>
    <t>Terminal growth rate</t>
  </si>
  <si>
    <t>Discount period (years)</t>
  </si>
  <si>
    <t>Discount factor</t>
  </si>
  <si>
    <t>PV of UFCF</t>
  </si>
  <si>
    <t>Teledyne's non-GAAP operating income already expenses stock-based compensation (only acquired-intangible amortization and acquisition items are excluded). Acquisition spend from the M&amp;A lever is deducted in 2027E–30E so that acquired sales / profit in the Model are paid for; the fade period and terminal value assume no new acquisitions. Operating-lease costs sit inside operating income (lease liabilities not deducted as debt).</t>
  </si>
  <si>
    <t>3. VALUATION SUMMARY</t>
  </si>
  <si>
    <t>Sum of PV (explicit + fade)</t>
  </si>
  <si>
    <t>PV of Terminal Value</t>
  </si>
  <si>
    <t>Enterprise Value</t>
  </si>
  <si>
    <t>Less: net debt (Model 2026E YE)</t>
  </si>
  <si>
    <t>Less: non-controlling interests (Model 2026E)</t>
  </si>
  <si>
    <t>Equity Value</t>
  </si>
  <si>
    <t>Diluted shares (m, Model 2026E)</t>
  </si>
  <si>
    <t>Implied share price ($)</t>
  </si>
  <si>
    <t>Current share price ($)</t>
  </si>
  <si>
    <t>Implied upside / (downside)</t>
  </si>
  <si>
    <t>4. SENSITIVITY: IMPLIED PRICE ($) — WACC × Terminal Growth</t>
  </si>
  <si>
    <t>g (down) / WACC</t>
  </si>
  <si>
    <t>5. REVERSE DCF</t>
  </si>
  <si>
    <t>To solve for the market-implied path: Data ▸ What-If Analysis ▸ Goal Seek — set C45 to the current price (C46) by changing C30 (terminal growth) or the Model scenario levers (segment organic growth, non-GAAP margins, M&amp;A spend).</t>
  </si>
  <si>
    <t>6. MAUBOUSSIN EV / NOPAT — TWO-STAGE FRAMEWORK</t>
  </si>
  <si>
    <t>EV/NOPAT  =  1/r  +  [g × (1 − r/ROIIC) / (r × (r − g))] × [1 − ((1+g)/(1+r))^N]</t>
  </si>
  <si>
    <t>Formula source: Mauboussin &amp; Rappaport, "Expectations Investing" (2021); Counterpoint Global, "What Does a Price-Earnings Multiple Mean?" (2020).</t>
  </si>
  <si>
    <t>Input</t>
  </si>
  <si>
    <t>Value</t>
  </si>
  <si>
    <t>Rationale (Teledyne characteristics)</t>
  </si>
  <si>
    <t>r  (Cost of capital / WACC)</t>
  </si>
  <si>
    <t>Linked from Section 1 WACC build</t>
  </si>
  <si>
    <t>g  (NOPAT growth, Stage 1)</t>
  </si>
  <si>
    <t>Model non-GAAP OI CAGR 2025–30E: mid-single-digit organic growth + margin expansion + bolt-on M&amp;A</t>
  </si>
  <si>
    <t>ROIIC  (Return on incremental invested capital)</t>
  </si>
  <si>
    <t>Organic growth is capital-light (capex ~2% of sales); acquired growth earns ~8–10% after-tax on purchase price (FLIR goodwill-heavy base: ROIC ~7–9%)</t>
  </si>
  <si>
    <t>N  (Years of value creation / CAP)</t>
  </si>
  <si>
    <t>Niche leadership in IR imaging, marine instruments and space-qualified sensors; decentralised serial-acquirer model with disciplined capital allocation</t>
  </si>
  <si>
    <t>Calculation</t>
  </si>
  <si>
    <t>Steady-state component:  1 / r</t>
  </si>
  <si>
    <t>Value-creation factor: 1 − r / ROIIC</t>
  </si>
  <si>
    <t>Growth multiplier: g × (1 − r/ROIIC) / (r × (r − g))</t>
  </si>
  <si>
    <t>Time decay: 1 − ((1+g)/(1+r))^N</t>
  </si>
  <si>
    <t>PVGO component (growth value)</t>
  </si>
  <si>
    <t>Mauboussin EV / NOPAT (steady-state + PVGO)</t>
  </si>
  <si>
    <t>VALUATION  —  Applied to 2028E NOPAT</t>
  </si>
  <si>
    <t>USDm</t>
  </si>
  <si>
    <t>2028E Non-GAAP operating income (Model)</t>
  </si>
  <si>
    <t>(−) 2028E transaction &amp; integration costs</t>
  </si>
  <si>
    <t>Tax rate (from WACC build)</t>
  </si>
  <si>
    <t>2028E NOPAT  =  (OI − transaction costs) × (1 − t)</t>
  </si>
  <si>
    <t>× Mauboussin EV/NOPAT multiple</t>
  </si>
  <si>
    <t>Implied Enterprise Value (2028E basis)</t>
  </si>
  <si>
    <t>Less: YE2027 net debt + NCI (Model)</t>
  </si>
  <si>
    <t>Implied Equity Value</t>
  </si>
  <si>
    <t>Diluted shares 2028E (m, Model)</t>
  </si>
  <si>
    <t>Implied share price 2028 ($)</t>
  </si>
  <si>
    <t>MARKET-IMPLIED EV/NOPAT TODAY</t>
  </si>
  <si>
    <t>Current market cap (spot × diluted shares)</t>
  </si>
  <si>
    <t>Plus: YE2026 net debt &amp; NCI</t>
  </si>
  <si>
    <t>Implied Enterprise Value (today)</t>
  </si>
  <si>
    <t>TDY's market-implied EV/NOPAT (on 2028E NOPAT)</t>
  </si>
  <si>
    <t>Multiple gap (Mauboussin − Market)</t>
  </si>
  <si>
    <t>Implied re-rating headroom</t>
  </si>
  <si>
    <t>Teledyne Technologies — Historical Operating Performance (2006–2025)</t>
  </si>
  <si>
    <t>All historicals · USDm · Linked to Model. M&amp;A % = disclosed incremental sales from acquisitions (e.g. DALSA 2011, e2v 2017, FLIR 2021, Excelitas A&amp;D 2025). Non-GAAP OI on the current definition (model memo series) for all years.</t>
  </si>
  <si>
    <t>Organic %</t>
  </si>
  <si>
    <t>M&amp;A %</t>
  </si>
  <si>
    <t>Non-GAAP Op. Margin %</t>
  </si>
  <si>
    <t>GAAP Op. Margin %</t>
  </si>
  <si>
    <t>Non-GAAP op. margin %</t>
  </si>
  <si>
    <t>FCF margin %</t>
  </si>
  <si>
    <t xml:space="preserve">  % of scheduled maturities rolled (refinanced) (input)</t>
  </si>
  <si>
    <t xml:space="preserve">  Rolled maturities: refinancing issuance</t>
  </si>
  <si>
    <t xml:space="preserve">  Refinanced debt outstanding (year end)</t>
  </si>
  <si>
    <t xml:space="preserve">  Interest rate on legacy fixed-rate notes (opening balance) %</t>
  </si>
  <si>
    <t xml:space="preserve">  Interest rate on refinanced (rolled) debt %</t>
  </si>
  <si>
    <t xml:space="preserve">  Interest rate on revolver draws %</t>
  </si>
  <si>
    <t>100% = each maturity refinanced with new debt at the rolled rate; 0% = repaid from cash (prior treatment).</t>
  </si>
  <si>
    <t>New notes issued to refinance the rolled share of scheduled maturities.</t>
  </si>
  <si>
    <t>Cumulative refinanced debt; carries the rolled-debt rate from the year after issuance (opening-balance convention).</t>
  </si>
  <si>
    <t>Coupons on notes outstanding at opening + ~17bp fees/discount amortisation: 2027–28E 2.25%/2.50%/2.75% blend ≈2.53% → 2.70%; 2029–30E 2.50%/2.75% blend ≈2.67% → 2.84%.</t>
  </si>
  <si>
    <t>Assumed refinancing rate on rolled maturities.</t>
  </si>
  <si>
    <t>Revolver (undrawn in base case) per prior ~5% assumption.</t>
  </si>
  <si>
    <t>Leverage-targeted buybacks (repurchases plug to a minimum net debt / adj. EBITDA)</t>
  </si>
  <si>
    <t xml:space="preserve">  Minimum net debt / adjusted EBITDA (x) (input)</t>
  </si>
  <si>
    <t xml:space="preserve">  Net debt before buybacks (year end)</t>
  </si>
  <si>
    <t xml:space="preserve">  Target minimum net debt  =  min. leverage × adjusted EBITDA</t>
  </si>
  <si>
    <t xml:space="preserve">  Share repurchases: plug to minimum leverage</t>
  </si>
  <si>
    <t>2026E = 1H/26 actual + 2H scenario amount; 2027E+ = leverage plug (row 393): surplus cash returned via buybacks so net debt / adj. EBITDA does not fall below the minimum (row 390). Scenario buyback table (DC76:DE79) no longer drives 2027E+.</t>
  </si>
  <si>
    <t>Net debt if no repurchases: opening debt + maturities + refinancing − (opening cash + CFO + CFI + option proceeds + other CFF + FX + debt flows). Revolver draws net out.</t>
  </si>
  <si>
    <t>Adjusted EBITDA from row 427.</t>
  </si>
  <si>
    <t>Zero when leverage is already at or above the minimum (e.g. heavy M&amp;A years); feeds CFS row 280.</t>
  </si>
  <si>
    <t>Min. net debt / adj. EBITDA (x) — buyback plug</t>
  </si>
  <si>
    <t>Surplus cash above this leverage floor goes to buybacks (Model row 390–393).</t>
  </si>
  <si>
    <t>Scenario-driven floor on net debt / adj. EBITDA (scenario table DC81:DE81: Bull 1.5x, Base 1.0x, Bear 1.0x); buybacks sized to hold leverage at this level.</t>
  </si>
  <si>
    <t>Net investment  =  NOPAT − UFCF</t>
  </si>
  <si>
    <t>Opening invested capital</t>
  </si>
  <si>
    <t>Closing invested capital</t>
  </si>
  <si>
    <t>Implied ROIC  =  NOPAT / opening IC</t>
  </si>
  <si>
    <t>Reinvestment rate  =  net inv. / NOPAT</t>
  </si>
  <si>
    <t>Incremental ROIC  =  Δ NOPAT / prior-yr net inv.</t>
  </si>
  <si>
    <t>Cumulative incremental ROIC 2026E–35E</t>
  </si>
  <si>
    <t>Implied ROIC &amp; incremental ROIC (USDm)</t>
  </si>
  <si>
    <t>Opening IC = Model 2025A book IC (equity + net debt, Model!CI403), rolled forward with DCF net investment (capex + M&amp;A − D&amp;A + ΔWC). Terminal incremental ROIC = g ÷ reinvestment rate. Cumulative = (NOPAT 2035E − 2026E) / Σ net investment 2026E–34E.</t>
  </si>
  <si>
    <t>WACC step (across)</t>
  </si>
  <si>
    <t>Terminal growth step (down)</t>
  </si>
  <si>
    <t xml:space="preserve">   y/y %</t>
  </si>
  <si>
    <t>CAGR 26–30E</t>
  </si>
  <si>
    <t>CAGR 26–35E</t>
  </si>
  <si>
    <t>NOPAT (row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</si>
</sst>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;\(#,##0\);\-"/>
    <numFmt numFmtId="165" formatCode="0%;\(0%\);&quot;n/m&quot;"/>
    <numFmt numFmtId="166" formatCode="0.0%;\(0.0%\);\-"/>
    <numFmt numFmtId="167" formatCode="0.00;\(0.00\);\-"/>
    <numFmt numFmtId="168" formatCode="\+0.0%;\-0.0%"/>
    <numFmt numFmtId="169" formatCode="\+#,##0;\-#,##0"/>
    <numFmt numFmtId="170" formatCode="0.00\x;\(0.00&quot;x)&quot;;\-"/>
    <numFmt numFmtId="171" formatCode="#,##0.0;\(#,##0.0\);\-"/>
    <numFmt numFmtId="172" formatCode="0\d;\(0&quot;)d&quot;;\-"/>
    <numFmt numFmtId="173" formatCode="dd\-mmm\-yy"/>
    <numFmt numFmtId="174" formatCode="0%;\(0%\);\-"/>
    <numFmt numFmtId="175" formatCode="0.0\x"/>
    <numFmt numFmtId="176" formatCode="0.0%"/>
    <numFmt numFmtId="177" formatCode="0.000"/>
    <numFmt numFmtId="178" formatCode="0.0\x;\(0.0&quot;x)&quot;;\-"/>
  </numFmts>
  <fonts count="38" x14ac:knownFonts="1">
    <font>
      <sz val="11"/>
      <color theme="1"/>
      <name val="Calibri"/>
      <family val="2"/>
      <charset val="1"/>
    </font>
    <font>
      <b/>
      <sz val="10"/>
      <color rgb="FFC00000"/>
      <name val="Calibri"/>
      <charset val="1"/>
    </font>
    <font>
      <b/>
      <sz val="16"/>
      <color rgb="FF1F3864"/>
      <name val="Calibri"/>
      <charset val="1"/>
    </font>
    <font>
      <b/>
      <sz val="12"/>
      <color rgb="FF0000FF"/>
      <name val="Calibri"/>
      <charset val="1"/>
    </font>
    <font>
      <sz val="10"/>
      <color rgb="FF595959"/>
      <name val="Calibri"/>
      <charset val="1"/>
    </font>
    <font>
      <sz val="10"/>
      <color rgb="FFC00000"/>
      <name val="Calibri"/>
      <charset val="1"/>
    </font>
    <font>
      <b/>
      <sz val="12"/>
      <color rgb="FFFFFFFF"/>
      <name val="Calibri"/>
      <charset val="1"/>
    </font>
    <font>
      <sz val="9"/>
      <color rgb="FF666666"/>
      <name val="Calibri"/>
      <charset val="1"/>
    </font>
    <font>
      <sz val="12"/>
      <name val="Calibri"/>
      <charset val="1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2"/>
      <name val="Calibri"/>
      <charset val="1"/>
    </font>
    <font>
      <sz val="12"/>
      <color rgb="FF404040"/>
      <name val="Calibri"/>
      <charset val="1"/>
    </font>
    <font>
      <sz val="12"/>
      <color rgb="FFA6A6A6"/>
      <name val="Calibri"/>
      <charset val="1"/>
    </font>
    <font>
      <sz val="12"/>
      <color rgb="FF000000"/>
      <name val="Calibri"/>
      <charset val="1"/>
    </font>
    <font>
      <sz val="12"/>
      <color rgb="FF0000FF"/>
      <name val="Calibri"/>
      <charset val="1"/>
    </font>
    <font>
      <b/>
      <i/>
      <sz val="12"/>
      <color rgb="FF666666"/>
      <name val="Calibri"/>
      <charset val="1"/>
    </font>
    <font>
      <b/>
      <sz val="12"/>
      <color rgb="FF595959"/>
      <name val="Calibri"/>
      <charset val="1"/>
    </font>
    <font>
      <b/>
      <i/>
      <sz val="11"/>
      <color rgb="FFC00000"/>
      <name val="Calibri"/>
      <charset val="1"/>
    </font>
    <font>
      <b/>
      <i/>
      <sz val="10"/>
      <color rgb="FFC00000"/>
      <name val="Calibri"/>
      <charset val="1"/>
    </font>
    <font>
      <sz val="10"/>
      <name val="Arial"/>
      <family val="2"/>
    </font>
    <font>
      <b/>
      <sz val="16"/>
      <color rgb="FF2F3E46"/>
      <name val="Calibri"/>
      <charset val="1"/>
    </font>
    <font>
      <b/>
      <sz val="12"/>
      <color rgb="FF008000"/>
      <name val="Calibri"/>
      <charset val="1"/>
    </font>
    <font>
      <b/>
      <sz val="12"/>
      <color rgb="FF2F3E46"/>
      <name val="Calibri"/>
      <charset val="1"/>
    </font>
    <font>
      <b/>
      <sz val="9"/>
      <color rgb="FFFFFFFF"/>
      <name val="Calibri"/>
      <charset val="1"/>
    </font>
    <font>
      <sz val="12"/>
      <color rgb="FF595959"/>
      <name val="Calibri"/>
      <charset val="1"/>
    </font>
    <font>
      <b/>
      <sz val="14"/>
      <color rgb="FFFFFFFF"/>
      <name val="Calibri"/>
      <charset val="1"/>
    </font>
    <font>
      <sz val="12"/>
      <color rgb="FF008000"/>
      <name val="Calibri"/>
      <charset val="1"/>
    </font>
    <font>
      <b/>
      <sz val="14"/>
      <name val="Calibri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2"/>
      <color rgb="FF000000"/>
      <name val="Calibri"/>
      <charset val="1"/>
    </font>
    <font>
      <i/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5" borderId="0" xfId="0" applyFont="1" applyFill="1"/>
    <xf numFmtId="0" fontId="8" fillId="0" borderId="0" xfId="0" applyFont="1"/>
    <xf numFmtId="0" fontId="9" fillId="0" borderId="0" xfId="0" applyFont="1"/>
    <xf numFmtId="0" fontId="10" fillId="6" borderId="0" xfId="0" applyFont="1" applyFill="1" applyAlignment="1">
      <alignment horizontal="center"/>
    </xf>
    <xf numFmtId="0" fontId="11" fillId="0" borderId="0" xfId="0" applyFont="1"/>
    <xf numFmtId="0" fontId="12" fillId="7" borderId="0" xfId="0" applyFont="1" applyFill="1"/>
    <xf numFmtId="0" fontId="6" fillId="7" borderId="0" xfId="0" applyFont="1" applyFill="1"/>
    <xf numFmtId="0" fontId="13" fillId="0" borderId="2" xfId="0" applyFont="1" applyBorder="1"/>
    <xf numFmtId="164" fontId="10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10" fillId="2" borderId="2" xfId="0" applyNumberFormat="1" applyFont="1" applyFill="1" applyBorder="1" applyAlignment="1">
      <alignment horizontal="right"/>
    </xf>
    <xf numFmtId="0" fontId="11" fillId="2" borderId="0" xfId="0" applyFont="1" applyFill="1"/>
    <xf numFmtId="165" fontId="13" fillId="6" borderId="0" xfId="0" applyNumberFormat="1" applyFont="1" applyFill="1"/>
    <xf numFmtId="0" fontId="6" fillId="7" borderId="0" xfId="0" applyFont="1" applyFill="1" applyAlignment="1">
      <alignment horizontal="center"/>
    </xf>
    <xf numFmtId="0" fontId="14" fillId="0" borderId="0" xfId="0" applyFont="1"/>
    <xf numFmtId="166" fontId="15" fillId="0" borderId="0" xfId="0" applyNumberFormat="1" applyFont="1" applyAlignment="1">
      <alignment horizontal="right"/>
    </xf>
    <xf numFmtId="166" fontId="16" fillId="2" borderId="0" xfId="0" applyNumberFormat="1" applyFont="1" applyFill="1" applyAlignment="1">
      <alignment horizontal="right"/>
    </xf>
    <xf numFmtId="167" fontId="17" fillId="0" borderId="0" xfId="0" applyNumberFormat="1" applyFont="1"/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6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12" fillId="5" borderId="2" xfId="0" applyFont="1" applyFill="1" applyBorder="1"/>
    <xf numFmtId="164" fontId="10" fillId="6" borderId="2" xfId="0" applyNumberFormat="1" applyFont="1" applyFill="1" applyBorder="1" applyAlignment="1">
      <alignment horizontal="right"/>
    </xf>
    <xf numFmtId="166" fontId="17" fillId="0" borderId="0" xfId="0" applyNumberFormat="1" applyFont="1"/>
    <xf numFmtId="0" fontId="18" fillId="0" borderId="0" xfId="0" applyFont="1"/>
    <xf numFmtId="164" fontId="17" fillId="0" borderId="0" xfId="0" applyNumberFormat="1" applyFont="1"/>
    <xf numFmtId="0" fontId="19" fillId="0" borderId="0" xfId="0" applyFont="1"/>
    <xf numFmtId="166" fontId="16" fillId="0" borderId="0" xfId="0" applyNumberFormat="1" applyFont="1" applyAlignment="1">
      <alignment horizontal="right"/>
    </xf>
    <xf numFmtId="166" fontId="13" fillId="6" borderId="0" xfId="0" applyNumberFormat="1" applyFont="1" applyFill="1"/>
    <xf numFmtId="168" fontId="3" fillId="8" borderId="0" xfId="0" applyNumberFormat="1" applyFont="1" applyFill="1" applyAlignment="1">
      <alignment horizontal="center"/>
    </xf>
    <xf numFmtId="166" fontId="16" fillId="0" borderId="0" xfId="0" applyNumberFormat="1" applyFont="1"/>
    <xf numFmtId="169" fontId="3" fillId="8" borderId="0" xfId="0" applyNumberFormat="1" applyFont="1" applyFill="1" applyAlignment="1">
      <alignment horizontal="center"/>
    </xf>
    <xf numFmtId="164" fontId="16" fillId="0" borderId="0" xfId="0" applyNumberFormat="1" applyFont="1"/>
    <xf numFmtId="166" fontId="3" fillId="2" borderId="0" xfId="0" applyNumberFormat="1" applyFont="1" applyFill="1" applyAlignment="1">
      <alignment horizontal="right"/>
    </xf>
    <xf numFmtId="0" fontId="14" fillId="8" borderId="0" xfId="0" applyFont="1" applyFill="1"/>
    <xf numFmtId="170" fontId="16" fillId="0" borderId="0" xfId="0" applyNumberFormat="1" applyFont="1" applyAlignment="1">
      <alignment horizontal="right"/>
    </xf>
    <xf numFmtId="170" fontId="16" fillId="2" borderId="0" xfId="0" applyNumberFormat="1" applyFont="1" applyFill="1" applyAlignment="1">
      <alignment horizontal="right"/>
    </xf>
    <xf numFmtId="170" fontId="3" fillId="2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71" fontId="16" fillId="0" borderId="0" xfId="0" applyNumberFormat="1" applyFont="1" applyAlignment="1">
      <alignment horizontal="right"/>
    </xf>
    <xf numFmtId="171" fontId="16" fillId="2" borderId="0" xfId="0" applyNumberFormat="1" applyFont="1" applyFill="1" applyAlignment="1">
      <alignment horizontal="right"/>
    </xf>
    <xf numFmtId="171" fontId="3" fillId="2" borderId="0" xfId="0" applyNumberFormat="1" applyFont="1" applyFill="1" applyAlignment="1">
      <alignment horizontal="right"/>
    </xf>
    <xf numFmtId="164" fontId="3" fillId="6" borderId="2" xfId="0" applyNumberFormat="1" applyFont="1" applyFill="1" applyBorder="1" applyAlignment="1">
      <alignment horizontal="right"/>
    </xf>
    <xf numFmtId="171" fontId="17" fillId="0" borderId="0" xfId="0" applyNumberFormat="1" applyFont="1" applyAlignment="1">
      <alignment horizontal="right"/>
    </xf>
    <xf numFmtId="167" fontId="10" fillId="6" borderId="2" xfId="0" applyNumberFormat="1" applyFont="1" applyFill="1" applyBorder="1" applyAlignment="1">
      <alignment horizontal="right"/>
    </xf>
    <xf numFmtId="167" fontId="10" fillId="0" borderId="2" xfId="0" applyNumberFormat="1" applyFont="1" applyBorder="1" applyAlignment="1">
      <alignment horizontal="right"/>
    </xf>
    <xf numFmtId="167" fontId="17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167" fontId="16" fillId="2" borderId="0" xfId="0" applyNumberFormat="1" applyFont="1" applyFill="1" applyAlignment="1">
      <alignment horizontal="right"/>
    </xf>
    <xf numFmtId="0" fontId="20" fillId="0" borderId="0" xfId="0" applyFont="1"/>
    <xf numFmtId="0" fontId="21" fillId="0" borderId="0" xfId="0" applyFont="1"/>
    <xf numFmtId="167" fontId="10" fillId="2" borderId="2" xfId="0" applyNumberFormat="1" applyFont="1" applyFill="1" applyBorder="1" applyAlignment="1">
      <alignment horizontal="right"/>
    </xf>
    <xf numFmtId="172" fontId="16" fillId="0" borderId="0" xfId="0" applyNumberFormat="1" applyFont="1" applyAlignment="1">
      <alignment horizontal="right"/>
    </xf>
    <xf numFmtId="172" fontId="16" fillId="2" borderId="0" xfId="0" applyNumberFormat="1" applyFont="1" applyFill="1" applyAlignment="1">
      <alignment horizontal="right"/>
    </xf>
    <xf numFmtId="172" fontId="3" fillId="2" borderId="0" xfId="0" applyNumberFormat="1" applyFont="1" applyFill="1" applyAlignment="1">
      <alignment horizontal="right"/>
    </xf>
    <xf numFmtId="166" fontId="10" fillId="6" borderId="2" xfId="0" applyNumberFormat="1" applyFont="1" applyFill="1" applyBorder="1" applyAlignment="1">
      <alignment horizontal="right"/>
    </xf>
    <xf numFmtId="166" fontId="10" fillId="0" borderId="2" xfId="0" applyNumberFormat="1" applyFont="1" applyBorder="1" applyAlignment="1">
      <alignment horizontal="right"/>
    </xf>
    <xf numFmtId="170" fontId="10" fillId="6" borderId="2" xfId="0" applyNumberFormat="1" applyFont="1" applyFill="1" applyBorder="1" applyAlignment="1">
      <alignment horizontal="right"/>
    </xf>
    <xf numFmtId="170" fontId="10" fillId="0" borderId="2" xfId="0" applyNumberFormat="1" applyFont="1" applyBorder="1" applyAlignment="1">
      <alignment horizontal="right"/>
    </xf>
    <xf numFmtId="170" fontId="17" fillId="0" borderId="0" xfId="0" applyNumberFormat="1" applyFont="1" applyAlignment="1">
      <alignment horizontal="right"/>
    </xf>
    <xf numFmtId="167" fontId="3" fillId="2" borderId="0" xfId="0" applyNumberFormat="1" applyFont="1" applyFill="1" applyAlignment="1">
      <alignment horizontal="right"/>
    </xf>
    <xf numFmtId="0" fontId="23" fillId="0" borderId="0" xfId="0" applyFont="1"/>
    <xf numFmtId="4" fontId="24" fillId="2" borderId="0" xfId="0" applyNumberFormat="1" applyFont="1" applyFill="1"/>
    <xf numFmtId="173" fontId="0" fillId="0" borderId="0" xfId="0" applyNumberFormat="1"/>
    <xf numFmtId="0" fontId="25" fillId="6" borderId="0" xfId="0" applyFont="1" applyFill="1"/>
    <xf numFmtId="0" fontId="13" fillId="0" borderId="0" xfId="0" applyFont="1"/>
    <xf numFmtId="0" fontId="24" fillId="3" borderId="0" xfId="0" applyFont="1" applyFill="1"/>
    <xf numFmtId="0" fontId="26" fillId="5" borderId="0" xfId="0" applyFont="1" applyFill="1"/>
    <xf numFmtId="0" fontId="12" fillId="5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25" fillId="0" borderId="0" xfId="0" applyFont="1"/>
    <xf numFmtId="164" fontId="24" fillId="9" borderId="0" xfId="0" applyNumberFormat="1" applyFont="1" applyFill="1"/>
    <xf numFmtId="164" fontId="24" fillId="2" borderId="0" xfId="0" applyNumberFormat="1" applyFont="1" applyFill="1"/>
    <xf numFmtId="174" fontId="13" fillId="10" borderId="0" xfId="0" applyNumberFormat="1" applyFont="1" applyFill="1"/>
    <xf numFmtId="0" fontId="27" fillId="0" borderId="0" xfId="0" applyFont="1"/>
    <xf numFmtId="174" fontId="27" fillId="9" borderId="0" xfId="0" applyNumberFormat="1" applyFont="1" applyFill="1"/>
    <xf numFmtId="174" fontId="27" fillId="2" borderId="0" xfId="0" applyNumberFormat="1" applyFont="1" applyFill="1"/>
    <xf numFmtId="174" fontId="27" fillId="0" borderId="0" xfId="0" applyNumberFormat="1" applyFont="1"/>
    <xf numFmtId="166" fontId="24" fillId="9" borderId="0" xfId="0" applyNumberFormat="1" applyFont="1" applyFill="1"/>
    <xf numFmtId="166" fontId="24" fillId="2" borderId="0" xfId="0" applyNumberFormat="1" applyFont="1" applyFill="1"/>
    <xf numFmtId="166" fontId="27" fillId="9" borderId="0" xfId="0" applyNumberFormat="1" applyFont="1" applyFill="1"/>
    <xf numFmtId="166" fontId="27" fillId="2" borderId="0" xfId="0" applyNumberFormat="1" applyFont="1" applyFill="1"/>
    <xf numFmtId="166" fontId="27" fillId="11" borderId="0" xfId="0" applyNumberFormat="1" applyFont="1" applyFill="1"/>
    <xf numFmtId="166" fontId="27" fillId="0" borderId="0" xfId="0" applyNumberFormat="1" applyFont="1"/>
    <xf numFmtId="171" fontId="24" fillId="9" borderId="0" xfId="0" applyNumberFormat="1" applyFont="1" applyFill="1"/>
    <xf numFmtId="171" fontId="24" fillId="2" borderId="0" xfId="0" applyNumberFormat="1" applyFont="1" applyFill="1"/>
    <xf numFmtId="167" fontId="24" fillId="9" borderId="0" xfId="0" applyNumberFormat="1" applyFont="1" applyFill="1"/>
    <xf numFmtId="167" fontId="24" fillId="2" borderId="0" xfId="0" applyNumberFormat="1" applyFont="1" applyFill="1"/>
    <xf numFmtId="175" fontId="3" fillId="12" borderId="0" xfId="0" applyNumberFormat="1" applyFont="1" applyFill="1"/>
    <xf numFmtId="164" fontId="6" fillId="5" borderId="0" xfId="0" applyNumberFormat="1" applyFont="1" applyFill="1"/>
    <xf numFmtId="174" fontId="25" fillId="6" borderId="0" xfId="0" applyNumberFormat="1" applyFont="1" applyFill="1"/>
    <xf numFmtId="167" fontId="27" fillId="9" borderId="0" xfId="0" applyNumberFormat="1" applyFont="1" applyFill="1"/>
    <xf numFmtId="167" fontId="27" fillId="2" borderId="0" xfId="0" applyNumberFormat="1" applyFont="1" applyFill="1"/>
    <xf numFmtId="170" fontId="27" fillId="9" borderId="0" xfId="0" applyNumberFormat="1" applyFont="1" applyFill="1"/>
    <xf numFmtId="170" fontId="27" fillId="2" borderId="0" xfId="0" applyNumberFormat="1" applyFont="1" applyFill="1"/>
    <xf numFmtId="170" fontId="27" fillId="0" borderId="0" xfId="0" applyNumberFormat="1" applyFont="1"/>
    <xf numFmtId="164" fontId="27" fillId="0" borderId="0" xfId="0" applyNumberFormat="1" applyFont="1"/>
    <xf numFmtId="0" fontId="28" fillId="5" borderId="0" xfId="0" applyFont="1" applyFill="1"/>
    <xf numFmtId="10" fontId="17" fillId="2" borderId="0" xfId="0" applyNumberFormat="1" applyFont="1" applyFill="1"/>
    <xf numFmtId="2" fontId="17" fillId="2" borderId="0" xfId="0" applyNumberFormat="1" applyFont="1" applyFill="1"/>
    <xf numFmtId="10" fontId="8" fillId="0" borderId="0" xfId="0" applyNumberFormat="1" applyFont="1"/>
    <xf numFmtId="10" fontId="13" fillId="6" borderId="0" xfId="0" applyNumberFormat="1" applyFont="1" applyFill="1"/>
    <xf numFmtId="164" fontId="29" fillId="0" borderId="0" xfId="0" applyNumberFormat="1" applyFont="1"/>
    <xf numFmtId="164" fontId="0" fillId="0" borderId="0" xfId="0" applyNumberFormat="1"/>
    <xf numFmtId="176" fontId="0" fillId="0" borderId="0" xfId="0" applyNumberFormat="1"/>
    <xf numFmtId="0" fontId="13" fillId="6" borderId="0" xfId="0" applyFont="1" applyFill="1"/>
    <xf numFmtId="164" fontId="13" fillId="6" borderId="0" xfId="0" applyNumberFormat="1" applyFont="1" applyFill="1"/>
    <xf numFmtId="176" fontId="17" fillId="2" borderId="0" xfId="0" applyNumberFormat="1" applyFont="1" applyFill="1"/>
    <xf numFmtId="176" fontId="3" fillId="3" borderId="0" xfId="0" applyNumberFormat="1" applyFont="1" applyFill="1"/>
    <xf numFmtId="2" fontId="0" fillId="0" borderId="0" xfId="0" applyNumberFormat="1"/>
    <xf numFmtId="177" fontId="0" fillId="0" borderId="0" xfId="0" applyNumberFormat="1"/>
    <xf numFmtId="171" fontId="0" fillId="0" borderId="0" xfId="0" applyNumberFormat="1"/>
    <xf numFmtId="4" fontId="6" fillId="5" borderId="0" xfId="0" applyNumberFormat="1" applyFont="1" applyFill="1"/>
    <xf numFmtId="4" fontId="0" fillId="0" borderId="0" xfId="0" applyNumberFormat="1"/>
    <xf numFmtId="166" fontId="0" fillId="0" borderId="0" xfId="0" applyNumberFormat="1"/>
    <xf numFmtId="10" fontId="16" fillId="0" borderId="0" xfId="0" applyNumberFormat="1" applyFont="1"/>
    <xf numFmtId="1" fontId="17" fillId="2" borderId="0" xfId="0" applyNumberFormat="1" applyFont="1" applyFill="1"/>
    <xf numFmtId="175" fontId="6" fillId="5" borderId="0" xfId="0" applyNumberFormat="1" applyFont="1" applyFill="1"/>
    <xf numFmtId="175" fontId="0" fillId="0" borderId="0" xfId="0" applyNumberFormat="1"/>
    <xf numFmtId="0" fontId="30" fillId="0" borderId="0" xfId="0" applyFont="1"/>
    <xf numFmtId="166" fontId="29" fillId="0" borderId="0" xfId="0" applyNumberFormat="1" applyFont="1"/>
    <xf numFmtId="178" fontId="16" fillId="2" borderId="0" xfId="0" applyNumberFormat="1" applyFont="1" applyFill="1" applyAlignment="1">
      <alignment horizontal="right"/>
    </xf>
    <xf numFmtId="164" fontId="17" fillId="2" borderId="0" xfId="0" applyNumberFormat="1" applyFont="1" applyFill="1" applyAlignment="1">
      <alignment horizontal="right"/>
    </xf>
    <xf numFmtId="174" fontId="16" fillId="0" borderId="0" xfId="0" applyNumberFormat="1" applyFont="1" applyAlignment="1">
      <alignment horizontal="right"/>
    </xf>
    <xf numFmtId="174" fontId="16" fillId="2" borderId="0" xfId="0" applyNumberFormat="1" applyFont="1" applyFill="1" applyAlignment="1">
      <alignment horizontal="right"/>
    </xf>
    <xf numFmtId="174" fontId="3" fillId="2" borderId="0" xfId="0" applyNumberFormat="1" applyFont="1" applyFill="1" applyAlignment="1">
      <alignment horizontal="right"/>
    </xf>
    <xf numFmtId="175" fontId="16" fillId="0" borderId="0" xfId="0" applyNumberFormat="1" applyFont="1" applyAlignment="1">
      <alignment horizontal="right"/>
    </xf>
    <xf numFmtId="175" fontId="16" fillId="2" borderId="0" xfId="0" applyNumberFormat="1" applyFont="1" applyFill="1" applyAlignment="1">
      <alignment horizontal="right"/>
    </xf>
    <xf numFmtId="175" fontId="3" fillId="8" borderId="0" xfId="0" applyNumberFormat="1" applyFont="1" applyFill="1" applyAlignment="1">
      <alignment horizontal="center"/>
    </xf>
    <xf numFmtId="175" fontId="3" fillId="7" borderId="0" xfId="0" applyNumberFormat="1" applyFont="1" applyFill="1" applyAlignment="1">
      <alignment horizontal="center"/>
    </xf>
    <xf numFmtId="175" fontId="10" fillId="2" borderId="0" xfId="0" applyNumberFormat="1" applyFont="1" applyFill="1" applyAlignment="1">
      <alignment horizontal="right"/>
    </xf>
    <xf numFmtId="176" fontId="16" fillId="2" borderId="0" xfId="0" applyNumberFormat="1" applyFont="1" applyFill="1"/>
    <xf numFmtId="164" fontId="31" fillId="0" borderId="0" xfId="0" applyNumberFormat="1" applyFont="1"/>
    <xf numFmtId="166" fontId="31" fillId="0" borderId="0" xfId="0" applyNumberFormat="1" applyFont="1"/>
    <xf numFmtId="0" fontId="32" fillId="0" borderId="0" xfId="0" applyFont="1"/>
    <xf numFmtId="0" fontId="6" fillId="5" borderId="0" xfId="0" applyFont="1" applyFill="1" applyAlignment="1">
      <alignment horizontal="right"/>
    </xf>
    <xf numFmtId="166" fontId="32" fillId="0" borderId="0" xfId="0" applyNumberFormat="1" applyFont="1" applyFill="1"/>
    <xf numFmtId="166" fontId="33" fillId="0" borderId="0" xfId="0" applyNumberFormat="1" applyFont="1" applyFill="1"/>
    <xf numFmtId="166" fontId="10" fillId="0" borderId="0" xfId="0" applyNumberFormat="1" applyFont="1" applyFill="1"/>
    <xf numFmtId="166" fontId="0" fillId="0" borderId="0" xfId="0" applyNumberFormat="1" applyFill="1"/>
    <xf numFmtId="166" fontId="31" fillId="0" borderId="0" xfId="0" applyNumberFormat="1" applyFont="1" applyFill="1"/>
    <xf numFmtId="166" fontId="16" fillId="0" borderId="0" xfId="0" applyNumberFormat="1" applyFont="1" applyFill="1"/>
    <xf numFmtId="176" fontId="34" fillId="0" borderId="0" xfId="0" applyNumberFormat="1" applyFont="1"/>
    <xf numFmtId="176" fontId="10" fillId="0" borderId="0" xfId="0" applyNumberFormat="1" applyFont="1"/>
    <xf numFmtId="3" fontId="0" fillId="0" borderId="0" xfId="0" applyNumberFormat="1" applyFill="1"/>
    <xf numFmtId="3" fontId="0" fillId="13" borderId="0" xfId="0" applyNumberFormat="1" applyFill="1"/>
    <xf numFmtId="0" fontId="35" fillId="0" borderId="0" xfId="0" applyFont="1" applyFill="1"/>
    <xf numFmtId="166" fontId="36" fillId="0" borderId="0" xfId="0" applyNumberFormat="1" applyFont="1" applyFill="1"/>
    <xf numFmtId="166" fontId="37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/>
              </a:rPr>
              <a:t>Net Sales Growth Decomposition: Organic vs M&amp;A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1.9257605358637853E-2</c:v>
                </c:pt>
                <c:pt idx="2">
                  <c:v>-2.6628860260124454E-2</c:v>
                </c:pt>
                <c:pt idx="3">
                  <c:v>-6.3763066202090685E-2</c:v>
                </c:pt>
                <c:pt idx="4">
                  <c:v>-2.0095635857393553E-2</c:v>
                </c:pt>
                <c:pt idx="5">
                  <c:v>2.9254348619389303E-2</c:v>
                </c:pt>
                <c:pt idx="6">
                  <c:v>2.4203100056646304E-3</c:v>
                </c:pt>
                <c:pt idx="7">
                  <c:v>1.8474122126639292E-2</c:v>
                </c:pt>
                <c:pt idx="8">
                  <c:v>6.8417001624899304E-4</c:v>
                </c:pt>
                <c:pt idx="9">
                  <c:v>-5.6307435254803723E-2</c:v>
                </c:pt>
                <c:pt idx="10">
                  <c:v>-7.5453635612027267E-2</c:v>
                </c:pt>
                <c:pt idx="11">
                  <c:v>7.2515000697706833E-2</c:v>
                </c:pt>
                <c:pt idx="12">
                  <c:v>7.0243490283431881E-2</c:v>
                </c:pt>
                <c:pt idx="13">
                  <c:v>4.4351781652767118E-2</c:v>
                </c:pt>
                <c:pt idx="14">
                  <c:v>-4.6244784422809479E-2</c:v>
                </c:pt>
                <c:pt idx="15">
                  <c:v>8.2463871427645885E-2</c:v>
                </c:pt>
                <c:pt idx="16">
                  <c:v>5.4309429382571606E-2</c:v>
                </c:pt>
                <c:pt idx="17">
                  <c:v>1.4124500787747685E-2</c:v>
                </c:pt>
                <c:pt idx="18">
                  <c:v>-2.6439535090054204E-3</c:v>
                </c:pt>
                <c:pt idx="19">
                  <c:v>3.0917107583774105E-2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A-44FA-9E1A-0B802C5FC88A}"/>
            </c:ext>
          </c:extLst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M&amp;A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0.11268490092101591</c:v>
                </c:pt>
                <c:pt idx="2">
                  <c:v>8.8084817851198927E-2</c:v>
                </c:pt>
                <c:pt idx="3">
                  <c:v>2.3170731707317073E-2</c:v>
                </c:pt>
                <c:pt idx="4">
                  <c:v>1.5313842987712609E-2</c:v>
                </c:pt>
                <c:pt idx="5">
                  <c:v>0.151806349592507</c:v>
                </c:pt>
                <c:pt idx="6">
                  <c:v>9.3053195324167046E-2</c:v>
                </c:pt>
                <c:pt idx="7">
                  <c:v>8.0853664269261494E-2</c:v>
                </c:pt>
                <c:pt idx="8">
                  <c:v>2.3005216796373899E-2</c:v>
                </c:pt>
                <c:pt idx="9">
                  <c:v>1.6248955722639933E-2</c:v>
                </c:pt>
                <c:pt idx="10">
                  <c:v>1.0965580261955529E-2</c:v>
                </c:pt>
                <c:pt idx="11">
                  <c:v>0.13861109819061351</c:v>
                </c:pt>
                <c:pt idx="12">
                  <c:v>4.4204624011060754E-2</c:v>
                </c:pt>
                <c:pt idx="13">
                  <c:v>4.5868081880212276E-2</c:v>
                </c:pt>
                <c:pt idx="14">
                  <c:v>2.1778985965355924E-2</c:v>
                </c:pt>
                <c:pt idx="15">
                  <c:v>0.41267578251571513</c:v>
                </c:pt>
                <c:pt idx="16">
                  <c:v>0.12866523633053767</c:v>
                </c:pt>
                <c:pt idx="17">
                  <c:v>1.8283076246656649E-2</c:v>
                </c:pt>
                <c:pt idx="18">
                  <c:v>8.7658592848904263E-3</c:v>
                </c:pt>
                <c:pt idx="19">
                  <c:v>4.7636684303350975E-2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A-44FA-9E1A-0B802C5FC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1980"/>
        <c:axId val="7053029"/>
      </c:barChart>
      <c:catAx>
        <c:axId val="649319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3029"/>
        <c:crosses val="autoZero"/>
        <c:auto val="1"/>
        <c:lblAlgn val="ctr"/>
        <c:lblOffset val="100"/>
        <c:noMultiLvlLbl val="0"/>
      </c:catAx>
      <c:valAx>
        <c:axId val="7053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9319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/>
              </a:rPr>
              <a:t>Non-GAAP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Non-GAAP Operating Income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132.80000000000001</c:v>
                </c:pt>
                <c:pt idx="1">
                  <c:v>168.69999999999985</c:v>
                </c:pt>
                <c:pt idx="2">
                  <c:v>214.39999999999992</c:v>
                </c:pt>
                <c:pt idx="3">
                  <c:v>183.79999999999998</c:v>
                </c:pt>
                <c:pt idx="4">
                  <c:v>192.60000000000011</c:v>
                </c:pt>
                <c:pt idx="5">
                  <c:v>251.80000000000004</c:v>
                </c:pt>
                <c:pt idx="6">
                  <c:v>272.50000000000023</c:v>
                </c:pt>
                <c:pt idx="7">
                  <c:v>271.79999999999995</c:v>
                </c:pt>
                <c:pt idx="8">
                  <c:v>326.50000000000011</c:v>
                </c:pt>
                <c:pt idx="9">
                  <c:v>312.29999999999995</c:v>
                </c:pt>
                <c:pt idx="10">
                  <c:v>284.00000000000006</c:v>
                </c:pt>
                <c:pt idx="11">
                  <c:v>381.80000000000013</c:v>
                </c:pt>
                <c:pt idx="12">
                  <c:v>456.10000000000014</c:v>
                </c:pt>
                <c:pt idx="13">
                  <c:v>528.19999999999993</c:v>
                </c:pt>
                <c:pt idx="14">
                  <c:v>518.89999999999986</c:v>
                </c:pt>
                <c:pt idx="15">
                  <c:v>983.00000000000023</c:v>
                </c:pt>
                <c:pt idx="16">
                  <c:v>1169.7000000000003</c:v>
                </c:pt>
                <c:pt idx="17">
                  <c:v>1239.9000000000001</c:v>
                </c:pt>
                <c:pt idx="18">
                  <c:v>1248</c:v>
                </c:pt>
                <c:pt idx="19">
                  <c:v>1379.9999999999995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B-49F3-92AC-E6E62246F33D}"/>
            </c:ext>
          </c:extLst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125.10000000000002</c:v>
                </c:pt>
                <c:pt idx="1">
                  <c:v>162.29999999999984</c:v>
                </c:pt>
                <c:pt idx="2">
                  <c:v>198.59999999999991</c:v>
                </c:pt>
                <c:pt idx="3">
                  <c:v>171.39999999999998</c:v>
                </c:pt>
                <c:pt idx="4">
                  <c:v>178.50000000000011</c:v>
                </c:pt>
                <c:pt idx="5">
                  <c:v>227.20000000000005</c:v>
                </c:pt>
                <c:pt idx="6">
                  <c:v>243.10000000000025</c:v>
                </c:pt>
                <c:pt idx="7">
                  <c:v>240.29999999999995</c:v>
                </c:pt>
                <c:pt idx="8">
                  <c:v>294.50000000000011</c:v>
                </c:pt>
                <c:pt idx="9">
                  <c:v>281.69999999999993</c:v>
                </c:pt>
                <c:pt idx="10">
                  <c:v>253.80000000000007</c:v>
                </c:pt>
                <c:pt idx="11">
                  <c:v>321.70000000000016</c:v>
                </c:pt>
                <c:pt idx="12">
                  <c:v>416.60000000000014</c:v>
                </c:pt>
                <c:pt idx="13">
                  <c:v>491.69999999999993</c:v>
                </c:pt>
                <c:pt idx="14">
                  <c:v>480.09999999999991</c:v>
                </c:pt>
                <c:pt idx="15">
                  <c:v>624.30000000000018</c:v>
                </c:pt>
                <c:pt idx="16">
                  <c:v>972.00000000000023</c:v>
                </c:pt>
                <c:pt idx="17">
                  <c:v>1034.4000000000001</c:v>
                </c:pt>
                <c:pt idx="18">
                  <c:v>989.10000000000014</c:v>
                </c:pt>
                <c:pt idx="19">
                  <c:v>1149.7999999999997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B-49F3-92AC-E6E62246F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6311"/>
        <c:axId val="57004857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Non-GAAP Op. Margin %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9.2659782305330729E-2</c:v>
                </c:pt>
                <c:pt idx="1">
                  <c:v>0.10398816495099542</c:v>
                </c:pt>
                <c:pt idx="2">
                  <c:v>0.12450638792102202</c:v>
                </c:pt>
                <c:pt idx="3">
                  <c:v>0.11125234549966709</c:v>
                </c:pt>
                <c:pt idx="4">
                  <c:v>0.11713903418075666</c:v>
                </c:pt>
                <c:pt idx="5">
                  <c:v>0.1296668211545394</c:v>
                </c:pt>
                <c:pt idx="6">
                  <c:v>0.12809664833356846</c:v>
                </c:pt>
                <c:pt idx="7">
                  <c:v>0.1162233815103053</c:v>
                </c:pt>
                <c:pt idx="8">
                  <c:v>0.13638262322472852</c:v>
                </c:pt>
                <c:pt idx="9">
                  <c:v>0.13589486967494885</c:v>
                </c:pt>
                <c:pt idx="10">
                  <c:v>0.13209916740313504</c:v>
                </c:pt>
                <c:pt idx="11">
                  <c:v>0.14663184576388361</c:v>
                </c:pt>
                <c:pt idx="12">
                  <c:v>0.15717830312220005</c:v>
                </c:pt>
                <c:pt idx="13">
                  <c:v>0.16696168921481855</c:v>
                </c:pt>
                <c:pt idx="14">
                  <c:v>0.16813557125267314</c:v>
                </c:pt>
                <c:pt idx="15">
                  <c:v>0.21303339618143602</c:v>
                </c:pt>
                <c:pt idx="16">
                  <c:v>0.21428571428571433</c:v>
                </c:pt>
                <c:pt idx="17">
                  <c:v>0.22001597018898059</c:v>
                </c:pt>
                <c:pt idx="18">
                  <c:v>0.22010582010582011</c:v>
                </c:pt>
                <c:pt idx="19">
                  <c:v>0.22565980966085614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4B-49F3-92AC-E6E62246F33D}"/>
            </c:ext>
          </c:extLst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8.7287189506000576E-2</c:v>
                </c:pt>
                <c:pt idx="1">
                  <c:v>0.10004314861616215</c:v>
                </c:pt>
                <c:pt idx="2">
                  <c:v>0.11533101045296162</c:v>
                </c:pt>
                <c:pt idx="3">
                  <c:v>0.1037467465649779</c:v>
                </c:pt>
                <c:pt idx="4">
                  <c:v>0.1085634351052184</c:v>
                </c:pt>
                <c:pt idx="5">
                  <c:v>0.11699881559297597</c:v>
                </c:pt>
                <c:pt idx="6">
                  <c:v>0.11427631269684588</c:v>
                </c:pt>
                <c:pt idx="7">
                  <c:v>0.10275378431540236</c:v>
                </c:pt>
                <c:pt idx="8">
                  <c:v>0.12301587301587306</c:v>
                </c:pt>
                <c:pt idx="9">
                  <c:v>0.12257952221400285</c:v>
                </c:pt>
                <c:pt idx="10">
                  <c:v>0.11805200241871718</c:v>
                </c:pt>
                <c:pt idx="11">
                  <c:v>0.12355019586757821</c:v>
                </c:pt>
                <c:pt idx="12">
                  <c:v>0.1435660624440003</c:v>
                </c:pt>
                <c:pt idx="13">
                  <c:v>0.15542420027816409</c:v>
                </c:pt>
                <c:pt idx="14">
                  <c:v>0.15556347611949969</c:v>
                </c:pt>
                <c:pt idx="15">
                  <c:v>0.13529679474676554</c:v>
                </c:pt>
                <c:pt idx="16">
                  <c:v>0.17806763639028325</c:v>
                </c:pt>
                <c:pt idx="17">
                  <c:v>0.18355070535001333</c:v>
                </c:pt>
                <c:pt idx="18">
                  <c:v>0.17444444444444446</c:v>
                </c:pt>
                <c:pt idx="19">
                  <c:v>0.1880171370638061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4B-49F3-92AC-E6E62246F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33312"/>
        <c:axId val="85085782"/>
      </c:lineChart>
      <c:catAx>
        <c:axId val="12466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004857"/>
        <c:crosses val="autoZero"/>
        <c:auto val="1"/>
        <c:lblAlgn val="ctr"/>
        <c:lblOffset val="100"/>
        <c:noMultiLvlLbl val="0"/>
      </c:catAx>
      <c:valAx>
        <c:axId val="57004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66311"/>
        <c:crosses val="autoZero"/>
        <c:crossBetween val="between"/>
      </c:valAx>
      <c:catAx>
        <c:axId val="4233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85782"/>
        <c:crosses val="autoZero"/>
        <c:auto val="1"/>
        <c:lblAlgn val="ctr"/>
        <c:lblOffset val="100"/>
        <c:noMultiLvlLbl val="0"/>
      </c:catAx>
      <c:valAx>
        <c:axId val="8508578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331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400" b="1" strike="noStrike" spc="-1">
                <a:solidFill>
                  <a:srgbClr val="000000"/>
                </a:solidFill>
                <a:latin typeface="Calibri"/>
              </a:rPr>
              <a:t>Returns Profile: ROIC, RONTA, Non-GAAP Operating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0.13522694949918521</c:v>
                </c:pt>
                <c:pt idx="1">
                  <c:v>0.17057143140640169</c:v>
                </c:pt>
                <c:pt idx="2">
                  <c:v>0.15990164592533107</c:v>
                </c:pt>
                <c:pt idx="3">
                  <c:v>0.14391273182827916</c:v>
                </c:pt>
                <c:pt idx="4">
                  <c:v>0.13596164272160488</c:v>
                </c:pt>
                <c:pt idx="5">
                  <c:v>0.13554814733436629</c:v>
                </c:pt>
                <c:pt idx="6">
                  <c:v>0.11330226806811461</c:v>
                </c:pt>
                <c:pt idx="7">
                  <c:v>0.1116452135162862</c:v>
                </c:pt>
                <c:pt idx="8">
                  <c:v>0.12278983306726962</c:v>
                </c:pt>
                <c:pt idx="9">
                  <c:v>0.11593578440449964</c:v>
                </c:pt>
                <c:pt idx="10">
                  <c:v>0.10835325500248146</c:v>
                </c:pt>
                <c:pt idx="11">
                  <c:v>0.10248101155757627</c:v>
                </c:pt>
                <c:pt idx="12">
                  <c:v>0.13634942790419463</c:v>
                </c:pt>
                <c:pt idx="13">
                  <c:v>0.1332774695930917</c:v>
                </c:pt>
                <c:pt idx="14">
                  <c:v>0.13317279699265591</c:v>
                </c:pt>
                <c:pt idx="15">
                  <c:v>7.2912591223669998E-2</c:v>
                </c:pt>
                <c:pt idx="16">
                  <c:v>8.8705901070346066E-2</c:v>
                </c:pt>
                <c:pt idx="17">
                  <c:v>9.696955868747123E-2</c:v>
                </c:pt>
                <c:pt idx="18">
                  <c:v>9.4512133584017069E-2</c:v>
                </c:pt>
                <c:pt idx="19">
                  <c:v>8.9368680533320741E-2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A7-4A72-B3B0-3ACB66B5EE96}"/>
            </c:ext>
          </c:extLst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0.1958864114851287</c:v>
                </c:pt>
                <c:pt idx="1">
                  <c:v>0.23264547370990923</c:v>
                </c:pt>
                <c:pt idx="2">
                  <c:v>0.22434909951138446</c:v>
                </c:pt>
                <c:pt idx="3">
                  <c:v>0.26515082411916807</c:v>
                </c:pt>
                <c:pt idx="4">
                  <c:v>0.23841984339719821</c:v>
                </c:pt>
                <c:pt idx="5">
                  <c:v>0.28462601211853555</c:v>
                </c:pt>
                <c:pt idx="6">
                  <c:v>0.26087497524325154</c:v>
                </c:pt>
                <c:pt idx="7">
                  <c:v>0.21781570552914678</c:v>
                </c:pt>
                <c:pt idx="8">
                  <c:v>0.25431461349297324</c:v>
                </c:pt>
                <c:pt idx="9">
                  <c:v>0.24654637250695177</c:v>
                </c:pt>
                <c:pt idx="10">
                  <c:v>0.23738120398641901</c:v>
                </c:pt>
                <c:pt idx="11">
                  <c:v>0.2665789798789554</c:v>
                </c:pt>
                <c:pt idx="12">
                  <c:v>0.33715084026519576</c:v>
                </c:pt>
                <c:pt idx="13">
                  <c:v>0.312407066757036</c:v>
                </c:pt>
                <c:pt idx="14">
                  <c:v>0.23847787365641587</c:v>
                </c:pt>
                <c:pt idx="15">
                  <c:v>0.37213016868544602</c:v>
                </c:pt>
                <c:pt idx="16">
                  <c:v>0.36071193039694815</c:v>
                </c:pt>
                <c:pt idx="17">
                  <c:v>0.37209117514662743</c:v>
                </c:pt>
                <c:pt idx="18">
                  <c:v>0.37197693940659571</c:v>
                </c:pt>
                <c:pt idx="19">
                  <c:v>0.36576728819520687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A7-4A72-B3B0-3ACB66B5EE96}"/>
            </c:ext>
          </c:extLst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Non-GAAP op. margin %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9.2659782305330729E-2</c:v>
                </c:pt>
                <c:pt idx="1">
                  <c:v>0.10398816495099542</c:v>
                </c:pt>
                <c:pt idx="2">
                  <c:v>0.12450638792102202</c:v>
                </c:pt>
                <c:pt idx="3">
                  <c:v>0.11125234549966709</c:v>
                </c:pt>
                <c:pt idx="4">
                  <c:v>0.11713903418075666</c:v>
                </c:pt>
                <c:pt idx="5">
                  <c:v>0.1296668211545394</c:v>
                </c:pt>
                <c:pt idx="6">
                  <c:v>0.12809664833356846</c:v>
                </c:pt>
                <c:pt idx="7">
                  <c:v>0.1162233815103053</c:v>
                </c:pt>
                <c:pt idx="8">
                  <c:v>0.13638262322472852</c:v>
                </c:pt>
                <c:pt idx="9">
                  <c:v>0.13589486967494885</c:v>
                </c:pt>
                <c:pt idx="10">
                  <c:v>0.13209916740313504</c:v>
                </c:pt>
                <c:pt idx="11">
                  <c:v>0.14663184576388361</c:v>
                </c:pt>
                <c:pt idx="12">
                  <c:v>0.15717830312220005</c:v>
                </c:pt>
                <c:pt idx="13">
                  <c:v>0.16696168921481855</c:v>
                </c:pt>
                <c:pt idx="14">
                  <c:v>0.16813557125267314</c:v>
                </c:pt>
                <c:pt idx="15">
                  <c:v>0.21303339618143602</c:v>
                </c:pt>
                <c:pt idx="16">
                  <c:v>0.21428571428571433</c:v>
                </c:pt>
                <c:pt idx="17">
                  <c:v>0.22001597018898059</c:v>
                </c:pt>
                <c:pt idx="18">
                  <c:v>0.22010582010582011</c:v>
                </c:pt>
                <c:pt idx="19">
                  <c:v>0.22565980966085614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A7-4A72-B3B0-3ACB66B5EE96}"/>
            </c:ext>
          </c:extLst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3.6282444878593362E-2</c:v>
                </c:pt>
                <c:pt idx="1">
                  <c:v>7.7914072612956908E-2</c:v>
                </c:pt>
                <c:pt idx="2">
                  <c:v>4.7735191637630667E-2</c:v>
                </c:pt>
                <c:pt idx="3">
                  <c:v>7.3482234731553783E-2</c:v>
                </c:pt>
                <c:pt idx="4">
                  <c:v>6.738839557231481E-2</c:v>
                </c:pt>
                <c:pt idx="5">
                  <c:v>9.0066429785261845E-2</c:v>
                </c:pt>
                <c:pt idx="6">
                  <c:v>5.8242843040473828E-2</c:v>
                </c:pt>
                <c:pt idx="7">
                  <c:v>5.5888138202343292E-2</c:v>
                </c:pt>
                <c:pt idx="8">
                  <c:v>0.10208855472013366</c:v>
                </c:pt>
                <c:pt idx="9">
                  <c:v>7.1015186458378662E-2</c:v>
                </c:pt>
                <c:pt idx="10">
                  <c:v>0.10670263733196893</c:v>
                </c:pt>
                <c:pt idx="11">
                  <c:v>0.1214378984561026</c:v>
                </c:pt>
                <c:pt idx="12">
                  <c:v>0.1240953890688538</c:v>
                </c:pt>
                <c:pt idx="13">
                  <c:v>0.12444683272221521</c:v>
                </c:pt>
                <c:pt idx="14">
                  <c:v>0.17740263106733201</c:v>
                </c:pt>
                <c:pt idx="15">
                  <c:v>0.1566868214030297</c:v>
                </c:pt>
                <c:pt idx="16">
                  <c:v>7.2216319202725976E-2</c:v>
                </c:pt>
                <c:pt idx="17">
                  <c:v>0.12797444769763108</c:v>
                </c:pt>
                <c:pt idx="18">
                  <c:v>0.19544973544973546</c:v>
                </c:pt>
                <c:pt idx="19">
                  <c:v>0.17562219969257939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A7-4A72-B3B0-3ACB66B5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087129"/>
        <c:axId val="56670482"/>
      </c:lineChart>
      <c:catAx>
        <c:axId val="62087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70482"/>
        <c:crosses val="autoZero"/>
        <c:auto val="1"/>
        <c:lblAlgn val="ctr"/>
        <c:lblOffset val="100"/>
        <c:noMultiLvlLbl val="0"/>
      </c:catAx>
      <c:valAx>
        <c:axId val="56670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87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160560</xdr:rowOff>
    </xdr:from>
    <xdr:to>
      <xdr:col>12</xdr:col>
      <xdr:colOff>543960</xdr:colOff>
      <xdr:row>37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543960</xdr:colOff>
      <xdr:row>58</xdr:row>
      <xdr:rowOff>2160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543960</xdr:colOff>
      <xdr:row>79</xdr:row>
      <xdr:rowOff>2520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1A89D2-7B7C-4AC9-A603-3441AE79416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8830b2c-70b9-4396-8556-d4f04c6d54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F445"/>
  <sheetViews>
    <sheetView showGridLines="0" zoomScale="60" zoomScaleNormal="60" workbookViewId="0">
      <pane xSplit="2" ySplit="6" topLeftCell="AM414" activePane="bottomRight" state="frozen"/>
      <selection pane="topRight" activeCell="C1" sqref="C1"/>
      <selection pane="bottomLeft" activeCell="A7" sqref="A7"/>
      <selection pane="bottomRight" activeCell="CS272" sqref="CS272"/>
    </sheetView>
  </sheetViews>
  <sheetFormatPr defaultColWidth="8.5703125" defaultRowHeight="15" outlineLevelRow="1" outlineLevelCol="1" x14ac:dyDescent="0.25"/>
  <cols>
    <col min="1" max="1" width="2.42578125" customWidth="1"/>
    <col min="2" max="2" width="62" customWidth="1"/>
    <col min="3" max="9" width="14.140625" customWidth="1"/>
    <col min="10" max="11" width="9.5703125" hidden="1" customWidth="1" outlineLevel="1"/>
    <col min="12" max="12" width="10.85546875" hidden="1" customWidth="1" outlineLevel="1"/>
    <col min="13" max="14" width="9.5703125" hidden="1" customWidth="1" outlineLevel="1"/>
    <col min="15" max="15" width="14.140625" customWidth="1" collapsed="1"/>
    <col min="16" max="17" width="9.5703125" hidden="1" customWidth="1" outlineLevel="1"/>
    <col min="18" max="18" width="10.85546875" hidden="1" customWidth="1" outlineLevel="1"/>
    <col min="19" max="20" width="9.5703125" hidden="1" customWidth="1" outlineLevel="1"/>
    <col min="21" max="21" width="14.140625" customWidth="1" collapsed="1"/>
    <col min="22" max="23" width="9.5703125" hidden="1" customWidth="1" outlineLevel="1"/>
    <col min="24" max="24" width="10.85546875" hidden="1" customWidth="1" outlineLevel="1"/>
    <col min="25" max="26" width="9.5703125" hidden="1" customWidth="1" outlineLevel="1"/>
    <col min="27" max="27" width="14.140625" customWidth="1" collapsed="1"/>
    <col min="28" max="29" width="9.5703125" hidden="1" customWidth="1" outlineLevel="1"/>
    <col min="30" max="30" width="10.85546875" hidden="1" customWidth="1" outlineLevel="1"/>
    <col min="31" max="32" width="9.5703125" hidden="1" customWidth="1" outlineLevel="1"/>
    <col min="33" max="33" width="14.140625" customWidth="1" collapsed="1"/>
    <col min="34" max="35" width="9.5703125" hidden="1" customWidth="1" outlineLevel="1"/>
    <col min="36" max="36" width="10.85546875" hidden="1" customWidth="1" outlineLevel="1"/>
    <col min="37" max="38" width="9.5703125" hidden="1" customWidth="1" outlineLevel="1"/>
    <col min="39" max="39" width="14.140625" customWidth="1" collapsed="1"/>
    <col min="40" max="41" width="9.5703125" hidden="1" customWidth="1" outlineLevel="1"/>
    <col min="42" max="42" width="10.85546875" hidden="1" customWidth="1" outlineLevel="1"/>
    <col min="43" max="44" width="9.5703125" hidden="1" customWidth="1" outlineLevel="1"/>
    <col min="45" max="45" width="14.140625" customWidth="1" collapsed="1"/>
    <col min="46" max="47" width="9.5703125" hidden="1" customWidth="1" outlineLevel="1"/>
    <col min="48" max="48" width="10.85546875" hidden="1" customWidth="1" outlineLevel="1"/>
    <col min="49" max="50" width="9.5703125" hidden="1" customWidth="1" outlineLevel="1"/>
    <col min="51" max="51" width="14.140625" customWidth="1" collapsed="1"/>
    <col min="52" max="53" width="9.5703125" hidden="1" customWidth="1" outlineLevel="1"/>
    <col min="54" max="54" width="10.85546875" hidden="1" customWidth="1" outlineLevel="1"/>
    <col min="55" max="56" width="9.5703125" hidden="1" customWidth="1" outlineLevel="1"/>
    <col min="57" max="57" width="14.140625" customWidth="1" collapsed="1"/>
    <col min="58" max="59" width="9.5703125" hidden="1" customWidth="1" outlineLevel="1"/>
    <col min="60" max="60" width="10.85546875" hidden="1" customWidth="1" outlineLevel="1"/>
    <col min="61" max="62" width="9.5703125" hidden="1" customWidth="1" outlineLevel="1"/>
    <col min="63" max="63" width="14.140625" customWidth="1" collapsed="1"/>
    <col min="64" max="65" width="9.5703125" hidden="1" customWidth="1" outlineLevel="1"/>
    <col min="66" max="66" width="10.85546875" hidden="1" customWidth="1" outlineLevel="1"/>
    <col min="67" max="68" width="9.5703125" hidden="1" customWidth="1" outlineLevel="1"/>
    <col min="69" max="69" width="14.140625" customWidth="1" collapsed="1"/>
    <col min="70" max="71" width="9.5703125" hidden="1" customWidth="1" outlineLevel="1"/>
    <col min="72" max="72" width="10.85546875" hidden="1" customWidth="1" outlineLevel="1"/>
    <col min="73" max="74" width="9.5703125" hidden="1" customWidth="1" outlineLevel="1"/>
    <col min="75" max="75" width="14.140625" customWidth="1" collapsed="1"/>
    <col min="76" max="77" width="9.5703125" hidden="1" customWidth="1" outlineLevel="1"/>
    <col min="78" max="78" width="10.85546875" hidden="1" customWidth="1" outlineLevel="1"/>
    <col min="79" max="80" width="9.5703125" hidden="1" customWidth="1" outlineLevel="1"/>
    <col min="81" max="81" width="14.140625" customWidth="1" collapsed="1"/>
    <col min="82" max="83" width="9.5703125" hidden="1" customWidth="1" outlineLevel="1"/>
    <col min="84" max="84" width="10.85546875" hidden="1" customWidth="1" outlineLevel="1"/>
    <col min="85" max="86" width="9.5703125" hidden="1" customWidth="1" outlineLevel="1"/>
    <col min="87" max="87" width="14.140625" customWidth="1" collapsed="1"/>
    <col min="88" max="89" width="9.5703125" hidden="1" customWidth="1" outlineLevel="1"/>
    <col min="90" max="90" width="10.85546875" hidden="1" customWidth="1" outlineLevel="1"/>
    <col min="91" max="92" width="11.42578125" hidden="1" customWidth="1" outlineLevel="1"/>
    <col min="93" max="93" width="14.140625" customWidth="1" collapsed="1"/>
    <col min="94" max="97" width="14.140625" customWidth="1"/>
    <col min="98" max="98" width="86.85546875" customWidth="1"/>
    <col min="99" max="99" width="2" customWidth="1"/>
    <col min="100" max="100" width="14.140625" customWidth="1"/>
    <col min="101" max="101" width="12.42578125" customWidth="1"/>
    <col min="102" max="103" width="13.42578125" customWidth="1"/>
    <col min="104" max="104" width="2" customWidth="1"/>
    <col min="105" max="105" width="6" customWidth="1"/>
    <col min="106" max="106" width="40" customWidth="1"/>
    <col min="107" max="109" width="11.5703125" customWidth="1"/>
    <col min="110" max="110" width="40" customWidth="1"/>
  </cols>
  <sheetData>
    <row r="1" spans="2:110" ht="15" customHeight="1" x14ac:dyDescent="0.25">
      <c r="CT1" s="1" t="s">
        <v>0</v>
      </c>
    </row>
    <row r="2" spans="2:110" ht="21" customHeight="1" x14ac:dyDescent="0.35">
      <c r="B2" s="2" t="s">
        <v>1</v>
      </c>
      <c r="CT2" s="3" t="s">
        <v>2</v>
      </c>
    </row>
    <row r="3" spans="2:110" ht="15" customHeight="1" x14ac:dyDescent="0.25">
      <c r="B3" s="4" t="s">
        <v>3</v>
      </c>
    </row>
    <row r="4" spans="2:110" ht="15" customHeight="1" x14ac:dyDescent="0.25">
      <c r="B4" s="5" t="s">
        <v>4</v>
      </c>
    </row>
    <row r="5" spans="2:110" ht="15" customHeight="1" x14ac:dyDescent="0.25">
      <c r="CM5" s="6"/>
      <c r="CN5" s="6"/>
      <c r="CO5" s="6"/>
      <c r="CP5" s="6"/>
      <c r="CQ5" s="6"/>
      <c r="CR5" s="6"/>
      <c r="CS5" s="6"/>
      <c r="CV5" s="7" t="s">
        <v>5</v>
      </c>
      <c r="CW5" s="7" t="s">
        <v>6</v>
      </c>
      <c r="CX5" s="7" t="s">
        <v>6</v>
      </c>
      <c r="CY5" s="7" t="s">
        <v>6</v>
      </c>
    </row>
    <row r="6" spans="2:110" ht="15" customHeight="1" x14ac:dyDescent="0.25">
      <c r="B6" s="8" t="s">
        <v>7</v>
      </c>
      <c r="C6" s="9">
        <v>2006</v>
      </c>
      <c r="D6" s="9">
        <v>2007</v>
      </c>
      <c r="E6" s="9">
        <v>2008</v>
      </c>
      <c r="F6" s="9">
        <v>2009</v>
      </c>
      <c r="G6" s="9">
        <v>2010</v>
      </c>
      <c r="H6" s="9">
        <v>2011</v>
      </c>
      <c r="I6" s="9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>
        <v>2013</v>
      </c>
      <c r="P6" s="9" t="s">
        <v>13</v>
      </c>
      <c r="Q6" s="9" t="s">
        <v>14</v>
      </c>
      <c r="R6" s="9" t="s">
        <v>15</v>
      </c>
      <c r="S6" s="9" t="s">
        <v>16</v>
      </c>
      <c r="T6" s="9" t="s">
        <v>17</v>
      </c>
      <c r="U6" s="9">
        <v>2014</v>
      </c>
      <c r="V6" s="9" t="s">
        <v>18</v>
      </c>
      <c r="W6" s="9" t="s">
        <v>19</v>
      </c>
      <c r="X6" s="9" t="s">
        <v>20</v>
      </c>
      <c r="Y6" s="9" t="s">
        <v>21</v>
      </c>
      <c r="Z6" s="9" t="s">
        <v>22</v>
      </c>
      <c r="AA6" s="9">
        <v>2015</v>
      </c>
      <c r="AB6" s="9" t="s">
        <v>23</v>
      </c>
      <c r="AC6" s="9" t="s">
        <v>24</v>
      </c>
      <c r="AD6" s="9" t="s">
        <v>25</v>
      </c>
      <c r="AE6" s="9" t="s">
        <v>26</v>
      </c>
      <c r="AF6" s="9" t="s">
        <v>27</v>
      </c>
      <c r="AG6" s="9">
        <v>2016</v>
      </c>
      <c r="AH6" s="9" t="s">
        <v>28</v>
      </c>
      <c r="AI6" s="9" t="s">
        <v>29</v>
      </c>
      <c r="AJ6" s="9" t="s">
        <v>30</v>
      </c>
      <c r="AK6" s="9" t="s">
        <v>31</v>
      </c>
      <c r="AL6" s="9" t="s">
        <v>32</v>
      </c>
      <c r="AM6" s="9">
        <v>2017</v>
      </c>
      <c r="AN6" s="9" t="s">
        <v>33</v>
      </c>
      <c r="AO6" s="9" t="s">
        <v>34</v>
      </c>
      <c r="AP6" s="9" t="s">
        <v>35</v>
      </c>
      <c r="AQ6" s="9" t="s">
        <v>36</v>
      </c>
      <c r="AR6" s="9" t="s">
        <v>37</v>
      </c>
      <c r="AS6" s="9">
        <v>2018</v>
      </c>
      <c r="AT6" s="9" t="s">
        <v>38</v>
      </c>
      <c r="AU6" s="9" t="s">
        <v>39</v>
      </c>
      <c r="AV6" s="9" t="s">
        <v>40</v>
      </c>
      <c r="AW6" s="9" t="s">
        <v>41</v>
      </c>
      <c r="AX6" s="9" t="s">
        <v>42</v>
      </c>
      <c r="AY6" s="9">
        <v>2019</v>
      </c>
      <c r="AZ6" s="9" t="s">
        <v>43</v>
      </c>
      <c r="BA6" s="9" t="s">
        <v>44</v>
      </c>
      <c r="BB6" s="9" t="s">
        <v>45</v>
      </c>
      <c r="BC6" s="9" t="s">
        <v>46</v>
      </c>
      <c r="BD6" s="9" t="s">
        <v>47</v>
      </c>
      <c r="BE6" s="9">
        <v>2020</v>
      </c>
      <c r="BF6" s="9" t="s">
        <v>48</v>
      </c>
      <c r="BG6" s="9" t="s">
        <v>49</v>
      </c>
      <c r="BH6" s="9" t="s">
        <v>50</v>
      </c>
      <c r="BI6" s="9" t="s">
        <v>51</v>
      </c>
      <c r="BJ6" s="9" t="s">
        <v>52</v>
      </c>
      <c r="BK6" s="9">
        <v>2021</v>
      </c>
      <c r="BL6" s="9" t="s">
        <v>53</v>
      </c>
      <c r="BM6" s="9" t="s">
        <v>54</v>
      </c>
      <c r="BN6" s="9" t="s">
        <v>55</v>
      </c>
      <c r="BO6" s="9" t="s">
        <v>56</v>
      </c>
      <c r="BP6" s="9" t="s">
        <v>57</v>
      </c>
      <c r="BQ6" s="9">
        <v>2022</v>
      </c>
      <c r="BR6" s="9" t="s">
        <v>58</v>
      </c>
      <c r="BS6" s="9" t="s">
        <v>59</v>
      </c>
      <c r="BT6" s="9" t="s">
        <v>60</v>
      </c>
      <c r="BU6" s="9" t="s">
        <v>61</v>
      </c>
      <c r="BV6" s="9" t="s">
        <v>62</v>
      </c>
      <c r="BW6" s="9">
        <v>2023</v>
      </c>
      <c r="BX6" s="9" t="s">
        <v>63</v>
      </c>
      <c r="BY6" s="9" t="s">
        <v>64</v>
      </c>
      <c r="BZ6" s="9" t="s">
        <v>65</v>
      </c>
      <c r="CA6" s="9" t="s">
        <v>66</v>
      </c>
      <c r="CB6" s="9" t="s">
        <v>67</v>
      </c>
      <c r="CC6" s="9">
        <v>2024</v>
      </c>
      <c r="CD6" s="9" t="s">
        <v>68</v>
      </c>
      <c r="CE6" s="9" t="s">
        <v>69</v>
      </c>
      <c r="CF6" s="9" t="s">
        <v>70</v>
      </c>
      <c r="CG6" s="9" t="s">
        <v>71</v>
      </c>
      <c r="CH6" s="9" t="s">
        <v>72</v>
      </c>
      <c r="CI6" s="9">
        <v>2025</v>
      </c>
      <c r="CJ6" s="9" t="s">
        <v>73</v>
      </c>
      <c r="CK6" s="9" t="s">
        <v>74</v>
      </c>
      <c r="CL6" s="9" t="s">
        <v>75</v>
      </c>
      <c r="CM6" s="9" t="s">
        <v>76</v>
      </c>
      <c r="CN6" s="9" t="s">
        <v>77</v>
      </c>
      <c r="CO6" s="9" t="s">
        <v>78</v>
      </c>
      <c r="CP6" s="9" t="s">
        <v>79</v>
      </c>
      <c r="CQ6" s="9" t="s">
        <v>80</v>
      </c>
      <c r="CR6" s="9" t="s">
        <v>81</v>
      </c>
      <c r="CS6" s="9" t="s">
        <v>82</v>
      </c>
      <c r="CT6" s="9" t="s">
        <v>83</v>
      </c>
      <c r="CV6" s="7" t="s">
        <v>84</v>
      </c>
      <c r="CW6" s="7" t="s">
        <v>84</v>
      </c>
      <c r="CX6" s="7" t="s">
        <v>85</v>
      </c>
      <c r="CY6" s="7" t="s">
        <v>86</v>
      </c>
    </row>
    <row r="7" spans="2:110" ht="15" customHeight="1" x14ac:dyDescent="0.25">
      <c r="CV7" s="10" t="s">
        <v>87</v>
      </c>
      <c r="CW7" s="10" t="s">
        <v>88</v>
      </c>
      <c r="CX7" s="10" t="s">
        <v>89</v>
      </c>
      <c r="CY7" s="10" t="s">
        <v>90</v>
      </c>
    </row>
    <row r="8" spans="2:110" ht="15" customHeight="1" x14ac:dyDescent="0.25">
      <c r="B8" s="11" t="s">
        <v>91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 t="s">
        <v>92</v>
      </c>
    </row>
    <row r="9" spans="2:110" ht="15" customHeight="1" x14ac:dyDescent="0.25">
      <c r="B9" s="12"/>
      <c r="CM9" s="6"/>
      <c r="CN9" s="6"/>
      <c r="CO9" s="6"/>
      <c r="CP9" s="6"/>
      <c r="CQ9" s="6"/>
      <c r="CR9" s="6"/>
      <c r="CS9" s="6"/>
      <c r="CT9" s="6"/>
      <c r="DB9" s="13" t="s">
        <v>93</v>
      </c>
      <c r="DC9" s="14" t="s">
        <v>94</v>
      </c>
      <c r="DD9" s="14" t="s">
        <v>2</v>
      </c>
      <c r="DE9" s="14" t="s">
        <v>95</v>
      </c>
      <c r="DF9" s="15" t="s">
        <v>96</v>
      </c>
    </row>
    <row r="10" spans="2:110" ht="15" customHeight="1" x14ac:dyDescent="0.25">
      <c r="B10" s="16" t="s">
        <v>97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7" t="s">
        <v>98</v>
      </c>
    </row>
    <row r="11" spans="2:110" ht="15" customHeight="1" x14ac:dyDescent="0.25">
      <c r="B11" s="18" t="s">
        <v>99</v>
      </c>
      <c r="C11" s="19"/>
      <c r="D11" s="19"/>
      <c r="E11" s="20">
        <v>137.4</v>
      </c>
      <c r="F11" s="20">
        <v>127.3</v>
      </c>
      <c r="G11" s="20">
        <v>122.5</v>
      </c>
      <c r="H11" s="20">
        <v>349.9</v>
      </c>
      <c r="I11" s="20">
        <v>415.9</v>
      </c>
      <c r="J11" s="20">
        <v>102.4</v>
      </c>
      <c r="K11" s="20">
        <v>104.3</v>
      </c>
      <c r="L11" s="19">
        <f>J11+K11</f>
        <v>206.7</v>
      </c>
      <c r="M11" s="20">
        <v>105.2</v>
      </c>
      <c r="N11" s="20">
        <v>102.9</v>
      </c>
      <c r="O11" s="20">
        <v>414.8</v>
      </c>
      <c r="P11" s="20">
        <v>101.9</v>
      </c>
      <c r="Q11" s="20">
        <v>103.7</v>
      </c>
      <c r="R11" s="19">
        <f>P11+Q11</f>
        <v>205.60000000000002</v>
      </c>
      <c r="S11" s="20">
        <v>95.6</v>
      </c>
      <c r="T11" s="20">
        <v>102.4</v>
      </c>
      <c r="U11" s="20">
        <v>403.6</v>
      </c>
      <c r="V11" s="20">
        <v>90.4</v>
      </c>
      <c r="W11" s="20">
        <v>90.8</v>
      </c>
      <c r="X11" s="19">
        <f>V11+W11</f>
        <v>181.2</v>
      </c>
      <c r="Y11" s="20">
        <v>95.7</v>
      </c>
      <c r="Z11" s="20">
        <v>102.1</v>
      </c>
      <c r="AA11" s="20">
        <v>379</v>
      </c>
      <c r="AB11" s="20">
        <v>89.9</v>
      </c>
      <c r="AC11" s="20">
        <v>99.4</v>
      </c>
      <c r="AD11" s="19">
        <f>AB11+AC11</f>
        <v>189.3</v>
      </c>
      <c r="AE11" s="20">
        <v>98.5</v>
      </c>
      <c r="AF11" s="20">
        <v>110.9</v>
      </c>
      <c r="AG11" s="20">
        <v>398.7</v>
      </c>
      <c r="AH11" s="20">
        <v>113.8</v>
      </c>
      <c r="AI11" s="20">
        <v>200.2</v>
      </c>
      <c r="AJ11" s="19">
        <f>AH11+AI11</f>
        <v>314</v>
      </c>
      <c r="AK11" s="20">
        <v>197</v>
      </c>
      <c r="AL11" s="20">
        <v>206.7</v>
      </c>
      <c r="AM11" s="20">
        <v>710.4</v>
      </c>
      <c r="AN11" s="20">
        <v>208.3</v>
      </c>
      <c r="AO11" s="20">
        <v>223</v>
      </c>
      <c r="AP11" s="19">
        <f>AN11+AO11</f>
        <v>431.3</v>
      </c>
      <c r="AQ11" s="20">
        <v>220.7</v>
      </c>
      <c r="AR11" s="20">
        <v>223.3</v>
      </c>
      <c r="AS11" s="20">
        <v>875.3</v>
      </c>
      <c r="AT11" s="20">
        <v>232.4</v>
      </c>
      <c r="AU11" s="20">
        <v>248.4</v>
      </c>
      <c r="AV11" s="19">
        <f>AT11+AU11</f>
        <v>480.8</v>
      </c>
      <c r="AW11" s="20">
        <v>244</v>
      </c>
      <c r="AX11" s="20">
        <v>268.10000000000002</v>
      </c>
      <c r="AY11" s="20">
        <v>992.9</v>
      </c>
      <c r="AZ11" s="20">
        <v>246.7</v>
      </c>
      <c r="BA11" s="20">
        <v>237.6</v>
      </c>
      <c r="BB11" s="19">
        <f>AZ11+BA11</f>
        <v>484.29999999999995</v>
      </c>
      <c r="BC11" s="20">
        <v>239.7</v>
      </c>
      <c r="BD11" s="20">
        <v>262</v>
      </c>
      <c r="BE11" s="20">
        <v>986</v>
      </c>
      <c r="BF11" s="20">
        <v>263.3</v>
      </c>
      <c r="BG11" s="20">
        <v>579.5</v>
      </c>
      <c r="BH11" s="19">
        <f>BF11+BG11</f>
        <v>842.8</v>
      </c>
      <c r="BI11" s="20">
        <v>760.6</v>
      </c>
      <c r="BJ11" s="20">
        <v>809.5</v>
      </c>
      <c r="BK11" s="20">
        <v>2412.9</v>
      </c>
      <c r="BL11" s="20">
        <v>750.5</v>
      </c>
      <c r="BM11" s="20">
        <v>775.8</v>
      </c>
      <c r="BN11" s="19">
        <f>BL11+BM11</f>
        <v>1526.3</v>
      </c>
      <c r="BO11" s="20">
        <v>777.9</v>
      </c>
      <c r="BP11" s="20">
        <v>806.7</v>
      </c>
      <c r="BQ11" s="20">
        <v>3110.9</v>
      </c>
      <c r="BR11" s="20">
        <v>772.5</v>
      </c>
      <c r="BS11" s="20">
        <v>793.3</v>
      </c>
      <c r="BT11" s="19">
        <f>BR11+BS11</f>
        <v>1565.8</v>
      </c>
      <c r="BU11" s="20">
        <v>775.8</v>
      </c>
      <c r="BV11" s="20">
        <v>802.5</v>
      </c>
      <c r="BW11" s="20">
        <v>3144.1</v>
      </c>
      <c r="BX11" s="20">
        <v>740.8</v>
      </c>
      <c r="BY11" s="20">
        <v>739.4</v>
      </c>
      <c r="BZ11" s="19">
        <f>BX11+BY11</f>
        <v>1480.1999999999998</v>
      </c>
      <c r="CA11" s="20">
        <v>768.4</v>
      </c>
      <c r="CB11" s="20">
        <v>822.2</v>
      </c>
      <c r="CC11" s="20">
        <v>3070.8</v>
      </c>
      <c r="CD11" s="20">
        <v>757</v>
      </c>
      <c r="CE11" s="20">
        <v>771</v>
      </c>
      <c r="CF11" s="19">
        <f>CD11+CE11</f>
        <v>1528</v>
      </c>
      <c r="CG11" s="20">
        <v>785.4</v>
      </c>
      <c r="CH11" s="20">
        <v>850.5</v>
      </c>
      <c r="CI11" s="20">
        <v>3163.9</v>
      </c>
      <c r="CJ11" s="20">
        <v>816.9</v>
      </c>
      <c r="CK11" s="20">
        <v>868.7</v>
      </c>
      <c r="CL11" s="19">
        <f>CJ11+CK11</f>
        <v>1685.6</v>
      </c>
      <c r="CM11" s="21">
        <f>CG11*CK11/CE11</f>
        <v>884.92474708171198</v>
      </c>
      <c r="CN11" s="21">
        <f>CH11*CK11/CE11</f>
        <v>958.27412451361874</v>
      </c>
      <c r="CO11" s="21">
        <f>SUM(CJ11,CK11,CM11,CN11)</f>
        <v>3528.7988715953306</v>
      </c>
      <c r="CP11" s="21">
        <f>CO11*(1+CP12)</f>
        <v>3740.5268038910508</v>
      </c>
      <c r="CQ11" s="21">
        <f>CP11*(1+CQ12)</f>
        <v>3946.2557781050582</v>
      </c>
      <c r="CR11" s="21">
        <f>CQ11*(1+CR12)</f>
        <v>4143.5685670103112</v>
      </c>
      <c r="CS11" s="21">
        <f>CR11*(1+CS12)</f>
        <v>4350.746995360827</v>
      </c>
      <c r="CT11" s="22" t="s">
        <v>100</v>
      </c>
      <c r="CV11" s="23">
        <f>IFERROR((CS11/CI11)^(1/5)-1,"n/m")</f>
        <v>6.5781594897778906E-2</v>
      </c>
      <c r="CW11" s="23">
        <f>IFERROR((CI11/BE11)^(1/5)-1,"n/m")</f>
        <v>0.26260983151709238</v>
      </c>
      <c r="CX11" s="23">
        <f>IFERROR((CI11/AA11)^(1/10)-1,"n/m")</f>
        <v>0.2363981707456777</v>
      </c>
      <c r="CY11" s="23" t="str">
        <f>IFERROR((CI11/C11)^(1/19)-1,"n/m")</f>
        <v>n/m</v>
      </c>
      <c r="DB11" s="17" t="s">
        <v>101</v>
      </c>
      <c r="DC11" s="24" t="s">
        <v>102</v>
      </c>
      <c r="DD11" s="24" t="s">
        <v>103</v>
      </c>
      <c r="DE11" s="24" t="s">
        <v>104</v>
      </c>
    </row>
    <row r="12" spans="2:110" ht="15" customHeight="1" x14ac:dyDescent="0.25">
      <c r="B12" s="25" t="s">
        <v>105</v>
      </c>
      <c r="C12" s="26"/>
      <c r="D12" s="26" t="str">
        <f t="shared" ref="D12:I12" si="0">IFERROR(D11/C11-1,"")</f>
        <v/>
      </c>
      <c r="E12" s="26" t="str">
        <f t="shared" si="0"/>
        <v/>
      </c>
      <c r="F12" s="26">
        <f t="shared" si="0"/>
        <v>-7.3508005822416345E-2</v>
      </c>
      <c r="G12" s="26">
        <f t="shared" si="0"/>
        <v>-3.7706205813040072E-2</v>
      </c>
      <c r="H12" s="26">
        <f t="shared" si="0"/>
        <v>1.8563265306122445</v>
      </c>
      <c r="I12" s="26">
        <f t="shared" si="0"/>
        <v>0.18862532152043432</v>
      </c>
      <c r="J12" s="26"/>
      <c r="K12" s="26"/>
      <c r="L12" s="26"/>
      <c r="M12" s="26"/>
      <c r="N12" s="26"/>
      <c r="O12" s="26">
        <f t="shared" ref="O12:AT12" si="1">IFERROR(O11/I11-1,"")</f>
        <v>-2.6448665544601679E-3</v>
      </c>
      <c r="P12" s="26">
        <f t="shared" si="1"/>
        <v>-4.8828125E-3</v>
      </c>
      <c r="Q12" s="26">
        <f t="shared" si="1"/>
        <v>-5.7526366251198224E-3</v>
      </c>
      <c r="R12" s="26">
        <f t="shared" si="1"/>
        <v>-5.3217223028542149E-3</v>
      </c>
      <c r="S12" s="26">
        <f t="shared" si="1"/>
        <v>-9.1254752851711141E-2</v>
      </c>
      <c r="T12" s="26">
        <f t="shared" si="1"/>
        <v>-4.8590864917396059E-3</v>
      </c>
      <c r="U12" s="26">
        <f t="shared" si="1"/>
        <v>-2.7000964320154308E-2</v>
      </c>
      <c r="V12" s="26">
        <f t="shared" si="1"/>
        <v>-0.11285574092247297</v>
      </c>
      <c r="W12" s="26">
        <f t="shared" si="1"/>
        <v>-0.12439729990356807</v>
      </c>
      <c r="X12" s="26">
        <f t="shared" si="1"/>
        <v>-0.11867704280155655</v>
      </c>
      <c r="Y12" s="26">
        <f t="shared" si="1"/>
        <v>1.0460251046024993E-3</v>
      </c>
      <c r="Z12" s="26">
        <f t="shared" si="1"/>
        <v>-2.929687500000111E-3</v>
      </c>
      <c r="AA12" s="26">
        <f t="shared" si="1"/>
        <v>-6.0951437066402381E-2</v>
      </c>
      <c r="AB12" s="26">
        <f t="shared" si="1"/>
        <v>-5.53097345132747E-3</v>
      </c>
      <c r="AC12" s="26">
        <f t="shared" si="1"/>
        <v>9.4713656387665379E-2</v>
      </c>
      <c r="AD12" s="26">
        <f t="shared" si="1"/>
        <v>4.4701986754966949E-2</v>
      </c>
      <c r="AE12" s="26">
        <f t="shared" si="1"/>
        <v>2.925809822361547E-2</v>
      </c>
      <c r="AF12" s="26">
        <f t="shared" si="1"/>
        <v>8.6190009794319344E-2</v>
      </c>
      <c r="AG12" s="26">
        <f t="shared" si="1"/>
        <v>5.1978891820580353E-2</v>
      </c>
      <c r="AH12" s="26">
        <f t="shared" si="1"/>
        <v>0.26585094549499422</v>
      </c>
      <c r="AI12" s="26">
        <f t="shared" si="1"/>
        <v>1.0140845070422535</v>
      </c>
      <c r="AJ12" s="26">
        <f t="shared" si="1"/>
        <v>0.65874273639725289</v>
      </c>
      <c r="AK12" s="26">
        <f t="shared" si="1"/>
        <v>1</v>
      </c>
      <c r="AL12" s="26">
        <f t="shared" si="1"/>
        <v>0.86384129846708735</v>
      </c>
      <c r="AM12" s="26">
        <f t="shared" si="1"/>
        <v>0.78179082016553791</v>
      </c>
      <c r="AN12" s="26">
        <f t="shared" si="1"/>
        <v>0.83040421792618635</v>
      </c>
      <c r="AO12" s="26">
        <f t="shared" si="1"/>
        <v>0.11388611388611403</v>
      </c>
      <c r="AP12" s="26">
        <f t="shared" si="1"/>
        <v>0.37356687898089169</v>
      </c>
      <c r="AQ12" s="26">
        <f t="shared" si="1"/>
        <v>0.12030456852791871</v>
      </c>
      <c r="AR12" s="26">
        <f t="shared" si="1"/>
        <v>8.0309627479438817E-2</v>
      </c>
      <c r="AS12" s="26">
        <f t="shared" si="1"/>
        <v>0.23212274774774766</v>
      </c>
      <c r="AT12" s="26">
        <f t="shared" si="1"/>
        <v>0.11569851176188184</v>
      </c>
      <c r="AU12" s="26">
        <f t="shared" ref="AU12:BZ12" si="2">IFERROR(AU11/AO11-1,"")</f>
        <v>0.11390134529147988</v>
      </c>
      <c r="AV12" s="26">
        <f t="shared" si="2"/>
        <v>0.11476930210990033</v>
      </c>
      <c r="AW12" s="26">
        <f t="shared" si="2"/>
        <v>0.10557317625736307</v>
      </c>
      <c r="AX12" s="26">
        <f t="shared" si="2"/>
        <v>0.20062695924764884</v>
      </c>
      <c r="AY12" s="26">
        <f t="shared" si="2"/>
        <v>0.13435393579344224</v>
      </c>
      <c r="AZ12" s="26">
        <f t="shared" si="2"/>
        <v>6.1531841652323616E-2</v>
      </c>
      <c r="BA12" s="26">
        <f t="shared" si="2"/>
        <v>-4.3478260869565299E-2</v>
      </c>
      <c r="BB12" s="26">
        <f t="shared" si="2"/>
        <v>7.2795341098168542E-3</v>
      </c>
      <c r="BC12" s="26">
        <f t="shared" si="2"/>
        <v>-1.7622950819672134E-2</v>
      </c>
      <c r="BD12" s="26">
        <f t="shared" si="2"/>
        <v>-2.2752704214845321E-2</v>
      </c>
      <c r="BE12" s="26">
        <f t="shared" si="2"/>
        <v>-6.9493403162452783E-3</v>
      </c>
      <c r="BF12" s="26">
        <f t="shared" si="2"/>
        <v>6.7288204296716669E-2</v>
      </c>
      <c r="BG12" s="26">
        <f t="shared" si="2"/>
        <v>1.438973063973064</v>
      </c>
      <c r="BH12" s="26">
        <f t="shared" si="2"/>
        <v>0.74024365062977493</v>
      </c>
      <c r="BI12" s="26">
        <f t="shared" si="2"/>
        <v>2.1731330830204425</v>
      </c>
      <c r="BJ12" s="26">
        <f t="shared" si="2"/>
        <v>2.0896946564885495</v>
      </c>
      <c r="BK12" s="26">
        <f t="shared" si="2"/>
        <v>1.447160243407708</v>
      </c>
      <c r="BL12" s="26">
        <f t="shared" si="2"/>
        <v>1.8503608051652107</v>
      </c>
      <c r="BM12" s="26">
        <f t="shared" si="2"/>
        <v>0.3387402933563417</v>
      </c>
      <c r="BN12" s="26">
        <f t="shared" si="2"/>
        <v>0.8109871855719033</v>
      </c>
      <c r="BO12" s="26">
        <f t="shared" si="2"/>
        <v>2.274520115698131E-2</v>
      </c>
      <c r="BP12" s="26">
        <f t="shared" si="2"/>
        <v>-3.4589252625076838E-3</v>
      </c>
      <c r="BQ12" s="26">
        <f t="shared" si="2"/>
        <v>0.28927846160222148</v>
      </c>
      <c r="BR12" s="26">
        <f t="shared" si="2"/>
        <v>2.931379080612917E-2</v>
      </c>
      <c r="BS12" s="26">
        <f t="shared" si="2"/>
        <v>2.2557360144367156E-2</v>
      </c>
      <c r="BT12" s="26">
        <f t="shared" si="2"/>
        <v>2.5879578064600617E-2</v>
      </c>
      <c r="BU12" s="26">
        <f t="shared" si="2"/>
        <v>-2.6995757809487042E-3</v>
      </c>
      <c r="BV12" s="26">
        <f t="shared" si="2"/>
        <v>-5.2063964298996179E-3</v>
      </c>
      <c r="BW12" s="26">
        <f t="shared" si="2"/>
        <v>1.067215275322253E-2</v>
      </c>
      <c r="BX12" s="26">
        <f t="shared" si="2"/>
        <v>-4.1035598705501664E-2</v>
      </c>
      <c r="BY12" s="26">
        <f t="shared" si="2"/>
        <v>-6.7944031261817694E-2</v>
      </c>
      <c r="BZ12" s="26">
        <f t="shared" si="2"/>
        <v>-5.466854004342836E-2</v>
      </c>
      <c r="CA12" s="26">
        <f t="shared" ref="CA12:CO12" si="3">IFERROR(CA11/BU11-1,"")</f>
        <v>-9.5385408610466627E-3</v>
      </c>
      <c r="CB12" s="26">
        <f t="shared" si="3"/>
        <v>2.4548286604361369E-2</v>
      </c>
      <c r="CC12" s="26">
        <f t="shared" si="3"/>
        <v>-2.3313507840081349E-2</v>
      </c>
      <c r="CD12" s="26">
        <f t="shared" si="3"/>
        <v>2.1868250539956779E-2</v>
      </c>
      <c r="CE12" s="26">
        <f t="shared" si="3"/>
        <v>4.2737354611847467E-2</v>
      </c>
      <c r="CF12" s="26">
        <f t="shared" si="3"/>
        <v>3.2292933387380263E-2</v>
      </c>
      <c r="CG12" s="26">
        <f t="shared" si="3"/>
        <v>2.2123893805309658E-2</v>
      </c>
      <c r="CH12" s="26">
        <f t="shared" si="3"/>
        <v>3.4419849185113094E-2</v>
      </c>
      <c r="CI12" s="26">
        <f t="shared" si="3"/>
        <v>3.0317832486648433E-2</v>
      </c>
      <c r="CJ12" s="26">
        <f t="shared" si="3"/>
        <v>7.9128137384412156E-2</v>
      </c>
      <c r="CK12" s="26">
        <f t="shared" si="3"/>
        <v>0.12671854734111543</v>
      </c>
      <c r="CL12" s="26">
        <f t="shared" si="3"/>
        <v>0.10314136125654438</v>
      </c>
      <c r="CM12" s="27">
        <f t="shared" si="3"/>
        <v>0.12671854734111543</v>
      </c>
      <c r="CN12" s="27">
        <f t="shared" si="3"/>
        <v>0.12671854734111543</v>
      </c>
      <c r="CO12" s="27">
        <f t="shared" si="3"/>
        <v>0.11533198634448949</v>
      </c>
      <c r="CP12" s="27">
        <f>CHOOSE(MATCH($CT$2,{"Bull","Base","Bear"},0),$DC$21,$DD$21,$DE$21)</f>
        <v>0.06</v>
      </c>
      <c r="CQ12" s="27">
        <f>CHOOSE(MATCH($CT$2,{"Bull","Base","Bear"},0),$DC$22,$DD$22,$DE$22)</f>
        <v>5.5E-2</v>
      </c>
      <c r="CR12" s="27">
        <f>CHOOSE(MATCH($CT$2,{"Bull","Base","Bear"},0),$DC$23,$DD$23,$DE$23)</f>
        <v>0.05</v>
      </c>
      <c r="CS12" s="27">
        <f>CHOOSE(MATCH($CT$2,{"Bull","Base","Bear"},0),$DC$24,$DD$24,$DE$24)</f>
        <v>0.05</v>
      </c>
      <c r="CT12" s="22" t="s">
        <v>106</v>
      </c>
      <c r="CV12" s="6"/>
      <c r="CW12" s="6"/>
      <c r="CX12" s="6"/>
      <c r="CY12" s="6"/>
      <c r="DB12" s="12" t="s">
        <v>107</v>
      </c>
      <c r="DC12" s="28">
        <v>24.65</v>
      </c>
      <c r="DD12" s="28">
        <v>24.55</v>
      </c>
      <c r="DE12" s="28">
        <v>24.45</v>
      </c>
    </row>
    <row r="13" spans="2:110" ht="15" customHeight="1" x14ac:dyDescent="0.25">
      <c r="B13" s="12" t="s">
        <v>108</v>
      </c>
      <c r="C13" s="29"/>
      <c r="D13" s="29"/>
      <c r="E13" s="30">
        <v>14.6</v>
      </c>
      <c r="F13" s="30">
        <v>11.8</v>
      </c>
      <c r="G13" s="30">
        <v>5.2</v>
      </c>
      <c r="H13" s="30">
        <v>16.100000000000001</v>
      </c>
      <c r="I13" s="30">
        <v>24.8</v>
      </c>
      <c r="J13" s="30">
        <v>5.2</v>
      </c>
      <c r="K13" s="30">
        <v>7.9</v>
      </c>
      <c r="L13" s="29">
        <f>J13+K13</f>
        <v>13.100000000000001</v>
      </c>
      <c r="M13" s="30">
        <v>11.5</v>
      </c>
      <c r="N13" s="30">
        <v>3.6</v>
      </c>
      <c r="O13" s="30">
        <v>28.2</v>
      </c>
      <c r="P13" s="30">
        <v>9.6999999999999993</v>
      </c>
      <c r="Q13" s="30">
        <v>11.7</v>
      </c>
      <c r="R13" s="29">
        <f>P13+Q13</f>
        <v>21.4</v>
      </c>
      <c r="S13" s="30">
        <v>7.9</v>
      </c>
      <c r="T13" s="30">
        <v>7.8</v>
      </c>
      <c r="U13" s="30">
        <v>37.1</v>
      </c>
      <c r="V13" s="30">
        <v>9.3000000000000007</v>
      </c>
      <c r="W13" s="30">
        <v>8.8000000000000007</v>
      </c>
      <c r="X13" s="29">
        <f>V13+W13</f>
        <v>18.100000000000001</v>
      </c>
      <c r="Y13" s="30">
        <v>10.4</v>
      </c>
      <c r="Z13" s="30">
        <v>11.5</v>
      </c>
      <c r="AA13" s="30">
        <v>40</v>
      </c>
      <c r="AB13" s="30">
        <v>8.1999999999999993</v>
      </c>
      <c r="AC13" s="30">
        <v>10.7</v>
      </c>
      <c r="AD13" s="29">
        <f>AB13+AC13</f>
        <v>18.899999999999999</v>
      </c>
      <c r="AE13" s="30">
        <v>11.7</v>
      </c>
      <c r="AF13" s="30">
        <v>15.3</v>
      </c>
      <c r="AG13" s="30">
        <v>45.9</v>
      </c>
      <c r="AH13" s="30">
        <v>15.1</v>
      </c>
      <c r="AI13" s="30">
        <v>28</v>
      </c>
      <c r="AJ13" s="29">
        <f>AH13+AI13</f>
        <v>43.1</v>
      </c>
      <c r="AK13" s="30">
        <v>31.4</v>
      </c>
      <c r="AL13" s="30">
        <v>35.9</v>
      </c>
      <c r="AM13" s="30">
        <v>110.2</v>
      </c>
      <c r="AN13" s="30">
        <v>33.799999999999997</v>
      </c>
      <c r="AO13" s="30">
        <v>43.1</v>
      </c>
      <c r="AP13" s="29">
        <f>AN13+AO13</f>
        <v>76.900000000000006</v>
      </c>
      <c r="AQ13" s="30">
        <v>42.3</v>
      </c>
      <c r="AR13" s="30">
        <v>36.299999999999997</v>
      </c>
      <c r="AS13" s="30">
        <v>155.5</v>
      </c>
      <c r="AT13" s="30">
        <v>36.6</v>
      </c>
      <c r="AU13" s="30">
        <v>51.6</v>
      </c>
      <c r="AV13" s="29">
        <f>AT13+AU13</f>
        <v>88.2</v>
      </c>
      <c r="AW13" s="30">
        <v>41.2</v>
      </c>
      <c r="AX13" s="30">
        <v>47.1</v>
      </c>
      <c r="AY13" s="30">
        <v>176.5</v>
      </c>
      <c r="AZ13" s="30">
        <v>43.8</v>
      </c>
      <c r="BA13" s="30">
        <v>46.8</v>
      </c>
      <c r="BB13" s="29">
        <f>AZ13+BA13</f>
        <v>90.6</v>
      </c>
      <c r="BC13" s="30">
        <v>45.5</v>
      </c>
      <c r="BD13" s="30">
        <v>56.7</v>
      </c>
      <c r="BE13" s="30">
        <v>192.8</v>
      </c>
      <c r="BF13" s="30">
        <v>52</v>
      </c>
      <c r="BG13" s="30">
        <v>84.6</v>
      </c>
      <c r="BH13" s="29">
        <f>BF13+BG13</f>
        <v>136.6</v>
      </c>
      <c r="BI13" s="30">
        <v>94.9</v>
      </c>
      <c r="BJ13" s="30">
        <v>94.1</v>
      </c>
      <c r="BK13" s="30">
        <v>325.60000000000002</v>
      </c>
      <c r="BL13" s="30">
        <v>115.7</v>
      </c>
      <c r="BM13" s="30">
        <v>117.9</v>
      </c>
      <c r="BN13" s="29">
        <f>BL13+BM13</f>
        <v>233.60000000000002</v>
      </c>
      <c r="BO13" s="30">
        <v>133.69999999999999</v>
      </c>
      <c r="BP13" s="30">
        <v>152</v>
      </c>
      <c r="BQ13" s="30">
        <v>519.29999999999995</v>
      </c>
      <c r="BR13" s="30">
        <v>122.2</v>
      </c>
      <c r="BS13" s="30">
        <v>124.6</v>
      </c>
      <c r="BT13" s="29">
        <f>BR13+BS13</f>
        <v>246.8</v>
      </c>
      <c r="BU13" s="30">
        <v>136.30000000000001</v>
      </c>
      <c r="BV13" s="30">
        <v>134.30000000000001</v>
      </c>
      <c r="BW13" s="30">
        <v>517.4</v>
      </c>
      <c r="BX13" s="30">
        <v>113.8</v>
      </c>
      <c r="BY13" s="30">
        <v>113.5</v>
      </c>
      <c r="BZ13" s="29">
        <f>BX13+BY13</f>
        <v>227.3</v>
      </c>
      <c r="CA13" s="30">
        <v>123.9</v>
      </c>
      <c r="CB13" s="30">
        <v>90.8</v>
      </c>
      <c r="CC13" s="30">
        <v>442</v>
      </c>
      <c r="CD13" s="30">
        <v>122.3</v>
      </c>
      <c r="CE13" s="30">
        <v>119.6</v>
      </c>
      <c r="CF13" s="29">
        <f>CD13+CE13</f>
        <v>241.89999999999998</v>
      </c>
      <c r="CG13" s="30">
        <v>123.4</v>
      </c>
      <c r="CH13" s="30">
        <v>162.9</v>
      </c>
      <c r="CI13" s="30">
        <v>528.20000000000005</v>
      </c>
      <c r="CJ13" s="30">
        <v>141.69999999999999</v>
      </c>
      <c r="CK13" s="30">
        <v>170.2</v>
      </c>
      <c r="CL13" s="29">
        <f>CJ13+CK13</f>
        <v>311.89999999999998</v>
      </c>
      <c r="CM13" s="31">
        <f>CM16-CM14-CM15</f>
        <v>157.16457485561074</v>
      </c>
      <c r="CN13" s="31">
        <f>CN16-CN14-CN15</f>
        <v>184.28462818512932</v>
      </c>
      <c r="CO13" s="31">
        <f>SUM(CJ13,CK13,CM13,CN13)</f>
        <v>653.34920304074001</v>
      </c>
      <c r="CP13" s="31">
        <f>CP16-CP14-CP15</f>
        <v>738.56181343218077</v>
      </c>
      <c r="CQ13" s="31">
        <f>CQ16-CQ14-CQ15</f>
        <v>811.13207832908142</v>
      </c>
      <c r="CR13" s="31">
        <f>CR16-CR14-CR15</f>
        <v>918.04484374255901</v>
      </c>
      <c r="CS13" s="31">
        <f>CS16-CS14-CS15</f>
        <v>1014.631542737477</v>
      </c>
      <c r="CT13" s="22" t="s">
        <v>109</v>
      </c>
      <c r="CV13" s="23">
        <f>IFERROR((CS13/CI13)^(1/5)-1,"n/m")</f>
        <v>0.13946763070803336</v>
      </c>
      <c r="CW13" s="23">
        <f>IFERROR((CI13/BE13)^(1/5)-1,"n/m")</f>
        <v>0.22331492247518736</v>
      </c>
      <c r="CX13" s="23">
        <f>IFERROR((CI13/AA13)^(1/10)-1,"n/m")</f>
        <v>0.29441590471776191</v>
      </c>
      <c r="CY13" s="23" t="str">
        <f>IFERROR((CI13/C13)^(1/19)-1,"n/m")</f>
        <v>n/m</v>
      </c>
      <c r="DB13" s="12" t="s">
        <v>110</v>
      </c>
      <c r="DC13" s="28">
        <v>6.15</v>
      </c>
      <c r="DD13" s="28">
        <v>6.1</v>
      </c>
      <c r="DE13" s="28">
        <v>6.05</v>
      </c>
    </row>
    <row r="14" spans="2:110" ht="15" customHeight="1" x14ac:dyDescent="0.25">
      <c r="B14" s="12" t="s">
        <v>111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30">
        <v>4.5999999999999996</v>
      </c>
      <c r="BA14" s="30">
        <v>4.4000000000000004</v>
      </c>
      <c r="BB14" s="29">
        <f>AZ14+BA14</f>
        <v>9</v>
      </c>
      <c r="BC14" s="30">
        <v>4.5</v>
      </c>
      <c r="BD14" s="30">
        <v>4.5999999999999996</v>
      </c>
      <c r="BE14" s="30">
        <v>18.100000000000001</v>
      </c>
      <c r="BF14" s="30">
        <v>4.5999999999999996</v>
      </c>
      <c r="BG14" s="30">
        <v>27.4</v>
      </c>
      <c r="BH14" s="29">
        <f>BF14+BG14</f>
        <v>32</v>
      </c>
      <c r="BI14" s="30">
        <v>50.1</v>
      </c>
      <c r="BJ14" s="30">
        <v>46.3</v>
      </c>
      <c r="BK14" s="30">
        <v>128.4</v>
      </c>
      <c r="BL14" s="30">
        <v>48.5</v>
      </c>
      <c r="BM14" s="30">
        <v>46.4</v>
      </c>
      <c r="BN14" s="29">
        <f>BL14+BM14</f>
        <v>94.9</v>
      </c>
      <c r="BO14" s="30">
        <v>44.7</v>
      </c>
      <c r="BP14" s="30">
        <v>44.1</v>
      </c>
      <c r="BQ14" s="30">
        <v>183.7</v>
      </c>
      <c r="BR14" s="30">
        <v>45.8</v>
      </c>
      <c r="BS14" s="30">
        <v>45.6</v>
      </c>
      <c r="BT14" s="29">
        <f>BR14+BS14</f>
        <v>91.4</v>
      </c>
      <c r="BU14" s="30">
        <v>45.4</v>
      </c>
      <c r="BV14" s="30">
        <v>44.9</v>
      </c>
      <c r="BW14" s="30">
        <v>181.7</v>
      </c>
      <c r="BX14" s="30">
        <v>45.8</v>
      </c>
      <c r="BY14" s="30">
        <v>45.4</v>
      </c>
      <c r="BZ14" s="29">
        <f>BX14+BY14</f>
        <v>91.199999999999989</v>
      </c>
      <c r="CA14" s="30">
        <v>46.1</v>
      </c>
      <c r="CB14" s="30">
        <v>46.1</v>
      </c>
      <c r="CC14" s="30">
        <v>183.3</v>
      </c>
      <c r="CD14" s="30">
        <v>45.4</v>
      </c>
      <c r="CE14" s="30">
        <v>46.3</v>
      </c>
      <c r="CF14" s="29">
        <f>CD14+CE14</f>
        <v>91.699999999999989</v>
      </c>
      <c r="CG14" s="30">
        <v>46.8</v>
      </c>
      <c r="CH14" s="30">
        <v>46.8</v>
      </c>
      <c r="CI14" s="30">
        <v>185.3</v>
      </c>
      <c r="CJ14" s="30">
        <v>48</v>
      </c>
      <c r="CK14" s="30">
        <v>47.4</v>
      </c>
      <c r="CL14" s="29">
        <f>CJ14+CK14</f>
        <v>95.4</v>
      </c>
      <c r="CM14" s="31">
        <f>CM125*$CL$14/($CL$14+$CL$31+$CL$51+$CL$70)</f>
        <v>47.196126760563381</v>
      </c>
      <c r="CN14" s="31">
        <f>CN125*$CL$14/($CL$14+$CL$31+$CL$51+$CL$70)</f>
        <v>47.196126760563381</v>
      </c>
      <c r="CO14" s="31">
        <f>SUM(CJ14,CK14,CM14,CN14)</f>
        <v>189.79225352112675</v>
      </c>
      <c r="CP14" s="31">
        <f>CP371*$CL$14/($CL$14+$CL$31+$CL$51+$CL$70)</f>
        <v>177.86725352112677</v>
      </c>
      <c r="CQ14" s="31">
        <f>CQ371*$CL$14/($CL$14+$CL$31+$CL$51+$CL$70)</f>
        <v>175.4318661971831</v>
      </c>
      <c r="CR14" s="31">
        <f>CR371*$CL$14/($CL$14+$CL$31+$CL$51+$CL$70)</f>
        <v>138.56514084507043</v>
      </c>
      <c r="CS14" s="31">
        <f>CS371*$CL$14/($CL$14+$CL$31+$CL$51+$CL$70)</f>
        <v>116.56267605633803</v>
      </c>
      <c r="CT14" s="22" t="s">
        <v>112</v>
      </c>
      <c r="CV14" s="6"/>
      <c r="CW14" s="6"/>
      <c r="CX14" s="6"/>
      <c r="CY14" s="6"/>
      <c r="DB14" s="12" t="s">
        <v>113</v>
      </c>
      <c r="DC14" s="28">
        <v>20.99</v>
      </c>
      <c r="DD14" s="28">
        <v>20.86</v>
      </c>
      <c r="DE14" s="28">
        <v>20.73</v>
      </c>
    </row>
    <row r="15" spans="2:110" ht="15" customHeight="1" x14ac:dyDescent="0.25">
      <c r="B15" s="12" t="s">
        <v>114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30">
        <v>47.4</v>
      </c>
      <c r="BH15" s="29">
        <f>N(BF15)+N(BG15)</f>
        <v>47.4</v>
      </c>
      <c r="BI15" s="30">
        <v>36.700000000000003</v>
      </c>
      <c r="BJ15" s="30">
        <v>48.2</v>
      </c>
      <c r="BK15" s="30">
        <v>132.30000000000001</v>
      </c>
      <c r="BL15" s="29"/>
      <c r="BM15" s="29"/>
      <c r="BN15" s="29"/>
      <c r="BO15" s="29"/>
      <c r="BP15" s="30">
        <v>-4</v>
      </c>
      <c r="BQ15" s="30">
        <v>-4</v>
      </c>
      <c r="BR15" s="29"/>
      <c r="BS15" s="29"/>
      <c r="BT15" s="29"/>
      <c r="BU15" s="30">
        <v>5.8</v>
      </c>
      <c r="BV15" s="30">
        <v>3</v>
      </c>
      <c r="BW15" s="30">
        <v>8.8000000000000007</v>
      </c>
      <c r="BX15" s="30">
        <v>2.2000000000000002</v>
      </c>
      <c r="BY15" s="30">
        <v>1</v>
      </c>
      <c r="BZ15" s="29">
        <f>BX15+BY15</f>
        <v>3.2</v>
      </c>
      <c r="CA15" s="30">
        <v>3.7</v>
      </c>
      <c r="CB15" s="30">
        <v>51</v>
      </c>
      <c r="CC15" s="30">
        <v>57.9</v>
      </c>
      <c r="CD15" s="29"/>
      <c r="CE15" s="29"/>
      <c r="CF15" s="29"/>
      <c r="CG15" s="29"/>
      <c r="CH15" s="29"/>
      <c r="CI15" s="29"/>
      <c r="CJ15" s="29"/>
      <c r="CK15" s="29"/>
      <c r="CL15" s="29"/>
      <c r="CM15" s="32">
        <v>0</v>
      </c>
      <c r="CN15" s="32">
        <v>0</v>
      </c>
      <c r="CO15" s="31">
        <f>SUM(CJ15,CK15,CM15,CN15)</f>
        <v>0</v>
      </c>
      <c r="CP15" s="32">
        <v>0</v>
      </c>
      <c r="CQ15" s="32">
        <v>0</v>
      </c>
      <c r="CR15" s="32">
        <v>0</v>
      </c>
      <c r="CS15" s="32">
        <v>0</v>
      </c>
      <c r="CT15" s="22"/>
      <c r="CV15" s="6"/>
      <c r="CW15" s="6"/>
      <c r="CX15" s="6"/>
      <c r="CY15" s="6"/>
      <c r="DB15" s="17" t="s">
        <v>115</v>
      </c>
      <c r="DC15" s="24"/>
      <c r="DD15" s="24"/>
      <c r="DE15" s="24"/>
      <c r="DF15" s="15" t="s">
        <v>116</v>
      </c>
    </row>
    <row r="16" spans="2:110" ht="15" customHeight="1" x14ac:dyDescent="0.25">
      <c r="B16" s="33" t="s">
        <v>117</v>
      </c>
      <c r="C16" s="34" t="str">
        <f t="shared" ref="C16:AH16" si="4">IF(OR(ISNUMBER(C17),ISNUMBER(C14)),C13+N(C14)+N(C15),"")</f>
        <v/>
      </c>
      <c r="D16" s="34" t="str">
        <f t="shared" si="4"/>
        <v/>
      </c>
      <c r="E16" s="34" t="str">
        <f t="shared" si="4"/>
        <v/>
      </c>
      <c r="F16" s="34" t="str">
        <f t="shared" si="4"/>
        <v/>
      </c>
      <c r="G16" s="34" t="str">
        <f t="shared" si="4"/>
        <v/>
      </c>
      <c r="H16" s="34" t="str">
        <f t="shared" si="4"/>
        <v/>
      </c>
      <c r="I16" s="34" t="str">
        <f t="shared" si="4"/>
        <v/>
      </c>
      <c r="J16" s="19" t="str">
        <f t="shared" si="4"/>
        <v/>
      </c>
      <c r="K16" s="19" t="str">
        <f t="shared" si="4"/>
        <v/>
      </c>
      <c r="L16" s="19" t="str">
        <f t="shared" si="4"/>
        <v/>
      </c>
      <c r="M16" s="19" t="str">
        <f t="shared" si="4"/>
        <v/>
      </c>
      <c r="N16" s="19" t="str">
        <f t="shared" si="4"/>
        <v/>
      </c>
      <c r="O16" s="34" t="str">
        <f t="shared" si="4"/>
        <v/>
      </c>
      <c r="P16" s="19" t="str">
        <f t="shared" si="4"/>
        <v/>
      </c>
      <c r="Q16" s="19" t="str">
        <f t="shared" si="4"/>
        <v/>
      </c>
      <c r="R16" s="19" t="str">
        <f t="shared" si="4"/>
        <v/>
      </c>
      <c r="S16" s="19" t="str">
        <f t="shared" si="4"/>
        <v/>
      </c>
      <c r="T16" s="19" t="str">
        <f t="shared" si="4"/>
        <v/>
      </c>
      <c r="U16" s="34" t="str">
        <f t="shared" si="4"/>
        <v/>
      </c>
      <c r="V16" s="19" t="str">
        <f t="shared" si="4"/>
        <v/>
      </c>
      <c r="W16" s="19" t="str">
        <f t="shared" si="4"/>
        <v/>
      </c>
      <c r="X16" s="19" t="str">
        <f t="shared" si="4"/>
        <v/>
      </c>
      <c r="Y16" s="19" t="str">
        <f t="shared" si="4"/>
        <v/>
      </c>
      <c r="Z16" s="19" t="str">
        <f t="shared" si="4"/>
        <v/>
      </c>
      <c r="AA16" s="34" t="str">
        <f t="shared" si="4"/>
        <v/>
      </c>
      <c r="AB16" s="19" t="str">
        <f t="shared" si="4"/>
        <v/>
      </c>
      <c r="AC16" s="19" t="str">
        <f t="shared" si="4"/>
        <v/>
      </c>
      <c r="AD16" s="19" t="str">
        <f t="shared" si="4"/>
        <v/>
      </c>
      <c r="AE16" s="19" t="str">
        <f t="shared" si="4"/>
        <v/>
      </c>
      <c r="AF16" s="19" t="str">
        <f t="shared" si="4"/>
        <v/>
      </c>
      <c r="AG16" s="34" t="str">
        <f t="shared" si="4"/>
        <v/>
      </c>
      <c r="AH16" s="19" t="str">
        <f t="shared" si="4"/>
        <v/>
      </c>
      <c r="AI16" s="19" t="str">
        <f t="shared" ref="AI16:BN16" si="5">IF(OR(ISNUMBER(AI17),ISNUMBER(AI14)),AI13+N(AI14)+N(AI15),"")</f>
        <v/>
      </c>
      <c r="AJ16" s="19" t="str">
        <f t="shared" si="5"/>
        <v/>
      </c>
      <c r="AK16" s="19" t="str">
        <f t="shared" si="5"/>
        <v/>
      </c>
      <c r="AL16" s="19" t="str">
        <f t="shared" si="5"/>
        <v/>
      </c>
      <c r="AM16" s="34" t="str">
        <f t="shared" si="5"/>
        <v/>
      </c>
      <c r="AN16" s="19" t="str">
        <f t="shared" si="5"/>
        <v/>
      </c>
      <c r="AO16" s="19" t="str">
        <f t="shared" si="5"/>
        <v/>
      </c>
      <c r="AP16" s="19" t="str">
        <f t="shared" si="5"/>
        <v/>
      </c>
      <c r="AQ16" s="19" t="str">
        <f t="shared" si="5"/>
        <v/>
      </c>
      <c r="AR16" s="19" t="str">
        <f t="shared" si="5"/>
        <v/>
      </c>
      <c r="AS16" s="34" t="str">
        <f t="shared" si="5"/>
        <v/>
      </c>
      <c r="AT16" s="19" t="str">
        <f t="shared" si="5"/>
        <v/>
      </c>
      <c r="AU16" s="19" t="str">
        <f t="shared" si="5"/>
        <v/>
      </c>
      <c r="AV16" s="19" t="str">
        <f t="shared" si="5"/>
        <v/>
      </c>
      <c r="AW16" s="19" t="str">
        <f t="shared" si="5"/>
        <v/>
      </c>
      <c r="AX16" s="19" t="str">
        <f t="shared" si="5"/>
        <v/>
      </c>
      <c r="AY16" s="34" t="str">
        <f t="shared" si="5"/>
        <v/>
      </c>
      <c r="AZ16" s="19">
        <f t="shared" si="5"/>
        <v>48.4</v>
      </c>
      <c r="BA16" s="19">
        <f t="shared" si="5"/>
        <v>51.199999999999996</v>
      </c>
      <c r="BB16" s="19">
        <f t="shared" si="5"/>
        <v>99.6</v>
      </c>
      <c r="BC16" s="19">
        <f t="shared" si="5"/>
        <v>50</v>
      </c>
      <c r="BD16" s="19">
        <f t="shared" si="5"/>
        <v>61.300000000000004</v>
      </c>
      <c r="BE16" s="34">
        <f t="shared" si="5"/>
        <v>210.9</v>
      </c>
      <c r="BF16" s="19">
        <f t="shared" si="5"/>
        <v>56.6</v>
      </c>
      <c r="BG16" s="19">
        <f t="shared" si="5"/>
        <v>159.4</v>
      </c>
      <c r="BH16" s="19">
        <f t="shared" si="5"/>
        <v>216</v>
      </c>
      <c r="BI16" s="19">
        <f t="shared" si="5"/>
        <v>181.7</v>
      </c>
      <c r="BJ16" s="19">
        <f t="shared" si="5"/>
        <v>188.59999999999997</v>
      </c>
      <c r="BK16" s="34">
        <f t="shared" si="5"/>
        <v>586.29999999999995</v>
      </c>
      <c r="BL16" s="19">
        <f t="shared" si="5"/>
        <v>164.2</v>
      </c>
      <c r="BM16" s="19">
        <f t="shared" si="5"/>
        <v>164.3</v>
      </c>
      <c r="BN16" s="19">
        <f t="shared" si="5"/>
        <v>328.5</v>
      </c>
      <c r="BO16" s="19">
        <f t="shared" ref="BO16:CL16" si="6">IF(OR(ISNUMBER(BO17),ISNUMBER(BO14)),BO13+N(BO14)+N(BO15),"")</f>
        <v>178.39999999999998</v>
      </c>
      <c r="BP16" s="19">
        <f t="shared" si="6"/>
        <v>192.1</v>
      </c>
      <c r="BQ16" s="34">
        <f t="shared" si="6"/>
        <v>699</v>
      </c>
      <c r="BR16" s="19">
        <f t="shared" si="6"/>
        <v>168</v>
      </c>
      <c r="BS16" s="19">
        <f t="shared" si="6"/>
        <v>170.2</v>
      </c>
      <c r="BT16" s="19">
        <f t="shared" si="6"/>
        <v>338.20000000000005</v>
      </c>
      <c r="BU16" s="19">
        <f t="shared" si="6"/>
        <v>187.50000000000003</v>
      </c>
      <c r="BV16" s="19">
        <f t="shared" si="6"/>
        <v>182.20000000000002</v>
      </c>
      <c r="BW16" s="34">
        <f t="shared" si="6"/>
        <v>707.89999999999986</v>
      </c>
      <c r="BX16" s="19">
        <f t="shared" si="6"/>
        <v>161.79999999999998</v>
      </c>
      <c r="BY16" s="19">
        <f t="shared" si="6"/>
        <v>159.9</v>
      </c>
      <c r="BZ16" s="19">
        <f t="shared" si="6"/>
        <v>321.7</v>
      </c>
      <c r="CA16" s="19">
        <f t="shared" si="6"/>
        <v>173.7</v>
      </c>
      <c r="CB16" s="19">
        <f t="shared" si="6"/>
        <v>187.9</v>
      </c>
      <c r="CC16" s="34">
        <f t="shared" si="6"/>
        <v>683.19999999999993</v>
      </c>
      <c r="CD16" s="19">
        <f t="shared" si="6"/>
        <v>167.7</v>
      </c>
      <c r="CE16" s="19">
        <f t="shared" si="6"/>
        <v>165.89999999999998</v>
      </c>
      <c r="CF16" s="19">
        <f t="shared" si="6"/>
        <v>333.59999999999997</v>
      </c>
      <c r="CG16" s="19">
        <f t="shared" si="6"/>
        <v>170.2</v>
      </c>
      <c r="CH16" s="19">
        <f t="shared" si="6"/>
        <v>209.7</v>
      </c>
      <c r="CI16" s="34">
        <f t="shared" si="6"/>
        <v>713.5</v>
      </c>
      <c r="CJ16" s="19">
        <f t="shared" si="6"/>
        <v>189.7</v>
      </c>
      <c r="CK16" s="19">
        <f t="shared" si="6"/>
        <v>217.6</v>
      </c>
      <c r="CL16" s="19">
        <f t="shared" si="6"/>
        <v>407.29999999999995</v>
      </c>
      <c r="CM16" s="34">
        <f>CM11*CM20</f>
        <v>204.36070161617411</v>
      </c>
      <c r="CN16" s="34">
        <f>CN11*CN20</f>
        <v>231.48075494569269</v>
      </c>
      <c r="CO16" s="34">
        <f>SUM(CJ16,CK16,CM16,CN16)</f>
        <v>843.14145656186679</v>
      </c>
      <c r="CP16" s="34">
        <f>CP11*CP20</f>
        <v>916.42906695330748</v>
      </c>
      <c r="CQ16" s="34">
        <f>CQ11*CQ20</f>
        <v>986.56394452626455</v>
      </c>
      <c r="CR16" s="34">
        <f>CR11*CR20</f>
        <v>1056.6099845876295</v>
      </c>
      <c r="CS16" s="34">
        <f>CS11*CS20</f>
        <v>1131.194218793815</v>
      </c>
      <c r="CT16" s="22" t="s">
        <v>118</v>
      </c>
      <c r="CV16" s="23">
        <f>IFERROR((CS16/CI16)^(1/5)-1,"n/m")</f>
        <v>9.6550506643736655E-2</v>
      </c>
      <c r="CW16" s="23">
        <f>IFERROR((CI16/BE16)^(1/5)-1,"n/m")</f>
        <v>0.27603762336851156</v>
      </c>
      <c r="CX16" s="23" t="str">
        <f>IFERROR((CI16/AA16)^(1/10)-1,"n/m")</f>
        <v>n/m</v>
      </c>
      <c r="CY16" s="23" t="str">
        <f>IFERROR((CI16/C16)^(1/19)-1,"n/m")</f>
        <v>n/m</v>
      </c>
      <c r="DB16" s="12" t="s">
        <v>119</v>
      </c>
      <c r="DD16" s="35">
        <v>0.215</v>
      </c>
    </row>
    <row r="17" spans="2:110" ht="15" customHeight="1" x14ac:dyDescent="0.25">
      <c r="B17" s="36" t="s">
        <v>120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30">
        <v>48.4</v>
      </c>
      <c r="BA17" s="30">
        <v>51.2</v>
      </c>
      <c r="BB17" s="29">
        <f>AZ17+BA17</f>
        <v>99.6</v>
      </c>
      <c r="BC17" s="30">
        <v>50</v>
      </c>
      <c r="BD17" s="30">
        <v>61.3</v>
      </c>
      <c r="BE17" s="30">
        <v>210.9</v>
      </c>
      <c r="BF17" s="30">
        <v>56.6</v>
      </c>
      <c r="BG17" s="30">
        <v>159.4</v>
      </c>
      <c r="BH17" s="29">
        <f>BF17+BG17</f>
        <v>216</v>
      </c>
      <c r="BI17" s="30">
        <v>181.7</v>
      </c>
      <c r="BJ17" s="30">
        <v>188.6</v>
      </c>
      <c r="BK17" s="30">
        <v>586.29999999999995</v>
      </c>
      <c r="BL17" s="30">
        <v>164.2</v>
      </c>
      <c r="BM17" s="30">
        <v>164.3</v>
      </c>
      <c r="BN17" s="29">
        <f>BL17+BM17</f>
        <v>328.5</v>
      </c>
      <c r="BO17" s="30">
        <v>178.4</v>
      </c>
      <c r="BP17" s="30">
        <v>192.1</v>
      </c>
      <c r="BQ17" s="30">
        <v>699</v>
      </c>
      <c r="BR17" s="30">
        <v>168</v>
      </c>
      <c r="BS17" s="30">
        <v>170.2</v>
      </c>
      <c r="BT17" s="29">
        <f>BR17+BS17</f>
        <v>338.2</v>
      </c>
      <c r="BU17" s="30">
        <v>187.5</v>
      </c>
      <c r="BV17" s="30">
        <v>182.2</v>
      </c>
      <c r="BW17" s="30">
        <v>707.9</v>
      </c>
      <c r="BX17" s="30">
        <v>161.80000000000001</v>
      </c>
      <c r="BY17" s="30">
        <v>159.9</v>
      </c>
      <c r="BZ17" s="29">
        <f>BX17+BY17</f>
        <v>321.70000000000005</v>
      </c>
      <c r="CA17" s="30">
        <v>173.7</v>
      </c>
      <c r="CB17" s="30">
        <v>187.9</v>
      </c>
      <c r="CC17" s="30">
        <v>683.2</v>
      </c>
      <c r="CD17" s="30">
        <v>167.7</v>
      </c>
      <c r="CE17" s="30">
        <v>165.9</v>
      </c>
      <c r="CF17" s="29">
        <f>CD17+CE17</f>
        <v>333.6</v>
      </c>
      <c r="CG17" s="30">
        <v>170.2</v>
      </c>
      <c r="CH17" s="30">
        <v>209.7</v>
      </c>
      <c r="CI17" s="30">
        <v>713.5</v>
      </c>
      <c r="CJ17" s="30">
        <v>189.7</v>
      </c>
      <c r="CK17" s="30">
        <v>217.6</v>
      </c>
      <c r="CL17" s="29">
        <f>CJ17+CK17</f>
        <v>407.29999999999995</v>
      </c>
      <c r="CM17" s="31"/>
      <c r="CN17" s="31"/>
      <c r="CO17" s="31"/>
      <c r="CP17" s="31"/>
      <c r="CQ17" s="31"/>
      <c r="CR17" s="31"/>
      <c r="CS17" s="31"/>
      <c r="CT17" s="22"/>
      <c r="CV17" s="6"/>
      <c r="CW17" s="6"/>
      <c r="CX17" s="6"/>
      <c r="CY17" s="6"/>
      <c r="DB17" s="12" t="s">
        <v>121</v>
      </c>
      <c r="DD17" s="37">
        <v>125</v>
      </c>
    </row>
    <row r="18" spans="2:110" ht="15" customHeight="1" x14ac:dyDescent="0.25">
      <c r="B18" s="38" t="s">
        <v>122</v>
      </c>
      <c r="C18" s="29" t="str">
        <f t="shared" ref="C18:AH18" si="7">IF(ISNUMBER(C17),ROUND(C16-C17,1),"n/p")</f>
        <v>n/p</v>
      </c>
      <c r="D18" s="29" t="str">
        <f t="shared" si="7"/>
        <v>n/p</v>
      </c>
      <c r="E18" s="29" t="str">
        <f t="shared" si="7"/>
        <v>n/p</v>
      </c>
      <c r="F18" s="29" t="str">
        <f t="shared" si="7"/>
        <v>n/p</v>
      </c>
      <c r="G18" s="29" t="str">
        <f t="shared" si="7"/>
        <v>n/p</v>
      </c>
      <c r="H18" s="29" t="str">
        <f t="shared" si="7"/>
        <v>n/p</v>
      </c>
      <c r="I18" s="29" t="str">
        <f t="shared" si="7"/>
        <v>n/p</v>
      </c>
      <c r="J18" s="29" t="str">
        <f t="shared" si="7"/>
        <v>n/p</v>
      </c>
      <c r="K18" s="29" t="str">
        <f t="shared" si="7"/>
        <v>n/p</v>
      </c>
      <c r="L18" s="29" t="str">
        <f t="shared" si="7"/>
        <v>n/p</v>
      </c>
      <c r="M18" s="29" t="str">
        <f t="shared" si="7"/>
        <v>n/p</v>
      </c>
      <c r="N18" s="29" t="str">
        <f t="shared" si="7"/>
        <v>n/p</v>
      </c>
      <c r="O18" s="29" t="str">
        <f t="shared" si="7"/>
        <v>n/p</v>
      </c>
      <c r="P18" s="29" t="str">
        <f t="shared" si="7"/>
        <v>n/p</v>
      </c>
      <c r="Q18" s="29" t="str">
        <f t="shared" si="7"/>
        <v>n/p</v>
      </c>
      <c r="R18" s="29" t="str">
        <f t="shared" si="7"/>
        <v>n/p</v>
      </c>
      <c r="S18" s="29" t="str">
        <f t="shared" si="7"/>
        <v>n/p</v>
      </c>
      <c r="T18" s="29" t="str">
        <f t="shared" si="7"/>
        <v>n/p</v>
      </c>
      <c r="U18" s="29" t="str">
        <f t="shared" si="7"/>
        <v>n/p</v>
      </c>
      <c r="V18" s="29" t="str">
        <f t="shared" si="7"/>
        <v>n/p</v>
      </c>
      <c r="W18" s="29" t="str">
        <f t="shared" si="7"/>
        <v>n/p</v>
      </c>
      <c r="X18" s="29" t="str">
        <f t="shared" si="7"/>
        <v>n/p</v>
      </c>
      <c r="Y18" s="29" t="str">
        <f t="shared" si="7"/>
        <v>n/p</v>
      </c>
      <c r="Z18" s="29" t="str">
        <f t="shared" si="7"/>
        <v>n/p</v>
      </c>
      <c r="AA18" s="29" t="str">
        <f t="shared" si="7"/>
        <v>n/p</v>
      </c>
      <c r="AB18" s="29" t="str">
        <f t="shared" si="7"/>
        <v>n/p</v>
      </c>
      <c r="AC18" s="29" t="str">
        <f t="shared" si="7"/>
        <v>n/p</v>
      </c>
      <c r="AD18" s="29" t="str">
        <f t="shared" si="7"/>
        <v>n/p</v>
      </c>
      <c r="AE18" s="29" t="str">
        <f t="shared" si="7"/>
        <v>n/p</v>
      </c>
      <c r="AF18" s="29" t="str">
        <f t="shared" si="7"/>
        <v>n/p</v>
      </c>
      <c r="AG18" s="29" t="str">
        <f t="shared" si="7"/>
        <v>n/p</v>
      </c>
      <c r="AH18" s="29" t="str">
        <f t="shared" si="7"/>
        <v>n/p</v>
      </c>
      <c r="AI18" s="29" t="str">
        <f t="shared" ref="AI18:BN18" si="8">IF(ISNUMBER(AI17),ROUND(AI16-AI17,1),"n/p")</f>
        <v>n/p</v>
      </c>
      <c r="AJ18" s="29" t="str">
        <f t="shared" si="8"/>
        <v>n/p</v>
      </c>
      <c r="AK18" s="29" t="str">
        <f t="shared" si="8"/>
        <v>n/p</v>
      </c>
      <c r="AL18" s="29" t="str">
        <f t="shared" si="8"/>
        <v>n/p</v>
      </c>
      <c r="AM18" s="29" t="str">
        <f t="shared" si="8"/>
        <v>n/p</v>
      </c>
      <c r="AN18" s="29" t="str">
        <f t="shared" si="8"/>
        <v>n/p</v>
      </c>
      <c r="AO18" s="29" t="str">
        <f t="shared" si="8"/>
        <v>n/p</v>
      </c>
      <c r="AP18" s="29" t="str">
        <f t="shared" si="8"/>
        <v>n/p</v>
      </c>
      <c r="AQ18" s="29" t="str">
        <f t="shared" si="8"/>
        <v>n/p</v>
      </c>
      <c r="AR18" s="29" t="str">
        <f t="shared" si="8"/>
        <v>n/p</v>
      </c>
      <c r="AS18" s="29" t="str">
        <f t="shared" si="8"/>
        <v>n/p</v>
      </c>
      <c r="AT18" s="29" t="str">
        <f t="shared" si="8"/>
        <v>n/p</v>
      </c>
      <c r="AU18" s="29" t="str">
        <f t="shared" si="8"/>
        <v>n/p</v>
      </c>
      <c r="AV18" s="29" t="str">
        <f t="shared" si="8"/>
        <v>n/p</v>
      </c>
      <c r="AW18" s="29" t="str">
        <f t="shared" si="8"/>
        <v>n/p</v>
      </c>
      <c r="AX18" s="29" t="str">
        <f t="shared" si="8"/>
        <v>n/p</v>
      </c>
      <c r="AY18" s="29" t="str">
        <f t="shared" si="8"/>
        <v>n/p</v>
      </c>
      <c r="AZ18" s="29">
        <f t="shared" si="8"/>
        <v>0</v>
      </c>
      <c r="BA18" s="29">
        <f t="shared" si="8"/>
        <v>0</v>
      </c>
      <c r="BB18" s="29">
        <f t="shared" si="8"/>
        <v>0</v>
      </c>
      <c r="BC18" s="29">
        <f t="shared" si="8"/>
        <v>0</v>
      </c>
      <c r="BD18" s="29">
        <f t="shared" si="8"/>
        <v>0</v>
      </c>
      <c r="BE18" s="29">
        <f t="shared" si="8"/>
        <v>0</v>
      </c>
      <c r="BF18" s="29">
        <f t="shared" si="8"/>
        <v>0</v>
      </c>
      <c r="BG18" s="29">
        <f t="shared" si="8"/>
        <v>0</v>
      </c>
      <c r="BH18" s="29">
        <f t="shared" si="8"/>
        <v>0</v>
      </c>
      <c r="BI18" s="29">
        <f t="shared" si="8"/>
        <v>0</v>
      </c>
      <c r="BJ18" s="29">
        <f t="shared" si="8"/>
        <v>0</v>
      </c>
      <c r="BK18" s="29">
        <f t="shared" si="8"/>
        <v>0</v>
      </c>
      <c r="BL18" s="29">
        <f t="shared" si="8"/>
        <v>0</v>
      </c>
      <c r="BM18" s="29">
        <f t="shared" si="8"/>
        <v>0</v>
      </c>
      <c r="BN18" s="29">
        <f t="shared" si="8"/>
        <v>0</v>
      </c>
      <c r="BO18" s="29">
        <f t="shared" ref="BO18:CL18" si="9">IF(ISNUMBER(BO17),ROUND(BO16-BO17,1),"n/p")</f>
        <v>0</v>
      </c>
      <c r="BP18" s="29">
        <f t="shared" si="9"/>
        <v>0</v>
      </c>
      <c r="BQ18" s="29">
        <f t="shared" si="9"/>
        <v>0</v>
      </c>
      <c r="BR18" s="29">
        <f t="shared" si="9"/>
        <v>0</v>
      </c>
      <c r="BS18" s="29">
        <f t="shared" si="9"/>
        <v>0</v>
      </c>
      <c r="BT18" s="29">
        <f t="shared" si="9"/>
        <v>0</v>
      </c>
      <c r="BU18" s="29">
        <f t="shared" si="9"/>
        <v>0</v>
      </c>
      <c r="BV18" s="29">
        <f t="shared" si="9"/>
        <v>0</v>
      </c>
      <c r="BW18" s="29">
        <f t="shared" si="9"/>
        <v>0</v>
      </c>
      <c r="BX18" s="29">
        <f t="shared" si="9"/>
        <v>0</v>
      </c>
      <c r="BY18" s="29">
        <f t="shared" si="9"/>
        <v>0</v>
      </c>
      <c r="BZ18" s="29">
        <f t="shared" si="9"/>
        <v>0</v>
      </c>
      <c r="CA18" s="29">
        <f t="shared" si="9"/>
        <v>0</v>
      </c>
      <c r="CB18" s="29">
        <f t="shared" si="9"/>
        <v>0</v>
      </c>
      <c r="CC18" s="29">
        <f t="shared" si="9"/>
        <v>0</v>
      </c>
      <c r="CD18" s="29">
        <f t="shared" si="9"/>
        <v>0</v>
      </c>
      <c r="CE18" s="29">
        <f t="shared" si="9"/>
        <v>0</v>
      </c>
      <c r="CF18" s="29">
        <f t="shared" si="9"/>
        <v>0</v>
      </c>
      <c r="CG18" s="29">
        <f t="shared" si="9"/>
        <v>0</v>
      </c>
      <c r="CH18" s="29">
        <f t="shared" si="9"/>
        <v>0</v>
      </c>
      <c r="CI18" s="29">
        <f t="shared" si="9"/>
        <v>0</v>
      </c>
      <c r="CJ18" s="29">
        <f t="shared" si="9"/>
        <v>0</v>
      </c>
      <c r="CK18" s="29">
        <f t="shared" si="9"/>
        <v>0</v>
      </c>
      <c r="CL18" s="29">
        <f t="shared" si="9"/>
        <v>0</v>
      </c>
      <c r="CM18" s="31"/>
      <c r="CN18" s="31"/>
      <c r="CO18" s="31"/>
      <c r="CP18" s="31"/>
      <c r="CQ18" s="31"/>
      <c r="CR18" s="31"/>
      <c r="CS18" s="31"/>
      <c r="CT18" s="22"/>
      <c r="CV18" s="6"/>
      <c r="CW18" s="6"/>
      <c r="CX18" s="6"/>
      <c r="CY18" s="6"/>
    </row>
    <row r="19" spans="2:110" ht="15" customHeight="1" x14ac:dyDescent="0.25">
      <c r="B19" s="25" t="s">
        <v>123</v>
      </c>
      <c r="C19" s="39" t="str">
        <f t="shared" ref="C19:AH19" si="10">IFERROR(C13/C11,"")</f>
        <v/>
      </c>
      <c r="D19" s="39" t="str">
        <f t="shared" si="10"/>
        <v/>
      </c>
      <c r="E19" s="39">
        <f t="shared" si="10"/>
        <v>0.10625909752547306</v>
      </c>
      <c r="F19" s="39">
        <f t="shared" si="10"/>
        <v>9.2694422623723502E-2</v>
      </c>
      <c r="G19" s="39">
        <f t="shared" si="10"/>
        <v>4.2448979591836737E-2</v>
      </c>
      <c r="H19" s="39">
        <f t="shared" si="10"/>
        <v>4.6013146613318096E-2</v>
      </c>
      <c r="I19" s="39">
        <f t="shared" si="10"/>
        <v>5.9629718682375578E-2</v>
      </c>
      <c r="J19" s="39">
        <f t="shared" si="10"/>
        <v>5.078125E-2</v>
      </c>
      <c r="K19" s="39">
        <f t="shared" si="10"/>
        <v>7.5743048897411319E-2</v>
      </c>
      <c r="L19" s="39">
        <f t="shared" si="10"/>
        <v>6.3376874697629426E-2</v>
      </c>
      <c r="M19" s="39">
        <f t="shared" si="10"/>
        <v>0.10931558935361216</v>
      </c>
      <c r="N19" s="39">
        <f t="shared" si="10"/>
        <v>3.4985422740524783E-2</v>
      </c>
      <c r="O19" s="39">
        <f t="shared" si="10"/>
        <v>6.7984570877531333E-2</v>
      </c>
      <c r="P19" s="39">
        <f t="shared" si="10"/>
        <v>9.5191364082433741E-2</v>
      </c>
      <c r="Q19" s="39">
        <f t="shared" si="10"/>
        <v>0.11282545805207328</v>
      </c>
      <c r="R19" s="39">
        <f t="shared" si="10"/>
        <v>0.10408560311284044</v>
      </c>
      <c r="S19" s="39">
        <f t="shared" si="10"/>
        <v>8.2635983263598334E-2</v>
      </c>
      <c r="T19" s="39">
        <f t="shared" si="10"/>
        <v>7.6171875E-2</v>
      </c>
      <c r="U19" s="39">
        <f t="shared" si="10"/>
        <v>9.1922695738354807E-2</v>
      </c>
      <c r="V19" s="39">
        <f t="shared" si="10"/>
        <v>0.10287610619469027</v>
      </c>
      <c r="W19" s="39">
        <f t="shared" si="10"/>
        <v>9.6916299559471383E-2</v>
      </c>
      <c r="X19" s="39">
        <f t="shared" si="10"/>
        <v>9.9889624724061821E-2</v>
      </c>
      <c r="Y19" s="39">
        <f t="shared" si="10"/>
        <v>0.10867293625914316</v>
      </c>
      <c r="Z19" s="39">
        <f t="shared" si="10"/>
        <v>0.11263467189030363</v>
      </c>
      <c r="AA19" s="39">
        <f t="shared" si="10"/>
        <v>0.10554089709762533</v>
      </c>
      <c r="AB19" s="39">
        <f t="shared" si="10"/>
        <v>9.1212458286985529E-2</v>
      </c>
      <c r="AC19" s="39">
        <f t="shared" si="10"/>
        <v>0.10764587525150904</v>
      </c>
      <c r="AD19" s="39">
        <f t="shared" si="10"/>
        <v>9.9841521394611721E-2</v>
      </c>
      <c r="AE19" s="39">
        <f t="shared" si="10"/>
        <v>0.11878172588832486</v>
      </c>
      <c r="AF19" s="39">
        <f t="shared" si="10"/>
        <v>0.13796212804328223</v>
      </c>
      <c r="AG19" s="39">
        <f t="shared" si="10"/>
        <v>0.11512415349887133</v>
      </c>
      <c r="AH19" s="39">
        <f t="shared" si="10"/>
        <v>0.132688927943761</v>
      </c>
      <c r="AI19" s="39">
        <f t="shared" ref="AI19:BN19" si="11">IFERROR(AI13/AI11,"")</f>
        <v>0.13986013986013987</v>
      </c>
      <c r="AJ19" s="39">
        <f t="shared" si="11"/>
        <v>0.13726114649681528</v>
      </c>
      <c r="AK19" s="39">
        <f t="shared" si="11"/>
        <v>0.15939086294416244</v>
      </c>
      <c r="AL19" s="39">
        <f t="shared" si="11"/>
        <v>0.17368166424770198</v>
      </c>
      <c r="AM19" s="39">
        <f t="shared" si="11"/>
        <v>0.15512387387387389</v>
      </c>
      <c r="AN19" s="39">
        <f t="shared" si="11"/>
        <v>0.16226596255400863</v>
      </c>
      <c r="AO19" s="39">
        <f t="shared" si="11"/>
        <v>0.19327354260089688</v>
      </c>
      <c r="AP19" s="39">
        <f t="shared" si="11"/>
        <v>0.17829816832830978</v>
      </c>
      <c r="AQ19" s="39">
        <f t="shared" si="11"/>
        <v>0.19166289080199364</v>
      </c>
      <c r="AR19" s="39">
        <f t="shared" si="11"/>
        <v>0.16256157635467977</v>
      </c>
      <c r="AS19" s="39">
        <f t="shared" si="11"/>
        <v>0.17765337598537645</v>
      </c>
      <c r="AT19" s="39">
        <f t="shared" si="11"/>
        <v>0.15748709122203097</v>
      </c>
      <c r="AU19" s="39">
        <f t="shared" si="11"/>
        <v>0.20772946859903382</v>
      </c>
      <c r="AV19" s="39">
        <f t="shared" si="11"/>
        <v>0.18344425956738769</v>
      </c>
      <c r="AW19" s="39">
        <f t="shared" si="11"/>
        <v>0.16885245901639345</v>
      </c>
      <c r="AX19" s="39">
        <f t="shared" si="11"/>
        <v>0.17568071615069003</v>
      </c>
      <c r="AY19" s="39">
        <f t="shared" si="11"/>
        <v>0.17776211098801492</v>
      </c>
      <c r="AZ19" s="39">
        <f t="shared" si="11"/>
        <v>0.17754357519254155</v>
      </c>
      <c r="BA19" s="39">
        <f t="shared" si="11"/>
        <v>0.19696969696969696</v>
      </c>
      <c r="BB19" s="39">
        <f t="shared" si="11"/>
        <v>0.18707412760685527</v>
      </c>
      <c r="BC19" s="39">
        <f t="shared" si="11"/>
        <v>0.18982060909470172</v>
      </c>
      <c r="BD19" s="39">
        <f t="shared" si="11"/>
        <v>0.21641221374045802</v>
      </c>
      <c r="BE19" s="39">
        <f t="shared" si="11"/>
        <v>0.1955375253549696</v>
      </c>
      <c r="BF19" s="39">
        <f t="shared" si="11"/>
        <v>0.19749335358906189</v>
      </c>
      <c r="BG19" s="39">
        <f t="shared" si="11"/>
        <v>0.14598792062122518</v>
      </c>
      <c r="BH19" s="39">
        <f t="shared" si="11"/>
        <v>0.16207878500237305</v>
      </c>
      <c r="BI19" s="39">
        <f t="shared" si="11"/>
        <v>0.12476991848540626</v>
      </c>
      <c r="BJ19" s="39">
        <f t="shared" si="11"/>
        <v>0.11624459542927733</v>
      </c>
      <c r="BK19" s="39">
        <f t="shared" si="11"/>
        <v>0.13494135687347175</v>
      </c>
      <c r="BL19" s="39">
        <f t="shared" si="11"/>
        <v>0.15416389073950701</v>
      </c>
      <c r="BM19" s="39">
        <f t="shared" si="11"/>
        <v>0.15197215777262182</v>
      </c>
      <c r="BN19" s="39">
        <f t="shared" si="11"/>
        <v>0.15304985913647384</v>
      </c>
      <c r="BO19" s="39">
        <f t="shared" ref="BO19:CS19" si="12">IFERROR(BO13/BO11,"")</f>
        <v>0.17187299138706774</v>
      </c>
      <c r="BP19" s="39">
        <f t="shared" si="12"/>
        <v>0.18842196603446137</v>
      </c>
      <c r="BQ19" s="39">
        <f t="shared" si="12"/>
        <v>0.16692918448037544</v>
      </c>
      <c r="BR19" s="39">
        <f t="shared" si="12"/>
        <v>0.15818770226537218</v>
      </c>
      <c r="BS19" s="39">
        <f t="shared" si="12"/>
        <v>0.15706542291692929</v>
      </c>
      <c r="BT19" s="39">
        <f t="shared" si="12"/>
        <v>0.15761910844296848</v>
      </c>
      <c r="BU19" s="39">
        <f t="shared" si="12"/>
        <v>0.17568961072441353</v>
      </c>
      <c r="BV19" s="39">
        <f t="shared" si="12"/>
        <v>0.1673520249221184</v>
      </c>
      <c r="BW19" s="39">
        <f t="shared" si="12"/>
        <v>0.16456219585891033</v>
      </c>
      <c r="BX19" s="39">
        <f t="shared" si="12"/>
        <v>0.15361771058315335</v>
      </c>
      <c r="BY19" s="39">
        <f t="shared" si="12"/>
        <v>0.1535028401406546</v>
      </c>
      <c r="BZ19" s="39">
        <f t="shared" si="12"/>
        <v>0.15356032968517772</v>
      </c>
      <c r="CA19" s="39">
        <f t="shared" si="12"/>
        <v>0.1612441436751692</v>
      </c>
      <c r="CB19" s="39">
        <f t="shared" si="12"/>
        <v>0.11043541717343711</v>
      </c>
      <c r="CC19" s="39">
        <f t="shared" si="12"/>
        <v>0.1439364335026703</v>
      </c>
      <c r="CD19" s="39">
        <f t="shared" si="12"/>
        <v>0.16155878467635404</v>
      </c>
      <c r="CE19" s="39">
        <f t="shared" si="12"/>
        <v>0.15512321660181583</v>
      </c>
      <c r="CF19" s="39">
        <f t="shared" si="12"/>
        <v>0.15831151832460733</v>
      </c>
      <c r="CG19" s="39">
        <f t="shared" si="12"/>
        <v>0.15711739241151007</v>
      </c>
      <c r="CH19" s="39">
        <f t="shared" si="12"/>
        <v>0.19153439153439153</v>
      </c>
      <c r="CI19" s="39">
        <f t="shared" si="12"/>
        <v>0.16694585796011252</v>
      </c>
      <c r="CJ19" s="39">
        <f t="shared" si="12"/>
        <v>0.17346064389766189</v>
      </c>
      <c r="CK19" s="39">
        <f t="shared" si="12"/>
        <v>0.19592494532059396</v>
      </c>
      <c r="CL19" s="39">
        <f t="shared" si="12"/>
        <v>0.18503796867584243</v>
      </c>
      <c r="CM19" s="27">
        <f t="shared" si="12"/>
        <v>0.17760219202130473</v>
      </c>
      <c r="CN19" s="27">
        <f t="shared" si="12"/>
        <v>0.19230888476579158</v>
      </c>
      <c r="CO19" s="27">
        <f t="shared" si="12"/>
        <v>0.18514775900088862</v>
      </c>
      <c r="CP19" s="27">
        <f t="shared" si="12"/>
        <v>0.19744860875315695</v>
      </c>
      <c r="CQ19" s="27">
        <f t="shared" si="12"/>
        <v>0.20554472997656953</v>
      </c>
      <c r="CR19" s="27">
        <f t="shared" si="12"/>
        <v>0.22155898445888431</v>
      </c>
      <c r="CS19" s="27">
        <f t="shared" si="12"/>
        <v>0.23320858322016241</v>
      </c>
      <c r="CT19" s="22"/>
      <c r="CV19" s="40">
        <f>IFERROR(AVERAGE(CO19,CP19,CQ19,CR19,CS19),"n/m")</f>
        <v>0.2085817330819324</v>
      </c>
      <c r="CW19" s="40">
        <f>IFERROR(AVERAGE(BK19,BQ19,BW19,CC19,CI19),"n/m")</f>
        <v>0.15546300573510805</v>
      </c>
      <c r="CX19" s="40">
        <f>IFERROR(AVERAGE(AG19,AM19,AS19,AY19,BE19,BK19,BQ19,BW19,CC19,CI19),"n/m")</f>
        <v>0.15985160683766467</v>
      </c>
      <c r="CY19" s="40">
        <f>IFERROR(AVERAGE(C19,D19,E19,F19,G19,H19,I19,O19,U19,AA19,AG19,AM19,AS19,AY19,BE19,BK19,BQ19,BW19,CC19,CI19),"n/m")</f>
        <v>0.12283386650704917</v>
      </c>
    </row>
    <row r="20" spans="2:110" ht="15" customHeight="1" x14ac:dyDescent="0.25">
      <c r="B20" s="25" t="s">
        <v>124</v>
      </c>
      <c r="C20" s="39" t="str">
        <f t="shared" ref="C20:AH20" si="13">IFERROR(C16/C11,"")</f>
        <v/>
      </c>
      <c r="D20" s="39" t="str">
        <f t="shared" si="13"/>
        <v/>
      </c>
      <c r="E20" s="39" t="str">
        <f t="shared" si="13"/>
        <v/>
      </c>
      <c r="F20" s="39" t="str">
        <f t="shared" si="13"/>
        <v/>
      </c>
      <c r="G20" s="39" t="str">
        <f t="shared" si="13"/>
        <v/>
      </c>
      <c r="H20" s="39" t="str">
        <f t="shared" si="13"/>
        <v/>
      </c>
      <c r="I20" s="39" t="str">
        <f t="shared" si="13"/>
        <v/>
      </c>
      <c r="J20" s="39" t="str">
        <f t="shared" si="13"/>
        <v/>
      </c>
      <c r="K20" s="39" t="str">
        <f t="shared" si="13"/>
        <v/>
      </c>
      <c r="L20" s="39" t="str">
        <f t="shared" si="13"/>
        <v/>
      </c>
      <c r="M20" s="39" t="str">
        <f t="shared" si="13"/>
        <v/>
      </c>
      <c r="N20" s="39" t="str">
        <f t="shared" si="13"/>
        <v/>
      </c>
      <c r="O20" s="39" t="str">
        <f t="shared" si="13"/>
        <v/>
      </c>
      <c r="P20" s="39" t="str">
        <f t="shared" si="13"/>
        <v/>
      </c>
      <c r="Q20" s="39" t="str">
        <f t="shared" si="13"/>
        <v/>
      </c>
      <c r="R20" s="39" t="str">
        <f t="shared" si="13"/>
        <v/>
      </c>
      <c r="S20" s="39" t="str">
        <f t="shared" si="13"/>
        <v/>
      </c>
      <c r="T20" s="39" t="str">
        <f t="shared" si="13"/>
        <v/>
      </c>
      <c r="U20" s="39" t="str">
        <f t="shared" si="13"/>
        <v/>
      </c>
      <c r="V20" s="39" t="str">
        <f t="shared" si="13"/>
        <v/>
      </c>
      <c r="W20" s="39" t="str">
        <f t="shared" si="13"/>
        <v/>
      </c>
      <c r="X20" s="39" t="str">
        <f t="shared" si="13"/>
        <v/>
      </c>
      <c r="Y20" s="39" t="str">
        <f t="shared" si="13"/>
        <v/>
      </c>
      <c r="Z20" s="39" t="str">
        <f t="shared" si="13"/>
        <v/>
      </c>
      <c r="AA20" s="39" t="str">
        <f t="shared" si="13"/>
        <v/>
      </c>
      <c r="AB20" s="39" t="str">
        <f t="shared" si="13"/>
        <v/>
      </c>
      <c r="AC20" s="39" t="str">
        <f t="shared" si="13"/>
        <v/>
      </c>
      <c r="AD20" s="39" t="str">
        <f t="shared" si="13"/>
        <v/>
      </c>
      <c r="AE20" s="39" t="str">
        <f t="shared" si="13"/>
        <v/>
      </c>
      <c r="AF20" s="39" t="str">
        <f t="shared" si="13"/>
        <v/>
      </c>
      <c r="AG20" s="39" t="str">
        <f t="shared" si="13"/>
        <v/>
      </c>
      <c r="AH20" s="39" t="str">
        <f t="shared" si="13"/>
        <v/>
      </c>
      <c r="AI20" s="39" t="str">
        <f t="shared" ref="AI20:BN20" si="14">IFERROR(AI16/AI11,"")</f>
        <v/>
      </c>
      <c r="AJ20" s="39" t="str">
        <f t="shared" si="14"/>
        <v/>
      </c>
      <c r="AK20" s="39" t="str">
        <f t="shared" si="14"/>
        <v/>
      </c>
      <c r="AL20" s="39" t="str">
        <f t="shared" si="14"/>
        <v/>
      </c>
      <c r="AM20" s="39" t="str">
        <f t="shared" si="14"/>
        <v/>
      </c>
      <c r="AN20" s="39" t="str">
        <f t="shared" si="14"/>
        <v/>
      </c>
      <c r="AO20" s="39" t="str">
        <f t="shared" si="14"/>
        <v/>
      </c>
      <c r="AP20" s="39" t="str">
        <f t="shared" si="14"/>
        <v/>
      </c>
      <c r="AQ20" s="39" t="str">
        <f t="shared" si="14"/>
        <v/>
      </c>
      <c r="AR20" s="39" t="str">
        <f t="shared" si="14"/>
        <v/>
      </c>
      <c r="AS20" s="39" t="str">
        <f t="shared" si="14"/>
        <v/>
      </c>
      <c r="AT20" s="39" t="str">
        <f t="shared" si="14"/>
        <v/>
      </c>
      <c r="AU20" s="39" t="str">
        <f t="shared" si="14"/>
        <v/>
      </c>
      <c r="AV20" s="39" t="str">
        <f t="shared" si="14"/>
        <v/>
      </c>
      <c r="AW20" s="39" t="str">
        <f t="shared" si="14"/>
        <v/>
      </c>
      <c r="AX20" s="39" t="str">
        <f t="shared" si="14"/>
        <v/>
      </c>
      <c r="AY20" s="39" t="str">
        <f t="shared" si="14"/>
        <v/>
      </c>
      <c r="AZ20" s="39">
        <f t="shared" si="14"/>
        <v>0.19618970409404135</v>
      </c>
      <c r="BA20" s="39">
        <f t="shared" si="14"/>
        <v>0.21548821548821548</v>
      </c>
      <c r="BB20" s="39">
        <f t="shared" si="14"/>
        <v>0.20565765021680776</v>
      </c>
      <c r="BC20" s="39">
        <f t="shared" si="14"/>
        <v>0.20859407592824364</v>
      </c>
      <c r="BD20" s="39">
        <f t="shared" si="14"/>
        <v>0.23396946564885499</v>
      </c>
      <c r="BE20" s="39">
        <f t="shared" si="14"/>
        <v>0.21389452332657202</v>
      </c>
      <c r="BF20" s="39">
        <f t="shared" si="14"/>
        <v>0.21496391948347893</v>
      </c>
      <c r="BG20" s="39">
        <f t="shared" si="14"/>
        <v>0.27506471095772217</v>
      </c>
      <c r="BH20" s="39">
        <f t="shared" si="14"/>
        <v>0.25628856193640248</v>
      </c>
      <c r="BI20" s="39">
        <f t="shared" si="14"/>
        <v>0.23889034972390216</v>
      </c>
      <c r="BJ20" s="39">
        <f t="shared" si="14"/>
        <v>0.23298332303891287</v>
      </c>
      <c r="BK20" s="39">
        <f t="shared" si="14"/>
        <v>0.2429856189647312</v>
      </c>
      <c r="BL20" s="39">
        <f t="shared" si="14"/>
        <v>0.21878747501665555</v>
      </c>
      <c r="BM20" s="39">
        <f t="shared" si="14"/>
        <v>0.21178138695540091</v>
      </c>
      <c r="BN20" s="39">
        <f t="shared" si="14"/>
        <v>0.21522636441066631</v>
      </c>
      <c r="BO20" s="39">
        <f t="shared" ref="BO20:CL20" si="15">IFERROR(BO16/BO11,"")</f>
        <v>0.22933539015297594</v>
      </c>
      <c r="BP20" s="39">
        <f t="shared" si="15"/>
        <v>0.2381306557580265</v>
      </c>
      <c r="BQ20" s="39">
        <f t="shared" si="15"/>
        <v>0.2246938185091131</v>
      </c>
      <c r="BR20" s="39">
        <f t="shared" si="15"/>
        <v>0.2174757281553398</v>
      </c>
      <c r="BS20" s="39">
        <f t="shared" si="15"/>
        <v>0.21454682969872685</v>
      </c>
      <c r="BT20" s="39">
        <f t="shared" si="15"/>
        <v>0.21599182526504027</v>
      </c>
      <c r="BU20" s="39">
        <f t="shared" si="15"/>
        <v>0.24168600154679046</v>
      </c>
      <c r="BV20" s="39">
        <f t="shared" si="15"/>
        <v>0.22704049844236762</v>
      </c>
      <c r="BW20" s="39">
        <f t="shared" si="15"/>
        <v>0.22515187175980403</v>
      </c>
      <c r="BX20" s="39">
        <f t="shared" si="15"/>
        <v>0.21841252699784017</v>
      </c>
      <c r="BY20" s="39">
        <f t="shared" si="15"/>
        <v>0.2162564241276711</v>
      </c>
      <c r="BZ20" s="39">
        <f t="shared" si="15"/>
        <v>0.21733549520335091</v>
      </c>
      <c r="CA20" s="39">
        <f t="shared" si="15"/>
        <v>0.22605413846954711</v>
      </c>
      <c r="CB20" s="39">
        <f t="shared" si="15"/>
        <v>0.2285332036000973</v>
      </c>
      <c r="CC20" s="39">
        <f t="shared" si="15"/>
        <v>0.22248274065390122</v>
      </c>
      <c r="CD20" s="39">
        <f t="shared" si="15"/>
        <v>0.22153236459709377</v>
      </c>
      <c r="CE20" s="39">
        <f t="shared" si="15"/>
        <v>0.21517509727626455</v>
      </c>
      <c r="CF20" s="39">
        <f t="shared" si="15"/>
        <v>0.21832460732984291</v>
      </c>
      <c r="CG20" s="39">
        <f t="shared" si="15"/>
        <v>0.21670486376368728</v>
      </c>
      <c r="CH20" s="39">
        <f t="shared" si="15"/>
        <v>0.24656084656084654</v>
      </c>
      <c r="CI20" s="39">
        <f t="shared" si="15"/>
        <v>0.22551281646069724</v>
      </c>
      <c r="CJ20" s="39">
        <f t="shared" si="15"/>
        <v>0.23221936589545844</v>
      </c>
      <c r="CK20" s="39">
        <f t="shared" si="15"/>
        <v>0.25048923679060664</v>
      </c>
      <c r="CL20" s="39">
        <f t="shared" si="15"/>
        <v>0.24163502610346463</v>
      </c>
      <c r="CM20" s="27">
        <f>CG20+$CL$20-$CF$20+CM102</f>
        <v>0.23093568384216956</v>
      </c>
      <c r="CN20" s="27">
        <f>CH20+$CL$20-$CF$20+CN102</f>
        <v>0.24156005992876306</v>
      </c>
      <c r="CO20" s="27">
        <f>IFERROR(CO16/CO11,"")</f>
        <v>0.23893157055468336</v>
      </c>
      <c r="CP20" s="27">
        <f>CHOOSE(MATCH($CT$2,{"Bull","Base","Bear"},0),$DC$45,$DD$45,$DE$45)</f>
        <v>0.245</v>
      </c>
      <c r="CQ20" s="27">
        <f>CHOOSE(MATCH($CT$2,{"Bull","Base","Bear"},0),$DC$46,$DD$46,$DE$46)</f>
        <v>0.25</v>
      </c>
      <c r="CR20" s="27">
        <f>CHOOSE(MATCH($CT$2,{"Bull","Base","Bear"},0),$DC$47,$DD$47,$DE$47)</f>
        <v>0.255</v>
      </c>
      <c r="CS20" s="27">
        <f>CHOOSE(MATCH($CT$2,{"Bull","Base","Bear"},0),$DC$48,$DD$48,$DE$48)</f>
        <v>0.26</v>
      </c>
      <c r="CT20" s="22" t="s">
        <v>125</v>
      </c>
      <c r="CV20" s="40">
        <f>IFERROR(AVERAGE(CO20,CP20,CQ20,CR20,CS20),"n/m")</f>
        <v>0.24978631411093666</v>
      </c>
      <c r="CW20" s="40">
        <f>IFERROR(AVERAGE(BK20,BQ20,BW20,CC20,CI20),"n/m")</f>
        <v>0.22816537326964936</v>
      </c>
      <c r="CX20" s="40">
        <f>IFERROR(AVERAGE(AG20,AM20,AS20,AY20,BE20,BK20,BQ20,BW20,CC20,CI20),"n/m")</f>
        <v>0.22578689827913645</v>
      </c>
      <c r="CY20" s="40">
        <f>IFERROR(AVERAGE(C20,D20,E20,F20,G20,H20,I20,O20,U20,AA20,AG20,AM20,AS20,AY20,BE20,BK20,BQ20,BW20,CC20,CI20),"n/m")</f>
        <v>0.22578689827913645</v>
      </c>
      <c r="DB20" s="17" t="s">
        <v>126</v>
      </c>
      <c r="DC20" s="41">
        <v>0.03</v>
      </c>
      <c r="DD20" s="24" t="s">
        <v>127</v>
      </c>
      <c r="DE20" s="41">
        <v>-0.04</v>
      </c>
      <c r="DF20" s="15" t="s">
        <v>128</v>
      </c>
    </row>
    <row r="21" spans="2:110" ht="15" customHeight="1" x14ac:dyDescent="0.25">
      <c r="B21" s="25" t="s">
        <v>129</v>
      </c>
      <c r="C21" s="26"/>
      <c r="D21" s="26" t="str">
        <f t="shared" ref="D21:I21" si="16">IFERROR(D13/C13-1,"")</f>
        <v/>
      </c>
      <c r="E21" s="26" t="str">
        <f t="shared" si="16"/>
        <v/>
      </c>
      <c r="F21" s="26">
        <f t="shared" si="16"/>
        <v>-0.1917808219178081</v>
      </c>
      <c r="G21" s="26">
        <f t="shared" si="16"/>
        <v>-0.55932203389830515</v>
      </c>
      <c r="H21" s="26">
        <f t="shared" si="16"/>
        <v>2.0961538461538463</v>
      </c>
      <c r="I21" s="26">
        <f t="shared" si="16"/>
        <v>0.54037267080745321</v>
      </c>
      <c r="J21" s="26"/>
      <c r="K21" s="26"/>
      <c r="L21" s="26"/>
      <c r="M21" s="26"/>
      <c r="N21" s="26"/>
      <c r="O21" s="26">
        <f t="shared" ref="O21:AT21" si="17">IFERROR(O13/I13-1,"")</f>
        <v>0.13709677419354827</v>
      </c>
      <c r="P21" s="26">
        <f t="shared" si="17"/>
        <v>0.8653846153846152</v>
      </c>
      <c r="Q21" s="26">
        <f t="shared" si="17"/>
        <v>0.481012658227848</v>
      </c>
      <c r="R21" s="26">
        <f t="shared" si="17"/>
        <v>0.6335877862595416</v>
      </c>
      <c r="S21" s="26">
        <f t="shared" si="17"/>
        <v>-0.31304347826086953</v>
      </c>
      <c r="T21" s="26">
        <f t="shared" si="17"/>
        <v>1.1666666666666665</v>
      </c>
      <c r="U21" s="26">
        <f t="shared" si="17"/>
        <v>0.3156028368794328</v>
      </c>
      <c r="V21" s="26">
        <f t="shared" si="17"/>
        <v>-4.1237113402061709E-2</v>
      </c>
      <c r="W21" s="26">
        <f t="shared" si="17"/>
        <v>-0.24786324786324776</v>
      </c>
      <c r="X21" s="26">
        <f t="shared" si="17"/>
        <v>-0.15420560747663536</v>
      </c>
      <c r="Y21" s="26">
        <f t="shared" si="17"/>
        <v>0.31645569620253156</v>
      </c>
      <c r="Z21" s="26">
        <f t="shared" si="17"/>
        <v>0.47435897435897445</v>
      </c>
      <c r="AA21" s="26">
        <f t="shared" si="17"/>
        <v>7.8167115902964879E-2</v>
      </c>
      <c r="AB21" s="26">
        <f t="shared" si="17"/>
        <v>-0.11827956989247324</v>
      </c>
      <c r="AC21" s="26">
        <f t="shared" si="17"/>
        <v>0.21590909090909083</v>
      </c>
      <c r="AD21" s="26">
        <f t="shared" si="17"/>
        <v>4.4198895027624197E-2</v>
      </c>
      <c r="AE21" s="26">
        <f t="shared" si="17"/>
        <v>0.125</v>
      </c>
      <c r="AF21" s="26">
        <f t="shared" si="17"/>
        <v>0.33043478260869574</v>
      </c>
      <c r="AG21" s="26">
        <f t="shared" si="17"/>
        <v>0.14749999999999996</v>
      </c>
      <c r="AH21" s="26">
        <f t="shared" si="17"/>
        <v>0.84146341463414642</v>
      </c>
      <c r="AI21" s="26">
        <f t="shared" si="17"/>
        <v>1.6168224299065423</v>
      </c>
      <c r="AJ21" s="26">
        <f t="shared" si="17"/>
        <v>1.2804232804232805</v>
      </c>
      <c r="AK21" s="26">
        <f t="shared" si="17"/>
        <v>1.683760683760684</v>
      </c>
      <c r="AL21" s="26">
        <f t="shared" si="17"/>
        <v>1.3464052287581696</v>
      </c>
      <c r="AM21" s="26">
        <f t="shared" si="17"/>
        <v>1.4008714596949892</v>
      </c>
      <c r="AN21" s="26">
        <f t="shared" si="17"/>
        <v>1.23841059602649</v>
      </c>
      <c r="AO21" s="26">
        <f t="shared" si="17"/>
        <v>0.53928571428571437</v>
      </c>
      <c r="AP21" s="26">
        <f t="shared" si="17"/>
        <v>0.78422273781902563</v>
      </c>
      <c r="AQ21" s="26">
        <f t="shared" si="17"/>
        <v>0.34713375796178347</v>
      </c>
      <c r="AR21" s="26">
        <f t="shared" si="17"/>
        <v>1.1142061281337101E-2</v>
      </c>
      <c r="AS21" s="26">
        <f t="shared" si="17"/>
        <v>0.41107078039927392</v>
      </c>
      <c r="AT21" s="26">
        <f t="shared" si="17"/>
        <v>8.2840236686390734E-2</v>
      </c>
      <c r="AU21" s="26">
        <f t="shared" ref="AU21:BZ21" si="18">IFERROR(AU13/AO13-1,"")</f>
        <v>0.19721577726218098</v>
      </c>
      <c r="AV21" s="26">
        <f t="shared" si="18"/>
        <v>0.14694408322496755</v>
      </c>
      <c r="AW21" s="26">
        <f t="shared" si="18"/>
        <v>-2.6004728132387522E-2</v>
      </c>
      <c r="AX21" s="26">
        <f t="shared" si="18"/>
        <v>0.29752066115702491</v>
      </c>
      <c r="AY21" s="26">
        <f t="shared" si="18"/>
        <v>0.135048231511254</v>
      </c>
      <c r="AZ21" s="26">
        <f t="shared" si="18"/>
        <v>0.19672131147540961</v>
      </c>
      <c r="BA21" s="26">
        <f t="shared" si="18"/>
        <v>-9.3023255813953543E-2</v>
      </c>
      <c r="BB21" s="26">
        <f t="shared" si="18"/>
        <v>2.7210884353741305E-2</v>
      </c>
      <c r="BC21" s="26">
        <f t="shared" si="18"/>
        <v>0.10436893203883479</v>
      </c>
      <c r="BD21" s="26">
        <f t="shared" si="18"/>
        <v>0.20382165605095537</v>
      </c>
      <c r="BE21" s="26">
        <f t="shared" si="18"/>
        <v>9.2351274787535464E-2</v>
      </c>
      <c r="BF21" s="26">
        <f t="shared" si="18"/>
        <v>0.18721461187214627</v>
      </c>
      <c r="BG21" s="26">
        <f t="shared" si="18"/>
        <v>0.80769230769230771</v>
      </c>
      <c r="BH21" s="26">
        <f t="shared" si="18"/>
        <v>0.50772626931567322</v>
      </c>
      <c r="BI21" s="26">
        <f t="shared" si="18"/>
        <v>1.0857142857142859</v>
      </c>
      <c r="BJ21" s="26">
        <f t="shared" si="18"/>
        <v>0.65961199294532613</v>
      </c>
      <c r="BK21" s="26">
        <f t="shared" si="18"/>
        <v>0.68879668049792531</v>
      </c>
      <c r="BL21" s="26">
        <f t="shared" si="18"/>
        <v>1.2250000000000001</v>
      </c>
      <c r="BM21" s="26">
        <f t="shared" si="18"/>
        <v>0.39361702127659592</v>
      </c>
      <c r="BN21" s="26">
        <f t="shared" si="18"/>
        <v>0.71010248901903394</v>
      </c>
      <c r="BO21" s="26">
        <f t="shared" si="18"/>
        <v>0.40885142255005258</v>
      </c>
      <c r="BP21" s="26">
        <f t="shared" si="18"/>
        <v>0.61530286928799161</v>
      </c>
      <c r="BQ21" s="26">
        <f t="shared" si="18"/>
        <v>0.59490171990171969</v>
      </c>
      <c r="BR21" s="26">
        <f t="shared" si="18"/>
        <v>5.6179775280898792E-2</v>
      </c>
      <c r="BS21" s="26">
        <f t="shared" si="18"/>
        <v>5.6827820186598821E-2</v>
      </c>
      <c r="BT21" s="26">
        <f t="shared" si="18"/>
        <v>5.6506849315068441E-2</v>
      </c>
      <c r="BU21" s="26">
        <f t="shared" si="18"/>
        <v>1.944652206432318E-2</v>
      </c>
      <c r="BV21" s="26">
        <f t="shared" si="18"/>
        <v>-0.11644736842105252</v>
      </c>
      <c r="BW21" s="26">
        <f t="shared" si="18"/>
        <v>-3.6587714230694734E-3</v>
      </c>
      <c r="BX21" s="26">
        <f t="shared" si="18"/>
        <v>-6.8739770867430439E-2</v>
      </c>
      <c r="BY21" s="26">
        <f t="shared" si="18"/>
        <v>-8.9085072231139595E-2</v>
      </c>
      <c r="BZ21" s="26">
        <f t="shared" si="18"/>
        <v>-7.9011345218800599E-2</v>
      </c>
      <c r="CA21" s="26">
        <f t="shared" ref="CA21:CO21" si="19">IFERROR(CA13/BU13-1,"")</f>
        <v>-9.0975788701394E-2</v>
      </c>
      <c r="CB21" s="26">
        <f t="shared" si="19"/>
        <v>-0.32390171258376776</v>
      </c>
      <c r="CC21" s="26">
        <f t="shared" si="19"/>
        <v>-0.14572864321608037</v>
      </c>
      <c r="CD21" s="26">
        <f t="shared" si="19"/>
        <v>7.4692442882249521E-2</v>
      </c>
      <c r="CE21" s="26">
        <f t="shared" si="19"/>
        <v>5.3744493392070325E-2</v>
      </c>
      <c r="CF21" s="26">
        <f t="shared" si="19"/>
        <v>6.4232292124944745E-2</v>
      </c>
      <c r="CG21" s="26">
        <f t="shared" si="19"/>
        <v>-4.0355125100888234E-3</v>
      </c>
      <c r="CH21" s="26">
        <f t="shared" si="19"/>
        <v>0.79405286343612347</v>
      </c>
      <c r="CI21" s="26">
        <f t="shared" si="19"/>
        <v>0.19502262443438934</v>
      </c>
      <c r="CJ21" s="26">
        <f t="shared" si="19"/>
        <v>0.15862632869991811</v>
      </c>
      <c r="CK21" s="26">
        <f t="shared" si="19"/>
        <v>0.42307692307692313</v>
      </c>
      <c r="CL21" s="26">
        <f t="shared" si="19"/>
        <v>0.2893757751136834</v>
      </c>
      <c r="CM21" s="27">
        <f t="shared" si="19"/>
        <v>0.27361892103412266</v>
      </c>
      <c r="CN21" s="27">
        <f t="shared" si="19"/>
        <v>0.13127457449434821</v>
      </c>
      <c r="CO21" s="27">
        <f t="shared" si="19"/>
        <v>0.23693525755535783</v>
      </c>
      <c r="CP21" s="27">
        <f>IFERROR(CP13/CO13-1,"")</f>
        <v>0.1304242968306295</v>
      </c>
      <c r="CQ21" s="27">
        <f>IFERROR(CQ13/CP13-1,"")</f>
        <v>9.8258891235736057E-2</v>
      </c>
      <c r="CR21" s="27">
        <f>IFERROR(CR13/CQ13-1,"")</f>
        <v>0.13180685152252414</v>
      </c>
      <c r="CS21" s="27">
        <f>IFERROR(CS13/CR13-1,"")</f>
        <v>0.10520912965554774</v>
      </c>
      <c r="CT21" s="22"/>
      <c r="CV21" s="6"/>
      <c r="CW21" s="6"/>
      <c r="CX21" s="6"/>
      <c r="CY21" s="6"/>
      <c r="DB21" s="12" t="s">
        <v>130</v>
      </c>
      <c r="DC21" s="42">
        <f>DD21+$DC$20</f>
        <v>0.09</v>
      </c>
      <c r="DD21" s="35">
        <v>0.06</v>
      </c>
      <c r="DE21" s="42">
        <f>DD21+$DE$20</f>
        <v>1.9999999999999997E-2</v>
      </c>
    </row>
    <row r="22" spans="2:110" ht="15" customHeight="1" x14ac:dyDescent="0.25">
      <c r="B22" s="25" t="s">
        <v>131</v>
      </c>
      <c r="C22" s="39"/>
      <c r="D22" s="39" t="str">
        <f t="shared" ref="D22:I22" si="20">IFERROR((D16-C16)/(D11-C11),"")</f>
        <v/>
      </c>
      <c r="E22" s="39" t="str">
        <f t="shared" si="20"/>
        <v/>
      </c>
      <c r="F22" s="39" t="str">
        <f t="shared" si="20"/>
        <v/>
      </c>
      <c r="G22" s="39" t="str">
        <f t="shared" si="20"/>
        <v/>
      </c>
      <c r="H22" s="39" t="str">
        <f t="shared" si="20"/>
        <v/>
      </c>
      <c r="I22" s="39" t="str">
        <f t="shared" si="20"/>
        <v/>
      </c>
      <c r="J22" s="39"/>
      <c r="K22" s="39"/>
      <c r="L22" s="39"/>
      <c r="M22" s="39"/>
      <c r="N22" s="39"/>
      <c r="O22" s="39" t="str">
        <f t="shared" ref="O22:AT22" si="21">IFERROR((O16-I16)/(O11-I11),"")</f>
        <v/>
      </c>
      <c r="P22" s="39" t="str">
        <f t="shared" si="21"/>
        <v/>
      </c>
      <c r="Q22" s="39" t="str">
        <f t="shared" si="21"/>
        <v/>
      </c>
      <c r="R22" s="39" t="str">
        <f t="shared" si="21"/>
        <v/>
      </c>
      <c r="S22" s="39" t="str">
        <f t="shared" si="21"/>
        <v/>
      </c>
      <c r="T22" s="39" t="str">
        <f t="shared" si="21"/>
        <v/>
      </c>
      <c r="U22" s="39" t="str">
        <f t="shared" si="21"/>
        <v/>
      </c>
      <c r="V22" s="39" t="str">
        <f t="shared" si="21"/>
        <v/>
      </c>
      <c r="W22" s="39" t="str">
        <f t="shared" si="21"/>
        <v/>
      </c>
      <c r="X22" s="39" t="str">
        <f t="shared" si="21"/>
        <v/>
      </c>
      <c r="Y22" s="39" t="str">
        <f t="shared" si="21"/>
        <v/>
      </c>
      <c r="Z22" s="39" t="str">
        <f t="shared" si="21"/>
        <v/>
      </c>
      <c r="AA22" s="39" t="str">
        <f t="shared" si="21"/>
        <v/>
      </c>
      <c r="AB22" s="39" t="str">
        <f t="shared" si="21"/>
        <v/>
      </c>
      <c r="AC22" s="39" t="str">
        <f t="shared" si="21"/>
        <v/>
      </c>
      <c r="AD22" s="39" t="str">
        <f t="shared" si="21"/>
        <v/>
      </c>
      <c r="AE22" s="39" t="str">
        <f t="shared" si="21"/>
        <v/>
      </c>
      <c r="AF22" s="39" t="str">
        <f t="shared" si="21"/>
        <v/>
      </c>
      <c r="AG22" s="39" t="str">
        <f t="shared" si="21"/>
        <v/>
      </c>
      <c r="AH22" s="39" t="str">
        <f t="shared" si="21"/>
        <v/>
      </c>
      <c r="AI22" s="39" t="str">
        <f t="shared" si="21"/>
        <v/>
      </c>
      <c r="AJ22" s="39" t="str">
        <f t="shared" si="21"/>
        <v/>
      </c>
      <c r="AK22" s="39" t="str">
        <f t="shared" si="21"/>
        <v/>
      </c>
      <c r="AL22" s="39" t="str">
        <f t="shared" si="21"/>
        <v/>
      </c>
      <c r="AM22" s="39" t="str">
        <f t="shared" si="21"/>
        <v/>
      </c>
      <c r="AN22" s="39" t="str">
        <f t="shared" si="21"/>
        <v/>
      </c>
      <c r="AO22" s="39" t="str">
        <f t="shared" si="21"/>
        <v/>
      </c>
      <c r="AP22" s="39" t="str">
        <f t="shared" si="21"/>
        <v/>
      </c>
      <c r="AQ22" s="39" t="str">
        <f t="shared" si="21"/>
        <v/>
      </c>
      <c r="AR22" s="39" t="str">
        <f t="shared" si="21"/>
        <v/>
      </c>
      <c r="AS22" s="39" t="str">
        <f t="shared" si="21"/>
        <v/>
      </c>
      <c r="AT22" s="39" t="str">
        <f t="shared" si="21"/>
        <v/>
      </c>
      <c r="AU22" s="39" t="str">
        <f t="shared" ref="AU22:BZ22" si="22">IFERROR((AU16-AO16)/(AU11-AO11),"")</f>
        <v/>
      </c>
      <c r="AV22" s="39" t="str">
        <f t="shared" si="22"/>
        <v/>
      </c>
      <c r="AW22" s="39" t="str">
        <f t="shared" si="22"/>
        <v/>
      </c>
      <c r="AX22" s="39" t="str">
        <f t="shared" si="22"/>
        <v/>
      </c>
      <c r="AY22" s="39" t="str">
        <f t="shared" si="22"/>
        <v/>
      </c>
      <c r="AZ22" s="39" t="str">
        <f t="shared" si="22"/>
        <v/>
      </c>
      <c r="BA22" s="39" t="str">
        <f t="shared" si="22"/>
        <v/>
      </c>
      <c r="BB22" s="39" t="str">
        <f t="shared" si="22"/>
        <v/>
      </c>
      <c r="BC22" s="39" t="str">
        <f t="shared" si="22"/>
        <v/>
      </c>
      <c r="BD22" s="39" t="str">
        <f t="shared" si="22"/>
        <v/>
      </c>
      <c r="BE22" s="39" t="str">
        <f t="shared" si="22"/>
        <v/>
      </c>
      <c r="BF22" s="39">
        <f t="shared" si="22"/>
        <v>0.49397590361445731</v>
      </c>
      <c r="BG22" s="39">
        <f t="shared" si="22"/>
        <v>0.31646680315881842</v>
      </c>
      <c r="BH22" s="39">
        <f t="shared" si="22"/>
        <v>0.32468619246861924</v>
      </c>
      <c r="BI22" s="39">
        <f t="shared" si="22"/>
        <v>0.25283163755039351</v>
      </c>
      <c r="BJ22" s="39">
        <f t="shared" si="22"/>
        <v>0.23251141552511406</v>
      </c>
      <c r="BK22" s="39">
        <f t="shared" si="22"/>
        <v>0.26308781274090681</v>
      </c>
      <c r="BL22" s="39">
        <f t="shared" si="22"/>
        <v>0.22085385878489325</v>
      </c>
      <c r="BM22" s="39">
        <f t="shared" si="22"/>
        <v>2.4961793173713737E-2</v>
      </c>
      <c r="BN22" s="39">
        <f t="shared" si="22"/>
        <v>0.1645940014630578</v>
      </c>
      <c r="BO22" s="39">
        <f t="shared" si="22"/>
        <v>-0.19075144508670636</v>
      </c>
      <c r="BP22" s="39">
        <f t="shared" si="22"/>
        <v>-1.2500000000000304</v>
      </c>
      <c r="BQ22" s="39">
        <f t="shared" si="22"/>
        <v>0.16146131805157599</v>
      </c>
      <c r="BR22" s="39">
        <f t="shared" si="22"/>
        <v>0.17272727272727326</v>
      </c>
      <c r="BS22" s="39">
        <f t="shared" si="22"/>
        <v>0.33714285714285586</v>
      </c>
      <c r="BT22" s="39">
        <f t="shared" si="22"/>
        <v>0.2455696202531657</v>
      </c>
      <c r="BU22" s="39">
        <f t="shared" si="22"/>
        <v>-4.3333333333333108</v>
      </c>
      <c r="BV22" s="39">
        <f t="shared" si="22"/>
        <v>2.3571428571428261</v>
      </c>
      <c r="BW22" s="39">
        <f t="shared" si="22"/>
        <v>0.26807228915662384</v>
      </c>
      <c r="BX22" s="39">
        <f t="shared" si="22"/>
        <v>0.1955835962145113</v>
      </c>
      <c r="BY22" s="39">
        <f t="shared" si="22"/>
        <v>0.19109461966604799</v>
      </c>
      <c r="BZ22" s="39">
        <f t="shared" si="22"/>
        <v>0.19275700934579476</v>
      </c>
      <c r="CA22" s="39">
        <f t="shared" ref="CA22:CO22" si="23">IFERROR((CA16-BU16)/(CA11-BU11),"")</f>
        <v>1.864864864864876</v>
      </c>
      <c r="CB22" s="39">
        <f t="shared" si="23"/>
        <v>0.2893401015228414</v>
      </c>
      <c r="CC22" s="39">
        <f t="shared" si="23"/>
        <v>0.33697135061391575</v>
      </c>
      <c r="CD22" s="39">
        <f t="shared" si="23"/>
        <v>0.36419753086419687</v>
      </c>
      <c r="CE22" s="39">
        <f t="shared" si="23"/>
        <v>0.18987341772151795</v>
      </c>
      <c r="CF22" s="39">
        <f t="shared" si="23"/>
        <v>0.24895397489539606</v>
      </c>
      <c r="CG22" s="39">
        <f t="shared" si="23"/>
        <v>-0.20588235294117646</v>
      </c>
      <c r="CH22" s="39">
        <f t="shared" si="23"/>
        <v>0.77031802120141402</v>
      </c>
      <c r="CI22" s="39">
        <f t="shared" si="23"/>
        <v>0.32545649838883028</v>
      </c>
      <c r="CJ22" s="39">
        <f t="shared" si="23"/>
        <v>0.36727879799666124</v>
      </c>
      <c r="CK22" s="39">
        <f t="shared" si="23"/>
        <v>0.52917093142272253</v>
      </c>
      <c r="CL22" s="39">
        <f t="shared" si="23"/>
        <v>0.46763959390862964</v>
      </c>
      <c r="CM22" s="27">
        <f t="shared" si="23"/>
        <v>0.3432382660377668</v>
      </c>
      <c r="CN22" s="27">
        <f t="shared" si="23"/>
        <v>0.20209632918837034</v>
      </c>
      <c r="CO22" s="27">
        <f t="shared" si="23"/>
        <v>0.35528050825445673</v>
      </c>
      <c r="CP22" s="27">
        <f>IFERROR((CP16-CO16)/(CP11-CO11),"")</f>
        <v>0.34614049075527725</v>
      </c>
      <c r="CQ22" s="27">
        <f>IFERROR((CQ16-CP16)/(CQ11-CP11),"")</f>
        <v>0.34090909090909088</v>
      </c>
      <c r="CR22" s="27">
        <f>IFERROR((CR16-CQ16)/(CR11-CQ11),"")</f>
        <v>0.35500000000000054</v>
      </c>
      <c r="CS22" s="27">
        <f>IFERROR((CS16-CR16)/(CS11-CR11),"")</f>
        <v>0.35999999999999938</v>
      </c>
      <c r="CT22" s="22"/>
      <c r="CV22" s="6"/>
      <c r="CW22" s="6"/>
      <c r="CX22" s="6"/>
      <c r="CY22" s="6"/>
      <c r="DB22" s="12" t="s">
        <v>132</v>
      </c>
      <c r="DC22" s="42">
        <f>DD22+$DC$20</f>
        <v>8.4999999999999992E-2</v>
      </c>
      <c r="DD22" s="35">
        <v>5.5E-2</v>
      </c>
      <c r="DE22" s="42">
        <f>DD22+$DE$20</f>
        <v>1.4999999999999999E-2</v>
      </c>
    </row>
    <row r="23" spans="2:110" ht="15" customHeight="1" x14ac:dyDescent="0.25">
      <c r="B23" s="12" t="s">
        <v>133</v>
      </c>
      <c r="C23" s="29"/>
      <c r="D23" s="29"/>
      <c r="E23" s="30">
        <v>10</v>
      </c>
      <c r="F23" s="30">
        <v>9.6</v>
      </c>
      <c r="G23" s="30">
        <v>9.3000000000000007</v>
      </c>
      <c r="H23" s="30">
        <v>26.9</v>
      </c>
      <c r="I23" s="30">
        <v>30.5</v>
      </c>
      <c r="J23" s="29"/>
      <c r="K23" s="29"/>
      <c r="L23" s="29"/>
      <c r="M23" s="29"/>
      <c r="N23" s="29"/>
      <c r="O23" s="30">
        <v>30.3</v>
      </c>
      <c r="P23" s="29"/>
      <c r="Q23" s="29"/>
      <c r="R23" s="29"/>
      <c r="S23" s="29"/>
      <c r="T23" s="29"/>
      <c r="U23" s="30">
        <v>29.6</v>
      </c>
      <c r="V23" s="29"/>
      <c r="W23" s="29"/>
      <c r="X23" s="29"/>
      <c r="Y23" s="29"/>
      <c r="Z23" s="29"/>
      <c r="AA23" s="30">
        <v>26.1</v>
      </c>
      <c r="AB23" s="29"/>
      <c r="AC23" s="29"/>
      <c r="AD23" s="29"/>
      <c r="AE23" s="29"/>
      <c r="AF23" s="29"/>
      <c r="AG23" s="30">
        <v>26.2</v>
      </c>
      <c r="AH23" s="29"/>
      <c r="AI23" s="29"/>
      <c r="AJ23" s="29"/>
      <c r="AK23" s="29"/>
      <c r="AL23" s="29"/>
      <c r="AM23" s="30">
        <v>49.6</v>
      </c>
      <c r="AN23" s="29"/>
      <c r="AO23" s="29"/>
      <c r="AP23" s="29"/>
      <c r="AQ23" s="29"/>
      <c r="AR23" s="29"/>
      <c r="AS23" s="30">
        <v>50.8</v>
      </c>
      <c r="AT23" s="29"/>
      <c r="AU23" s="29"/>
      <c r="AV23" s="29"/>
      <c r="AW23" s="29"/>
      <c r="AX23" s="29"/>
      <c r="AY23" s="30">
        <v>48.5</v>
      </c>
      <c r="AZ23" s="29"/>
      <c r="BA23" s="29"/>
      <c r="BB23" s="29"/>
      <c r="BC23" s="29"/>
      <c r="BD23" s="29"/>
      <c r="BE23" s="30">
        <v>49.2</v>
      </c>
      <c r="BF23" s="29"/>
      <c r="BG23" s="29"/>
      <c r="BH23" s="29"/>
      <c r="BI23" s="29"/>
      <c r="BJ23" s="29"/>
      <c r="BK23" s="30">
        <v>309.2</v>
      </c>
      <c r="BL23" s="29"/>
      <c r="BM23" s="29"/>
      <c r="BN23" s="29"/>
      <c r="BO23" s="29"/>
      <c r="BP23" s="29"/>
      <c r="BQ23" s="30">
        <v>279</v>
      </c>
      <c r="BR23" s="29"/>
      <c r="BS23" s="29"/>
      <c r="BT23" s="29"/>
      <c r="BU23" s="29"/>
      <c r="BV23" s="29"/>
      <c r="BW23" s="30">
        <v>268.89999999999998</v>
      </c>
      <c r="BX23" s="29"/>
      <c r="BY23" s="29"/>
      <c r="BZ23" s="29"/>
      <c r="CA23" s="29"/>
      <c r="CB23" s="29"/>
      <c r="CC23" s="30">
        <v>261.2</v>
      </c>
      <c r="CD23" s="29"/>
      <c r="CE23" s="29"/>
      <c r="CF23" s="29"/>
      <c r="CG23" s="29"/>
      <c r="CH23" s="29"/>
      <c r="CI23" s="30">
        <v>262.5</v>
      </c>
      <c r="CJ23" s="29"/>
      <c r="CK23" s="29"/>
      <c r="CL23" s="29"/>
      <c r="CM23" s="31"/>
      <c r="CN23" s="31"/>
      <c r="CO23" s="31"/>
      <c r="CP23" s="31"/>
      <c r="CQ23" s="31"/>
      <c r="CR23" s="31"/>
      <c r="CS23" s="31"/>
      <c r="CT23" s="22"/>
      <c r="CV23" s="6"/>
      <c r="CW23" s="6"/>
      <c r="CX23" s="6"/>
      <c r="CY23" s="6"/>
      <c r="DB23" s="12" t="s">
        <v>134</v>
      </c>
      <c r="DC23" s="42">
        <f>DD23+$DC$20</f>
        <v>0.08</v>
      </c>
      <c r="DD23" s="35">
        <v>0.05</v>
      </c>
      <c r="DE23" s="42">
        <f>DD23+$DE$20</f>
        <v>1.0000000000000002E-2</v>
      </c>
    </row>
    <row r="24" spans="2:110" ht="15" customHeight="1" x14ac:dyDescent="0.25">
      <c r="B24" s="12" t="s">
        <v>135</v>
      </c>
      <c r="C24" s="29"/>
      <c r="D24" s="29"/>
      <c r="E24" s="30">
        <v>7.1</v>
      </c>
      <c r="F24" s="30">
        <v>5.7</v>
      </c>
      <c r="G24" s="30">
        <v>11.3</v>
      </c>
      <c r="H24" s="30">
        <v>13.8</v>
      </c>
      <c r="I24" s="30">
        <v>23.5</v>
      </c>
      <c r="J24" s="29"/>
      <c r="K24" s="29"/>
      <c r="L24" s="29"/>
      <c r="M24" s="29"/>
      <c r="N24" s="29"/>
      <c r="O24" s="30">
        <v>20.2</v>
      </c>
      <c r="P24" s="29"/>
      <c r="Q24" s="29"/>
      <c r="R24" s="29"/>
      <c r="S24" s="29"/>
      <c r="T24" s="29"/>
      <c r="U24" s="30">
        <v>10.3</v>
      </c>
      <c r="V24" s="29"/>
      <c r="W24" s="29"/>
      <c r="X24" s="29"/>
      <c r="Y24" s="29"/>
      <c r="Z24" s="29"/>
      <c r="AA24" s="30">
        <v>9.1999999999999993</v>
      </c>
      <c r="AB24" s="29"/>
      <c r="AC24" s="29"/>
      <c r="AD24" s="29"/>
      <c r="AE24" s="29"/>
      <c r="AF24" s="29"/>
      <c r="AG24" s="30">
        <v>12.5</v>
      </c>
      <c r="AH24" s="29"/>
      <c r="AI24" s="29"/>
      <c r="AJ24" s="29"/>
      <c r="AK24" s="29"/>
      <c r="AL24" s="29"/>
      <c r="AM24" s="30">
        <v>23.4</v>
      </c>
      <c r="AN24" s="29"/>
      <c r="AO24" s="29"/>
      <c r="AP24" s="29"/>
      <c r="AQ24" s="29"/>
      <c r="AR24" s="29"/>
      <c r="AS24" s="30">
        <v>35.799999999999997</v>
      </c>
      <c r="AT24" s="29"/>
      <c r="AU24" s="29"/>
      <c r="AV24" s="29"/>
      <c r="AW24" s="29"/>
      <c r="AX24" s="29"/>
      <c r="AY24" s="30">
        <v>45.2</v>
      </c>
      <c r="AZ24" s="29"/>
      <c r="BA24" s="29"/>
      <c r="BB24" s="29"/>
      <c r="BC24" s="29"/>
      <c r="BD24" s="29"/>
      <c r="BE24" s="30">
        <v>33.4</v>
      </c>
      <c r="BF24" s="29"/>
      <c r="BG24" s="29"/>
      <c r="BH24" s="29"/>
      <c r="BI24" s="29"/>
      <c r="BJ24" s="29"/>
      <c r="BK24" s="30">
        <v>64.2</v>
      </c>
      <c r="BL24" s="29"/>
      <c r="BM24" s="29"/>
      <c r="BN24" s="29"/>
      <c r="BO24" s="29"/>
      <c r="BP24" s="29"/>
      <c r="BQ24" s="30">
        <v>63.9</v>
      </c>
      <c r="BR24" s="29"/>
      <c r="BS24" s="29"/>
      <c r="BT24" s="29"/>
      <c r="BU24" s="29"/>
      <c r="BV24" s="29"/>
      <c r="BW24" s="30">
        <v>78.2</v>
      </c>
      <c r="BX24" s="29"/>
      <c r="BY24" s="29"/>
      <c r="BZ24" s="29"/>
      <c r="CA24" s="29"/>
      <c r="CB24" s="29"/>
      <c r="CC24" s="30">
        <v>54.7</v>
      </c>
      <c r="CD24" s="29"/>
      <c r="CE24" s="29"/>
      <c r="CF24" s="29"/>
      <c r="CG24" s="29"/>
      <c r="CH24" s="29"/>
      <c r="CI24" s="30">
        <v>67.7</v>
      </c>
      <c r="CJ24" s="29"/>
      <c r="CK24" s="29"/>
      <c r="CL24" s="29"/>
      <c r="CM24" s="31"/>
      <c r="CN24" s="31"/>
      <c r="CO24" s="31"/>
      <c r="CP24" s="31"/>
      <c r="CQ24" s="31"/>
      <c r="CR24" s="31"/>
      <c r="CS24" s="31"/>
      <c r="CT24" s="22"/>
      <c r="CV24" s="6"/>
      <c r="CW24" s="6"/>
      <c r="CX24" s="6"/>
      <c r="CY24" s="6"/>
      <c r="DB24" s="12" t="s">
        <v>136</v>
      </c>
      <c r="DC24" s="42">
        <f>DD24+$DC$20</f>
        <v>0.08</v>
      </c>
      <c r="DD24" s="35">
        <v>0.05</v>
      </c>
      <c r="DE24" s="42">
        <f>DD24+$DE$20</f>
        <v>1.0000000000000002E-2</v>
      </c>
    </row>
    <row r="25" spans="2:110" ht="15" customHeight="1" x14ac:dyDescent="0.25">
      <c r="B25" s="25" t="s">
        <v>137</v>
      </c>
      <c r="C25" s="39" t="str">
        <f t="shared" ref="C25:I25" si="24">IFERROR(C24/C11,"")</f>
        <v/>
      </c>
      <c r="D25" s="39" t="str">
        <f t="shared" si="24"/>
        <v/>
      </c>
      <c r="E25" s="39">
        <f t="shared" si="24"/>
        <v>5.1673944687045122E-2</v>
      </c>
      <c r="F25" s="39">
        <f t="shared" si="24"/>
        <v>4.4776119402985079E-2</v>
      </c>
      <c r="G25" s="39">
        <f t="shared" si="24"/>
        <v>9.2244897959183683E-2</v>
      </c>
      <c r="H25" s="39">
        <f t="shared" si="24"/>
        <v>3.9439839954272651E-2</v>
      </c>
      <c r="I25" s="39">
        <f t="shared" si="24"/>
        <v>5.6503967299831696E-2</v>
      </c>
      <c r="J25" s="39"/>
      <c r="K25" s="39"/>
      <c r="L25" s="39"/>
      <c r="M25" s="39"/>
      <c r="N25" s="39"/>
      <c r="O25" s="39">
        <f>IFERROR(O24/O11,"")</f>
        <v>4.8698167791706846E-2</v>
      </c>
      <c r="P25" s="39"/>
      <c r="Q25" s="39"/>
      <c r="R25" s="39"/>
      <c r="S25" s="39"/>
      <c r="T25" s="39"/>
      <c r="U25" s="39">
        <f>IFERROR(U24/U11,"")</f>
        <v>2.5520317145688802E-2</v>
      </c>
      <c r="V25" s="39"/>
      <c r="W25" s="39"/>
      <c r="X25" s="39"/>
      <c r="Y25" s="39"/>
      <c r="Z25" s="39"/>
      <c r="AA25" s="39">
        <f>IFERROR(AA24/AA11,"")</f>
        <v>2.4274406332453823E-2</v>
      </c>
      <c r="AB25" s="39"/>
      <c r="AC25" s="39"/>
      <c r="AD25" s="39"/>
      <c r="AE25" s="39"/>
      <c r="AF25" s="39"/>
      <c r="AG25" s="39">
        <f>IFERROR(AG24/AG11,"")</f>
        <v>3.1351893654376725E-2</v>
      </c>
      <c r="AH25" s="39"/>
      <c r="AI25" s="39"/>
      <c r="AJ25" s="39"/>
      <c r="AK25" s="39"/>
      <c r="AL25" s="39"/>
      <c r="AM25" s="39">
        <f>IFERROR(AM24/AM11,"")</f>
        <v>3.2939189189189186E-2</v>
      </c>
      <c r="AN25" s="39"/>
      <c r="AO25" s="39"/>
      <c r="AP25" s="39"/>
      <c r="AQ25" s="39"/>
      <c r="AR25" s="39"/>
      <c r="AS25" s="39">
        <f>IFERROR(AS24/AS11,"")</f>
        <v>4.0900262767051297E-2</v>
      </c>
      <c r="AT25" s="39"/>
      <c r="AU25" s="39"/>
      <c r="AV25" s="39"/>
      <c r="AW25" s="39"/>
      <c r="AX25" s="39"/>
      <c r="AY25" s="39">
        <f>IFERROR(AY24/AY11,"")</f>
        <v>4.5523214825259346E-2</v>
      </c>
      <c r="AZ25" s="39"/>
      <c r="BA25" s="39"/>
      <c r="BB25" s="39"/>
      <c r="BC25" s="39"/>
      <c r="BD25" s="39"/>
      <c r="BE25" s="39">
        <f>IFERROR(BE24/BE11,"")</f>
        <v>3.3874239350912778E-2</v>
      </c>
      <c r="BF25" s="39"/>
      <c r="BG25" s="39"/>
      <c r="BH25" s="39"/>
      <c r="BI25" s="39"/>
      <c r="BJ25" s="39"/>
      <c r="BK25" s="39">
        <f>IFERROR(BK24/BK11,"")</f>
        <v>2.660698744249658E-2</v>
      </c>
      <c r="BL25" s="39"/>
      <c r="BM25" s="39"/>
      <c r="BN25" s="39"/>
      <c r="BO25" s="39"/>
      <c r="BP25" s="39"/>
      <c r="BQ25" s="39">
        <f>IFERROR(BQ24/BQ11,"")</f>
        <v>2.0540679546112058E-2</v>
      </c>
      <c r="BR25" s="39"/>
      <c r="BS25" s="39"/>
      <c r="BT25" s="39"/>
      <c r="BU25" s="39"/>
      <c r="BV25" s="39"/>
      <c r="BW25" s="39">
        <f>IFERROR(BW24/BW11,"")</f>
        <v>2.4871982443306514E-2</v>
      </c>
      <c r="BX25" s="39"/>
      <c r="BY25" s="39"/>
      <c r="BZ25" s="39"/>
      <c r="CA25" s="39"/>
      <c r="CB25" s="39"/>
      <c r="CC25" s="39">
        <f>IFERROR(CC24/CC11,"")</f>
        <v>1.7812947766054448E-2</v>
      </c>
      <c r="CD25" s="39"/>
      <c r="CE25" s="39"/>
      <c r="CF25" s="39"/>
      <c r="CG25" s="39"/>
      <c r="CH25" s="39"/>
      <c r="CI25" s="39">
        <f>IFERROR(CI24/CI11,"")</f>
        <v>2.1397642150510446E-2</v>
      </c>
      <c r="CJ25" s="39"/>
      <c r="CK25" s="39"/>
      <c r="CL25" s="39"/>
      <c r="CM25" s="27"/>
      <c r="CN25" s="27"/>
      <c r="CO25" s="27"/>
      <c r="CP25" s="27"/>
      <c r="CQ25" s="27"/>
      <c r="CR25" s="27"/>
      <c r="CS25" s="27"/>
      <c r="CT25" s="22"/>
      <c r="CV25" s="6"/>
      <c r="CW25" s="6"/>
      <c r="CX25" s="6"/>
      <c r="CY25" s="6"/>
    </row>
    <row r="26" spans="2:110" ht="15" customHeight="1" x14ac:dyDescent="0.25">
      <c r="B26" s="12"/>
      <c r="CM26" s="6"/>
      <c r="CN26" s="6"/>
      <c r="CO26" s="6"/>
      <c r="CP26" s="6"/>
      <c r="CQ26" s="6"/>
      <c r="CR26" s="6"/>
      <c r="CS26" s="6"/>
      <c r="CT26" s="6"/>
      <c r="DB26" s="17" t="s">
        <v>138</v>
      </c>
      <c r="DC26" s="41">
        <v>0.02</v>
      </c>
      <c r="DD26" s="24" t="s">
        <v>127</v>
      </c>
      <c r="DE26" s="41">
        <v>-0.03</v>
      </c>
      <c r="DF26" s="15" t="s">
        <v>139</v>
      </c>
    </row>
    <row r="27" spans="2:110" ht="15" customHeight="1" x14ac:dyDescent="0.25">
      <c r="B27" s="16" t="s">
        <v>140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7" t="s">
        <v>141</v>
      </c>
      <c r="DB27" s="12" t="s">
        <v>130</v>
      </c>
      <c r="DC27" s="42">
        <f>DD27+$DC$26</f>
        <v>6.5000000000000002E-2</v>
      </c>
      <c r="DD27" s="35">
        <v>4.4999999999999998E-2</v>
      </c>
      <c r="DE27" s="42">
        <f>DD27+$DE$26</f>
        <v>1.4999999999999999E-2</v>
      </c>
    </row>
    <row r="28" spans="2:110" ht="15" customHeight="1" x14ac:dyDescent="0.25">
      <c r="B28" s="18" t="s">
        <v>99</v>
      </c>
      <c r="C28" s="19"/>
      <c r="D28" s="19"/>
      <c r="E28" s="20">
        <v>549.20000000000005</v>
      </c>
      <c r="F28" s="20">
        <v>538.4</v>
      </c>
      <c r="G28" s="20">
        <v>573.20000000000005</v>
      </c>
      <c r="H28" s="20">
        <v>648.20000000000005</v>
      </c>
      <c r="I28" s="20">
        <v>804.7</v>
      </c>
      <c r="J28" s="20">
        <v>232.7</v>
      </c>
      <c r="K28" s="20">
        <v>257.7</v>
      </c>
      <c r="L28" s="19">
        <f>J28+K28</f>
        <v>490.4</v>
      </c>
      <c r="M28" s="20">
        <v>256.60000000000002</v>
      </c>
      <c r="N28" s="20">
        <v>275.8</v>
      </c>
      <c r="O28" s="20">
        <v>1022.8</v>
      </c>
      <c r="P28" s="20">
        <v>258.89999999999998</v>
      </c>
      <c r="Q28" s="20">
        <v>276.60000000000002</v>
      </c>
      <c r="R28" s="19">
        <f>P28+Q28</f>
        <v>535.5</v>
      </c>
      <c r="S28" s="20">
        <v>280.39999999999998</v>
      </c>
      <c r="T28" s="20">
        <v>299.60000000000002</v>
      </c>
      <c r="U28" s="20">
        <v>1115.5</v>
      </c>
      <c r="V28" s="20">
        <v>270.3</v>
      </c>
      <c r="W28" s="20">
        <v>271.3</v>
      </c>
      <c r="X28" s="19">
        <f>V28+W28</f>
        <v>541.6</v>
      </c>
      <c r="Y28" s="20">
        <v>243.2</v>
      </c>
      <c r="Z28" s="20">
        <v>266.3</v>
      </c>
      <c r="AA28" s="20">
        <v>1051.0999999999999</v>
      </c>
      <c r="AB28" s="20">
        <v>223.7</v>
      </c>
      <c r="AC28" s="20">
        <v>220.1</v>
      </c>
      <c r="AD28" s="19">
        <f>AB28+AC28</f>
        <v>443.79999999999995</v>
      </c>
      <c r="AE28" s="20">
        <v>208.3</v>
      </c>
      <c r="AF28" s="20">
        <v>224.6</v>
      </c>
      <c r="AG28" s="20">
        <v>876.7</v>
      </c>
      <c r="AH28" s="20">
        <v>232.8</v>
      </c>
      <c r="AI28" s="20">
        <v>233.8</v>
      </c>
      <c r="AJ28" s="19">
        <f>AH28+AI28</f>
        <v>466.6</v>
      </c>
      <c r="AK28" s="20">
        <v>232.5</v>
      </c>
      <c r="AL28" s="20">
        <v>254.8</v>
      </c>
      <c r="AM28" s="20">
        <v>953.9</v>
      </c>
      <c r="AN28" s="20">
        <v>239</v>
      </c>
      <c r="AO28" s="20">
        <v>262.60000000000002</v>
      </c>
      <c r="AP28" s="19">
        <f>AN28+AO28</f>
        <v>501.6</v>
      </c>
      <c r="AQ28" s="20">
        <v>256.2</v>
      </c>
      <c r="AR28" s="20">
        <v>263.39999999999998</v>
      </c>
      <c r="AS28" s="20">
        <v>1021.2</v>
      </c>
      <c r="AT28" s="20">
        <v>256.5</v>
      </c>
      <c r="AU28" s="20">
        <v>264.10000000000002</v>
      </c>
      <c r="AV28" s="19">
        <f>AT28+AU28</f>
        <v>520.6</v>
      </c>
      <c r="AW28" s="20">
        <v>282.89999999999998</v>
      </c>
      <c r="AX28" s="20">
        <v>301.60000000000002</v>
      </c>
      <c r="AY28" s="20">
        <v>1105.0999999999999</v>
      </c>
      <c r="AZ28" s="20">
        <v>285.10000000000002</v>
      </c>
      <c r="BA28" s="20">
        <v>263.10000000000002</v>
      </c>
      <c r="BB28" s="19">
        <f>AZ28+BA28</f>
        <v>548.20000000000005</v>
      </c>
      <c r="BC28" s="20">
        <v>263.5</v>
      </c>
      <c r="BD28" s="20">
        <v>282.8</v>
      </c>
      <c r="BE28" s="20">
        <v>1094.5</v>
      </c>
      <c r="BF28" s="20">
        <v>286.5</v>
      </c>
      <c r="BG28" s="20">
        <v>291.10000000000002</v>
      </c>
      <c r="BH28" s="19">
        <f>BF28+BG28</f>
        <v>577.6</v>
      </c>
      <c r="BI28" s="20">
        <v>287.10000000000002</v>
      </c>
      <c r="BJ28" s="20">
        <v>302.2</v>
      </c>
      <c r="BK28" s="20">
        <v>1166.9000000000001</v>
      </c>
      <c r="BL28" s="20">
        <v>308.89999999999998</v>
      </c>
      <c r="BM28" s="20">
        <v>312.5</v>
      </c>
      <c r="BN28" s="19">
        <f>BL28+BM28</f>
        <v>621.4</v>
      </c>
      <c r="BO28" s="20">
        <v>306.39999999999998</v>
      </c>
      <c r="BP28" s="20">
        <v>326.2</v>
      </c>
      <c r="BQ28" s="20">
        <v>1254</v>
      </c>
      <c r="BR28" s="20">
        <v>333.5</v>
      </c>
      <c r="BS28" s="20">
        <v>328.4</v>
      </c>
      <c r="BT28" s="19">
        <f>BR28+BS28</f>
        <v>661.9</v>
      </c>
      <c r="BU28" s="20">
        <v>329.1</v>
      </c>
      <c r="BV28" s="20">
        <v>335.2</v>
      </c>
      <c r="BW28" s="20">
        <v>1326.2</v>
      </c>
      <c r="BX28" s="20">
        <v>330.4</v>
      </c>
      <c r="BY28" s="20">
        <v>333.5</v>
      </c>
      <c r="BZ28" s="19">
        <f>BX28+BY28</f>
        <v>663.9</v>
      </c>
      <c r="CA28" s="20">
        <v>349.8</v>
      </c>
      <c r="CB28" s="20">
        <v>368.9</v>
      </c>
      <c r="CC28" s="20">
        <v>1382.6</v>
      </c>
      <c r="CD28" s="20">
        <v>343.3</v>
      </c>
      <c r="CE28" s="20">
        <v>367.6</v>
      </c>
      <c r="CF28" s="19">
        <f>CD28+CE28</f>
        <v>710.90000000000009</v>
      </c>
      <c r="CG28" s="20">
        <v>363.6</v>
      </c>
      <c r="CH28" s="20">
        <v>382.6</v>
      </c>
      <c r="CI28" s="20">
        <v>1457.1</v>
      </c>
      <c r="CJ28" s="20">
        <v>361.4</v>
      </c>
      <c r="CK28" s="20">
        <v>387.8</v>
      </c>
      <c r="CL28" s="19">
        <f>CJ28+CK28</f>
        <v>749.2</v>
      </c>
      <c r="CM28" s="21">
        <f>CG28*CK28/CE28</f>
        <v>383.58019586507078</v>
      </c>
      <c r="CN28" s="21">
        <f>CH28*CK28/CE28</f>
        <v>403.62426550598474</v>
      </c>
      <c r="CO28" s="21">
        <f>SUM(CJ28,CK28,CM28,CN28)</f>
        <v>1536.4044613710555</v>
      </c>
      <c r="CP28" s="21">
        <f>CO28*(1+CP29)</f>
        <v>1605.5426621327529</v>
      </c>
      <c r="CQ28" s="21">
        <f>CP28*(1+CQ29)</f>
        <v>1677.7920819287267</v>
      </c>
      <c r="CR28" s="21">
        <f>CQ28*(1+CR29)</f>
        <v>1753.2927256155192</v>
      </c>
      <c r="CS28" s="21">
        <f>CR28*(1+CS29)</f>
        <v>1832.1908982682176</v>
      </c>
      <c r="CT28" s="22" t="s">
        <v>100</v>
      </c>
      <c r="CV28" s="23">
        <f>IFERROR((CS28/CI28)^(1/5)-1,"n/m")</f>
        <v>4.6878480601475259E-2</v>
      </c>
      <c r="CW28" s="23">
        <f>IFERROR((CI28/BE28)^(1/5)-1,"n/m")</f>
        <v>5.8899439584848334E-2</v>
      </c>
      <c r="CX28" s="23">
        <f>IFERROR((CI28/AA28)^(1/10)-1,"n/m")</f>
        <v>3.320032047751087E-2</v>
      </c>
      <c r="CY28" s="23" t="str">
        <f>IFERROR((CI28/C28)^(1/19)-1,"n/m")</f>
        <v>n/m</v>
      </c>
      <c r="DB28" s="12" t="s">
        <v>132</v>
      </c>
      <c r="DC28" s="42">
        <f>DD28+$DC$26</f>
        <v>6.5000000000000002E-2</v>
      </c>
      <c r="DD28" s="35">
        <v>4.4999999999999998E-2</v>
      </c>
      <c r="DE28" s="42">
        <f>DD28+$DE$26</f>
        <v>1.4999999999999999E-2</v>
      </c>
    </row>
    <row r="29" spans="2:110" ht="15" customHeight="1" x14ac:dyDescent="0.25">
      <c r="B29" s="25" t="s">
        <v>105</v>
      </c>
      <c r="C29" s="26"/>
      <c r="D29" s="26" t="str">
        <f t="shared" ref="D29:I29" si="25">IFERROR(D28/C28-1,"")</f>
        <v/>
      </c>
      <c r="E29" s="26" t="str">
        <f t="shared" si="25"/>
        <v/>
      </c>
      <c r="F29" s="26">
        <f t="shared" si="25"/>
        <v>-1.966496722505473E-2</v>
      </c>
      <c r="G29" s="26">
        <f t="shared" si="25"/>
        <v>6.4635958395245385E-2</v>
      </c>
      <c r="H29" s="26">
        <f t="shared" si="25"/>
        <v>0.1308443824145149</v>
      </c>
      <c r="I29" s="26">
        <f t="shared" si="25"/>
        <v>0.24143782783091638</v>
      </c>
      <c r="J29" s="26"/>
      <c r="K29" s="26"/>
      <c r="L29" s="26"/>
      <c r="M29" s="26"/>
      <c r="N29" s="26"/>
      <c r="O29" s="26">
        <f t="shared" ref="O29:AT29" si="26">IFERROR(O28/I28-1,"")</f>
        <v>0.27103268298744854</v>
      </c>
      <c r="P29" s="26">
        <f t="shared" si="26"/>
        <v>0.11259131929522992</v>
      </c>
      <c r="Q29" s="26">
        <f t="shared" si="26"/>
        <v>7.334109429569291E-2</v>
      </c>
      <c r="R29" s="26">
        <f t="shared" si="26"/>
        <v>9.1965742251223448E-2</v>
      </c>
      <c r="S29" s="26">
        <f t="shared" si="26"/>
        <v>9.2751363990646762E-2</v>
      </c>
      <c r="T29" s="26">
        <f t="shared" si="26"/>
        <v>8.629441624365497E-2</v>
      </c>
      <c r="U29" s="26">
        <f t="shared" si="26"/>
        <v>9.0633554947203709E-2</v>
      </c>
      <c r="V29" s="26">
        <f t="shared" si="26"/>
        <v>4.4032444959444028E-2</v>
      </c>
      <c r="W29" s="26">
        <f t="shared" si="26"/>
        <v>-1.9161243673174289E-2</v>
      </c>
      <c r="X29" s="26">
        <f t="shared" si="26"/>
        <v>1.1391223155928998E-2</v>
      </c>
      <c r="Y29" s="26">
        <f t="shared" si="26"/>
        <v>-0.13266761768901569</v>
      </c>
      <c r="Z29" s="26">
        <f t="shared" si="26"/>
        <v>-0.11114819759679573</v>
      </c>
      <c r="AA29" s="26">
        <f t="shared" si="26"/>
        <v>-5.7731958762886726E-2</v>
      </c>
      <c r="AB29" s="26">
        <f t="shared" si="26"/>
        <v>-0.1724010358860526</v>
      </c>
      <c r="AC29" s="26">
        <f t="shared" si="26"/>
        <v>-0.18872097309251756</v>
      </c>
      <c r="AD29" s="26">
        <f t="shared" si="26"/>
        <v>-0.18057607090103411</v>
      </c>
      <c r="AE29" s="26">
        <f t="shared" si="26"/>
        <v>-0.14350328947368407</v>
      </c>
      <c r="AF29" s="26">
        <f t="shared" si="26"/>
        <v>-0.15659031167855808</v>
      </c>
      <c r="AG29" s="26">
        <f t="shared" si="26"/>
        <v>-0.16592141565978491</v>
      </c>
      <c r="AH29" s="26">
        <f t="shared" si="26"/>
        <v>4.0679481448368415E-2</v>
      </c>
      <c r="AI29" s="26">
        <f t="shared" si="26"/>
        <v>6.2244434348023736E-2</v>
      </c>
      <c r="AJ29" s="26">
        <f t="shared" si="26"/>
        <v>5.1374493014871625E-2</v>
      </c>
      <c r="AK29" s="26">
        <f t="shared" si="26"/>
        <v>0.11617858857417174</v>
      </c>
      <c r="AL29" s="26">
        <f t="shared" si="26"/>
        <v>0.13446126447016926</v>
      </c>
      <c r="AM29" s="26">
        <f t="shared" si="26"/>
        <v>8.8057488308429299E-2</v>
      </c>
      <c r="AN29" s="26">
        <f t="shared" si="26"/>
        <v>2.6632302405498187E-2</v>
      </c>
      <c r="AO29" s="26">
        <f t="shared" si="26"/>
        <v>0.1231822070145423</v>
      </c>
      <c r="AP29" s="26">
        <f t="shared" si="26"/>
        <v>7.501071581654517E-2</v>
      </c>
      <c r="AQ29" s="26">
        <f t="shared" si="26"/>
        <v>0.10193548387096762</v>
      </c>
      <c r="AR29" s="26">
        <f t="shared" si="26"/>
        <v>3.3751962323390838E-2</v>
      </c>
      <c r="AS29" s="26">
        <f t="shared" si="26"/>
        <v>7.0552468812244529E-2</v>
      </c>
      <c r="AT29" s="26">
        <f t="shared" si="26"/>
        <v>7.322175732217584E-2</v>
      </c>
      <c r="AU29" s="26">
        <f t="shared" ref="AU29:BZ29" si="27">IFERROR(AU28/AO28-1,"")</f>
        <v>5.712109672505683E-3</v>
      </c>
      <c r="AV29" s="26">
        <f t="shared" si="27"/>
        <v>3.7878787878787845E-2</v>
      </c>
      <c r="AW29" s="26">
        <f t="shared" si="27"/>
        <v>0.10421545667447307</v>
      </c>
      <c r="AX29" s="26">
        <f t="shared" si="27"/>
        <v>0.14502657555049381</v>
      </c>
      <c r="AY29" s="26">
        <f t="shared" si="27"/>
        <v>8.2158245201723323E-2</v>
      </c>
      <c r="AZ29" s="26">
        <f t="shared" si="27"/>
        <v>0.11150097465886954</v>
      </c>
      <c r="BA29" s="26">
        <f t="shared" si="27"/>
        <v>-3.7864445285876736E-3</v>
      </c>
      <c r="BB29" s="26">
        <f t="shared" si="27"/>
        <v>5.301575105647327E-2</v>
      </c>
      <c r="BC29" s="26">
        <f t="shared" si="27"/>
        <v>-6.8575468363379244E-2</v>
      </c>
      <c r="BD29" s="26">
        <f t="shared" si="27"/>
        <v>-6.2334217506631373E-2</v>
      </c>
      <c r="BE29" s="26">
        <f t="shared" si="27"/>
        <v>-9.5918921364581688E-3</v>
      </c>
      <c r="BF29" s="26">
        <f t="shared" si="27"/>
        <v>4.9105576990529087E-3</v>
      </c>
      <c r="BG29" s="26">
        <f t="shared" si="27"/>
        <v>0.10642341315089321</v>
      </c>
      <c r="BH29" s="26">
        <f t="shared" si="27"/>
        <v>5.3630062021160052E-2</v>
      </c>
      <c r="BI29" s="26">
        <f t="shared" si="27"/>
        <v>8.9563567362428875E-2</v>
      </c>
      <c r="BJ29" s="26">
        <f t="shared" si="27"/>
        <v>6.859971711456847E-2</v>
      </c>
      <c r="BK29" s="26">
        <f t="shared" si="27"/>
        <v>6.614892645043402E-2</v>
      </c>
      <c r="BL29" s="26">
        <f t="shared" si="27"/>
        <v>7.8184991273996474E-2</v>
      </c>
      <c r="BM29" s="26">
        <f t="shared" si="27"/>
        <v>7.3514256269323175E-2</v>
      </c>
      <c r="BN29" s="26">
        <f t="shared" si="27"/>
        <v>7.5831024930747892E-2</v>
      </c>
      <c r="BO29" s="26">
        <f t="shared" si="27"/>
        <v>6.7223963775687734E-2</v>
      </c>
      <c r="BP29" s="26">
        <f t="shared" si="27"/>
        <v>7.9417604235605621E-2</v>
      </c>
      <c r="BQ29" s="26">
        <f t="shared" si="27"/>
        <v>7.464221441426E-2</v>
      </c>
      <c r="BR29" s="26">
        <f t="shared" si="27"/>
        <v>7.9637423114276462E-2</v>
      </c>
      <c r="BS29" s="26">
        <f t="shared" si="27"/>
        <v>5.0880000000000036E-2</v>
      </c>
      <c r="BT29" s="26">
        <f t="shared" si="27"/>
        <v>6.5175410363694786E-2</v>
      </c>
      <c r="BU29" s="26">
        <f t="shared" si="27"/>
        <v>7.4086161879895807E-2</v>
      </c>
      <c r="BV29" s="26">
        <f t="shared" si="27"/>
        <v>2.7590435315757222E-2</v>
      </c>
      <c r="BW29" s="26">
        <f t="shared" si="27"/>
        <v>5.7575757575757613E-2</v>
      </c>
      <c r="BX29" s="26">
        <f t="shared" si="27"/>
        <v>-9.2953523238381575E-3</v>
      </c>
      <c r="BY29" s="26">
        <f t="shared" si="27"/>
        <v>1.5529841656516608E-2</v>
      </c>
      <c r="BZ29" s="26">
        <f t="shared" si="27"/>
        <v>3.0216044719746371E-3</v>
      </c>
      <c r="CA29" s="26">
        <f t="shared" ref="CA29:CO29" si="28">IFERROR(CA28/BU28-1,"")</f>
        <v>6.2898814949863269E-2</v>
      </c>
      <c r="CB29" s="26">
        <f t="shared" si="28"/>
        <v>0.10053699284009543</v>
      </c>
      <c r="CC29" s="26">
        <f t="shared" si="28"/>
        <v>4.2527522244005356E-2</v>
      </c>
      <c r="CD29" s="26">
        <f t="shared" si="28"/>
        <v>3.9043583535109061E-2</v>
      </c>
      <c r="CE29" s="26">
        <f t="shared" si="28"/>
        <v>0.10224887556221907</v>
      </c>
      <c r="CF29" s="26">
        <f t="shared" si="28"/>
        <v>7.0793794246121644E-2</v>
      </c>
      <c r="CG29" s="26">
        <f t="shared" si="28"/>
        <v>3.9451114922813169E-2</v>
      </c>
      <c r="CH29" s="26">
        <f t="shared" si="28"/>
        <v>3.7137435619409187E-2</v>
      </c>
      <c r="CI29" s="26">
        <f t="shared" si="28"/>
        <v>5.3883986691740215E-2</v>
      </c>
      <c r="CJ29" s="26">
        <f t="shared" si="28"/>
        <v>5.2723565394698468E-2</v>
      </c>
      <c r="CK29" s="26">
        <f t="shared" si="28"/>
        <v>5.49510337323178E-2</v>
      </c>
      <c r="CL29" s="26">
        <f t="shared" si="28"/>
        <v>5.3875369250246052E-2</v>
      </c>
      <c r="CM29" s="27">
        <f t="shared" si="28"/>
        <v>5.49510337323178E-2</v>
      </c>
      <c r="CN29" s="27">
        <f t="shared" si="28"/>
        <v>5.4951033732317578E-2</v>
      </c>
      <c r="CO29" s="27">
        <f t="shared" si="28"/>
        <v>5.4426231124188762E-2</v>
      </c>
      <c r="CP29" s="27">
        <f>CHOOSE(MATCH($CT$2,{"Bull","Base","Bear"},0),$DC$27,$DD$27,$DE$27)</f>
        <v>4.4999999999999998E-2</v>
      </c>
      <c r="CQ29" s="27">
        <f>CHOOSE(MATCH($CT$2,{"Bull","Base","Bear"},0),$DC$28,$DD$28,$DE$28)</f>
        <v>4.4999999999999998E-2</v>
      </c>
      <c r="CR29" s="27">
        <f>CHOOSE(MATCH($CT$2,{"Bull","Base","Bear"},0),$DC$29,$DD$29,$DE$29)</f>
        <v>4.4999999999999998E-2</v>
      </c>
      <c r="CS29" s="27">
        <f>CHOOSE(MATCH($CT$2,{"Bull","Base","Bear"},0),$DC$30,$DD$30,$DE$30)</f>
        <v>4.4999999999999998E-2</v>
      </c>
      <c r="CT29" s="22" t="s">
        <v>142</v>
      </c>
      <c r="CV29" s="6"/>
      <c r="CW29" s="6"/>
      <c r="CX29" s="6"/>
      <c r="CY29" s="6"/>
      <c r="DB29" s="12" t="s">
        <v>134</v>
      </c>
      <c r="DC29" s="42">
        <f>DD29+$DC$26</f>
        <v>6.5000000000000002E-2</v>
      </c>
      <c r="DD29" s="35">
        <v>4.4999999999999998E-2</v>
      </c>
      <c r="DE29" s="42">
        <f>DD29+$DE$26</f>
        <v>1.4999999999999999E-2</v>
      </c>
    </row>
    <row r="30" spans="2:110" ht="15" customHeight="1" x14ac:dyDescent="0.25">
      <c r="B30" s="12" t="s">
        <v>108</v>
      </c>
      <c r="C30" s="29"/>
      <c r="D30" s="29"/>
      <c r="E30" s="30">
        <v>102.9</v>
      </c>
      <c r="F30" s="30">
        <v>95.5</v>
      </c>
      <c r="G30" s="30">
        <v>113.9</v>
      </c>
      <c r="H30" s="30">
        <v>129.30000000000001</v>
      </c>
      <c r="I30" s="30">
        <v>146</v>
      </c>
      <c r="J30" s="30">
        <v>36.6</v>
      </c>
      <c r="K30" s="30">
        <v>41.1</v>
      </c>
      <c r="L30" s="29">
        <f>J30+K30</f>
        <v>77.7</v>
      </c>
      <c r="M30" s="30">
        <v>39.9</v>
      </c>
      <c r="N30" s="30">
        <v>44.4</v>
      </c>
      <c r="O30" s="30">
        <v>162</v>
      </c>
      <c r="P30" s="30">
        <v>37.5</v>
      </c>
      <c r="Q30" s="30">
        <v>43.8</v>
      </c>
      <c r="R30" s="29">
        <f>P30+Q30</f>
        <v>81.3</v>
      </c>
      <c r="S30" s="30">
        <v>46.9</v>
      </c>
      <c r="T30" s="30">
        <v>53.4</v>
      </c>
      <c r="U30" s="30">
        <v>181.6</v>
      </c>
      <c r="V30" s="30">
        <v>42.1</v>
      </c>
      <c r="W30" s="30">
        <v>45.7</v>
      </c>
      <c r="X30" s="29">
        <f>V30+W30</f>
        <v>87.800000000000011</v>
      </c>
      <c r="Y30" s="30">
        <v>38.6</v>
      </c>
      <c r="Z30" s="30">
        <v>44.6</v>
      </c>
      <c r="AA30" s="30">
        <v>171</v>
      </c>
      <c r="AB30" s="30">
        <v>31.4</v>
      </c>
      <c r="AC30" s="30">
        <v>20.100000000000001</v>
      </c>
      <c r="AD30" s="29">
        <f>AB30+AC30</f>
        <v>51.5</v>
      </c>
      <c r="AE30" s="30">
        <v>28.1</v>
      </c>
      <c r="AF30" s="30">
        <v>30.2</v>
      </c>
      <c r="AG30" s="30">
        <v>109.8</v>
      </c>
      <c r="AH30" s="30">
        <v>30.2</v>
      </c>
      <c r="AI30" s="30">
        <v>30.5</v>
      </c>
      <c r="AJ30" s="29">
        <f>AH30+AI30</f>
        <v>60.7</v>
      </c>
      <c r="AK30" s="30">
        <v>34.6</v>
      </c>
      <c r="AL30" s="30">
        <v>30.7</v>
      </c>
      <c r="AM30" s="30">
        <v>126</v>
      </c>
      <c r="AN30" s="30">
        <v>27.8</v>
      </c>
      <c r="AO30" s="30">
        <v>40.9</v>
      </c>
      <c r="AP30" s="29">
        <f>AN30+AO30</f>
        <v>68.7</v>
      </c>
      <c r="AQ30" s="30">
        <v>35.700000000000003</v>
      </c>
      <c r="AR30" s="30">
        <v>43</v>
      </c>
      <c r="AS30" s="30">
        <v>147.4</v>
      </c>
      <c r="AT30" s="30">
        <v>39.9</v>
      </c>
      <c r="AU30" s="30">
        <v>49</v>
      </c>
      <c r="AV30" s="29">
        <f>AT30+AU30</f>
        <v>88.9</v>
      </c>
      <c r="AW30" s="30">
        <v>52</v>
      </c>
      <c r="AX30" s="30">
        <v>59.5</v>
      </c>
      <c r="AY30" s="30">
        <v>200.4</v>
      </c>
      <c r="AZ30" s="30">
        <v>50.8</v>
      </c>
      <c r="BA30" s="30">
        <v>48.5</v>
      </c>
      <c r="BB30" s="29">
        <f>AZ30+BA30</f>
        <v>99.3</v>
      </c>
      <c r="BC30" s="30">
        <v>50.7</v>
      </c>
      <c r="BD30" s="30">
        <v>63.2</v>
      </c>
      <c r="BE30" s="30">
        <v>213.2</v>
      </c>
      <c r="BF30" s="30">
        <v>59.4</v>
      </c>
      <c r="BG30" s="30">
        <v>64.599999999999994</v>
      </c>
      <c r="BH30" s="29">
        <f>BF30+BG30</f>
        <v>124</v>
      </c>
      <c r="BI30" s="30">
        <v>63</v>
      </c>
      <c r="BJ30" s="30">
        <v>66.7</v>
      </c>
      <c r="BK30" s="30">
        <v>253.7</v>
      </c>
      <c r="BL30" s="30">
        <v>71.599999999999994</v>
      </c>
      <c r="BM30" s="30">
        <v>73.599999999999994</v>
      </c>
      <c r="BN30" s="29">
        <f>BL30+BM30</f>
        <v>145.19999999999999</v>
      </c>
      <c r="BO30" s="30">
        <v>71.099999999999994</v>
      </c>
      <c r="BP30" s="30">
        <v>79</v>
      </c>
      <c r="BQ30" s="30">
        <v>295.3</v>
      </c>
      <c r="BR30" s="30">
        <v>80.7</v>
      </c>
      <c r="BS30" s="30">
        <v>81.400000000000006</v>
      </c>
      <c r="BT30" s="29">
        <f>BR30+BS30</f>
        <v>162.10000000000002</v>
      </c>
      <c r="BU30" s="30">
        <v>85.5</v>
      </c>
      <c r="BV30" s="30">
        <v>90.7</v>
      </c>
      <c r="BW30" s="30">
        <v>338.3</v>
      </c>
      <c r="BX30" s="30">
        <v>86</v>
      </c>
      <c r="BY30" s="30">
        <v>87.2</v>
      </c>
      <c r="BZ30" s="29">
        <f>BX30+BY30</f>
        <v>173.2</v>
      </c>
      <c r="CA30" s="30">
        <v>96.3</v>
      </c>
      <c r="CB30" s="30">
        <v>100.8</v>
      </c>
      <c r="CC30" s="30">
        <v>370.3</v>
      </c>
      <c r="CD30" s="30">
        <v>92.7</v>
      </c>
      <c r="CE30" s="30">
        <v>101.6</v>
      </c>
      <c r="CF30" s="29">
        <f>CD30+CE30</f>
        <v>194.3</v>
      </c>
      <c r="CG30" s="30">
        <v>98.8</v>
      </c>
      <c r="CH30" s="30">
        <v>107.3</v>
      </c>
      <c r="CI30" s="30">
        <v>400.4</v>
      </c>
      <c r="CJ30" s="30">
        <v>88.4</v>
      </c>
      <c r="CK30" s="30">
        <v>101.4</v>
      </c>
      <c r="CL30" s="29">
        <f>CJ30+CK30</f>
        <v>189.8</v>
      </c>
      <c r="CM30" s="31">
        <f>CM33-CM31-CM32</f>
        <v>93.176287983861286</v>
      </c>
      <c r="CN30" s="31">
        <f>CN33-CN31-CN32</f>
        <v>93.588926031938641</v>
      </c>
      <c r="CO30" s="31">
        <f>SUM(CJ30,CK30,CM30,CN30)</f>
        <v>376.56521401579994</v>
      </c>
      <c r="CP30" s="31">
        <f>CP33-CP31-CP32</f>
        <v>420.63190609978699</v>
      </c>
      <c r="CQ30" s="31">
        <f>CQ33-CQ31-CQ32</f>
        <v>448.70435422054072</v>
      </c>
      <c r="CR30" s="31">
        <f>CR33-CR31-CR32</f>
        <v>480.89995613009194</v>
      </c>
      <c r="CS30" s="31">
        <f>CS33-CS31-CS32</f>
        <v>513.74377220362499</v>
      </c>
      <c r="CT30" s="22" t="s">
        <v>109</v>
      </c>
      <c r="CV30" s="23">
        <f>IFERROR((CS30/CI30)^(1/5)-1,"n/m")</f>
        <v>5.1115645073253946E-2</v>
      </c>
      <c r="CW30" s="23">
        <f>IFERROR((CI30/BE30)^(1/5)-1,"n/m")</f>
        <v>0.13433510763534517</v>
      </c>
      <c r="CX30" s="23">
        <f>IFERROR((CI30/AA30)^(1/10)-1,"n/m")</f>
        <v>8.8804221001301586E-2</v>
      </c>
      <c r="CY30" s="23" t="str">
        <f>IFERROR((CI30/C30)^(1/19)-1,"n/m")</f>
        <v>n/m</v>
      </c>
      <c r="DB30" s="12" t="s">
        <v>136</v>
      </c>
      <c r="DC30" s="42">
        <f>DD30+$DC$26</f>
        <v>6.5000000000000002E-2</v>
      </c>
      <c r="DD30" s="35">
        <v>4.4999999999999998E-2</v>
      </c>
      <c r="DE30" s="42">
        <f>DD30+$DE$26</f>
        <v>1.4999999999999999E-2</v>
      </c>
    </row>
    <row r="31" spans="2:110" ht="15" customHeight="1" x14ac:dyDescent="0.25">
      <c r="B31" s="12" t="s">
        <v>111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30">
        <v>4.8</v>
      </c>
      <c r="BA31" s="30">
        <v>5.0999999999999996</v>
      </c>
      <c r="BB31" s="29">
        <f>AZ31+BA31</f>
        <v>9.8999999999999986</v>
      </c>
      <c r="BC31" s="30">
        <v>5.0999999999999996</v>
      </c>
      <c r="BD31" s="30">
        <v>4.8</v>
      </c>
      <c r="BE31" s="30">
        <v>19.8</v>
      </c>
      <c r="BF31" s="30">
        <v>5</v>
      </c>
      <c r="BG31" s="30">
        <v>5.2</v>
      </c>
      <c r="BH31" s="29">
        <f>BF31+BG31</f>
        <v>10.199999999999999</v>
      </c>
      <c r="BI31" s="30">
        <v>5</v>
      </c>
      <c r="BJ31" s="30">
        <v>4.9000000000000004</v>
      </c>
      <c r="BK31" s="30">
        <v>20.100000000000001</v>
      </c>
      <c r="BL31" s="30">
        <v>4.9000000000000004</v>
      </c>
      <c r="BM31" s="30">
        <v>4.7</v>
      </c>
      <c r="BN31" s="29">
        <f>BL31+BM31</f>
        <v>9.6000000000000014</v>
      </c>
      <c r="BO31" s="30">
        <v>4</v>
      </c>
      <c r="BP31" s="30">
        <v>3.6</v>
      </c>
      <c r="BQ31" s="30">
        <v>17.2</v>
      </c>
      <c r="BR31" s="30">
        <v>3.7</v>
      </c>
      <c r="BS31" s="30">
        <v>3.5</v>
      </c>
      <c r="BT31" s="29">
        <f>BR31+BS31</f>
        <v>7.2</v>
      </c>
      <c r="BU31" s="30">
        <v>3.5</v>
      </c>
      <c r="BV31" s="30">
        <v>3.5</v>
      </c>
      <c r="BW31" s="30">
        <v>14.2</v>
      </c>
      <c r="BX31" s="30">
        <v>3.4</v>
      </c>
      <c r="BY31" s="30">
        <v>3.5</v>
      </c>
      <c r="BZ31" s="29">
        <f>BX31+BY31</f>
        <v>6.9</v>
      </c>
      <c r="CA31" s="30">
        <v>3.5</v>
      </c>
      <c r="CB31" s="30">
        <v>3.4</v>
      </c>
      <c r="CC31" s="30">
        <v>13.9</v>
      </c>
      <c r="CD31" s="30">
        <v>3.2</v>
      </c>
      <c r="CE31" s="30">
        <v>3.3</v>
      </c>
      <c r="CF31" s="29">
        <f>CD31+CE31</f>
        <v>6.5</v>
      </c>
      <c r="CG31" s="30">
        <v>3.3</v>
      </c>
      <c r="CH31" s="30">
        <v>3.1</v>
      </c>
      <c r="CI31" s="30">
        <v>12.9</v>
      </c>
      <c r="CJ31" s="30">
        <v>3.5</v>
      </c>
      <c r="CK31" s="30">
        <v>3.4</v>
      </c>
      <c r="CL31" s="29">
        <f>CJ31+CK31</f>
        <v>6.9</v>
      </c>
      <c r="CM31" s="31">
        <f>CM125*$CL$31/($CL$14+$CL$31+$CL$51+$CL$70)</f>
        <v>3.4135563380281688</v>
      </c>
      <c r="CN31" s="31">
        <f>CN125*$CL$31/($CL$14+$CL$31+$CL$51+$CL$70)</f>
        <v>3.4135563380281688</v>
      </c>
      <c r="CO31" s="31">
        <f>SUM(CJ31,CK31,CM31,CN31)</f>
        <v>13.727112676056338</v>
      </c>
      <c r="CP31" s="31">
        <f>CP371*$CL$31/($CL$14+$CL$31+$CL$51+$CL$70)</f>
        <v>12.864612676056337</v>
      </c>
      <c r="CQ31" s="31">
        <f>CQ371*$CL$31/($CL$14+$CL$31+$CL$51+$CL$70)</f>
        <v>12.688468309859156</v>
      </c>
      <c r="CR31" s="31">
        <f>CR371*$CL$31/($CL$14+$CL$31+$CL$51+$CL$70)</f>
        <v>10.02200704225352</v>
      </c>
      <c r="CS31" s="31">
        <f>CS371*$CL$31/($CL$14+$CL$31+$CL$51+$CL$70)</f>
        <v>8.4306338028169012</v>
      </c>
      <c r="CT31" s="22" t="s">
        <v>112</v>
      </c>
      <c r="CV31" s="6"/>
      <c r="CW31" s="6"/>
      <c r="CX31" s="6"/>
      <c r="CY31" s="6"/>
    </row>
    <row r="32" spans="2:110" ht="15" customHeight="1" x14ac:dyDescent="0.25">
      <c r="B32" s="12" t="s">
        <v>114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30">
        <v>3</v>
      </c>
      <c r="CC32" s="30">
        <v>3</v>
      </c>
      <c r="CD32" s="29"/>
      <c r="CE32" s="29"/>
      <c r="CF32" s="29"/>
      <c r="CG32" s="29"/>
      <c r="CH32" s="29"/>
      <c r="CI32" s="29"/>
      <c r="CJ32" s="29"/>
      <c r="CK32" s="29"/>
      <c r="CL32" s="29"/>
      <c r="CM32" s="32">
        <v>0</v>
      </c>
      <c r="CN32" s="32">
        <v>0</v>
      </c>
      <c r="CO32" s="31">
        <f>SUM(CJ32,CK32,CM32,CN32)</f>
        <v>0</v>
      </c>
      <c r="CP32" s="32">
        <v>0</v>
      </c>
      <c r="CQ32" s="32">
        <v>0</v>
      </c>
      <c r="CR32" s="32">
        <v>0</v>
      </c>
      <c r="CS32" s="32">
        <v>0</v>
      </c>
      <c r="CT32" s="22"/>
      <c r="CV32" s="6"/>
      <c r="CW32" s="6"/>
      <c r="CX32" s="6"/>
      <c r="CY32" s="6"/>
      <c r="DB32" s="17" t="s">
        <v>143</v>
      </c>
      <c r="DC32" s="41">
        <v>0.03</v>
      </c>
      <c r="DD32" s="24" t="s">
        <v>127</v>
      </c>
      <c r="DE32" s="41">
        <v>-0.04</v>
      </c>
      <c r="DF32" s="15" t="s">
        <v>144</v>
      </c>
    </row>
    <row r="33" spans="2:110" ht="15" customHeight="1" x14ac:dyDescent="0.25">
      <c r="B33" s="33" t="s">
        <v>117</v>
      </c>
      <c r="C33" s="34" t="str">
        <f t="shared" ref="C33:AH33" si="29">IF(OR(ISNUMBER(C34),ISNUMBER(C31)),C30+N(C31)+N(C32),"")</f>
        <v/>
      </c>
      <c r="D33" s="34" t="str">
        <f t="shared" si="29"/>
        <v/>
      </c>
      <c r="E33" s="34" t="str">
        <f t="shared" si="29"/>
        <v/>
      </c>
      <c r="F33" s="34" t="str">
        <f t="shared" si="29"/>
        <v/>
      </c>
      <c r="G33" s="34" t="str">
        <f t="shared" si="29"/>
        <v/>
      </c>
      <c r="H33" s="34" t="str">
        <f t="shared" si="29"/>
        <v/>
      </c>
      <c r="I33" s="34" t="str">
        <f t="shared" si="29"/>
        <v/>
      </c>
      <c r="J33" s="19" t="str">
        <f t="shared" si="29"/>
        <v/>
      </c>
      <c r="K33" s="19" t="str">
        <f t="shared" si="29"/>
        <v/>
      </c>
      <c r="L33" s="19" t="str">
        <f t="shared" si="29"/>
        <v/>
      </c>
      <c r="M33" s="19" t="str">
        <f t="shared" si="29"/>
        <v/>
      </c>
      <c r="N33" s="19" t="str">
        <f t="shared" si="29"/>
        <v/>
      </c>
      <c r="O33" s="34" t="str">
        <f t="shared" si="29"/>
        <v/>
      </c>
      <c r="P33" s="19" t="str">
        <f t="shared" si="29"/>
        <v/>
      </c>
      <c r="Q33" s="19" t="str">
        <f t="shared" si="29"/>
        <v/>
      </c>
      <c r="R33" s="19" t="str">
        <f t="shared" si="29"/>
        <v/>
      </c>
      <c r="S33" s="19" t="str">
        <f t="shared" si="29"/>
        <v/>
      </c>
      <c r="T33" s="19" t="str">
        <f t="shared" si="29"/>
        <v/>
      </c>
      <c r="U33" s="34" t="str">
        <f t="shared" si="29"/>
        <v/>
      </c>
      <c r="V33" s="19" t="str">
        <f t="shared" si="29"/>
        <v/>
      </c>
      <c r="W33" s="19" t="str">
        <f t="shared" si="29"/>
        <v/>
      </c>
      <c r="X33" s="19" t="str">
        <f t="shared" si="29"/>
        <v/>
      </c>
      <c r="Y33" s="19" t="str">
        <f t="shared" si="29"/>
        <v/>
      </c>
      <c r="Z33" s="19" t="str">
        <f t="shared" si="29"/>
        <v/>
      </c>
      <c r="AA33" s="34" t="str">
        <f t="shared" si="29"/>
        <v/>
      </c>
      <c r="AB33" s="19" t="str">
        <f t="shared" si="29"/>
        <v/>
      </c>
      <c r="AC33" s="19" t="str">
        <f t="shared" si="29"/>
        <v/>
      </c>
      <c r="AD33" s="19" t="str">
        <f t="shared" si="29"/>
        <v/>
      </c>
      <c r="AE33" s="19" t="str">
        <f t="shared" si="29"/>
        <v/>
      </c>
      <c r="AF33" s="19" t="str">
        <f t="shared" si="29"/>
        <v/>
      </c>
      <c r="AG33" s="34" t="str">
        <f t="shared" si="29"/>
        <v/>
      </c>
      <c r="AH33" s="19" t="str">
        <f t="shared" si="29"/>
        <v/>
      </c>
      <c r="AI33" s="19" t="str">
        <f t="shared" ref="AI33:BN33" si="30">IF(OR(ISNUMBER(AI34),ISNUMBER(AI31)),AI30+N(AI31)+N(AI32),"")</f>
        <v/>
      </c>
      <c r="AJ33" s="19" t="str">
        <f t="shared" si="30"/>
        <v/>
      </c>
      <c r="AK33" s="19" t="str">
        <f t="shared" si="30"/>
        <v/>
      </c>
      <c r="AL33" s="19" t="str">
        <f t="shared" si="30"/>
        <v/>
      </c>
      <c r="AM33" s="34" t="str">
        <f t="shared" si="30"/>
        <v/>
      </c>
      <c r="AN33" s="19" t="str">
        <f t="shared" si="30"/>
        <v/>
      </c>
      <c r="AO33" s="19" t="str">
        <f t="shared" si="30"/>
        <v/>
      </c>
      <c r="AP33" s="19" t="str">
        <f t="shared" si="30"/>
        <v/>
      </c>
      <c r="AQ33" s="19" t="str">
        <f t="shared" si="30"/>
        <v/>
      </c>
      <c r="AR33" s="19" t="str">
        <f t="shared" si="30"/>
        <v/>
      </c>
      <c r="AS33" s="34" t="str">
        <f t="shared" si="30"/>
        <v/>
      </c>
      <c r="AT33" s="19" t="str">
        <f t="shared" si="30"/>
        <v/>
      </c>
      <c r="AU33" s="19" t="str">
        <f t="shared" si="30"/>
        <v/>
      </c>
      <c r="AV33" s="19" t="str">
        <f t="shared" si="30"/>
        <v/>
      </c>
      <c r="AW33" s="19" t="str">
        <f t="shared" si="30"/>
        <v/>
      </c>
      <c r="AX33" s="19" t="str">
        <f t="shared" si="30"/>
        <v/>
      </c>
      <c r="AY33" s="34" t="str">
        <f t="shared" si="30"/>
        <v/>
      </c>
      <c r="AZ33" s="19">
        <f t="shared" si="30"/>
        <v>55.599999999999994</v>
      </c>
      <c r="BA33" s="19">
        <f t="shared" si="30"/>
        <v>53.6</v>
      </c>
      <c r="BB33" s="19">
        <f t="shared" si="30"/>
        <v>109.19999999999999</v>
      </c>
      <c r="BC33" s="19">
        <f t="shared" si="30"/>
        <v>55.800000000000004</v>
      </c>
      <c r="BD33" s="19">
        <f t="shared" si="30"/>
        <v>68</v>
      </c>
      <c r="BE33" s="34">
        <f t="shared" si="30"/>
        <v>233</v>
      </c>
      <c r="BF33" s="19">
        <f t="shared" si="30"/>
        <v>64.400000000000006</v>
      </c>
      <c r="BG33" s="19">
        <f t="shared" si="30"/>
        <v>69.8</v>
      </c>
      <c r="BH33" s="19">
        <f t="shared" si="30"/>
        <v>134.19999999999999</v>
      </c>
      <c r="BI33" s="19">
        <f t="shared" si="30"/>
        <v>68</v>
      </c>
      <c r="BJ33" s="19">
        <f t="shared" si="30"/>
        <v>71.600000000000009</v>
      </c>
      <c r="BK33" s="34">
        <f t="shared" si="30"/>
        <v>273.8</v>
      </c>
      <c r="BL33" s="19">
        <f t="shared" si="30"/>
        <v>76.5</v>
      </c>
      <c r="BM33" s="19">
        <f t="shared" si="30"/>
        <v>78.3</v>
      </c>
      <c r="BN33" s="19">
        <f t="shared" si="30"/>
        <v>154.79999999999998</v>
      </c>
      <c r="BO33" s="19">
        <f t="shared" ref="BO33:CL33" si="31">IF(OR(ISNUMBER(BO34),ISNUMBER(BO31)),BO30+N(BO31)+N(BO32),"")</f>
        <v>75.099999999999994</v>
      </c>
      <c r="BP33" s="19">
        <f t="shared" si="31"/>
        <v>82.6</v>
      </c>
      <c r="BQ33" s="34">
        <f t="shared" si="31"/>
        <v>312.5</v>
      </c>
      <c r="BR33" s="19">
        <f t="shared" si="31"/>
        <v>84.4</v>
      </c>
      <c r="BS33" s="19">
        <f t="shared" si="31"/>
        <v>84.9</v>
      </c>
      <c r="BT33" s="19">
        <f t="shared" si="31"/>
        <v>169.3</v>
      </c>
      <c r="BU33" s="19">
        <f t="shared" si="31"/>
        <v>89</v>
      </c>
      <c r="BV33" s="19">
        <f t="shared" si="31"/>
        <v>94.2</v>
      </c>
      <c r="BW33" s="34">
        <f t="shared" si="31"/>
        <v>352.5</v>
      </c>
      <c r="BX33" s="19">
        <f t="shared" si="31"/>
        <v>89.4</v>
      </c>
      <c r="BY33" s="19">
        <f t="shared" si="31"/>
        <v>90.7</v>
      </c>
      <c r="BZ33" s="19">
        <f t="shared" si="31"/>
        <v>180.1</v>
      </c>
      <c r="CA33" s="19">
        <f t="shared" si="31"/>
        <v>99.8</v>
      </c>
      <c r="CB33" s="19">
        <f t="shared" si="31"/>
        <v>107.2</v>
      </c>
      <c r="CC33" s="34">
        <f t="shared" si="31"/>
        <v>387.2</v>
      </c>
      <c r="CD33" s="19">
        <f t="shared" si="31"/>
        <v>95.9</v>
      </c>
      <c r="CE33" s="19">
        <f t="shared" si="31"/>
        <v>104.89999999999999</v>
      </c>
      <c r="CF33" s="19">
        <f t="shared" si="31"/>
        <v>200.8</v>
      </c>
      <c r="CG33" s="19">
        <f t="shared" si="31"/>
        <v>102.1</v>
      </c>
      <c r="CH33" s="19">
        <f t="shared" si="31"/>
        <v>110.39999999999999</v>
      </c>
      <c r="CI33" s="34">
        <f t="shared" si="31"/>
        <v>413.29999999999995</v>
      </c>
      <c r="CJ33" s="19">
        <f t="shared" si="31"/>
        <v>91.9</v>
      </c>
      <c r="CK33" s="19">
        <f t="shared" si="31"/>
        <v>104.80000000000001</v>
      </c>
      <c r="CL33" s="19">
        <f t="shared" si="31"/>
        <v>196.70000000000002</v>
      </c>
      <c r="CM33" s="34">
        <f>CM28*CM37</f>
        <v>96.589844321889458</v>
      </c>
      <c r="CN33" s="34">
        <f>CN28*CN37</f>
        <v>97.002482369966813</v>
      </c>
      <c r="CO33" s="34">
        <f>SUM(CJ33,CK33,CM33,CN33)</f>
        <v>390.29232669185626</v>
      </c>
      <c r="CP33" s="34">
        <f>CP28*CP37</f>
        <v>433.4965187758433</v>
      </c>
      <c r="CQ33" s="34">
        <f>CQ28*CQ37</f>
        <v>461.39282253039988</v>
      </c>
      <c r="CR33" s="34">
        <f>CR28*CR37</f>
        <v>490.92196317234544</v>
      </c>
      <c r="CS33" s="34">
        <f>CS28*CS37</f>
        <v>522.17440600644193</v>
      </c>
      <c r="CT33" s="22" t="s">
        <v>118</v>
      </c>
      <c r="CV33" s="23">
        <f>IFERROR((CS33/CI33)^(1/5)-1,"n/m")</f>
        <v>4.7876341659412125E-2</v>
      </c>
      <c r="CW33" s="23">
        <f>IFERROR((CI33/BE33)^(1/5)-1,"n/m")</f>
        <v>0.12145511691180988</v>
      </c>
      <c r="CX33" s="23" t="str">
        <f>IFERROR((CI33/AA33)^(1/10)-1,"n/m")</f>
        <v>n/m</v>
      </c>
      <c r="CY33" s="23" t="str">
        <f>IFERROR((CI33/C33)^(1/19)-1,"n/m")</f>
        <v>n/m</v>
      </c>
      <c r="DB33" s="12" t="s">
        <v>130</v>
      </c>
      <c r="DC33" s="42">
        <f>DD33+$DC$32</f>
        <v>0.09</v>
      </c>
      <c r="DD33" s="35">
        <v>0.06</v>
      </c>
      <c r="DE33" s="42">
        <f>DD33+$DE$32</f>
        <v>1.9999999999999997E-2</v>
      </c>
    </row>
    <row r="34" spans="2:110" ht="15" customHeight="1" x14ac:dyDescent="0.25">
      <c r="B34" s="36" t="s">
        <v>120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30">
        <v>55.6</v>
      </c>
      <c r="BA34" s="30">
        <v>53.6</v>
      </c>
      <c r="BB34" s="29">
        <f>AZ34+BA34</f>
        <v>109.2</v>
      </c>
      <c r="BC34" s="30">
        <v>55.8</v>
      </c>
      <c r="BD34" s="30">
        <v>68</v>
      </c>
      <c r="BE34" s="30">
        <v>233</v>
      </c>
      <c r="BF34" s="30">
        <v>64.400000000000006</v>
      </c>
      <c r="BG34" s="30">
        <v>69.8</v>
      </c>
      <c r="BH34" s="29">
        <f>BF34+BG34</f>
        <v>134.19999999999999</v>
      </c>
      <c r="BI34" s="30">
        <v>68</v>
      </c>
      <c r="BJ34" s="30">
        <v>71.599999999999994</v>
      </c>
      <c r="BK34" s="30">
        <v>273.8</v>
      </c>
      <c r="BL34" s="30">
        <v>76.5</v>
      </c>
      <c r="BM34" s="30">
        <v>78.3</v>
      </c>
      <c r="BN34" s="29">
        <f>BL34+BM34</f>
        <v>154.80000000000001</v>
      </c>
      <c r="BO34" s="30">
        <v>75.099999999999994</v>
      </c>
      <c r="BP34" s="30">
        <v>82.6</v>
      </c>
      <c r="BQ34" s="30">
        <v>312.5</v>
      </c>
      <c r="BR34" s="30">
        <v>84.4</v>
      </c>
      <c r="BS34" s="30">
        <v>84.9</v>
      </c>
      <c r="BT34" s="29">
        <f>BR34+BS34</f>
        <v>169.3</v>
      </c>
      <c r="BU34" s="30">
        <v>89</v>
      </c>
      <c r="BV34" s="30">
        <v>94.2</v>
      </c>
      <c r="BW34" s="30">
        <v>352.5</v>
      </c>
      <c r="BX34" s="30">
        <v>89.4</v>
      </c>
      <c r="BY34" s="30">
        <v>90.7</v>
      </c>
      <c r="BZ34" s="29">
        <f>BX34+BY34</f>
        <v>180.10000000000002</v>
      </c>
      <c r="CA34" s="30">
        <v>99.8</v>
      </c>
      <c r="CB34" s="30">
        <v>107.2</v>
      </c>
      <c r="CC34" s="30">
        <v>387.2</v>
      </c>
      <c r="CD34" s="30">
        <v>95.9</v>
      </c>
      <c r="CE34" s="30">
        <v>104.9</v>
      </c>
      <c r="CF34" s="29">
        <f>CD34+CE34</f>
        <v>200.8</v>
      </c>
      <c r="CG34" s="30">
        <v>102.1</v>
      </c>
      <c r="CH34" s="30">
        <v>110.4</v>
      </c>
      <c r="CI34" s="30">
        <v>413.3</v>
      </c>
      <c r="CJ34" s="30">
        <v>91.9</v>
      </c>
      <c r="CK34" s="30">
        <v>104.8</v>
      </c>
      <c r="CL34" s="29">
        <f>CJ34+CK34</f>
        <v>196.7</v>
      </c>
      <c r="CM34" s="31"/>
      <c r="CN34" s="31"/>
      <c r="CO34" s="31"/>
      <c r="CP34" s="31"/>
      <c r="CQ34" s="31"/>
      <c r="CR34" s="31"/>
      <c r="CS34" s="31"/>
      <c r="CT34" s="22"/>
      <c r="CV34" s="6"/>
      <c r="CW34" s="6"/>
      <c r="CX34" s="6"/>
      <c r="CY34" s="6"/>
      <c r="DB34" s="12" t="s">
        <v>132</v>
      </c>
      <c r="DC34" s="42">
        <f>DD34+$DC$32</f>
        <v>8.4999999999999992E-2</v>
      </c>
      <c r="DD34" s="35">
        <v>5.5E-2</v>
      </c>
      <c r="DE34" s="42">
        <f>DD34+$DE$32</f>
        <v>1.4999999999999999E-2</v>
      </c>
    </row>
    <row r="35" spans="2:110" ht="15" customHeight="1" x14ac:dyDescent="0.25">
      <c r="B35" s="38" t="s">
        <v>122</v>
      </c>
      <c r="C35" s="29" t="str">
        <f t="shared" ref="C35:AH35" si="32">IF(ISNUMBER(C34),ROUND(C33-C34,1),"n/p")</f>
        <v>n/p</v>
      </c>
      <c r="D35" s="29" t="str">
        <f t="shared" si="32"/>
        <v>n/p</v>
      </c>
      <c r="E35" s="29" t="str">
        <f t="shared" si="32"/>
        <v>n/p</v>
      </c>
      <c r="F35" s="29" t="str">
        <f t="shared" si="32"/>
        <v>n/p</v>
      </c>
      <c r="G35" s="29" t="str">
        <f t="shared" si="32"/>
        <v>n/p</v>
      </c>
      <c r="H35" s="29" t="str">
        <f t="shared" si="32"/>
        <v>n/p</v>
      </c>
      <c r="I35" s="29" t="str">
        <f t="shared" si="32"/>
        <v>n/p</v>
      </c>
      <c r="J35" s="29" t="str">
        <f t="shared" si="32"/>
        <v>n/p</v>
      </c>
      <c r="K35" s="29" t="str">
        <f t="shared" si="32"/>
        <v>n/p</v>
      </c>
      <c r="L35" s="29" t="str">
        <f t="shared" si="32"/>
        <v>n/p</v>
      </c>
      <c r="M35" s="29" t="str">
        <f t="shared" si="32"/>
        <v>n/p</v>
      </c>
      <c r="N35" s="29" t="str">
        <f t="shared" si="32"/>
        <v>n/p</v>
      </c>
      <c r="O35" s="29" t="str">
        <f t="shared" si="32"/>
        <v>n/p</v>
      </c>
      <c r="P35" s="29" t="str">
        <f t="shared" si="32"/>
        <v>n/p</v>
      </c>
      <c r="Q35" s="29" t="str">
        <f t="shared" si="32"/>
        <v>n/p</v>
      </c>
      <c r="R35" s="29" t="str">
        <f t="shared" si="32"/>
        <v>n/p</v>
      </c>
      <c r="S35" s="29" t="str">
        <f t="shared" si="32"/>
        <v>n/p</v>
      </c>
      <c r="T35" s="29" t="str">
        <f t="shared" si="32"/>
        <v>n/p</v>
      </c>
      <c r="U35" s="29" t="str">
        <f t="shared" si="32"/>
        <v>n/p</v>
      </c>
      <c r="V35" s="29" t="str">
        <f t="shared" si="32"/>
        <v>n/p</v>
      </c>
      <c r="W35" s="29" t="str">
        <f t="shared" si="32"/>
        <v>n/p</v>
      </c>
      <c r="X35" s="29" t="str">
        <f t="shared" si="32"/>
        <v>n/p</v>
      </c>
      <c r="Y35" s="29" t="str">
        <f t="shared" si="32"/>
        <v>n/p</v>
      </c>
      <c r="Z35" s="29" t="str">
        <f t="shared" si="32"/>
        <v>n/p</v>
      </c>
      <c r="AA35" s="29" t="str">
        <f t="shared" si="32"/>
        <v>n/p</v>
      </c>
      <c r="AB35" s="29" t="str">
        <f t="shared" si="32"/>
        <v>n/p</v>
      </c>
      <c r="AC35" s="29" t="str">
        <f t="shared" si="32"/>
        <v>n/p</v>
      </c>
      <c r="AD35" s="29" t="str">
        <f t="shared" si="32"/>
        <v>n/p</v>
      </c>
      <c r="AE35" s="29" t="str">
        <f t="shared" si="32"/>
        <v>n/p</v>
      </c>
      <c r="AF35" s="29" t="str">
        <f t="shared" si="32"/>
        <v>n/p</v>
      </c>
      <c r="AG35" s="29" t="str">
        <f t="shared" si="32"/>
        <v>n/p</v>
      </c>
      <c r="AH35" s="29" t="str">
        <f t="shared" si="32"/>
        <v>n/p</v>
      </c>
      <c r="AI35" s="29" t="str">
        <f t="shared" ref="AI35:BN35" si="33">IF(ISNUMBER(AI34),ROUND(AI33-AI34,1),"n/p")</f>
        <v>n/p</v>
      </c>
      <c r="AJ35" s="29" t="str">
        <f t="shared" si="33"/>
        <v>n/p</v>
      </c>
      <c r="AK35" s="29" t="str">
        <f t="shared" si="33"/>
        <v>n/p</v>
      </c>
      <c r="AL35" s="29" t="str">
        <f t="shared" si="33"/>
        <v>n/p</v>
      </c>
      <c r="AM35" s="29" t="str">
        <f t="shared" si="33"/>
        <v>n/p</v>
      </c>
      <c r="AN35" s="29" t="str">
        <f t="shared" si="33"/>
        <v>n/p</v>
      </c>
      <c r="AO35" s="29" t="str">
        <f t="shared" si="33"/>
        <v>n/p</v>
      </c>
      <c r="AP35" s="29" t="str">
        <f t="shared" si="33"/>
        <v>n/p</v>
      </c>
      <c r="AQ35" s="29" t="str">
        <f t="shared" si="33"/>
        <v>n/p</v>
      </c>
      <c r="AR35" s="29" t="str">
        <f t="shared" si="33"/>
        <v>n/p</v>
      </c>
      <c r="AS35" s="29" t="str">
        <f t="shared" si="33"/>
        <v>n/p</v>
      </c>
      <c r="AT35" s="29" t="str">
        <f t="shared" si="33"/>
        <v>n/p</v>
      </c>
      <c r="AU35" s="29" t="str">
        <f t="shared" si="33"/>
        <v>n/p</v>
      </c>
      <c r="AV35" s="29" t="str">
        <f t="shared" si="33"/>
        <v>n/p</v>
      </c>
      <c r="AW35" s="29" t="str">
        <f t="shared" si="33"/>
        <v>n/p</v>
      </c>
      <c r="AX35" s="29" t="str">
        <f t="shared" si="33"/>
        <v>n/p</v>
      </c>
      <c r="AY35" s="29" t="str">
        <f t="shared" si="33"/>
        <v>n/p</v>
      </c>
      <c r="AZ35" s="29">
        <f t="shared" si="33"/>
        <v>0</v>
      </c>
      <c r="BA35" s="29">
        <f t="shared" si="33"/>
        <v>0</v>
      </c>
      <c r="BB35" s="29">
        <f t="shared" si="33"/>
        <v>0</v>
      </c>
      <c r="BC35" s="29">
        <f t="shared" si="33"/>
        <v>0</v>
      </c>
      <c r="BD35" s="29">
        <f t="shared" si="33"/>
        <v>0</v>
      </c>
      <c r="BE35" s="29">
        <f t="shared" si="33"/>
        <v>0</v>
      </c>
      <c r="BF35" s="29">
        <f t="shared" si="33"/>
        <v>0</v>
      </c>
      <c r="BG35" s="29">
        <f t="shared" si="33"/>
        <v>0</v>
      </c>
      <c r="BH35" s="29">
        <f t="shared" si="33"/>
        <v>0</v>
      </c>
      <c r="BI35" s="29">
        <f t="shared" si="33"/>
        <v>0</v>
      </c>
      <c r="BJ35" s="29">
        <f t="shared" si="33"/>
        <v>0</v>
      </c>
      <c r="BK35" s="29">
        <f t="shared" si="33"/>
        <v>0</v>
      </c>
      <c r="BL35" s="29">
        <f t="shared" si="33"/>
        <v>0</v>
      </c>
      <c r="BM35" s="29">
        <f t="shared" si="33"/>
        <v>0</v>
      </c>
      <c r="BN35" s="29">
        <f t="shared" si="33"/>
        <v>0</v>
      </c>
      <c r="BO35" s="29">
        <f t="shared" ref="BO35:CL35" si="34">IF(ISNUMBER(BO34),ROUND(BO33-BO34,1),"n/p")</f>
        <v>0</v>
      </c>
      <c r="BP35" s="29">
        <f t="shared" si="34"/>
        <v>0</v>
      </c>
      <c r="BQ35" s="29">
        <f t="shared" si="34"/>
        <v>0</v>
      </c>
      <c r="BR35" s="29">
        <f t="shared" si="34"/>
        <v>0</v>
      </c>
      <c r="BS35" s="29">
        <f t="shared" si="34"/>
        <v>0</v>
      </c>
      <c r="BT35" s="29">
        <f t="shared" si="34"/>
        <v>0</v>
      </c>
      <c r="BU35" s="29">
        <f t="shared" si="34"/>
        <v>0</v>
      </c>
      <c r="BV35" s="29">
        <f t="shared" si="34"/>
        <v>0</v>
      </c>
      <c r="BW35" s="29">
        <f t="shared" si="34"/>
        <v>0</v>
      </c>
      <c r="BX35" s="29">
        <f t="shared" si="34"/>
        <v>0</v>
      </c>
      <c r="BY35" s="29">
        <f t="shared" si="34"/>
        <v>0</v>
      </c>
      <c r="BZ35" s="29">
        <f t="shared" si="34"/>
        <v>0</v>
      </c>
      <c r="CA35" s="29">
        <f t="shared" si="34"/>
        <v>0</v>
      </c>
      <c r="CB35" s="29">
        <f t="shared" si="34"/>
        <v>0</v>
      </c>
      <c r="CC35" s="29">
        <f t="shared" si="34"/>
        <v>0</v>
      </c>
      <c r="CD35" s="29">
        <f t="shared" si="34"/>
        <v>0</v>
      </c>
      <c r="CE35" s="29">
        <f t="shared" si="34"/>
        <v>0</v>
      </c>
      <c r="CF35" s="29">
        <f t="shared" si="34"/>
        <v>0</v>
      </c>
      <c r="CG35" s="29">
        <f t="shared" si="34"/>
        <v>0</v>
      </c>
      <c r="CH35" s="29">
        <f t="shared" si="34"/>
        <v>0</v>
      </c>
      <c r="CI35" s="29">
        <f t="shared" si="34"/>
        <v>0</v>
      </c>
      <c r="CJ35" s="29">
        <f t="shared" si="34"/>
        <v>0</v>
      </c>
      <c r="CK35" s="29">
        <f t="shared" si="34"/>
        <v>0</v>
      </c>
      <c r="CL35" s="29">
        <f t="shared" si="34"/>
        <v>0</v>
      </c>
      <c r="CM35" s="31"/>
      <c r="CN35" s="31"/>
      <c r="CO35" s="31"/>
      <c r="CP35" s="31"/>
      <c r="CQ35" s="31"/>
      <c r="CR35" s="31"/>
      <c r="CS35" s="31"/>
      <c r="CT35" s="22"/>
      <c r="CV35" s="6"/>
      <c r="CW35" s="6"/>
      <c r="CX35" s="6"/>
      <c r="CY35" s="6"/>
      <c r="DB35" s="12" t="s">
        <v>134</v>
      </c>
      <c r="DC35" s="42">
        <f>DD35+$DC$32</f>
        <v>0.08</v>
      </c>
      <c r="DD35" s="35">
        <v>0.05</v>
      </c>
      <c r="DE35" s="42">
        <f>DD35+$DE$32</f>
        <v>1.0000000000000002E-2</v>
      </c>
    </row>
    <row r="36" spans="2:110" ht="15" customHeight="1" x14ac:dyDescent="0.25">
      <c r="B36" s="25" t="s">
        <v>123</v>
      </c>
      <c r="C36" s="39" t="str">
        <f t="shared" ref="C36:AH36" si="35">IFERROR(C30/C28,"")</f>
        <v/>
      </c>
      <c r="D36" s="39" t="str">
        <f t="shared" si="35"/>
        <v/>
      </c>
      <c r="E36" s="39">
        <f t="shared" si="35"/>
        <v>0.18736343772760378</v>
      </c>
      <c r="F36" s="39">
        <f t="shared" si="35"/>
        <v>0.1773774145616642</v>
      </c>
      <c r="G36" s="39">
        <f t="shared" si="35"/>
        <v>0.19870900209351011</v>
      </c>
      <c r="H36" s="39">
        <f t="shared" si="35"/>
        <v>0.19947547053378586</v>
      </c>
      <c r="I36" s="39">
        <f t="shared" si="35"/>
        <v>0.18143407481048837</v>
      </c>
      <c r="J36" s="39">
        <f t="shared" si="35"/>
        <v>0.15728405672539753</v>
      </c>
      <c r="K36" s="39">
        <f t="shared" si="35"/>
        <v>0.15948777648428406</v>
      </c>
      <c r="L36" s="39">
        <f t="shared" si="35"/>
        <v>0.15844208809135402</v>
      </c>
      <c r="M36" s="39">
        <f t="shared" si="35"/>
        <v>0.1554949337490257</v>
      </c>
      <c r="N36" s="39">
        <f t="shared" si="35"/>
        <v>0.16098622189992748</v>
      </c>
      <c r="O36" s="39">
        <f t="shared" si="35"/>
        <v>0.1583887368009386</v>
      </c>
      <c r="P36" s="39">
        <f t="shared" si="35"/>
        <v>0.14484356894553882</v>
      </c>
      <c r="Q36" s="39">
        <f t="shared" si="35"/>
        <v>0.15835140997830802</v>
      </c>
      <c r="R36" s="39">
        <f t="shared" si="35"/>
        <v>0.15182072829131651</v>
      </c>
      <c r="S36" s="39">
        <f t="shared" si="35"/>
        <v>0.16726105563480742</v>
      </c>
      <c r="T36" s="39">
        <f t="shared" si="35"/>
        <v>0.17823765020026699</v>
      </c>
      <c r="U36" s="39">
        <f t="shared" si="35"/>
        <v>0.16279695203944419</v>
      </c>
      <c r="V36" s="39">
        <f t="shared" si="35"/>
        <v>0.15575286718460968</v>
      </c>
      <c r="W36" s="39">
        <f t="shared" si="35"/>
        <v>0.16844821231109472</v>
      </c>
      <c r="X36" s="39">
        <f t="shared" si="35"/>
        <v>0.16211225997045792</v>
      </c>
      <c r="Y36" s="39">
        <f t="shared" si="35"/>
        <v>0.15871710526315791</v>
      </c>
      <c r="Z36" s="39">
        <f t="shared" si="35"/>
        <v>0.16748028539241458</v>
      </c>
      <c r="AA36" s="39">
        <f t="shared" si="35"/>
        <v>0.16268670916183048</v>
      </c>
      <c r="AB36" s="39">
        <f t="shared" si="35"/>
        <v>0.14036656236030398</v>
      </c>
      <c r="AC36" s="39">
        <f t="shared" si="35"/>
        <v>9.1322126306224452E-2</v>
      </c>
      <c r="AD36" s="39">
        <f t="shared" si="35"/>
        <v>0.1160432627309599</v>
      </c>
      <c r="AE36" s="39">
        <f t="shared" si="35"/>
        <v>0.13490158425348056</v>
      </c>
      <c r="AF36" s="39">
        <f t="shared" si="35"/>
        <v>0.13446126447016918</v>
      </c>
      <c r="AG36" s="39">
        <f t="shared" si="35"/>
        <v>0.12524238622105621</v>
      </c>
      <c r="AH36" s="39">
        <f t="shared" si="35"/>
        <v>0.1297250859106529</v>
      </c>
      <c r="AI36" s="39">
        <f t="shared" ref="AI36:BN36" si="36">IFERROR(AI30/AI28,"")</f>
        <v>0.13045337895637296</v>
      </c>
      <c r="AJ36" s="39">
        <f t="shared" si="36"/>
        <v>0.13009001285897986</v>
      </c>
      <c r="AK36" s="39">
        <f t="shared" si="36"/>
        <v>0.14881720430107528</v>
      </c>
      <c r="AL36" s="39">
        <f t="shared" si="36"/>
        <v>0.12048665620094191</v>
      </c>
      <c r="AM36" s="39">
        <f t="shared" si="36"/>
        <v>0.13208931753852604</v>
      </c>
      <c r="AN36" s="39">
        <f t="shared" si="36"/>
        <v>0.11631799163179916</v>
      </c>
      <c r="AO36" s="39">
        <f t="shared" si="36"/>
        <v>0.15575019040365573</v>
      </c>
      <c r="AP36" s="39">
        <f t="shared" si="36"/>
        <v>0.13696172248803828</v>
      </c>
      <c r="AQ36" s="39">
        <f t="shared" si="36"/>
        <v>0.13934426229508198</v>
      </c>
      <c r="AR36" s="39">
        <f t="shared" si="36"/>
        <v>0.16324981017463935</v>
      </c>
      <c r="AS36" s="39">
        <f t="shared" si="36"/>
        <v>0.14433999216607912</v>
      </c>
      <c r="AT36" s="39">
        <f t="shared" si="36"/>
        <v>0.15555555555555556</v>
      </c>
      <c r="AU36" s="39">
        <f t="shared" si="36"/>
        <v>0.18553578190079514</v>
      </c>
      <c r="AV36" s="39">
        <f t="shared" si="36"/>
        <v>0.17076450249711872</v>
      </c>
      <c r="AW36" s="39">
        <f t="shared" si="36"/>
        <v>0.1838105337575115</v>
      </c>
      <c r="AX36" s="39">
        <f t="shared" si="36"/>
        <v>0.19728116710875329</v>
      </c>
      <c r="AY36" s="39">
        <f t="shared" si="36"/>
        <v>0.18134105510813503</v>
      </c>
      <c r="AZ36" s="39">
        <f t="shared" si="36"/>
        <v>0.17818309365135038</v>
      </c>
      <c r="BA36" s="39">
        <f t="shared" si="36"/>
        <v>0.18434055492208284</v>
      </c>
      <c r="BB36" s="39">
        <f t="shared" si="36"/>
        <v>0.18113827070412256</v>
      </c>
      <c r="BC36" s="39">
        <f t="shared" si="36"/>
        <v>0.19240986717267552</v>
      </c>
      <c r="BD36" s="39">
        <f t="shared" si="36"/>
        <v>0.22347949080622348</v>
      </c>
      <c r="BE36" s="39">
        <f t="shared" si="36"/>
        <v>0.19479214253083599</v>
      </c>
      <c r="BF36" s="39">
        <f t="shared" si="36"/>
        <v>0.20732984293193718</v>
      </c>
      <c r="BG36" s="39">
        <f t="shared" si="36"/>
        <v>0.22191686705599448</v>
      </c>
      <c r="BH36" s="39">
        <f t="shared" si="36"/>
        <v>0.2146814404432133</v>
      </c>
      <c r="BI36" s="39">
        <f t="shared" si="36"/>
        <v>0.21943573667711597</v>
      </c>
      <c r="BJ36" s="39">
        <f t="shared" si="36"/>
        <v>0.22071475843812047</v>
      </c>
      <c r="BK36" s="39">
        <f t="shared" si="36"/>
        <v>0.21741366012511781</v>
      </c>
      <c r="BL36" s="39">
        <f t="shared" si="36"/>
        <v>0.23179022337325994</v>
      </c>
      <c r="BM36" s="39">
        <f t="shared" si="36"/>
        <v>0.23551999999999998</v>
      </c>
      <c r="BN36" s="39">
        <f t="shared" si="36"/>
        <v>0.23366591567428385</v>
      </c>
      <c r="BO36" s="39">
        <f t="shared" ref="BO36:CS36" si="37">IFERROR(BO30/BO28,"")</f>
        <v>0.23204960835509139</v>
      </c>
      <c r="BP36" s="39">
        <f t="shared" si="37"/>
        <v>0.24218270999386879</v>
      </c>
      <c r="BQ36" s="39">
        <f t="shared" si="37"/>
        <v>0.23548644338118024</v>
      </c>
      <c r="BR36" s="39">
        <f t="shared" si="37"/>
        <v>0.24197901049475262</v>
      </c>
      <c r="BS36" s="39">
        <f t="shared" si="37"/>
        <v>0.24786845310596836</v>
      </c>
      <c r="BT36" s="39">
        <f t="shared" si="37"/>
        <v>0.24490104245354288</v>
      </c>
      <c r="BU36" s="39">
        <f t="shared" si="37"/>
        <v>0.25979945305378305</v>
      </c>
      <c r="BV36" s="39">
        <f t="shared" si="37"/>
        <v>0.27058472553699287</v>
      </c>
      <c r="BW36" s="39">
        <f t="shared" si="37"/>
        <v>0.25508973005579855</v>
      </c>
      <c r="BX36" s="39">
        <f t="shared" si="37"/>
        <v>0.26029055690072639</v>
      </c>
      <c r="BY36" s="39">
        <f t="shared" si="37"/>
        <v>0.26146926536731635</v>
      </c>
      <c r="BZ36" s="39">
        <f t="shared" si="37"/>
        <v>0.26088266305166441</v>
      </c>
      <c r="CA36" s="39">
        <f t="shared" si="37"/>
        <v>0.27530017152658659</v>
      </c>
      <c r="CB36" s="39">
        <f t="shared" si="37"/>
        <v>0.27324478178368122</v>
      </c>
      <c r="CC36" s="39">
        <f t="shared" si="37"/>
        <v>0.26782872848256911</v>
      </c>
      <c r="CD36" s="39">
        <f t="shared" si="37"/>
        <v>0.27002621613748906</v>
      </c>
      <c r="CE36" s="39">
        <f t="shared" si="37"/>
        <v>0.27638737758433074</v>
      </c>
      <c r="CF36" s="39">
        <f t="shared" si="37"/>
        <v>0.273315515543677</v>
      </c>
      <c r="CG36" s="39">
        <f t="shared" si="37"/>
        <v>0.2717271727172717</v>
      </c>
      <c r="CH36" s="39">
        <f t="shared" si="37"/>
        <v>0.28044955567171981</v>
      </c>
      <c r="CI36" s="39">
        <f t="shared" si="37"/>
        <v>0.27479239585478005</v>
      </c>
      <c r="CJ36" s="39">
        <f t="shared" si="37"/>
        <v>0.24460431654676262</v>
      </c>
      <c r="CK36" s="39">
        <f t="shared" si="37"/>
        <v>0.26147498710675604</v>
      </c>
      <c r="CL36" s="39">
        <f t="shared" si="37"/>
        <v>0.25333689268553122</v>
      </c>
      <c r="CM36" s="27">
        <f t="shared" si="37"/>
        <v>0.24291214454835211</v>
      </c>
      <c r="CN36" s="27">
        <f t="shared" si="37"/>
        <v>0.23187140623127614</v>
      </c>
      <c r="CO36" s="27">
        <f t="shared" si="37"/>
        <v>0.2450951058029088</v>
      </c>
      <c r="CP36" s="27">
        <f t="shared" si="37"/>
        <v>0.26198737412622386</v>
      </c>
      <c r="CQ36" s="27">
        <f t="shared" si="37"/>
        <v>0.26743740124505</v>
      </c>
      <c r="CR36" s="27">
        <f t="shared" si="37"/>
        <v>0.27428389401505382</v>
      </c>
      <c r="CS36" s="27">
        <f t="shared" si="37"/>
        <v>0.28039860512854548</v>
      </c>
      <c r="CT36" s="22"/>
      <c r="CV36" s="40">
        <f>IFERROR(AVERAGE(CO36,CP36,CQ36,CR36,CS36),"n/m")</f>
        <v>0.26584047606355637</v>
      </c>
      <c r="CW36" s="40">
        <f>IFERROR(AVERAGE(BK36,BQ36,BW36,CC36,CI36),"n/m")</f>
        <v>0.25012219157988913</v>
      </c>
      <c r="CX36" s="40">
        <f>IFERROR(AVERAGE(AG36,AM36,AS36,AY36,BE36,BK36,BQ36,BW36,CC36,CI36),"n/m")</f>
        <v>0.20284158514640782</v>
      </c>
      <c r="CY36" s="40">
        <f>IFERROR(AVERAGE(C36,D36,E36,F36,G36,H36,I36,O36,U36,AA36,AG36,AM36,AS36,AY36,BE36,BK36,BQ36,BW36,CC36,CI36),"n/m")</f>
        <v>0.19203598051074131</v>
      </c>
      <c r="DB36" s="12" t="s">
        <v>136</v>
      </c>
      <c r="DC36" s="42">
        <f>DD36+$DC$32</f>
        <v>0.08</v>
      </c>
      <c r="DD36" s="35">
        <v>0.05</v>
      </c>
      <c r="DE36" s="42">
        <f>DD36+$DE$32</f>
        <v>1.0000000000000002E-2</v>
      </c>
    </row>
    <row r="37" spans="2:110" ht="15" customHeight="1" x14ac:dyDescent="0.25">
      <c r="B37" s="25" t="s">
        <v>124</v>
      </c>
      <c r="C37" s="39" t="str">
        <f t="shared" ref="C37:AH37" si="38">IFERROR(C33/C28,"")</f>
        <v/>
      </c>
      <c r="D37" s="39" t="str">
        <f t="shared" si="38"/>
        <v/>
      </c>
      <c r="E37" s="39" t="str">
        <f t="shared" si="38"/>
        <v/>
      </c>
      <c r="F37" s="39" t="str">
        <f t="shared" si="38"/>
        <v/>
      </c>
      <c r="G37" s="39" t="str">
        <f t="shared" si="38"/>
        <v/>
      </c>
      <c r="H37" s="39" t="str">
        <f t="shared" si="38"/>
        <v/>
      </c>
      <c r="I37" s="39" t="str">
        <f t="shared" si="38"/>
        <v/>
      </c>
      <c r="J37" s="39" t="str">
        <f t="shared" si="38"/>
        <v/>
      </c>
      <c r="K37" s="39" t="str">
        <f t="shared" si="38"/>
        <v/>
      </c>
      <c r="L37" s="39" t="str">
        <f t="shared" si="38"/>
        <v/>
      </c>
      <c r="M37" s="39" t="str">
        <f t="shared" si="38"/>
        <v/>
      </c>
      <c r="N37" s="39" t="str">
        <f t="shared" si="38"/>
        <v/>
      </c>
      <c r="O37" s="39" t="str">
        <f t="shared" si="38"/>
        <v/>
      </c>
      <c r="P37" s="39" t="str">
        <f t="shared" si="38"/>
        <v/>
      </c>
      <c r="Q37" s="39" t="str">
        <f t="shared" si="38"/>
        <v/>
      </c>
      <c r="R37" s="39" t="str">
        <f t="shared" si="38"/>
        <v/>
      </c>
      <c r="S37" s="39" t="str">
        <f t="shared" si="38"/>
        <v/>
      </c>
      <c r="T37" s="39" t="str">
        <f t="shared" si="38"/>
        <v/>
      </c>
      <c r="U37" s="39" t="str">
        <f t="shared" si="38"/>
        <v/>
      </c>
      <c r="V37" s="39" t="str">
        <f t="shared" si="38"/>
        <v/>
      </c>
      <c r="W37" s="39" t="str">
        <f t="shared" si="38"/>
        <v/>
      </c>
      <c r="X37" s="39" t="str">
        <f t="shared" si="38"/>
        <v/>
      </c>
      <c r="Y37" s="39" t="str">
        <f t="shared" si="38"/>
        <v/>
      </c>
      <c r="Z37" s="39" t="str">
        <f t="shared" si="38"/>
        <v/>
      </c>
      <c r="AA37" s="39" t="str">
        <f t="shared" si="38"/>
        <v/>
      </c>
      <c r="AB37" s="39" t="str">
        <f t="shared" si="38"/>
        <v/>
      </c>
      <c r="AC37" s="39" t="str">
        <f t="shared" si="38"/>
        <v/>
      </c>
      <c r="AD37" s="39" t="str">
        <f t="shared" si="38"/>
        <v/>
      </c>
      <c r="AE37" s="39" t="str">
        <f t="shared" si="38"/>
        <v/>
      </c>
      <c r="AF37" s="39" t="str">
        <f t="shared" si="38"/>
        <v/>
      </c>
      <c r="AG37" s="39" t="str">
        <f t="shared" si="38"/>
        <v/>
      </c>
      <c r="AH37" s="39" t="str">
        <f t="shared" si="38"/>
        <v/>
      </c>
      <c r="AI37" s="39" t="str">
        <f t="shared" ref="AI37:BN37" si="39">IFERROR(AI33/AI28,"")</f>
        <v/>
      </c>
      <c r="AJ37" s="39" t="str">
        <f t="shared" si="39"/>
        <v/>
      </c>
      <c r="AK37" s="39" t="str">
        <f t="shared" si="39"/>
        <v/>
      </c>
      <c r="AL37" s="39" t="str">
        <f t="shared" si="39"/>
        <v/>
      </c>
      <c r="AM37" s="39" t="str">
        <f t="shared" si="39"/>
        <v/>
      </c>
      <c r="AN37" s="39" t="str">
        <f t="shared" si="39"/>
        <v/>
      </c>
      <c r="AO37" s="39" t="str">
        <f t="shared" si="39"/>
        <v/>
      </c>
      <c r="AP37" s="39" t="str">
        <f t="shared" si="39"/>
        <v/>
      </c>
      <c r="AQ37" s="39" t="str">
        <f t="shared" si="39"/>
        <v/>
      </c>
      <c r="AR37" s="39" t="str">
        <f t="shared" si="39"/>
        <v/>
      </c>
      <c r="AS37" s="39" t="str">
        <f t="shared" si="39"/>
        <v/>
      </c>
      <c r="AT37" s="39" t="str">
        <f t="shared" si="39"/>
        <v/>
      </c>
      <c r="AU37" s="39" t="str">
        <f t="shared" si="39"/>
        <v/>
      </c>
      <c r="AV37" s="39" t="str">
        <f t="shared" si="39"/>
        <v/>
      </c>
      <c r="AW37" s="39" t="str">
        <f t="shared" si="39"/>
        <v/>
      </c>
      <c r="AX37" s="39" t="str">
        <f t="shared" si="39"/>
        <v/>
      </c>
      <c r="AY37" s="39" t="str">
        <f t="shared" si="39"/>
        <v/>
      </c>
      <c r="AZ37" s="39">
        <f t="shared" si="39"/>
        <v>0.19501929147667482</v>
      </c>
      <c r="BA37" s="39">
        <f t="shared" si="39"/>
        <v>0.20372481946028126</v>
      </c>
      <c r="BB37" s="39">
        <f t="shared" si="39"/>
        <v>0.19919737322145198</v>
      </c>
      <c r="BC37" s="39">
        <f t="shared" si="39"/>
        <v>0.21176470588235297</v>
      </c>
      <c r="BD37" s="39">
        <f t="shared" si="39"/>
        <v>0.24045261669024046</v>
      </c>
      <c r="BE37" s="39">
        <f t="shared" si="39"/>
        <v>0.21288259479214253</v>
      </c>
      <c r="BF37" s="39">
        <f t="shared" si="39"/>
        <v>0.22478184991273997</v>
      </c>
      <c r="BG37" s="39">
        <f t="shared" si="39"/>
        <v>0.23978014428031602</v>
      </c>
      <c r="BH37" s="39">
        <f t="shared" si="39"/>
        <v>0.23234072022160662</v>
      </c>
      <c r="BI37" s="39">
        <f t="shared" si="39"/>
        <v>0.23685127133402994</v>
      </c>
      <c r="BJ37" s="39">
        <f t="shared" si="39"/>
        <v>0.23692918596955662</v>
      </c>
      <c r="BK37" s="39">
        <f t="shared" si="39"/>
        <v>0.23463878652840858</v>
      </c>
      <c r="BL37" s="39">
        <f t="shared" si="39"/>
        <v>0.24765296212366464</v>
      </c>
      <c r="BM37" s="39">
        <f t="shared" si="39"/>
        <v>0.25056</v>
      </c>
      <c r="BN37" s="39">
        <f t="shared" si="39"/>
        <v>0.24911490183456708</v>
      </c>
      <c r="BO37" s="39">
        <f t="shared" ref="BO37:CL37" si="40">IFERROR(BO33/BO28,"")</f>
        <v>0.24510443864229764</v>
      </c>
      <c r="BP37" s="39">
        <f t="shared" si="40"/>
        <v>0.25321888412017168</v>
      </c>
      <c r="BQ37" s="39">
        <f t="shared" si="40"/>
        <v>0.24920255183413079</v>
      </c>
      <c r="BR37" s="39">
        <f t="shared" si="40"/>
        <v>0.25307346326836583</v>
      </c>
      <c r="BS37" s="39">
        <f t="shared" si="40"/>
        <v>0.25852618757612672</v>
      </c>
      <c r="BT37" s="39">
        <f t="shared" si="40"/>
        <v>0.2557788185526515</v>
      </c>
      <c r="BU37" s="39">
        <f t="shared" si="40"/>
        <v>0.27043451838347005</v>
      </c>
      <c r="BV37" s="39">
        <f t="shared" si="40"/>
        <v>0.28102625298329359</v>
      </c>
      <c r="BW37" s="39">
        <f t="shared" si="40"/>
        <v>0.26579701402503392</v>
      </c>
      <c r="BX37" s="39">
        <f t="shared" si="40"/>
        <v>0.27058111380145283</v>
      </c>
      <c r="BY37" s="39">
        <f t="shared" si="40"/>
        <v>0.2719640179910045</v>
      </c>
      <c r="BZ37" s="39">
        <f t="shared" si="40"/>
        <v>0.27127579454737161</v>
      </c>
      <c r="CA37" s="39">
        <f t="shared" si="40"/>
        <v>0.28530588907947396</v>
      </c>
      <c r="CB37" s="39">
        <f t="shared" si="40"/>
        <v>0.29059365681756577</v>
      </c>
      <c r="CC37" s="39">
        <f t="shared" si="40"/>
        <v>0.28005207579921887</v>
      </c>
      <c r="CD37" s="39">
        <f t="shared" si="40"/>
        <v>0.27934750946693854</v>
      </c>
      <c r="CE37" s="39">
        <f t="shared" si="40"/>
        <v>0.28536452665941237</v>
      </c>
      <c r="CF37" s="39">
        <f t="shared" si="40"/>
        <v>0.28245885497256995</v>
      </c>
      <c r="CG37" s="39">
        <f t="shared" si="40"/>
        <v>0.28080308030803075</v>
      </c>
      <c r="CH37" s="39">
        <f t="shared" si="40"/>
        <v>0.28855201254573964</v>
      </c>
      <c r="CI37" s="39">
        <f t="shared" si="40"/>
        <v>0.28364559741953194</v>
      </c>
      <c r="CJ37" s="39">
        <f t="shared" si="40"/>
        <v>0.25428887659103488</v>
      </c>
      <c r="CK37" s="39">
        <f t="shared" si="40"/>
        <v>0.27024239298607533</v>
      </c>
      <c r="CL37" s="39">
        <f t="shared" si="40"/>
        <v>0.26254671649759742</v>
      </c>
      <c r="CM37" s="27">
        <f>CG37+$CL$37-$CF$37+CM102</f>
        <v>0.25181134313791886</v>
      </c>
      <c r="CN37" s="27">
        <f>CH37+$CL$37-$CF$37+CN102</f>
        <v>0.24032866866506197</v>
      </c>
      <c r="CO37" s="27">
        <f>IFERROR(CO33/CO28,"")</f>
        <v>0.25402967545640132</v>
      </c>
      <c r="CP37" s="27">
        <f>CHOOSE(MATCH($CT$2,{"Bull","Base","Bear"},0),$DC$51,$DD$51,$DE$51)</f>
        <v>0.27</v>
      </c>
      <c r="CQ37" s="27">
        <f>CHOOSE(MATCH($CT$2,{"Bull","Base","Bear"},0),$DC$52,$DD$52,$DE$52)</f>
        <v>0.27500000000000002</v>
      </c>
      <c r="CR37" s="27">
        <f>CHOOSE(MATCH($CT$2,{"Bull","Base","Bear"},0),$DC$53,$DD$53,$DE$53)</f>
        <v>0.28000000000000003</v>
      </c>
      <c r="CS37" s="27">
        <f>CHOOSE(MATCH($CT$2,{"Bull","Base","Bear"},0),$DC$54,$DD$54,$DE$54)</f>
        <v>0.28499999999999998</v>
      </c>
      <c r="CT37" s="22" t="s">
        <v>145</v>
      </c>
      <c r="CV37" s="40">
        <f>IFERROR(AVERAGE(CO37,CP37,CQ37,CR37,CS37),"n/m")</f>
        <v>0.27280593509128026</v>
      </c>
      <c r="CW37" s="40">
        <f>IFERROR(AVERAGE(BK37,BQ37,BW37,CC37,CI37),"n/m")</f>
        <v>0.26266720512126485</v>
      </c>
      <c r="CX37" s="40">
        <f>IFERROR(AVERAGE(AG37,AM37,AS37,AY37,BE37,BK37,BQ37,BW37,CC37,CI37),"n/m")</f>
        <v>0.25436977006641109</v>
      </c>
      <c r="CY37" s="40">
        <f>IFERROR(AVERAGE(C37,D37,E37,F37,G37,H37,I37,O37,U37,AA37,AG37,AM37,AS37,AY37,BE37,BK37,BQ37,BW37,CC37,CI37),"n/m")</f>
        <v>0.25436977006641109</v>
      </c>
    </row>
    <row r="38" spans="2:110" ht="15" customHeight="1" x14ac:dyDescent="0.25">
      <c r="B38" s="25" t="s">
        <v>129</v>
      </c>
      <c r="C38" s="26"/>
      <c r="D38" s="26" t="str">
        <f t="shared" ref="D38:I38" si="41">IFERROR(D30/C30-1,"")</f>
        <v/>
      </c>
      <c r="E38" s="26" t="str">
        <f t="shared" si="41"/>
        <v/>
      </c>
      <c r="F38" s="26">
        <f t="shared" si="41"/>
        <v>-7.191448007774548E-2</v>
      </c>
      <c r="G38" s="26">
        <f t="shared" si="41"/>
        <v>0.1926701570680629</v>
      </c>
      <c r="H38" s="26">
        <f t="shared" si="41"/>
        <v>0.13520632133450405</v>
      </c>
      <c r="I38" s="26">
        <f t="shared" si="41"/>
        <v>0.12915699922660462</v>
      </c>
      <c r="J38" s="26"/>
      <c r="K38" s="26"/>
      <c r="L38" s="26"/>
      <c r="M38" s="26"/>
      <c r="N38" s="26"/>
      <c r="O38" s="26">
        <f t="shared" ref="O38:AT38" si="42">IFERROR(O30/I30-1,"")</f>
        <v>0.1095890410958904</v>
      </c>
      <c r="P38" s="26">
        <f t="shared" si="42"/>
        <v>2.4590163934426146E-2</v>
      </c>
      <c r="Q38" s="26">
        <f t="shared" si="42"/>
        <v>6.5693430656934115E-2</v>
      </c>
      <c r="R38" s="26">
        <f t="shared" si="42"/>
        <v>4.6332046332046239E-2</v>
      </c>
      <c r="S38" s="26">
        <f t="shared" si="42"/>
        <v>0.17543859649122817</v>
      </c>
      <c r="T38" s="26">
        <f t="shared" si="42"/>
        <v>0.20270270270270263</v>
      </c>
      <c r="U38" s="26">
        <f t="shared" si="42"/>
        <v>0.12098765432098757</v>
      </c>
      <c r="V38" s="26">
        <f t="shared" si="42"/>
        <v>0.1226666666666667</v>
      </c>
      <c r="W38" s="26">
        <f t="shared" si="42"/>
        <v>4.337899543378998E-2</v>
      </c>
      <c r="X38" s="26">
        <f t="shared" si="42"/>
        <v>7.9950799507995329E-2</v>
      </c>
      <c r="Y38" s="26">
        <f t="shared" si="42"/>
        <v>-0.1769722814498933</v>
      </c>
      <c r="Z38" s="26">
        <f t="shared" si="42"/>
        <v>-0.16479400749063666</v>
      </c>
      <c r="AA38" s="26">
        <f t="shared" si="42"/>
        <v>-5.837004405286339E-2</v>
      </c>
      <c r="AB38" s="26">
        <f t="shared" si="42"/>
        <v>-0.25415676959619959</v>
      </c>
      <c r="AC38" s="26">
        <f t="shared" si="42"/>
        <v>-0.56017505470459517</v>
      </c>
      <c r="AD38" s="26">
        <f t="shared" si="42"/>
        <v>-0.4134396355353076</v>
      </c>
      <c r="AE38" s="26">
        <f t="shared" si="42"/>
        <v>-0.272020725388601</v>
      </c>
      <c r="AF38" s="26">
        <f t="shared" si="42"/>
        <v>-0.32286995515695072</v>
      </c>
      <c r="AG38" s="26">
        <f t="shared" si="42"/>
        <v>-0.35789473684210527</v>
      </c>
      <c r="AH38" s="26">
        <f t="shared" si="42"/>
        <v>-3.8216560509554132E-2</v>
      </c>
      <c r="AI38" s="26">
        <f t="shared" si="42"/>
        <v>0.51741293532338295</v>
      </c>
      <c r="AJ38" s="26">
        <f t="shared" si="42"/>
        <v>0.17864077669902922</v>
      </c>
      <c r="AK38" s="26">
        <f t="shared" si="42"/>
        <v>0.23131672597864772</v>
      </c>
      <c r="AL38" s="26">
        <f t="shared" si="42"/>
        <v>1.655629139072845E-2</v>
      </c>
      <c r="AM38" s="26">
        <f t="shared" si="42"/>
        <v>0.14754098360655732</v>
      </c>
      <c r="AN38" s="26">
        <f t="shared" si="42"/>
        <v>-7.9470198675496651E-2</v>
      </c>
      <c r="AO38" s="26">
        <f t="shared" si="42"/>
        <v>0.34098360655737703</v>
      </c>
      <c r="AP38" s="26">
        <f t="shared" si="42"/>
        <v>0.13179571663920919</v>
      </c>
      <c r="AQ38" s="26">
        <f t="shared" si="42"/>
        <v>3.1791907514450823E-2</v>
      </c>
      <c r="AR38" s="26">
        <f t="shared" si="42"/>
        <v>0.40065146579804556</v>
      </c>
      <c r="AS38" s="26">
        <f t="shared" si="42"/>
        <v>0.1698412698412699</v>
      </c>
      <c r="AT38" s="26">
        <f t="shared" si="42"/>
        <v>0.43525179856115104</v>
      </c>
      <c r="AU38" s="26">
        <f t="shared" ref="AU38:BZ38" si="43">IFERROR(AU30/AO30-1,"")</f>
        <v>0.19804400977995118</v>
      </c>
      <c r="AV38" s="26">
        <f t="shared" si="43"/>
        <v>0.29403202328966516</v>
      </c>
      <c r="AW38" s="26">
        <f t="shared" si="43"/>
        <v>0.45658263305322122</v>
      </c>
      <c r="AX38" s="26">
        <f t="shared" si="43"/>
        <v>0.38372093023255816</v>
      </c>
      <c r="AY38" s="26">
        <f t="shared" si="43"/>
        <v>0.35956580732700139</v>
      </c>
      <c r="AZ38" s="26">
        <f t="shared" si="43"/>
        <v>0.27318295739348364</v>
      </c>
      <c r="BA38" s="26">
        <f t="shared" si="43"/>
        <v>-1.0204081632653073E-2</v>
      </c>
      <c r="BB38" s="26">
        <f t="shared" si="43"/>
        <v>0.11698537682789634</v>
      </c>
      <c r="BC38" s="26">
        <f t="shared" si="43"/>
        <v>-2.4999999999999911E-2</v>
      </c>
      <c r="BD38" s="26">
        <f t="shared" si="43"/>
        <v>6.2184873949579833E-2</v>
      </c>
      <c r="BE38" s="26">
        <f t="shared" si="43"/>
        <v>6.3872255489021867E-2</v>
      </c>
      <c r="BF38" s="26">
        <f t="shared" si="43"/>
        <v>0.16929133858267731</v>
      </c>
      <c r="BG38" s="26">
        <f t="shared" si="43"/>
        <v>0.33195876288659787</v>
      </c>
      <c r="BH38" s="26">
        <f t="shared" si="43"/>
        <v>0.24874118831822756</v>
      </c>
      <c r="BI38" s="26">
        <f t="shared" si="43"/>
        <v>0.24260355029585789</v>
      </c>
      <c r="BJ38" s="26">
        <f t="shared" si="43"/>
        <v>5.5379746835443111E-2</v>
      </c>
      <c r="BK38" s="26">
        <f t="shared" si="43"/>
        <v>0.18996247654784248</v>
      </c>
      <c r="BL38" s="26">
        <f t="shared" si="43"/>
        <v>0.20538720538720523</v>
      </c>
      <c r="BM38" s="26">
        <f t="shared" si="43"/>
        <v>0.13931888544891646</v>
      </c>
      <c r="BN38" s="26">
        <f t="shared" si="43"/>
        <v>0.17096774193548381</v>
      </c>
      <c r="BO38" s="26">
        <f t="shared" si="43"/>
        <v>0.12857142857142856</v>
      </c>
      <c r="BP38" s="26">
        <f t="shared" si="43"/>
        <v>0.18440779610194902</v>
      </c>
      <c r="BQ38" s="26">
        <f t="shared" si="43"/>
        <v>0.16397319668900279</v>
      </c>
      <c r="BR38" s="26">
        <f t="shared" si="43"/>
        <v>0.12709497206703912</v>
      </c>
      <c r="BS38" s="26">
        <f t="shared" si="43"/>
        <v>0.10597826086956541</v>
      </c>
      <c r="BT38" s="26">
        <f t="shared" si="43"/>
        <v>0.11639118457300301</v>
      </c>
      <c r="BU38" s="26">
        <f t="shared" si="43"/>
        <v>0.20253164556962044</v>
      </c>
      <c r="BV38" s="26">
        <f t="shared" si="43"/>
        <v>0.14810126582278493</v>
      </c>
      <c r="BW38" s="26">
        <f t="shared" si="43"/>
        <v>0.14561462919065349</v>
      </c>
      <c r="BX38" s="26">
        <f t="shared" si="43"/>
        <v>6.5675340768277524E-2</v>
      </c>
      <c r="BY38" s="26">
        <f t="shared" si="43"/>
        <v>7.1253071253071232E-2</v>
      </c>
      <c r="BZ38" s="26">
        <f t="shared" si="43"/>
        <v>6.8476249228870856E-2</v>
      </c>
      <c r="CA38" s="26">
        <f t="shared" ref="CA38:CO38" si="44">IFERROR(CA30/BU30-1,"")</f>
        <v>0.12631578947368416</v>
      </c>
      <c r="CB38" s="26">
        <f t="shared" si="44"/>
        <v>0.11135611907386989</v>
      </c>
      <c r="CC38" s="26">
        <f t="shared" si="44"/>
        <v>9.4590600059119012E-2</v>
      </c>
      <c r="CD38" s="26">
        <f t="shared" si="44"/>
        <v>7.7906976744186007E-2</v>
      </c>
      <c r="CE38" s="26">
        <f t="shared" si="44"/>
        <v>0.16513761467889898</v>
      </c>
      <c r="CF38" s="26">
        <f t="shared" si="44"/>
        <v>0.12182448036951521</v>
      </c>
      <c r="CG38" s="26">
        <f t="shared" si="44"/>
        <v>2.5960539979231534E-2</v>
      </c>
      <c r="CH38" s="26">
        <f t="shared" si="44"/>
        <v>6.4484126984126977E-2</v>
      </c>
      <c r="CI38" s="26">
        <f t="shared" si="44"/>
        <v>8.1285444234404425E-2</v>
      </c>
      <c r="CJ38" s="26">
        <f t="shared" si="44"/>
        <v>-4.6386192017259908E-2</v>
      </c>
      <c r="CK38" s="26">
        <f t="shared" si="44"/>
        <v>-1.9685039370077595E-3</v>
      </c>
      <c r="CL38" s="26">
        <f t="shared" si="44"/>
        <v>-2.3160061760164719E-2</v>
      </c>
      <c r="CM38" s="27">
        <f t="shared" si="44"/>
        <v>-5.6920162106667171E-2</v>
      </c>
      <c r="CN38" s="27">
        <f t="shared" si="44"/>
        <v>-0.12778260920840034</v>
      </c>
      <c r="CO38" s="27">
        <f t="shared" si="44"/>
        <v>-5.9527437522977178E-2</v>
      </c>
      <c r="CP38" s="27">
        <f>IFERROR(CP30/CO30-1,"")</f>
        <v>0.11702273721475009</v>
      </c>
      <c r="CQ38" s="27">
        <f>IFERROR(CQ30/CP30-1,"")</f>
        <v>6.6738751182831235E-2</v>
      </c>
      <c r="CR38" s="27">
        <f>IFERROR(CR30/CQ30-1,"")</f>
        <v>7.1752372373295348E-2</v>
      </c>
      <c r="CS38" s="27">
        <f>IFERROR(CS30/CR30-1,"")</f>
        <v>6.8296566998746533E-2</v>
      </c>
      <c r="CT38" s="22"/>
      <c r="CV38" s="6"/>
      <c r="CW38" s="6"/>
      <c r="CX38" s="6"/>
      <c r="CY38" s="6"/>
      <c r="DB38" s="17" t="s">
        <v>146</v>
      </c>
      <c r="DC38" s="41">
        <v>0.03</v>
      </c>
      <c r="DD38" s="24" t="s">
        <v>127</v>
      </c>
      <c r="DE38" s="41">
        <v>-0.04</v>
      </c>
      <c r="DF38" s="15" t="s">
        <v>147</v>
      </c>
    </row>
    <row r="39" spans="2:110" ht="15" customHeight="1" x14ac:dyDescent="0.25">
      <c r="B39" s="25" t="s">
        <v>131</v>
      </c>
      <c r="C39" s="39"/>
      <c r="D39" s="39" t="str">
        <f t="shared" ref="D39:I39" si="45">IFERROR((D33-C33)/(D28-C28),"")</f>
        <v/>
      </c>
      <c r="E39" s="39" t="str">
        <f t="shared" si="45"/>
        <v/>
      </c>
      <c r="F39" s="39" t="str">
        <f t="shared" si="45"/>
        <v/>
      </c>
      <c r="G39" s="39" t="str">
        <f t="shared" si="45"/>
        <v/>
      </c>
      <c r="H39" s="39" t="str">
        <f t="shared" si="45"/>
        <v/>
      </c>
      <c r="I39" s="39" t="str">
        <f t="shared" si="45"/>
        <v/>
      </c>
      <c r="J39" s="39"/>
      <c r="K39" s="39"/>
      <c r="L39" s="39"/>
      <c r="M39" s="39"/>
      <c r="N39" s="39"/>
      <c r="O39" s="39" t="str">
        <f t="shared" ref="O39:AT39" si="46">IFERROR((O33-I33)/(O28-I28),"")</f>
        <v/>
      </c>
      <c r="P39" s="39" t="str">
        <f t="shared" si="46"/>
        <v/>
      </c>
      <c r="Q39" s="39" t="str">
        <f t="shared" si="46"/>
        <v/>
      </c>
      <c r="R39" s="39" t="str">
        <f t="shared" si="46"/>
        <v/>
      </c>
      <c r="S39" s="39" t="str">
        <f t="shared" si="46"/>
        <v/>
      </c>
      <c r="T39" s="39" t="str">
        <f t="shared" si="46"/>
        <v/>
      </c>
      <c r="U39" s="39" t="str">
        <f t="shared" si="46"/>
        <v/>
      </c>
      <c r="V39" s="39" t="str">
        <f t="shared" si="46"/>
        <v/>
      </c>
      <c r="W39" s="39" t="str">
        <f t="shared" si="46"/>
        <v/>
      </c>
      <c r="X39" s="39" t="str">
        <f t="shared" si="46"/>
        <v/>
      </c>
      <c r="Y39" s="39" t="str">
        <f t="shared" si="46"/>
        <v/>
      </c>
      <c r="Z39" s="39" t="str">
        <f t="shared" si="46"/>
        <v/>
      </c>
      <c r="AA39" s="39" t="str">
        <f t="shared" si="46"/>
        <v/>
      </c>
      <c r="AB39" s="39" t="str">
        <f t="shared" si="46"/>
        <v/>
      </c>
      <c r="AC39" s="39" t="str">
        <f t="shared" si="46"/>
        <v/>
      </c>
      <c r="AD39" s="39" t="str">
        <f t="shared" si="46"/>
        <v/>
      </c>
      <c r="AE39" s="39" t="str">
        <f t="shared" si="46"/>
        <v/>
      </c>
      <c r="AF39" s="39" t="str">
        <f t="shared" si="46"/>
        <v/>
      </c>
      <c r="AG39" s="39" t="str">
        <f t="shared" si="46"/>
        <v/>
      </c>
      <c r="AH39" s="39" t="str">
        <f t="shared" si="46"/>
        <v/>
      </c>
      <c r="AI39" s="39" t="str">
        <f t="shared" si="46"/>
        <v/>
      </c>
      <c r="AJ39" s="39" t="str">
        <f t="shared" si="46"/>
        <v/>
      </c>
      <c r="AK39" s="39" t="str">
        <f t="shared" si="46"/>
        <v/>
      </c>
      <c r="AL39" s="39" t="str">
        <f t="shared" si="46"/>
        <v/>
      </c>
      <c r="AM39" s="39" t="str">
        <f t="shared" si="46"/>
        <v/>
      </c>
      <c r="AN39" s="39" t="str">
        <f t="shared" si="46"/>
        <v/>
      </c>
      <c r="AO39" s="39" t="str">
        <f t="shared" si="46"/>
        <v/>
      </c>
      <c r="AP39" s="39" t="str">
        <f t="shared" si="46"/>
        <v/>
      </c>
      <c r="AQ39" s="39" t="str">
        <f t="shared" si="46"/>
        <v/>
      </c>
      <c r="AR39" s="39" t="str">
        <f t="shared" si="46"/>
        <v/>
      </c>
      <c r="AS39" s="39" t="str">
        <f t="shared" si="46"/>
        <v/>
      </c>
      <c r="AT39" s="39" t="str">
        <f t="shared" si="46"/>
        <v/>
      </c>
      <c r="AU39" s="39" t="str">
        <f t="shared" ref="AU39:BZ39" si="47">IFERROR((AU33-AO33)/(AU28-AO28),"")</f>
        <v/>
      </c>
      <c r="AV39" s="39" t="str">
        <f t="shared" si="47"/>
        <v/>
      </c>
      <c r="AW39" s="39" t="str">
        <f t="shared" si="47"/>
        <v/>
      </c>
      <c r="AX39" s="39" t="str">
        <f t="shared" si="47"/>
        <v/>
      </c>
      <c r="AY39" s="39" t="str">
        <f t="shared" si="47"/>
        <v/>
      </c>
      <c r="AZ39" s="39" t="str">
        <f t="shared" si="47"/>
        <v/>
      </c>
      <c r="BA39" s="39" t="str">
        <f t="shared" si="47"/>
        <v/>
      </c>
      <c r="BB39" s="39" t="str">
        <f t="shared" si="47"/>
        <v/>
      </c>
      <c r="BC39" s="39" t="str">
        <f t="shared" si="47"/>
        <v/>
      </c>
      <c r="BD39" s="39" t="str">
        <f t="shared" si="47"/>
        <v/>
      </c>
      <c r="BE39" s="39" t="str">
        <f t="shared" si="47"/>
        <v/>
      </c>
      <c r="BF39" s="39">
        <f t="shared" si="47"/>
        <v>6.2857142857143957</v>
      </c>
      <c r="BG39" s="39">
        <f t="shared" si="47"/>
        <v>0.5785714285714284</v>
      </c>
      <c r="BH39" s="39">
        <f t="shared" si="47"/>
        <v>0.85034013605442238</v>
      </c>
      <c r="BI39" s="39">
        <f t="shared" si="47"/>
        <v>0.51694915254237217</v>
      </c>
      <c r="BJ39" s="39">
        <f t="shared" si="47"/>
        <v>0.185567010309279</v>
      </c>
      <c r="BK39" s="39">
        <f t="shared" si="47"/>
        <v>0.56353591160220939</v>
      </c>
      <c r="BL39" s="39">
        <f t="shared" si="47"/>
        <v>0.54017857142857173</v>
      </c>
      <c r="BM39" s="39">
        <f t="shared" si="47"/>
        <v>0.39719626168224342</v>
      </c>
      <c r="BN39" s="39">
        <f t="shared" si="47"/>
        <v>0.47031963470319671</v>
      </c>
      <c r="BO39" s="39">
        <f t="shared" si="47"/>
        <v>0.36787564766839437</v>
      </c>
      <c r="BP39" s="39">
        <f t="shared" si="47"/>
        <v>0.45833333333333276</v>
      </c>
      <c r="BQ39" s="39">
        <f t="shared" si="47"/>
        <v>0.44431687715269841</v>
      </c>
      <c r="BR39" s="39">
        <f t="shared" si="47"/>
        <v>0.32113821138211374</v>
      </c>
      <c r="BS39" s="39">
        <f t="shared" si="47"/>
        <v>0.41509433962264264</v>
      </c>
      <c r="BT39" s="39">
        <f t="shared" si="47"/>
        <v>0.35802469135802539</v>
      </c>
      <c r="BU39" s="39">
        <f t="shared" si="47"/>
        <v>0.61233480176211352</v>
      </c>
      <c r="BV39" s="39">
        <f t="shared" si="47"/>
        <v>1.2888888888888899</v>
      </c>
      <c r="BW39" s="39">
        <f t="shared" si="47"/>
        <v>0.55401662049861466</v>
      </c>
      <c r="BX39" s="39">
        <f t="shared" si="47"/>
        <v>-1.6129032258064397</v>
      </c>
      <c r="BY39" s="39">
        <f t="shared" si="47"/>
        <v>1.1372549019607787</v>
      </c>
      <c r="BZ39" s="39">
        <f t="shared" si="47"/>
        <v>5.3999999999999915</v>
      </c>
      <c r="CA39" s="39">
        <f t="shared" ref="CA39:CO39" si="48">IFERROR((CA33-BU33)/(CA28-BU28),"")</f>
        <v>0.52173913043478271</v>
      </c>
      <c r="CB39" s="39">
        <f t="shared" si="48"/>
        <v>0.38575667655786361</v>
      </c>
      <c r="CC39" s="39">
        <f t="shared" si="48"/>
        <v>0.61524822695035586</v>
      </c>
      <c r="CD39" s="39">
        <f t="shared" si="48"/>
        <v>0.50387596899224674</v>
      </c>
      <c r="CE39" s="39">
        <f t="shared" si="48"/>
        <v>0.41642228739002873</v>
      </c>
      <c r="CF39" s="39">
        <f t="shared" si="48"/>
        <v>0.44042553191489292</v>
      </c>
      <c r="CG39" s="39">
        <f t="shared" si="48"/>
        <v>0.16666666666666632</v>
      </c>
      <c r="CH39" s="39">
        <f t="shared" si="48"/>
        <v>0.23357664233576481</v>
      </c>
      <c r="CI39" s="39">
        <f t="shared" si="48"/>
        <v>0.35033557046979819</v>
      </c>
      <c r="CJ39" s="39">
        <f t="shared" si="48"/>
        <v>-0.22099447513812195</v>
      </c>
      <c r="CK39" s="39">
        <f t="shared" si="48"/>
        <v>-4.9504950495039687E-3</v>
      </c>
      <c r="CL39" s="39">
        <f t="shared" si="48"/>
        <v>-0.10704960835509136</v>
      </c>
      <c r="CM39" s="27">
        <f t="shared" si="48"/>
        <v>-0.27578086397758261</v>
      </c>
      <c r="CN39" s="27">
        <f t="shared" si="48"/>
        <v>-0.63724069819321272</v>
      </c>
      <c r="CO39" s="27">
        <f t="shared" si="48"/>
        <v>-0.29011827216748481</v>
      </c>
      <c r="CP39" s="27">
        <f>IFERROR((CP33-CO33)/(CP28-CO28),"")</f>
        <v>0.62489610096886128</v>
      </c>
      <c r="CQ39" s="27">
        <f>IFERROR((CQ33-CP33)/(CQ28-CP28),"")</f>
        <v>0.3861111111111114</v>
      </c>
      <c r="CR39" s="27">
        <f>IFERROR((CR33-CQ33)/(CR28-CQ28),"")</f>
        <v>0.39111111111111174</v>
      </c>
      <c r="CS39" s="27">
        <f>IFERROR((CS33-CR33)/(CS28-CR28),"")</f>
        <v>0.39611111111110936</v>
      </c>
      <c r="CT39" s="22"/>
      <c r="CV39" s="6"/>
      <c r="CW39" s="6"/>
      <c r="CX39" s="6"/>
      <c r="CY39" s="6"/>
      <c r="DB39" s="12" t="s">
        <v>130</v>
      </c>
      <c r="DC39" s="42">
        <f>DD39+$DC$38</f>
        <v>7.0000000000000007E-2</v>
      </c>
      <c r="DD39" s="35">
        <v>0.04</v>
      </c>
      <c r="DE39" s="42">
        <f>DD39+$DE$38</f>
        <v>0</v>
      </c>
    </row>
    <row r="40" spans="2:110" ht="15" customHeight="1" x14ac:dyDescent="0.25">
      <c r="B40" s="36" t="s">
        <v>148</v>
      </c>
      <c r="C40" s="29"/>
      <c r="D40" s="29"/>
      <c r="E40" s="30">
        <v>320.89999999999998</v>
      </c>
      <c r="F40" s="30">
        <v>335.1</v>
      </c>
      <c r="G40" s="30">
        <v>353.4</v>
      </c>
      <c r="H40" s="30">
        <v>404.4</v>
      </c>
      <c r="I40" s="30">
        <v>473.7</v>
      </c>
      <c r="J40" s="30">
        <v>127.1</v>
      </c>
      <c r="K40" s="30">
        <v>145.6</v>
      </c>
      <c r="L40" s="29">
        <f>J40+K40</f>
        <v>272.7</v>
      </c>
      <c r="M40" s="30">
        <v>151.6</v>
      </c>
      <c r="N40" s="30">
        <v>156.1</v>
      </c>
      <c r="O40" s="30">
        <v>580.4</v>
      </c>
      <c r="P40" s="30">
        <v>150.6</v>
      </c>
      <c r="Q40" s="30">
        <v>160.1</v>
      </c>
      <c r="R40" s="29">
        <f>P40+Q40</f>
        <v>310.7</v>
      </c>
      <c r="S40" s="30">
        <v>167.4</v>
      </c>
      <c r="T40" s="30">
        <v>176.7</v>
      </c>
      <c r="U40" s="30">
        <v>654.79999999999995</v>
      </c>
      <c r="V40" s="30">
        <v>159.5</v>
      </c>
      <c r="W40" s="30">
        <v>161.80000000000001</v>
      </c>
      <c r="X40" s="29">
        <f>V40+W40</f>
        <v>321.3</v>
      </c>
      <c r="Y40" s="30">
        <v>136.5</v>
      </c>
      <c r="Z40" s="30">
        <v>156.19999999999999</v>
      </c>
      <c r="AA40" s="30">
        <v>614</v>
      </c>
      <c r="AB40" s="30">
        <v>112.9</v>
      </c>
      <c r="AC40" s="30">
        <v>103.8</v>
      </c>
      <c r="AD40" s="29">
        <f>AB40+AC40</f>
        <v>216.7</v>
      </c>
      <c r="AE40" s="30">
        <v>97.6</v>
      </c>
      <c r="AF40" s="30">
        <v>104.4</v>
      </c>
      <c r="AG40" s="30">
        <v>418.7</v>
      </c>
      <c r="AH40" s="29"/>
      <c r="AI40" s="29"/>
      <c r="AJ40" s="29"/>
      <c r="AK40" s="29"/>
      <c r="AL40" s="29"/>
      <c r="AM40" s="30">
        <v>430.7</v>
      </c>
      <c r="AN40" s="29"/>
      <c r="AO40" s="29"/>
      <c r="AP40" s="29"/>
      <c r="AQ40" s="29"/>
      <c r="AR40" s="29"/>
      <c r="AS40" s="30">
        <v>433</v>
      </c>
      <c r="AT40" s="29"/>
      <c r="AU40" s="29"/>
      <c r="AV40" s="29"/>
      <c r="AW40" s="29"/>
      <c r="AX40" s="29"/>
      <c r="AY40" s="30">
        <v>450.2</v>
      </c>
      <c r="AZ40" s="29"/>
      <c r="BA40" s="29"/>
      <c r="BB40" s="29"/>
      <c r="BC40" s="29"/>
      <c r="BD40" s="29"/>
      <c r="BE40" s="30">
        <v>426.3</v>
      </c>
      <c r="BF40" s="30">
        <v>102</v>
      </c>
      <c r="BG40" s="30">
        <v>104.9</v>
      </c>
      <c r="BH40" s="29">
        <f>BF40+BG40</f>
        <v>206.9</v>
      </c>
      <c r="BI40" s="30">
        <v>104.7</v>
      </c>
      <c r="BJ40" s="30">
        <v>112.5</v>
      </c>
      <c r="BK40" s="30">
        <v>424.1</v>
      </c>
      <c r="BL40" s="30">
        <v>111.9</v>
      </c>
      <c r="BM40" s="30">
        <v>115.3</v>
      </c>
      <c r="BN40" s="29">
        <f>BL40+BM40</f>
        <v>227.2</v>
      </c>
      <c r="BO40" s="30">
        <v>110</v>
      </c>
      <c r="BP40" s="30">
        <v>123.5</v>
      </c>
      <c r="BQ40" s="30">
        <v>460.7</v>
      </c>
      <c r="BR40" s="30">
        <v>128.19999999999999</v>
      </c>
      <c r="BS40" s="30">
        <v>127.4</v>
      </c>
      <c r="BT40" s="29">
        <f>BR40+BS40</f>
        <v>255.6</v>
      </c>
      <c r="BU40" s="30">
        <v>132.5</v>
      </c>
      <c r="BV40" s="30">
        <v>141.6</v>
      </c>
      <c r="BW40" s="30">
        <v>529.70000000000005</v>
      </c>
      <c r="BX40" s="30">
        <v>147.80000000000001</v>
      </c>
      <c r="BY40" s="30">
        <v>147.80000000000001</v>
      </c>
      <c r="BZ40" s="29">
        <f>BX40+BY40</f>
        <v>295.60000000000002</v>
      </c>
      <c r="CA40" s="30">
        <v>164.4</v>
      </c>
      <c r="CB40" s="30">
        <v>171.5</v>
      </c>
      <c r="CC40" s="30">
        <v>631.5</v>
      </c>
      <c r="CD40" s="30">
        <v>161.80000000000001</v>
      </c>
      <c r="CE40" s="30">
        <v>171.5</v>
      </c>
      <c r="CF40" s="29">
        <f>CD40+CE40</f>
        <v>333.3</v>
      </c>
      <c r="CG40" s="30">
        <v>169.7</v>
      </c>
      <c r="CH40" s="30">
        <v>177.1</v>
      </c>
      <c r="CI40" s="30">
        <v>680.1</v>
      </c>
      <c r="CJ40" s="30">
        <v>175.3</v>
      </c>
      <c r="CK40" s="30">
        <v>181.2</v>
      </c>
      <c r="CL40" s="29">
        <f>CJ40+CK40</f>
        <v>356.5</v>
      </c>
      <c r="CM40" s="31"/>
      <c r="CN40" s="31"/>
      <c r="CO40" s="31"/>
      <c r="CP40" s="31"/>
      <c r="CQ40" s="31"/>
      <c r="CR40" s="31"/>
      <c r="CS40" s="31"/>
      <c r="CT40" s="22"/>
      <c r="CV40" s="6"/>
      <c r="CW40" s="6"/>
      <c r="CX40" s="6"/>
      <c r="CY40" s="6"/>
      <c r="DB40" s="12" t="s">
        <v>132</v>
      </c>
      <c r="DC40" s="42">
        <f>DD40+$DC$38</f>
        <v>7.0000000000000007E-2</v>
      </c>
      <c r="DD40" s="35">
        <v>0.04</v>
      </c>
      <c r="DE40" s="42">
        <f>DD40+$DE$38</f>
        <v>0</v>
      </c>
    </row>
    <row r="41" spans="2:110" ht="15" customHeight="1" x14ac:dyDescent="0.25">
      <c r="B41" s="36" t="s">
        <v>149</v>
      </c>
      <c r="C41" s="29"/>
      <c r="D41" s="29"/>
      <c r="E41" s="30">
        <v>228.3</v>
      </c>
      <c r="F41" s="30">
        <v>203.3</v>
      </c>
      <c r="G41" s="30">
        <v>219.8</v>
      </c>
      <c r="H41" s="30">
        <v>243.8</v>
      </c>
      <c r="I41" s="30">
        <v>250.2</v>
      </c>
      <c r="J41" s="30">
        <v>60.1</v>
      </c>
      <c r="K41" s="30">
        <v>63</v>
      </c>
      <c r="L41" s="29">
        <f>J41+K41</f>
        <v>123.1</v>
      </c>
      <c r="M41" s="30">
        <v>57.1</v>
      </c>
      <c r="N41" s="30">
        <v>68.400000000000006</v>
      </c>
      <c r="O41" s="30">
        <v>248.6</v>
      </c>
      <c r="P41" s="30">
        <v>61.3</v>
      </c>
      <c r="Q41" s="30">
        <v>69.400000000000006</v>
      </c>
      <c r="R41" s="29">
        <f>P41+Q41</f>
        <v>130.69999999999999</v>
      </c>
      <c r="S41" s="30">
        <v>66.099999999999994</v>
      </c>
      <c r="T41" s="30">
        <v>71.599999999999994</v>
      </c>
      <c r="U41" s="30">
        <v>268.39999999999998</v>
      </c>
      <c r="V41" s="30">
        <v>67.7</v>
      </c>
      <c r="W41" s="30">
        <v>67.7</v>
      </c>
      <c r="X41" s="29">
        <f>V41+W41</f>
        <v>135.4</v>
      </c>
      <c r="Y41" s="30">
        <v>67.400000000000006</v>
      </c>
      <c r="Z41" s="30">
        <v>65.900000000000006</v>
      </c>
      <c r="AA41" s="30">
        <v>268.7</v>
      </c>
      <c r="AB41" s="30">
        <v>68.7</v>
      </c>
      <c r="AC41" s="30">
        <v>67.900000000000006</v>
      </c>
      <c r="AD41" s="29">
        <f>AB41+AC41</f>
        <v>136.60000000000002</v>
      </c>
      <c r="AE41" s="30">
        <v>63.8</v>
      </c>
      <c r="AF41" s="30">
        <v>69.7</v>
      </c>
      <c r="AG41" s="30">
        <v>270.10000000000002</v>
      </c>
      <c r="AH41" s="29"/>
      <c r="AI41" s="29"/>
      <c r="AJ41" s="29"/>
      <c r="AK41" s="29"/>
      <c r="AL41" s="29"/>
      <c r="AM41" s="30">
        <v>314.3</v>
      </c>
      <c r="AN41" s="29"/>
      <c r="AO41" s="29"/>
      <c r="AP41" s="29"/>
      <c r="AQ41" s="29"/>
      <c r="AR41" s="29"/>
      <c r="AS41" s="30">
        <v>339.6</v>
      </c>
      <c r="AT41" s="29"/>
      <c r="AU41" s="29"/>
      <c r="AV41" s="29"/>
      <c r="AW41" s="29"/>
      <c r="AX41" s="29"/>
      <c r="AY41" s="30">
        <v>391.4</v>
      </c>
      <c r="AZ41" s="29"/>
      <c r="BA41" s="29"/>
      <c r="BB41" s="29"/>
      <c r="BC41" s="29"/>
      <c r="BD41" s="29"/>
      <c r="BE41" s="30">
        <v>411.3</v>
      </c>
      <c r="BF41" s="30">
        <v>114.8</v>
      </c>
      <c r="BG41" s="30">
        <v>112.8</v>
      </c>
      <c r="BH41" s="29">
        <f>BF41+BG41</f>
        <v>227.6</v>
      </c>
      <c r="BI41" s="30">
        <v>108</v>
      </c>
      <c r="BJ41" s="30">
        <v>110.7</v>
      </c>
      <c r="BK41" s="30">
        <v>446.3</v>
      </c>
      <c r="BL41" s="30">
        <v>114</v>
      </c>
      <c r="BM41" s="30">
        <v>115.5</v>
      </c>
      <c r="BN41" s="29">
        <f>BL41+BM41</f>
        <v>229.5</v>
      </c>
      <c r="BO41" s="30">
        <v>114.8</v>
      </c>
      <c r="BP41" s="30">
        <v>120.7</v>
      </c>
      <c r="BQ41" s="30">
        <v>465</v>
      </c>
      <c r="BR41" s="30">
        <v>117.9</v>
      </c>
      <c r="BS41" s="30">
        <v>115.3</v>
      </c>
      <c r="BT41" s="29">
        <f>BR41+BS41</f>
        <v>233.2</v>
      </c>
      <c r="BU41" s="30">
        <v>113</v>
      </c>
      <c r="BV41" s="30">
        <v>111.9</v>
      </c>
      <c r="BW41" s="30">
        <v>458.1</v>
      </c>
      <c r="BX41" s="30">
        <v>111.1</v>
      </c>
      <c r="BY41" s="30">
        <v>113.5</v>
      </c>
      <c r="BZ41" s="29">
        <f>BX41+BY41</f>
        <v>224.6</v>
      </c>
      <c r="CA41" s="30">
        <v>109</v>
      </c>
      <c r="CB41" s="30">
        <v>113.8</v>
      </c>
      <c r="CC41" s="30">
        <v>447.4</v>
      </c>
      <c r="CD41" s="30">
        <v>108.9</v>
      </c>
      <c r="CE41" s="30">
        <v>119.9</v>
      </c>
      <c r="CF41" s="29">
        <f>CD41+CE41</f>
        <v>228.8</v>
      </c>
      <c r="CG41" s="30">
        <v>117.1</v>
      </c>
      <c r="CH41" s="30">
        <v>120.7</v>
      </c>
      <c r="CI41" s="30">
        <v>466.6</v>
      </c>
      <c r="CJ41" s="30">
        <v>116.2</v>
      </c>
      <c r="CK41" s="30">
        <v>127.1</v>
      </c>
      <c r="CL41" s="29">
        <f>CJ41+CK41</f>
        <v>243.3</v>
      </c>
      <c r="CM41" s="31"/>
      <c r="CN41" s="31"/>
      <c r="CO41" s="31"/>
      <c r="CP41" s="31"/>
      <c r="CQ41" s="31"/>
      <c r="CR41" s="31"/>
      <c r="CS41" s="31"/>
      <c r="CT41" s="22"/>
      <c r="CV41" s="6"/>
      <c r="CW41" s="6"/>
      <c r="CX41" s="6"/>
      <c r="CY41" s="6"/>
      <c r="DB41" s="12" t="s">
        <v>134</v>
      </c>
      <c r="DC41" s="42">
        <f>DD41+$DC$38</f>
        <v>7.0000000000000007E-2</v>
      </c>
      <c r="DD41" s="35">
        <v>0.04</v>
      </c>
      <c r="DE41" s="42">
        <f>DD41+$DE$38</f>
        <v>0</v>
      </c>
    </row>
    <row r="42" spans="2:110" ht="15" customHeight="1" x14ac:dyDescent="0.25">
      <c r="B42" s="36" t="s">
        <v>150</v>
      </c>
      <c r="C42" s="29"/>
      <c r="D42" s="29"/>
      <c r="E42" s="29"/>
      <c r="F42" s="29"/>
      <c r="G42" s="29"/>
      <c r="H42" s="30">
        <v>0</v>
      </c>
      <c r="I42" s="30">
        <v>80.8</v>
      </c>
      <c r="J42" s="30">
        <v>45.5</v>
      </c>
      <c r="K42" s="30">
        <v>49.1</v>
      </c>
      <c r="L42" s="29">
        <f>J42+K42</f>
        <v>94.6</v>
      </c>
      <c r="M42" s="30">
        <v>47.9</v>
      </c>
      <c r="N42" s="30">
        <v>51.3</v>
      </c>
      <c r="O42" s="30">
        <v>193.8</v>
      </c>
      <c r="P42" s="30">
        <v>47</v>
      </c>
      <c r="Q42" s="30">
        <v>47.1</v>
      </c>
      <c r="R42" s="29">
        <f>P42+Q42</f>
        <v>94.1</v>
      </c>
      <c r="S42" s="30">
        <v>46.9</v>
      </c>
      <c r="T42" s="30">
        <v>51.3</v>
      </c>
      <c r="U42" s="30">
        <v>192.3</v>
      </c>
      <c r="V42" s="30">
        <v>43.1</v>
      </c>
      <c r="W42" s="30">
        <v>41.8</v>
      </c>
      <c r="X42" s="29">
        <f>V42+W42</f>
        <v>84.9</v>
      </c>
      <c r="Y42" s="30">
        <v>39.299999999999997</v>
      </c>
      <c r="Z42" s="30">
        <v>44.2</v>
      </c>
      <c r="AA42" s="30">
        <v>168.4</v>
      </c>
      <c r="AB42" s="30">
        <v>42.1</v>
      </c>
      <c r="AC42" s="30">
        <v>48.4</v>
      </c>
      <c r="AD42" s="29">
        <f>AB42+AC42</f>
        <v>90.5</v>
      </c>
      <c r="AE42" s="30">
        <v>46.9</v>
      </c>
      <c r="AF42" s="30">
        <v>50.5</v>
      </c>
      <c r="AG42" s="30">
        <v>187.9</v>
      </c>
      <c r="AH42" s="29"/>
      <c r="AI42" s="29"/>
      <c r="AJ42" s="29"/>
      <c r="AK42" s="29"/>
      <c r="AL42" s="29"/>
      <c r="AM42" s="30">
        <v>208.9</v>
      </c>
      <c r="AN42" s="29"/>
      <c r="AO42" s="29"/>
      <c r="AP42" s="29"/>
      <c r="AQ42" s="29"/>
      <c r="AR42" s="29"/>
      <c r="AS42" s="30">
        <v>248.6</v>
      </c>
      <c r="AT42" s="29"/>
      <c r="AU42" s="29"/>
      <c r="AV42" s="29"/>
      <c r="AW42" s="29"/>
      <c r="AX42" s="29"/>
      <c r="AY42" s="30">
        <v>263.5</v>
      </c>
      <c r="AZ42" s="29"/>
      <c r="BA42" s="29"/>
      <c r="BB42" s="29"/>
      <c r="BC42" s="29"/>
      <c r="BD42" s="29"/>
      <c r="BE42" s="30">
        <v>256.89999999999998</v>
      </c>
      <c r="BF42" s="30">
        <v>69.7</v>
      </c>
      <c r="BG42" s="30">
        <v>73.400000000000006</v>
      </c>
      <c r="BH42" s="29">
        <f>BF42+BG42</f>
        <v>143.10000000000002</v>
      </c>
      <c r="BI42" s="30">
        <v>74.400000000000006</v>
      </c>
      <c r="BJ42" s="30">
        <v>79</v>
      </c>
      <c r="BK42" s="30">
        <v>296.5</v>
      </c>
      <c r="BL42" s="30">
        <v>83</v>
      </c>
      <c r="BM42" s="30">
        <v>81.7</v>
      </c>
      <c r="BN42" s="29">
        <f>BL42+BM42</f>
        <v>164.7</v>
      </c>
      <c r="BO42" s="30">
        <v>81.599999999999994</v>
      </c>
      <c r="BP42" s="30">
        <v>82</v>
      </c>
      <c r="BQ42" s="30">
        <v>328.3</v>
      </c>
      <c r="BR42" s="30">
        <v>87.4</v>
      </c>
      <c r="BS42" s="30">
        <v>85.7</v>
      </c>
      <c r="BT42" s="29">
        <f>BR42+BS42</f>
        <v>173.10000000000002</v>
      </c>
      <c r="BU42" s="30">
        <v>83.6</v>
      </c>
      <c r="BV42" s="30">
        <v>81.7</v>
      </c>
      <c r="BW42" s="30">
        <v>338.4</v>
      </c>
      <c r="BX42" s="30">
        <v>71.5</v>
      </c>
      <c r="BY42" s="30">
        <v>72.2</v>
      </c>
      <c r="BZ42" s="29">
        <f>BX42+BY42</f>
        <v>143.69999999999999</v>
      </c>
      <c r="CA42" s="30">
        <v>76.400000000000006</v>
      </c>
      <c r="CB42" s="30">
        <v>83.6</v>
      </c>
      <c r="CC42" s="30">
        <v>303.7</v>
      </c>
      <c r="CD42" s="30">
        <v>72.599999999999994</v>
      </c>
      <c r="CE42" s="30">
        <v>76.2</v>
      </c>
      <c r="CF42" s="29">
        <f>CD42+CE42</f>
        <v>148.80000000000001</v>
      </c>
      <c r="CG42" s="30">
        <v>76.8</v>
      </c>
      <c r="CH42" s="30">
        <v>84.8</v>
      </c>
      <c r="CI42" s="30">
        <v>310.39999999999998</v>
      </c>
      <c r="CJ42" s="30">
        <v>69.900000000000006</v>
      </c>
      <c r="CK42" s="30">
        <v>79.5</v>
      </c>
      <c r="CL42" s="29">
        <f>CJ42+CK42</f>
        <v>149.4</v>
      </c>
      <c r="CM42" s="31"/>
      <c r="CN42" s="31"/>
      <c r="CO42" s="31"/>
      <c r="CP42" s="31"/>
      <c r="CQ42" s="31"/>
      <c r="CR42" s="31"/>
      <c r="CS42" s="31"/>
      <c r="CT42" s="22"/>
      <c r="CV42" s="6"/>
      <c r="CW42" s="6"/>
      <c r="CX42" s="6"/>
      <c r="CY42" s="6"/>
      <c r="DB42" s="12" t="s">
        <v>136</v>
      </c>
      <c r="DC42" s="42">
        <f>DD42+$DC$38</f>
        <v>7.0000000000000007E-2</v>
      </c>
      <c r="DD42" s="35">
        <v>0.04</v>
      </c>
      <c r="DE42" s="42">
        <f>DD42+$DE$38</f>
        <v>0</v>
      </c>
    </row>
    <row r="43" spans="2:110" ht="15" customHeight="1" x14ac:dyDescent="0.25">
      <c r="B43" s="12" t="s">
        <v>133</v>
      </c>
      <c r="C43" s="29"/>
      <c r="D43" s="29"/>
      <c r="E43" s="30">
        <v>16.8</v>
      </c>
      <c r="F43" s="30">
        <v>16</v>
      </c>
      <c r="G43" s="30">
        <v>16.600000000000001</v>
      </c>
      <c r="H43" s="30">
        <v>17.399999999999999</v>
      </c>
      <c r="I43" s="30">
        <v>26.1</v>
      </c>
      <c r="J43" s="29"/>
      <c r="K43" s="29"/>
      <c r="L43" s="29"/>
      <c r="M43" s="29"/>
      <c r="N43" s="29"/>
      <c r="O43" s="30">
        <v>38.200000000000003</v>
      </c>
      <c r="P43" s="29"/>
      <c r="Q43" s="29"/>
      <c r="R43" s="29"/>
      <c r="S43" s="29"/>
      <c r="T43" s="29"/>
      <c r="U43" s="30">
        <v>41.1</v>
      </c>
      <c r="V43" s="29"/>
      <c r="W43" s="29"/>
      <c r="X43" s="29"/>
      <c r="Y43" s="29"/>
      <c r="Z43" s="29"/>
      <c r="AA43" s="30">
        <v>41.2</v>
      </c>
      <c r="AB43" s="29"/>
      <c r="AC43" s="29"/>
      <c r="AD43" s="29"/>
      <c r="AE43" s="29"/>
      <c r="AF43" s="29"/>
      <c r="AG43" s="30">
        <v>37.299999999999997</v>
      </c>
      <c r="AH43" s="29"/>
      <c r="AI43" s="29"/>
      <c r="AJ43" s="29"/>
      <c r="AK43" s="29"/>
      <c r="AL43" s="29"/>
      <c r="AM43" s="30">
        <v>38.200000000000003</v>
      </c>
      <c r="AN43" s="29"/>
      <c r="AO43" s="29"/>
      <c r="AP43" s="29"/>
      <c r="AQ43" s="29"/>
      <c r="AR43" s="29"/>
      <c r="AS43" s="30">
        <v>37</v>
      </c>
      <c r="AT43" s="29"/>
      <c r="AU43" s="29"/>
      <c r="AV43" s="29"/>
      <c r="AW43" s="29"/>
      <c r="AX43" s="29"/>
      <c r="AY43" s="30">
        <v>35.9</v>
      </c>
      <c r="AZ43" s="29"/>
      <c r="BA43" s="29"/>
      <c r="BB43" s="29"/>
      <c r="BC43" s="29"/>
      <c r="BD43" s="29"/>
      <c r="BE43" s="30">
        <v>38.299999999999997</v>
      </c>
      <c r="BF43" s="29"/>
      <c r="BG43" s="29"/>
      <c r="BH43" s="29"/>
      <c r="BI43" s="29"/>
      <c r="BJ43" s="29"/>
      <c r="BK43" s="30">
        <v>38.1</v>
      </c>
      <c r="BL43" s="29"/>
      <c r="BM43" s="29"/>
      <c r="BN43" s="29"/>
      <c r="BO43" s="29"/>
      <c r="BP43" s="29"/>
      <c r="BQ43" s="30">
        <v>32.6</v>
      </c>
      <c r="BR43" s="29"/>
      <c r="BS43" s="29"/>
      <c r="BT43" s="29"/>
      <c r="BU43" s="29"/>
      <c r="BV43" s="29"/>
      <c r="BW43" s="30">
        <v>27.7</v>
      </c>
      <c r="BX43" s="29"/>
      <c r="BY43" s="29"/>
      <c r="BZ43" s="29"/>
      <c r="CA43" s="29"/>
      <c r="CB43" s="29"/>
      <c r="CC43" s="30">
        <v>29.2</v>
      </c>
      <c r="CD43" s="29"/>
      <c r="CE43" s="29"/>
      <c r="CF43" s="29"/>
      <c r="CG43" s="29"/>
      <c r="CH43" s="29"/>
      <c r="CI43" s="30">
        <v>27.7</v>
      </c>
      <c r="CJ43" s="29"/>
      <c r="CK43" s="29"/>
      <c r="CL43" s="29"/>
      <c r="CM43" s="31"/>
      <c r="CN43" s="31"/>
      <c r="CO43" s="31"/>
      <c r="CP43" s="31"/>
      <c r="CQ43" s="31"/>
      <c r="CR43" s="31"/>
      <c r="CS43" s="31"/>
      <c r="CT43" s="22"/>
      <c r="CV43" s="6"/>
      <c r="CW43" s="6"/>
      <c r="CX43" s="6"/>
      <c r="CY43" s="6"/>
    </row>
    <row r="44" spans="2:110" ht="15" customHeight="1" x14ac:dyDescent="0.25">
      <c r="B44" s="12" t="s">
        <v>135</v>
      </c>
      <c r="C44" s="29"/>
      <c r="D44" s="29"/>
      <c r="E44" s="30">
        <v>12.5</v>
      </c>
      <c r="F44" s="30">
        <v>16.100000000000001</v>
      </c>
      <c r="G44" s="30">
        <v>6.4</v>
      </c>
      <c r="H44" s="30">
        <v>9.5</v>
      </c>
      <c r="I44" s="30">
        <v>14.4</v>
      </c>
      <c r="J44" s="29"/>
      <c r="K44" s="29"/>
      <c r="L44" s="29"/>
      <c r="M44" s="29"/>
      <c r="N44" s="29"/>
      <c r="O44" s="30">
        <v>22</v>
      </c>
      <c r="P44" s="29"/>
      <c r="Q44" s="29"/>
      <c r="R44" s="29"/>
      <c r="S44" s="29"/>
      <c r="T44" s="29"/>
      <c r="U44" s="30">
        <v>17</v>
      </c>
      <c r="V44" s="29"/>
      <c r="W44" s="29"/>
      <c r="X44" s="29"/>
      <c r="Y44" s="29"/>
      <c r="Z44" s="29"/>
      <c r="AA44" s="30">
        <v>20.9</v>
      </c>
      <c r="AB44" s="29"/>
      <c r="AC44" s="29"/>
      <c r="AD44" s="29"/>
      <c r="AE44" s="29"/>
      <c r="AF44" s="29"/>
      <c r="AG44" s="30">
        <v>50.9</v>
      </c>
      <c r="AH44" s="29"/>
      <c r="AI44" s="29"/>
      <c r="AJ44" s="29"/>
      <c r="AK44" s="29"/>
      <c r="AL44" s="29"/>
      <c r="AM44" s="30">
        <v>13.7</v>
      </c>
      <c r="AN44" s="29"/>
      <c r="AO44" s="29"/>
      <c r="AP44" s="29"/>
      <c r="AQ44" s="29"/>
      <c r="AR44" s="29"/>
      <c r="AS44" s="30">
        <v>14.8</v>
      </c>
      <c r="AT44" s="29"/>
      <c r="AU44" s="29"/>
      <c r="AV44" s="29"/>
      <c r="AW44" s="29"/>
      <c r="AX44" s="29"/>
      <c r="AY44" s="30">
        <v>18.899999999999999</v>
      </c>
      <c r="AZ44" s="29"/>
      <c r="BA44" s="29"/>
      <c r="BB44" s="29"/>
      <c r="BC44" s="29"/>
      <c r="BD44" s="29"/>
      <c r="BE44" s="30">
        <v>18</v>
      </c>
      <c r="BF44" s="29"/>
      <c r="BG44" s="29"/>
      <c r="BH44" s="29"/>
      <c r="BI44" s="29"/>
      <c r="BJ44" s="29"/>
      <c r="BK44" s="30">
        <v>13.3</v>
      </c>
      <c r="BL44" s="29"/>
      <c r="BM44" s="29"/>
      <c r="BN44" s="29"/>
      <c r="BO44" s="29"/>
      <c r="BP44" s="29"/>
      <c r="BQ44" s="30">
        <v>9.3000000000000007</v>
      </c>
      <c r="BR44" s="29"/>
      <c r="BS44" s="29"/>
      <c r="BT44" s="29"/>
      <c r="BU44" s="29"/>
      <c r="BV44" s="29"/>
      <c r="BW44" s="30">
        <v>14</v>
      </c>
      <c r="BX44" s="29"/>
      <c r="BY44" s="29"/>
      <c r="BZ44" s="29"/>
      <c r="CA44" s="29"/>
      <c r="CB44" s="29"/>
      <c r="CC44" s="30">
        <v>15</v>
      </c>
      <c r="CD44" s="29"/>
      <c r="CE44" s="29"/>
      <c r="CF44" s="29"/>
      <c r="CG44" s="29"/>
      <c r="CH44" s="29"/>
      <c r="CI44" s="30">
        <v>15.1</v>
      </c>
      <c r="CJ44" s="29"/>
      <c r="CK44" s="29"/>
      <c r="CL44" s="29"/>
      <c r="CM44" s="31"/>
      <c r="CN44" s="31"/>
      <c r="CO44" s="31"/>
      <c r="CP44" s="31"/>
      <c r="CQ44" s="31"/>
      <c r="CR44" s="31"/>
      <c r="CS44" s="31"/>
      <c r="CT44" s="22"/>
      <c r="CV44" s="6"/>
      <c r="CW44" s="6"/>
      <c r="CX44" s="6"/>
      <c r="CY44" s="6"/>
      <c r="DB44" s="17" t="s">
        <v>151</v>
      </c>
      <c r="DC44" s="41">
        <v>0.01</v>
      </c>
      <c r="DD44" s="24" t="s">
        <v>127</v>
      </c>
      <c r="DE44" s="41">
        <v>-0.02</v>
      </c>
      <c r="DF44" s="15" t="s">
        <v>152</v>
      </c>
    </row>
    <row r="45" spans="2:110" ht="15" customHeight="1" x14ac:dyDescent="0.25">
      <c r="B45" s="25" t="s">
        <v>137</v>
      </c>
      <c r="C45" s="39" t="str">
        <f t="shared" ref="C45:I45" si="49">IFERROR(C44/C28,"")</f>
        <v/>
      </c>
      <c r="D45" s="39" t="str">
        <f t="shared" si="49"/>
        <v/>
      </c>
      <c r="E45" s="39">
        <f t="shared" si="49"/>
        <v>2.2760378732702109E-2</v>
      </c>
      <c r="F45" s="39">
        <f t="shared" si="49"/>
        <v>2.9903417533432397E-2</v>
      </c>
      <c r="G45" s="39">
        <f t="shared" si="49"/>
        <v>1.1165387299371946E-2</v>
      </c>
      <c r="H45" s="39">
        <f t="shared" si="49"/>
        <v>1.4655970379512495E-2</v>
      </c>
      <c r="I45" s="39">
        <f t="shared" si="49"/>
        <v>1.7894867652541318E-2</v>
      </c>
      <c r="J45" s="39"/>
      <c r="K45" s="39"/>
      <c r="L45" s="39"/>
      <c r="M45" s="39"/>
      <c r="N45" s="39"/>
      <c r="O45" s="39">
        <f>IFERROR(O44/O28,"")</f>
        <v>2.1509581540868204E-2</v>
      </c>
      <c r="P45" s="39"/>
      <c r="Q45" s="39"/>
      <c r="R45" s="39"/>
      <c r="S45" s="39"/>
      <c r="T45" s="39"/>
      <c r="U45" s="39">
        <f>IFERROR(U44/U28,"")</f>
        <v>1.523980277902286E-2</v>
      </c>
      <c r="V45" s="39"/>
      <c r="W45" s="39"/>
      <c r="X45" s="39"/>
      <c r="Y45" s="39"/>
      <c r="Z45" s="39"/>
      <c r="AA45" s="39">
        <f>IFERROR(AA44/AA28,"")</f>
        <v>1.9883931119779281E-2</v>
      </c>
      <c r="AB45" s="39"/>
      <c r="AC45" s="39"/>
      <c r="AD45" s="39"/>
      <c r="AE45" s="39"/>
      <c r="AF45" s="39"/>
      <c r="AG45" s="39">
        <f>IFERROR(AG44/AG28,"")</f>
        <v>5.8058628949469594E-2</v>
      </c>
      <c r="AH45" s="39"/>
      <c r="AI45" s="39"/>
      <c r="AJ45" s="39"/>
      <c r="AK45" s="39"/>
      <c r="AL45" s="39"/>
      <c r="AM45" s="39">
        <f>IFERROR(AM44/AM28,"")</f>
        <v>1.4362092462522277E-2</v>
      </c>
      <c r="AN45" s="39"/>
      <c r="AO45" s="39"/>
      <c r="AP45" s="39"/>
      <c r="AQ45" s="39"/>
      <c r="AR45" s="39"/>
      <c r="AS45" s="39">
        <f>IFERROR(AS44/AS28,"")</f>
        <v>1.4492753623188406E-2</v>
      </c>
      <c r="AT45" s="39"/>
      <c r="AU45" s="39"/>
      <c r="AV45" s="39"/>
      <c r="AW45" s="39"/>
      <c r="AX45" s="39"/>
      <c r="AY45" s="39">
        <f>IFERROR(AY44/AY28,"")</f>
        <v>1.7102524658401955E-2</v>
      </c>
      <c r="AZ45" s="39"/>
      <c r="BA45" s="39"/>
      <c r="BB45" s="39"/>
      <c r="BC45" s="39"/>
      <c r="BD45" s="39"/>
      <c r="BE45" s="39">
        <f>IFERROR(BE44/BE28,"")</f>
        <v>1.6445865692096849E-2</v>
      </c>
      <c r="BF45" s="39"/>
      <c r="BG45" s="39"/>
      <c r="BH45" s="39"/>
      <c r="BI45" s="39"/>
      <c r="BJ45" s="39"/>
      <c r="BK45" s="39">
        <f>IFERROR(BK44/BK28,"")</f>
        <v>1.1397720455908818E-2</v>
      </c>
      <c r="BL45" s="39"/>
      <c r="BM45" s="39"/>
      <c r="BN45" s="39"/>
      <c r="BO45" s="39"/>
      <c r="BP45" s="39"/>
      <c r="BQ45" s="39">
        <f>IFERROR(BQ44/BQ28,"")</f>
        <v>7.4162679425837322E-3</v>
      </c>
      <c r="BR45" s="39"/>
      <c r="BS45" s="39"/>
      <c r="BT45" s="39"/>
      <c r="BU45" s="39"/>
      <c r="BV45" s="39"/>
      <c r="BW45" s="39">
        <f>IFERROR(BW44/BW28,"")</f>
        <v>1.0556477152767304E-2</v>
      </c>
      <c r="BX45" s="39"/>
      <c r="BY45" s="39"/>
      <c r="BZ45" s="39"/>
      <c r="CA45" s="39"/>
      <c r="CB45" s="39"/>
      <c r="CC45" s="39">
        <f>IFERROR(CC44/CC28,"")</f>
        <v>1.0849124837263129E-2</v>
      </c>
      <c r="CD45" s="39"/>
      <c r="CE45" s="39"/>
      <c r="CF45" s="39"/>
      <c r="CG45" s="39"/>
      <c r="CH45" s="39"/>
      <c r="CI45" s="39">
        <f>IFERROR(CI44/CI28,"")</f>
        <v>1.0363049893624323E-2</v>
      </c>
      <c r="CJ45" s="39"/>
      <c r="CK45" s="39"/>
      <c r="CL45" s="39"/>
      <c r="CM45" s="27"/>
      <c r="CN45" s="27"/>
      <c r="CO45" s="27"/>
      <c r="CP45" s="27"/>
      <c r="CQ45" s="27"/>
      <c r="CR45" s="27"/>
      <c r="CS45" s="27"/>
      <c r="CT45" s="22"/>
      <c r="CV45" s="6"/>
      <c r="CW45" s="6"/>
      <c r="CX45" s="6"/>
      <c r="CY45" s="6"/>
      <c r="DB45" s="12" t="s">
        <v>130</v>
      </c>
      <c r="DC45" s="42">
        <f>DD45+$DC$44</f>
        <v>0.255</v>
      </c>
      <c r="DD45" s="35">
        <v>0.245</v>
      </c>
      <c r="DE45" s="42">
        <f>DD45+$DE$44</f>
        <v>0.22500000000000001</v>
      </c>
    </row>
    <row r="46" spans="2:110" ht="15" customHeight="1" x14ac:dyDescent="0.25">
      <c r="B46" s="12"/>
      <c r="CM46" s="6"/>
      <c r="CN46" s="6"/>
      <c r="CO46" s="6"/>
      <c r="CP46" s="6"/>
      <c r="CQ46" s="6"/>
      <c r="CR46" s="6"/>
      <c r="CS46" s="6"/>
      <c r="CT46" s="6"/>
      <c r="DB46" s="12" t="s">
        <v>132</v>
      </c>
      <c r="DC46" s="42">
        <f>DD46+$DC$44</f>
        <v>0.26</v>
      </c>
      <c r="DD46" s="35">
        <v>0.25</v>
      </c>
      <c r="DE46" s="42">
        <f>DD46+$DE$44</f>
        <v>0.23</v>
      </c>
    </row>
    <row r="47" spans="2:110" ht="15" customHeight="1" x14ac:dyDescent="0.25">
      <c r="B47" s="16" t="s">
        <v>153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7" t="s">
        <v>154</v>
      </c>
      <c r="DB47" s="12" t="s">
        <v>134</v>
      </c>
      <c r="DC47" s="42">
        <f>DD47+$DC$44</f>
        <v>0.26500000000000001</v>
      </c>
      <c r="DD47" s="35">
        <v>0.255</v>
      </c>
      <c r="DE47" s="42">
        <f>DD47+$DE$44</f>
        <v>0.23500000000000001</v>
      </c>
    </row>
    <row r="48" spans="2:110" ht="15" customHeight="1" x14ac:dyDescent="0.25">
      <c r="B48" s="18" t="s">
        <v>99</v>
      </c>
      <c r="C48" s="19"/>
      <c r="D48" s="19"/>
      <c r="E48" s="20">
        <v>604.1</v>
      </c>
      <c r="F48" s="20">
        <v>579.20000000000005</v>
      </c>
      <c r="G48" s="20">
        <v>614.70000000000005</v>
      </c>
      <c r="H48" s="20">
        <v>639.20000000000005</v>
      </c>
      <c r="I48" s="20">
        <v>605.29999999999995</v>
      </c>
      <c r="J48" s="20">
        <v>163.1</v>
      </c>
      <c r="K48" s="20">
        <v>169.5</v>
      </c>
      <c r="L48" s="19">
        <f>J48+K48</f>
        <v>332.6</v>
      </c>
      <c r="M48" s="20">
        <v>143.1</v>
      </c>
      <c r="N48" s="20">
        <v>149.4</v>
      </c>
      <c r="O48" s="20">
        <v>625.1</v>
      </c>
      <c r="P48" s="20">
        <v>153.30000000000001</v>
      </c>
      <c r="Q48" s="20">
        <v>152.19999999999999</v>
      </c>
      <c r="R48" s="19">
        <f>P48+Q48</f>
        <v>305.5</v>
      </c>
      <c r="S48" s="20">
        <v>151.80000000000001</v>
      </c>
      <c r="T48" s="20">
        <v>145.69999999999999</v>
      </c>
      <c r="U48" s="20">
        <v>603</v>
      </c>
      <c r="V48" s="20">
        <v>141.19999999999999</v>
      </c>
      <c r="W48" s="20">
        <v>147</v>
      </c>
      <c r="X48" s="19">
        <f>V48+W48</f>
        <v>288.2</v>
      </c>
      <c r="Y48" s="20">
        <v>151.30000000000001</v>
      </c>
      <c r="Z48" s="20">
        <v>153.9</v>
      </c>
      <c r="AA48" s="20">
        <v>593.4</v>
      </c>
      <c r="AB48" s="20">
        <v>152.6</v>
      </c>
      <c r="AC48" s="20">
        <v>158</v>
      </c>
      <c r="AD48" s="19">
        <f>AB48+AC48</f>
        <v>310.60000000000002</v>
      </c>
      <c r="AE48" s="20">
        <v>153.5</v>
      </c>
      <c r="AF48" s="20">
        <v>151.80000000000001</v>
      </c>
      <c r="AG48" s="20">
        <v>615.9</v>
      </c>
      <c r="AH48" s="20">
        <v>151.9</v>
      </c>
      <c r="AI48" s="20">
        <v>161.1</v>
      </c>
      <c r="AJ48" s="19">
        <f>AH48+AI48</f>
        <v>313</v>
      </c>
      <c r="AK48" s="20">
        <v>159.6</v>
      </c>
      <c r="AL48" s="20">
        <v>173.4</v>
      </c>
      <c r="AM48" s="20">
        <v>591.20000000000005</v>
      </c>
      <c r="AN48" s="20">
        <v>156.4</v>
      </c>
      <c r="AO48" s="20">
        <v>157.5</v>
      </c>
      <c r="AP48" s="19">
        <f>AN48+AO48</f>
        <v>313.89999999999998</v>
      </c>
      <c r="AQ48" s="20">
        <v>160.30000000000001</v>
      </c>
      <c r="AR48" s="20">
        <v>166</v>
      </c>
      <c r="AS48" s="20">
        <v>640.20000000000005</v>
      </c>
      <c r="AT48" s="20">
        <v>166.6</v>
      </c>
      <c r="AU48" s="20">
        <v>176</v>
      </c>
      <c r="AV48" s="19">
        <f>AT48+AU48</f>
        <v>342.6</v>
      </c>
      <c r="AW48" s="20">
        <v>177.1</v>
      </c>
      <c r="AX48" s="20">
        <v>170.4</v>
      </c>
      <c r="AY48" s="20">
        <v>690.1</v>
      </c>
      <c r="AZ48" s="20">
        <v>156.30000000000001</v>
      </c>
      <c r="BA48" s="20">
        <v>143.1</v>
      </c>
      <c r="BB48" s="19">
        <f>AZ48+BA48</f>
        <v>299.39999999999998</v>
      </c>
      <c r="BC48" s="20">
        <v>144.80000000000001</v>
      </c>
      <c r="BD48" s="20">
        <v>145.19999999999999</v>
      </c>
      <c r="BE48" s="20">
        <v>589.4</v>
      </c>
      <c r="BF48" s="20">
        <v>151.19999999999999</v>
      </c>
      <c r="BG48" s="20">
        <v>152.4</v>
      </c>
      <c r="BH48" s="19">
        <f>BF48+BG48</f>
        <v>303.60000000000002</v>
      </c>
      <c r="BI48" s="20">
        <v>161.80000000000001</v>
      </c>
      <c r="BJ48" s="20">
        <v>163.30000000000001</v>
      </c>
      <c r="BK48" s="20">
        <v>628.70000000000005</v>
      </c>
      <c r="BL48" s="20">
        <v>166.2</v>
      </c>
      <c r="BM48" s="20">
        <v>168.8</v>
      </c>
      <c r="BN48" s="19">
        <f>BL48+BM48</f>
        <v>335</v>
      </c>
      <c r="BO48" s="20">
        <v>169.5</v>
      </c>
      <c r="BP48" s="20">
        <v>177.9</v>
      </c>
      <c r="BQ48" s="20">
        <v>682.4</v>
      </c>
      <c r="BR48" s="20">
        <v>173.2</v>
      </c>
      <c r="BS48" s="20">
        <v>186</v>
      </c>
      <c r="BT48" s="19">
        <f>BR48+BS48</f>
        <v>359.2</v>
      </c>
      <c r="BU48" s="20">
        <v>183.3</v>
      </c>
      <c r="BV48" s="20">
        <v>184</v>
      </c>
      <c r="BW48" s="20">
        <v>726.5</v>
      </c>
      <c r="BX48" s="20">
        <v>185.7</v>
      </c>
      <c r="BY48" s="20">
        <v>194.4</v>
      </c>
      <c r="BZ48" s="19">
        <f>BX48+BY48</f>
        <v>380.1</v>
      </c>
      <c r="CA48" s="20">
        <v>200.2</v>
      </c>
      <c r="CB48" s="20">
        <v>196.5</v>
      </c>
      <c r="CC48" s="20">
        <v>776.8</v>
      </c>
      <c r="CD48" s="20">
        <v>242.5</v>
      </c>
      <c r="CE48" s="20">
        <v>264.8</v>
      </c>
      <c r="CF48" s="19">
        <f>CD48+CE48</f>
        <v>507.3</v>
      </c>
      <c r="CG48" s="20">
        <v>275.5</v>
      </c>
      <c r="CH48" s="20">
        <v>275.89999999999998</v>
      </c>
      <c r="CI48" s="20">
        <v>1058.7</v>
      </c>
      <c r="CJ48" s="20">
        <v>277.5</v>
      </c>
      <c r="CK48" s="20">
        <v>286.39999999999998</v>
      </c>
      <c r="CL48" s="19">
        <f>CJ48+CK48</f>
        <v>563.9</v>
      </c>
      <c r="CM48" s="21">
        <f>CG48*CK48/CE48</f>
        <v>297.97280966767369</v>
      </c>
      <c r="CN48" s="21">
        <f>CH48*CK48/CE48</f>
        <v>298.40543806646519</v>
      </c>
      <c r="CO48" s="21">
        <f>SUM(CJ48,CK48,CM48,CN48)</f>
        <v>1160.2782477341389</v>
      </c>
      <c r="CP48" s="21">
        <f>CO48*(1+CP49)</f>
        <v>1229.8949425981873</v>
      </c>
      <c r="CQ48" s="21">
        <f>CP48*(1+CQ49)</f>
        <v>1297.5391644410875</v>
      </c>
      <c r="CR48" s="21">
        <f>CQ48*(1+CR49)</f>
        <v>1362.4161226631418</v>
      </c>
      <c r="CS48" s="21">
        <f>CR48*(1+CS49)</f>
        <v>1430.536928796299</v>
      </c>
      <c r="CT48" s="22" t="s">
        <v>100</v>
      </c>
      <c r="CV48" s="23">
        <f>IFERROR((CS48/CI48)^(1/5)-1,"n/m")</f>
        <v>6.2050657337057613E-2</v>
      </c>
      <c r="CW48" s="23">
        <f>IFERROR((CI48/BE48)^(1/5)-1,"n/m")</f>
        <v>0.12427500712878881</v>
      </c>
      <c r="CX48" s="23">
        <f>IFERROR((CI48/AA48)^(1/10)-1,"n/m")</f>
        <v>5.9601433357368894E-2</v>
      </c>
      <c r="CY48" s="23" t="str">
        <f>IFERROR((CI48/C48)^(1/19)-1,"n/m")</f>
        <v>n/m</v>
      </c>
      <c r="DB48" s="12" t="s">
        <v>136</v>
      </c>
      <c r="DC48" s="42">
        <f>DD48+$DC$44</f>
        <v>0.27</v>
      </c>
      <c r="DD48" s="35">
        <v>0.26</v>
      </c>
      <c r="DE48" s="42">
        <f>DD48+$DE$44</f>
        <v>0.24000000000000002</v>
      </c>
    </row>
    <row r="49" spans="2:110" ht="15" customHeight="1" x14ac:dyDescent="0.25">
      <c r="B49" s="25" t="s">
        <v>105</v>
      </c>
      <c r="C49" s="26"/>
      <c r="D49" s="26" t="str">
        <f t="shared" ref="D49:I49" si="50">IFERROR(D48/C48-1,"")</f>
        <v/>
      </c>
      <c r="E49" s="26" t="str">
        <f t="shared" si="50"/>
        <v/>
      </c>
      <c r="F49" s="26">
        <f t="shared" si="50"/>
        <v>-4.1218341334216202E-2</v>
      </c>
      <c r="G49" s="26">
        <f t="shared" si="50"/>
        <v>6.1291436464088411E-2</v>
      </c>
      <c r="H49" s="26">
        <f t="shared" si="50"/>
        <v>3.9856840735318144E-2</v>
      </c>
      <c r="I49" s="26">
        <f t="shared" si="50"/>
        <v>-5.3035043804756099E-2</v>
      </c>
      <c r="J49" s="26"/>
      <c r="K49" s="26"/>
      <c r="L49" s="26"/>
      <c r="M49" s="26"/>
      <c r="N49" s="26"/>
      <c r="O49" s="26">
        <f t="shared" ref="O49:AT49" si="51">IFERROR(O48/I48-1,"")</f>
        <v>3.2711052370725469E-2</v>
      </c>
      <c r="P49" s="26">
        <f t="shared" si="51"/>
        <v>-6.0085836909871126E-2</v>
      </c>
      <c r="Q49" s="26">
        <f t="shared" si="51"/>
        <v>-0.10206489675516228</v>
      </c>
      <c r="R49" s="26">
        <f t="shared" si="51"/>
        <v>-8.1479254359591136E-2</v>
      </c>
      <c r="S49" s="26">
        <f t="shared" si="51"/>
        <v>6.079664570230614E-2</v>
      </c>
      <c r="T49" s="26">
        <f t="shared" si="51"/>
        <v>-2.4765729585006779E-2</v>
      </c>
      <c r="U49" s="26">
        <f t="shared" si="51"/>
        <v>-3.5354343305071256E-2</v>
      </c>
      <c r="V49" s="26">
        <f t="shared" si="51"/>
        <v>-7.8930202217873613E-2</v>
      </c>
      <c r="W49" s="26">
        <f t="shared" si="51"/>
        <v>-3.4165571616294299E-2</v>
      </c>
      <c r="X49" s="26">
        <f t="shared" si="51"/>
        <v>-5.6628477905073638E-2</v>
      </c>
      <c r="Y49" s="26">
        <f t="shared" si="51"/>
        <v>-3.2938076416337836E-3</v>
      </c>
      <c r="Z49" s="26">
        <f t="shared" si="51"/>
        <v>5.628002745367211E-2</v>
      </c>
      <c r="AA49" s="26">
        <f t="shared" si="51"/>
        <v>-1.5920398009950265E-2</v>
      </c>
      <c r="AB49" s="26">
        <f t="shared" si="51"/>
        <v>8.073654390934859E-2</v>
      </c>
      <c r="AC49" s="26">
        <f t="shared" si="51"/>
        <v>7.4829931972789199E-2</v>
      </c>
      <c r="AD49" s="26">
        <f t="shared" si="51"/>
        <v>7.7723802914642759E-2</v>
      </c>
      <c r="AE49" s="26">
        <f t="shared" si="51"/>
        <v>1.4540647719762045E-2</v>
      </c>
      <c r="AF49" s="26">
        <f t="shared" si="51"/>
        <v>-1.3645224171539905E-2</v>
      </c>
      <c r="AG49" s="26">
        <f t="shared" si="51"/>
        <v>3.7917087967644036E-2</v>
      </c>
      <c r="AH49" s="26">
        <f t="shared" si="51"/>
        <v>-4.5871559633027248E-3</v>
      </c>
      <c r="AI49" s="26">
        <f t="shared" si="51"/>
        <v>1.9620253164556845E-2</v>
      </c>
      <c r="AJ49" s="26">
        <f t="shared" si="51"/>
        <v>7.726980038634812E-3</v>
      </c>
      <c r="AK49" s="26">
        <f t="shared" si="51"/>
        <v>3.9739413680781821E-2</v>
      </c>
      <c r="AL49" s="26">
        <f t="shared" si="51"/>
        <v>0.14229249011857692</v>
      </c>
      <c r="AM49" s="26">
        <f t="shared" si="51"/>
        <v>-4.010391297288507E-2</v>
      </c>
      <c r="AN49" s="26">
        <f t="shared" si="51"/>
        <v>2.9624753127057257E-2</v>
      </c>
      <c r="AO49" s="26">
        <f t="shared" si="51"/>
        <v>-2.2346368715083775E-2</v>
      </c>
      <c r="AP49" s="26">
        <f t="shared" si="51"/>
        <v>2.8753993610222128E-3</v>
      </c>
      <c r="AQ49" s="26">
        <f t="shared" si="51"/>
        <v>4.3859649122808264E-3</v>
      </c>
      <c r="AR49" s="26">
        <f t="shared" si="51"/>
        <v>-4.2675893886966576E-2</v>
      </c>
      <c r="AS49" s="26">
        <f t="shared" si="51"/>
        <v>8.2882273342354429E-2</v>
      </c>
      <c r="AT49" s="26">
        <f t="shared" si="51"/>
        <v>6.5217391304347672E-2</v>
      </c>
      <c r="AU49" s="26">
        <f t="shared" ref="AU49:BZ49" si="52">IFERROR(AU48/AO48-1,"")</f>
        <v>0.11746031746031749</v>
      </c>
      <c r="AV49" s="26">
        <f t="shared" si="52"/>
        <v>9.1430391844536718E-2</v>
      </c>
      <c r="AW49" s="26">
        <f t="shared" si="52"/>
        <v>0.10480349344978146</v>
      </c>
      <c r="AX49" s="26">
        <f t="shared" si="52"/>
        <v>2.6506024096385472E-2</v>
      </c>
      <c r="AY49" s="26">
        <f t="shared" si="52"/>
        <v>7.7944392377381932E-2</v>
      </c>
      <c r="AZ49" s="26">
        <f t="shared" si="52"/>
        <v>-6.1824729891956642E-2</v>
      </c>
      <c r="BA49" s="26">
        <f t="shared" si="52"/>
        <v>-0.18693181818181825</v>
      </c>
      <c r="BB49" s="26">
        <f t="shared" si="52"/>
        <v>-0.12609457092819631</v>
      </c>
      <c r="BC49" s="26">
        <f t="shared" si="52"/>
        <v>-0.18238283455674753</v>
      </c>
      <c r="BD49" s="26">
        <f t="shared" si="52"/>
        <v>-0.14788732394366211</v>
      </c>
      <c r="BE49" s="26">
        <f t="shared" si="52"/>
        <v>-0.14592088103173462</v>
      </c>
      <c r="BF49" s="26">
        <f t="shared" si="52"/>
        <v>-3.2629558541266923E-2</v>
      </c>
      <c r="BG49" s="26">
        <f t="shared" si="52"/>
        <v>6.4989517819706633E-2</v>
      </c>
      <c r="BH49" s="26">
        <f t="shared" si="52"/>
        <v>1.4028056112224574E-2</v>
      </c>
      <c r="BI49" s="26">
        <f t="shared" si="52"/>
        <v>0.11740331491712697</v>
      </c>
      <c r="BJ49" s="26">
        <f t="shared" si="52"/>
        <v>0.12465564738292034</v>
      </c>
      <c r="BK49" s="26">
        <f t="shared" si="52"/>
        <v>6.6677977604343575E-2</v>
      </c>
      <c r="BL49" s="26">
        <f t="shared" si="52"/>
        <v>9.9206349206349298E-2</v>
      </c>
      <c r="BM49" s="26">
        <f t="shared" si="52"/>
        <v>0.1076115485564304</v>
      </c>
      <c r="BN49" s="26">
        <f t="shared" si="52"/>
        <v>0.10342555994729907</v>
      </c>
      <c r="BO49" s="26">
        <f t="shared" si="52"/>
        <v>4.7589616810877589E-2</v>
      </c>
      <c r="BP49" s="26">
        <f t="shared" si="52"/>
        <v>8.940600122473974E-2</v>
      </c>
      <c r="BQ49" s="26">
        <f t="shared" si="52"/>
        <v>8.5414347065372986E-2</v>
      </c>
      <c r="BR49" s="26">
        <f t="shared" si="52"/>
        <v>4.2117930204572884E-2</v>
      </c>
      <c r="BS49" s="26">
        <f t="shared" si="52"/>
        <v>0.10189573459715628</v>
      </c>
      <c r="BT49" s="26">
        <f t="shared" si="52"/>
        <v>7.2238805970149311E-2</v>
      </c>
      <c r="BU49" s="26">
        <f t="shared" si="52"/>
        <v>8.1415929203539905E-2</v>
      </c>
      <c r="BV49" s="26">
        <f t="shared" si="52"/>
        <v>3.4288926363125416E-2</v>
      </c>
      <c r="BW49" s="26">
        <f t="shared" si="52"/>
        <v>6.4624853458382203E-2</v>
      </c>
      <c r="BX49" s="26">
        <f t="shared" si="52"/>
        <v>7.21709006928406E-2</v>
      </c>
      <c r="BY49" s="26">
        <f t="shared" si="52"/>
        <v>4.5161290322580649E-2</v>
      </c>
      <c r="BZ49" s="26">
        <f t="shared" si="52"/>
        <v>5.8184855233853083E-2</v>
      </c>
      <c r="CA49" s="26">
        <f t="shared" ref="CA49:CO49" si="53">IFERROR(CA48/BU48-1,"")</f>
        <v>9.2198581560283488E-2</v>
      </c>
      <c r="CB49" s="26">
        <f t="shared" si="53"/>
        <v>6.7934782608695565E-2</v>
      </c>
      <c r="CC49" s="26">
        <f t="shared" si="53"/>
        <v>6.923606331727461E-2</v>
      </c>
      <c r="CD49" s="26">
        <f t="shared" si="53"/>
        <v>0.30586968228325273</v>
      </c>
      <c r="CE49" s="26">
        <f t="shared" si="53"/>
        <v>0.36213991769547338</v>
      </c>
      <c r="CF49" s="26">
        <f t="shared" si="53"/>
        <v>0.33464877663772685</v>
      </c>
      <c r="CG49" s="26">
        <f t="shared" si="53"/>
        <v>0.3761238761238761</v>
      </c>
      <c r="CH49" s="26">
        <f t="shared" si="53"/>
        <v>0.40407124681933837</v>
      </c>
      <c r="CI49" s="26">
        <f t="shared" si="53"/>
        <v>0.36289907312049441</v>
      </c>
      <c r="CJ49" s="26">
        <f t="shared" si="53"/>
        <v>0.14432989690721643</v>
      </c>
      <c r="CK49" s="26">
        <f t="shared" si="53"/>
        <v>8.157099697885184E-2</v>
      </c>
      <c r="CL49" s="26">
        <f t="shared" si="53"/>
        <v>0.11157106248767978</v>
      </c>
      <c r="CM49" s="27">
        <f t="shared" si="53"/>
        <v>8.157099697885184E-2</v>
      </c>
      <c r="CN49" s="27">
        <f t="shared" si="53"/>
        <v>8.157099697885184E-2</v>
      </c>
      <c r="CO49" s="27">
        <f t="shared" si="53"/>
        <v>9.5946205472880797E-2</v>
      </c>
      <c r="CP49" s="27">
        <f>CHOOSE(MATCH($CT$2,{"Bull","Base","Bear"},0),$DC$33,$DD$33,$DE$33)</f>
        <v>0.06</v>
      </c>
      <c r="CQ49" s="27">
        <f>CHOOSE(MATCH($CT$2,{"Bull","Base","Bear"},0),$DC$34,$DD$34,$DE$34)</f>
        <v>5.5E-2</v>
      </c>
      <c r="CR49" s="27">
        <f>CHOOSE(MATCH($CT$2,{"Bull","Base","Bear"},0),$DC$35,$DD$35,$DE$35)</f>
        <v>0.05</v>
      </c>
      <c r="CS49" s="27">
        <f>CHOOSE(MATCH($CT$2,{"Bull","Base","Bear"},0),$DC$36,$DD$36,$DE$36)</f>
        <v>0.05</v>
      </c>
      <c r="CT49" s="22" t="s">
        <v>155</v>
      </c>
      <c r="CV49" s="6"/>
      <c r="CW49" s="6"/>
      <c r="CX49" s="6"/>
      <c r="CY49" s="6"/>
    </row>
    <row r="50" spans="2:110" ht="15" customHeight="1" x14ac:dyDescent="0.25">
      <c r="B50" s="12" t="s">
        <v>108</v>
      </c>
      <c r="C50" s="29"/>
      <c r="D50" s="29"/>
      <c r="E50" s="30">
        <v>68.7</v>
      </c>
      <c r="F50" s="30">
        <v>60.1</v>
      </c>
      <c r="G50" s="30">
        <v>57.8</v>
      </c>
      <c r="H50" s="30">
        <v>87.4</v>
      </c>
      <c r="I50" s="30">
        <v>80.5</v>
      </c>
      <c r="J50" s="30">
        <v>20.2</v>
      </c>
      <c r="K50" s="30">
        <v>20.6</v>
      </c>
      <c r="L50" s="29">
        <f>J50+K50</f>
        <v>40.799999999999997</v>
      </c>
      <c r="M50" s="30">
        <v>9.3000000000000007</v>
      </c>
      <c r="N50" s="30">
        <v>15.6</v>
      </c>
      <c r="O50" s="30">
        <v>65.7</v>
      </c>
      <c r="P50" s="30">
        <v>23.8</v>
      </c>
      <c r="Q50" s="30">
        <v>22.9</v>
      </c>
      <c r="R50" s="29">
        <f>P50+Q50</f>
        <v>46.7</v>
      </c>
      <c r="S50" s="30">
        <v>21.6</v>
      </c>
      <c r="T50" s="30">
        <v>20</v>
      </c>
      <c r="U50" s="30">
        <v>88.3</v>
      </c>
      <c r="V50" s="30">
        <v>19.399999999999999</v>
      </c>
      <c r="W50" s="30">
        <v>20.6</v>
      </c>
      <c r="X50" s="29">
        <f>V50+W50</f>
        <v>40</v>
      </c>
      <c r="Y50" s="30">
        <v>23.5</v>
      </c>
      <c r="Z50" s="30">
        <v>21.3</v>
      </c>
      <c r="AA50" s="30">
        <v>84.8</v>
      </c>
      <c r="AB50" s="30">
        <v>24.1</v>
      </c>
      <c r="AC50" s="30">
        <v>28</v>
      </c>
      <c r="AD50" s="29">
        <f>AB50+AC50</f>
        <v>52.1</v>
      </c>
      <c r="AE50" s="30">
        <v>31.5</v>
      </c>
      <c r="AF50" s="30">
        <v>28.5</v>
      </c>
      <c r="AG50" s="30">
        <v>112.1</v>
      </c>
      <c r="AH50" s="30">
        <v>24.8</v>
      </c>
      <c r="AI50" s="30">
        <v>29.2</v>
      </c>
      <c r="AJ50" s="29">
        <f>AH50+AI50</f>
        <v>54</v>
      </c>
      <c r="AK50" s="30">
        <v>28.2</v>
      </c>
      <c r="AL50" s="30">
        <v>34.1</v>
      </c>
      <c r="AM50" s="30">
        <v>113</v>
      </c>
      <c r="AN50" s="30">
        <v>30.8</v>
      </c>
      <c r="AO50" s="30">
        <v>32.6</v>
      </c>
      <c r="AP50" s="29">
        <f>AN50+AO50</f>
        <v>63.400000000000006</v>
      </c>
      <c r="AQ50" s="30">
        <v>33</v>
      </c>
      <c r="AR50" s="30">
        <v>35.4</v>
      </c>
      <c r="AS50" s="30">
        <v>131.80000000000001</v>
      </c>
      <c r="AT50" s="30">
        <v>32.5</v>
      </c>
      <c r="AU50" s="30">
        <v>38.6</v>
      </c>
      <c r="AV50" s="29">
        <f>AT50+AU50</f>
        <v>71.099999999999994</v>
      </c>
      <c r="AW50" s="30">
        <v>39.5</v>
      </c>
      <c r="AX50" s="30">
        <v>32.799999999999997</v>
      </c>
      <c r="AY50" s="30">
        <v>143.4</v>
      </c>
      <c r="AZ50" s="30">
        <v>13.4</v>
      </c>
      <c r="BA50" s="30">
        <v>17.5</v>
      </c>
      <c r="BB50" s="29">
        <f>AZ50+BA50</f>
        <v>30.9</v>
      </c>
      <c r="BC50" s="30">
        <v>26.7</v>
      </c>
      <c r="BD50" s="30">
        <v>23.2</v>
      </c>
      <c r="BE50" s="30">
        <v>80.8</v>
      </c>
      <c r="BF50" s="30">
        <v>28.3</v>
      </c>
      <c r="BG50" s="30">
        <v>28.4</v>
      </c>
      <c r="BH50" s="29">
        <f>BF50+BG50</f>
        <v>56.7</v>
      </c>
      <c r="BI50" s="30">
        <v>35.9</v>
      </c>
      <c r="BJ50" s="30">
        <v>40.6</v>
      </c>
      <c r="BK50" s="30">
        <v>133.19999999999999</v>
      </c>
      <c r="BL50" s="30">
        <v>42.9</v>
      </c>
      <c r="BM50" s="30">
        <v>44.1</v>
      </c>
      <c r="BN50" s="29">
        <f>BL50+BM50</f>
        <v>87</v>
      </c>
      <c r="BO50" s="30">
        <v>44.3</v>
      </c>
      <c r="BP50" s="30">
        <v>52.8</v>
      </c>
      <c r="BQ50" s="30">
        <v>184.1</v>
      </c>
      <c r="BR50" s="30">
        <v>47</v>
      </c>
      <c r="BS50" s="30">
        <v>53.2</v>
      </c>
      <c r="BT50" s="29">
        <f>BR50+BS50</f>
        <v>100.2</v>
      </c>
      <c r="BU50" s="30">
        <v>49.4</v>
      </c>
      <c r="BV50" s="30">
        <v>50</v>
      </c>
      <c r="BW50" s="30">
        <v>199.6</v>
      </c>
      <c r="BX50" s="30">
        <v>51.9</v>
      </c>
      <c r="BY50" s="30">
        <v>57.1</v>
      </c>
      <c r="BZ50" s="29">
        <f>BX50+BY50</f>
        <v>109</v>
      </c>
      <c r="CA50" s="30">
        <v>56.3</v>
      </c>
      <c r="CB50" s="30">
        <v>56.4</v>
      </c>
      <c r="CC50" s="30">
        <v>221.7</v>
      </c>
      <c r="CD50" s="30">
        <v>55.7</v>
      </c>
      <c r="CE50" s="30">
        <v>66.599999999999994</v>
      </c>
      <c r="CF50" s="29">
        <f>CD50+CE50</f>
        <v>122.3</v>
      </c>
      <c r="CG50" s="30">
        <v>70.400000000000006</v>
      </c>
      <c r="CH50" s="30">
        <v>69.400000000000006</v>
      </c>
      <c r="CI50" s="30">
        <v>262.10000000000002</v>
      </c>
      <c r="CJ50" s="30">
        <v>71.400000000000006</v>
      </c>
      <c r="CK50" s="30">
        <v>74.5</v>
      </c>
      <c r="CL50" s="29">
        <f>CJ50+CK50</f>
        <v>145.9</v>
      </c>
      <c r="CM50" s="31">
        <f>CM53-CM51-CM52</f>
        <v>78.317838331058482</v>
      </c>
      <c r="CN50" s="31">
        <f>CN53-CN51-CN52</f>
        <v>70.200005629273107</v>
      </c>
      <c r="CO50" s="31">
        <f>SUM(CJ50,CK50,CM50,CN50)</f>
        <v>294.4178439603316</v>
      </c>
      <c r="CP50" s="31">
        <f>CP53-CP51-CP52</f>
        <v>323.3024501246756</v>
      </c>
      <c r="CQ50" s="31">
        <f>CQ53-CQ51-CQ52</f>
        <v>346.42391804386995</v>
      </c>
      <c r="CR50" s="31">
        <f>CR53-CR51-CR52</f>
        <v>373.23815896898248</v>
      </c>
      <c r="CS50" s="31">
        <f>CS53-CS51-CS52</f>
        <v>401.04901921008161</v>
      </c>
      <c r="CT50" s="22" t="s">
        <v>109</v>
      </c>
      <c r="CV50" s="23">
        <f>IFERROR((CS50/CI50)^(1/5)-1,"n/m")</f>
        <v>8.879492405884637E-2</v>
      </c>
      <c r="CW50" s="23">
        <f>IFERROR((CI50/BE50)^(1/5)-1,"n/m")</f>
        <v>0.2653513478615217</v>
      </c>
      <c r="CX50" s="23">
        <f>IFERROR((CI50/AA50)^(1/10)-1,"n/m")</f>
        <v>0.11945622806596057</v>
      </c>
      <c r="CY50" s="23" t="str">
        <f>IFERROR((CI50/C50)^(1/19)-1,"n/m")</f>
        <v>n/m</v>
      </c>
      <c r="DB50" s="17" t="s">
        <v>156</v>
      </c>
      <c r="DC50" s="41">
        <v>0.01</v>
      </c>
      <c r="DD50" s="24" t="s">
        <v>127</v>
      </c>
      <c r="DE50" s="41">
        <v>-0.02</v>
      </c>
      <c r="DF50" s="15" t="s">
        <v>157</v>
      </c>
    </row>
    <row r="51" spans="2:110" ht="15" customHeight="1" x14ac:dyDescent="0.25">
      <c r="B51" s="12" t="s">
        <v>111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30">
        <v>0.2</v>
      </c>
      <c r="BA51" s="30">
        <v>0.2</v>
      </c>
      <c r="BB51" s="29">
        <f>AZ51+BA51</f>
        <v>0.4</v>
      </c>
      <c r="BC51" s="30">
        <v>0.3</v>
      </c>
      <c r="BD51" s="30">
        <v>0.2</v>
      </c>
      <c r="BE51" s="30">
        <v>0.9</v>
      </c>
      <c r="BF51" s="30">
        <v>0.2</v>
      </c>
      <c r="BG51" s="30">
        <v>0.2</v>
      </c>
      <c r="BH51" s="29">
        <f>BF51+BG51</f>
        <v>0.4</v>
      </c>
      <c r="BI51" s="30">
        <v>0.2</v>
      </c>
      <c r="BJ51" s="30">
        <v>0.2</v>
      </c>
      <c r="BK51" s="30">
        <v>0.8</v>
      </c>
      <c r="BL51" s="30">
        <v>0.2</v>
      </c>
      <c r="BM51" s="30">
        <v>0.2</v>
      </c>
      <c r="BN51" s="29">
        <f>BL51+BM51</f>
        <v>0.4</v>
      </c>
      <c r="BO51" s="30">
        <v>0.2</v>
      </c>
      <c r="BP51" s="30">
        <v>0.2</v>
      </c>
      <c r="BQ51" s="30">
        <v>0.8</v>
      </c>
      <c r="BR51" s="30">
        <v>0.2</v>
      </c>
      <c r="BS51" s="30">
        <v>0.2</v>
      </c>
      <c r="BT51" s="29">
        <f>BR51+BS51</f>
        <v>0.4</v>
      </c>
      <c r="BU51" s="30">
        <v>0.2</v>
      </c>
      <c r="BV51" s="30">
        <v>0.2</v>
      </c>
      <c r="BW51" s="30">
        <v>0.8</v>
      </c>
      <c r="BX51" s="30">
        <v>0.2</v>
      </c>
      <c r="BY51" s="30">
        <v>0.2</v>
      </c>
      <c r="BZ51" s="29">
        <f>BX51+BY51</f>
        <v>0.4</v>
      </c>
      <c r="CA51" s="30">
        <v>0.2</v>
      </c>
      <c r="CB51" s="30">
        <v>0.2</v>
      </c>
      <c r="CC51" s="30">
        <v>0.8</v>
      </c>
      <c r="CD51" s="30">
        <v>3.4</v>
      </c>
      <c r="CE51" s="30">
        <v>5</v>
      </c>
      <c r="CF51" s="29">
        <f>CD51+CE51</f>
        <v>8.4</v>
      </c>
      <c r="CG51" s="30">
        <v>5</v>
      </c>
      <c r="CH51" s="30">
        <v>5</v>
      </c>
      <c r="CI51" s="30">
        <v>18.399999999999999</v>
      </c>
      <c r="CJ51" s="30">
        <v>6.1</v>
      </c>
      <c r="CK51" s="30">
        <v>5.2</v>
      </c>
      <c r="CL51" s="29">
        <f>CJ51+CK51</f>
        <v>11.3</v>
      </c>
      <c r="CM51" s="31">
        <f>CM125*$CL$51/($CL$14+$CL$31+$CL$51+$CL$70)</f>
        <v>5.5903169014084506</v>
      </c>
      <c r="CN51" s="31">
        <f>CN125*$CL$51/($CL$14+$CL$31+$CL$51+$CL$70)</f>
        <v>5.5903169014084506</v>
      </c>
      <c r="CO51" s="31">
        <f>SUM(CJ51,CK51,CM51,CN51)</f>
        <v>22.4806338028169</v>
      </c>
      <c r="CP51" s="31">
        <f>CP371*$CL$51/($CL$14+$CL$31+$CL$51+$CL$70)</f>
        <v>21.068133802816902</v>
      </c>
      <c r="CQ51" s="31">
        <f>CQ371*$CL$51/($CL$14+$CL$31+$CL$51+$CL$70)</f>
        <v>20.779665492957747</v>
      </c>
      <c r="CR51" s="31">
        <f>CR371*$CL$51/($CL$14+$CL$31+$CL$51+$CL$70)</f>
        <v>16.412852112676056</v>
      </c>
      <c r="CS51" s="31">
        <f>CS371*$CL$51/($CL$14+$CL$31+$CL$51+$CL$70)</f>
        <v>13.806690140845072</v>
      </c>
      <c r="CT51" s="22" t="s">
        <v>112</v>
      </c>
      <c r="CV51" s="6"/>
      <c r="CW51" s="6"/>
      <c r="CX51" s="6"/>
      <c r="CY51" s="6"/>
      <c r="DB51" s="12" t="s">
        <v>130</v>
      </c>
      <c r="DC51" s="42">
        <f>DD51+$DC$50</f>
        <v>0.28000000000000003</v>
      </c>
      <c r="DD51" s="35">
        <v>0.27</v>
      </c>
      <c r="DE51" s="42">
        <f>DD51+$DE$50</f>
        <v>0.25</v>
      </c>
    </row>
    <row r="52" spans="2:110" ht="15" customHeight="1" x14ac:dyDescent="0.25">
      <c r="B52" s="12" t="s">
        <v>114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30">
        <v>3.8</v>
      </c>
      <c r="CE52" s="30">
        <v>1.8</v>
      </c>
      <c r="CF52" s="29">
        <f>CD52+CE52</f>
        <v>5.6</v>
      </c>
      <c r="CG52" s="30">
        <v>1.9</v>
      </c>
      <c r="CH52" s="30">
        <v>0.7</v>
      </c>
      <c r="CI52" s="30">
        <v>8.1999999999999993</v>
      </c>
      <c r="CJ52" s="29"/>
      <c r="CK52" s="29"/>
      <c r="CL52" s="29"/>
      <c r="CM52" s="32">
        <v>0</v>
      </c>
      <c r="CN52" s="32">
        <v>0</v>
      </c>
      <c r="CO52" s="31">
        <f>SUM(CJ52,CK52,CM52,CN52)</f>
        <v>0</v>
      </c>
      <c r="CP52" s="32">
        <v>0</v>
      </c>
      <c r="CQ52" s="32">
        <v>0</v>
      </c>
      <c r="CR52" s="32">
        <v>0</v>
      </c>
      <c r="CS52" s="32">
        <v>0</v>
      </c>
      <c r="CT52" s="22"/>
      <c r="CV52" s="6"/>
      <c r="CW52" s="6"/>
      <c r="CX52" s="6"/>
      <c r="CY52" s="6"/>
      <c r="DB52" s="12" t="s">
        <v>132</v>
      </c>
      <c r="DC52" s="42">
        <f>DD52+$DC$50</f>
        <v>0.28500000000000003</v>
      </c>
      <c r="DD52" s="35">
        <v>0.27500000000000002</v>
      </c>
      <c r="DE52" s="42">
        <f>DD52+$DE$50</f>
        <v>0.255</v>
      </c>
    </row>
    <row r="53" spans="2:110" ht="15" customHeight="1" x14ac:dyDescent="0.25">
      <c r="B53" s="33" t="s">
        <v>117</v>
      </c>
      <c r="C53" s="34" t="str">
        <f t="shared" ref="C53:AH53" si="54">IF(OR(ISNUMBER(C54),ISNUMBER(C51)),C50+N(C51)+N(C52),"")</f>
        <v/>
      </c>
      <c r="D53" s="34" t="str">
        <f t="shared" si="54"/>
        <v/>
      </c>
      <c r="E53" s="34" t="str">
        <f t="shared" si="54"/>
        <v/>
      </c>
      <c r="F53" s="34" t="str">
        <f t="shared" si="54"/>
        <v/>
      </c>
      <c r="G53" s="34" t="str">
        <f t="shared" si="54"/>
        <v/>
      </c>
      <c r="H53" s="34" t="str">
        <f t="shared" si="54"/>
        <v/>
      </c>
      <c r="I53" s="34" t="str">
        <f t="shared" si="54"/>
        <v/>
      </c>
      <c r="J53" s="19" t="str">
        <f t="shared" si="54"/>
        <v/>
      </c>
      <c r="K53" s="19" t="str">
        <f t="shared" si="54"/>
        <v/>
      </c>
      <c r="L53" s="19" t="str">
        <f t="shared" si="54"/>
        <v/>
      </c>
      <c r="M53" s="19" t="str">
        <f t="shared" si="54"/>
        <v/>
      </c>
      <c r="N53" s="19" t="str">
        <f t="shared" si="54"/>
        <v/>
      </c>
      <c r="O53" s="34" t="str">
        <f t="shared" si="54"/>
        <v/>
      </c>
      <c r="P53" s="19" t="str">
        <f t="shared" si="54"/>
        <v/>
      </c>
      <c r="Q53" s="19" t="str">
        <f t="shared" si="54"/>
        <v/>
      </c>
      <c r="R53" s="19" t="str">
        <f t="shared" si="54"/>
        <v/>
      </c>
      <c r="S53" s="19" t="str">
        <f t="shared" si="54"/>
        <v/>
      </c>
      <c r="T53" s="19" t="str">
        <f t="shared" si="54"/>
        <v/>
      </c>
      <c r="U53" s="34" t="str">
        <f t="shared" si="54"/>
        <v/>
      </c>
      <c r="V53" s="19" t="str">
        <f t="shared" si="54"/>
        <v/>
      </c>
      <c r="W53" s="19" t="str">
        <f t="shared" si="54"/>
        <v/>
      </c>
      <c r="X53" s="19" t="str">
        <f t="shared" si="54"/>
        <v/>
      </c>
      <c r="Y53" s="19" t="str">
        <f t="shared" si="54"/>
        <v/>
      </c>
      <c r="Z53" s="19" t="str">
        <f t="shared" si="54"/>
        <v/>
      </c>
      <c r="AA53" s="34" t="str">
        <f t="shared" si="54"/>
        <v/>
      </c>
      <c r="AB53" s="19" t="str">
        <f t="shared" si="54"/>
        <v/>
      </c>
      <c r="AC53" s="19" t="str">
        <f t="shared" si="54"/>
        <v/>
      </c>
      <c r="AD53" s="19" t="str">
        <f t="shared" si="54"/>
        <v/>
      </c>
      <c r="AE53" s="19" t="str">
        <f t="shared" si="54"/>
        <v/>
      </c>
      <c r="AF53" s="19" t="str">
        <f t="shared" si="54"/>
        <v/>
      </c>
      <c r="AG53" s="34" t="str">
        <f t="shared" si="54"/>
        <v/>
      </c>
      <c r="AH53" s="19" t="str">
        <f t="shared" si="54"/>
        <v/>
      </c>
      <c r="AI53" s="19" t="str">
        <f t="shared" ref="AI53:BN53" si="55">IF(OR(ISNUMBER(AI54),ISNUMBER(AI51)),AI50+N(AI51)+N(AI52),"")</f>
        <v/>
      </c>
      <c r="AJ53" s="19" t="str">
        <f t="shared" si="55"/>
        <v/>
      </c>
      <c r="AK53" s="19" t="str">
        <f t="shared" si="55"/>
        <v/>
      </c>
      <c r="AL53" s="19" t="str">
        <f t="shared" si="55"/>
        <v/>
      </c>
      <c r="AM53" s="34" t="str">
        <f t="shared" si="55"/>
        <v/>
      </c>
      <c r="AN53" s="19" t="str">
        <f t="shared" si="55"/>
        <v/>
      </c>
      <c r="AO53" s="19" t="str">
        <f t="shared" si="55"/>
        <v/>
      </c>
      <c r="AP53" s="19" t="str">
        <f t="shared" si="55"/>
        <v/>
      </c>
      <c r="AQ53" s="19" t="str">
        <f t="shared" si="55"/>
        <v/>
      </c>
      <c r="AR53" s="19" t="str">
        <f t="shared" si="55"/>
        <v/>
      </c>
      <c r="AS53" s="34" t="str">
        <f t="shared" si="55"/>
        <v/>
      </c>
      <c r="AT53" s="19" t="str">
        <f t="shared" si="55"/>
        <v/>
      </c>
      <c r="AU53" s="19" t="str">
        <f t="shared" si="55"/>
        <v/>
      </c>
      <c r="AV53" s="19" t="str">
        <f t="shared" si="55"/>
        <v/>
      </c>
      <c r="AW53" s="19" t="str">
        <f t="shared" si="55"/>
        <v/>
      </c>
      <c r="AX53" s="19" t="str">
        <f t="shared" si="55"/>
        <v/>
      </c>
      <c r="AY53" s="34" t="str">
        <f t="shared" si="55"/>
        <v/>
      </c>
      <c r="AZ53" s="19">
        <f t="shared" si="55"/>
        <v>13.6</v>
      </c>
      <c r="BA53" s="19">
        <f t="shared" si="55"/>
        <v>17.7</v>
      </c>
      <c r="BB53" s="19">
        <f t="shared" si="55"/>
        <v>31.299999999999997</v>
      </c>
      <c r="BC53" s="19">
        <f t="shared" si="55"/>
        <v>27</v>
      </c>
      <c r="BD53" s="19">
        <f t="shared" si="55"/>
        <v>23.4</v>
      </c>
      <c r="BE53" s="34">
        <f t="shared" si="55"/>
        <v>81.7</v>
      </c>
      <c r="BF53" s="19">
        <f t="shared" si="55"/>
        <v>28.5</v>
      </c>
      <c r="BG53" s="19">
        <f t="shared" si="55"/>
        <v>28.599999999999998</v>
      </c>
      <c r="BH53" s="19">
        <f t="shared" si="55"/>
        <v>57.1</v>
      </c>
      <c r="BI53" s="19">
        <f t="shared" si="55"/>
        <v>36.1</v>
      </c>
      <c r="BJ53" s="19">
        <f t="shared" si="55"/>
        <v>40.800000000000004</v>
      </c>
      <c r="BK53" s="34">
        <f t="shared" si="55"/>
        <v>134</v>
      </c>
      <c r="BL53" s="19">
        <f t="shared" si="55"/>
        <v>43.1</v>
      </c>
      <c r="BM53" s="19">
        <f t="shared" si="55"/>
        <v>44.300000000000004</v>
      </c>
      <c r="BN53" s="19">
        <f t="shared" si="55"/>
        <v>87.4</v>
      </c>
      <c r="BO53" s="19">
        <f t="shared" ref="BO53:CL53" si="56">IF(OR(ISNUMBER(BO54),ISNUMBER(BO51)),BO50+N(BO51)+N(BO52),"")</f>
        <v>44.5</v>
      </c>
      <c r="BP53" s="19">
        <f t="shared" si="56"/>
        <v>53</v>
      </c>
      <c r="BQ53" s="34">
        <f t="shared" si="56"/>
        <v>184.9</v>
      </c>
      <c r="BR53" s="19">
        <f t="shared" si="56"/>
        <v>47.2</v>
      </c>
      <c r="BS53" s="19">
        <f t="shared" si="56"/>
        <v>53.400000000000006</v>
      </c>
      <c r="BT53" s="19">
        <f t="shared" si="56"/>
        <v>100.60000000000001</v>
      </c>
      <c r="BU53" s="19">
        <f t="shared" si="56"/>
        <v>49.6</v>
      </c>
      <c r="BV53" s="19">
        <f t="shared" si="56"/>
        <v>50.2</v>
      </c>
      <c r="BW53" s="34">
        <f t="shared" si="56"/>
        <v>200.4</v>
      </c>
      <c r="BX53" s="19">
        <f t="shared" si="56"/>
        <v>52.1</v>
      </c>
      <c r="BY53" s="19">
        <f t="shared" si="56"/>
        <v>57.300000000000004</v>
      </c>
      <c r="BZ53" s="19">
        <f t="shared" si="56"/>
        <v>109.4</v>
      </c>
      <c r="CA53" s="19">
        <f t="shared" si="56"/>
        <v>56.5</v>
      </c>
      <c r="CB53" s="19">
        <f t="shared" si="56"/>
        <v>56.6</v>
      </c>
      <c r="CC53" s="34">
        <f t="shared" si="56"/>
        <v>222.5</v>
      </c>
      <c r="CD53" s="19">
        <f t="shared" si="56"/>
        <v>62.9</v>
      </c>
      <c r="CE53" s="19">
        <f t="shared" si="56"/>
        <v>73.399999999999991</v>
      </c>
      <c r="CF53" s="19">
        <f t="shared" si="56"/>
        <v>136.29999999999998</v>
      </c>
      <c r="CG53" s="19">
        <f t="shared" si="56"/>
        <v>77.300000000000011</v>
      </c>
      <c r="CH53" s="19">
        <f t="shared" si="56"/>
        <v>75.100000000000009</v>
      </c>
      <c r="CI53" s="34">
        <f t="shared" si="56"/>
        <v>288.7</v>
      </c>
      <c r="CJ53" s="19">
        <f t="shared" si="56"/>
        <v>77.5</v>
      </c>
      <c r="CK53" s="19">
        <f t="shared" si="56"/>
        <v>79.7</v>
      </c>
      <c r="CL53" s="19">
        <f t="shared" si="56"/>
        <v>157.20000000000002</v>
      </c>
      <c r="CM53" s="34">
        <f>CM48*CM57</f>
        <v>83.908155232466939</v>
      </c>
      <c r="CN53" s="34">
        <f>CN48*CN57</f>
        <v>75.790322530681564</v>
      </c>
      <c r="CO53" s="34">
        <f>SUM(CJ53,CK53,CM53,CN53)</f>
        <v>316.89847776314849</v>
      </c>
      <c r="CP53" s="34">
        <f>CP48*CP57</f>
        <v>344.37058392749248</v>
      </c>
      <c r="CQ53" s="34">
        <f>CQ48*CQ57</f>
        <v>367.20358353682769</v>
      </c>
      <c r="CR53" s="34">
        <f>CR48*CR57</f>
        <v>389.65101108165851</v>
      </c>
      <c r="CS53" s="34">
        <f>CS48*CS57</f>
        <v>414.8557093509267</v>
      </c>
      <c r="CT53" s="22" t="s">
        <v>118</v>
      </c>
      <c r="CV53" s="23">
        <f>IFERROR((CS53/CI53)^(1/5)-1,"n/m")</f>
        <v>7.5201985005849403E-2</v>
      </c>
      <c r="CW53" s="23">
        <f>IFERROR((CI53/BE53)^(1/5)-1,"n/m")</f>
        <v>0.28719678234455048</v>
      </c>
      <c r="CX53" s="23" t="str">
        <f>IFERROR((CI53/AA53)^(1/10)-1,"n/m")</f>
        <v>n/m</v>
      </c>
      <c r="CY53" s="23" t="str">
        <f>IFERROR((CI53/C53)^(1/19)-1,"n/m")</f>
        <v>n/m</v>
      </c>
      <c r="DB53" s="12" t="s">
        <v>134</v>
      </c>
      <c r="DC53" s="42">
        <f>DD53+$DC$50</f>
        <v>0.29000000000000004</v>
      </c>
      <c r="DD53" s="35">
        <v>0.28000000000000003</v>
      </c>
      <c r="DE53" s="42">
        <f>DD53+$DE$50</f>
        <v>0.26</v>
      </c>
    </row>
    <row r="54" spans="2:110" ht="15" customHeight="1" x14ac:dyDescent="0.25">
      <c r="B54" s="36" t="s">
        <v>120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30">
        <v>13.6</v>
      </c>
      <c r="BA54" s="30">
        <v>17.7</v>
      </c>
      <c r="BB54" s="29">
        <f>AZ54+BA54</f>
        <v>31.299999999999997</v>
      </c>
      <c r="BC54" s="30">
        <v>27</v>
      </c>
      <c r="BD54" s="30">
        <v>23.4</v>
      </c>
      <c r="BE54" s="30">
        <v>81.7</v>
      </c>
      <c r="BF54" s="30">
        <v>28.5</v>
      </c>
      <c r="BG54" s="30">
        <v>28.6</v>
      </c>
      <c r="BH54" s="29">
        <f>BF54+BG54</f>
        <v>57.1</v>
      </c>
      <c r="BI54" s="30">
        <v>36.1</v>
      </c>
      <c r="BJ54" s="30">
        <v>40.799999999999997</v>
      </c>
      <c r="BK54" s="30">
        <v>134</v>
      </c>
      <c r="BL54" s="30">
        <v>43.1</v>
      </c>
      <c r="BM54" s="30">
        <v>44.3</v>
      </c>
      <c r="BN54" s="29">
        <f>BL54+BM54</f>
        <v>87.4</v>
      </c>
      <c r="BO54" s="30">
        <v>44.5</v>
      </c>
      <c r="BP54" s="30">
        <v>53</v>
      </c>
      <c r="BQ54" s="30">
        <v>184.9</v>
      </c>
      <c r="BR54" s="30">
        <v>47.2</v>
      </c>
      <c r="BS54" s="30">
        <v>53.4</v>
      </c>
      <c r="BT54" s="29">
        <f>BR54+BS54</f>
        <v>100.6</v>
      </c>
      <c r="BU54" s="30">
        <v>49.6</v>
      </c>
      <c r="BV54" s="30">
        <v>50.2</v>
      </c>
      <c r="BW54" s="30">
        <v>200.4</v>
      </c>
      <c r="BX54" s="30">
        <v>52.1</v>
      </c>
      <c r="BY54" s="30">
        <v>57.3</v>
      </c>
      <c r="BZ54" s="29">
        <f>BX54+BY54</f>
        <v>109.4</v>
      </c>
      <c r="CA54" s="30">
        <v>56.5</v>
      </c>
      <c r="CB54" s="30">
        <v>56.6</v>
      </c>
      <c r="CC54" s="30">
        <v>222.5</v>
      </c>
      <c r="CD54" s="30">
        <v>62.9</v>
      </c>
      <c r="CE54" s="30">
        <v>73.400000000000006</v>
      </c>
      <c r="CF54" s="29">
        <f>CD54+CE54</f>
        <v>136.30000000000001</v>
      </c>
      <c r="CG54" s="30">
        <v>77.3</v>
      </c>
      <c r="CH54" s="30">
        <v>75.099999999999994</v>
      </c>
      <c r="CI54" s="30">
        <v>288.7</v>
      </c>
      <c r="CJ54" s="30">
        <v>77.5</v>
      </c>
      <c r="CK54" s="30">
        <v>79.7</v>
      </c>
      <c r="CL54" s="29">
        <f>CJ54+CK54</f>
        <v>157.19999999999999</v>
      </c>
      <c r="CM54" s="31"/>
      <c r="CN54" s="31"/>
      <c r="CO54" s="31"/>
      <c r="CP54" s="31"/>
      <c r="CQ54" s="31"/>
      <c r="CR54" s="31"/>
      <c r="CS54" s="31"/>
      <c r="CT54" s="22"/>
      <c r="CV54" s="6"/>
      <c r="CW54" s="6"/>
      <c r="CX54" s="6"/>
      <c r="CY54" s="6"/>
      <c r="DB54" s="12" t="s">
        <v>136</v>
      </c>
      <c r="DC54" s="42">
        <f>DD54+$DC$50</f>
        <v>0.29499999999999998</v>
      </c>
      <c r="DD54" s="35">
        <v>0.28499999999999998</v>
      </c>
      <c r="DE54" s="42">
        <f>DD54+$DE$50</f>
        <v>0.26499999999999996</v>
      </c>
    </row>
    <row r="55" spans="2:110" ht="15" customHeight="1" x14ac:dyDescent="0.25">
      <c r="B55" s="38" t="s">
        <v>122</v>
      </c>
      <c r="C55" s="29" t="str">
        <f t="shared" ref="C55:AH55" si="57">IF(ISNUMBER(C54),ROUND(C53-C54,1),"n/p")</f>
        <v>n/p</v>
      </c>
      <c r="D55" s="29" t="str">
        <f t="shared" si="57"/>
        <v>n/p</v>
      </c>
      <c r="E55" s="29" t="str">
        <f t="shared" si="57"/>
        <v>n/p</v>
      </c>
      <c r="F55" s="29" t="str">
        <f t="shared" si="57"/>
        <v>n/p</v>
      </c>
      <c r="G55" s="29" t="str">
        <f t="shared" si="57"/>
        <v>n/p</v>
      </c>
      <c r="H55" s="29" t="str">
        <f t="shared" si="57"/>
        <v>n/p</v>
      </c>
      <c r="I55" s="29" t="str">
        <f t="shared" si="57"/>
        <v>n/p</v>
      </c>
      <c r="J55" s="29" t="str">
        <f t="shared" si="57"/>
        <v>n/p</v>
      </c>
      <c r="K55" s="29" t="str">
        <f t="shared" si="57"/>
        <v>n/p</v>
      </c>
      <c r="L55" s="29" t="str">
        <f t="shared" si="57"/>
        <v>n/p</v>
      </c>
      <c r="M55" s="29" t="str">
        <f t="shared" si="57"/>
        <v>n/p</v>
      </c>
      <c r="N55" s="29" t="str">
        <f t="shared" si="57"/>
        <v>n/p</v>
      </c>
      <c r="O55" s="29" t="str">
        <f t="shared" si="57"/>
        <v>n/p</v>
      </c>
      <c r="P55" s="29" t="str">
        <f t="shared" si="57"/>
        <v>n/p</v>
      </c>
      <c r="Q55" s="29" t="str">
        <f t="shared" si="57"/>
        <v>n/p</v>
      </c>
      <c r="R55" s="29" t="str">
        <f t="shared" si="57"/>
        <v>n/p</v>
      </c>
      <c r="S55" s="29" t="str">
        <f t="shared" si="57"/>
        <v>n/p</v>
      </c>
      <c r="T55" s="29" t="str">
        <f t="shared" si="57"/>
        <v>n/p</v>
      </c>
      <c r="U55" s="29" t="str">
        <f t="shared" si="57"/>
        <v>n/p</v>
      </c>
      <c r="V55" s="29" t="str">
        <f t="shared" si="57"/>
        <v>n/p</v>
      </c>
      <c r="W55" s="29" t="str">
        <f t="shared" si="57"/>
        <v>n/p</v>
      </c>
      <c r="X55" s="29" t="str">
        <f t="shared" si="57"/>
        <v>n/p</v>
      </c>
      <c r="Y55" s="29" t="str">
        <f t="shared" si="57"/>
        <v>n/p</v>
      </c>
      <c r="Z55" s="29" t="str">
        <f t="shared" si="57"/>
        <v>n/p</v>
      </c>
      <c r="AA55" s="29" t="str">
        <f t="shared" si="57"/>
        <v>n/p</v>
      </c>
      <c r="AB55" s="29" t="str">
        <f t="shared" si="57"/>
        <v>n/p</v>
      </c>
      <c r="AC55" s="29" t="str">
        <f t="shared" si="57"/>
        <v>n/p</v>
      </c>
      <c r="AD55" s="29" t="str">
        <f t="shared" si="57"/>
        <v>n/p</v>
      </c>
      <c r="AE55" s="29" t="str">
        <f t="shared" si="57"/>
        <v>n/p</v>
      </c>
      <c r="AF55" s="29" t="str">
        <f t="shared" si="57"/>
        <v>n/p</v>
      </c>
      <c r="AG55" s="29" t="str">
        <f t="shared" si="57"/>
        <v>n/p</v>
      </c>
      <c r="AH55" s="29" t="str">
        <f t="shared" si="57"/>
        <v>n/p</v>
      </c>
      <c r="AI55" s="29" t="str">
        <f t="shared" ref="AI55:BN55" si="58">IF(ISNUMBER(AI54),ROUND(AI53-AI54,1),"n/p")</f>
        <v>n/p</v>
      </c>
      <c r="AJ55" s="29" t="str">
        <f t="shared" si="58"/>
        <v>n/p</v>
      </c>
      <c r="AK55" s="29" t="str">
        <f t="shared" si="58"/>
        <v>n/p</v>
      </c>
      <c r="AL55" s="29" t="str">
        <f t="shared" si="58"/>
        <v>n/p</v>
      </c>
      <c r="AM55" s="29" t="str">
        <f t="shared" si="58"/>
        <v>n/p</v>
      </c>
      <c r="AN55" s="29" t="str">
        <f t="shared" si="58"/>
        <v>n/p</v>
      </c>
      <c r="AO55" s="29" t="str">
        <f t="shared" si="58"/>
        <v>n/p</v>
      </c>
      <c r="AP55" s="29" t="str">
        <f t="shared" si="58"/>
        <v>n/p</v>
      </c>
      <c r="AQ55" s="29" t="str">
        <f t="shared" si="58"/>
        <v>n/p</v>
      </c>
      <c r="AR55" s="29" t="str">
        <f t="shared" si="58"/>
        <v>n/p</v>
      </c>
      <c r="AS55" s="29" t="str">
        <f t="shared" si="58"/>
        <v>n/p</v>
      </c>
      <c r="AT55" s="29" t="str">
        <f t="shared" si="58"/>
        <v>n/p</v>
      </c>
      <c r="AU55" s="29" t="str">
        <f t="shared" si="58"/>
        <v>n/p</v>
      </c>
      <c r="AV55" s="29" t="str">
        <f t="shared" si="58"/>
        <v>n/p</v>
      </c>
      <c r="AW55" s="29" t="str">
        <f t="shared" si="58"/>
        <v>n/p</v>
      </c>
      <c r="AX55" s="29" t="str">
        <f t="shared" si="58"/>
        <v>n/p</v>
      </c>
      <c r="AY55" s="29" t="str">
        <f t="shared" si="58"/>
        <v>n/p</v>
      </c>
      <c r="AZ55" s="29">
        <f t="shared" si="58"/>
        <v>0</v>
      </c>
      <c r="BA55" s="29">
        <f t="shared" si="58"/>
        <v>0</v>
      </c>
      <c r="BB55" s="29">
        <f t="shared" si="58"/>
        <v>0</v>
      </c>
      <c r="BC55" s="29">
        <f t="shared" si="58"/>
        <v>0</v>
      </c>
      <c r="BD55" s="29">
        <f t="shared" si="58"/>
        <v>0</v>
      </c>
      <c r="BE55" s="29">
        <f t="shared" si="58"/>
        <v>0</v>
      </c>
      <c r="BF55" s="29">
        <f t="shared" si="58"/>
        <v>0</v>
      </c>
      <c r="BG55" s="29">
        <f t="shared" si="58"/>
        <v>0</v>
      </c>
      <c r="BH55" s="29">
        <f t="shared" si="58"/>
        <v>0</v>
      </c>
      <c r="BI55" s="29">
        <f t="shared" si="58"/>
        <v>0</v>
      </c>
      <c r="BJ55" s="29">
        <f t="shared" si="58"/>
        <v>0</v>
      </c>
      <c r="BK55" s="29">
        <f t="shared" si="58"/>
        <v>0</v>
      </c>
      <c r="BL55" s="29">
        <f t="shared" si="58"/>
        <v>0</v>
      </c>
      <c r="BM55" s="29">
        <f t="shared" si="58"/>
        <v>0</v>
      </c>
      <c r="BN55" s="29">
        <f t="shared" si="58"/>
        <v>0</v>
      </c>
      <c r="BO55" s="29">
        <f t="shared" ref="BO55:CL55" si="59">IF(ISNUMBER(BO54),ROUND(BO53-BO54,1),"n/p")</f>
        <v>0</v>
      </c>
      <c r="BP55" s="29">
        <f t="shared" si="59"/>
        <v>0</v>
      </c>
      <c r="BQ55" s="29">
        <f t="shared" si="59"/>
        <v>0</v>
      </c>
      <c r="BR55" s="29">
        <f t="shared" si="59"/>
        <v>0</v>
      </c>
      <c r="BS55" s="29">
        <f t="shared" si="59"/>
        <v>0</v>
      </c>
      <c r="BT55" s="29">
        <f t="shared" si="59"/>
        <v>0</v>
      </c>
      <c r="BU55" s="29">
        <f t="shared" si="59"/>
        <v>0</v>
      </c>
      <c r="BV55" s="29">
        <f t="shared" si="59"/>
        <v>0</v>
      </c>
      <c r="BW55" s="29">
        <f t="shared" si="59"/>
        <v>0</v>
      </c>
      <c r="BX55" s="29">
        <f t="shared" si="59"/>
        <v>0</v>
      </c>
      <c r="BY55" s="29">
        <f t="shared" si="59"/>
        <v>0</v>
      </c>
      <c r="BZ55" s="29">
        <f t="shared" si="59"/>
        <v>0</v>
      </c>
      <c r="CA55" s="29">
        <f t="shared" si="59"/>
        <v>0</v>
      </c>
      <c r="CB55" s="29">
        <f t="shared" si="59"/>
        <v>0</v>
      </c>
      <c r="CC55" s="29">
        <f t="shared" si="59"/>
        <v>0</v>
      </c>
      <c r="CD55" s="29">
        <f t="shared" si="59"/>
        <v>0</v>
      </c>
      <c r="CE55" s="29">
        <f t="shared" si="59"/>
        <v>0</v>
      </c>
      <c r="CF55" s="29">
        <f t="shared" si="59"/>
        <v>0</v>
      </c>
      <c r="CG55" s="29">
        <f t="shared" si="59"/>
        <v>0</v>
      </c>
      <c r="CH55" s="29">
        <f t="shared" si="59"/>
        <v>0</v>
      </c>
      <c r="CI55" s="29">
        <f t="shared" si="59"/>
        <v>0</v>
      </c>
      <c r="CJ55" s="29">
        <f t="shared" si="59"/>
        <v>0</v>
      </c>
      <c r="CK55" s="29">
        <f t="shared" si="59"/>
        <v>0</v>
      </c>
      <c r="CL55" s="29">
        <f t="shared" si="59"/>
        <v>0</v>
      </c>
      <c r="CM55" s="31"/>
      <c r="CN55" s="31"/>
      <c r="CO55" s="31"/>
      <c r="CP55" s="31"/>
      <c r="CQ55" s="31"/>
      <c r="CR55" s="31"/>
      <c r="CS55" s="31"/>
      <c r="CT55" s="22"/>
      <c r="CV55" s="6"/>
      <c r="CW55" s="6"/>
      <c r="CX55" s="6"/>
      <c r="CY55" s="6"/>
    </row>
    <row r="56" spans="2:110" ht="15" customHeight="1" x14ac:dyDescent="0.25">
      <c r="B56" s="25" t="s">
        <v>123</v>
      </c>
      <c r="C56" s="39" t="str">
        <f t="shared" ref="C56:AH56" si="60">IFERROR(C50/C48,"")</f>
        <v/>
      </c>
      <c r="D56" s="39" t="str">
        <f t="shared" si="60"/>
        <v/>
      </c>
      <c r="E56" s="39">
        <f t="shared" si="60"/>
        <v>0.11372289356066877</v>
      </c>
      <c r="F56" s="39">
        <f t="shared" si="60"/>
        <v>0.10376381215469613</v>
      </c>
      <c r="G56" s="39">
        <f t="shared" si="60"/>
        <v>9.4029607938831944E-2</v>
      </c>
      <c r="H56" s="39">
        <f t="shared" si="60"/>
        <v>0.13673341677096371</v>
      </c>
      <c r="I56" s="39">
        <f t="shared" si="60"/>
        <v>0.13299190484057494</v>
      </c>
      <c r="J56" s="39">
        <f t="shared" si="60"/>
        <v>0.12385039852851011</v>
      </c>
      <c r="K56" s="39">
        <f t="shared" si="60"/>
        <v>0.12153392330383482</v>
      </c>
      <c r="L56" s="39">
        <f t="shared" si="60"/>
        <v>0.12266987372218879</v>
      </c>
      <c r="M56" s="39">
        <f t="shared" si="60"/>
        <v>6.4989517819706508E-2</v>
      </c>
      <c r="N56" s="39">
        <f t="shared" si="60"/>
        <v>0.10441767068273092</v>
      </c>
      <c r="O56" s="39">
        <f t="shared" si="60"/>
        <v>0.1051031834906415</v>
      </c>
      <c r="P56" s="39">
        <f t="shared" si="60"/>
        <v>0.15525114155251141</v>
      </c>
      <c r="Q56" s="39">
        <f t="shared" si="60"/>
        <v>0.15045992115637319</v>
      </c>
      <c r="R56" s="39">
        <f t="shared" si="60"/>
        <v>0.15286415711947629</v>
      </c>
      <c r="S56" s="39">
        <f t="shared" si="60"/>
        <v>0.14229249011857709</v>
      </c>
      <c r="T56" s="39">
        <f t="shared" si="60"/>
        <v>0.13726835964310227</v>
      </c>
      <c r="U56" s="39">
        <f t="shared" si="60"/>
        <v>0.14643449419568821</v>
      </c>
      <c r="V56" s="39">
        <f t="shared" si="60"/>
        <v>0.13739376770538245</v>
      </c>
      <c r="W56" s="39">
        <f t="shared" si="60"/>
        <v>0.14013605442176871</v>
      </c>
      <c r="X56" s="39">
        <f t="shared" si="60"/>
        <v>0.13879250520471895</v>
      </c>
      <c r="Y56" s="39">
        <f t="shared" si="60"/>
        <v>0.15532055518836746</v>
      </c>
      <c r="Z56" s="39">
        <f t="shared" si="60"/>
        <v>0.13840155945419103</v>
      </c>
      <c r="AA56" s="39">
        <f t="shared" si="60"/>
        <v>0.14290529154027637</v>
      </c>
      <c r="AB56" s="39">
        <f t="shared" si="60"/>
        <v>0.1579292267365662</v>
      </c>
      <c r="AC56" s="39">
        <f t="shared" si="60"/>
        <v>0.17721518987341772</v>
      </c>
      <c r="AD56" s="39">
        <f t="shared" si="60"/>
        <v>0.16773985833869928</v>
      </c>
      <c r="AE56" s="39">
        <f t="shared" si="60"/>
        <v>0.20521172638436483</v>
      </c>
      <c r="AF56" s="39">
        <f t="shared" si="60"/>
        <v>0.18774703557312253</v>
      </c>
      <c r="AG56" s="39">
        <f t="shared" si="60"/>
        <v>0.18201006656924826</v>
      </c>
      <c r="AH56" s="39">
        <f t="shared" si="60"/>
        <v>0.16326530612244897</v>
      </c>
      <c r="AI56" s="39">
        <f t="shared" ref="AI56:BN56" si="61">IFERROR(AI50/AI48,"")</f>
        <v>0.18125387957790193</v>
      </c>
      <c r="AJ56" s="39">
        <f t="shared" si="61"/>
        <v>0.17252396166134185</v>
      </c>
      <c r="AK56" s="39">
        <f t="shared" si="61"/>
        <v>0.17669172932330826</v>
      </c>
      <c r="AL56" s="39">
        <f t="shared" si="61"/>
        <v>0.19665513264129181</v>
      </c>
      <c r="AM56" s="39">
        <f t="shared" si="61"/>
        <v>0.19113667117726657</v>
      </c>
      <c r="AN56" s="39">
        <f t="shared" si="61"/>
        <v>0.1969309462915601</v>
      </c>
      <c r="AO56" s="39">
        <f t="shared" si="61"/>
        <v>0.20698412698412699</v>
      </c>
      <c r="AP56" s="39">
        <f t="shared" si="61"/>
        <v>0.20197515132207713</v>
      </c>
      <c r="AQ56" s="39">
        <f t="shared" si="61"/>
        <v>0.20586400499064253</v>
      </c>
      <c r="AR56" s="39">
        <f t="shared" si="61"/>
        <v>0.21325301204819277</v>
      </c>
      <c r="AS56" s="39">
        <f t="shared" si="61"/>
        <v>0.20587316463605124</v>
      </c>
      <c r="AT56" s="39">
        <f t="shared" si="61"/>
        <v>0.19507803121248499</v>
      </c>
      <c r="AU56" s="39">
        <f t="shared" si="61"/>
        <v>0.21931818181818183</v>
      </c>
      <c r="AV56" s="39">
        <f t="shared" si="61"/>
        <v>0.20753064798598947</v>
      </c>
      <c r="AW56" s="39">
        <f t="shared" si="61"/>
        <v>0.2230378317334839</v>
      </c>
      <c r="AX56" s="39">
        <f t="shared" si="61"/>
        <v>0.1924882629107981</v>
      </c>
      <c r="AY56" s="39">
        <f t="shared" si="61"/>
        <v>0.20779597159831908</v>
      </c>
      <c r="AZ56" s="39">
        <f t="shared" si="61"/>
        <v>8.5732565579014708E-2</v>
      </c>
      <c r="BA56" s="39">
        <f t="shared" si="61"/>
        <v>0.1222921034241789</v>
      </c>
      <c r="BB56" s="39">
        <f t="shared" si="61"/>
        <v>0.10320641282565131</v>
      </c>
      <c r="BC56" s="39">
        <f t="shared" si="61"/>
        <v>0.18439226519337015</v>
      </c>
      <c r="BD56" s="39">
        <f t="shared" si="61"/>
        <v>0.15977961432506887</v>
      </c>
      <c r="BE56" s="39">
        <f t="shared" si="61"/>
        <v>0.13708856464200883</v>
      </c>
      <c r="BF56" s="39">
        <f t="shared" si="61"/>
        <v>0.18716931216931218</v>
      </c>
      <c r="BG56" s="39">
        <f t="shared" si="61"/>
        <v>0.18635170603674539</v>
      </c>
      <c r="BH56" s="39">
        <f t="shared" si="61"/>
        <v>0.18675889328063242</v>
      </c>
      <c r="BI56" s="39">
        <f t="shared" si="61"/>
        <v>0.22187886279357227</v>
      </c>
      <c r="BJ56" s="39">
        <f t="shared" si="61"/>
        <v>0.24862216778934476</v>
      </c>
      <c r="BK56" s="39">
        <f t="shared" si="61"/>
        <v>0.2118657547319866</v>
      </c>
      <c r="BL56" s="39">
        <f t="shared" si="61"/>
        <v>0.25812274368231047</v>
      </c>
      <c r="BM56" s="39">
        <f t="shared" si="61"/>
        <v>0.26125592417061611</v>
      </c>
      <c r="BN56" s="39">
        <f t="shared" si="61"/>
        <v>0.25970149253731345</v>
      </c>
      <c r="BO56" s="39">
        <f t="shared" ref="BO56:CS56" si="62">IFERROR(BO50/BO48,"")</f>
        <v>0.26135693215339234</v>
      </c>
      <c r="BP56" s="39">
        <f t="shared" si="62"/>
        <v>0.29679595278246201</v>
      </c>
      <c r="BQ56" s="39">
        <f t="shared" si="62"/>
        <v>0.26978311840562719</v>
      </c>
      <c r="BR56" s="39">
        <f t="shared" si="62"/>
        <v>0.27136258660508084</v>
      </c>
      <c r="BS56" s="39">
        <f t="shared" si="62"/>
        <v>0.28602150537634408</v>
      </c>
      <c r="BT56" s="39">
        <f t="shared" si="62"/>
        <v>0.27895322939866374</v>
      </c>
      <c r="BU56" s="39">
        <f t="shared" si="62"/>
        <v>0.26950354609929078</v>
      </c>
      <c r="BV56" s="39">
        <f t="shared" si="62"/>
        <v>0.27173913043478259</v>
      </c>
      <c r="BW56" s="39">
        <f t="shared" si="62"/>
        <v>0.27474191328286302</v>
      </c>
      <c r="BX56" s="39">
        <f t="shared" si="62"/>
        <v>0.27948303715670436</v>
      </c>
      <c r="BY56" s="39">
        <f t="shared" si="62"/>
        <v>0.29372427983539096</v>
      </c>
      <c r="BZ56" s="39">
        <f t="shared" si="62"/>
        <v>0.28676664035780058</v>
      </c>
      <c r="CA56" s="39">
        <f t="shared" si="62"/>
        <v>0.28121878121878124</v>
      </c>
      <c r="CB56" s="39">
        <f t="shared" si="62"/>
        <v>0.28702290076335879</v>
      </c>
      <c r="CC56" s="39">
        <f t="shared" si="62"/>
        <v>0.28540164778578786</v>
      </c>
      <c r="CD56" s="39">
        <f t="shared" si="62"/>
        <v>0.22969072164948454</v>
      </c>
      <c r="CE56" s="39">
        <f t="shared" si="62"/>
        <v>0.25151057401812688</v>
      </c>
      <c r="CF56" s="39">
        <f t="shared" si="62"/>
        <v>0.2410802286615415</v>
      </c>
      <c r="CG56" s="39">
        <f t="shared" si="62"/>
        <v>0.25553539019963706</v>
      </c>
      <c r="CH56" s="39">
        <f t="shared" si="62"/>
        <v>0.25154041319318599</v>
      </c>
      <c r="CI56" s="39">
        <f t="shared" si="62"/>
        <v>0.24756777179559838</v>
      </c>
      <c r="CJ56" s="39">
        <f t="shared" si="62"/>
        <v>0.25729729729729733</v>
      </c>
      <c r="CK56" s="39">
        <f t="shared" si="62"/>
        <v>0.26012569832402238</v>
      </c>
      <c r="CL56" s="39">
        <f t="shared" si="62"/>
        <v>0.25873381805284629</v>
      </c>
      <c r="CM56" s="27">
        <f t="shared" si="62"/>
        <v>0.26283551985298809</v>
      </c>
      <c r="CN56" s="27">
        <f t="shared" si="62"/>
        <v>0.23525042333054649</v>
      </c>
      <c r="CO56" s="27">
        <f t="shared" si="62"/>
        <v>0.25374762005173196</v>
      </c>
      <c r="CP56" s="27">
        <f t="shared" si="62"/>
        <v>0.26286997281384877</v>
      </c>
      <c r="CQ56" s="27">
        <f t="shared" si="62"/>
        <v>0.26698532694625166</v>
      </c>
      <c r="CR56" s="27">
        <f t="shared" si="62"/>
        <v>0.27395312838738761</v>
      </c>
      <c r="CS56" s="27">
        <f t="shared" si="62"/>
        <v>0.28034859578741356</v>
      </c>
      <c r="CT56" s="22"/>
      <c r="CV56" s="40">
        <f>IFERROR(AVERAGE(CO56,CP56,CQ56,CR56,CS56),"n/m")</f>
        <v>0.26758092879732676</v>
      </c>
      <c r="CW56" s="40">
        <f>IFERROR(AVERAGE(BK56,BQ56,BW56,CC56,CI56),"n/m")</f>
        <v>0.25787204120037266</v>
      </c>
      <c r="CX56" s="40">
        <f>IFERROR(AVERAGE(AG56,AM56,AS56,AY56,BE56,BK56,BQ56,BW56,CC56,CI56),"n/m")</f>
        <v>0.22132646446247567</v>
      </c>
      <c r="CY56" s="40">
        <f>IFERROR(AVERAGE(C56,D56,E56,F56,G56,H56,I56,O56,U56,AA56,AG56,AM56,AS56,AY56,BE56,BK56,BQ56,BW56,CC56,CI56),"n/m")</f>
        <v>0.17716384717317213</v>
      </c>
      <c r="DB56" s="17" t="s">
        <v>158</v>
      </c>
      <c r="DC56" s="41">
        <v>0.01</v>
      </c>
      <c r="DD56" s="24" t="s">
        <v>127</v>
      </c>
      <c r="DE56" s="41">
        <v>-0.02</v>
      </c>
      <c r="DF56" s="15" t="s">
        <v>159</v>
      </c>
    </row>
    <row r="57" spans="2:110" ht="15" customHeight="1" x14ac:dyDescent="0.25">
      <c r="B57" s="25" t="s">
        <v>124</v>
      </c>
      <c r="C57" s="39" t="str">
        <f t="shared" ref="C57:AH57" si="63">IFERROR(C53/C48,"")</f>
        <v/>
      </c>
      <c r="D57" s="39" t="str">
        <f t="shared" si="63"/>
        <v/>
      </c>
      <c r="E57" s="39" t="str">
        <f t="shared" si="63"/>
        <v/>
      </c>
      <c r="F57" s="39" t="str">
        <f t="shared" si="63"/>
        <v/>
      </c>
      <c r="G57" s="39" t="str">
        <f t="shared" si="63"/>
        <v/>
      </c>
      <c r="H57" s="39" t="str">
        <f t="shared" si="63"/>
        <v/>
      </c>
      <c r="I57" s="39" t="str">
        <f t="shared" si="63"/>
        <v/>
      </c>
      <c r="J57" s="39" t="str">
        <f t="shared" si="63"/>
        <v/>
      </c>
      <c r="K57" s="39" t="str">
        <f t="shared" si="63"/>
        <v/>
      </c>
      <c r="L57" s="39" t="str">
        <f t="shared" si="63"/>
        <v/>
      </c>
      <c r="M57" s="39" t="str">
        <f t="shared" si="63"/>
        <v/>
      </c>
      <c r="N57" s="39" t="str">
        <f t="shared" si="63"/>
        <v/>
      </c>
      <c r="O57" s="39" t="str">
        <f t="shared" si="63"/>
        <v/>
      </c>
      <c r="P57" s="39" t="str">
        <f t="shared" si="63"/>
        <v/>
      </c>
      <c r="Q57" s="39" t="str">
        <f t="shared" si="63"/>
        <v/>
      </c>
      <c r="R57" s="39" t="str">
        <f t="shared" si="63"/>
        <v/>
      </c>
      <c r="S57" s="39" t="str">
        <f t="shared" si="63"/>
        <v/>
      </c>
      <c r="T57" s="39" t="str">
        <f t="shared" si="63"/>
        <v/>
      </c>
      <c r="U57" s="39" t="str">
        <f t="shared" si="63"/>
        <v/>
      </c>
      <c r="V57" s="39" t="str">
        <f t="shared" si="63"/>
        <v/>
      </c>
      <c r="W57" s="39" t="str">
        <f t="shared" si="63"/>
        <v/>
      </c>
      <c r="X57" s="39" t="str">
        <f t="shared" si="63"/>
        <v/>
      </c>
      <c r="Y57" s="39" t="str">
        <f t="shared" si="63"/>
        <v/>
      </c>
      <c r="Z57" s="39" t="str">
        <f t="shared" si="63"/>
        <v/>
      </c>
      <c r="AA57" s="39" t="str">
        <f t="shared" si="63"/>
        <v/>
      </c>
      <c r="AB57" s="39" t="str">
        <f t="shared" si="63"/>
        <v/>
      </c>
      <c r="AC57" s="39" t="str">
        <f t="shared" si="63"/>
        <v/>
      </c>
      <c r="AD57" s="39" t="str">
        <f t="shared" si="63"/>
        <v/>
      </c>
      <c r="AE57" s="39" t="str">
        <f t="shared" si="63"/>
        <v/>
      </c>
      <c r="AF57" s="39" t="str">
        <f t="shared" si="63"/>
        <v/>
      </c>
      <c r="AG57" s="39" t="str">
        <f t="shared" si="63"/>
        <v/>
      </c>
      <c r="AH57" s="39" t="str">
        <f t="shared" si="63"/>
        <v/>
      </c>
      <c r="AI57" s="39" t="str">
        <f t="shared" ref="AI57:BN57" si="64">IFERROR(AI53/AI48,"")</f>
        <v/>
      </c>
      <c r="AJ57" s="39" t="str">
        <f t="shared" si="64"/>
        <v/>
      </c>
      <c r="AK57" s="39" t="str">
        <f t="shared" si="64"/>
        <v/>
      </c>
      <c r="AL57" s="39" t="str">
        <f t="shared" si="64"/>
        <v/>
      </c>
      <c r="AM57" s="39" t="str">
        <f t="shared" si="64"/>
        <v/>
      </c>
      <c r="AN57" s="39" t="str">
        <f t="shared" si="64"/>
        <v/>
      </c>
      <c r="AO57" s="39" t="str">
        <f t="shared" si="64"/>
        <v/>
      </c>
      <c r="AP57" s="39" t="str">
        <f t="shared" si="64"/>
        <v/>
      </c>
      <c r="AQ57" s="39" t="str">
        <f t="shared" si="64"/>
        <v/>
      </c>
      <c r="AR57" s="39" t="str">
        <f t="shared" si="64"/>
        <v/>
      </c>
      <c r="AS57" s="39" t="str">
        <f t="shared" si="64"/>
        <v/>
      </c>
      <c r="AT57" s="39" t="str">
        <f t="shared" si="64"/>
        <v/>
      </c>
      <c r="AU57" s="39" t="str">
        <f t="shared" si="64"/>
        <v/>
      </c>
      <c r="AV57" s="39" t="str">
        <f t="shared" si="64"/>
        <v/>
      </c>
      <c r="AW57" s="39" t="str">
        <f t="shared" si="64"/>
        <v/>
      </c>
      <c r="AX57" s="39" t="str">
        <f t="shared" si="64"/>
        <v/>
      </c>
      <c r="AY57" s="39" t="str">
        <f t="shared" si="64"/>
        <v/>
      </c>
      <c r="AZ57" s="39">
        <f t="shared" si="64"/>
        <v>8.7012156110044772E-2</v>
      </c>
      <c r="BA57" s="39">
        <f t="shared" si="64"/>
        <v>0.12368972746331237</v>
      </c>
      <c r="BB57" s="39">
        <f t="shared" si="64"/>
        <v>0.10454241816967268</v>
      </c>
      <c r="BC57" s="39">
        <f t="shared" si="64"/>
        <v>0.18646408839779005</v>
      </c>
      <c r="BD57" s="39">
        <f t="shared" si="64"/>
        <v>0.16115702479338842</v>
      </c>
      <c r="BE57" s="39">
        <f t="shared" si="64"/>
        <v>0.13861554122836783</v>
      </c>
      <c r="BF57" s="39">
        <f t="shared" si="64"/>
        <v>0.18849206349206352</v>
      </c>
      <c r="BG57" s="39">
        <f t="shared" si="64"/>
        <v>0.18766404199475065</v>
      </c>
      <c r="BH57" s="39">
        <f t="shared" si="64"/>
        <v>0.18807641633728589</v>
      </c>
      <c r="BI57" s="39">
        <f t="shared" si="64"/>
        <v>0.22311495673671197</v>
      </c>
      <c r="BJ57" s="39">
        <f t="shared" si="64"/>
        <v>0.24984690753214941</v>
      </c>
      <c r="BK57" s="39">
        <f t="shared" si="64"/>
        <v>0.21313822172737393</v>
      </c>
      <c r="BL57" s="39">
        <f t="shared" si="64"/>
        <v>0.25932611311672688</v>
      </c>
      <c r="BM57" s="39">
        <f t="shared" si="64"/>
        <v>0.26244075829383889</v>
      </c>
      <c r="BN57" s="39">
        <f t="shared" si="64"/>
        <v>0.26089552238805974</v>
      </c>
      <c r="BO57" s="39">
        <f t="shared" ref="BO57:CL57" si="65">IFERROR(BO53/BO48,"")</f>
        <v>0.26253687315634217</v>
      </c>
      <c r="BP57" s="39">
        <f t="shared" si="65"/>
        <v>0.29792017987633501</v>
      </c>
      <c r="BQ57" s="39">
        <f t="shared" si="65"/>
        <v>0.27095545134818289</v>
      </c>
      <c r="BR57" s="39">
        <f t="shared" si="65"/>
        <v>0.27251732101616633</v>
      </c>
      <c r="BS57" s="39">
        <f t="shared" si="65"/>
        <v>0.2870967741935484</v>
      </c>
      <c r="BT57" s="39">
        <f t="shared" si="65"/>
        <v>0.28006681514476617</v>
      </c>
      <c r="BU57" s="39">
        <f t="shared" si="65"/>
        <v>0.27059465357337698</v>
      </c>
      <c r="BV57" s="39">
        <f t="shared" si="65"/>
        <v>0.27282608695652177</v>
      </c>
      <c r="BW57" s="39">
        <f t="shared" si="65"/>
        <v>0.27584308327598073</v>
      </c>
      <c r="BX57" s="39">
        <f t="shared" si="65"/>
        <v>0.28056004308023696</v>
      </c>
      <c r="BY57" s="39">
        <f t="shared" si="65"/>
        <v>0.29475308641975312</v>
      </c>
      <c r="BZ57" s="39">
        <f t="shared" si="65"/>
        <v>0.28781899500131541</v>
      </c>
      <c r="CA57" s="39">
        <f t="shared" si="65"/>
        <v>0.28221778221778221</v>
      </c>
      <c r="CB57" s="39">
        <f t="shared" si="65"/>
        <v>0.28804071246819341</v>
      </c>
      <c r="CC57" s="39">
        <f t="shared" si="65"/>
        <v>0.2864315139031926</v>
      </c>
      <c r="CD57" s="39">
        <f t="shared" si="65"/>
        <v>0.25938144329896906</v>
      </c>
      <c r="CE57" s="39">
        <f t="shared" si="65"/>
        <v>0.27719033232628393</v>
      </c>
      <c r="CF57" s="39">
        <f t="shared" si="65"/>
        <v>0.26867731125566724</v>
      </c>
      <c r="CG57" s="39">
        <f t="shared" si="65"/>
        <v>0.28058076225045375</v>
      </c>
      <c r="CH57" s="39">
        <f t="shared" si="65"/>
        <v>0.2722000724900327</v>
      </c>
      <c r="CI57" s="39">
        <f t="shared" si="65"/>
        <v>0.27269292528572775</v>
      </c>
      <c r="CJ57" s="39">
        <f t="shared" si="65"/>
        <v>0.27927927927927926</v>
      </c>
      <c r="CK57" s="39">
        <f t="shared" si="65"/>
        <v>0.27828212290502796</v>
      </c>
      <c r="CL57" s="39">
        <f t="shared" si="65"/>
        <v>0.27877283206242248</v>
      </c>
      <c r="CM57" s="27">
        <f>CG57+$CL$57-$CF$57+CM102</f>
        <v>0.28159668436206958</v>
      </c>
      <c r="CN57" s="27">
        <f>CH57+$CL$57-$CF$57+CN102</f>
        <v>0.25398438789108274</v>
      </c>
      <c r="CO57" s="27">
        <f>IFERROR(CO53/CO48,"")</f>
        <v>0.27312282927134668</v>
      </c>
      <c r="CP57" s="27">
        <f>CHOOSE(MATCH($CT$2,{"Bull","Base","Bear"},0),$DC$57,$DD$57,$DE$57)</f>
        <v>0.28000000000000003</v>
      </c>
      <c r="CQ57" s="27">
        <f>CHOOSE(MATCH($CT$2,{"Bull","Base","Bear"},0),$DC$58,$DD$58,$DE$58)</f>
        <v>0.28299999999999997</v>
      </c>
      <c r="CR57" s="27">
        <f>CHOOSE(MATCH($CT$2,{"Bull","Base","Bear"},0),$DC$59,$DD$59,$DE$59)</f>
        <v>0.28599999999999998</v>
      </c>
      <c r="CS57" s="27">
        <f>CHOOSE(MATCH($CT$2,{"Bull","Base","Bear"},0),$DC$60,$DD$60,$DE$60)</f>
        <v>0.28999999999999998</v>
      </c>
      <c r="CT57" s="22" t="s">
        <v>160</v>
      </c>
      <c r="CV57" s="40">
        <f>IFERROR(AVERAGE(CO57,CP57,CQ57,CR57,CS57),"n/m")</f>
        <v>0.28242456585426934</v>
      </c>
      <c r="CW57" s="40">
        <f>IFERROR(AVERAGE(BK57,BQ57,BW57,CC57,CI57),"n/m")</f>
        <v>0.2638122391080916</v>
      </c>
      <c r="CX57" s="40">
        <f>IFERROR(AVERAGE(AG57,AM57,AS57,AY57,BE57,BK57,BQ57,BW57,CC57,CI57),"n/m")</f>
        <v>0.24294612279480429</v>
      </c>
      <c r="CY57" s="40">
        <f>IFERROR(AVERAGE(C57,D57,E57,F57,G57,H57,I57,O57,U57,AA57,AG57,AM57,AS57,AY57,BE57,BK57,BQ57,BW57,CC57,CI57),"n/m")</f>
        <v>0.24294612279480429</v>
      </c>
      <c r="DB57" s="12" t="s">
        <v>130</v>
      </c>
      <c r="DC57" s="42">
        <f>DD57+$DC$56</f>
        <v>0.29000000000000004</v>
      </c>
      <c r="DD57" s="35">
        <v>0.28000000000000003</v>
      </c>
      <c r="DE57" s="42">
        <f>DD57+$DE$56</f>
        <v>0.26</v>
      </c>
    </row>
    <row r="58" spans="2:110" ht="15" customHeight="1" x14ac:dyDescent="0.25">
      <c r="B58" s="25" t="s">
        <v>129</v>
      </c>
      <c r="C58" s="26"/>
      <c r="D58" s="26" t="str">
        <f t="shared" ref="D58:I58" si="66">IFERROR(D50/C50-1,"")</f>
        <v/>
      </c>
      <c r="E58" s="26" t="str">
        <f t="shared" si="66"/>
        <v/>
      </c>
      <c r="F58" s="26">
        <f t="shared" si="66"/>
        <v>-0.12518195050946146</v>
      </c>
      <c r="G58" s="26">
        <f t="shared" si="66"/>
        <v>-3.8269550748752157E-2</v>
      </c>
      <c r="H58" s="26">
        <f t="shared" si="66"/>
        <v>0.51211072664359869</v>
      </c>
      <c r="I58" s="26">
        <f t="shared" si="66"/>
        <v>-7.8947368421052655E-2</v>
      </c>
      <c r="J58" s="26"/>
      <c r="K58" s="26"/>
      <c r="L58" s="26"/>
      <c r="M58" s="26"/>
      <c r="N58" s="26"/>
      <c r="O58" s="26">
        <f t="shared" ref="O58:AT58" si="67">IFERROR(O50/I50-1,"")</f>
        <v>-0.1838509316770186</v>
      </c>
      <c r="P58" s="26">
        <f t="shared" si="67"/>
        <v>0.17821782178217838</v>
      </c>
      <c r="Q58" s="26">
        <f t="shared" si="67"/>
        <v>0.11165048543689315</v>
      </c>
      <c r="R58" s="26">
        <f t="shared" si="67"/>
        <v>0.14460784313725505</v>
      </c>
      <c r="S58" s="26">
        <f t="shared" si="67"/>
        <v>1.3225806451612905</v>
      </c>
      <c r="T58" s="26">
        <f t="shared" si="67"/>
        <v>0.28205128205128216</v>
      </c>
      <c r="U58" s="26">
        <f t="shared" si="67"/>
        <v>0.3439878234398781</v>
      </c>
      <c r="V58" s="26">
        <f t="shared" si="67"/>
        <v>-0.18487394957983205</v>
      </c>
      <c r="W58" s="26">
        <f t="shared" si="67"/>
        <v>-0.10043668122270732</v>
      </c>
      <c r="X58" s="26">
        <f t="shared" si="67"/>
        <v>-0.14346895074946475</v>
      </c>
      <c r="Y58" s="26">
        <f t="shared" si="67"/>
        <v>8.7962962962962798E-2</v>
      </c>
      <c r="Z58" s="26">
        <f t="shared" si="67"/>
        <v>6.4999999999999947E-2</v>
      </c>
      <c r="AA58" s="26">
        <f t="shared" si="67"/>
        <v>-3.9637599093997777E-2</v>
      </c>
      <c r="AB58" s="26">
        <f t="shared" si="67"/>
        <v>0.24226804123711365</v>
      </c>
      <c r="AC58" s="26">
        <f t="shared" si="67"/>
        <v>0.35922330097087363</v>
      </c>
      <c r="AD58" s="26">
        <f t="shared" si="67"/>
        <v>0.30249999999999999</v>
      </c>
      <c r="AE58" s="26">
        <f t="shared" si="67"/>
        <v>0.34042553191489366</v>
      </c>
      <c r="AF58" s="26">
        <f t="shared" si="67"/>
        <v>0.3380281690140845</v>
      </c>
      <c r="AG58" s="26">
        <f t="shared" si="67"/>
        <v>0.32193396226415083</v>
      </c>
      <c r="AH58" s="26">
        <f t="shared" si="67"/>
        <v>2.9045643153526868E-2</v>
      </c>
      <c r="AI58" s="26">
        <f t="shared" si="67"/>
        <v>4.2857142857142927E-2</v>
      </c>
      <c r="AJ58" s="26">
        <f t="shared" si="67"/>
        <v>3.6468330134356908E-2</v>
      </c>
      <c r="AK58" s="26">
        <f t="shared" si="67"/>
        <v>-0.10476190476190483</v>
      </c>
      <c r="AL58" s="26">
        <f t="shared" si="67"/>
        <v>0.19649122807017538</v>
      </c>
      <c r="AM58" s="26">
        <f t="shared" si="67"/>
        <v>8.0285459411240101E-3</v>
      </c>
      <c r="AN58" s="26">
        <f t="shared" si="67"/>
        <v>0.24193548387096775</v>
      </c>
      <c r="AO58" s="26">
        <f t="shared" si="67"/>
        <v>0.11643835616438358</v>
      </c>
      <c r="AP58" s="26">
        <f t="shared" si="67"/>
        <v>0.17407407407407427</v>
      </c>
      <c r="AQ58" s="26">
        <f t="shared" si="67"/>
        <v>0.17021276595744683</v>
      </c>
      <c r="AR58" s="26">
        <f t="shared" si="67"/>
        <v>3.8123167155425186E-2</v>
      </c>
      <c r="AS58" s="26">
        <f t="shared" si="67"/>
        <v>0.16637168141592928</v>
      </c>
      <c r="AT58" s="26">
        <f t="shared" si="67"/>
        <v>5.5194805194805241E-2</v>
      </c>
      <c r="AU58" s="26">
        <f t="shared" ref="AU58:BZ58" si="68">IFERROR(AU50/AO50-1,"")</f>
        <v>0.18404907975460127</v>
      </c>
      <c r="AV58" s="26">
        <f t="shared" si="68"/>
        <v>0.12145110410094628</v>
      </c>
      <c r="AW58" s="26">
        <f t="shared" si="68"/>
        <v>0.19696969696969702</v>
      </c>
      <c r="AX58" s="26">
        <f t="shared" si="68"/>
        <v>-7.3446327683615809E-2</v>
      </c>
      <c r="AY58" s="26">
        <f t="shared" si="68"/>
        <v>8.8012139605462725E-2</v>
      </c>
      <c r="AZ58" s="26">
        <f t="shared" si="68"/>
        <v>-0.58769230769230774</v>
      </c>
      <c r="BA58" s="26">
        <f t="shared" si="68"/>
        <v>-0.54663212435233155</v>
      </c>
      <c r="BB58" s="26">
        <f t="shared" si="68"/>
        <v>-0.56540084388185652</v>
      </c>
      <c r="BC58" s="26">
        <f t="shared" si="68"/>
        <v>-0.32405063291139247</v>
      </c>
      <c r="BD58" s="26">
        <f t="shared" si="68"/>
        <v>-0.29268292682926822</v>
      </c>
      <c r="BE58" s="26">
        <f t="shared" si="68"/>
        <v>-0.43654114365411445</v>
      </c>
      <c r="BF58" s="26">
        <f t="shared" si="68"/>
        <v>1.1119402985074629</v>
      </c>
      <c r="BG58" s="26">
        <f t="shared" si="68"/>
        <v>0.62285714285714278</v>
      </c>
      <c r="BH58" s="26">
        <f t="shared" si="68"/>
        <v>0.83495145631067968</v>
      </c>
      <c r="BI58" s="26">
        <f t="shared" si="68"/>
        <v>0.34456928838951306</v>
      </c>
      <c r="BJ58" s="26">
        <f t="shared" si="68"/>
        <v>0.75000000000000022</v>
      </c>
      <c r="BK58" s="26">
        <f t="shared" si="68"/>
        <v>0.64851485148514842</v>
      </c>
      <c r="BL58" s="26">
        <f t="shared" si="68"/>
        <v>0.51590106007067127</v>
      </c>
      <c r="BM58" s="26">
        <f t="shared" si="68"/>
        <v>0.55281690140845074</v>
      </c>
      <c r="BN58" s="26">
        <f t="shared" si="68"/>
        <v>0.53439153439153442</v>
      </c>
      <c r="BO58" s="26">
        <f t="shared" si="68"/>
        <v>0.23398328690807801</v>
      </c>
      <c r="BP58" s="26">
        <f t="shared" si="68"/>
        <v>0.30049261083743839</v>
      </c>
      <c r="BQ58" s="26">
        <f t="shared" si="68"/>
        <v>0.38213213213213226</v>
      </c>
      <c r="BR58" s="26">
        <f t="shared" si="68"/>
        <v>9.5571095571095555E-2</v>
      </c>
      <c r="BS58" s="26">
        <f t="shared" si="68"/>
        <v>0.20634920634920628</v>
      </c>
      <c r="BT58" s="26">
        <f t="shared" si="68"/>
        <v>0.15172413793103456</v>
      </c>
      <c r="BU58" s="26">
        <f t="shared" si="68"/>
        <v>0.1151241534988714</v>
      </c>
      <c r="BV58" s="26">
        <f t="shared" si="68"/>
        <v>-5.3030303030302983E-2</v>
      </c>
      <c r="BW58" s="26">
        <f t="shared" si="68"/>
        <v>8.4193373166757235E-2</v>
      </c>
      <c r="BX58" s="26">
        <f t="shared" si="68"/>
        <v>0.10425531914893615</v>
      </c>
      <c r="BY58" s="26">
        <f t="shared" si="68"/>
        <v>7.3308270676691656E-2</v>
      </c>
      <c r="BZ58" s="26">
        <f t="shared" si="68"/>
        <v>8.7824351297405068E-2</v>
      </c>
      <c r="CA58" s="26">
        <f t="shared" ref="CA58:CO58" si="69">IFERROR(CA50/BU50-1,"")</f>
        <v>0.13967611336032393</v>
      </c>
      <c r="CB58" s="26">
        <f t="shared" si="69"/>
        <v>0.12799999999999989</v>
      </c>
      <c r="CC58" s="26">
        <f t="shared" si="69"/>
        <v>0.11072144288577146</v>
      </c>
      <c r="CD58" s="26">
        <f t="shared" si="69"/>
        <v>7.3217726396917149E-2</v>
      </c>
      <c r="CE58" s="26">
        <f t="shared" si="69"/>
        <v>0.16637478108581427</v>
      </c>
      <c r="CF58" s="26">
        <f t="shared" si="69"/>
        <v>0.12201834862385308</v>
      </c>
      <c r="CG58" s="26">
        <f t="shared" si="69"/>
        <v>0.25044404973357026</v>
      </c>
      <c r="CH58" s="26">
        <f t="shared" si="69"/>
        <v>0.23049645390070927</v>
      </c>
      <c r="CI58" s="26">
        <f t="shared" si="69"/>
        <v>0.1822282363554355</v>
      </c>
      <c r="CJ58" s="26">
        <f t="shared" si="69"/>
        <v>0.28186714542190305</v>
      </c>
      <c r="CK58" s="26">
        <f t="shared" si="69"/>
        <v>0.11861861861861867</v>
      </c>
      <c r="CL58" s="26">
        <f t="shared" si="69"/>
        <v>0.19296811120196256</v>
      </c>
      <c r="CM58" s="27">
        <f t="shared" si="69"/>
        <v>0.11246929447526255</v>
      </c>
      <c r="CN58" s="27">
        <f t="shared" si="69"/>
        <v>1.1527458635059107E-2</v>
      </c>
      <c r="CO58" s="27">
        <f t="shared" si="69"/>
        <v>0.12330348706727046</v>
      </c>
      <c r="CP58" s="27">
        <f>IFERROR(CP50/CO50-1,"")</f>
        <v>9.8107525603087442E-2</v>
      </c>
      <c r="CQ58" s="27">
        <f>IFERROR(CQ50/CP50-1,"")</f>
        <v>7.1516525501981176E-2</v>
      </c>
      <c r="CR58" s="27">
        <f>IFERROR(CR50/CQ50-1,"")</f>
        <v>7.7402972278943105E-2</v>
      </c>
      <c r="CS58" s="27">
        <f>IFERROR(CS50/CR50-1,"")</f>
        <v>7.4512371183918402E-2</v>
      </c>
      <c r="CT58" s="22"/>
      <c r="CV58" s="6"/>
      <c r="CW58" s="6"/>
      <c r="CX58" s="6"/>
      <c r="CY58" s="6"/>
      <c r="DB58" s="12" t="s">
        <v>132</v>
      </c>
      <c r="DC58" s="42">
        <f>DD58+$DC$56</f>
        <v>0.29299999999999998</v>
      </c>
      <c r="DD58" s="35">
        <v>0.28299999999999997</v>
      </c>
      <c r="DE58" s="42">
        <f>DD58+$DE$56</f>
        <v>0.26299999999999996</v>
      </c>
    </row>
    <row r="59" spans="2:110" ht="15" customHeight="1" x14ac:dyDescent="0.25">
      <c r="B59" s="25" t="s">
        <v>131</v>
      </c>
      <c r="C59" s="39"/>
      <c r="D59" s="39" t="str">
        <f t="shared" ref="D59:I59" si="70">IFERROR((D53-C53)/(D48-C48),"")</f>
        <v/>
      </c>
      <c r="E59" s="39" t="str">
        <f t="shared" si="70"/>
        <v/>
      </c>
      <c r="F59" s="39" t="str">
        <f t="shared" si="70"/>
        <v/>
      </c>
      <c r="G59" s="39" t="str">
        <f t="shared" si="70"/>
        <v/>
      </c>
      <c r="H59" s="39" t="str">
        <f t="shared" si="70"/>
        <v/>
      </c>
      <c r="I59" s="39" t="str">
        <f t="shared" si="70"/>
        <v/>
      </c>
      <c r="J59" s="39"/>
      <c r="K59" s="39"/>
      <c r="L59" s="39"/>
      <c r="M59" s="39"/>
      <c r="N59" s="39"/>
      <c r="O59" s="39" t="str">
        <f t="shared" ref="O59:AT59" si="71">IFERROR((O53-I53)/(O48-I48),"")</f>
        <v/>
      </c>
      <c r="P59" s="39" t="str">
        <f t="shared" si="71"/>
        <v/>
      </c>
      <c r="Q59" s="39" t="str">
        <f t="shared" si="71"/>
        <v/>
      </c>
      <c r="R59" s="39" t="str">
        <f t="shared" si="71"/>
        <v/>
      </c>
      <c r="S59" s="39" t="str">
        <f t="shared" si="71"/>
        <v/>
      </c>
      <c r="T59" s="39" t="str">
        <f t="shared" si="71"/>
        <v/>
      </c>
      <c r="U59" s="39" t="str">
        <f t="shared" si="71"/>
        <v/>
      </c>
      <c r="V59" s="39" t="str">
        <f t="shared" si="71"/>
        <v/>
      </c>
      <c r="W59" s="39" t="str">
        <f t="shared" si="71"/>
        <v/>
      </c>
      <c r="X59" s="39" t="str">
        <f t="shared" si="71"/>
        <v/>
      </c>
      <c r="Y59" s="39" t="str">
        <f t="shared" si="71"/>
        <v/>
      </c>
      <c r="Z59" s="39" t="str">
        <f t="shared" si="71"/>
        <v/>
      </c>
      <c r="AA59" s="39" t="str">
        <f t="shared" si="71"/>
        <v/>
      </c>
      <c r="AB59" s="39" t="str">
        <f t="shared" si="71"/>
        <v/>
      </c>
      <c r="AC59" s="39" t="str">
        <f t="shared" si="71"/>
        <v/>
      </c>
      <c r="AD59" s="39" t="str">
        <f t="shared" si="71"/>
        <v/>
      </c>
      <c r="AE59" s="39" t="str">
        <f t="shared" si="71"/>
        <v/>
      </c>
      <c r="AF59" s="39" t="str">
        <f t="shared" si="71"/>
        <v/>
      </c>
      <c r="AG59" s="39" t="str">
        <f t="shared" si="71"/>
        <v/>
      </c>
      <c r="AH59" s="39" t="str">
        <f t="shared" si="71"/>
        <v/>
      </c>
      <c r="AI59" s="39" t="str">
        <f t="shared" si="71"/>
        <v/>
      </c>
      <c r="AJ59" s="39" t="str">
        <f t="shared" si="71"/>
        <v/>
      </c>
      <c r="AK59" s="39" t="str">
        <f t="shared" si="71"/>
        <v/>
      </c>
      <c r="AL59" s="39" t="str">
        <f t="shared" si="71"/>
        <v/>
      </c>
      <c r="AM59" s="39" t="str">
        <f t="shared" si="71"/>
        <v/>
      </c>
      <c r="AN59" s="39" t="str">
        <f t="shared" si="71"/>
        <v/>
      </c>
      <c r="AO59" s="39" t="str">
        <f t="shared" si="71"/>
        <v/>
      </c>
      <c r="AP59" s="39" t="str">
        <f t="shared" si="71"/>
        <v/>
      </c>
      <c r="AQ59" s="39" t="str">
        <f t="shared" si="71"/>
        <v/>
      </c>
      <c r="AR59" s="39" t="str">
        <f t="shared" si="71"/>
        <v/>
      </c>
      <c r="AS59" s="39" t="str">
        <f t="shared" si="71"/>
        <v/>
      </c>
      <c r="AT59" s="39" t="str">
        <f t="shared" si="71"/>
        <v/>
      </c>
      <c r="AU59" s="39" t="str">
        <f t="shared" ref="AU59:BZ59" si="72">IFERROR((AU53-AO53)/(AU48-AO48),"")</f>
        <v/>
      </c>
      <c r="AV59" s="39" t="str">
        <f t="shared" si="72"/>
        <v/>
      </c>
      <c r="AW59" s="39" t="str">
        <f t="shared" si="72"/>
        <v/>
      </c>
      <c r="AX59" s="39" t="str">
        <f t="shared" si="72"/>
        <v/>
      </c>
      <c r="AY59" s="39" t="str">
        <f t="shared" si="72"/>
        <v/>
      </c>
      <c r="AZ59" s="39" t="str">
        <f t="shared" si="72"/>
        <v/>
      </c>
      <c r="BA59" s="39" t="str">
        <f t="shared" si="72"/>
        <v/>
      </c>
      <c r="BB59" s="39" t="str">
        <f t="shared" si="72"/>
        <v/>
      </c>
      <c r="BC59" s="39" t="str">
        <f t="shared" si="72"/>
        <v/>
      </c>
      <c r="BD59" s="39" t="str">
        <f t="shared" si="72"/>
        <v/>
      </c>
      <c r="BE59" s="39" t="str">
        <f t="shared" si="72"/>
        <v/>
      </c>
      <c r="BF59" s="39">
        <f t="shared" si="72"/>
        <v>-2.9215686274509673</v>
      </c>
      <c r="BG59" s="39">
        <f t="shared" si="72"/>
        <v>1.1720430107526867</v>
      </c>
      <c r="BH59" s="39">
        <f t="shared" si="72"/>
        <v>6.1428571428570775</v>
      </c>
      <c r="BI59" s="39">
        <f t="shared" si="72"/>
        <v>0.53529411764705892</v>
      </c>
      <c r="BJ59" s="39">
        <f t="shared" si="72"/>
        <v>0.96132596685082783</v>
      </c>
      <c r="BK59" s="39">
        <f t="shared" si="72"/>
        <v>1.3307888040712443</v>
      </c>
      <c r="BL59" s="39">
        <f t="shared" si="72"/>
        <v>0.97333333333333338</v>
      </c>
      <c r="BM59" s="39">
        <f t="shared" si="72"/>
        <v>0.95731707317073178</v>
      </c>
      <c r="BN59" s="39">
        <f t="shared" si="72"/>
        <v>0.96496815286624282</v>
      </c>
      <c r="BO59" s="39">
        <f t="shared" si="72"/>
        <v>1.0909090909090924</v>
      </c>
      <c r="BP59" s="39">
        <f t="shared" si="72"/>
        <v>0.83561643835616439</v>
      </c>
      <c r="BQ59" s="39">
        <f t="shared" si="72"/>
        <v>0.94785847299813908</v>
      </c>
      <c r="BR59" s="39">
        <f t="shared" si="72"/>
        <v>0.58571428571428596</v>
      </c>
      <c r="BS59" s="39">
        <f t="shared" si="72"/>
        <v>0.52906976744186085</v>
      </c>
      <c r="BT59" s="39">
        <f t="shared" si="72"/>
        <v>0.54545454545454586</v>
      </c>
      <c r="BU59" s="39">
        <f t="shared" si="72"/>
        <v>0.36956521739130416</v>
      </c>
      <c r="BV59" s="39">
        <f t="shared" si="72"/>
        <v>-0.45901639344262291</v>
      </c>
      <c r="BW59" s="39">
        <f t="shared" si="72"/>
        <v>0.35147392290249413</v>
      </c>
      <c r="BX59" s="39">
        <f t="shared" si="72"/>
        <v>0.3919999999999999</v>
      </c>
      <c r="BY59" s="39">
        <f t="shared" si="72"/>
        <v>0.4642857142857138</v>
      </c>
      <c r="BZ59" s="39">
        <f t="shared" si="72"/>
        <v>0.42105263157894657</v>
      </c>
      <c r="CA59" s="39">
        <f t="shared" ref="CA59:CO59" si="73">IFERROR((CA53-BU53)/(CA48-BU48),"")</f>
        <v>0.40828402366863953</v>
      </c>
      <c r="CB59" s="39">
        <f t="shared" si="73"/>
        <v>0.5119999999999999</v>
      </c>
      <c r="CC59" s="39">
        <f t="shared" si="73"/>
        <v>0.43936381709741579</v>
      </c>
      <c r="CD59" s="39">
        <f t="shared" si="73"/>
        <v>0.19014084507042245</v>
      </c>
      <c r="CE59" s="39">
        <f t="shared" si="73"/>
        <v>0.22869318181818163</v>
      </c>
      <c r="CF59" s="39">
        <f t="shared" si="73"/>
        <v>0.21147798742138349</v>
      </c>
      <c r="CG59" s="39">
        <f t="shared" si="73"/>
        <v>0.27622841965471456</v>
      </c>
      <c r="CH59" s="39">
        <f t="shared" si="73"/>
        <v>0.2329974811083125</v>
      </c>
      <c r="CI59" s="39">
        <f t="shared" si="73"/>
        <v>0.23483504788932233</v>
      </c>
      <c r="CJ59" s="39">
        <f t="shared" si="73"/>
        <v>0.4171428571428572</v>
      </c>
      <c r="CK59" s="39">
        <f t="shared" si="73"/>
        <v>0.29166666666666763</v>
      </c>
      <c r="CL59" s="39">
        <f t="shared" si="73"/>
        <v>0.36925795053003618</v>
      </c>
      <c r="CM59" s="27">
        <f t="shared" si="73"/>
        <v>0.29405113691558188</v>
      </c>
      <c r="CN59" s="27">
        <f t="shared" si="73"/>
        <v>3.0673587807659154E-2</v>
      </c>
      <c r="CO59" s="27">
        <f t="shared" si="73"/>
        <v>0.27760350657901189</v>
      </c>
      <c r="CP59" s="27">
        <f>IFERROR((CP53-CO53)/(CP48-CO48),"")</f>
        <v>0.39461951214422231</v>
      </c>
      <c r="CQ59" s="27">
        <f>IFERROR((CQ53-CP53)/(CQ48-CP48),"")</f>
        <v>0.33754545454545337</v>
      </c>
      <c r="CR59" s="27">
        <f>IFERROR((CR53-CQ53)/(CR48-CQ48),"")</f>
        <v>0.34600000000000031</v>
      </c>
      <c r="CS59" s="27">
        <f>IFERROR((CS53-CR53)/(CS48-CR48),"")</f>
        <v>0.37000000000000038</v>
      </c>
      <c r="CT59" s="22"/>
      <c r="CV59" s="6"/>
      <c r="CW59" s="6"/>
      <c r="CX59" s="6"/>
      <c r="CY59" s="6"/>
      <c r="DB59" s="12" t="s">
        <v>134</v>
      </c>
      <c r="DC59" s="42">
        <f>DD59+$DC$56</f>
        <v>0.29599999999999999</v>
      </c>
      <c r="DD59" s="35">
        <v>0.28599999999999998</v>
      </c>
      <c r="DE59" s="42">
        <f>DD59+$DE$56</f>
        <v>0.26599999999999996</v>
      </c>
    </row>
    <row r="60" spans="2:110" ht="15" customHeight="1" x14ac:dyDescent="0.25">
      <c r="B60" s="36" t="s">
        <v>161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31"/>
      <c r="CN60" s="31"/>
      <c r="CO60" s="31"/>
      <c r="CP60" s="31"/>
      <c r="CQ60" s="31"/>
      <c r="CR60" s="31"/>
      <c r="CS60" s="31"/>
      <c r="CT60" s="22"/>
      <c r="CV60" s="6"/>
      <c r="CW60" s="6"/>
      <c r="CX60" s="6"/>
      <c r="CY60" s="6"/>
      <c r="DB60" s="12" t="s">
        <v>136</v>
      </c>
      <c r="DC60" s="42">
        <f>DD60+$DC$56</f>
        <v>0.3</v>
      </c>
      <c r="DD60" s="35">
        <v>0.28999999999999998</v>
      </c>
      <c r="DE60" s="42">
        <f>DD60+$DE$56</f>
        <v>0.26999999999999996</v>
      </c>
    </row>
    <row r="61" spans="2:110" ht="15" customHeight="1" x14ac:dyDescent="0.25">
      <c r="B61" s="36" t="s">
        <v>162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31"/>
      <c r="CN61" s="31"/>
      <c r="CO61" s="31"/>
      <c r="CP61" s="31"/>
      <c r="CQ61" s="31"/>
      <c r="CR61" s="31"/>
      <c r="CS61" s="31"/>
      <c r="CT61" s="22"/>
      <c r="CV61" s="6"/>
      <c r="CW61" s="6"/>
      <c r="CX61" s="6"/>
      <c r="CY61" s="6"/>
    </row>
    <row r="62" spans="2:110" ht="15" customHeight="1" x14ac:dyDescent="0.25">
      <c r="B62" s="12" t="s">
        <v>133</v>
      </c>
      <c r="C62" s="29"/>
      <c r="D62" s="29"/>
      <c r="E62" s="30">
        <v>15.5</v>
      </c>
      <c r="F62" s="30">
        <v>14</v>
      </c>
      <c r="G62" s="30">
        <v>16</v>
      </c>
      <c r="H62" s="30">
        <v>15.8</v>
      </c>
      <c r="I62" s="30">
        <v>17.100000000000001</v>
      </c>
      <c r="J62" s="29"/>
      <c r="K62" s="29"/>
      <c r="L62" s="29"/>
      <c r="M62" s="29"/>
      <c r="N62" s="29"/>
      <c r="O62" s="30">
        <v>16.5</v>
      </c>
      <c r="P62" s="29"/>
      <c r="Q62" s="29"/>
      <c r="R62" s="29"/>
      <c r="S62" s="29"/>
      <c r="T62" s="29"/>
      <c r="U62" s="30">
        <v>15.9</v>
      </c>
      <c r="V62" s="29"/>
      <c r="W62" s="29"/>
      <c r="X62" s="29"/>
      <c r="Y62" s="29"/>
      <c r="Z62" s="29"/>
      <c r="AA62" s="30">
        <v>15</v>
      </c>
      <c r="AB62" s="29"/>
      <c r="AC62" s="29"/>
      <c r="AD62" s="29"/>
      <c r="AE62" s="29"/>
      <c r="AF62" s="29"/>
      <c r="AG62" s="30">
        <v>14.4</v>
      </c>
      <c r="AH62" s="29"/>
      <c r="AI62" s="29"/>
      <c r="AJ62" s="29"/>
      <c r="AK62" s="29"/>
      <c r="AL62" s="29"/>
      <c r="AM62" s="30">
        <v>14</v>
      </c>
      <c r="AN62" s="29"/>
      <c r="AO62" s="29"/>
      <c r="AP62" s="29"/>
      <c r="AQ62" s="29"/>
      <c r="AR62" s="29"/>
      <c r="AS62" s="30">
        <v>13.8</v>
      </c>
      <c r="AT62" s="29"/>
      <c r="AU62" s="29"/>
      <c r="AV62" s="29"/>
      <c r="AW62" s="29"/>
      <c r="AX62" s="29"/>
      <c r="AY62" s="30">
        <v>14.3</v>
      </c>
      <c r="AZ62" s="29"/>
      <c r="BA62" s="29"/>
      <c r="BB62" s="29"/>
      <c r="BC62" s="29"/>
      <c r="BD62" s="29"/>
      <c r="BE62" s="30">
        <v>13.7</v>
      </c>
      <c r="BF62" s="29"/>
      <c r="BG62" s="29"/>
      <c r="BH62" s="29"/>
      <c r="BI62" s="29"/>
      <c r="BJ62" s="29"/>
      <c r="BK62" s="30">
        <v>13.2</v>
      </c>
      <c r="BL62" s="29"/>
      <c r="BM62" s="29"/>
      <c r="BN62" s="29"/>
      <c r="BO62" s="29"/>
      <c r="BP62" s="29"/>
      <c r="BQ62" s="30">
        <v>12.4</v>
      </c>
      <c r="BR62" s="29"/>
      <c r="BS62" s="29"/>
      <c r="BT62" s="29"/>
      <c r="BU62" s="29"/>
      <c r="BV62" s="29"/>
      <c r="BW62" s="30">
        <v>11.5</v>
      </c>
      <c r="BX62" s="29"/>
      <c r="BY62" s="29"/>
      <c r="BZ62" s="29"/>
      <c r="CA62" s="29"/>
      <c r="CB62" s="29"/>
      <c r="CC62" s="30">
        <v>10.5</v>
      </c>
      <c r="CD62" s="29"/>
      <c r="CE62" s="29"/>
      <c r="CF62" s="29"/>
      <c r="CG62" s="29"/>
      <c r="CH62" s="29"/>
      <c r="CI62" s="30">
        <v>35.9</v>
      </c>
      <c r="CJ62" s="29"/>
      <c r="CK62" s="29"/>
      <c r="CL62" s="29"/>
      <c r="CM62" s="31"/>
      <c r="CN62" s="31"/>
      <c r="CO62" s="31"/>
      <c r="CP62" s="31"/>
      <c r="CQ62" s="31"/>
      <c r="CR62" s="31"/>
      <c r="CS62" s="31"/>
      <c r="CT62" s="22"/>
      <c r="CV62" s="6"/>
      <c r="CW62" s="6"/>
      <c r="CX62" s="6"/>
      <c r="CY62" s="6"/>
      <c r="DB62" s="17" t="s">
        <v>163</v>
      </c>
      <c r="DC62" s="41">
        <v>0.01</v>
      </c>
      <c r="DD62" s="24" t="s">
        <v>127</v>
      </c>
      <c r="DE62" s="41">
        <v>-0.02</v>
      </c>
      <c r="DF62" s="15" t="s">
        <v>164</v>
      </c>
    </row>
    <row r="63" spans="2:110" ht="15" customHeight="1" x14ac:dyDescent="0.25">
      <c r="B63" s="12" t="s">
        <v>135</v>
      </c>
      <c r="C63" s="29"/>
      <c r="D63" s="29"/>
      <c r="E63" s="30">
        <v>14.5</v>
      </c>
      <c r="F63" s="30">
        <v>8.4</v>
      </c>
      <c r="G63" s="30">
        <v>9.6999999999999993</v>
      </c>
      <c r="H63" s="30">
        <v>12.5</v>
      </c>
      <c r="I63" s="30">
        <v>12.6</v>
      </c>
      <c r="J63" s="29"/>
      <c r="K63" s="29"/>
      <c r="L63" s="29"/>
      <c r="M63" s="29"/>
      <c r="N63" s="29"/>
      <c r="O63" s="30">
        <v>15.3</v>
      </c>
      <c r="P63" s="29"/>
      <c r="Q63" s="29"/>
      <c r="R63" s="29"/>
      <c r="S63" s="29"/>
      <c r="T63" s="29"/>
      <c r="U63" s="30">
        <v>8.8000000000000007</v>
      </c>
      <c r="V63" s="29"/>
      <c r="W63" s="29"/>
      <c r="X63" s="29"/>
      <c r="Y63" s="29"/>
      <c r="Z63" s="29"/>
      <c r="AA63" s="30">
        <v>9.1</v>
      </c>
      <c r="AB63" s="29"/>
      <c r="AC63" s="29"/>
      <c r="AD63" s="29"/>
      <c r="AE63" s="29"/>
      <c r="AF63" s="29"/>
      <c r="AG63" s="30">
        <v>12.6</v>
      </c>
      <c r="AH63" s="29"/>
      <c r="AI63" s="29"/>
      <c r="AJ63" s="29"/>
      <c r="AK63" s="29"/>
      <c r="AL63" s="29"/>
      <c r="AM63" s="30">
        <v>9.3000000000000007</v>
      </c>
      <c r="AN63" s="29"/>
      <c r="AO63" s="29"/>
      <c r="AP63" s="29"/>
      <c r="AQ63" s="29"/>
      <c r="AR63" s="29"/>
      <c r="AS63" s="30">
        <v>18.7</v>
      </c>
      <c r="AT63" s="29"/>
      <c r="AU63" s="29"/>
      <c r="AV63" s="29"/>
      <c r="AW63" s="29"/>
      <c r="AX63" s="29"/>
      <c r="AY63" s="30">
        <v>19</v>
      </c>
      <c r="AZ63" s="29"/>
      <c r="BA63" s="29"/>
      <c r="BB63" s="29"/>
      <c r="BC63" s="29"/>
      <c r="BD63" s="29"/>
      <c r="BE63" s="30">
        <v>10.4</v>
      </c>
      <c r="BF63" s="29"/>
      <c r="BG63" s="29"/>
      <c r="BH63" s="29"/>
      <c r="BI63" s="29"/>
      <c r="BJ63" s="29"/>
      <c r="BK63" s="30">
        <v>8.4</v>
      </c>
      <c r="BL63" s="29"/>
      <c r="BM63" s="29"/>
      <c r="BN63" s="29"/>
      <c r="BO63" s="29"/>
      <c r="BP63" s="29"/>
      <c r="BQ63" s="30">
        <v>8</v>
      </c>
      <c r="BR63" s="29"/>
      <c r="BS63" s="29"/>
      <c r="BT63" s="29"/>
      <c r="BU63" s="29"/>
      <c r="BV63" s="29"/>
      <c r="BW63" s="30">
        <v>10.9</v>
      </c>
      <c r="BX63" s="29"/>
      <c r="BY63" s="29"/>
      <c r="BZ63" s="29"/>
      <c r="CA63" s="29"/>
      <c r="CB63" s="29"/>
      <c r="CC63" s="30">
        <v>7.2</v>
      </c>
      <c r="CD63" s="29"/>
      <c r="CE63" s="29"/>
      <c r="CF63" s="29"/>
      <c r="CG63" s="29"/>
      <c r="CH63" s="29"/>
      <c r="CI63" s="30">
        <v>19.399999999999999</v>
      </c>
      <c r="CJ63" s="29"/>
      <c r="CK63" s="29"/>
      <c r="CL63" s="29"/>
      <c r="CM63" s="31"/>
      <c r="CN63" s="31"/>
      <c r="CO63" s="31"/>
      <c r="CP63" s="31"/>
      <c r="CQ63" s="31"/>
      <c r="CR63" s="31"/>
      <c r="CS63" s="31"/>
      <c r="CT63" s="22"/>
      <c r="CV63" s="6"/>
      <c r="CW63" s="6"/>
      <c r="CX63" s="6"/>
      <c r="CY63" s="6"/>
      <c r="DB63" s="12" t="s">
        <v>130</v>
      </c>
      <c r="DC63" s="42">
        <f>DD63+$DC$62</f>
        <v>0.125</v>
      </c>
      <c r="DD63" s="35">
        <v>0.115</v>
      </c>
      <c r="DE63" s="42">
        <f>DD63+$DE$62</f>
        <v>9.5000000000000001E-2</v>
      </c>
    </row>
    <row r="64" spans="2:110" ht="15" customHeight="1" x14ac:dyDescent="0.25">
      <c r="B64" s="25" t="s">
        <v>137</v>
      </c>
      <c r="C64" s="39" t="str">
        <f t="shared" ref="C64:I64" si="74">IFERROR(C63/C48,"")</f>
        <v/>
      </c>
      <c r="D64" s="39" t="str">
        <f t="shared" si="74"/>
        <v/>
      </c>
      <c r="E64" s="39">
        <f t="shared" si="74"/>
        <v>2.400264856811786E-2</v>
      </c>
      <c r="F64" s="39">
        <f t="shared" si="74"/>
        <v>1.4502762430939226E-2</v>
      </c>
      <c r="G64" s="39">
        <f t="shared" si="74"/>
        <v>1.5780055311534081E-2</v>
      </c>
      <c r="H64" s="39">
        <f t="shared" si="74"/>
        <v>1.9555694618272841E-2</v>
      </c>
      <c r="I64" s="39">
        <f t="shared" si="74"/>
        <v>2.0816124235916077E-2</v>
      </c>
      <c r="J64" s="39"/>
      <c r="K64" s="39"/>
      <c r="L64" s="39"/>
      <c r="M64" s="39"/>
      <c r="N64" s="39"/>
      <c r="O64" s="39">
        <f>IFERROR(O63/O48,"")</f>
        <v>2.4476083826587745E-2</v>
      </c>
      <c r="P64" s="39"/>
      <c r="Q64" s="39"/>
      <c r="R64" s="39"/>
      <c r="S64" s="39"/>
      <c r="T64" s="39"/>
      <c r="U64" s="39">
        <f>IFERROR(U63/U48,"")</f>
        <v>1.4593698175787729E-2</v>
      </c>
      <c r="V64" s="39"/>
      <c r="W64" s="39"/>
      <c r="X64" s="39"/>
      <c r="Y64" s="39"/>
      <c r="Z64" s="39"/>
      <c r="AA64" s="39">
        <f>IFERROR(AA63/AA48,"")</f>
        <v>1.5335355578024941E-2</v>
      </c>
      <c r="AB64" s="39"/>
      <c r="AC64" s="39"/>
      <c r="AD64" s="39"/>
      <c r="AE64" s="39"/>
      <c r="AF64" s="39"/>
      <c r="AG64" s="39">
        <f>IFERROR(AG63/AG48,"")</f>
        <v>2.0457866536775452E-2</v>
      </c>
      <c r="AH64" s="39"/>
      <c r="AI64" s="39"/>
      <c r="AJ64" s="39"/>
      <c r="AK64" s="39"/>
      <c r="AL64" s="39"/>
      <c r="AM64" s="39">
        <f>IFERROR(AM63/AM48,"")</f>
        <v>1.5730717185385656E-2</v>
      </c>
      <c r="AN64" s="39"/>
      <c r="AO64" s="39"/>
      <c r="AP64" s="39"/>
      <c r="AQ64" s="39"/>
      <c r="AR64" s="39"/>
      <c r="AS64" s="39">
        <f>IFERROR(AS63/AS48,"")</f>
        <v>2.9209621993127145E-2</v>
      </c>
      <c r="AT64" s="39"/>
      <c r="AU64" s="39"/>
      <c r="AV64" s="39"/>
      <c r="AW64" s="39"/>
      <c r="AX64" s="39"/>
      <c r="AY64" s="39">
        <f>IFERROR(AY63/AY48,"")</f>
        <v>2.7532241704100853E-2</v>
      </c>
      <c r="AZ64" s="39"/>
      <c r="BA64" s="39"/>
      <c r="BB64" s="39"/>
      <c r="BC64" s="39"/>
      <c r="BD64" s="39"/>
      <c r="BE64" s="39">
        <f>IFERROR(BE63/BE48,"")</f>
        <v>1.7645062775704108E-2</v>
      </c>
      <c r="BF64" s="39"/>
      <c r="BG64" s="39"/>
      <c r="BH64" s="39"/>
      <c r="BI64" s="39"/>
      <c r="BJ64" s="39"/>
      <c r="BK64" s="39">
        <f>IFERROR(BK63/BK48,"")</f>
        <v>1.3360903451566725E-2</v>
      </c>
      <c r="BL64" s="39"/>
      <c r="BM64" s="39"/>
      <c r="BN64" s="39"/>
      <c r="BO64" s="39"/>
      <c r="BP64" s="39"/>
      <c r="BQ64" s="39">
        <f>IFERROR(BQ63/BQ48,"")</f>
        <v>1.1723329425556858E-2</v>
      </c>
      <c r="BR64" s="39"/>
      <c r="BS64" s="39"/>
      <c r="BT64" s="39"/>
      <c r="BU64" s="39"/>
      <c r="BV64" s="39"/>
      <c r="BW64" s="39">
        <f>IFERROR(BW63/BW48,"")</f>
        <v>1.5003441156228493E-2</v>
      </c>
      <c r="BX64" s="39"/>
      <c r="BY64" s="39"/>
      <c r="BZ64" s="39"/>
      <c r="CA64" s="39"/>
      <c r="CB64" s="39"/>
      <c r="CC64" s="39">
        <f>IFERROR(CC63/CC48,"")</f>
        <v>9.2687950566426366E-3</v>
      </c>
      <c r="CD64" s="39"/>
      <c r="CE64" s="39"/>
      <c r="CF64" s="39"/>
      <c r="CG64" s="39"/>
      <c r="CH64" s="39"/>
      <c r="CI64" s="39">
        <f>IFERROR(CI63/CI48,"")</f>
        <v>1.8324360064229713E-2</v>
      </c>
      <c r="CJ64" s="39"/>
      <c r="CK64" s="39"/>
      <c r="CL64" s="39"/>
      <c r="CM64" s="27"/>
      <c r="CN64" s="27"/>
      <c r="CO64" s="27"/>
      <c r="CP64" s="27"/>
      <c r="CQ64" s="27"/>
      <c r="CR64" s="27"/>
      <c r="CS64" s="27"/>
      <c r="CT64" s="22"/>
      <c r="CV64" s="6"/>
      <c r="CW64" s="6"/>
      <c r="CX64" s="6"/>
      <c r="CY64" s="6"/>
      <c r="DB64" s="12" t="s">
        <v>132</v>
      </c>
      <c r="DC64" s="42">
        <f>DD64+$DC$62</f>
        <v>0.13</v>
      </c>
      <c r="DD64" s="35">
        <v>0.12</v>
      </c>
      <c r="DE64" s="42">
        <f>DD64+$DE$62</f>
        <v>9.9999999999999992E-2</v>
      </c>
    </row>
    <row r="65" spans="2:110" ht="15" customHeight="1" x14ac:dyDescent="0.25">
      <c r="B65" s="12"/>
      <c r="CM65" s="6"/>
      <c r="CN65" s="6"/>
      <c r="CO65" s="6"/>
      <c r="CP65" s="6"/>
      <c r="CQ65" s="6"/>
      <c r="CR65" s="6"/>
      <c r="CS65" s="6"/>
      <c r="CT65" s="6"/>
      <c r="DB65" s="12" t="s">
        <v>134</v>
      </c>
      <c r="DC65" s="42">
        <f>DD65+$DC$62</f>
        <v>0.13</v>
      </c>
      <c r="DD65" s="35">
        <v>0.12</v>
      </c>
      <c r="DE65" s="42">
        <f>DD65+$DE$62</f>
        <v>9.9999999999999992E-2</v>
      </c>
    </row>
    <row r="66" spans="2:110" ht="15" customHeight="1" x14ac:dyDescent="0.25">
      <c r="B66" s="16" t="s">
        <v>165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7" t="s">
        <v>166</v>
      </c>
      <c r="DB66" s="12" t="s">
        <v>136</v>
      </c>
      <c r="DC66" s="42">
        <f>DD66+$DC$62</f>
        <v>0.13500000000000001</v>
      </c>
      <c r="DD66" s="35">
        <v>0.125</v>
      </c>
      <c r="DE66" s="42">
        <f>DD66+$DE$62</f>
        <v>0.105</v>
      </c>
    </row>
    <row r="67" spans="2:110" ht="15" customHeight="1" x14ac:dyDescent="0.25">
      <c r="B67" s="18" t="s">
        <v>99</v>
      </c>
      <c r="C67" s="19"/>
      <c r="D67" s="19"/>
      <c r="E67" s="20">
        <v>431.3</v>
      </c>
      <c r="F67" s="20">
        <v>407.2</v>
      </c>
      <c r="G67" s="20">
        <v>333.8</v>
      </c>
      <c r="H67" s="20">
        <v>304.60000000000002</v>
      </c>
      <c r="I67" s="20">
        <v>301.39999999999998</v>
      </c>
      <c r="J67" s="20">
        <v>71.2</v>
      </c>
      <c r="K67" s="20">
        <v>69.5</v>
      </c>
      <c r="L67" s="19">
        <f>J67+K67</f>
        <v>140.69999999999999</v>
      </c>
      <c r="M67" s="20">
        <v>66.7</v>
      </c>
      <c r="N67" s="20">
        <v>68.5</v>
      </c>
      <c r="O67" s="20">
        <v>275.89999999999998</v>
      </c>
      <c r="P67" s="20">
        <v>59.4</v>
      </c>
      <c r="Q67" s="20">
        <v>64.599999999999994</v>
      </c>
      <c r="R67" s="19">
        <f>P67+Q67</f>
        <v>124</v>
      </c>
      <c r="S67" s="20">
        <v>73.3</v>
      </c>
      <c r="T67" s="20">
        <v>74.599999999999994</v>
      </c>
      <c r="U67" s="20">
        <v>271.89999999999998</v>
      </c>
      <c r="V67" s="20">
        <v>63.1</v>
      </c>
      <c r="W67" s="20">
        <v>68.599999999999994</v>
      </c>
      <c r="X67" s="19">
        <f>V67+W67</f>
        <v>131.69999999999999</v>
      </c>
      <c r="Y67" s="20">
        <v>65.2</v>
      </c>
      <c r="Z67" s="20">
        <v>77.7</v>
      </c>
      <c r="AA67" s="20">
        <v>274.60000000000002</v>
      </c>
      <c r="AB67" s="20">
        <v>64.3</v>
      </c>
      <c r="AC67" s="20">
        <v>62.2</v>
      </c>
      <c r="AD67" s="19">
        <f>AB67+AC67</f>
        <v>126.5</v>
      </c>
      <c r="AE67" s="20">
        <v>66.5</v>
      </c>
      <c r="AF67" s="20">
        <v>65.599999999999994</v>
      </c>
      <c r="AG67" s="20">
        <v>258.60000000000002</v>
      </c>
      <c r="AH67" s="20">
        <v>67.599999999999994</v>
      </c>
      <c r="AI67" s="20">
        <v>76</v>
      </c>
      <c r="AJ67" s="19">
        <f>AH67+AI67</f>
        <v>143.6</v>
      </c>
      <c r="AK67" s="20">
        <v>73.099999999999994</v>
      </c>
      <c r="AL67" s="20">
        <v>69.5</v>
      </c>
      <c r="AM67" s="20">
        <v>348.3</v>
      </c>
      <c r="AN67" s="20">
        <v>91.9</v>
      </c>
      <c r="AO67" s="20">
        <v>89.4</v>
      </c>
      <c r="AP67" s="19">
        <f>AN67+AO67</f>
        <v>181.3</v>
      </c>
      <c r="AQ67" s="20">
        <v>88.1</v>
      </c>
      <c r="AR67" s="20">
        <v>95.7</v>
      </c>
      <c r="AS67" s="20">
        <v>365.1</v>
      </c>
      <c r="AT67" s="20">
        <v>89.7</v>
      </c>
      <c r="AU67" s="20">
        <v>93.5</v>
      </c>
      <c r="AV67" s="19">
        <f>AT67+AU67</f>
        <v>183.2</v>
      </c>
      <c r="AW67" s="20">
        <v>98.2</v>
      </c>
      <c r="AX67" s="20">
        <v>94.1</v>
      </c>
      <c r="AY67" s="20">
        <v>375.5</v>
      </c>
      <c r="AZ67" s="20">
        <v>96.5</v>
      </c>
      <c r="BA67" s="20">
        <v>99.5</v>
      </c>
      <c r="BB67" s="19">
        <f>AZ67+BA67</f>
        <v>196</v>
      </c>
      <c r="BC67" s="20">
        <v>101</v>
      </c>
      <c r="BD67" s="20">
        <v>119.3</v>
      </c>
      <c r="BE67" s="20">
        <v>416.3</v>
      </c>
      <c r="BF67" s="20">
        <v>104.7</v>
      </c>
      <c r="BG67" s="20">
        <v>98</v>
      </c>
      <c r="BH67" s="19">
        <f>BF67+BG67</f>
        <v>202.7</v>
      </c>
      <c r="BI67" s="20">
        <v>102.4</v>
      </c>
      <c r="BJ67" s="20">
        <v>100.7</v>
      </c>
      <c r="BK67" s="20">
        <v>405.8</v>
      </c>
      <c r="BL67" s="20">
        <v>95.4</v>
      </c>
      <c r="BM67" s="20">
        <v>98.7</v>
      </c>
      <c r="BN67" s="19">
        <f>BL67+BM67</f>
        <v>194.10000000000002</v>
      </c>
      <c r="BO67" s="20">
        <v>109.8</v>
      </c>
      <c r="BP67" s="20">
        <v>107.4</v>
      </c>
      <c r="BQ67" s="20">
        <v>411.3</v>
      </c>
      <c r="BR67" s="20">
        <v>104.1</v>
      </c>
      <c r="BS67" s="20">
        <v>117</v>
      </c>
      <c r="BT67" s="19">
        <f>BR67+BS67</f>
        <v>221.1</v>
      </c>
      <c r="BU67" s="20">
        <v>114.3</v>
      </c>
      <c r="BV67" s="20">
        <v>103.3</v>
      </c>
      <c r="BW67" s="20">
        <v>438.7</v>
      </c>
      <c r="BX67" s="20">
        <v>93.2</v>
      </c>
      <c r="BY67" s="20">
        <v>106.8</v>
      </c>
      <c r="BZ67" s="19">
        <f>BX67+BY67</f>
        <v>200</v>
      </c>
      <c r="CA67" s="20">
        <v>125.1</v>
      </c>
      <c r="CB67" s="20">
        <v>114.7</v>
      </c>
      <c r="CC67" s="20">
        <v>439.8</v>
      </c>
      <c r="CD67" s="20">
        <v>107.1</v>
      </c>
      <c r="CE67" s="20">
        <v>110.3</v>
      </c>
      <c r="CF67" s="19">
        <f>CD67+CE67</f>
        <v>217.39999999999998</v>
      </c>
      <c r="CG67" s="20">
        <v>115</v>
      </c>
      <c r="CH67" s="20">
        <v>103.3</v>
      </c>
      <c r="CI67" s="20">
        <v>435.7</v>
      </c>
      <c r="CJ67" s="20">
        <v>104.3</v>
      </c>
      <c r="CK67" s="20">
        <v>119.6</v>
      </c>
      <c r="CL67" s="19">
        <f>CJ67+CK67</f>
        <v>223.89999999999998</v>
      </c>
      <c r="CM67" s="21">
        <f>CG67*CK67/CE67</f>
        <v>124.69628286491387</v>
      </c>
      <c r="CN67" s="21">
        <f>CH67*CK67/CE67</f>
        <v>112.00979147778784</v>
      </c>
      <c r="CO67" s="21">
        <f>SUM(CJ67,CK67,CM67,CN67)</f>
        <v>460.60607434270173</v>
      </c>
      <c r="CP67" s="21">
        <f>CO67*(1+CP68)</f>
        <v>479.03031731640982</v>
      </c>
      <c r="CQ67" s="21">
        <f>CP67*(1+CQ68)</f>
        <v>498.19153000906624</v>
      </c>
      <c r="CR67" s="21">
        <f>CQ67*(1+CR68)</f>
        <v>518.11919120942889</v>
      </c>
      <c r="CS67" s="21">
        <f>CR67*(1+CS68)</f>
        <v>538.84395885780611</v>
      </c>
      <c r="CT67" s="22" t="s">
        <v>100</v>
      </c>
      <c r="CV67" s="23">
        <f>IFERROR((CS67/CI67)^(1/5)-1,"n/m")</f>
        <v>4.3410233018261746E-2</v>
      </c>
      <c r="CW67" s="23">
        <f>IFERROR((CI67/BE67)^(1/5)-1,"n/m")</f>
        <v>9.1511740664829144E-3</v>
      </c>
      <c r="CX67" s="23">
        <f>IFERROR((CI67/AA67)^(1/10)-1,"n/m")</f>
        <v>4.7245981849732832E-2</v>
      </c>
      <c r="CY67" s="23" t="str">
        <f>IFERROR((CI67/C67)^(1/19)-1,"n/m")</f>
        <v>n/m</v>
      </c>
    </row>
    <row r="68" spans="2:110" ht="15" customHeight="1" x14ac:dyDescent="0.25">
      <c r="B68" s="25" t="s">
        <v>105</v>
      </c>
      <c r="C68" s="26"/>
      <c r="D68" s="26" t="str">
        <f t="shared" ref="D68:I68" si="75">IFERROR(D67/C67-1,"")</f>
        <v/>
      </c>
      <c r="E68" s="26" t="str">
        <f t="shared" si="75"/>
        <v/>
      </c>
      <c r="F68" s="26">
        <f t="shared" si="75"/>
        <v>-5.5877579411082845E-2</v>
      </c>
      <c r="G68" s="26">
        <f t="shared" si="75"/>
        <v>-0.18025540275049112</v>
      </c>
      <c r="H68" s="26">
        <f t="shared" si="75"/>
        <v>-8.7477531455961599E-2</v>
      </c>
      <c r="I68" s="26">
        <f t="shared" si="75"/>
        <v>-1.0505581089954141E-2</v>
      </c>
      <c r="J68" s="26"/>
      <c r="K68" s="26"/>
      <c r="L68" s="26"/>
      <c r="M68" s="26"/>
      <c r="N68" s="26"/>
      <c r="O68" s="26">
        <f t="shared" ref="O68:AT68" si="76">IFERROR(O67/I67-1,"")</f>
        <v>-8.4605175846051761E-2</v>
      </c>
      <c r="P68" s="26">
        <f t="shared" si="76"/>
        <v>-0.1657303370786517</v>
      </c>
      <c r="Q68" s="26">
        <f t="shared" si="76"/>
        <v>-7.0503597122302253E-2</v>
      </c>
      <c r="R68" s="26">
        <f t="shared" si="76"/>
        <v>-0.11869225302061115</v>
      </c>
      <c r="S68" s="26">
        <f t="shared" si="76"/>
        <v>9.8950524737630996E-2</v>
      </c>
      <c r="T68" s="26">
        <f t="shared" si="76"/>
        <v>8.9051094890510774E-2</v>
      </c>
      <c r="U68" s="26">
        <f t="shared" si="76"/>
        <v>-1.4498006524102935E-2</v>
      </c>
      <c r="V68" s="26">
        <f t="shared" si="76"/>
        <v>6.2289562289562284E-2</v>
      </c>
      <c r="W68" s="26">
        <f t="shared" si="76"/>
        <v>6.1919504643962897E-2</v>
      </c>
      <c r="X68" s="26">
        <f t="shared" si="76"/>
        <v>6.209677419354831E-2</v>
      </c>
      <c r="Y68" s="26">
        <f t="shared" si="76"/>
        <v>-0.11050477489768074</v>
      </c>
      <c r="Z68" s="26">
        <f t="shared" si="76"/>
        <v>4.1554959785522927E-2</v>
      </c>
      <c r="AA68" s="26">
        <f t="shared" si="76"/>
        <v>9.930121368150191E-3</v>
      </c>
      <c r="AB68" s="26">
        <f t="shared" si="76"/>
        <v>1.9017432646592614E-2</v>
      </c>
      <c r="AC68" s="26">
        <f t="shared" si="76"/>
        <v>-9.3294460641399346E-2</v>
      </c>
      <c r="AD68" s="26">
        <f t="shared" si="76"/>
        <v>-3.9483675018982423E-2</v>
      </c>
      <c r="AE68" s="26">
        <f t="shared" si="76"/>
        <v>1.9938650306748462E-2</v>
      </c>
      <c r="AF68" s="26">
        <f t="shared" si="76"/>
        <v>-0.15572715572715579</v>
      </c>
      <c r="AG68" s="26">
        <f t="shared" si="76"/>
        <v>-5.8266569555717407E-2</v>
      </c>
      <c r="AH68" s="26">
        <f t="shared" si="76"/>
        <v>5.1321928460342114E-2</v>
      </c>
      <c r="AI68" s="26">
        <f t="shared" si="76"/>
        <v>0.22186495176848875</v>
      </c>
      <c r="AJ68" s="26">
        <f t="shared" si="76"/>
        <v>0.13517786561264811</v>
      </c>
      <c r="AK68" s="26">
        <f t="shared" si="76"/>
        <v>9.9248120300751808E-2</v>
      </c>
      <c r="AL68" s="26">
        <f t="shared" si="76"/>
        <v>5.945121951219523E-2</v>
      </c>
      <c r="AM68" s="26">
        <f t="shared" si="76"/>
        <v>0.34686774941995346</v>
      </c>
      <c r="AN68" s="26">
        <f t="shared" si="76"/>
        <v>0.359467455621302</v>
      </c>
      <c r="AO68" s="26">
        <f t="shared" si="76"/>
        <v>0.1763157894736842</v>
      </c>
      <c r="AP68" s="26">
        <f t="shared" si="76"/>
        <v>0.26253481894150421</v>
      </c>
      <c r="AQ68" s="26">
        <f t="shared" si="76"/>
        <v>0.20519835841313272</v>
      </c>
      <c r="AR68" s="26">
        <f t="shared" si="76"/>
        <v>0.37697841726618719</v>
      </c>
      <c r="AS68" s="26">
        <f t="shared" si="76"/>
        <v>4.8234280792420314E-2</v>
      </c>
      <c r="AT68" s="26">
        <f t="shared" si="76"/>
        <v>-2.393906420021763E-2</v>
      </c>
      <c r="AU68" s="26">
        <f t="shared" ref="AU68:BZ68" si="77">IFERROR(AU67/AO67-1,"")</f>
        <v>4.5861297539149914E-2</v>
      </c>
      <c r="AV68" s="26">
        <f t="shared" si="77"/>
        <v>1.0479867622724681E-2</v>
      </c>
      <c r="AW68" s="26">
        <f t="shared" si="77"/>
        <v>0.11464245175936449</v>
      </c>
      <c r="AX68" s="26">
        <f t="shared" si="77"/>
        <v>-1.6718913270637459E-2</v>
      </c>
      <c r="AY68" s="26">
        <f t="shared" si="77"/>
        <v>2.8485346480416229E-2</v>
      </c>
      <c r="AZ68" s="26">
        <f t="shared" si="77"/>
        <v>7.5808249721293075E-2</v>
      </c>
      <c r="BA68" s="26">
        <f t="shared" si="77"/>
        <v>6.4171122994652441E-2</v>
      </c>
      <c r="BB68" s="26">
        <f t="shared" si="77"/>
        <v>6.9868995633187936E-2</v>
      </c>
      <c r="BC68" s="26">
        <f t="shared" si="77"/>
        <v>2.8513238289205711E-2</v>
      </c>
      <c r="BD68" s="26">
        <f t="shared" si="77"/>
        <v>0.26780021253985131</v>
      </c>
      <c r="BE68" s="26">
        <f t="shared" si="77"/>
        <v>0.10865512649800269</v>
      </c>
      <c r="BF68" s="26">
        <f t="shared" si="77"/>
        <v>8.4974093264248651E-2</v>
      </c>
      <c r="BG68" s="26">
        <f t="shared" si="77"/>
        <v>-1.5075376884422065E-2</v>
      </c>
      <c r="BH68" s="26">
        <f t="shared" si="77"/>
        <v>3.4183673469387665E-2</v>
      </c>
      <c r="BI68" s="26">
        <f t="shared" si="77"/>
        <v>1.3861386138613874E-2</v>
      </c>
      <c r="BJ68" s="26">
        <f t="shared" si="77"/>
        <v>-0.15590947191953053</v>
      </c>
      <c r="BK68" s="26">
        <f t="shared" si="77"/>
        <v>-2.522219553206817E-2</v>
      </c>
      <c r="BL68" s="26">
        <f t="shared" si="77"/>
        <v>-8.8825214899713401E-2</v>
      </c>
      <c r="BM68" s="26">
        <f t="shared" si="77"/>
        <v>7.1428571428571175E-3</v>
      </c>
      <c r="BN68" s="26">
        <f t="shared" si="77"/>
        <v>-4.2427232363097978E-2</v>
      </c>
      <c r="BO68" s="26">
        <f t="shared" si="77"/>
        <v>7.2265625E-2</v>
      </c>
      <c r="BP68" s="26">
        <f t="shared" si="77"/>
        <v>6.6534260178748861E-2</v>
      </c>
      <c r="BQ68" s="26">
        <f t="shared" si="77"/>
        <v>1.3553474618038353E-2</v>
      </c>
      <c r="BR68" s="26">
        <f t="shared" si="77"/>
        <v>9.1194968553458988E-2</v>
      </c>
      <c r="BS68" s="26">
        <f t="shared" si="77"/>
        <v>0.18541033434650456</v>
      </c>
      <c r="BT68" s="26">
        <f t="shared" si="77"/>
        <v>0.13910355486862436</v>
      </c>
      <c r="BU68" s="26">
        <f t="shared" si="77"/>
        <v>4.0983606557376984E-2</v>
      </c>
      <c r="BV68" s="26">
        <f t="shared" si="77"/>
        <v>-3.8175046554934866E-2</v>
      </c>
      <c r="BW68" s="26">
        <f t="shared" si="77"/>
        <v>6.6618040359834652E-2</v>
      </c>
      <c r="BX68" s="26">
        <f t="shared" si="77"/>
        <v>-0.10470701248799219</v>
      </c>
      <c r="BY68" s="26">
        <f t="shared" si="77"/>
        <v>-8.7179487179487203E-2</v>
      </c>
      <c r="BZ68" s="26">
        <f t="shared" si="77"/>
        <v>-9.5431931252826785E-2</v>
      </c>
      <c r="CA68" s="26">
        <f t="shared" ref="CA68:CO68" si="78">IFERROR(CA67/BU67-1,"")</f>
        <v>9.4488188976378007E-2</v>
      </c>
      <c r="CB68" s="26">
        <f t="shared" si="78"/>
        <v>0.11035818005808329</v>
      </c>
      <c r="CC68" s="26">
        <f t="shared" si="78"/>
        <v>2.5074082516527429E-3</v>
      </c>
      <c r="CD68" s="26">
        <f t="shared" si="78"/>
        <v>0.1491416309012874</v>
      </c>
      <c r="CE68" s="26">
        <f t="shared" si="78"/>
        <v>3.2771535580524258E-2</v>
      </c>
      <c r="CF68" s="26">
        <f t="shared" si="78"/>
        <v>8.6999999999999966E-2</v>
      </c>
      <c r="CG68" s="26">
        <f t="shared" si="78"/>
        <v>-8.0735411670663448E-2</v>
      </c>
      <c r="CH68" s="26">
        <f t="shared" si="78"/>
        <v>-9.9389712292938137E-2</v>
      </c>
      <c r="CI68" s="26">
        <f t="shared" si="78"/>
        <v>-9.3224192814916895E-3</v>
      </c>
      <c r="CJ68" s="26">
        <f t="shared" si="78"/>
        <v>-2.6143790849673221E-2</v>
      </c>
      <c r="CK68" s="26">
        <f t="shared" si="78"/>
        <v>8.4315503173164164E-2</v>
      </c>
      <c r="CL68" s="26">
        <f t="shared" si="78"/>
        <v>2.9898804047838068E-2</v>
      </c>
      <c r="CM68" s="27">
        <f t="shared" si="78"/>
        <v>8.4315503173164164E-2</v>
      </c>
      <c r="CN68" s="27">
        <f t="shared" si="78"/>
        <v>8.4315503173163941E-2</v>
      </c>
      <c r="CO68" s="27">
        <f t="shared" si="78"/>
        <v>5.7163356306407564E-2</v>
      </c>
      <c r="CP68" s="27">
        <f>CHOOSE(MATCH($CT$2,{"Bull","Base","Bear"},0),$DC$39,$DD$39,$DE$39)</f>
        <v>0.04</v>
      </c>
      <c r="CQ68" s="27">
        <f>CHOOSE(MATCH($CT$2,{"Bull","Base","Bear"},0),$DC$40,$DD$40,$DE$40)</f>
        <v>0.04</v>
      </c>
      <c r="CR68" s="27">
        <f>CHOOSE(MATCH($CT$2,{"Bull","Base","Bear"},0),$DC$41,$DD$41,$DE$41)</f>
        <v>0.04</v>
      </c>
      <c r="CS68" s="27">
        <f>CHOOSE(MATCH($CT$2,{"Bull","Base","Bear"},0),$DC$42,$DD$42,$DE$42)</f>
        <v>0.04</v>
      </c>
      <c r="CT68" s="22" t="s">
        <v>167</v>
      </c>
      <c r="CV68" s="6"/>
      <c r="CW68" s="6"/>
      <c r="CX68" s="6"/>
      <c r="CY68" s="6"/>
      <c r="DB68" s="17" t="s">
        <v>168</v>
      </c>
      <c r="DC68" s="43">
        <v>750</v>
      </c>
      <c r="DD68" s="24" t="s">
        <v>127</v>
      </c>
      <c r="DE68" s="43">
        <v>-500</v>
      </c>
      <c r="DF68" s="15" t="s">
        <v>169</v>
      </c>
    </row>
    <row r="69" spans="2:110" ht="15" customHeight="1" x14ac:dyDescent="0.25">
      <c r="B69" s="12" t="s">
        <v>108</v>
      </c>
      <c r="C69" s="29"/>
      <c r="D69" s="29"/>
      <c r="E69" s="30">
        <v>42</v>
      </c>
      <c r="F69" s="30">
        <v>31.3</v>
      </c>
      <c r="G69" s="30">
        <v>30.4</v>
      </c>
      <c r="H69" s="30">
        <v>28.1</v>
      </c>
      <c r="I69" s="30">
        <v>28.5</v>
      </c>
      <c r="J69" s="30">
        <v>6.4</v>
      </c>
      <c r="K69" s="30">
        <v>5.7</v>
      </c>
      <c r="L69" s="29">
        <f>J69+K69</f>
        <v>12.100000000000001</v>
      </c>
      <c r="M69" s="30">
        <v>2.7</v>
      </c>
      <c r="N69" s="30">
        <v>7.2</v>
      </c>
      <c r="O69" s="30">
        <v>22</v>
      </c>
      <c r="P69" s="30">
        <v>6.1</v>
      </c>
      <c r="Q69" s="30">
        <v>6.8</v>
      </c>
      <c r="R69" s="29">
        <f>P69+Q69</f>
        <v>12.899999999999999</v>
      </c>
      <c r="S69" s="30">
        <v>8.5</v>
      </c>
      <c r="T69" s="30">
        <v>10</v>
      </c>
      <c r="U69" s="30">
        <v>31.4</v>
      </c>
      <c r="V69" s="30">
        <v>6.7</v>
      </c>
      <c r="W69" s="30">
        <v>4.8</v>
      </c>
      <c r="X69" s="29">
        <f>V69+W69</f>
        <v>11.5</v>
      </c>
      <c r="Y69" s="30">
        <v>5.9</v>
      </c>
      <c r="Z69" s="30">
        <v>8.6999999999999993</v>
      </c>
      <c r="AA69" s="30">
        <v>26.1</v>
      </c>
      <c r="AB69" s="30">
        <v>8</v>
      </c>
      <c r="AC69" s="30">
        <v>5.6</v>
      </c>
      <c r="AD69" s="29">
        <f>AB69+AC69</f>
        <v>13.6</v>
      </c>
      <c r="AE69" s="30">
        <v>8.6</v>
      </c>
      <c r="AF69" s="30">
        <v>9.9</v>
      </c>
      <c r="AG69" s="30">
        <v>32.1</v>
      </c>
      <c r="AH69" s="30">
        <v>7.4</v>
      </c>
      <c r="AI69" s="30">
        <v>7.7</v>
      </c>
      <c r="AJ69" s="29">
        <f>AH69+AI69</f>
        <v>15.100000000000001</v>
      </c>
      <c r="AK69" s="30">
        <v>8.6</v>
      </c>
      <c r="AL69" s="30">
        <v>8.3000000000000007</v>
      </c>
      <c r="AM69" s="30">
        <v>35.5</v>
      </c>
      <c r="AN69" s="30">
        <v>8.9</v>
      </c>
      <c r="AO69" s="30">
        <v>8.6999999999999993</v>
      </c>
      <c r="AP69" s="29">
        <f>AN69+AO69</f>
        <v>17.600000000000001</v>
      </c>
      <c r="AQ69" s="30">
        <v>9.6</v>
      </c>
      <c r="AR69" s="30">
        <v>10.7</v>
      </c>
      <c r="AS69" s="30">
        <v>37.9</v>
      </c>
      <c r="AT69" s="30">
        <v>6.4</v>
      </c>
      <c r="AU69" s="30">
        <v>9</v>
      </c>
      <c r="AV69" s="29">
        <f>AT69+AU69</f>
        <v>15.4</v>
      </c>
      <c r="AW69" s="30">
        <v>10.6</v>
      </c>
      <c r="AX69" s="30">
        <v>10.5</v>
      </c>
      <c r="AY69" s="30">
        <v>36.5</v>
      </c>
      <c r="AZ69" s="30">
        <v>11.4</v>
      </c>
      <c r="BA69" s="30">
        <v>10.8</v>
      </c>
      <c r="BB69" s="29">
        <f>AZ69+BA69</f>
        <v>22.200000000000003</v>
      </c>
      <c r="BC69" s="30">
        <v>12.5</v>
      </c>
      <c r="BD69" s="30">
        <v>15.4</v>
      </c>
      <c r="BE69" s="30">
        <v>50.1</v>
      </c>
      <c r="BF69" s="30">
        <v>14.9</v>
      </c>
      <c r="BG69" s="30">
        <v>11</v>
      </c>
      <c r="BH69" s="29">
        <f>BF69+BG69</f>
        <v>25.9</v>
      </c>
      <c r="BI69" s="30">
        <v>11.5</v>
      </c>
      <c r="BJ69" s="30">
        <v>11.2</v>
      </c>
      <c r="BK69" s="30">
        <v>48.6</v>
      </c>
      <c r="BL69" s="30">
        <v>9.4</v>
      </c>
      <c r="BM69" s="30">
        <v>8.6</v>
      </c>
      <c r="BN69" s="29">
        <f>BL69+BM69</f>
        <v>18</v>
      </c>
      <c r="BO69" s="30">
        <v>11.9</v>
      </c>
      <c r="BP69" s="30">
        <v>9.3000000000000007</v>
      </c>
      <c r="BQ69" s="30">
        <v>39.200000000000003</v>
      </c>
      <c r="BR69" s="30">
        <v>10</v>
      </c>
      <c r="BS69" s="30">
        <v>11.5</v>
      </c>
      <c r="BT69" s="29">
        <f>BR69+BS69</f>
        <v>21.5</v>
      </c>
      <c r="BU69" s="30">
        <v>10.9</v>
      </c>
      <c r="BV69" s="30">
        <v>12.3</v>
      </c>
      <c r="BW69" s="30">
        <v>44.7</v>
      </c>
      <c r="BX69" s="30">
        <v>2.7</v>
      </c>
      <c r="BY69" s="30">
        <v>7.5</v>
      </c>
      <c r="BZ69" s="29">
        <f>BX69+BY69</f>
        <v>10.199999999999999</v>
      </c>
      <c r="CA69" s="30">
        <v>12.9</v>
      </c>
      <c r="CB69" s="30">
        <v>9.8000000000000007</v>
      </c>
      <c r="CC69" s="30">
        <v>32.9</v>
      </c>
      <c r="CD69" s="30">
        <v>10.8</v>
      </c>
      <c r="CE69" s="30">
        <v>12.1</v>
      </c>
      <c r="CF69" s="29">
        <f>CD69+CE69</f>
        <v>22.9</v>
      </c>
      <c r="CG69" s="30">
        <v>12.2</v>
      </c>
      <c r="CH69" s="30">
        <v>11.5</v>
      </c>
      <c r="CI69" s="30">
        <v>46.6</v>
      </c>
      <c r="CJ69" s="30">
        <v>11.7</v>
      </c>
      <c r="CK69" s="30">
        <v>15.1</v>
      </c>
      <c r="CL69" s="29">
        <f>CJ69+CK69</f>
        <v>26.799999999999997</v>
      </c>
      <c r="CM69" s="31">
        <f>CM72-CM70-CM71</f>
        <v>13.887158702080974</v>
      </c>
      <c r="CN69" s="31">
        <f>CN72-CN70-CN71</f>
        <v>10.907013402066379</v>
      </c>
      <c r="CO69" s="31">
        <f>SUM(CJ69,CK69,CM69,CN69)</f>
        <v>51.594172104147347</v>
      </c>
      <c r="CP69" s="31">
        <f>CP72-CP70-CP71</f>
        <v>55.08848649138713</v>
      </c>
      <c r="CQ69" s="31">
        <f>CQ72-CQ70-CQ71</f>
        <v>59.782983601087949</v>
      </c>
      <c r="CR69" s="31">
        <f>CR72-CR70-CR71</f>
        <v>62.174302945131465</v>
      </c>
      <c r="CS69" s="31">
        <f>CS72-CS70-CS71</f>
        <v>67.355494857225764</v>
      </c>
      <c r="CT69" s="22" t="s">
        <v>109</v>
      </c>
      <c r="CV69" s="23">
        <f>IFERROR((CS69/CI69)^(1/5)-1,"n/m")</f>
        <v>7.6458825928645169E-2</v>
      </c>
      <c r="CW69" s="23">
        <f>IFERROR((CI69/BE69)^(1/5)-1,"n/m")</f>
        <v>-1.4379703516460896E-2</v>
      </c>
      <c r="CX69" s="23">
        <f>IFERROR((CI69/AA69)^(1/10)-1,"n/m")</f>
        <v>5.96795198864013E-2</v>
      </c>
      <c r="CY69" s="23" t="str">
        <f>IFERROR((CI69/C69)^(1/19)-1,"n/m")</f>
        <v>n/m</v>
      </c>
      <c r="DB69" s="12" t="s">
        <v>130</v>
      </c>
      <c r="DC69" s="44">
        <f>MAX(0,DD69+$DC$68)</f>
        <v>1500</v>
      </c>
      <c r="DD69" s="37">
        <v>750</v>
      </c>
      <c r="DE69" s="44">
        <f>MAX(0,DD69+$DE$68)</f>
        <v>250</v>
      </c>
    </row>
    <row r="70" spans="2:110" ht="15" customHeight="1" x14ac:dyDescent="0.25">
      <c r="B70" s="12" t="s">
        <v>111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30">
        <v>0</v>
      </c>
      <c r="BA70" s="30">
        <v>0</v>
      </c>
      <c r="BB70" s="29">
        <f>AZ70+BA70</f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29">
        <f>BF70+BG70</f>
        <v>0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29">
        <f>BL70+BM70</f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</v>
      </c>
      <c r="BT70" s="29">
        <f>BR70+BS70</f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29">
        <f>BX70+BY70</f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  <c r="CF70" s="29">
        <f>CD70+CE70</f>
        <v>0</v>
      </c>
      <c r="CG70" s="30">
        <v>0</v>
      </c>
      <c r="CH70" s="30">
        <v>0</v>
      </c>
      <c r="CI70" s="30">
        <v>0</v>
      </c>
      <c r="CJ70" s="30">
        <v>0</v>
      </c>
      <c r="CK70" s="30">
        <v>0</v>
      </c>
      <c r="CL70" s="29">
        <f>CJ70+CK70</f>
        <v>0</v>
      </c>
      <c r="CM70" s="31">
        <f>CM125*$CL$70/($CL$14+$CL$31+$CL$51+$CL$70)</f>
        <v>0</v>
      </c>
      <c r="CN70" s="31">
        <f>CN125*$CL$70/($CL$14+$CL$31+$CL$51+$CL$70)</f>
        <v>0</v>
      </c>
      <c r="CO70" s="31">
        <f>SUM(CJ70,CK70,CM70,CN70)</f>
        <v>0</v>
      </c>
      <c r="CP70" s="31">
        <f>CP371*$CL$70/($CL$14+$CL$31+$CL$51+$CL$70)</f>
        <v>0</v>
      </c>
      <c r="CQ70" s="31">
        <f>CQ371*$CL$70/($CL$14+$CL$31+$CL$51+$CL$70)</f>
        <v>0</v>
      </c>
      <c r="CR70" s="31">
        <f>CR371*$CL$70/($CL$14+$CL$31+$CL$51+$CL$70)</f>
        <v>0</v>
      </c>
      <c r="CS70" s="31">
        <f>CS371*$CL$70/($CL$14+$CL$31+$CL$51+$CL$70)</f>
        <v>0</v>
      </c>
      <c r="CT70" s="22" t="s">
        <v>112</v>
      </c>
      <c r="CV70" s="6"/>
      <c r="CW70" s="6"/>
      <c r="CX70" s="6"/>
      <c r="CY70" s="6"/>
      <c r="DB70" s="12" t="s">
        <v>132</v>
      </c>
      <c r="DC70" s="44">
        <f>MAX(0,DD70+$DC$68)</f>
        <v>1750</v>
      </c>
      <c r="DD70" s="37">
        <v>1000</v>
      </c>
      <c r="DE70" s="44">
        <f>MAX(0,DD70+$DE$68)</f>
        <v>500</v>
      </c>
    </row>
    <row r="71" spans="2:110" ht="15" customHeight="1" x14ac:dyDescent="0.25">
      <c r="B71" s="12" t="s">
        <v>114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32">
        <v>0</v>
      </c>
      <c r="CN71" s="32">
        <v>0</v>
      </c>
      <c r="CO71" s="31">
        <f>SUM(CJ71,CK71,CM71,CN71)</f>
        <v>0</v>
      </c>
      <c r="CP71" s="32">
        <v>0</v>
      </c>
      <c r="CQ71" s="32">
        <v>0</v>
      </c>
      <c r="CR71" s="32">
        <v>0</v>
      </c>
      <c r="CS71" s="32">
        <v>0</v>
      </c>
      <c r="CT71" s="22"/>
      <c r="CV71" s="6"/>
      <c r="CW71" s="6"/>
      <c r="CX71" s="6"/>
      <c r="CY71" s="6"/>
      <c r="DB71" s="12" t="s">
        <v>134</v>
      </c>
      <c r="DC71" s="44">
        <f>MAX(0,DD71+$DC$68)</f>
        <v>1750</v>
      </c>
      <c r="DD71" s="37">
        <v>1000</v>
      </c>
      <c r="DE71" s="44">
        <f>MAX(0,DD71+$DE$68)</f>
        <v>500</v>
      </c>
    </row>
    <row r="72" spans="2:110" ht="15" customHeight="1" x14ac:dyDescent="0.25">
      <c r="B72" s="33" t="s">
        <v>117</v>
      </c>
      <c r="C72" s="34" t="str">
        <f t="shared" ref="C72:AH72" si="79">IF(OR(ISNUMBER(C73),ISNUMBER(C70)),C69+N(C70)+N(C71),"")</f>
        <v/>
      </c>
      <c r="D72" s="34" t="str">
        <f t="shared" si="79"/>
        <v/>
      </c>
      <c r="E72" s="34" t="str">
        <f t="shared" si="79"/>
        <v/>
      </c>
      <c r="F72" s="34" t="str">
        <f t="shared" si="79"/>
        <v/>
      </c>
      <c r="G72" s="34" t="str">
        <f t="shared" si="79"/>
        <v/>
      </c>
      <c r="H72" s="34" t="str">
        <f t="shared" si="79"/>
        <v/>
      </c>
      <c r="I72" s="34" t="str">
        <f t="shared" si="79"/>
        <v/>
      </c>
      <c r="J72" s="19" t="str">
        <f t="shared" si="79"/>
        <v/>
      </c>
      <c r="K72" s="19" t="str">
        <f t="shared" si="79"/>
        <v/>
      </c>
      <c r="L72" s="19" t="str">
        <f t="shared" si="79"/>
        <v/>
      </c>
      <c r="M72" s="19" t="str">
        <f t="shared" si="79"/>
        <v/>
      </c>
      <c r="N72" s="19" t="str">
        <f t="shared" si="79"/>
        <v/>
      </c>
      <c r="O72" s="34" t="str">
        <f t="shared" si="79"/>
        <v/>
      </c>
      <c r="P72" s="19" t="str">
        <f t="shared" si="79"/>
        <v/>
      </c>
      <c r="Q72" s="19" t="str">
        <f t="shared" si="79"/>
        <v/>
      </c>
      <c r="R72" s="19" t="str">
        <f t="shared" si="79"/>
        <v/>
      </c>
      <c r="S72" s="19" t="str">
        <f t="shared" si="79"/>
        <v/>
      </c>
      <c r="T72" s="19" t="str">
        <f t="shared" si="79"/>
        <v/>
      </c>
      <c r="U72" s="34" t="str">
        <f t="shared" si="79"/>
        <v/>
      </c>
      <c r="V72" s="19" t="str">
        <f t="shared" si="79"/>
        <v/>
      </c>
      <c r="W72" s="19" t="str">
        <f t="shared" si="79"/>
        <v/>
      </c>
      <c r="X72" s="19" t="str">
        <f t="shared" si="79"/>
        <v/>
      </c>
      <c r="Y72" s="19" t="str">
        <f t="shared" si="79"/>
        <v/>
      </c>
      <c r="Z72" s="19" t="str">
        <f t="shared" si="79"/>
        <v/>
      </c>
      <c r="AA72" s="34" t="str">
        <f t="shared" si="79"/>
        <v/>
      </c>
      <c r="AB72" s="19" t="str">
        <f t="shared" si="79"/>
        <v/>
      </c>
      <c r="AC72" s="19" t="str">
        <f t="shared" si="79"/>
        <v/>
      </c>
      <c r="AD72" s="19" t="str">
        <f t="shared" si="79"/>
        <v/>
      </c>
      <c r="AE72" s="19" t="str">
        <f t="shared" si="79"/>
        <v/>
      </c>
      <c r="AF72" s="19" t="str">
        <f t="shared" si="79"/>
        <v/>
      </c>
      <c r="AG72" s="34" t="str">
        <f t="shared" si="79"/>
        <v/>
      </c>
      <c r="AH72" s="19" t="str">
        <f t="shared" si="79"/>
        <v/>
      </c>
      <c r="AI72" s="19" t="str">
        <f t="shared" ref="AI72:BN72" si="80">IF(OR(ISNUMBER(AI73),ISNUMBER(AI70)),AI69+N(AI70)+N(AI71),"")</f>
        <v/>
      </c>
      <c r="AJ72" s="19" t="str">
        <f t="shared" si="80"/>
        <v/>
      </c>
      <c r="AK72" s="19" t="str">
        <f t="shared" si="80"/>
        <v/>
      </c>
      <c r="AL72" s="19" t="str">
        <f t="shared" si="80"/>
        <v/>
      </c>
      <c r="AM72" s="34" t="str">
        <f t="shared" si="80"/>
        <v/>
      </c>
      <c r="AN72" s="19" t="str">
        <f t="shared" si="80"/>
        <v/>
      </c>
      <c r="AO72" s="19" t="str">
        <f t="shared" si="80"/>
        <v/>
      </c>
      <c r="AP72" s="19" t="str">
        <f t="shared" si="80"/>
        <v/>
      </c>
      <c r="AQ72" s="19" t="str">
        <f t="shared" si="80"/>
        <v/>
      </c>
      <c r="AR72" s="19" t="str">
        <f t="shared" si="80"/>
        <v/>
      </c>
      <c r="AS72" s="34" t="str">
        <f t="shared" si="80"/>
        <v/>
      </c>
      <c r="AT72" s="19" t="str">
        <f t="shared" si="80"/>
        <v/>
      </c>
      <c r="AU72" s="19" t="str">
        <f t="shared" si="80"/>
        <v/>
      </c>
      <c r="AV72" s="19" t="str">
        <f t="shared" si="80"/>
        <v/>
      </c>
      <c r="AW72" s="19" t="str">
        <f t="shared" si="80"/>
        <v/>
      </c>
      <c r="AX72" s="19" t="str">
        <f t="shared" si="80"/>
        <v/>
      </c>
      <c r="AY72" s="34" t="str">
        <f t="shared" si="80"/>
        <v/>
      </c>
      <c r="AZ72" s="19">
        <f t="shared" si="80"/>
        <v>11.4</v>
      </c>
      <c r="BA72" s="19">
        <f t="shared" si="80"/>
        <v>10.8</v>
      </c>
      <c r="BB72" s="19">
        <f t="shared" si="80"/>
        <v>22.200000000000003</v>
      </c>
      <c r="BC72" s="19">
        <f t="shared" si="80"/>
        <v>12.5</v>
      </c>
      <c r="BD72" s="19">
        <f t="shared" si="80"/>
        <v>15.4</v>
      </c>
      <c r="BE72" s="34">
        <f t="shared" si="80"/>
        <v>50.1</v>
      </c>
      <c r="BF72" s="19">
        <f t="shared" si="80"/>
        <v>14.9</v>
      </c>
      <c r="BG72" s="19">
        <f t="shared" si="80"/>
        <v>11</v>
      </c>
      <c r="BH72" s="19">
        <f t="shared" si="80"/>
        <v>25.9</v>
      </c>
      <c r="BI72" s="19">
        <f t="shared" si="80"/>
        <v>11.5</v>
      </c>
      <c r="BJ72" s="19">
        <f t="shared" si="80"/>
        <v>11.2</v>
      </c>
      <c r="BK72" s="34">
        <f t="shared" si="80"/>
        <v>48.6</v>
      </c>
      <c r="BL72" s="19">
        <f t="shared" si="80"/>
        <v>9.4</v>
      </c>
      <c r="BM72" s="19">
        <f t="shared" si="80"/>
        <v>8.6</v>
      </c>
      <c r="BN72" s="19">
        <f t="shared" si="80"/>
        <v>18</v>
      </c>
      <c r="BO72" s="19">
        <f t="shared" ref="BO72:CL72" si="81">IF(OR(ISNUMBER(BO73),ISNUMBER(BO70)),BO69+N(BO70)+N(BO71),"")</f>
        <v>11.9</v>
      </c>
      <c r="BP72" s="19">
        <f t="shared" si="81"/>
        <v>9.3000000000000007</v>
      </c>
      <c r="BQ72" s="34">
        <f t="shared" si="81"/>
        <v>39.200000000000003</v>
      </c>
      <c r="BR72" s="19">
        <f t="shared" si="81"/>
        <v>10</v>
      </c>
      <c r="BS72" s="19">
        <f t="shared" si="81"/>
        <v>11.5</v>
      </c>
      <c r="BT72" s="19">
        <f t="shared" si="81"/>
        <v>21.5</v>
      </c>
      <c r="BU72" s="19">
        <f t="shared" si="81"/>
        <v>10.9</v>
      </c>
      <c r="BV72" s="19">
        <f t="shared" si="81"/>
        <v>12.3</v>
      </c>
      <c r="BW72" s="34">
        <f t="shared" si="81"/>
        <v>44.7</v>
      </c>
      <c r="BX72" s="19">
        <f t="shared" si="81"/>
        <v>2.7</v>
      </c>
      <c r="BY72" s="19">
        <f t="shared" si="81"/>
        <v>7.5</v>
      </c>
      <c r="BZ72" s="19">
        <f t="shared" si="81"/>
        <v>10.199999999999999</v>
      </c>
      <c r="CA72" s="19">
        <f t="shared" si="81"/>
        <v>12.9</v>
      </c>
      <c r="CB72" s="19">
        <f t="shared" si="81"/>
        <v>9.8000000000000007</v>
      </c>
      <c r="CC72" s="34">
        <f t="shared" si="81"/>
        <v>32.9</v>
      </c>
      <c r="CD72" s="19">
        <f t="shared" si="81"/>
        <v>10.8</v>
      </c>
      <c r="CE72" s="19">
        <f t="shared" si="81"/>
        <v>12.1</v>
      </c>
      <c r="CF72" s="19">
        <f t="shared" si="81"/>
        <v>22.9</v>
      </c>
      <c r="CG72" s="19">
        <f t="shared" si="81"/>
        <v>12.2</v>
      </c>
      <c r="CH72" s="19">
        <f t="shared" si="81"/>
        <v>11.5</v>
      </c>
      <c r="CI72" s="34">
        <f t="shared" si="81"/>
        <v>46.6</v>
      </c>
      <c r="CJ72" s="19">
        <f t="shared" si="81"/>
        <v>11.7</v>
      </c>
      <c r="CK72" s="19">
        <f t="shared" si="81"/>
        <v>15.1</v>
      </c>
      <c r="CL72" s="19">
        <f t="shared" si="81"/>
        <v>26.799999999999997</v>
      </c>
      <c r="CM72" s="34">
        <f>CM67*CM76</f>
        <v>13.887158702080974</v>
      </c>
      <c r="CN72" s="34">
        <f>CN67*CN76</f>
        <v>10.907013402066379</v>
      </c>
      <c r="CO72" s="34">
        <f>SUM(CJ72,CK72,CM72,CN72)</f>
        <v>51.594172104147347</v>
      </c>
      <c r="CP72" s="34">
        <f>CP67*CP76</f>
        <v>55.08848649138713</v>
      </c>
      <c r="CQ72" s="34">
        <f>CQ67*CQ76</f>
        <v>59.782983601087949</v>
      </c>
      <c r="CR72" s="34">
        <f>CR67*CR76</f>
        <v>62.174302945131465</v>
      </c>
      <c r="CS72" s="34">
        <f>CS67*CS76</f>
        <v>67.355494857225764</v>
      </c>
      <c r="CT72" s="22" t="s">
        <v>118</v>
      </c>
      <c r="CV72" s="23">
        <f>IFERROR((CS72/CI72)^(1/5)-1,"n/m")</f>
        <v>7.6458825928645169E-2</v>
      </c>
      <c r="CW72" s="23">
        <f>IFERROR((CI72/BE72)^(1/5)-1,"n/m")</f>
        <v>-1.4379703516460896E-2</v>
      </c>
      <c r="CX72" s="23" t="str">
        <f>IFERROR((CI72/AA72)^(1/10)-1,"n/m")</f>
        <v>n/m</v>
      </c>
      <c r="CY72" s="23" t="str">
        <f>IFERROR((CI72/C72)^(1/19)-1,"n/m")</f>
        <v>n/m</v>
      </c>
      <c r="DB72" s="12" t="s">
        <v>136</v>
      </c>
      <c r="DC72" s="44">
        <f>MAX(0,DD72+$DC$68)</f>
        <v>1750</v>
      </c>
      <c r="DD72" s="37">
        <v>1000</v>
      </c>
      <c r="DE72" s="44">
        <f>MAX(0,DD72+$DE$68)</f>
        <v>500</v>
      </c>
    </row>
    <row r="73" spans="2:110" ht="15" customHeight="1" x14ac:dyDescent="0.25">
      <c r="B73" s="36" t="s">
        <v>120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30">
        <v>11.4</v>
      </c>
      <c r="BA73" s="30">
        <v>10.8</v>
      </c>
      <c r="BB73" s="29">
        <f>AZ73+BA73</f>
        <v>22.200000000000003</v>
      </c>
      <c r="BC73" s="30">
        <v>12.5</v>
      </c>
      <c r="BD73" s="30">
        <v>15.4</v>
      </c>
      <c r="BE73" s="30">
        <v>50.1</v>
      </c>
      <c r="BF73" s="30">
        <v>14.9</v>
      </c>
      <c r="BG73" s="30">
        <v>11</v>
      </c>
      <c r="BH73" s="29">
        <f>BF73+BG73</f>
        <v>25.9</v>
      </c>
      <c r="BI73" s="30">
        <v>11.5</v>
      </c>
      <c r="BJ73" s="30">
        <v>11.2</v>
      </c>
      <c r="BK73" s="30">
        <v>48.6</v>
      </c>
      <c r="BL73" s="30">
        <v>9.4</v>
      </c>
      <c r="BM73" s="30">
        <v>8.6</v>
      </c>
      <c r="BN73" s="29">
        <f>BL73+BM73</f>
        <v>18</v>
      </c>
      <c r="BO73" s="30">
        <v>11.9</v>
      </c>
      <c r="BP73" s="30">
        <v>9.3000000000000007</v>
      </c>
      <c r="BQ73" s="30">
        <v>39.200000000000003</v>
      </c>
      <c r="BR73" s="30">
        <v>10</v>
      </c>
      <c r="BS73" s="30">
        <v>11.5</v>
      </c>
      <c r="BT73" s="29">
        <f>BR73+BS73</f>
        <v>21.5</v>
      </c>
      <c r="BU73" s="30">
        <v>10.9</v>
      </c>
      <c r="BV73" s="30">
        <v>12.3</v>
      </c>
      <c r="BW73" s="30">
        <v>44.7</v>
      </c>
      <c r="BX73" s="30">
        <v>2.7</v>
      </c>
      <c r="BY73" s="30">
        <v>7.5</v>
      </c>
      <c r="BZ73" s="29">
        <f>BX73+BY73</f>
        <v>10.199999999999999</v>
      </c>
      <c r="CA73" s="30">
        <v>12.9</v>
      </c>
      <c r="CB73" s="30">
        <v>9.8000000000000007</v>
      </c>
      <c r="CC73" s="30">
        <v>32.9</v>
      </c>
      <c r="CD73" s="30">
        <v>10.8</v>
      </c>
      <c r="CE73" s="30">
        <v>12.1</v>
      </c>
      <c r="CF73" s="29">
        <f>CD73+CE73</f>
        <v>22.9</v>
      </c>
      <c r="CG73" s="30">
        <v>12.2</v>
      </c>
      <c r="CH73" s="30">
        <v>11.5</v>
      </c>
      <c r="CI73" s="30">
        <v>46.6</v>
      </c>
      <c r="CJ73" s="30">
        <v>11.7</v>
      </c>
      <c r="CK73" s="30">
        <v>15.1</v>
      </c>
      <c r="CL73" s="29">
        <f>CJ73+CK73</f>
        <v>26.799999999999997</v>
      </c>
      <c r="CM73" s="31"/>
      <c r="CN73" s="31"/>
      <c r="CO73" s="31"/>
      <c r="CP73" s="31"/>
      <c r="CQ73" s="31"/>
      <c r="CR73" s="31"/>
      <c r="CS73" s="31"/>
      <c r="CT73" s="22"/>
      <c r="CV73" s="6"/>
      <c r="CW73" s="6"/>
      <c r="CX73" s="6"/>
      <c r="CY73" s="6"/>
    </row>
    <row r="74" spans="2:110" ht="15" customHeight="1" x14ac:dyDescent="0.25">
      <c r="B74" s="38" t="s">
        <v>122</v>
      </c>
      <c r="C74" s="29" t="str">
        <f t="shared" ref="C74:AH74" si="82">IF(ISNUMBER(C73),ROUND(C72-C73,1),"n/p")</f>
        <v>n/p</v>
      </c>
      <c r="D74" s="29" t="str">
        <f t="shared" si="82"/>
        <v>n/p</v>
      </c>
      <c r="E74" s="29" t="str">
        <f t="shared" si="82"/>
        <v>n/p</v>
      </c>
      <c r="F74" s="29" t="str">
        <f t="shared" si="82"/>
        <v>n/p</v>
      </c>
      <c r="G74" s="29" t="str">
        <f t="shared" si="82"/>
        <v>n/p</v>
      </c>
      <c r="H74" s="29" t="str">
        <f t="shared" si="82"/>
        <v>n/p</v>
      </c>
      <c r="I74" s="29" t="str">
        <f t="shared" si="82"/>
        <v>n/p</v>
      </c>
      <c r="J74" s="29" t="str">
        <f t="shared" si="82"/>
        <v>n/p</v>
      </c>
      <c r="K74" s="29" t="str">
        <f t="shared" si="82"/>
        <v>n/p</v>
      </c>
      <c r="L74" s="29" t="str">
        <f t="shared" si="82"/>
        <v>n/p</v>
      </c>
      <c r="M74" s="29" t="str">
        <f t="shared" si="82"/>
        <v>n/p</v>
      </c>
      <c r="N74" s="29" t="str">
        <f t="shared" si="82"/>
        <v>n/p</v>
      </c>
      <c r="O74" s="29" t="str">
        <f t="shared" si="82"/>
        <v>n/p</v>
      </c>
      <c r="P74" s="29" t="str">
        <f t="shared" si="82"/>
        <v>n/p</v>
      </c>
      <c r="Q74" s="29" t="str">
        <f t="shared" si="82"/>
        <v>n/p</v>
      </c>
      <c r="R74" s="29" t="str">
        <f t="shared" si="82"/>
        <v>n/p</v>
      </c>
      <c r="S74" s="29" t="str">
        <f t="shared" si="82"/>
        <v>n/p</v>
      </c>
      <c r="T74" s="29" t="str">
        <f t="shared" si="82"/>
        <v>n/p</v>
      </c>
      <c r="U74" s="29" t="str">
        <f t="shared" si="82"/>
        <v>n/p</v>
      </c>
      <c r="V74" s="29" t="str">
        <f t="shared" si="82"/>
        <v>n/p</v>
      </c>
      <c r="W74" s="29" t="str">
        <f t="shared" si="82"/>
        <v>n/p</v>
      </c>
      <c r="X74" s="29" t="str">
        <f t="shared" si="82"/>
        <v>n/p</v>
      </c>
      <c r="Y74" s="29" t="str">
        <f t="shared" si="82"/>
        <v>n/p</v>
      </c>
      <c r="Z74" s="29" t="str">
        <f t="shared" si="82"/>
        <v>n/p</v>
      </c>
      <c r="AA74" s="29" t="str">
        <f t="shared" si="82"/>
        <v>n/p</v>
      </c>
      <c r="AB74" s="29" t="str">
        <f t="shared" si="82"/>
        <v>n/p</v>
      </c>
      <c r="AC74" s="29" t="str">
        <f t="shared" si="82"/>
        <v>n/p</v>
      </c>
      <c r="AD74" s="29" t="str">
        <f t="shared" si="82"/>
        <v>n/p</v>
      </c>
      <c r="AE74" s="29" t="str">
        <f t="shared" si="82"/>
        <v>n/p</v>
      </c>
      <c r="AF74" s="29" t="str">
        <f t="shared" si="82"/>
        <v>n/p</v>
      </c>
      <c r="AG74" s="29" t="str">
        <f t="shared" si="82"/>
        <v>n/p</v>
      </c>
      <c r="AH74" s="29" t="str">
        <f t="shared" si="82"/>
        <v>n/p</v>
      </c>
      <c r="AI74" s="29" t="str">
        <f t="shared" ref="AI74:BN74" si="83">IF(ISNUMBER(AI73),ROUND(AI72-AI73,1),"n/p")</f>
        <v>n/p</v>
      </c>
      <c r="AJ74" s="29" t="str">
        <f t="shared" si="83"/>
        <v>n/p</v>
      </c>
      <c r="AK74" s="29" t="str">
        <f t="shared" si="83"/>
        <v>n/p</v>
      </c>
      <c r="AL74" s="29" t="str">
        <f t="shared" si="83"/>
        <v>n/p</v>
      </c>
      <c r="AM74" s="29" t="str">
        <f t="shared" si="83"/>
        <v>n/p</v>
      </c>
      <c r="AN74" s="29" t="str">
        <f t="shared" si="83"/>
        <v>n/p</v>
      </c>
      <c r="AO74" s="29" t="str">
        <f t="shared" si="83"/>
        <v>n/p</v>
      </c>
      <c r="AP74" s="29" t="str">
        <f t="shared" si="83"/>
        <v>n/p</v>
      </c>
      <c r="AQ74" s="29" t="str">
        <f t="shared" si="83"/>
        <v>n/p</v>
      </c>
      <c r="AR74" s="29" t="str">
        <f t="shared" si="83"/>
        <v>n/p</v>
      </c>
      <c r="AS74" s="29" t="str">
        <f t="shared" si="83"/>
        <v>n/p</v>
      </c>
      <c r="AT74" s="29" t="str">
        <f t="shared" si="83"/>
        <v>n/p</v>
      </c>
      <c r="AU74" s="29" t="str">
        <f t="shared" si="83"/>
        <v>n/p</v>
      </c>
      <c r="AV74" s="29" t="str">
        <f t="shared" si="83"/>
        <v>n/p</v>
      </c>
      <c r="AW74" s="29" t="str">
        <f t="shared" si="83"/>
        <v>n/p</v>
      </c>
      <c r="AX74" s="29" t="str">
        <f t="shared" si="83"/>
        <v>n/p</v>
      </c>
      <c r="AY74" s="29" t="str">
        <f t="shared" si="83"/>
        <v>n/p</v>
      </c>
      <c r="AZ74" s="29">
        <f t="shared" si="83"/>
        <v>0</v>
      </c>
      <c r="BA74" s="29">
        <f t="shared" si="83"/>
        <v>0</v>
      </c>
      <c r="BB74" s="29">
        <f t="shared" si="83"/>
        <v>0</v>
      </c>
      <c r="BC74" s="29">
        <f t="shared" si="83"/>
        <v>0</v>
      </c>
      <c r="BD74" s="29">
        <f t="shared" si="83"/>
        <v>0</v>
      </c>
      <c r="BE74" s="29">
        <f t="shared" si="83"/>
        <v>0</v>
      </c>
      <c r="BF74" s="29">
        <f t="shared" si="83"/>
        <v>0</v>
      </c>
      <c r="BG74" s="29">
        <f t="shared" si="83"/>
        <v>0</v>
      </c>
      <c r="BH74" s="29">
        <f t="shared" si="83"/>
        <v>0</v>
      </c>
      <c r="BI74" s="29">
        <f t="shared" si="83"/>
        <v>0</v>
      </c>
      <c r="BJ74" s="29">
        <f t="shared" si="83"/>
        <v>0</v>
      </c>
      <c r="BK74" s="29">
        <f t="shared" si="83"/>
        <v>0</v>
      </c>
      <c r="BL74" s="29">
        <f t="shared" si="83"/>
        <v>0</v>
      </c>
      <c r="BM74" s="29">
        <f t="shared" si="83"/>
        <v>0</v>
      </c>
      <c r="BN74" s="29">
        <f t="shared" si="83"/>
        <v>0</v>
      </c>
      <c r="BO74" s="29">
        <f t="shared" ref="BO74:CL74" si="84">IF(ISNUMBER(BO73),ROUND(BO72-BO73,1),"n/p")</f>
        <v>0</v>
      </c>
      <c r="BP74" s="29">
        <f t="shared" si="84"/>
        <v>0</v>
      </c>
      <c r="BQ74" s="29">
        <f t="shared" si="84"/>
        <v>0</v>
      </c>
      <c r="BR74" s="29">
        <f t="shared" si="84"/>
        <v>0</v>
      </c>
      <c r="BS74" s="29">
        <f t="shared" si="84"/>
        <v>0</v>
      </c>
      <c r="BT74" s="29">
        <f t="shared" si="84"/>
        <v>0</v>
      </c>
      <c r="BU74" s="29">
        <f t="shared" si="84"/>
        <v>0</v>
      </c>
      <c r="BV74" s="29">
        <f t="shared" si="84"/>
        <v>0</v>
      </c>
      <c r="BW74" s="29">
        <f t="shared" si="84"/>
        <v>0</v>
      </c>
      <c r="BX74" s="29">
        <f t="shared" si="84"/>
        <v>0</v>
      </c>
      <c r="BY74" s="29">
        <f t="shared" si="84"/>
        <v>0</v>
      </c>
      <c r="BZ74" s="29">
        <f t="shared" si="84"/>
        <v>0</v>
      </c>
      <c r="CA74" s="29">
        <f t="shared" si="84"/>
        <v>0</v>
      </c>
      <c r="CB74" s="29">
        <f t="shared" si="84"/>
        <v>0</v>
      </c>
      <c r="CC74" s="29">
        <f t="shared" si="84"/>
        <v>0</v>
      </c>
      <c r="CD74" s="29">
        <f t="shared" si="84"/>
        <v>0</v>
      </c>
      <c r="CE74" s="29">
        <f t="shared" si="84"/>
        <v>0</v>
      </c>
      <c r="CF74" s="29">
        <f t="shared" si="84"/>
        <v>0</v>
      </c>
      <c r="CG74" s="29">
        <f t="shared" si="84"/>
        <v>0</v>
      </c>
      <c r="CH74" s="29">
        <f t="shared" si="84"/>
        <v>0</v>
      </c>
      <c r="CI74" s="29">
        <f t="shared" si="84"/>
        <v>0</v>
      </c>
      <c r="CJ74" s="29">
        <f t="shared" si="84"/>
        <v>0</v>
      </c>
      <c r="CK74" s="29">
        <f t="shared" si="84"/>
        <v>0</v>
      </c>
      <c r="CL74" s="29">
        <f t="shared" si="84"/>
        <v>0</v>
      </c>
      <c r="CM74" s="31"/>
      <c r="CN74" s="31"/>
      <c r="CO74" s="31"/>
      <c r="CP74" s="31"/>
      <c r="CQ74" s="31"/>
      <c r="CR74" s="31"/>
      <c r="CS74" s="31"/>
      <c r="CT74" s="22"/>
      <c r="CV74" s="6"/>
      <c r="CW74" s="6"/>
      <c r="CX74" s="6"/>
      <c r="CY74" s="6"/>
      <c r="DB74" s="17" t="s">
        <v>170</v>
      </c>
      <c r="DC74" s="43">
        <v>250</v>
      </c>
      <c r="DD74" s="24" t="s">
        <v>127</v>
      </c>
      <c r="DE74" s="43">
        <v>-250</v>
      </c>
      <c r="DF74" s="15" t="s">
        <v>171</v>
      </c>
    </row>
    <row r="75" spans="2:110" ht="15" customHeight="1" x14ac:dyDescent="0.25">
      <c r="B75" s="25" t="s">
        <v>123</v>
      </c>
      <c r="C75" s="39" t="str">
        <f t="shared" ref="C75:AH75" si="85">IFERROR(C69/C67,"")</f>
        <v/>
      </c>
      <c r="D75" s="39" t="str">
        <f t="shared" si="85"/>
        <v/>
      </c>
      <c r="E75" s="39">
        <f t="shared" si="85"/>
        <v>9.7380013911430557E-2</v>
      </c>
      <c r="F75" s="39">
        <f t="shared" si="85"/>
        <v>7.6866404715127706E-2</v>
      </c>
      <c r="G75" s="39">
        <f t="shared" si="85"/>
        <v>9.107249850209706E-2</v>
      </c>
      <c r="H75" s="39">
        <f t="shared" si="85"/>
        <v>9.2252133946158901E-2</v>
      </c>
      <c r="I75" s="39">
        <f t="shared" si="85"/>
        <v>9.4558725945587271E-2</v>
      </c>
      <c r="J75" s="39">
        <f t="shared" si="85"/>
        <v>8.98876404494382E-2</v>
      </c>
      <c r="K75" s="39">
        <f t="shared" si="85"/>
        <v>8.2014388489208639E-2</v>
      </c>
      <c r="L75" s="39">
        <f t="shared" si="85"/>
        <v>8.599857853589199E-2</v>
      </c>
      <c r="M75" s="39">
        <f t="shared" si="85"/>
        <v>4.0479760119940034E-2</v>
      </c>
      <c r="N75" s="39">
        <f t="shared" si="85"/>
        <v>0.10510948905109489</v>
      </c>
      <c r="O75" s="39">
        <f t="shared" si="85"/>
        <v>7.9739035882566159E-2</v>
      </c>
      <c r="P75" s="39">
        <f t="shared" si="85"/>
        <v>0.10269360269360268</v>
      </c>
      <c r="Q75" s="39">
        <f t="shared" si="85"/>
        <v>0.10526315789473685</v>
      </c>
      <c r="R75" s="39">
        <f t="shared" si="85"/>
        <v>0.10403225806451612</v>
      </c>
      <c r="S75" s="39">
        <f t="shared" si="85"/>
        <v>0.1159618008185539</v>
      </c>
      <c r="T75" s="39">
        <f t="shared" si="85"/>
        <v>0.13404825737265416</v>
      </c>
      <c r="U75" s="39">
        <f t="shared" si="85"/>
        <v>0.1154836336888562</v>
      </c>
      <c r="V75" s="39">
        <f t="shared" si="85"/>
        <v>0.10618066561014262</v>
      </c>
      <c r="W75" s="39">
        <f t="shared" si="85"/>
        <v>6.9970845481049565E-2</v>
      </c>
      <c r="X75" s="39">
        <f t="shared" si="85"/>
        <v>8.7319665907365229E-2</v>
      </c>
      <c r="Y75" s="39">
        <f t="shared" si="85"/>
        <v>9.0490797546012275E-2</v>
      </c>
      <c r="Z75" s="39">
        <f t="shared" si="85"/>
        <v>0.11196911196911195</v>
      </c>
      <c r="AA75" s="39">
        <f t="shared" si="85"/>
        <v>9.5047341587764012E-2</v>
      </c>
      <c r="AB75" s="39">
        <f t="shared" si="85"/>
        <v>0.12441679626749612</v>
      </c>
      <c r="AC75" s="39">
        <f t="shared" si="85"/>
        <v>9.0032154340836001E-2</v>
      </c>
      <c r="AD75" s="39">
        <f t="shared" si="85"/>
        <v>0.10750988142292491</v>
      </c>
      <c r="AE75" s="39">
        <f t="shared" si="85"/>
        <v>0.12932330827067667</v>
      </c>
      <c r="AF75" s="39">
        <f t="shared" si="85"/>
        <v>0.15091463414634149</v>
      </c>
      <c r="AG75" s="39">
        <f t="shared" si="85"/>
        <v>0.12412993039443154</v>
      </c>
      <c r="AH75" s="39">
        <f t="shared" si="85"/>
        <v>0.10946745562130179</v>
      </c>
      <c r="AI75" s="39">
        <f t="shared" ref="AI75:BN75" si="86">IFERROR(AI69/AI67,"")</f>
        <v>0.10131578947368421</v>
      </c>
      <c r="AJ75" s="39">
        <f t="shared" si="86"/>
        <v>0.10515320334261839</v>
      </c>
      <c r="AK75" s="39">
        <f t="shared" si="86"/>
        <v>0.11764705882352941</v>
      </c>
      <c r="AL75" s="39">
        <f t="shared" si="86"/>
        <v>0.11942446043165468</v>
      </c>
      <c r="AM75" s="39">
        <f t="shared" si="86"/>
        <v>0.101923629055412</v>
      </c>
      <c r="AN75" s="39">
        <f t="shared" si="86"/>
        <v>9.6844396082698583E-2</v>
      </c>
      <c r="AO75" s="39">
        <f t="shared" si="86"/>
        <v>9.7315436241610723E-2</v>
      </c>
      <c r="AP75" s="39">
        <f t="shared" si="86"/>
        <v>9.7076668505239938E-2</v>
      </c>
      <c r="AQ75" s="39">
        <f t="shared" si="86"/>
        <v>0.10896708286038592</v>
      </c>
      <c r="AR75" s="39">
        <f t="shared" si="86"/>
        <v>0.11180773249738767</v>
      </c>
      <c r="AS75" s="39">
        <f t="shared" si="86"/>
        <v>0.10380717611613256</v>
      </c>
      <c r="AT75" s="39">
        <f t="shared" si="86"/>
        <v>7.1348940914158304E-2</v>
      </c>
      <c r="AU75" s="39">
        <f t="shared" si="86"/>
        <v>9.6256684491978606E-2</v>
      </c>
      <c r="AV75" s="39">
        <f t="shared" si="86"/>
        <v>8.4061135371179041E-2</v>
      </c>
      <c r="AW75" s="39">
        <f t="shared" si="86"/>
        <v>0.10794297352342158</v>
      </c>
      <c r="AX75" s="39">
        <f t="shared" si="86"/>
        <v>0.11158342189160468</v>
      </c>
      <c r="AY75" s="39">
        <f t="shared" si="86"/>
        <v>9.7203728362183758E-2</v>
      </c>
      <c r="AZ75" s="39">
        <f t="shared" si="86"/>
        <v>0.11813471502590674</v>
      </c>
      <c r="BA75" s="39">
        <f t="shared" si="86"/>
        <v>0.10854271356783921</v>
      </c>
      <c r="BB75" s="39">
        <f t="shared" si="86"/>
        <v>0.11326530612244899</v>
      </c>
      <c r="BC75" s="39">
        <f t="shared" si="86"/>
        <v>0.12376237623762376</v>
      </c>
      <c r="BD75" s="39">
        <f t="shared" si="86"/>
        <v>0.12908633696563288</v>
      </c>
      <c r="BE75" s="39">
        <f t="shared" si="86"/>
        <v>0.12034590439586837</v>
      </c>
      <c r="BF75" s="39">
        <f t="shared" si="86"/>
        <v>0.14231136580706782</v>
      </c>
      <c r="BG75" s="39">
        <f t="shared" si="86"/>
        <v>0.11224489795918367</v>
      </c>
      <c r="BH75" s="39">
        <f t="shared" si="86"/>
        <v>0.12777503700049334</v>
      </c>
      <c r="BI75" s="39">
        <f t="shared" si="86"/>
        <v>0.1123046875</v>
      </c>
      <c r="BJ75" s="39">
        <f t="shared" si="86"/>
        <v>0.11122144985104269</v>
      </c>
      <c r="BK75" s="39">
        <f t="shared" si="86"/>
        <v>0.11976343026121242</v>
      </c>
      <c r="BL75" s="39">
        <f t="shared" si="86"/>
        <v>9.853249475890985E-2</v>
      </c>
      <c r="BM75" s="39">
        <f t="shared" si="86"/>
        <v>8.713272543059776E-2</v>
      </c>
      <c r="BN75" s="39">
        <f t="shared" si="86"/>
        <v>9.2735703245749604E-2</v>
      </c>
      <c r="BO75" s="39">
        <f t="shared" ref="BO75:CS75" si="87">IFERROR(BO69/BO67,"")</f>
        <v>0.10837887067395265</v>
      </c>
      <c r="BP75" s="39">
        <f t="shared" si="87"/>
        <v>8.6592178770949726E-2</v>
      </c>
      <c r="BQ75" s="39">
        <f t="shared" si="87"/>
        <v>9.5307561390712378E-2</v>
      </c>
      <c r="BR75" s="39">
        <f t="shared" si="87"/>
        <v>9.6061479346781942E-2</v>
      </c>
      <c r="BS75" s="39">
        <f t="shared" si="87"/>
        <v>9.8290598290598288E-2</v>
      </c>
      <c r="BT75" s="39">
        <f t="shared" si="87"/>
        <v>9.7241067390321123E-2</v>
      </c>
      <c r="BU75" s="39">
        <f t="shared" si="87"/>
        <v>9.5363079615048127E-2</v>
      </c>
      <c r="BV75" s="39">
        <f t="shared" si="87"/>
        <v>0.11907066795740562</v>
      </c>
      <c r="BW75" s="39">
        <f t="shared" si="87"/>
        <v>0.10189195349897426</v>
      </c>
      <c r="BX75" s="39">
        <f t="shared" si="87"/>
        <v>2.8969957081545067E-2</v>
      </c>
      <c r="BY75" s="39">
        <f t="shared" si="87"/>
        <v>7.02247191011236E-2</v>
      </c>
      <c r="BZ75" s="39">
        <f t="shared" si="87"/>
        <v>5.0999999999999997E-2</v>
      </c>
      <c r="CA75" s="39">
        <f t="shared" si="87"/>
        <v>0.10311750599520385</v>
      </c>
      <c r="CB75" s="39">
        <f t="shared" si="87"/>
        <v>8.5440278988666088E-2</v>
      </c>
      <c r="CC75" s="39">
        <f t="shared" si="87"/>
        <v>7.4806730331969065E-2</v>
      </c>
      <c r="CD75" s="39">
        <f t="shared" si="87"/>
        <v>0.1008403361344538</v>
      </c>
      <c r="CE75" s="39">
        <f t="shared" si="87"/>
        <v>0.10970081595648232</v>
      </c>
      <c r="CF75" s="39">
        <f t="shared" si="87"/>
        <v>0.10533578656853726</v>
      </c>
      <c r="CG75" s="39">
        <f t="shared" si="87"/>
        <v>0.10608695652173912</v>
      </c>
      <c r="CH75" s="39">
        <f t="shared" si="87"/>
        <v>0.11132623426911907</v>
      </c>
      <c r="CI75" s="39">
        <f t="shared" si="87"/>
        <v>0.10695432637135645</v>
      </c>
      <c r="CJ75" s="39">
        <f t="shared" si="87"/>
        <v>0.11217641418983701</v>
      </c>
      <c r="CK75" s="39">
        <f t="shared" si="87"/>
        <v>0.12625418060200669</v>
      </c>
      <c r="CL75" s="39">
        <f t="shared" si="87"/>
        <v>0.11969629298794104</v>
      </c>
      <c r="CM75" s="27">
        <f t="shared" si="87"/>
        <v>0.11136786424600345</v>
      </c>
      <c r="CN75" s="27">
        <f t="shared" si="87"/>
        <v>9.7375535282817657E-2</v>
      </c>
      <c r="CO75" s="27">
        <f t="shared" si="87"/>
        <v>0.1120136597802661</v>
      </c>
      <c r="CP75" s="27">
        <f t="shared" si="87"/>
        <v>0.115</v>
      </c>
      <c r="CQ75" s="27">
        <f t="shared" si="87"/>
        <v>0.12</v>
      </c>
      <c r="CR75" s="27">
        <f t="shared" si="87"/>
        <v>0.12</v>
      </c>
      <c r="CS75" s="27">
        <f t="shared" si="87"/>
        <v>0.125</v>
      </c>
      <c r="CT75" s="22"/>
      <c r="CV75" s="40">
        <f>IFERROR(AVERAGE(CO75,CP75,CQ75,CR75,CS75),"n/m")</f>
        <v>0.11840273195605322</v>
      </c>
      <c r="CW75" s="40">
        <f>IFERROR(AVERAGE(BK75,BQ75,BW75,CC75,CI75),"n/m")</f>
        <v>9.9744800370844905E-2</v>
      </c>
      <c r="CX75" s="40">
        <f>IFERROR(AVERAGE(AG75,AM75,AS75,AY75,BE75,BK75,BQ75,BW75,CC75,CI75),"n/m")</f>
        <v>0.10461343701782529</v>
      </c>
      <c r="CY75" s="40">
        <f>IFERROR(AVERAGE(C75,D75,E75,F75,G75,H75,I75,O75,U75,AA75,AG75,AM75,AS75,AY75,BE75,BK75,BQ75,BW75,CC75,CI75),"n/m")</f>
        <v>9.9363008797657817E-2</v>
      </c>
      <c r="DB75" s="12" t="s">
        <v>172</v>
      </c>
      <c r="DC75" s="44">
        <f>MAX(0,DD75+$DC$74)</f>
        <v>250</v>
      </c>
      <c r="DD75" s="37">
        <v>0</v>
      </c>
      <c r="DE75" s="44">
        <f>MAX(0,DD75+$DE$74)</f>
        <v>0</v>
      </c>
    </row>
    <row r="76" spans="2:110" ht="15" customHeight="1" x14ac:dyDescent="0.25">
      <c r="B76" s="25" t="s">
        <v>124</v>
      </c>
      <c r="C76" s="39" t="str">
        <f t="shared" ref="C76:AH76" si="88">IFERROR(C72/C67,"")</f>
        <v/>
      </c>
      <c r="D76" s="39" t="str">
        <f t="shared" si="88"/>
        <v/>
      </c>
      <c r="E76" s="39" t="str">
        <f t="shared" si="88"/>
        <v/>
      </c>
      <c r="F76" s="39" t="str">
        <f t="shared" si="88"/>
        <v/>
      </c>
      <c r="G76" s="39" t="str">
        <f t="shared" si="88"/>
        <v/>
      </c>
      <c r="H76" s="39" t="str">
        <f t="shared" si="88"/>
        <v/>
      </c>
      <c r="I76" s="39" t="str">
        <f t="shared" si="88"/>
        <v/>
      </c>
      <c r="J76" s="39" t="str">
        <f t="shared" si="88"/>
        <v/>
      </c>
      <c r="K76" s="39" t="str">
        <f t="shared" si="88"/>
        <v/>
      </c>
      <c r="L76" s="39" t="str">
        <f t="shared" si="88"/>
        <v/>
      </c>
      <c r="M76" s="39" t="str">
        <f t="shared" si="88"/>
        <v/>
      </c>
      <c r="N76" s="39" t="str">
        <f t="shared" si="88"/>
        <v/>
      </c>
      <c r="O76" s="39" t="str">
        <f t="shared" si="88"/>
        <v/>
      </c>
      <c r="P76" s="39" t="str">
        <f t="shared" si="88"/>
        <v/>
      </c>
      <c r="Q76" s="39" t="str">
        <f t="shared" si="88"/>
        <v/>
      </c>
      <c r="R76" s="39" t="str">
        <f t="shared" si="88"/>
        <v/>
      </c>
      <c r="S76" s="39" t="str">
        <f t="shared" si="88"/>
        <v/>
      </c>
      <c r="T76" s="39" t="str">
        <f t="shared" si="88"/>
        <v/>
      </c>
      <c r="U76" s="39" t="str">
        <f t="shared" si="88"/>
        <v/>
      </c>
      <c r="V76" s="39" t="str">
        <f t="shared" si="88"/>
        <v/>
      </c>
      <c r="W76" s="39" t="str">
        <f t="shared" si="88"/>
        <v/>
      </c>
      <c r="X76" s="39" t="str">
        <f t="shared" si="88"/>
        <v/>
      </c>
      <c r="Y76" s="39" t="str">
        <f t="shared" si="88"/>
        <v/>
      </c>
      <c r="Z76" s="39" t="str">
        <f t="shared" si="88"/>
        <v/>
      </c>
      <c r="AA76" s="39" t="str">
        <f t="shared" si="88"/>
        <v/>
      </c>
      <c r="AB76" s="39" t="str">
        <f t="shared" si="88"/>
        <v/>
      </c>
      <c r="AC76" s="39" t="str">
        <f t="shared" si="88"/>
        <v/>
      </c>
      <c r="AD76" s="39" t="str">
        <f t="shared" si="88"/>
        <v/>
      </c>
      <c r="AE76" s="39" t="str">
        <f t="shared" si="88"/>
        <v/>
      </c>
      <c r="AF76" s="39" t="str">
        <f t="shared" si="88"/>
        <v/>
      </c>
      <c r="AG76" s="39" t="str">
        <f t="shared" si="88"/>
        <v/>
      </c>
      <c r="AH76" s="39" t="str">
        <f t="shared" si="88"/>
        <v/>
      </c>
      <c r="AI76" s="39" t="str">
        <f t="shared" ref="AI76:BN76" si="89">IFERROR(AI72/AI67,"")</f>
        <v/>
      </c>
      <c r="AJ76" s="39" t="str">
        <f t="shared" si="89"/>
        <v/>
      </c>
      <c r="AK76" s="39" t="str">
        <f t="shared" si="89"/>
        <v/>
      </c>
      <c r="AL76" s="39" t="str">
        <f t="shared" si="89"/>
        <v/>
      </c>
      <c r="AM76" s="39" t="str">
        <f t="shared" si="89"/>
        <v/>
      </c>
      <c r="AN76" s="39" t="str">
        <f t="shared" si="89"/>
        <v/>
      </c>
      <c r="AO76" s="39" t="str">
        <f t="shared" si="89"/>
        <v/>
      </c>
      <c r="AP76" s="39" t="str">
        <f t="shared" si="89"/>
        <v/>
      </c>
      <c r="AQ76" s="39" t="str">
        <f t="shared" si="89"/>
        <v/>
      </c>
      <c r="AR76" s="39" t="str">
        <f t="shared" si="89"/>
        <v/>
      </c>
      <c r="AS76" s="39" t="str">
        <f t="shared" si="89"/>
        <v/>
      </c>
      <c r="AT76" s="39" t="str">
        <f t="shared" si="89"/>
        <v/>
      </c>
      <c r="AU76" s="39" t="str">
        <f t="shared" si="89"/>
        <v/>
      </c>
      <c r="AV76" s="39" t="str">
        <f t="shared" si="89"/>
        <v/>
      </c>
      <c r="AW76" s="39" t="str">
        <f t="shared" si="89"/>
        <v/>
      </c>
      <c r="AX76" s="39" t="str">
        <f t="shared" si="89"/>
        <v/>
      </c>
      <c r="AY76" s="39" t="str">
        <f t="shared" si="89"/>
        <v/>
      </c>
      <c r="AZ76" s="39">
        <f t="shared" si="89"/>
        <v>0.11813471502590674</v>
      </c>
      <c r="BA76" s="39">
        <f t="shared" si="89"/>
        <v>0.10854271356783921</v>
      </c>
      <c r="BB76" s="39">
        <f t="shared" si="89"/>
        <v>0.11326530612244899</v>
      </c>
      <c r="BC76" s="39">
        <f t="shared" si="89"/>
        <v>0.12376237623762376</v>
      </c>
      <c r="BD76" s="39">
        <f t="shared" si="89"/>
        <v>0.12908633696563288</v>
      </c>
      <c r="BE76" s="39">
        <f t="shared" si="89"/>
        <v>0.12034590439586837</v>
      </c>
      <c r="BF76" s="39">
        <f t="shared" si="89"/>
        <v>0.14231136580706782</v>
      </c>
      <c r="BG76" s="39">
        <f t="shared" si="89"/>
        <v>0.11224489795918367</v>
      </c>
      <c r="BH76" s="39">
        <f t="shared" si="89"/>
        <v>0.12777503700049334</v>
      </c>
      <c r="BI76" s="39">
        <f t="shared" si="89"/>
        <v>0.1123046875</v>
      </c>
      <c r="BJ76" s="39">
        <f t="shared" si="89"/>
        <v>0.11122144985104269</v>
      </c>
      <c r="BK76" s="39">
        <f t="shared" si="89"/>
        <v>0.11976343026121242</v>
      </c>
      <c r="BL76" s="39">
        <f t="shared" si="89"/>
        <v>9.853249475890985E-2</v>
      </c>
      <c r="BM76" s="39">
        <f t="shared" si="89"/>
        <v>8.713272543059776E-2</v>
      </c>
      <c r="BN76" s="39">
        <f t="shared" si="89"/>
        <v>9.2735703245749604E-2</v>
      </c>
      <c r="BO76" s="39">
        <f t="shared" ref="BO76:CL76" si="90">IFERROR(BO72/BO67,"")</f>
        <v>0.10837887067395265</v>
      </c>
      <c r="BP76" s="39">
        <f t="shared" si="90"/>
        <v>8.6592178770949726E-2</v>
      </c>
      <c r="BQ76" s="39">
        <f t="shared" si="90"/>
        <v>9.5307561390712378E-2</v>
      </c>
      <c r="BR76" s="39">
        <f t="shared" si="90"/>
        <v>9.6061479346781942E-2</v>
      </c>
      <c r="BS76" s="39">
        <f t="shared" si="90"/>
        <v>9.8290598290598288E-2</v>
      </c>
      <c r="BT76" s="39">
        <f t="shared" si="90"/>
        <v>9.7241067390321123E-2</v>
      </c>
      <c r="BU76" s="39">
        <f t="shared" si="90"/>
        <v>9.5363079615048127E-2</v>
      </c>
      <c r="BV76" s="39">
        <f t="shared" si="90"/>
        <v>0.11907066795740562</v>
      </c>
      <c r="BW76" s="39">
        <f t="shared" si="90"/>
        <v>0.10189195349897426</v>
      </c>
      <c r="BX76" s="39">
        <f t="shared" si="90"/>
        <v>2.8969957081545067E-2</v>
      </c>
      <c r="BY76" s="39">
        <f t="shared" si="90"/>
        <v>7.02247191011236E-2</v>
      </c>
      <c r="BZ76" s="39">
        <f t="shared" si="90"/>
        <v>5.0999999999999997E-2</v>
      </c>
      <c r="CA76" s="39">
        <f t="shared" si="90"/>
        <v>0.10311750599520385</v>
      </c>
      <c r="CB76" s="39">
        <f t="shared" si="90"/>
        <v>8.5440278988666088E-2</v>
      </c>
      <c r="CC76" s="39">
        <f t="shared" si="90"/>
        <v>7.4806730331969065E-2</v>
      </c>
      <c r="CD76" s="39">
        <f t="shared" si="90"/>
        <v>0.1008403361344538</v>
      </c>
      <c r="CE76" s="39">
        <f t="shared" si="90"/>
        <v>0.10970081595648232</v>
      </c>
      <c r="CF76" s="39">
        <f t="shared" si="90"/>
        <v>0.10533578656853726</v>
      </c>
      <c r="CG76" s="39">
        <f t="shared" si="90"/>
        <v>0.10608695652173912</v>
      </c>
      <c r="CH76" s="39">
        <f t="shared" si="90"/>
        <v>0.11132623426911907</v>
      </c>
      <c r="CI76" s="39">
        <f t="shared" si="90"/>
        <v>0.10695432637135645</v>
      </c>
      <c r="CJ76" s="39">
        <f t="shared" si="90"/>
        <v>0.11217641418983701</v>
      </c>
      <c r="CK76" s="39">
        <f t="shared" si="90"/>
        <v>0.12625418060200669</v>
      </c>
      <c r="CL76" s="39">
        <f t="shared" si="90"/>
        <v>0.11969629298794104</v>
      </c>
      <c r="CM76" s="27">
        <f>CG76+$CL$76-$CF$76+CM102</f>
        <v>0.11136786424600345</v>
      </c>
      <c r="CN76" s="27">
        <f>CH76+$CL$76-$CF$76+CN102</f>
        <v>9.7375535282817671E-2</v>
      </c>
      <c r="CO76" s="27">
        <f>IFERROR(CO72/CO67,"")</f>
        <v>0.1120136597802661</v>
      </c>
      <c r="CP76" s="27">
        <f>CHOOSE(MATCH($CT$2,{"Bull","Base","Bear"},0),$DC$63,$DD$63,$DE$63)</f>
        <v>0.115</v>
      </c>
      <c r="CQ76" s="27">
        <f>CHOOSE(MATCH($CT$2,{"Bull","Base","Bear"},0),$DC$64,$DD$64,$DE$64)</f>
        <v>0.12</v>
      </c>
      <c r="CR76" s="27">
        <f>CHOOSE(MATCH($CT$2,{"Bull","Base","Bear"},0),$DC$65,$DD$65,$DE$65)</f>
        <v>0.12</v>
      </c>
      <c r="CS76" s="27">
        <f>CHOOSE(MATCH($CT$2,{"Bull","Base","Bear"},0),$DC$66,$DD$66,$DE$66)</f>
        <v>0.125</v>
      </c>
      <c r="CT76" s="22" t="s">
        <v>173</v>
      </c>
      <c r="CV76" s="40">
        <f>IFERROR(AVERAGE(CO76,CP76,CQ76,CR76,CS76),"n/m")</f>
        <v>0.11840273195605322</v>
      </c>
      <c r="CW76" s="40">
        <f>IFERROR(AVERAGE(BK76,BQ76,BW76,CC76,CI76),"n/m")</f>
        <v>9.9744800370844905E-2</v>
      </c>
      <c r="CX76" s="40">
        <f>IFERROR(AVERAGE(AG76,AM76,AS76,AY76,BE76,BK76,BQ76,BW76,CC76,CI76),"n/m")</f>
        <v>0.10317831770834883</v>
      </c>
      <c r="CY76" s="40">
        <f>IFERROR(AVERAGE(C76,D76,E76,F76,G76,H76,I76,O76,U76,AA76,AG76,AM76,AS76,AY76,BE76,BK76,BQ76,BW76,CC76,CI76),"n/m")</f>
        <v>0.10317831770834883</v>
      </c>
      <c r="DB76" s="12" t="s">
        <v>130</v>
      </c>
      <c r="DC76" s="44">
        <f>MAX(0,DD76+$DC$74)</f>
        <v>500</v>
      </c>
      <c r="DD76" s="37">
        <v>250</v>
      </c>
      <c r="DE76" s="44">
        <f>MAX(0,DD76+$DE$74)</f>
        <v>0</v>
      </c>
    </row>
    <row r="77" spans="2:110" ht="15" customHeight="1" x14ac:dyDescent="0.25">
      <c r="B77" s="25" t="s">
        <v>129</v>
      </c>
      <c r="C77" s="26"/>
      <c r="D77" s="26" t="str">
        <f t="shared" ref="D77:I77" si="91">IFERROR(D69/C69-1,"")</f>
        <v/>
      </c>
      <c r="E77" s="26" t="str">
        <f t="shared" si="91"/>
        <v/>
      </c>
      <c r="F77" s="26">
        <f t="shared" si="91"/>
        <v>-0.25476190476190474</v>
      </c>
      <c r="G77" s="26">
        <f t="shared" si="91"/>
        <v>-2.8753993610223683E-2</v>
      </c>
      <c r="H77" s="26">
        <f t="shared" si="91"/>
        <v>-7.5657894736842035E-2</v>
      </c>
      <c r="I77" s="26">
        <f t="shared" si="91"/>
        <v>1.4234875444839812E-2</v>
      </c>
      <c r="J77" s="26"/>
      <c r="K77" s="26"/>
      <c r="L77" s="26"/>
      <c r="M77" s="26"/>
      <c r="N77" s="26"/>
      <c r="O77" s="26">
        <f t="shared" ref="O77:AT77" si="92">IFERROR(O69/I69-1,"")</f>
        <v>-0.22807017543859653</v>
      </c>
      <c r="P77" s="26">
        <f t="shared" si="92"/>
        <v>-4.6875000000000111E-2</v>
      </c>
      <c r="Q77" s="26">
        <f t="shared" si="92"/>
        <v>0.19298245614035081</v>
      </c>
      <c r="R77" s="26">
        <f t="shared" si="92"/>
        <v>6.6115702479338623E-2</v>
      </c>
      <c r="S77" s="26">
        <f t="shared" si="92"/>
        <v>2.1481481481481479</v>
      </c>
      <c r="T77" s="26">
        <f t="shared" si="92"/>
        <v>0.38888888888888884</v>
      </c>
      <c r="U77" s="26">
        <f t="shared" si="92"/>
        <v>0.42727272727272725</v>
      </c>
      <c r="V77" s="26">
        <f t="shared" si="92"/>
        <v>9.8360655737705027E-2</v>
      </c>
      <c r="W77" s="26">
        <f t="shared" si="92"/>
        <v>-0.29411764705882348</v>
      </c>
      <c r="X77" s="26">
        <f t="shared" si="92"/>
        <v>-0.1085271317829456</v>
      </c>
      <c r="Y77" s="26">
        <f t="shared" si="92"/>
        <v>-0.30588235294117638</v>
      </c>
      <c r="Z77" s="26">
        <f t="shared" si="92"/>
        <v>-0.13000000000000012</v>
      </c>
      <c r="AA77" s="26">
        <f t="shared" si="92"/>
        <v>-0.16878980891719741</v>
      </c>
      <c r="AB77" s="26">
        <f t="shared" si="92"/>
        <v>0.19402985074626855</v>
      </c>
      <c r="AC77" s="26">
        <f t="shared" si="92"/>
        <v>0.16666666666666674</v>
      </c>
      <c r="AD77" s="26">
        <f t="shared" si="92"/>
        <v>0.18260869565217397</v>
      </c>
      <c r="AE77" s="26">
        <f t="shared" si="92"/>
        <v>0.45762711864406769</v>
      </c>
      <c r="AF77" s="26">
        <f t="shared" si="92"/>
        <v>0.13793103448275867</v>
      </c>
      <c r="AG77" s="26">
        <f t="shared" si="92"/>
        <v>0.22988505747126431</v>
      </c>
      <c r="AH77" s="26">
        <f t="shared" si="92"/>
        <v>-7.4999999999999956E-2</v>
      </c>
      <c r="AI77" s="26">
        <f t="shared" si="92"/>
        <v>0.37500000000000022</v>
      </c>
      <c r="AJ77" s="26">
        <f t="shared" si="92"/>
        <v>0.11029411764705888</v>
      </c>
      <c r="AK77" s="26">
        <f t="shared" si="92"/>
        <v>0</v>
      </c>
      <c r="AL77" s="26">
        <f t="shared" si="92"/>
        <v>-0.16161616161616155</v>
      </c>
      <c r="AM77" s="26">
        <f t="shared" si="92"/>
        <v>0.10591900311526481</v>
      </c>
      <c r="AN77" s="26">
        <f t="shared" si="92"/>
        <v>0.20270270270270263</v>
      </c>
      <c r="AO77" s="26">
        <f t="shared" si="92"/>
        <v>0.12987012987012969</v>
      </c>
      <c r="AP77" s="26">
        <f t="shared" si="92"/>
        <v>0.16556291390728473</v>
      </c>
      <c r="AQ77" s="26">
        <f t="shared" si="92"/>
        <v>0.11627906976744184</v>
      </c>
      <c r="AR77" s="26">
        <f t="shared" si="92"/>
        <v>0.28915662650602392</v>
      </c>
      <c r="AS77" s="26">
        <f t="shared" si="92"/>
        <v>6.7605633802816811E-2</v>
      </c>
      <c r="AT77" s="26">
        <f t="shared" si="92"/>
        <v>-0.2808988764044944</v>
      </c>
      <c r="AU77" s="26">
        <f t="shared" ref="AU77:BZ77" si="93">IFERROR(AU69/AO69-1,"")</f>
        <v>3.4482758620689724E-2</v>
      </c>
      <c r="AV77" s="26">
        <f t="shared" si="93"/>
        <v>-0.125</v>
      </c>
      <c r="AW77" s="26">
        <f t="shared" si="93"/>
        <v>0.10416666666666674</v>
      </c>
      <c r="AX77" s="26">
        <f t="shared" si="93"/>
        <v>-1.869158878504662E-2</v>
      </c>
      <c r="AY77" s="26">
        <f t="shared" si="93"/>
        <v>-3.6939313984168831E-2</v>
      </c>
      <c r="AZ77" s="26">
        <f t="shared" si="93"/>
        <v>0.78125</v>
      </c>
      <c r="BA77" s="26">
        <f t="shared" si="93"/>
        <v>0.20000000000000018</v>
      </c>
      <c r="BB77" s="26">
        <f t="shared" si="93"/>
        <v>0.44155844155844171</v>
      </c>
      <c r="BC77" s="26">
        <f t="shared" si="93"/>
        <v>0.179245283018868</v>
      </c>
      <c r="BD77" s="26">
        <f t="shared" si="93"/>
        <v>0.46666666666666679</v>
      </c>
      <c r="BE77" s="26">
        <f t="shared" si="93"/>
        <v>0.37260273972602742</v>
      </c>
      <c r="BF77" s="26">
        <f t="shared" si="93"/>
        <v>0.30701754385964919</v>
      </c>
      <c r="BG77" s="26">
        <f t="shared" si="93"/>
        <v>1.8518518518518379E-2</v>
      </c>
      <c r="BH77" s="26">
        <f t="shared" si="93"/>
        <v>0.16666666666666652</v>
      </c>
      <c r="BI77" s="26">
        <f t="shared" si="93"/>
        <v>-7.999999999999996E-2</v>
      </c>
      <c r="BJ77" s="26">
        <f t="shared" si="93"/>
        <v>-0.27272727272727282</v>
      </c>
      <c r="BK77" s="26">
        <f t="shared" si="93"/>
        <v>-2.9940119760479056E-2</v>
      </c>
      <c r="BL77" s="26">
        <f t="shared" si="93"/>
        <v>-0.36912751677852351</v>
      </c>
      <c r="BM77" s="26">
        <f t="shared" si="93"/>
        <v>-0.21818181818181825</v>
      </c>
      <c r="BN77" s="26">
        <f t="shared" si="93"/>
        <v>-0.30501930501930496</v>
      </c>
      <c r="BO77" s="26">
        <f t="shared" si="93"/>
        <v>3.4782608695652195E-2</v>
      </c>
      <c r="BP77" s="26">
        <f t="shared" si="93"/>
        <v>-0.16964285714285698</v>
      </c>
      <c r="BQ77" s="26">
        <f t="shared" si="93"/>
        <v>-0.19341563786008231</v>
      </c>
      <c r="BR77" s="26">
        <f t="shared" si="93"/>
        <v>6.3829787234042534E-2</v>
      </c>
      <c r="BS77" s="26">
        <f t="shared" si="93"/>
        <v>0.33720930232558155</v>
      </c>
      <c r="BT77" s="26">
        <f t="shared" si="93"/>
        <v>0.19444444444444442</v>
      </c>
      <c r="BU77" s="26">
        <f t="shared" si="93"/>
        <v>-8.4033613445378186E-2</v>
      </c>
      <c r="BV77" s="26">
        <f t="shared" si="93"/>
        <v>0.32258064516129026</v>
      </c>
      <c r="BW77" s="26">
        <f t="shared" si="93"/>
        <v>0.14030612244897966</v>
      </c>
      <c r="BX77" s="26">
        <f t="shared" si="93"/>
        <v>-0.73</v>
      </c>
      <c r="BY77" s="26">
        <f t="shared" si="93"/>
        <v>-0.34782608695652173</v>
      </c>
      <c r="BZ77" s="26">
        <f t="shared" si="93"/>
        <v>-0.5255813953488373</v>
      </c>
      <c r="CA77" s="26">
        <f t="shared" ref="CA77:CO77" si="94">IFERROR(CA69/BU69-1,"")</f>
        <v>0.1834862385321101</v>
      </c>
      <c r="CB77" s="26">
        <f t="shared" si="94"/>
        <v>-0.2032520325203252</v>
      </c>
      <c r="CC77" s="26">
        <f t="shared" si="94"/>
        <v>-0.26398210290827751</v>
      </c>
      <c r="CD77" s="26">
        <f t="shared" si="94"/>
        <v>3</v>
      </c>
      <c r="CE77" s="26">
        <f t="shared" si="94"/>
        <v>0.61333333333333329</v>
      </c>
      <c r="CF77" s="26">
        <f t="shared" si="94"/>
        <v>1.2450980392156863</v>
      </c>
      <c r="CG77" s="26">
        <f t="shared" si="94"/>
        <v>-5.4263565891472965E-2</v>
      </c>
      <c r="CH77" s="26">
        <f t="shared" si="94"/>
        <v>0.1734693877551019</v>
      </c>
      <c r="CI77" s="26">
        <f t="shared" si="94"/>
        <v>0.41641337386018251</v>
      </c>
      <c r="CJ77" s="26">
        <f t="shared" si="94"/>
        <v>8.3333333333333259E-2</v>
      </c>
      <c r="CK77" s="26">
        <f t="shared" si="94"/>
        <v>0.24793388429752072</v>
      </c>
      <c r="CL77" s="26">
        <f t="shared" si="94"/>
        <v>0.17030567685589504</v>
      </c>
      <c r="CM77" s="27">
        <f t="shared" si="94"/>
        <v>0.13829169689188325</v>
      </c>
      <c r="CN77" s="27">
        <f t="shared" si="94"/>
        <v>-5.1564051994227866E-2</v>
      </c>
      <c r="CO77" s="27">
        <f t="shared" si="94"/>
        <v>0.10717107519629487</v>
      </c>
      <c r="CP77" s="27">
        <f>IFERROR(CP69/CO69-1,"")</f>
        <v>6.7726920400742241E-2</v>
      </c>
      <c r="CQ77" s="27">
        <f>IFERROR(CQ69/CP69-1,"")</f>
        <v>8.5217391304347911E-2</v>
      </c>
      <c r="CR77" s="27">
        <f>IFERROR(CR69/CQ69-1,"")</f>
        <v>4.0000000000000036E-2</v>
      </c>
      <c r="CS77" s="27">
        <f>IFERROR(CS69/CR69-1,"")</f>
        <v>8.3333333333333481E-2</v>
      </c>
      <c r="CT77" s="22"/>
      <c r="CV77" s="6"/>
      <c r="CW77" s="6"/>
      <c r="CX77" s="6"/>
      <c r="CY77" s="6"/>
      <c r="DB77" s="12" t="s">
        <v>132</v>
      </c>
      <c r="DC77" s="44">
        <f>MAX(0,DD77+$DC$74)</f>
        <v>500</v>
      </c>
      <c r="DD77" s="37">
        <v>250</v>
      </c>
      <c r="DE77" s="44">
        <f>MAX(0,DD77+$DE$74)</f>
        <v>0</v>
      </c>
    </row>
    <row r="78" spans="2:110" ht="15" customHeight="1" x14ac:dyDescent="0.25">
      <c r="B78" s="25" t="s">
        <v>131</v>
      </c>
      <c r="C78" s="39"/>
      <c r="D78" s="39" t="str">
        <f t="shared" ref="D78:I78" si="95">IFERROR((D72-C72)/(D67-C67),"")</f>
        <v/>
      </c>
      <c r="E78" s="39" t="str">
        <f t="shared" si="95"/>
        <v/>
      </c>
      <c r="F78" s="39" t="str">
        <f t="shared" si="95"/>
        <v/>
      </c>
      <c r="G78" s="39" t="str">
        <f t="shared" si="95"/>
        <v/>
      </c>
      <c r="H78" s="39" t="str">
        <f t="shared" si="95"/>
        <v/>
      </c>
      <c r="I78" s="39" t="str">
        <f t="shared" si="95"/>
        <v/>
      </c>
      <c r="J78" s="39"/>
      <c r="K78" s="39"/>
      <c r="L78" s="39"/>
      <c r="M78" s="39"/>
      <c r="N78" s="39"/>
      <c r="O78" s="39" t="str">
        <f t="shared" ref="O78:AT78" si="96">IFERROR((O72-I72)/(O67-I67),"")</f>
        <v/>
      </c>
      <c r="P78" s="39" t="str">
        <f t="shared" si="96"/>
        <v/>
      </c>
      <c r="Q78" s="39" t="str">
        <f t="shared" si="96"/>
        <v/>
      </c>
      <c r="R78" s="39" t="str">
        <f t="shared" si="96"/>
        <v/>
      </c>
      <c r="S78" s="39" t="str">
        <f t="shared" si="96"/>
        <v/>
      </c>
      <c r="T78" s="39" t="str">
        <f t="shared" si="96"/>
        <v/>
      </c>
      <c r="U78" s="39" t="str">
        <f t="shared" si="96"/>
        <v/>
      </c>
      <c r="V78" s="39" t="str">
        <f t="shared" si="96"/>
        <v/>
      </c>
      <c r="W78" s="39" t="str">
        <f t="shared" si="96"/>
        <v/>
      </c>
      <c r="X78" s="39" t="str">
        <f t="shared" si="96"/>
        <v/>
      </c>
      <c r="Y78" s="39" t="str">
        <f t="shared" si="96"/>
        <v/>
      </c>
      <c r="Z78" s="39" t="str">
        <f t="shared" si="96"/>
        <v/>
      </c>
      <c r="AA78" s="39" t="str">
        <f t="shared" si="96"/>
        <v/>
      </c>
      <c r="AB78" s="39" t="str">
        <f t="shared" si="96"/>
        <v/>
      </c>
      <c r="AC78" s="39" t="str">
        <f t="shared" si="96"/>
        <v/>
      </c>
      <c r="AD78" s="39" t="str">
        <f t="shared" si="96"/>
        <v/>
      </c>
      <c r="AE78" s="39" t="str">
        <f t="shared" si="96"/>
        <v/>
      </c>
      <c r="AF78" s="39" t="str">
        <f t="shared" si="96"/>
        <v/>
      </c>
      <c r="AG78" s="39" t="str">
        <f t="shared" si="96"/>
        <v/>
      </c>
      <c r="AH78" s="39" t="str">
        <f t="shared" si="96"/>
        <v/>
      </c>
      <c r="AI78" s="39" t="str">
        <f t="shared" si="96"/>
        <v/>
      </c>
      <c r="AJ78" s="39" t="str">
        <f t="shared" si="96"/>
        <v/>
      </c>
      <c r="AK78" s="39" t="str">
        <f t="shared" si="96"/>
        <v/>
      </c>
      <c r="AL78" s="39" t="str">
        <f t="shared" si="96"/>
        <v/>
      </c>
      <c r="AM78" s="39" t="str">
        <f t="shared" si="96"/>
        <v/>
      </c>
      <c r="AN78" s="39" t="str">
        <f t="shared" si="96"/>
        <v/>
      </c>
      <c r="AO78" s="39" t="str">
        <f t="shared" si="96"/>
        <v/>
      </c>
      <c r="AP78" s="39" t="str">
        <f t="shared" si="96"/>
        <v/>
      </c>
      <c r="AQ78" s="39" t="str">
        <f t="shared" si="96"/>
        <v/>
      </c>
      <c r="AR78" s="39" t="str">
        <f t="shared" si="96"/>
        <v/>
      </c>
      <c r="AS78" s="39" t="str">
        <f t="shared" si="96"/>
        <v/>
      </c>
      <c r="AT78" s="39" t="str">
        <f t="shared" si="96"/>
        <v/>
      </c>
      <c r="AU78" s="39" t="str">
        <f t="shared" ref="AU78:BZ78" si="97">IFERROR((AU72-AO72)/(AU67-AO67),"")</f>
        <v/>
      </c>
      <c r="AV78" s="39" t="str">
        <f t="shared" si="97"/>
        <v/>
      </c>
      <c r="AW78" s="39" t="str">
        <f t="shared" si="97"/>
        <v/>
      </c>
      <c r="AX78" s="39" t="str">
        <f t="shared" si="97"/>
        <v/>
      </c>
      <c r="AY78" s="39" t="str">
        <f t="shared" si="97"/>
        <v/>
      </c>
      <c r="AZ78" s="39" t="str">
        <f t="shared" si="97"/>
        <v/>
      </c>
      <c r="BA78" s="39" t="str">
        <f t="shared" si="97"/>
        <v/>
      </c>
      <c r="BB78" s="39" t="str">
        <f t="shared" si="97"/>
        <v/>
      </c>
      <c r="BC78" s="39" t="str">
        <f t="shared" si="97"/>
        <v/>
      </c>
      <c r="BD78" s="39" t="str">
        <f t="shared" si="97"/>
        <v/>
      </c>
      <c r="BE78" s="39" t="str">
        <f t="shared" si="97"/>
        <v/>
      </c>
      <c r="BF78" s="39">
        <f t="shared" si="97"/>
        <v>0.42682926829268281</v>
      </c>
      <c r="BG78" s="39">
        <f t="shared" si="97"/>
        <v>-0.13333333333333286</v>
      </c>
      <c r="BH78" s="39">
        <f t="shared" si="97"/>
        <v>0.55223880597014952</v>
      </c>
      <c r="BI78" s="39">
        <f t="shared" si="97"/>
        <v>-0.71428571428571141</v>
      </c>
      <c r="BJ78" s="39">
        <f t="shared" si="97"/>
        <v>0.22580645161290336</v>
      </c>
      <c r="BK78" s="39">
        <f t="shared" si="97"/>
        <v>0.14285714285714285</v>
      </c>
      <c r="BL78" s="39">
        <f t="shared" si="97"/>
        <v>0.59139784946236573</v>
      </c>
      <c r="BM78" s="39">
        <f t="shared" si="97"/>
        <v>-3.4285714285714151</v>
      </c>
      <c r="BN78" s="39">
        <f t="shared" si="97"/>
        <v>0.91860465116279422</v>
      </c>
      <c r="BO78" s="39">
        <f t="shared" si="97"/>
        <v>5.4054054054054161E-2</v>
      </c>
      <c r="BP78" s="39">
        <f t="shared" si="97"/>
        <v>-0.28358208955223846</v>
      </c>
      <c r="BQ78" s="39">
        <f t="shared" si="97"/>
        <v>-1.7090909090909088</v>
      </c>
      <c r="BR78" s="39">
        <f t="shared" si="97"/>
        <v>6.8965517241379365E-2</v>
      </c>
      <c r="BS78" s="39">
        <f t="shared" si="97"/>
        <v>0.15846994535519129</v>
      </c>
      <c r="BT78" s="39">
        <f t="shared" si="97"/>
        <v>0.12962962962962976</v>
      </c>
      <c r="BU78" s="39">
        <f t="shared" si="97"/>
        <v>-0.22222222222222221</v>
      </c>
      <c r="BV78" s="39">
        <f t="shared" si="97"/>
        <v>-0.73170731707316916</v>
      </c>
      <c r="BW78" s="39">
        <f t="shared" si="97"/>
        <v>0.20072992700729944</v>
      </c>
      <c r="BX78" s="39">
        <f t="shared" si="97"/>
        <v>0.66972477064220237</v>
      </c>
      <c r="BY78" s="39">
        <f t="shared" si="97"/>
        <v>0.39215686274509792</v>
      </c>
      <c r="BZ78" s="39">
        <f t="shared" si="97"/>
        <v>0.53554502369668266</v>
      </c>
      <c r="CA78" s="39">
        <f t="shared" ref="CA78:CO78" si="98">IFERROR((CA72-BU72)/(CA67-BU67),"")</f>
        <v>0.18518518518518523</v>
      </c>
      <c r="CB78" s="39">
        <f t="shared" si="98"/>
        <v>-0.21929824561403496</v>
      </c>
      <c r="CC78" s="39">
        <f t="shared" si="98"/>
        <v>-10.72727272727251</v>
      </c>
      <c r="CD78" s="39">
        <f t="shared" si="98"/>
        <v>0.58273381294964077</v>
      </c>
      <c r="CE78" s="39">
        <f t="shared" si="98"/>
        <v>1.3142857142857143</v>
      </c>
      <c r="CF78" s="39">
        <f t="shared" si="98"/>
        <v>0.72988505747126531</v>
      </c>
      <c r="CG78" s="39">
        <f t="shared" si="98"/>
        <v>6.9306930693069452E-2</v>
      </c>
      <c r="CH78" s="39">
        <f t="shared" si="98"/>
        <v>-0.14912280701754371</v>
      </c>
      <c r="CI78" s="39">
        <f t="shared" si="98"/>
        <v>-3.3414634146341284</v>
      </c>
      <c r="CJ78" s="39">
        <f t="shared" si="98"/>
        <v>-0.32142857142857123</v>
      </c>
      <c r="CK78" s="39">
        <f t="shared" si="98"/>
        <v>0.32258064516129042</v>
      </c>
      <c r="CL78" s="39">
        <f t="shared" si="98"/>
        <v>0.59999999999999976</v>
      </c>
      <c r="CM78" s="27">
        <f t="shared" si="98"/>
        <v>0.17400056553485888</v>
      </c>
      <c r="CN78" s="27">
        <f t="shared" si="98"/>
        <v>-6.80827548450368E-2</v>
      </c>
      <c r="CO78" s="27">
        <f t="shared" si="98"/>
        <v>0.20052024399464599</v>
      </c>
      <c r="CP78" s="27">
        <f>IFERROR((CP72-CO72)/(CP67-CO67),"")</f>
        <v>0.18965850549334737</v>
      </c>
      <c r="CQ78" s="27">
        <f>IFERROR((CQ72-CP72)/(CQ67-CP67),"")</f>
        <v>0.2449999999999998</v>
      </c>
      <c r="CR78" s="27">
        <f>IFERROR((CR72-CQ72)/(CR67-CQ67),"")</f>
        <v>0.11999999999999993</v>
      </c>
      <c r="CS78" s="27">
        <f>IFERROR((CS72-CR72)/(CS67-CR67),"")</f>
        <v>0.24999999999999967</v>
      </c>
      <c r="CT78" s="22"/>
      <c r="CV78" s="6"/>
      <c r="CW78" s="6"/>
      <c r="CX78" s="6"/>
      <c r="CY78" s="6"/>
      <c r="DB78" s="12" t="s">
        <v>134</v>
      </c>
      <c r="DC78" s="44">
        <f>MAX(0,DD78+$DC$74)</f>
        <v>500</v>
      </c>
      <c r="DD78" s="37">
        <v>250</v>
      </c>
      <c r="DE78" s="44">
        <f>MAX(0,DD78+$DE$74)</f>
        <v>0</v>
      </c>
    </row>
    <row r="79" spans="2:110" ht="15" customHeight="1" x14ac:dyDescent="0.25">
      <c r="B79" s="36" t="s">
        <v>174</v>
      </c>
      <c r="C79" s="29"/>
      <c r="D79" s="29"/>
      <c r="E79" s="30">
        <v>361.2</v>
      </c>
      <c r="F79" s="30">
        <v>346.9</v>
      </c>
      <c r="G79" s="30">
        <v>279.89999999999998</v>
      </c>
      <c r="H79" s="30">
        <v>246.2</v>
      </c>
      <c r="I79" s="30">
        <v>241.3</v>
      </c>
      <c r="J79" s="30">
        <v>58.6</v>
      </c>
      <c r="K79" s="30">
        <v>53.7</v>
      </c>
      <c r="L79" s="29">
        <f>J79+K79</f>
        <v>112.30000000000001</v>
      </c>
      <c r="M79" s="30">
        <v>51.1</v>
      </c>
      <c r="N79" s="30">
        <v>54.1</v>
      </c>
      <c r="O79" s="30">
        <v>217.5</v>
      </c>
      <c r="P79" s="30">
        <v>47.6</v>
      </c>
      <c r="Q79" s="30">
        <v>50.3</v>
      </c>
      <c r="R79" s="29">
        <f>P79+Q79</f>
        <v>97.9</v>
      </c>
      <c r="S79" s="30">
        <v>57.1</v>
      </c>
      <c r="T79" s="30">
        <v>56.4</v>
      </c>
      <c r="U79" s="30">
        <v>211.4</v>
      </c>
      <c r="V79" s="30">
        <v>49.1</v>
      </c>
      <c r="W79" s="30">
        <v>53.5</v>
      </c>
      <c r="X79" s="29">
        <f>V79+W79</f>
        <v>102.6</v>
      </c>
      <c r="Y79" s="30">
        <v>53.1</v>
      </c>
      <c r="Z79" s="30">
        <v>59.7</v>
      </c>
      <c r="AA79" s="30">
        <v>215.4</v>
      </c>
      <c r="AB79" s="30">
        <v>52.8</v>
      </c>
      <c r="AC79" s="30">
        <v>49.5</v>
      </c>
      <c r="AD79" s="29">
        <f>AB79+AC79</f>
        <v>102.3</v>
      </c>
      <c r="AE79" s="30">
        <v>51.3</v>
      </c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31"/>
      <c r="CN79" s="31"/>
      <c r="CO79" s="31"/>
      <c r="CP79" s="31"/>
      <c r="CQ79" s="31"/>
      <c r="CR79" s="31"/>
      <c r="CS79" s="31"/>
      <c r="CT79" s="22"/>
      <c r="CV79" s="6"/>
      <c r="CW79" s="6"/>
      <c r="CX79" s="6"/>
      <c r="CY79" s="6"/>
      <c r="DB79" s="12" t="s">
        <v>136</v>
      </c>
      <c r="DC79" s="44">
        <f>MAX(0,DD79+$DC$74)</f>
        <v>500</v>
      </c>
      <c r="DD79" s="37">
        <v>250</v>
      </c>
      <c r="DE79" s="44">
        <f>MAX(0,DD79+$DE$74)</f>
        <v>0</v>
      </c>
    </row>
    <row r="80" spans="2:110" ht="15" customHeight="1" x14ac:dyDescent="0.25">
      <c r="B80" s="36" t="s">
        <v>175</v>
      </c>
      <c r="C80" s="29"/>
      <c r="D80" s="29"/>
      <c r="E80" s="30">
        <v>38.299999999999997</v>
      </c>
      <c r="F80" s="30">
        <v>31.8</v>
      </c>
      <c r="G80" s="30">
        <v>36.9</v>
      </c>
      <c r="H80" s="30">
        <v>34.6</v>
      </c>
      <c r="I80" s="30">
        <v>35.5</v>
      </c>
      <c r="J80" s="30">
        <v>6.6</v>
      </c>
      <c r="K80" s="30">
        <v>7.1</v>
      </c>
      <c r="L80" s="29">
        <f>J80+K80</f>
        <v>13.7</v>
      </c>
      <c r="M80" s="30">
        <v>9.1999999999999993</v>
      </c>
      <c r="N80" s="30">
        <v>9.5</v>
      </c>
      <c r="O80" s="30">
        <v>32.4</v>
      </c>
      <c r="P80" s="30">
        <v>5.7</v>
      </c>
      <c r="Q80" s="30">
        <v>7.6</v>
      </c>
      <c r="R80" s="29">
        <f>P80+Q80</f>
        <v>13.3</v>
      </c>
      <c r="S80" s="30">
        <v>10</v>
      </c>
      <c r="T80" s="30">
        <v>10.7</v>
      </c>
      <c r="U80" s="30">
        <v>34</v>
      </c>
      <c r="V80" s="30">
        <v>8.4</v>
      </c>
      <c r="W80" s="30">
        <v>11.1</v>
      </c>
      <c r="X80" s="29">
        <f>V80+W80</f>
        <v>19.5</v>
      </c>
      <c r="Y80" s="30">
        <v>8</v>
      </c>
      <c r="Z80" s="30">
        <v>13</v>
      </c>
      <c r="AA80" s="30">
        <v>40.5</v>
      </c>
      <c r="AB80" s="30">
        <v>6.5</v>
      </c>
      <c r="AC80" s="30">
        <v>9.3000000000000007</v>
      </c>
      <c r="AD80" s="29">
        <f>AB80+AC80</f>
        <v>15.8</v>
      </c>
      <c r="AE80" s="30">
        <v>10.9</v>
      </c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31"/>
      <c r="CN80" s="31"/>
      <c r="CO80" s="31"/>
      <c r="CP80" s="31"/>
      <c r="CQ80" s="31"/>
      <c r="CR80" s="31"/>
      <c r="CS80" s="31"/>
      <c r="CT80" s="22"/>
      <c r="CV80" s="6"/>
      <c r="CW80" s="6"/>
      <c r="CX80" s="6"/>
      <c r="CY80" s="6"/>
    </row>
    <row r="81" spans="2:110" ht="15" customHeight="1" x14ac:dyDescent="0.25">
      <c r="B81" s="12" t="s">
        <v>133</v>
      </c>
      <c r="C81" s="29"/>
      <c r="D81" s="29"/>
      <c r="E81" s="30">
        <v>2.6</v>
      </c>
      <c r="F81" s="30">
        <v>2.7</v>
      </c>
      <c r="G81" s="30">
        <v>3.1</v>
      </c>
      <c r="H81" s="30">
        <v>4</v>
      </c>
      <c r="I81" s="30">
        <v>4.4000000000000004</v>
      </c>
      <c r="J81" s="29"/>
      <c r="K81" s="29"/>
      <c r="L81" s="29"/>
      <c r="M81" s="29"/>
      <c r="N81" s="29"/>
      <c r="O81" s="30">
        <v>4.2</v>
      </c>
      <c r="P81" s="29"/>
      <c r="Q81" s="29"/>
      <c r="R81" s="29"/>
      <c r="S81" s="29"/>
      <c r="T81" s="29"/>
      <c r="U81" s="30">
        <v>3.7</v>
      </c>
      <c r="V81" s="29"/>
      <c r="W81" s="29"/>
      <c r="X81" s="29"/>
      <c r="Y81" s="29"/>
      <c r="Z81" s="29"/>
      <c r="AA81" s="30">
        <v>3.5</v>
      </c>
      <c r="AB81" s="29"/>
      <c r="AC81" s="29"/>
      <c r="AD81" s="29"/>
      <c r="AE81" s="29"/>
      <c r="AF81" s="29"/>
      <c r="AG81" s="30">
        <v>4.0999999999999996</v>
      </c>
      <c r="AH81" s="29"/>
      <c r="AI81" s="29"/>
      <c r="AJ81" s="29"/>
      <c r="AK81" s="29"/>
      <c r="AL81" s="29"/>
      <c r="AM81" s="30">
        <v>4.5999999999999996</v>
      </c>
      <c r="AN81" s="29"/>
      <c r="AO81" s="29"/>
      <c r="AP81" s="29"/>
      <c r="AQ81" s="29"/>
      <c r="AR81" s="29"/>
      <c r="AS81" s="30">
        <v>4.3</v>
      </c>
      <c r="AT81" s="29"/>
      <c r="AU81" s="29"/>
      <c r="AV81" s="29"/>
      <c r="AW81" s="29"/>
      <c r="AX81" s="29"/>
      <c r="AY81" s="30">
        <v>6</v>
      </c>
      <c r="AZ81" s="29"/>
      <c r="BA81" s="29"/>
      <c r="BB81" s="29"/>
      <c r="BC81" s="29"/>
      <c r="BD81" s="29"/>
      <c r="BE81" s="30">
        <v>9.1999999999999993</v>
      </c>
      <c r="BF81" s="29"/>
      <c r="BG81" s="29"/>
      <c r="BH81" s="29"/>
      <c r="BI81" s="29"/>
      <c r="BJ81" s="29"/>
      <c r="BK81" s="30">
        <v>7.2</v>
      </c>
      <c r="BL81" s="29"/>
      <c r="BM81" s="29"/>
      <c r="BN81" s="29"/>
      <c r="BO81" s="29"/>
      <c r="BP81" s="29"/>
      <c r="BQ81" s="30">
        <v>4.4000000000000004</v>
      </c>
      <c r="BR81" s="29"/>
      <c r="BS81" s="29"/>
      <c r="BT81" s="29"/>
      <c r="BU81" s="29"/>
      <c r="BV81" s="29"/>
      <c r="BW81" s="30">
        <v>4.4000000000000004</v>
      </c>
      <c r="BX81" s="29"/>
      <c r="BY81" s="29"/>
      <c r="BZ81" s="29"/>
      <c r="CA81" s="29"/>
      <c r="CB81" s="29"/>
      <c r="CC81" s="30">
        <v>4.5999999999999996</v>
      </c>
      <c r="CD81" s="29"/>
      <c r="CE81" s="29"/>
      <c r="CF81" s="29"/>
      <c r="CG81" s="29"/>
      <c r="CH81" s="29"/>
      <c r="CI81" s="30">
        <v>4.5999999999999996</v>
      </c>
      <c r="CJ81" s="29"/>
      <c r="CK81" s="29"/>
      <c r="CL81" s="29"/>
      <c r="CM81" s="31"/>
      <c r="CN81" s="31"/>
      <c r="CO81" s="31"/>
      <c r="CP81" s="31"/>
      <c r="CQ81" s="31"/>
      <c r="CR81" s="31"/>
      <c r="CS81" s="31"/>
      <c r="CT81" s="22"/>
      <c r="CV81" s="6"/>
      <c r="CW81" s="6"/>
      <c r="CX81" s="6"/>
      <c r="CY81" s="6"/>
      <c r="DB81" s="17" t="s">
        <v>745</v>
      </c>
      <c r="DC81" s="140">
        <v>1.5</v>
      </c>
      <c r="DD81" s="141">
        <v>1</v>
      </c>
      <c r="DE81" s="140">
        <v>1</v>
      </c>
      <c r="DF81" s="15" t="s">
        <v>746</v>
      </c>
    </row>
    <row r="82" spans="2:110" ht="15" customHeight="1" x14ac:dyDescent="0.25">
      <c r="B82" s="12" t="s">
        <v>135</v>
      </c>
      <c r="C82" s="29"/>
      <c r="D82" s="29"/>
      <c r="E82" s="30">
        <v>4</v>
      </c>
      <c r="F82" s="30">
        <v>3.3</v>
      </c>
      <c r="G82" s="30">
        <v>3.6</v>
      </c>
      <c r="H82" s="30">
        <v>5.9</v>
      </c>
      <c r="I82" s="30">
        <v>4.2</v>
      </c>
      <c r="J82" s="29"/>
      <c r="K82" s="29"/>
      <c r="L82" s="29"/>
      <c r="M82" s="29"/>
      <c r="N82" s="29"/>
      <c r="O82" s="30">
        <v>3.6</v>
      </c>
      <c r="P82" s="29"/>
      <c r="Q82" s="29"/>
      <c r="R82" s="29"/>
      <c r="S82" s="29"/>
      <c r="T82" s="29"/>
      <c r="U82" s="30">
        <v>4.3</v>
      </c>
      <c r="V82" s="29"/>
      <c r="W82" s="29"/>
      <c r="X82" s="29"/>
      <c r="Y82" s="29"/>
      <c r="Z82" s="29"/>
      <c r="AA82" s="30">
        <v>5.7</v>
      </c>
      <c r="AB82" s="29"/>
      <c r="AC82" s="29"/>
      <c r="AD82" s="29"/>
      <c r="AE82" s="29"/>
      <c r="AF82" s="29"/>
      <c r="AG82" s="30">
        <v>5.9</v>
      </c>
      <c r="AH82" s="29"/>
      <c r="AI82" s="29"/>
      <c r="AJ82" s="29"/>
      <c r="AK82" s="29"/>
      <c r="AL82" s="29"/>
      <c r="AM82" s="30">
        <v>7.4</v>
      </c>
      <c r="AN82" s="29"/>
      <c r="AO82" s="29"/>
      <c r="AP82" s="29"/>
      <c r="AQ82" s="29"/>
      <c r="AR82" s="29"/>
      <c r="AS82" s="30">
        <v>13.6</v>
      </c>
      <c r="AT82" s="29"/>
      <c r="AU82" s="29"/>
      <c r="AV82" s="29"/>
      <c r="AW82" s="29"/>
      <c r="AX82" s="29"/>
      <c r="AY82" s="30">
        <v>3.6</v>
      </c>
      <c r="AZ82" s="29"/>
      <c r="BA82" s="29"/>
      <c r="BB82" s="29"/>
      <c r="BC82" s="29"/>
      <c r="BD82" s="29"/>
      <c r="BE82" s="30">
        <v>7.5</v>
      </c>
      <c r="BF82" s="29"/>
      <c r="BG82" s="29"/>
      <c r="BH82" s="29"/>
      <c r="BI82" s="29"/>
      <c r="BJ82" s="29"/>
      <c r="BK82" s="30">
        <v>12.9</v>
      </c>
      <c r="BL82" s="29"/>
      <c r="BM82" s="29"/>
      <c r="BN82" s="29"/>
      <c r="BO82" s="29"/>
      <c r="BP82" s="29"/>
      <c r="BQ82" s="30">
        <v>5.3</v>
      </c>
      <c r="BR82" s="29"/>
      <c r="BS82" s="29"/>
      <c r="BT82" s="29"/>
      <c r="BU82" s="29"/>
      <c r="BV82" s="29"/>
      <c r="BW82" s="30">
        <v>3.4</v>
      </c>
      <c r="BX82" s="29"/>
      <c r="BY82" s="29"/>
      <c r="BZ82" s="29"/>
      <c r="CA82" s="29"/>
      <c r="CB82" s="29"/>
      <c r="CC82" s="30">
        <v>2.4</v>
      </c>
      <c r="CD82" s="29"/>
      <c r="CE82" s="29"/>
      <c r="CF82" s="29"/>
      <c r="CG82" s="29"/>
      <c r="CH82" s="29"/>
      <c r="CI82" s="30">
        <v>4.7</v>
      </c>
      <c r="CJ82" s="29"/>
      <c r="CK82" s="29"/>
      <c r="CL82" s="29"/>
      <c r="CM82" s="31"/>
      <c r="CN82" s="31"/>
      <c r="CO82" s="31"/>
      <c r="CP82" s="31"/>
      <c r="CQ82" s="31"/>
      <c r="CR82" s="31"/>
      <c r="CS82" s="31"/>
      <c r="CT82" s="22"/>
      <c r="CV82" s="6"/>
      <c r="CW82" s="6"/>
      <c r="CX82" s="6"/>
      <c r="CY82" s="6"/>
    </row>
    <row r="83" spans="2:110" ht="15" customHeight="1" x14ac:dyDescent="0.25">
      <c r="B83" s="25" t="s">
        <v>137</v>
      </c>
      <c r="C83" s="39" t="str">
        <f t="shared" ref="C83:I83" si="99">IFERROR(C82/C67,"")</f>
        <v/>
      </c>
      <c r="D83" s="39" t="str">
        <f t="shared" si="99"/>
        <v/>
      </c>
      <c r="E83" s="39">
        <f t="shared" si="99"/>
        <v>9.2742870391838619E-3</v>
      </c>
      <c r="F83" s="39">
        <f t="shared" si="99"/>
        <v>8.1041257367387032E-3</v>
      </c>
      <c r="G83" s="39">
        <f t="shared" si="99"/>
        <v>1.078490113840623E-2</v>
      </c>
      <c r="H83" s="39">
        <f t="shared" si="99"/>
        <v>1.9369665134602757E-2</v>
      </c>
      <c r="I83" s="39">
        <f t="shared" si="99"/>
        <v>1.3934970139349703E-2</v>
      </c>
      <c r="J83" s="39"/>
      <c r="K83" s="39"/>
      <c r="L83" s="39"/>
      <c r="M83" s="39"/>
      <c r="N83" s="39"/>
      <c r="O83" s="39">
        <f>IFERROR(O82/O67,"")</f>
        <v>1.3048205871692644E-2</v>
      </c>
      <c r="P83" s="39"/>
      <c r="Q83" s="39"/>
      <c r="R83" s="39"/>
      <c r="S83" s="39"/>
      <c r="T83" s="39"/>
      <c r="U83" s="39">
        <f>IFERROR(U82/U67,"")</f>
        <v>1.58146377344612E-2</v>
      </c>
      <c r="V83" s="39"/>
      <c r="W83" s="39"/>
      <c r="X83" s="39"/>
      <c r="Y83" s="39"/>
      <c r="Z83" s="39"/>
      <c r="AA83" s="39">
        <f>IFERROR(AA82/AA67,"")</f>
        <v>2.0757465404224327E-2</v>
      </c>
      <c r="AB83" s="39"/>
      <c r="AC83" s="39"/>
      <c r="AD83" s="39"/>
      <c r="AE83" s="39"/>
      <c r="AF83" s="39"/>
      <c r="AG83" s="39">
        <f>IFERROR(AG82/AG67,"")</f>
        <v>2.2815158546017015E-2</v>
      </c>
      <c r="AH83" s="39"/>
      <c r="AI83" s="39"/>
      <c r="AJ83" s="39"/>
      <c r="AK83" s="39"/>
      <c r="AL83" s="39"/>
      <c r="AM83" s="39">
        <f>IFERROR(AM82/AM67,"")</f>
        <v>2.1246052253804191E-2</v>
      </c>
      <c r="AN83" s="39"/>
      <c r="AO83" s="39"/>
      <c r="AP83" s="39"/>
      <c r="AQ83" s="39"/>
      <c r="AR83" s="39"/>
      <c r="AS83" s="39">
        <f>IFERROR(AS82/AS67,"")</f>
        <v>3.7250068474390573E-2</v>
      </c>
      <c r="AT83" s="39"/>
      <c r="AU83" s="39"/>
      <c r="AV83" s="39"/>
      <c r="AW83" s="39"/>
      <c r="AX83" s="39"/>
      <c r="AY83" s="39">
        <f>IFERROR(AY82/AY67,"")</f>
        <v>9.5872170439414116E-3</v>
      </c>
      <c r="AZ83" s="39"/>
      <c r="BA83" s="39"/>
      <c r="BB83" s="39"/>
      <c r="BC83" s="39"/>
      <c r="BD83" s="39"/>
      <c r="BE83" s="39">
        <f>IFERROR(BE82/BE67,"")</f>
        <v>1.8015853951477298E-2</v>
      </c>
      <c r="BF83" s="39"/>
      <c r="BG83" s="39"/>
      <c r="BH83" s="39"/>
      <c r="BI83" s="39"/>
      <c r="BJ83" s="39"/>
      <c r="BK83" s="39">
        <f>IFERROR(BK82/BK67,"")</f>
        <v>3.1789058649581071E-2</v>
      </c>
      <c r="BL83" s="39"/>
      <c r="BM83" s="39"/>
      <c r="BN83" s="39"/>
      <c r="BO83" s="39"/>
      <c r="BP83" s="39"/>
      <c r="BQ83" s="39">
        <f>IFERROR(BQ82/BQ67,"")</f>
        <v>1.2885971310478968E-2</v>
      </c>
      <c r="BR83" s="39"/>
      <c r="BS83" s="39"/>
      <c r="BT83" s="39"/>
      <c r="BU83" s="39"/>
      <c r="BV83" s="39"/>
      <c r="BW83" s="39">
        <f>IFERROR(BW82/BW67,"")</f>
        <v>7.7501709596535214E-3</v>
      </c>
      <c r="BX83" s="39"/>
      <c r="BY83" s="39"/>
      <c r="BZ83" s="39"/>
      <c r="CA83" s="39"/>
      <c r="CB83" s="39"/>
      <c r="CC83" s="39">
        <f>IFERROR(CC82/CC67,"")</f>
        <v>5.4570259208731242E-3</v>
      </c>
      <c r="CD83" s="39"/>
      <c r="CE83" s="39"/>
      <c r="CF83" s="39"/>
      <c r="CG83" s="39"/>
      <c r="CH83" s="39"/>
      <c r="CI83" s="39">
        <f>IFERROR(CI82/CI67,"")</f>
        <v>1.0787238925866423E-2</v>
      </c>
      <c r="CJ83" s="39"/>
      <c r="CK83" s="39"/>
      <c r="CL83" s="39"/>
      <c r="CM83" s="27"/>
      <c r="CN83" s="27"/>
      <c r="CO83" s="27"/>
      <c r="CP83" s="27"/>
      <c r="CQ83" s="27"/>
      <c r="CR83" s="27"/>
      <c r="CS83" s="27"/>
      <c r="CT83" s="22"/>
      <c r="CV83" s="6"/>
      <c r="CW83" s="6"/>
      <c r="CX83" s="6"/>
      <c r="CY83" s="6"/>
    </row>
    <row r="84" spans="2:110" ht="15" hidden="1" customHeight="1" outlineLevel="1" x14ac:dyDescent="0.25">
      <c r="B84" s="12"/>
      <c r="CM84" s="6"/>
      <c r="CN84" s="6"/>
      <c r="CO84" s="6"/>
      <c r="CP84" s="6"/>
      <c r="CQ84" s="6"/>
      <c r="CR84" s="6"/>
      <c r="CS84" s="6"/>
      <c r="CT84" s="6"/>
    </row>
    <row r="85" spans="2:110" ht="15" hidden="1" customHeight="1" outlineLevel="1" x14ac:dyDescent="0.25">
      <c r="B85" s="16" t="s">
        <v>176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7" t="s">
        <v>177</v>
      </c>
    </row>
    <row r="86" spans="2:110" ht="15" hidden="1" customHeight="1" outlineLevel="1" x14ac:dyDescent="0.25">
      <c r="B86" s="36" t="s">
        <v>178</v>
      </c>
      <c r="C86" s="30">
        <v>899.4</v>
      </c>
      <c r="D86" s="30">
        <v>1071.5999999999999</v>
      </c>
      <c r="E86" s="30">
        <v>1276.5999999999999</v>
      </c>
      <c r="F86" s="30">
        <v>1232.2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31"/>
      <c r="CN86" s="31"/>
      <c r="CO86" s="31"/>
      <c r="CP86" s="31"/>
      <c r="CQ86" s="31"/>
      <c r="CR86" s="31"/>
      <c r="CS86" s="31"/>
      <c r="CT86" s="22"/>
      <c r="CV86" s="6"/>
      <c r="CW86" s="6"/>
      <c r="CX86" s="6"/>
      <c r="CY86" s="6"/>
    </row>
    <row r="87" spans="2:110" ht="15" hidden="1" customHeight="1" outlineLevel="1" x14ac:dyDescent="0.25">
      <c r="B87" s="36" t="s">
        <v>179</v>
      </c>
      <c r="C87" s="30">
        <v>109.3</v>
      </c>
      <c r="D87" s="30">
        <v>143.19999999999999</v>
      </c>
      <c r="E87" s="30">
        <v>183</v>
      </c>
      <c r="F87" s="30">
        <v>163.9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31"/>
      <c r="CN87" s="31"/>
      <c r="CO87" s="31"/>
      <c r="CP87" s="31"/>
      <c r="CQ87" s="31"/>
      <c r="CR87" s="31"/>
      <c r="CS87" s="31"/>
      <c r="CT87" s="22"/>
      <c r="CV87" s="6"/>
      <c r="CW87" s="6"/>
      <c r="CX87" s="6"/>
      <c r="CY87" s="6"/>
    </row>
    <row r="88" spans="2:110" ht="15" hidden="1" customHeight="1" outlineLevel="1" x14ac:dyDescent="0.25">
      <c r="B88" s="36" t="s">
        <v>180</v>
      </c>
      <c r="C88" s="30">
        <v>283</v>
      </c>
      <c r="D88" s="30">
        <v>301.7</v>
      </c>
      <c r="E88" s="30">
        <v>361.2</v>
      </c>
      <c r="F88" s="30">
        <v>347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31"/>
      <c r="CN88" s="31"/>
      <c r="CO88" s="31"/>
      <c r="CP88" s="31"/>
      <c r="CQ88" s="31"/>
      <c r="CR88" s="31"/>
      <c r="CS88" s="31"/>
      <c r="CT88" s="22"/>
      <c r="CV88" s="6"/>
      <c r="CW88" s="6"/>
      <c r="CX88" s="6"/>
      <c r="CY88" s="6"/>
    </row>
    <row r="89" spans="2:110" ht="15" hidden="1" customHeight="1" outlineLevel="1" x14ac:dyDescent="0.25">
      <c r="B89" s="36" t="s">
        <v>181</v>
      </c>
      <c r="C89" s="30">
        <v>24.5</v>
      </c>
      <c r="D89" s="30">
        <v>26.2</v>
      </c>
      <c r="E89" s="30">
        <v>35</v>
      </c>
      <c r="F89" s="30">
        <v>31.5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31"/>
      <c r="CN89" s="31"/>
      <c r="CO89" s="31"/>
      <c r="CP89" s="31"/>
      <c r="CQ89" s="31"/>
      <c r="CR89" s="31"/>
      <c r="CS89" s="31"/>
      <c r="CT89" s="22"/>
      <c r="CV89" s="6"/>
      <c r="CW89" s="6"/>
      <c r="CX89" s="6"/>
      <c r="CY89" s="6"/>
    </row>
    <row r="90" spans="2:110" ht="15" hidden="1" customHeight="1" outlineLevel="1" x14ac:dyDescent="0.25">
      <c r="B90" s="36" t="s">
        <v>182</v>
      </c>
      <c r="C90" s="30">
        <v>181.6</v>
      </c>
      <c r="D90" s="30">
        <v>180.7</v>
      </c>
      <c r="E90" s="30">
        <v>171</v>
      </c>
      <c r="F90" s="30">
        <v>113.1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31"/>
      <c r="CN90" s="31"/>
      <c r="CO90" s="31"/>
      <c r="CP90" s="31"/>
      <c r="CQ90" s="31"/>
      <c r="CR90" s="31"/>
      <c r="CS90" s="31"/>
      <c r="CT90" s="22"/>
      <c r="CV90" s="6"/>
      <c r="CW90" s="6"/>
      <c r="CX90" s="6"/>
      <c r="CY90" s="6"/>
    </row>
    <row r="91" spans="2:110" ht="15" hidden="1" customHeight="1" outlineLevel="1" x14ac:dyDescent="0.25">
      <c r="B91" s="36" t="s">
        <v>183</v>
      </c>
      <c r="C91" s="30">
        <v>15.5</v>
      </c>
      <c r="D91" s="30">
        <v>19.2</v>
      </c>
      <c r="E91" s="30">
        <v>-9.6999999999999993</v>
      </c>
      <c r="F91" s="30">
        <v>-5.4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31"/>
      <c r="CN91" s="31"/>
      <c r="CO91" s="31"/>
      <c r="CP91" s="31"/>
      <c r="CQ91" s="31"/>
      <c r="CR91" s="31"/>
      <c r="CS91" s="31"/>
      <c r="CT91" s="22"/>
      <c r="CV91" s="6"/>
      <c r="CW91" s="6"/>
      <c r="CX91" s="6"/>
      <c r="CY91" s="6"/>
    </row>
    <row r="92" spans="2:110" ht="15" hidden="1" customHeight="1" outlineLevel="1" x14ac:dyDescent="0.25">
      <c r="B92" s="36" t="s">
        <v>184</v>
      </c>
      <c r="C92" s="30">
        <v>69.2</v>
      </c>
      <c r="D92" s="30">
        <v>68.3</v>
      </c>
      <c r="E92" s="30">
        <v>84.2</v>
      </c>
      <c r="F92" s="30">
        <v>72.900000000000006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31"/>
      <c r="CN92" s="31"/>
      <c r="CO92" s="31"/>
      <c r="CP92" s="31"/>
      <c r="CQ92" s="31"/>
      <c r="CR92" s="31"/>
      <c r="CS92" s="31"/>
      <c r="CT92" s="22"/>
      <c r="CV92" s="6"/>
      <c r="CW92" s="6"/>
      <c r="CX92" s="6"/>
      <c r="CY92" s="6"/>
    </row>
    <row r="93" spans="2:110" ht="15" hidden="1" customHeight="1" outlineLevel="1" x14ac:dyDescent="0.25">
      <c r="B93" s="36" t="s">
        <v>185</v>
      </c>
      <c r="C93" s="30">
        <v>6</v>
      </c>
      <c r="D93" s="30">
        <v>6.3</v>
      </c>
      <c r="E93" s="30">
        <v>10.199999999999999</v>
      </c>
      <c r="F93" s="30">
        <v>3.3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31"/>
      <c r="CN93" s="31"/>
      <c r="CO93" s="31"/>
      <c r="CP93" s="31"/>
      <c r="CQ93" s="31"/>
      <c r="CR93" s="31"/>
      <c r="CS93" s="31"/>
      <c r="CT93" s="22"/>
      <c r="CV93" s="6"/>
      <c r="CW93" s="6"/>
      <c r="CX93" s="6"/>
      <c r="CY93" s="6"/>
    </row>
    <row r="94" spans="2:110" ht="15" hidden="1" customHeight="1" outlineLevel="1" x14ac:dyDescent="0.25">
      <c r="B94" s="36" t="s">
        <v>186</v>
      </c>
      <c r="C94" s="30">
        <v>27.7</v>
      </c>
      <c r="D94" s="30">
        <v>32.6</v>
      </c>
      <c r="E94" s="30">
        <v>29.6</v>
      </c>
      <c r="F94" s="30">
        <v>27.3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31"/>
      <c r="CN94" s="31"/>
      <c r="CO94" s="31"/>
      <c r="CP94" s="31"/>
      <c r="CQ94" s="31"/>
      <c r="CR94" s="31"/>
      <c r="CS94" s="31"/>
      <c r="CT94" s="22"/>
      <c r="CV94" s="6"/>
      <c r="CW94" s="6"/>
      <c r="CX94" s="6"/>
      <c r="CY94" s="6"/>
    </row>
    <row r="95" spans="2:110" ht="15" customHeight="1" collapsed="1" x14ac:dyDescent="0.25">
      <c r="B95" s="12"/>
      <c r="CM95" s="6"/>
      <c r="CN95" s="6"/>
      <c r="CO95" s="6"/>
      <c r="CP95" s="6"/>
      <c r="CQ95" s="6"/>
      <c r="CR95" s="6"/>
      <c r="CS95" s="6"/>
      <c r="CT95" s="6"/>
    </row>
    <row r="96" spans="2:110" ht="15" customHeight="1" x14ac:dyDescent="0.25">
      <c r="B96" s="16" t="s">
        <v>187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7" t="s">
        <v>188</v>
      </c>
    </row>
    <row r="97" spans="2:103" ht="15" customHeight="1" x14ac:dyDescent="0.25">
      <c r="B97" s="12" t="s">
        <v>189</v>
      </c>
      <c r="C97" s="29"/>
      <c r="D97" s="29"/>
      <c r="E97" s="30">
        <v>29.6</v>
      </c>
      <c r="F97" s="30">
        <v>27.3</v>
      </c>
      <c r="G97" s="30">
        <v>28.8</v>
      </c>
      <c r="H97" s="30">
        <v>33.700000000000003</v>
      </c>
      <c r="I97" s="30">
        <v>36.700000000000003</v>
      </c>
      <c r="J97" s="30">
        <v>9.5</v>
      </c>
      <c r="K97" s="30">
        <v>10.4</v>
      </c>
      <c r="L97" s="29">
        <f>J97+K97</f>
        <v>19.899999999999999</v>
      </c>
      <c r="M97" s="30">
        <v>10.4</v>
      </c>
      <c r="N97" s="30">
        <v>7.3</v>
      </c>
      <c r="O97" s="30">
        <v>37.6</v>
      </c>
      <c r="P97" s="30">
        <v>11.1</v>
      </c>
      <c r="Q97" s="30">
        <v>10.9</v>
      </c>
      <c r="R97" s="29">
        <f>P97+Q97</f>
        <v>22</v>
      </c>
      <c r="S97" s="30">
        <v>10.6</v>
      </c>
      <c r="T97" s="30">
        <v>11.3</v>
      </c>
      <c r="U97" s="30">
        <v>43.9</v>
      </c>
      <c r="V97" s="30">
        <v>10.199999999999999</v>
      </c>
      <c r="W97" s="30">
        <v>11</v>
      </c>
      <c r="X97" s="29">
        <f>V97+W97</f>
        <v>21.2</v>
      </c>
      <c r="Y97" s="30">
        <v>8.9</v>
      </c>
      <c r="Z97" s="30">
        <v>10.1</v>
      </c>
      <c r="AA97" s="30">
        <v>40.200000000000003</v>
      </c>
      <c r="AB97" s="30">
        <v>10.8</v>
      </c>
      <c r="AC97" s="30">
        <v>10.8</v>
      </c>
      <c r="AD97" s="29">
        <f>AB97+AC97</f>
        <v>21.6</v>
      </c>
      <c r="AE97" s="30">
        <v>11.1</v>
      </c>
      <c r="AF97" s="30">
        <v>13.4</v>
      </c>
      <c r="AG97" s="30">
        <v>46.1</v>
      </c>
      <c r="AH97" s="30">
        <v>22.7</v>
      </c>
      <c r="AI97" s="30">
        <v>12.6</v>
      </c>
      <c r="AJ97" s="29">
        <f>AH97+AI97</f>
        <v>35.299999999999997</v>
      </c>
      <c r="AK97" s="30">
        <v>13.3</v>
      </c>
      <c r="AL97" s="30">
        <v>14.4</v>
      </c>
      <c r="AM97" s="30">
        <v>63</v>
      </c>
      <c r="AN97" s="30">
        <v>12.9</v>
      </c>
      <c r="AO97" s="30">
        <v>13.8</v>
      </c>
      <c r="AP97" s="29">
        <f>AN97+AO97</f>
        <v>26.700000000000003</v>
      </c>
      <c r="AQ97" s="30">
        <v>15.1</v>
      </c>
      <c r="AR97" s="30">
        <v>14.2</v>
      </c>
      <c r="AS97" s="30">
        <v>56</v>
      </c>
      <c r="AT97" s="30">
        <v>18.100000000000001</v>
      </c>
      <c r="AU97" s="30">
        <v>16.3</v>
      </c>
      <c r="AV97" s="29">
        <f>AT97+AU97</f>
        <v>34.400000000000006</v>
      </c>
      <c r="AW97" s="30">
        <v>14.6</v>
      </c>
      <c r="AX97" s="30">
        <v>16.100000000000001</v>
      </c>
      <c r="AY97" s="30">
        <v>65.099999999999994</v>
      </c>
      <c r="AZ97" s="30">
        <v>15.4</v>
      </c>
      <c r="BA97" s="30">
        <v>13.8</v>
      </c>
      <c r="BB97" s="29">
        <f>AZ97+BA97</f>
        <v>29.200000000000003</v>
      </c>
      <c r="BC97" s="30">
        <v>12.9</v>
      </c>
      <c r="BD97" s="30">
        <v>14.7</v>
      </c>
      <c r="BE97" s="30">
        <v>56.8</v>
      </c>
      <c r="BF97" s="30">
        <v>19.399999999999999</v>
      </c>
      <c r="BG97" s="30">
        <v>84.2</v>
      </c>
      <c r="BH97" s="29">
        <f>BF97+BG97</f>
        <v>103.6</v>
      </c>
      <c r="BI97" s="30">
        <v>15.7</v>
      </c>
      <c r="BJ97" s="30">
        <v>17.5</v>
      </c>
      <c r="BK97" s="30">
        <v>136.80000000000001</v>
      </c>
      <c r="BL97" s="30">
        <v>16.100000000000001</v>
      </c>
      <c r="BM97" s="30">
        <v>14.7</v>
      </c>
      <c r="BN97" s="29">
        <f>BL97+BM97</f>
        <v>30.8</v>
      </c>
      <c r="BO97" s="30">
        <v>15.8</v>
      </c>
      <c r="BP97" s="30">
        <v>19.3</v>
      </c>
      <c r="BQ97" s="30">
        <v>65.900000000000006</v>
      </c>
      <c r="BR97" s="30">
        <v>17.399999999999999</v>
      </c>
      <c r="BS97" s="30">
        <v>14.6</v>
      </c>
      <c r="BT97" s="29">
        <f>BR97+BS97</f>
        <v>32</v>
      </c>
      <c r="BU97" s="30">
        <v>17.8</v>
      </c>
      <c r="BV97" s="30">
        <v>15.8</v>
      </c>
      <c r="BW97" s="30">
        <v>65.599999999999994</v>
      </c>
      <c r="BX97" s="30">
        <v>20.100000000000001</v>
      </c>
      <c r="BY97" s="30">
        <v>18.3</v>
      </c>
      <c r="BZ97" s="29">
        <f>BX97+BY97</f>
        <v>38.400000000000006</v>
      </c>
      <c r="CA97" s="30">
        <v>18.7</v>
      </c>
      <c r="CB97" s="30">
        <v>20.7</v>
      </c>
      <c r="CC97" s="30">
        <v>77.8</v>
      </c>
      <c r="CD97" s="30">
        <v>22.2</v>
      </c>
      <c r="CE97" s="30">
        <v>21.7</v>
      </c>
      <c r="CF97" s="29">
        <f>CD97+CE97</f>
        <v>43.9</v>
      </c>
      <c r="CG97" s="30">
        <v>22</v>
      </c>
      <c r="CH97" s="30">
        <v>21.6</v>
      </c>
      <c r="CI97" s="30">
        <v>87.5</v>
      </c>
      <c r="CJ97" s="30">
        <v>19</v>
      </c>
      <c r="CK97" s="30">
        <v>28</v>
      </c>
      <c r="CL97" s="29">
        <f>CJ97+CK97</f>
        <v>47</v>
      </c>
      <c r="CM97" s="31">
        <f>CM99+CM98</f>
        <v>23.8</v>
      </c>
      <c r="CN97" s="31">
        <f>CN99+CN98</f>
        <v>23.8</v>
      </c>
      <c r="CO97" s="31">
        <f>SUM(CJ97,CK97,CM97,CN97)</f>
        <v>94.6</v>
      </c>
      <c r="CP97" s="31">
        <f>CP99+CP98</f>
        <v>101.92992880016843</v>
      </c>
      <c r="CQ97" s="31">
        <f>CQ99+CQ98</f>
        <v>109.42422144130305</v>
      </c>
      <c r="CR97" s="31">
        <f>CR99+CR98</f>
        <v>117.37568554512906</v>
      </c>
      <c r="CS97" s="31">
        <f>CS99+CS98</f>
        <v>126.47987949001427</v>
      </c>
      <c r="CT97" s="22" t="s">
        <v>190</v>
      </c>
      <c r="CV97" s="6"/>
      <c r="CW97" s="6"/>
      <c r="CX97" s="6"/>
      <c r="CY97" s="6"/>
    </row>
    <row r="98" spans="2:103" ht="15" customHeight="1" x14ac:dyDescent="0.25">
      <c r="B98" s="12" t="s">
        <v>191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30">
        <v>5.9</v>
      </c>
      <c r="BG98" s="30">
        <v>70.5</v>
      </c>
      <c r="BH98" s="29">
        <f>BF98+BG98</f>
        <v>76.400000000000006</v>
      </c>
      <c r="BI98" s="30">
        <v>0.3</v>
      </c>
      <c r="BJ98" s="30">
        <v>0.4</v>
      </c>
      <c r="BK98" s="30">
        <v>77.099999999999994</v>
      </c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30">
        <v>3.6</v>
      </c>
      <c r="CE98" s="30">
        <v>1.3</v>
      </c>
      <c r="CF98" s="29">
        <f>CD98+CE98</f>
        <v>4.9000000000000004</v>
      </c>
      <c r="CG98" s="30">
        <v>0.2</v>
      </c>
      <c r="CH98" s="30">
        <v>0.3</v>
      </c>
      <c r="CI98" s="30">
        <v>5.4</v>
      </c>
      <c r="CJ98" s="30">
        <v>0.2</v>
      </c>
      <c r="CK98" s="30">
        <v>0.2</v>
      </c>
      <c r="CL98" s="29">
        <f>CJ98+CK98</f>
        <v>0.4</v>
      </c>
      <c r="CM98" s="32">
        <v>0.5</v>
      </c>
      <c r="CN98" s="32">
        <v>0.5</v>
      </c>
      <c r="CO98" s="31">
        <f>SUM(CJ98,CK98,CM98,CN98)</f>
        <v>1.4</v>
      </c>
      <c r="CP98" s="32">
        <v>5</v>
      </c>
      <c r="CQ98" s="32">
        <v>5</v>
      </c>
      <c r="CR98" s="32">
        <v>5</v>
      </c>
      <c r="CS98" s="32">
        <v>5</v>
      </c>
      <c r="CT98" s="22" t="s">
        <v>192</v>
      </c>
      <c r="CV98" s="6"/>
      <c r="CW98" s="6"/>
      <c r="CX98" s="6"/>
      <c r="CY98" s="6"/>
    </row>
    <row r="99" spans="2:103" ht="15" customHeight="1" x14ac:dyDescent="0.25">
      <c r="B99" s="18" t="s">
        <v>193</v>
      </c>
      <c r="C99" s="19" t="str">
        <f t="shared" ref="C99:AH99" si="100">IF(ISNUMBER(C97),C97-N(C98),"")</f>
        <v/>
      </c>
      <c r="D99" s="19" t="str">
        <f t="shared" si="100"/>
        <v/>
      </c>
      <c r="E99" s="19">
        <f t="shared" si="100"/>
        <v>29.6</v>
      </c>
      <c r="F99" s="19">
        <f t="shared" si="100"/>
        <v>27.3</v>
      </c>
      <c r="G99" s="19">
        <f t="shared" si="100"/>
        <v>28.8</v>
      </c>
      <c r="H99" s="19">
        <f t="shared" si="100"/>
        <v>33.700000000000003</v>
      </c>
      <c r="I99" s="19">
        <f t="shared" si="100"/>
        <v>36.700000000000003</v>
      </c>
      <c r="J99" s="19">
        <f t="shared" si="100"/>
        <v>9.5</v>
      </c>
      <c r="K99" s="19">
        <f t="shared" si="100"/>
        <v>10.4</v>
      </c>
      <c r="L99" s="19">
        <f t="shared" si="100"/>
        <v>19.899999999999999</v>
      </c>
      <c r="M99" s="19">
        <f t="shared" si="100"/>
        <v>10.4</v>
      </c>
      <c r="N99" s="19">
        <f t="shared" si="100"/>
        <v>7.3</v>
      </c>
      <c r="O99" s="19">
        <f t="shared" si="100"/>
        <v>37.6</v>
      </c>
      <c r="P99" s="19">
        <f t="shared" si="100"/>
        <v>11.1</v>
      </c>
      <c r="Q99" s="19">
        <f t="shared" si="100"/>
        <v>10.9</v>
      </c>
      <c r="R99" s="19">
        <f t="shared" si="100"/>
        <v>22</v>
      </c>
      <c r="S99" s="19">
        <f t="shared" si="100"/>
        <v>10.6</v>
      </c>
      <c r="T99" s="19">
        <f t="shared" si="100"/>
        <v>11.3</v>
      </c>
      <c r="U99" s="19">
        <f t="shared" si="100"/>
        <v>43.9</v>
      </c>
      <c r="V99" s="19">
        <f t="shared" si="100"/>
        <v>10.199999999999999</v>
      </c>
      <c r="W99" s="19">
        <f t="shared" si="100"/>
        <v>11</v>
      </c>
      <c r="X99" s="19">
        <f t="shared" si="100"/>
        <v>21.2</v>
      </c>
      <c r="Y99" s="19">
        <f t="shared" si="100"/>
        <v>8.9</v>
      </c>
      <c r="Z99" s="19">
        <f t="shared" si="100"/>
        <v>10.1</v>
      </c>
      <c r="AA99" s="19">
        <f t="shared" si="100"/>
        <v>40.200000000000003</v>
      </c>
      <c r="AB99" s="19">
        <f t="shared" si="100"/>
        <v>10.8</v>
      </c>
      <c r="AC99" s="19">
        <f t="shared" si="100"/>
        <v>10.8</v>
      </c>
      <c r="AD99" s="19">
        <f t="shared" si="100"/>
        <v>21.6</v>
      </c>
      <c r="AE99" s="19">
        <f t="shared" si="100"/>
        <v>11.1</v>
      </c>
      <c r="AF99" s="19">
        <f t="shared" si="100"/>
        <v>13.4</v>
      </c>
      <c r="AG99" s="19">
        <f t="shared" si="100"/>
        <v>46.1</v>
      </c>
      <c r="AH99" s="19">
        <f t="shared" si="100"/>
        <v>22.7</v>
      </c>
      <c r="AI99" s="19">
        <f t="shared" ref="AI99:BN99" si="101">IF(ISNUMBER(AI97),AI97-N(AI98),"")</f>
        <v>12.6</v>
      </c>
      <c r="AJ99" s="19">
        <f t="shared" si="101"/>
        <v>35.299999999999997</v>
      </c>
      <c r="AK99" s="19">
        <f t="shared" si="101"/>
        <v>13.3</v>
      </c>
      <c r="AL99" s="19">
        <f t="shared" si="101"/>
        <v>14.4</v>
      </c>
      <c r="AM99" s="19">
        <f t="shared" si="101"/>
        <v>63</v>
      </c>
      <c r="AN99" s="19">
        <f t="shared" si="101"/>
        <v>12.9</v>
      </c>
      <c r="AO99" s="19">
        <f t="shared" si="101"/>
        <v>13.8</v>
      </c>
      <c r="AP99" s="19">
        <f t="shared" si="101"/>
        <v>26.700000000000003</v>
      </c>
      <c r="AQ99" s="19">
        <f t="shared" si="101"/>
        <v>15.1</v>
      </c>
      <c r="AR99" s="19">
        <f t="shared" si="101"/>
        <v>14.2</v>
      </c>
      <c r="AS99" s="19">
        <f t="shared" si="101"/>
        <v>56</v>
      </c>
      <c r="AT99" s="19">
        <f t="shared" si="101"/>
        <v>18.100000000000001</v>
      </c>
      <c r="AU99" s="19">
        <f t="shared" si="101"/>
        <v>16.3</v>
      </c>
      <c r="AV99" s="19">
        <f t="shared" si="101"/>
        <v>34.400000000000006</v>
      </c>
      <c r="AW99" s="19">
        <f t="shared" si="101"/>
        <v>14.6</v>
      </c>
      <c r="AX99" s="19">
        <f t="shared" si="101"/>
        <v>16.100000000000001</v>
      </c>
      <c r="AY99" s="19">
        <f t="shared" si="101"/>
        <v>65.099999999999994</v>
      </c>
      <c r="AZ99" s="19">
        <f t="shared" si="101"/>
        <v>15.4</v>
      </c>
      <c r="BA99" s="19">
        <f t="shared" si="101"/>
        <v>13.8</v>
      </c>
      <c r="BB99" s="19">
        <f t="shared" si="101"/>
        <v>29.200000000000003</v>
      </c>
      <c r="BC99" s="19">
        <f t="shared" si="101"/>
        <v>12.9</v>
      </c>
      <c r="BD99" s="19">
        <f t="shared" si="101"/>
        <v>14.7</v>
      </c>
      <c r="BE99" s="19">
        <f t="shared" si="101"/>
        <v>56.8</v>
      </c>
      <c r="BF99" s="19">
        <f t="shared" si="101"/>
        <v>13.499999999999998</v>
      </c>
      <c r="BG99" s="19">
        <f t="shared" si="101"/>
        <v>13.700000000000003</v>
      </c>
      <c r="BH99" s="19">
        <f t="shared" si="101"/>
        <v>27.199999999999989</v>
      </c>
      <c r="BI99" s="19">
        <f t="shared" si="101"/>
        <v>15.399999999999999</v>
      </c>
      <c r="BJ99" s="19">
        <f t="shared" si="101"/>
        <v>17.100000000000001</v>
      </c>
      <c r="BK99" s="19">
        <f t="shared" si="101"/>
        <v>59.700000000000017</v>
      </c>
      <c r="BL99" s="19">
        <f t="shared" si="101"/>
        <v>16.100000000000001</v>
      </c>
      <c r="BM99" s="19">
        <f t="shared" si="101"/>
        <v>14.7</v>
      </c>
      <c r="BN99" s="19">
        <f t="shared" si="101"/>
        <v>30.8</v>
      </c>
      <c r="BO99" s="19">
        <f t="shared" ref="BO99:CL99" si="102">IF(ISNUMBER(BO97),BO97-N(BO98),"")</f>
        <v>15.8</v>
      </c>
      <c r="BP99" s="19">
        <f t="shared" si="102"/>
        <v>19.3</v>
      </c>
      <c r="BQ99" s="19">
        <f t="shared" si="102"/>
        <v>65.900000000000006</v>
      </c>
      <c r="BR99" s="19">
        <f t="shared" si="102"/>
        <v>17.399999999999999</v>
      </c>
      <c r="BS99" s="19">
        <f t="shared" si="102"/>
        <v>14.6</v>
      </c>
      <c r="BT99" s="19">
        <f t="shared" si="102"/>
        <v>32</v>
      </c>
      <c r="BU99" s="19">
        <f t="shared" si="102"/>
        <v>17.8</v>
      </c>
      <c r="BV99" s="19">
        <f t="shared" si="102"/>
        <v>15.8</v>
      </c>
      <c r="BW99" s="19">
        <f t="shared" si="102"/>
        <v>65.599999999999994</v>
      </c>
      <c r="BX99" s="19">
        <f t="shared" si="102"/>
        <v>20.100000000000001</v>
      </c>
      <c r="BY99" s="19">
        <f t="shared" si="102"/>
        <v>18.3</v>
      </c>
      <c r="BZ99" s="19">
        <f t="shared" si="102"/>
        <v>38.400000000000006</v>
      </c>
      <c r="CA99" s="19">
        <f t="shared" si="102"/>
        <v>18.7</v>
      </c>
      <c r="CB99" s="19">
        <f t="shared" si="102"/>
        <v>20.7</v>
      </c>
      <c r="CC99" s="19">
        <f t="shared" si="102"/>
        <v>77.8</v>
      </c>
      <c r="CD99" s="19">
        <f t="shared" si="102"/>
        <v>18.599999999999998</v>
      </c>
      <c r="CE99" s="19">
        <f t="shared" si="102"/>
        <v>20.399999999999999</v>
      </c>
      <c r="CF99" s="19">
        <f t="shared" si="102"/>
        <v>39</v>
      </c>
      <c r="CG99" s="19">
        <f t="shared" si="102"/>
        <v>21.8</v>
      </c>
      <c r="CH99" s="19">
        <f t="shared" si="102"/>
        <v>21.3</v>
      </c>
      <c r="CI99" s="19">
        <f t="shared" si="102"/>
        <v>82.1</v>
      </c>
      <c r="CJ99" s="19">
        <f t="shared" si="102"/>
        <v>18.8</v>
      </c>
      <c r="CK99" s="19">
        <f t="shared" si="102"/>
        <v>27.8</v>
      </c>
      <c r="CL99" s="19">
        <f t="shared" si="102"/>
        <v>46.6</v>
      </c>
      <c r="CM99" s="21">
        <f>CL99/2</f>
        <v>23.3</v>
      </c>
      <c r="CN99" s="21">
        <f>CL99/2</f>
        <v>23.3</v>
      </c>
      <c r="CO99" s="21">
        <f>SUM(CJ99,CK99,CM99,CN99)</f>
        <v>93.2</v>
      </c>
      <c r="CP99" s="21">
        <f>CP152*CP100</f>
        <v>96.929928800168426</v>
      </c>
      <c r="CQ99" s="21">
        <f>CQ152*CQ100</f>
        <v>104.42422144130305</v>
      </c>
      <c r="CR99" s="21">
        <f>CR152*CR100</f>
        <v>112.37568554512906</v>
      </c>
      <c r="CS99" s="21">
        <f>CS152*CS100</f>
        <v>121.47987949001427</v>
      </c>
      <c r="CT99" s="22" t="s">
        <v>194</v>
      </c>
      <c r="CV99" s="6"/>
      <c r="CW99" s="6"/>
      <c r="CX99" s="6"/>
      <c r="CY99" s="6"/>
    </row>
    <row r="100" spans="2:103" ht="15" customHeight="1" x14ac:dyDescent="0.25">
      <c r="B100" s="25" t="s">
        <v>195</v>
      </c>
      <c r="C100" s="39" t="str">
        <f t="shared" ref="C100:AH100" si="103">IFERROR(C99/C152,"")</f>
        <v/>
      </c>
      <c r="D100" s="39" t="str">
        <f t="shared" si="103"/>
        <v/>
      </c>
      <c r="E100" s="39">
        <f t="shared" si="103"/>
        <v>1.7189314750290362E-2</v>
      </c>
      <c r="F100" s="39">
        <f t="shared" si="103"/>
        <v>1.6524423461049573E-2</v>
      </c>
      <c r="G100" s="39">
        <f t="shared" si="103"/>
        <v>1.7516117260673883E-2</v>
      </c>
      <c r="H100" s="39">
        <f t="shared" si="103"/>
        <v>1.7354137700190536E-2</v>
      </c>
      <c r="I100" s="39">
        <f t="shared" si="103"/>
        <v>1.7251915573731961E-2</v>
      </c>
      <c r="J100" s="39">
        <f t="shared" si="103"/>
        <v>1.6684229012996137E-2</v>
      </c>
      <c r="K100" s="39">
        <f t="shared" si="103"/>
        <v>1.7304492512479203E-2</v>
      </c>
      <c r="L100" s="39">
        <f t="shared" si="103"/>
        <v>1.7002734107997262E-2</v>
      </c>
      <c r="M100" s="39">
        <f t="shared" si="103"/>
        <v>1.8194541637508749E-2</v>
      </c>
      <c r="N100" s="39">
        <f t="shared" si="103"/>
        <v>1.2236004022795842E-2</v>
      </c>
      <c r="O100" s="39">
        <f t="shared" si="103"/>
        <v>1.6077995381852391E-2</v>
      </c>
      <c r="P100" s="39">
        <f t="shared" si="103"/>
        <v>1.935483870967742E-2</v>
      </c>
      <c r="Q100" s="39">
        <f t="shared" si="103"/>
        <v>1.8254898676938535E-2</v>
      </c>
      <c r="R100" s="39">
        <f t="shared" si="103"/>
        <v>1.8793780967025459E-2</v>
      </c>
      <c r="S100" s="39">
        <f t="shared" si="103"/>
        <v>1.7634337048743967E-2</v>
      </c>
      <c r="T100" s="39">
        <f t="shared" si="103"/>
        <v>1.815844448015427E-2</v>
      </c>
      <c r="U100" s="39">
        <f t="shared" si="103"/>
        <v>1.83375104427736E-2</v>
      </c>
      <c r="V100" s="39">
        <f t="shared" si="103"/>
        <v>1.8053097345132742E-2</v>
      </c>
      <c r="W100" s="39">
        <f t="shared" si="103"/>
        <v>1.9041024753332178E-2</v>
      </c>
      <c r="X100" s="39">
        <f t="shared" si="103"/>
        <v>1.8552550975759165E-2</v>
      </c>
      <c r="Y100" s="39">
        <f t="shared" si="103"/>
        <v>1.602448685631977E-2</v>
      </c>
      <c r="Z100" s="39">
        <f t="shared" si="103"/>
        <v>1.6833333333333332E-2</v>
      </c>
      <c r="AA100" s="39">
        <f t="shared" si="103"/>
        <v>1.7492711370262391E-2</v>
      </c>
      <c r="AB100" s="39">
        <f t="shared" si="103"/>
        <v>2.0358152686145149E-2</v>
      </c>
      <c r="AC100" s="39">
        <f t="shared" si="103"/>
        <v>2.0011117287381877E-2</v>
      </c>
      <c r="AD100" s="39">
        <f t="shared" si="103"/>
        <v>2.0183143337693891E-2</v>
      </c>
      <c r="AE100" s="39">
        <f t="shared" si="103"/>
        <v>2.1070615034168565E-2</v>
      </c>
      <c r="AF100" s="39">
        <f t="shared" si="103"/>
        <v>2.4235847350334599E-2</v>
      </c>
      <c r="AG100" s="39">
        <f t="shared" si="103"/>
        <v>2.1442857807339875E-2</v>
      </c>
      <c r="AH100" s="39">
        <f t="shared" si="103"/>
        <v>4.0098922451863625E-2</v>
      </c>
      <c r="AI100" s="39">
        <f t="shared" ref="AI100:BN100" si="104">IFERROR(AI99/AI152,"")</f>
        <v>1.8775145283862316E-2</v>
      </c>
      <c r="AJ100" s="39">
        <f t="shared" si="104"/>
        <v>2.8532169414807625E-2</v>
      </c>
      <c r="AK100" s="39">
        <f t="shared" si="104"/>
        <v>2.0084566596194502E-2</v>
      </c>
      <c r="AL100" s="39">
        <f t="shared" si="104"/>
        <v>2.0442930153321978E-2</v>
      </c>
      <c r="AM100" s="39">
        <f t="shared" si="104"/>
        <v>2.4195406713265227E-2</v>
      </c>
      <c r="AN100" s="39">
        <f t="shared" si="104"/>
        <v>1.8545140885566417E-2</v>
      </c>
      <c r="AO100" s="39">
        <f t="shared" si="104"/>
        <v>1.8839590443686008E-2</v>
      </c>
      <c r="AP100" s="39">
        <f t="shared" si="104"/>
        <v>1.8696169736012888E-2</v>
      </c>
      <c r="AQ100" s="39">
        <f t="shared" si="104"/>
        <v>2.0818971460085482E-2</v>
      </c>
      <c r="AR100" s="39">
        <f t="shared" si="104"/>
        <v>1.8973810796365578E-2</v>
      </c>
      <c r="AS100" s="39">
        <f t="shared" si="104"/>
        <v>1.9298366531118615E-2</v>
      </c>
      <c r="AT100" s="39">
        <f t="shared" si="104"/>
        <v>2.4288781535158347E-2</v>
      </c>
      <c r="AU100" s="39">
        <f t="shared" si="104"/>
        <v>2.0843989769820971E-2</v>
      </c>
      <c r="AV100" s="39">
        <f t="shared" si="104"/>
        <v>2.2524882137244635E-2</v>
      </c>
      <c r="AW100" s="39">
        <f t="shared" si="104"/>
        <v>1.819995013712291E-2</v>
      </c>
      <c r="AX100" s="39">
        <f t="shared" si="104"/>
        <v>1.9299928074802207E-2</v>
      </c>
      <c r="AY100" s="39">
        <f t="shared" si="104"/>
        <v>2.0577822733594639E-2</v>
      </c>
      <c r="AZ100" s="39">
        <f t="shared" si="104"/>
        <v>1.962783583991843E-2</v>
      </c>
      <c r="BA100" s="39">
        <f t="shared" si="104"/>
        <v>1.8565854971074939E-2</v>
      </c>
      <c r="BB100" s="39">
        <f t="shared" si="104"/>
        <v>1.9111198376857125E-2</v>
      </c>
      <c r="BC100" s="39">
        <f t="shared" si="104"/>
        <v>1.7222963951935916E-2</v>
      </c>
      <c r="BD100" s="39">
        <f t="shared" si="104"/>
        <v>1.816384529840603E-2</v>
      </c>
      <c r="BE100" s="39">
        <f t="shared" si="104"/>
        <v>1.8404510401140561E-2</v>
      </c>
      <c r="BF100" s="39">
        <f t="shared" si="104"/>
        <v>1.6755616234330393E-2</v>
      </c>
      <c r="BG100" s="39">
        <f t="shared" si="104"/>
        <v>1.2221231043710975E-2</v>
      </c>
      <c r="BH100" s="39">
        <f t="shared" si="104"/>
        <v>1.4117402813100113E-2</v>
      </c>
      <c r="BI100" s="39">
        <f t="shared" si="104"/>
        <v>1.1738699596005792E-2</v>
      </c>
      <c r="BJ100" s="39">
        <f t="shared" si="104"/>
        <v>1.2430035618230719E-2</v>
      </c>
      <c r="BK100" s="39">
        <f t="shared" si="104"/>
        <v>1.2938040439503286E-2</v>
      </c>
      <c r="BL100" s="39">
        <f t="shared" si="104"/>
        <v>1.218773656320969E-2</v>
      </c>
      <c r="BM100" s="39">
        <f t="shared" si="104"/>
        <v>1.0842307124944682E-2</v>
      </c>
      <c r="BN100" s="39">
        <f t="shared" si="104"/>
        <v>1.1506276150627614E-2</v>
      </c>
      <c r="BO100" s="39">
        <f t="shared" ref="BO100:CO100" si="105">IFERROR(BO99/BO152,"")</f>
        <v>1.1586975652684073E-2</v>
      </c>
      <c r="BP100" s="39">
        <f t="shared" si="105"/>
        <v>1.3608799887180934E-2</v>
      </c>
      <c r="BQ100" s="39">
        <f t="shared" si="105"/>
        <v>1.2072692631810355E-2</v>
      </c>
      <c r="BR100" s="39">
        <f t="shared" si="105"/>
        <v>1.2578616352201257E-2</v>
      </c>
      <c r="BS100" s="39">
        <f t="shared" si="105"/>
        <v>1.0247771460658384E-2</v>
      </c>
      <c r="BT100" s="39">
        <f t="shared" si="105"/>
        <v>1.1396011396011397E-2</v>
      </c>
      <c r="BU100" s="39">
        <f t="shared" si="105"/>
        <v>1.2691622103386809E-2</v>
      </c>
      <c r="BV100" s="39">
        <f t="shared" si="105"/>
        <v>1.1087719298245615E-2</v>
      </c>
      <c r="BW100" s="39">
        <f t="shared" si="105"/>
        <v>1.1640493301392954E-2</v>
      </c>
      <c r="BX100" s="39">
        <f t="shared" si="105"/>
        <v>1.4887786089919267E-2</v>
      </c>
      <c r="BY100" s="39">
        <f t="shared" si="105"/>
        <v>1.3317808019794776E-2</v>
      </c>
      <c r="BZ100" s="39">
        <f t="shared" si="105"/>
        <v>1.4095881359665226E-2</v>
      </c>
      <c r="CA100" s="39">
        <f t="shared" si="105"/>
        <v>1.2954624177346725E-2</v>
      </c>
      <c r="CB100" s="39">
        <f t="shared" si="105"/>
        <v>1.3778872395659988E-2</v>
      </c>
      <c r="CC100" s="39">
        <f t="shared" si="105"/>
        <v>1.3721340388007054E-2</v>
      </c>
      <c r="CD100" s="39">
        <f t="shared" si="105"/>
        <v>1.2828470929029586E-2</v>
      </c>
      <c r="CE100" s="39">
        <f t="shared" si="105"/>
        <v>1.3476910880623636E-2</v>
      </c>
      <c r="CF100" s="39">
        <f t="shared" si="105"/>
        <v>1.3159670670805776E-2</v>
      </c>
      <c r="CG100" s="39">
        <f t="shared" si="105"/>
        <v>1.416044170185125E-2</v>
      </c>
      <c r="CH100" s="39">
        <f t="shared" si="105"/>
        <v>1.3210940891893569E-2</v>
      </c>
      <c r="CI100" s="39">
        <f t="shared" si="105"/>
        <v>1.3425123458808908E-2</v>
      </c>
      <c r="CJ100" s="39">
        <f t="shared" si="105"/>
        <v>1.2050509582719058E-2</v>
      </c>
      <c r="CK100" s="39">
        <f t="shared" si="105"/>
        <v>1.6721804511278197E-2</v>
      </c>
      <c r="CL100" s="39">
        <f t="shared" si="105"/>
        <v>1.4460373611369702E-2</v>
      </c>
      <c r="CM100" s="27">
        <f t="shared" si="105"/>
        <v>1.3777411142310686E-2</v>
      </c>
      <c r="CN100" s="27">
        <f t="shared" si="105"/>
        <v>1.3146657421576341E-2</v>
      </c>
      <c r="CO100" s="27">
        <f t="shared" si="105"/>
        <v>1.3939392483091438E-2</v>
      </c>
      <c r="CP100" s="45">
        <v>1.35E-2</v>
      </c>
      <c r="CQ100" s="45">
        <v>1.3299999999999999E-2</v>
      </c>
      <c r="CR100" s="45">
        <v>1.3100000000000001E-2</v>
      </c>
      <c r="CS100" s="45">
        <v>1.2999999999999999E-2</v>
      </c>
      <c r="CT100" s="22"/>
      <c r="CV100" s="6"/>
      <c r="CW100" s="6"/>
      <c r="CX100" s="6"/>
      <c r="CY100" s="6"/>
    </row>
    <row r="101" spans="2:103" ht="15" customHeight="1" x14ac:dyDescent="0.25">
      <c r="B101" s="12" t="s">
        <v>196</v>
      </c>
      <c r="C101" s="29"/>
      <c r="D101" s="29"/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32">
        <v>0</v>
      </c>
      <c r="CN101" s="32">
        <v>0</v>
      </c>
      <c r="CO101" s="31">
        <f>SUM(CJ101,CK101,CM101,CN101)</f>
        <v>0</v>
      </c>
      <c r="CP101" s="32">
        <v>0</v>
      </c>
      <c r="CQ101" s="32">
        <v>0</v>
      </c>
      <c r="CR101" s="32">
        <v>0</v>
      </c>
      <c r="CS101" s="32">
        <v>0</v>
      </c>
      <c r="CT101" s="22"/>
      <c r="CV101" s="6"/>
      <c r="CW101" s="6"/>
      <c r="CX101" s="6"/>
      <c r="CY101" s="6"/>
    </row>
    <row r="102" spans="2:103" ht="15" customHeight="1" x14ac:dyDescent="0.25">
      <c r="B102" s="25" t="s">
        <v>197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27">
        <f>((CM103+CM170)/(1-$DD$16)+CM161-CM162-CM163+CM99-CM101-(CM11*(CG20+$CL$20-$CF$20)+CM28*(CG37+$CL$37-$CF$37)+CM48*(CG57+$CL$57-$CF$57)+CM67*(CG76+$CL$76-$CF$76)))/(CM11+CM28+CM48+CM67)</f>
        <v>-9.0795986951394334E-3</v>
      </c>
      <c r="CN102" s="27">
        <f>((CN103+CN170)/(1-$DD$16)+CN161-CN162-CN163+CN99-CN101-(CN11*(CH20+$CL$20-$CF$20)+CN28*(CH37+$CL$37-$CF$37)+CN48*(CH57+$CL$57-$CF$57)+CN67*(CH76+$CL$76-$CF$76)))/(CN11+CN28+CN48+CN67)</f>
        <v>-2.8311205405705191E-2</v>
      </c>
      <c r="CO102" s="27">
        <f>SUM(CJ102,CK102,CM102,CN102)</f>
        <v>-3.7390804100844624E-2</v>
      </c>
      <c r="CP102" s="27"/>
      <c r="CQ102" s="27"/>
      <c r="CR102" s="27"/>
      <c r="CS102" s="27"/>
      <c r="CT102" s="22" t="s">
        <v>198</v>
      </c>
      <c r="CV102" s="6"/>
      <c r="CW102" s="6"/>
      <c r="CX102" s="6"/>
      <c r="CY102" s="6"/>
    </row>
    <row r="103" spans="2:103" ht="15" customHeight="1" x14ac:dyDescent="0.25">
      <c r="B103" s="36" t="s">
        <v>199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31">
        <f>CHOOSE(MATCH($CT$2,{"Bull","Base","Bear"},0),$DC$13,$DD$13,$DE$13)*CM179</f>
        <v>286.08999999999997</v>
      </c>
      <c r="CN103" s="31">
        <f>CHOOSE(MATCH($CT$2,{"Bull","Base","Bear"},0),$DC$12,$DD$12,$DE$12)*CO179-CL233-CM103</f>
        <v>298.99124999999987</v>
      </c>
      <c r="CO103" s="31">
        <f>CL233+CM103+CN103</f>
        <v>1150.78125</v>
      </c>
      <c r="CP103" s="31"/>
      <c r="CQ103" s="31"/>
      <c r="CR103" s="31"/>
      <c r="CS103" s="31"/>
      <c r="CT103" s="22" t="s">
        <v>200</v>
      </c>
      <c r="CV103" s="6"/>
      <c r="CW103" s="6"/>
      <c r="CX103" s="6"/>
      <c r="CY103" s="6"/>
    </row>
    <row r="104" spans="2:103" ht="15" customHeight="1" x14ac:dyDescent="0.25">
      <c r="B104" s="12"/>
      <c r="CM104" s="6"/>
      <c r="CN104" s="6"/>
      <c r="CO104" s="6"/>
      <c r="CP104" s="6"/>
      <c r="CQ104" s="6"/>
      <c r="CR104" s="6"/>
      <c r="CS104" s="6"/>
      <c r="CT104" s="6"/>
    </row>
    <row r="105" spans="2:103" ht="15" customHeight="1" x14ac:dyDescent="0.25">
      <c r="B105" s="16" t="s">
        <v>201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7" t="s">
        <v>202</v>
      </c>
    </row>
    <row r="106" spans="2:103" ht="15" customHeight="1" x14ac:dyDescent="0.25">
      <c r="B106" s="12" t="s">
        <v>203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31"/>
      <c r="CN106" s="31"/>
      <c r="CO106" s="32">
        <v>0</v>
      </c>
      <c r="CP106" s="31">
        <f>CHOOSE(MATCH($CT$2,{"Bull","Base","Bear"},0),$DC$69,$DD$69,$DE$69)</f>
        <v>750</v>
      </c>
      <c r="CQ106" s="31">
        <f>CHOOSE(MATCH($CT$2,{"Bull","Base","Bear"},0),$DC$70,$DD$70,$DE$70)</f>
        <v>1000</v>
      </c>
      <c r="CR106" s="31">
        <f>CHOOSE(MATCH($CT$2,{"Bull","Base","Bear"},0),$DC$71,$DD$71,$DE$71)</f>
        <v>1000</v>
      </c>
      <c r="CS106" s="31">
        <f>CHOOSE(MATCH($CT$2,{"Bull","Base","Bear"},0),$DC$72,$DD$72,$DE$72)</f>
        <v>1000</v>
      </c>
      <c r="CT106" s="22" t="s">
        <v>204</v>
      </c>
      <c r="CV106" s="6"/>
      <c r="CW106" s="6"/>
      <c r="CX106" s="6"/>
      <c r="CY106" s="6"/>
    </row>
    <row r="107" spans="2:103" ht="15" customHeight="1" x14ac:dyDescent="0.25">
      <c r="B107" s="46" t="s">
        <v>205</v>
      </c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8"/>
      <c r="CN107" s="48"/>
      <c r="CO107" s="48"/>
      <c r="CP107" s="49">
        <v>3</v>
      </c>
      <c r="CQ107" s="49">
        <v>3</v>
      </c>
      <c r="CR107" s="49">
        <v>3</v>
      </c>
      <c r="CS107" s="49">
        <v>3</v>
      </c>
      <c r="CT107" s="22"/>
      <c r="CV107" s="6"/>
      <c r="CW107" s="6"/>
      <c r="CX107" s="6"/>
      <c r="CY107" s="6"/>
    </row>
    <row r="108" spans="2:103" ht="15" customHeight="1" x14ac:dyDescent="0.25">
      <c r="B108" s="12" t="s">
        <v>206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31"/>
      <c r="CN108" s="31"/>
      <c r="CO108" s="32">
        <v>0</v>
      </c>
      <c r="CP108" s="31">
        <f>IFERROR(CP106/CP107,0)</f>
        <v>250</v>
      </c>
      <c r="CQ108" s="31">
        <f>IFERROR(CQ106/CQ107,0)</f>
        <v>333.33333333333331</v>
      </c>
      <c r="CR108" s="31">
        <f>IFERROR(CR106/CR107,0)</f>
        <v>333.33333333333331</v>
      </c>
      <c r="CS108" s="31">
        <f>IFERROR(CS106/CS107,0)</f>
        <v>333.33333333333331</v>
      </c>
      <c r="CT108" s="22"/>
      <c r="CV108" s="6"/>
      <c r="CW108" s="6"/>
      <c r="CX108" s="6"/>
      <c r="CY108" s="6"/>
    </row>
    <row r="109" spans="2:103" ht="15" customHeight="1" x14ac:dyDescent="0.25">
      <c r="B109" s="46" t="s">
        <v>207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27"/>
      <c r="CN109" s="27"/>
      <c r="CO109" s="27"/>
      <c r="CP109" s="45">
        <v>0.06</v>
      </c>
      <c r="CQ109" s="45">
        <v>0.06</v>
      </c>
      <c r="CR109" s="45">
        <v>0.06</v>
      </c>
      <c r="CS109" s="45">
        <v>0.06</v>
      </c>
      <c r="CT109" s="22"/>
      <c r="CV109" s="6"/>
      <c r="CW109" s="6"/>
      <c r="CX109" s="6"/>
      <c r="CY109" s="6"/>
    </row>
    <row r="110" spans="2:103" ht="15" customHeight="1" x14ac:dyDescent="0.25">
      <c r="B110" s="12" t="s">
        <v>208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31"/>
      <c r="CN110" s="31"/>
      <c r="CO110" s="32">
        <v>0</v>
      </c>
      <c r="CP110" s="31">
        <f>CO110*(1+CP109)+CP108</f>
        <v>250</v>
      </c>
      <c r="CQ110" s="31">
        <f>CP110*(1+CQ109)+CQ108</f>
        <v>598.33333333333326</v>
      </c>
      <c r="CR110" s="31">
        <f>CQ110*(1+CR109)+CR108</f>
        <v>967.56666666666661</v>
      </c>
      <c r="CS110" s="31">
        <f>CR110*(1+CS109)+CS108</f>
        <v>1358.954</v>
      </c>
      <c r="CT110" s="22"/>
      <c r="CV110" s="6"/>
      <c r="CW110" s="6"/>
      <c r="CX110" s="6"/>
      <c r="CY110" s="6"/>
    </row>
    <row r="111" spans="2:103" ht="15" customHeight="1" x14ac:dyDescent="0.25">
      <c r="B111" s="18" t="s">
        <v>209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21"/>
      <c r="CN111" s="21"/>
      <c r="CO111" s="50">
        <v>0</v>
      </c>
      <c r="CP111" s="21">
        <f>CO110*(1+CP109)+0.5*CP108</f>
        <v>125</v>
      </c>
      <c r="CQ111" s="21">
        <f>CP110*(1+CQ109)+0.5*CQ108</f>
        <v>431.66666666666663</v>
      </c>
      <c r="CR111" s="21">
        <f>CQ110*(1+CR109)+0.5*CR108</f>
        <v>800.89999999999986</v>
      </c>
      <c r="CS111" s="21">
        <f>CR110*(1+CS109)+0.5*CS108</f>
        <v>1192.2873333333334</v>
      </c>
      <c r="CT111" s="22" t="s">
        <v>210</v>
      </c>
      <c r="CV111" s="6"/>
      <c r="CW111" s="6"/>
      <c r="CX111" s="6"/>
      <c r="CY111" s="6"/>
    </row>
    <row r="112" spans="2:103" ht="15" customHeight="1" x14ac:dyDescent="0.25">
      <c r="B112" s="46" t="s">
        <v>211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27"/>
      <c r="CN112" s="27"/>
      <c r="CO112" s="27"/>
      <c r="CP112" s="45">
        <v>0.2</v>
      </c>
      <c r="CQ112" s="45">
        <v>0.2</v>
      </c>
      <c r="CR112" s="45">
        <v>0.2</v>
      </c>
      <c r="CS112" s="45">
        <v>0.2</v>
      </c>
      <c r="CT112" s="22"/>
      <c r="CV112" s="6"/>
      <c r="CW112" s="6"/>
      <c r="CX112" s="6"/>
      <c r="CY112" s="6"/>
    </row>
    <row r="113" spans="2:103" ht="15" customHeight="1" x14ac:dyDescent="0.25">
      <c r="B113" s="12" t="s">
        <v>212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31"/>
      <c r="CN113" s="31"/>
      <c r="CO113" s="32">
        <v>0</v>
      </c>
      <c r="CP113" s="31">
        <f>CP111*CP112</f>
        <v>25</v>
      </c>
      <c r="CQ113" s="31">
        <f>CQ111*CQ112</f>
        <v>86.333333333333329</v>
      </c>
      <c r="CR113" s="31">
        <f>CR111*CR112</f>
        <v>160.17999999999998</v>
      </c>
      <c r="CS113" s="31">
        <f>CS111*CS112</f>
        <v>238.4574666666667</v>
      </c>
      <c r="CT113" s="22"/>
      <c r="CV113" s="6"/>
      <c r="CW113" s="6"/>
      <c r="CX113" s="6"/>
      <c r="CY113" s="6"/>
    </row>
    <row r="114" spans="2:103" ht="15" customHeight="1" x14ac:dyDescent="0.25">
      <c r="B114" s="46" t="s">
        <v>213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27"/>
      <c r="CN114" s="27"/>
      <c r="CO114" s="27"/>
      <c r="CP114" s="45">
        <v>0.35</v>
      </c>
      <c r="CQ114" s="45">
        <v>0.35</v>
      </c>
      <c r="CR114" s="45">
        <v>0.35</v>
      </c>
      <c r="CS114" s="45">
        <v>0.35</v>
      </c>
      <c r="CT114" s="22"/>
      <c r="CV114" s="6"/>
      <c r="CW114" s="6"/>
      <c r="CX114" s="6"/>
      <c r="CY114" s="6"/>
    </row>
    <row r="115" spans="2:103" ht="15" customHeight="1" x14ac:dyDescent="0.25">
      <c r="B115" s="46" t="s">
        <v>214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2"/>
      <c r="CN115" s="52"/>
      <c r="CO115" s="52"/>
      <c r="CP115" s="53">
        <v>12</v>
      </c>
      <c r="CQ115" s="53">
        <v>12</v>
      </c>
      <c r="CR115" s="53">
        <v>12</v>
      </c>
      <c r="CS115" s="53">
        <v>12</v>
      </c>
      <c r="CT115" s="22"/>
      <c r="CV115" s="6"/>
      <c r="CW115" s="6"/>
      <c r="CX115" s="6"/>
      <c r="CY115" s="6"/>
    </row>
    <row r="116" spans="2:103" ht="15" customHeight="1" x14ac:dyDescent="0.25">
      <c r="B116" s="12" t="s">
        <v>215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31"/>
      <c r="CN116" s="31"/>
      <c r="CO116" s="32">
        <v>0</v>
      </c>
      <c r="CP116" s="31">
        <f>CO116+CP106*CP114</f>
        <v>262.5</v>
      </c>
      <c r="CQ116" s="31">
        <f>CP116+CQ106*CQ114</f>
        <v>612.5</v>
      </c>
      <c r="CR116" s="31">
        <f>CQ116+CR106*CR114</f>
        <v>962.5</v>
      </c>
      <c r="CS116" s="31">
        <f>CR116+CS106*CS114</f>
        <v>1312.5</v>
      </c>
      <c r="CT116" s="22"/>
      <c r="CV116" s="6"/>
      <c r="CW116" s="6"/>
      <c r="CX116" s="6"/>
      <c r="CY116" s="6"/>
    </row>
    <row r="117" spans="2:103" ht="15" customHeight="1" x14ac:dyDescent="0.25">
      <c r="B117" s="12" t="s">
        <v>216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31"/>
      <c r="CN117" s="31"/>
      <c r="CO117" s="32">
        <v>0</v>
      </c>
      <c r="CP117" s="31">
        <f>(CO116+0.5*CP106*CP114)/CP115</f>
        <v>10.9375</v>
      </c>
      <c r="CQ117" s="31">
        <f>(CP116+0.5*CQ106*CQ114)/CQ115</f>
        <v>36.458333333333336</v>
      </c>
      <c r="CR117" s="31">
        <f>(CQ116+0.5*CR106*CR114)/CR115</f>
        <v>65.625</v>
      </c>
      <c r="CS117" s="31">
        <f>(CR116+0.5*CS106*CS114)/CS115</f>
        <v>94.791666666666671</v>
      </c>
      <c r="CT117" s="22"/>
      <c r="CV117" s="6"/>
      <c r="CW117" s="6"/>
      <c r="CX117" s="6"/>
      <c r="CY117" s="6"/>
    </row>
    <row r="118" spans="2:103" ht="15" customHeight="1" x14ac:dyDescent="0.25">
      <c r="B118" s="12" t="s">
        <v>217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31"/>
      <c r="CN118" s="31"/>
      <c r="CO118" s="32">
        <v>0</v>
      </c>
      <c r="CP118" s="31">
        <f>CP113-CP117</f>
        <v>14.0625</v>
      </c>
      <c r="CQ118" s="31">
        <f>CQ113-CQ117</f>
        <v>49.874999999999993</v>
      </c>
      <c r="CR118" s="31">
        <f>CR113-CR117</f>
        <v>94.554999999999978</v>
      </c>
      <c r="CS118" s="31">
        <f>CS113-CS117</f>
        <v>143.66580000000005</v>
      </c>
      <c r="CT118" s="22"/>
      <c r="CV118" s="6"/>
      <c r="CW118" s="6"/>
      <c r="CX118" s="6"/>
      <c r="CY118" s="6"/>
    </row>
    <row r="119" spans="2:103" ht="15" customHeight="1" x14ac:dyDescent="0.25">
      <c r="B119" s="12" t="s">
        <v>218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31"/>
      <c r="CN119" s="31"/>
      <c r="CO119" s="32">
        <v>0</v>
      </c>
      <c r="CP119" s="31">
        <f>0.5*CP108+0.5*CO108</f>
        <v>125</v>
      </c>
      <c r="CQ119" s="31">
        <f>0.5*CQ108+0.5*CP108</f>
        <v>291.66666666666663</v>
      </c>
      <c r="CR119" s="31">
        <f>0.5*CR108+0.5*CQ108</f>
        <v>333.33333333333331</v>
      </c>
      <c r="CS119" s="31">
        <f>0.5*CS108+0.5*CR108</f>
        <v>333.33333333333331</v>
      </c>
      <c r="CT119" s="22"/>
      <c r="CV119" s="6"/>
      <c r="CW119" s="6"/>
      <c r="CX119" s="6"/>
      <c r="CY119" s="6"/>
    </row>
    <row r="120" spans="2:103" ht="15" customHeight="1" x14ac:dyDescent="0.25">
      <c r="B120" s="12"/>
      <c r="CM120" s="6"/>
      <c r="CN120" s="6"/>
      <c r="CO120" s="6"/>
      <c r="CP120" s="6"/>
      <c r="CQ120" s="6"/>
      <c r="CR120" s="6"/>
      <c r="CS120" s="6"/>
      <c r="CT120" s="6"/>
    </row>
    <row r="121" spans="2:103" ht="15" customHeight="1" x14ac:dyDescent="0.25">
      <c r="B121" s="16" t="s">
        <v>219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7" t="s">
        <v>220</v>
      </c>
    </row>
    <row r="122" spans="2:103" ht="15" customHeight="1" x14ac:dyDescent="0.25">
      <c r="B122" s="33" t="s">
        <v>221</v>
      </c>
      <c r="C122" s="34" t="str">
        <f t="shared" ref="C122:AH122" si="106">IF(ISNUMBER(C11),N(C11)+N(C28)+N(C48)+N(C67),"")</f>
        <v/>
      </c>
      <c r="D122" s="34" t="str">
        <f t="shared" si="106"/>
        <v/>
      </c>
      <c r="E122" s="34">
        <f t="shared" si="106"/>
        <v>1722</v>
      </c>
      <c r="F122" s="34">
        <f t="shared" si="106"/>
        <v>1652.1000000000001</v>
      </c>
      <c r="G122" s="34">
        <f t="shared" si="106"/>
        <v>1644.2</v>
      </c>
      <c r="H122" s="34">
        <f t="shared" si="106"/>
        <v>1941.9</v>
      </c>
      <c r="I122" s="34">
        <f t="shared" si="106"/>
        <v>2127.2999999999997</v>
      </c>
      <c r="J122" s="19">
        <f t="shared" si="106"/>
        <v>569.40000000000009</v>
      </c>
      <c r="K122" s="19">
        <f t="shared" si="106"/>
        <v>601</v>
      </c>
      <c r="L122" s="19">
        <f t="shared" si="106"/>
        <v>1170.3999999999999</v>
      </c>
      <c r="M122" s="19">
        <f t="shared" si="106"/>
        <v>571.6</v>
      </c>
      <c r="N122" s="19">
        <f t="shared" si="106"/>
        <v>596.6</v>
      </c>
      <c r="O122" s="34">
        <f t="shared" si="106"/>
        <v>2338.6</v>
      </c>
      <c r="P122" s="19">
        <f t="shared" si="106"/>
        <v>573.49999999999989</v>
      </c>
      <c r="Q122" s="19">
        <f t="shared" si="106"/>
        <v>597.1</v>
      </c>
      <c r="R122" s="19">
        <f t="shared" si="106"/>
        <v>1170.5999999999999</v>
      </c>
      <c r="S122" s="19">
        <f t="shared" si="106"/>
        <v>601.09999999999991</v>
      </c>
      <c r="T122" s="19">
        <f t="shared" si="106"/>
        <v>622.30000000000007</v>
      </c>
      <c r="U122" s="34">
        <f t="shared" si="106"/>
        <v>2394</v>
      </c>
      <c r="V122" s="19">
        <f t="shared" si="106"/>
        <v>565</v>
      </c>
      <c r="W122" s="19">
        <f t="shared" si="106"/>
        <v>577.70000000000005</v>
      </c>
      <c r="X122" s="19">
        <f t="shared" si="106"/>
        <v>1142.7</v>
      </c>
      <c r="Y122" s="19">
        <f t="shared" si="106"/>
        <v>555.4</v>
      </c>
      <c r="Z122" s="19">
        <f t="shared" si="106"/>
        <v>600</v>
      </c>
      <c r="AA122" s="34">
        <f t="shared" si="106"/>
        <v>2298.1</v>
      </c>
      <c r="AB122" s="19">
        <f t="shared" si="106"/>
        <v>530.5</v>
      </c>
      <c r="AC122" s="19">
        <f t="shared" si="106"/>
        <v>539.70000000000005</v>
      </c>
      <c r="AD122" s="19">
        <f t="shared" si="106"/>
        <v>1070.1999999999998</v>
      </c>
      <c r="AE122" s="19">
        <f t="shared" si="106"/>
        <v>526.79999999999995</v>
      </c>
      <c r="AF122" s="19">
        <f t="shared" si="106"/>
        <v>552.9</v>
      </c>
      <c r="AG122" s="34">
        <f t="shared" si="106"/>
        <v>2149.9</v>
      </c>
      <c r="AH122" s="19">
        <f t="shared" si="106"/>
        <v>566.1</v>
      </c>
      <c r="AI122" s="19">
        <f t="shared" ref="AI122:BN122" si="107">IF(ISNUMBER(AI11),N(AI11)+N(AI28)+N(AI48)+N(AI67),"")</f>
        <v>671.1</v>
      </c>
      <c r="AJ122" s="19">
        <f t="shared" si="107"/>
        <v>1237.1999999999998</v>
      </c>
      <c r="AK122" s="19">
        <f t="shared" si="107"/>
        <v>662.2</v>
      </c>
      <c r="AL122" s="19">
        <f t="shared" si="107"/>
        <v>704.4</v>
      </c>
      <c r="AM122" s="34">
        <f t="shared" si="107"/>
        <v>2603.8000000000002</v>
      </c>
      <c r="AN122" s="19">
        <f t="shared" si="107"/>
        <v>695.6</v>
      </c>
      <c r="AO122" s="19">
        <f t="shared" si="107"/>
        <v>732.5</v>
      </c>
      <c r="AP122" s="19">
        <f t="shared" si="107"/>
        <v>1428.1000000000001</v>
      </c>
      <c r="AQ122" s="19">
        <f t="shared" si="107"/>
        <v>725.30000000000007</v>
      </c>
      <c r="AR122" s="19">
        <f t="shared" si="107"/>
        <v>748.40000000000009</v>
      </c>
      <c r="AS122" s="34">
        <f t="shared" si="107"/>
        <v>2901.7999999999997</v>
      </c>
      <c r="AT122" s="19">
        <f t="shared" si="107"/>
        <v>745.2</v>
      </c>
      <c r="AU122" s="19">
        <f t="shared" si="107"/>
        <v>782</v>
      </c>
      <c r="AV122" s="19">
        <f t="shared" si="107"/>
        <v>1527.2</v>
      </c>
      <c r="AW122" s="19">
        <f t="shared" si="107"/>
        <v>802.2</v>
      </c>
      <c r="AX122" s="19">
        <f t="shared" si="107"/>
        <v>834.2</v>
      </c>
      <c r="AY122" s="34">
        <f t="shared" si="107"/>
        <v>3163.6</v>
      </c>
      <c r="AZ122" s="19">
        <f t="shared" si="107"/>
        <v>784.59999999999991</v>
      </c>
      <c r="BA122" s="19">
        <f t="shared" si="107"/>
        <v>743.30000000000007</v>
      </c>
      <c r="BB122" s="19">
        <f t="shared" si="107"/>
        <v>1527.9</v>
      </c>
      <c r="BC122" s="19">
        <f t="shared" si="107"/>
        <v>749</v>
      </c>
      <c r="BD122" s="19">
        <f t="shared" si="107"/>
        <v>809.3</v>
      </c>
      <c r="BE122" s="34">
        <f t="shared" si="107"/>
        <v>3086.2000000000003</v>
      </c>
      <c r="BF122" s="19">
        <f t="shared" si="107"/>
        <v>805.7</v>
      </c>
      <c r="BG122" s="19">
        <f t="shared" si="107"/>
        <v>1121</v>
      </c>
      <c r="BH122" s="19">
        <f t="shared" si="107"/>
        <v>1926.7</v>
      </c>
      <c r="BI122" s="19">
        <f t="shared" si="107"/>
        <v>1311.9</v>
      </c>
      <c r="BJ122" s="19">
        <f t="shared" si="107"/>
        <v>1375.7</v>
      </c>
      <c r="BK122" s="34">
        <f t="shared" si="107"/>
        <v>4614.3</v>
      </c>
      <c r="BL122" s="19">
        <f t="shared" si="107"/>
        <v>1321.0000000000002</v>
      </c>
      <c r="BM122" s="19">
        <f t="shared" si="107"/>
        <v>1355.8</v>
      </c>
      <c r="BN122" s="19">
        <f t="shared" si="107"/>
        <v>2676.7999999999997</v>
      </c>
      <c r="BO122" s="19">
        <f t="shared" ref="BO122:CL122" si="108">IF(ISNUMBER(BO11),N(BO11)+N(BO28)+N(BO48)+N(BO67),"")</f>
        <v>1363.6</v>
      </c>
      <c r="BP122" s="19">
        <f t="shared" si="108"/>
        <v>1418.2000000000003</v>
      </c>
      <c r="BQ122" s="34">
        <f t="shared" si="108"/>
        <v>5458.5999999999995</v>
      </c>
      <c r="BR122" s="19">
        <f t="shared" si="108"/>
        <v>1383.3</v>
      </c>
      <c r="BS122" s="19">
        <f t="shared" si="108"/>
        <v>1424.6999999999998</v>
      </c>
      <c r="BT122" s="19">
        <f t="shared" si="108"/>
        <v>2807.9999999999995</v>
      </c>
      <c r="BU122" s="19">
        <f t="shared" si="108"/>
        <v>1402.5</v>
      </c>
      <c r="BV122" s="19">
        <f t="shared" si="108"/>
        <v>1425</v>
      </c>
      <c r="BW122" s="34">
        <f t="shared" si="108"/>
        <v>5635.5</v>
      </c>
      <c r="BX122" s="19">
        <f t="shared" si="108"/>
        <v>1350.1</v>
      </c>
      <c r="BY122" s="19">
        <f t="shared" si="108"/>
        <v>1374.1000000000001</v>
      </c>
      <c r="BZ122" s="19">
        <f t="shared" si="108"/>
        <v>2724.2</v>
      </c>
      <c r="CA122" s="19">
        <f t="shared" si="108"/>
        <v>1443.5</v>
      </c>
      <c r="CB122" s="19">
        <f t="shared" si="108"/>
        <v>1502.3</v>
      </c>
      <c r="CC122" s="34">
        <f t="shared" si="108"/>
        <v>5670</v>
      </c>
      <c r="CD122" s="19">
        <f t="shared" si="108"/>
        <v>1449.8999999999999</v>
      </c>
      <c r="CE122" s="19">
        <f t="shared" si="108"/>
        <v>1513.6999999999998</v>
      </c>
      <c r="CF122" s="19">
        <f t="shared" si="108"/>
        <v>2963.6000000000004</v>
      </c>
      <c r="CG122" s="19">
        <f t="shared" si="108"/>
        <v>1539.5</v>
      </c>
      <c r="CH122" s="19">
        <f t="shared" si="108"/>
        <v>1612.3</v>
      </c>
      <c r="CI122" s="34">
        <f t="shared" si="108"/>
        <v>6115.4</v>
      </c>
      <c r="CJ122" s="19">
        <f t="shared" si="108"/>
        <v>1560.1</v>
      </c>
      <c r="CK122" s="19">
        <f t="shared" si="108"/>
        <v>1662.5</v>
      </c>
      <c r="CL122" s="19">
        <f t="shared" si="108"/>
        <v>3222.6000000000004</v>
      </c>
      <c r="CM122" s="34">
        <f>N(CM11)+N(CM28)+N(CM48)+N(CM67)+N(CM111)</f>
        <v>1691.1740354793701</v>
      </c>
      <c r="CN122" s="34">
        <f>N(CN11)+N(CN28)+N(CN48)+N(CN67)+N(CN111)</f>
        <v>1772.3136195638565</v>
      </c>
      <c r="CO122" s="34">
        <f>SUM(CJ122,CK122,CM122,CN122)</f>
        <v>6686.0876550432258</v>
      </c>
      <c r="CP122" s="34">
        <f>N(CP11)+N(CP28)+N(CP48)+N(CP67)+N(CP111)</f>
        <v>7179.9947259384016</v>
      </c>
      <c r="CQ122" s="34">
        <f>N(CQ11)+N(CQ28)+N(CQ48)+N(CQ67)+N(CQ111)</f>
        <v>7851.445221150605</v>
      </c>
      <c r="CR122" s="34">
        <f>N(CR11)+N(CR28)+N(CR48)+N(CR67)+N(CR111)</f>
        <v>8578.2966064984012</v>
      </c>
      <c r="CS122" s="34">
        <f>N(CS11)+N(CS28)+N(CS48)+N(CS67)+N(CS111)</f>
        <v>9344.606114616483</v>
      </c>
      <c r="CT122" s="22" t="s">
        <v>222</v>
      </c>
      <c r="CV122" s="23">
        <f>IFERROR((CS122/CI122)^(1/5)-1,"n/m")</f>
        <v>8.8496974479118418E-2</v>
      </c>
      <c r="CW122" s="23">
        <f>IFERROR((CI122/BE122)^(1/5)-1,"n/m")</f>
        <v>0.14656890733628281</v>
      </c>
      <c r="CX122" s="23">
        <f>IFERROR((CI122/AA122)^(1/10)-1,"n/m")</f>
        <v>0.1028224404066771</v>
      </c>
      <c r="CY122" s="23" t="str">
        <f>IFERROR((CI122/C122)^(1/19)-1,"n/m")</f>
        <v>n/m</v>
      </c>
    </row>
    <row r="123" spans="2:103" ht="15" customHeight="1" x14ac:dyDescent="0.25">
      <c r="B123" s="33" t="s">
        <v>223</v>
      </c>
      <c r="C123" s="34" t="str">
        <f t="shared" ref="C123:AH123" si="109">IF(ISNUMBER(C16),N(C16)+N(C33)+N(C53)+N(C72)-C99+N(C101),"")</f>
        <v/>
      </c>
      <c r="D123" s="34" t="str">
        <f t="shared" si="109"/>
        <v/>
      </c>
      <c r="E123" s="34" t="str">
        <f t="shared" si="109"/>
        <v/>
      </c>
      <c r="F123" s="34" t="str">
        <f t="shared" si="109"/>
        <v/>
      </c>
      <c r="G123" s="34" t="str">
        <f t="shared" si="109"/>
        <v/>
      </c>
      <c r="H123" s="34" t="str">
        <f t="shared" si="109"/>
        <v/>
      </c>
      <c r="I123" s="34" t="str">
        <f t="shared" si="109"/>
        <v/>
      </c>
      <c r="J123" s="19" t="str">
        <f t="shared" si="109"/>
        <v/>
      </c>
      <c r="K123" s="19" t="str">
        <f t="shared" si="109"/>
        <v/>
      </c>
      <c r="L123" s="19" t="str">
        <f t="shared" si="109"/>
        <v/>
      </c>
      <c r="M123" s="19" t="str">
        <f t="shared" si="109"/>
        <v/>
      </c>
      <c r="N123" s="19" t="str">
        <f t="shared" si="109"/>
        <v/>
      </c>
      <c r="O123" s="34" t="str">
        <f t="shared" si="109"/>
        <v/>
      </c>
      <c r="P123" s="19" t="str">
        <f t="shared" si="109"/>
        <v/>
      </c>
      <c r="Q123" s="19" t="str">
        <f t="shared" si="109"/>
        <v/>
      </c>
      <c r="R123" s="19" t="str">
        <f t="shared" si="109"/>
        <v/>
      </c>
      <c r="S123" s="19" t="str">
        <f t="shared" si="109"/>
        <v/>
      </c>
      <c r="T123" s="19" t="str">
        <f t="shared" si="109"/>
        <v/>
      </c>
      <c r="U123" s="34" t="str">
        <f t="shared" si="109"/>
        <v/>
      </c>
      <c r="V123" s="19" t="str">
        <f t="shared" si="109"/>
        <v/>
      </c>
      <c r="W123" s="19" t="str">
        <f t="shared" si="109"/>
        <v/>
      </c>
      <c r="X123" s="19" t="str">
        <f t="shared" si="109"/>
        <v/>
      </c>
      <c r="Y123" s="19" t="str">
        <f t="shared" si="109"/>
        <v/>
      </c>
      <c r="Z123" s="19" t="str">
        <f t="shared" si="109"/>
        <v/>
      </c>
      <c r="AA123" s="34" t="str">
        <f t="shared" si="109"/>
        <v/>
      </c>
      <c r="AB123" s="19" t="str">
        <f t="shared" si="109"/>
        <v/>
      </c>
      <c r="AC123" s="19" t="str">
        <f t="shared" si="109"/>
        <v/>
      </c>
      <c r="AD123" s="19" t="str">
        <f t="shared" si="109"/>
        <v/>
      </c>
      <c r="AE123" s="19" t="str">
        <f t="shared" si="109"/>
        <v/>
      </c>
      <c r="AF123" s="19" t="str">
        <f t="shared" si="109"/>
        <v/>
      </c>
      <c r="AG123" s="34" t="str">
        <f t="shared" si="109"/>
        <v/>
      </c>
      <c r="AH123" s="19" t="str">
        <f t="shared" si="109"/>
        <v/>
      </c>
      <c r="AI123" s="19" t="str">
        <f t="shared" ref="AI123:BN123" si="110">IF(ISNUMBER(AI16),N(AI16)+N(AI33)+N(AI53)+N(AI72)-AI99+N(AI101),"")</f>
        <v/>
      </c>
      <c r="AJ123" s="19" t="str">
        <f t="shared" si="110"/>
        <v/>
      </c>
      <c r="AK123" s="19" t="str">
        <f t="shared" si="110"/>
        <v/>
      </c>
      <c r="AL123" s="19" t="str">
        <f t="shared" si="110"/>
        <v/>
      </c>
      <c r="AM123" s="34" t="str">
        <f t="shared" si="110"/>
        <v/>
      </c>
      <c r="AN123" s="19" t="str">
        <f t="shared" si="110"/>
        <v/>
      </c>
      <c r="AO123" s="19" t="str">
        <f t="shared" si="110"/>
        <v/>
      </c>
      <c r="AP123" s="19" t="str">
        <f t="shared" si="110"/>
        <v/>
      </c>
      <c r="AQ123" s="19" t="str">
        <f t="shared" si="110"/>
        <v/>
      </c>
      <c r="AR123" s="19" t="str">
        <f t="shared" si="110"/>
        <v/>
      </c>
      <c r="AS123" s="34" t="str">
        <f t="shared" si="110"/>
        <v/>
      </c>
      <c r="AT123" s="19" t="str">
        <f t="shared" si="110"/>
        <v/>
      </c>
      <c r="AU123" s="19" t="str">
        <f t="shared" si="110"/>
        <v/>
      </c>
      <c r="AV123" s="19" t="str">
        <f t="shared" si="110"/>
        <v/>
      </c>
      <c r="AW123" s="19" t="str">
        <f t="shared" si="110"/>
        <v/>
      </c>
      <c r="AX123" s="19" t="str">
        <f t="shared" si="110"/>
        <v/>
      </c>
      <c r="AY123" s="34" t="str">
        <f t="shared" si="110"/>
        <v/>
      </c>
      <c r="AZ123" s="19">
        <f t="shared" si="110"/>
        <v>113.6</v>
      </c>
      <c r="BA123" s="19">
        <f t="shared" si="110"/>
        <v>119.50000000000001</v>
      </c>
      <c r="BB123" s="19">
        <f t="shared" si="110"/>
        <v>233.09999999999997</v>
      </c>
      <c r="BC123" s="19">
        <f t="shared" si="110"/>
        <v>132.4</v>
      </c>
      <c r="BD123" s="19">
        <f t="shared" si="110"/>
        <v>153.40000000000003</v>
      </c>
      <c r="BE123" s="34">
        <f t="shared" si="110"/>
        <v>518.90000000000009</v>
      </c>
      <c r="BF123" s="19">
        <f t="shared" si="110"/>
        <v>150.9</v>
      </c>
      <c r="BG123" s="19">
        <f t="shared" si="110"/>
        <v>255.10000000000002</v>
      </c>
      <c r="BH123" s="19">
        <f t="shared" si="110"/>
        <v>406</v>
      </c>
      <c r="BI123" s="19">
        <f t="shared" si="110"/>
        <v>281.90000000000003</v>
      </c>
      <c r="BJ123" s="19">
        <f t="shared" si="110"/>
        <v>295.09999999999997</v>
      </c>
      <c r="BK123" s="34">
        <f t="shared" si="110"/>
        <v>982.99999999999977</v>
      </c>
      <c r="BL123" s="19">
        <f t="shared" si="110"/>
        <v>277.09999999999997</v>
      </c>
      <c r="BM123" s="19">
        <f t="shared" si="110"/>
        <v>280.80000000000007</v>
      </c>
      <c r="BN123" s="19">
        <f t="shared" si="110"/>
        <v>557.9</v>
      </c>
      <c r="BO123" s="19">
        <f t="shared" ref="BO123:CL123" si="111">IF(ISNUMBER(BO16),N(BO16)+N(BO33)+N(BO53)+N(BO72)-BO99+N(BO101),"")</f>
        <v>294.09999999999997</v>
      </c>
      <c r="BP123" s="19">
        <f t="shared" si="111"/>
        <v>317.7</v>
      </c>
      <c r="BQ123" s="34">
        <f t="shared" si="111"/>
        <v>1169.7</v>
      </c>
      <c r="BR123" s="19">
        <f t="shared" si="111"/>
        <v>292.20000000000005</v>
      </c>
      <c r="BS123" s="19">
        <f t="shared" si="111"/>
        <v>305.39999999999998</v>
      </c>
      <c r="BT123" s="19">
        <f t="shared" si="111"/>
        <v>597.6</v>
      </c>
      <c r="BU123" s="19">
        <f t="shared" si="111"/>
        <v>319.2</v>
      </c>
      <c r="BV123" s="19">
        <f t="shared" si="111"/>
        <v>323.10000000000002</v>
      </c>
      <c r="BW123" s="34">
        <f t="shared" si="111"/>
        <v>1239.9000000000001</v>
      </c>
      <c r="BX123" s="19">
        <f t="shared" si="111"/>
        <v>285.89999999999998</v>
      </c>
      <c r="BY123" s="19">
        <f t="shared" si="111"/>
        <v>297.10000000000002</v>
      </c>
      <c r="BZ123" s="19">
        <f t="shared" si="111"/>
        <v>583</v>
      </c>
      <c r="CA123" s="19">
        <f t="shared" si="111"/>
        <v>324.2</v>
      </c>
      <c r="CB123" s="19">
        <f t="shared" si="111"/>
        <v>340.80000000000007</v>
      </c>
      <c r="CC123" s="34">
        <f t="shared" si="111"/>
        <v>1248</v>
      </c>
      <c r="CD123" s="19">
        <f t="shared" si="111"/>
        <v>318.7</v>
      </c>
      <c r="CE123" s="19">
        <f t="shared" si="111"/>
        <v>335.9</v>
      </c>
      <c r="CF123" s="19">
        <f t="shared" si="111"/>
        <v>654.59999999999991</v>
      </c>
      <c r="CG123" s="19">
        <f t="shared" si="111"/>
        <v>339.99999999999994</v>
      </c>
      <c r="CH123" s="19">
        <f t="shared" si="111"/>
        <v>385.4</v>
      </c>
      <c r="CI123" s="34">
        <f t="shared" si="111"/>
        <v>1380</v>
      </c>
      <c r="CJ123" s="19">
        <f t="shared" si="111"/>
        <v>352</v>
      </c>
      <c r="CK123" s="19">
        <f t="shared" si="111"/>
        <v>389.4</v>
      </c>
      <c r="CL123" s="19">
        <f t="shared" si="111"/>
        <v>741.4</v>
      </c>
      <c r="CM123" s="34">
        <f>N(CM16)+N(CM33)+N(CM53)+N(CM72)+N(CM113)-CM99+CM101</f>
        <v>375.44585987261144</v>
      </c>
      <c r="CN123" s="34">
        <f>N(CN16)+N(CN33)+N(CN53)+N(CN72)+N(CN113)-CN99+CN101</f>
        <v>391.88057324840742</v>
      </c>
      <c r="CO123" s="34">
        <f>SUM(CJ123,CK123,CM123,CN123)</f>
        <v>1508.726433121019</v>
      </c>
      <c r="CP123" s="34">
        <f>N(CP16)+N(CP33)+N(CP53)+N(CP72)+N(CP113)-CP99+CP101</f>
        <v>1677.4547273478618</v>
      </c>
      <c r="CQ123" s="34">
        <f>N(CQ16)+N(CQ33)+N(CQ53)+N(CQ72)+N(CQ113)-CQ99+CQ101</f>
        <v>1856.8524460866104</v>
      </c>
      <c r="CR123" s="34">
        <f>N(CR16)+N(CR33)+N(CR53)+N(CR72)+N(CR113)-CR99+CR101</f>
        <v>2047.1615762416357</v>
      </c>
      <c r="CS123" s="34">
        <f>N(CS16)+N(CS33)+N(CS53)+N(CS72)+N(CS113)-CS99+CS101</f>
        <v>2252.5574161850618</v>
      </c>
      <c r="CT123" s="22"/>
      <c r="CV123" s="23">
        <f>IFERROR((CS123/CI123)^(1/5)-1,"n/m")</f>
        <v>0.102958969081961</v>
      </c>
      <c r="CW123" s="23">
        <f>IFERROR((CI123/BE123)^(1/5)-1,"n/m")</f>
        <v>0.21607142362833387</v>
      </c>
      <c r="CX123" s="23" t="str">
        <f>IFERROR((CI123/AA123)^(1/10)-1,"n/m")</f>
        <v>n/m</v>
      </c>
      <c r="CY123" s="23" t="str">
        <f>IFERROR((CI123/C123)^(1/19)-1,"n/m")</f>
        <v>n/m</v>
      </c>
    </row>
    <row r="124" spans="2:103" ht="15" customHeight="1" x14ac:dyDescent="0.25">
      <c r="B124" s="25" t="s">
        <v>224</v>
      </c>
      <c r="C124" s="39" t="str">
        <f t="shared" ref="C124:AH124" si="112">IFERROR(C123/C122,"")</f>
        <v/>
      </c>
      <c r="D124" s="39" t="str">
        <f t="shared" si="112"/>
        <v/>
      </c>
      <c r="E124" s="39" t="str">
        <f t="shared" si="112"/>
        <v/>
      </c>
      <c r="F124" s="39" t="str">
        <f t="shared" si="112"/>
        <v/>
      </c>
      <c r="G124" s="39" t="str">
        <f t="shared" si="112"/>
        <v/>
      </c>
      <c r="H124" s="39" t="str">
        <f t="shared" si="112"/>
        <v/>
      </c>
      <c r="I124" s="39" t="str">
        <f t="shared" si="112"/>
        <v/>
      </c>
      <c r="J124" s="39" t="str">
        <f t="shared" si="112"/>
        <v/>
      </c>
      <c r="K124" s="39" t="str">
        <f t="shared" si="112"/>
        <v/>
      </c>
      <c r="L124" s="39" t="str">
        <f t="shared" si="112"/>
        <v/>
      </c>
      <c r="M124" s="39" t="str">
        <f t="shared" si="112"/>
        <v/>
      </c>
      <c r="N124" s="39" t="str">
        <f t="shared" si="112"/>
        <v/>
      </c>
      <c r="O124" s="39" t="str">
        <f t="shared" si="112"/>
        <v/>
      </c>
      <c r="P124" s="39" t="str">
        <f t="shared" si="112"/>
        <v/>
      </c>
      <c r="Q124" s="39" t="str">
        <f t="shared" si="112"/>
        <v/>
      </c>
      <c r="R124" s="39" t="str">
        <f t="shared" si="112"/>
        <v/>
      </c>
      <c r="S124" s="39" t="str">
        <f t="shared" si="112"/>
        <v/>
      </c>
      <c r="T124" s="39" t="str">
        <f t="shared" si="112"/>
        <v/>
      </c>
      <c r="U124" s="39" t="str">
        <f t="shared" si="112"/>
        <v/>
      </c>
      <c r="V124" s="39" t="str">
        <f t="shared" si="112"/>
        <v/>
      </c>
      <c r="W124" s="39" t="str">
        <f t="shared" si="112"/>
        <v/>
      </c>
      <c r="X124" s="39" t="str">
        <f t="shared" si="112"/>
        <v/>
      </c>
      <c r="Y124" s="39" t="str">
        <f t="shared" si="112"/>
        <v/>
      </c>
      <c r="Z124" s="39" t="str">
        <f t="shared" si="112"/>
        <v/>
      </c>
      <c r="AA124" s="39" t="str">
        <f t="shared" si="112"/>
        <v/>
      </c>
      <c r="AB124" s="39" t="str">
        <f t="shared" si="112"/>
        <v/>
      </c>
      <c r="AC124" s="39" t="str">
        <f t="shared" si="112"/>
        <v/>
      </c>
      <c r="AD124" s="39" t="str">
        <f t="shared" si="112"/>
        <v/>
      </c>
      <c r="AE124" s="39" t="str">
        <f t="shared" si="112"/>
        <v/>
      </c>
      <c r="AF124" s="39" t="str">
        <f t="shared" si="112"/>
        <v/>
      </c>
      <c r="AG124" s="39" t="str">
        <f t="shared" si="112"/>
        <v/>
      </c>
      <c r="AH124" s="39" t="str">
        <f t="shared" si="112"/>
        <v/>
      </c>
      <c r="AI124" s="39" t="str">
        <f t="shared" ref="AI124:BN124" si="113">IFERROR(AI123/AI122,"")</f>
        <v/>
      </c>
      <c r="AJ124" s="39" t="str">
        <f t="shared" si="113"/>
        <v/>
      </c>
      <c r="AK124" s="39" t="str">
        <f t="shared" si="113"/>
        <v/>
      </c>
      <c r="AL124" s="39" t="str">
        <f t="shared" si="113"/>
        <v/>
      </c>
      <c r="AM124" s="39" t="str">
        <f t="shared" si="113"/>
        <v/>
      </c>
      <c r="AN124" s="39" t="str">
        <f t="shared" si="113"/>
        <v/>
      </c>
      <c r="AO124" s="39" t="str">
        <f t="shared" si="113"/>
        <v/>
      </c>
      <c r="AP124" s="39" t="str">
        <f t="shared" si="113"/>
        <v/>
      </c>
      <c r="AQ124" s="39" t="str">
        <f t="shared" si="113"/>
        <v/>
      </c>
      <c r="AR124" s="39" t="str">
        <f t="shared" si="113"/>
        <v/>
      </c>
      <c r="AS124" s="39" t="str">
        <f t="shared" si="113"/>
        <v/>
      </c>
      <c r="AT124" s="39" t="str">
        <f t="shared" si="113"/>
        <v/>
      </c>
      <c r="AU124" s="39" t="str">
        <f t="shared" si="113"/>
        <v/>
      </c>
      <c r="AV124" s="39" t="str">
        <f t="shared" si="113"/>
        <v/>
      </c>
      <c r="AW124" s="39" t="str">
        <f t="shared" si="113"/>
        <v/>
      </c>
      <c r="AX124" s="39" t="str">
        <f t="shared" si="113"/>
        <v/>
      </c>
      <c r="AY124" s="39" t="str">
        <f t="shared" si="113"/>
        <v/>
      </c>
      <c r="AZ124" s="39">
        <f t="shared" si="113"/>
        <v>0.14478715268926842</v>
      </c>
      <c r="BA124" s="39">
        <f t="shared" si="113"/>
        <v>0.16076954123503295</v>
      </c>
      <c r="BB124" s="39">
        <f t="shared" si="113"/>
        <v>0.15256234046730804</v>
      </c>
      <c r="BC124" s="39">
        <f t="shared" si="113"/>
        <v>0.17676902536715622</v>
      </c>
      <c r="BD124" s="39">
        <f t="shared" si="113"/>
        <v>0.1895465216854072</v>
      </c>
      <c r="BE124" s="39">
        <f t="shared" si="113"/>
        <v>0.1681355712526732</v>
      </c>
      <c r="BF124" s="39">
        <f t="shared" si="113"/>
        <v>0.18729055479707088</v>
      </c>
      <c r="BG124" s="39">
        <f t="shared" si="113"/>
        <v>0.22756467439785907</v>
      </c>
      <c r="BH124" s="39">
        <f t="shared" si="113"/>
        <v>0.21072299787200913</v>
      </c>
      <c r="BI124" s="39">
        <f t="shared" si="113"/>
        <v>0.2148791828645476</v>
      </c>
      <c r="BJ124" s="39">
        <f t="shared" si="113"/>
        <v>0.21450897724794646</v>
      </c>
      <c r="BK124" s="39">
        <f t="shared" si="113"/>
        <v>0.21303339618143591</v>
      </c>
      <c r="BL124" s="39">
        <f t="shared" si="113"/>
        <v>0.20976532929598782</v>
      </c>
      <c r="BM124" s="39">
        <f t="shared" si="113"/>
        <v>0.20711019324384133</v>
      </c>
      <c r="BN124" s="39">
        <f t="shared" si="113"/>
        <v>0.20842050209205021</v>
      </c>
      <c r="BO124" s="39">
        <f t="shared" ref="BO124:CS124" si="114">IFERROR(BO123/BO122,"")</f>
        <v>0.215679084775594</v>
      </c>
      <c r="BP124" s="39">
        <f t="shared" si="114"/>
        <v>0.22401635876463116</v>
      </c>
      <c r="BQ124" s="39">
        <f t="shared" si="114"/>
        <v>0.21428571428571433</v>
      </c>
      <c r="BR124" s="39">
        <f t="shared" si="114"/>
        <v>0.21123400563869013</v>
      </c>
      <c r="BS124" s="39">
        <f t="shared" si="114"/>
        <v>0.21436091808801855</v>
      </c>
      <c r="BT124" s="39">
        <f t="shared" si="114"/>
        <v>0.21282051282051287</v>
      </c>
      <c r="BU124" s="39">
        <f t="shared" si="114"/>
        <v>0.22759358288770051</v>
      </c>
      <c r="BV124" s="39">
        <f t="shared" si="114"/>
        <v>0.22673684210526318</v>
      </c>
      <c r="BW124" s="39">
        <f t="shared" si="114"/>
        <v>0.22001597018898059</v>
      </c>
      <c r="BX124" s="39">
        <f t="shared" si="114"/>
        <v>0.21176209169691135</v>
      </c>
      <c r="BY124" s="39">
        <f t="shared" si="114"/>
        <v>0.21621424932683211</v>
      </c>
      <c r="BZ124" s="39">
        <f t="shared" si="114"/>
        <v>0.21400778210116733</v>
      </c>
      <c r="CA124" s="39">
        <f t="shared" si="114"/>
        <v>0.22459300311742292</v>
      </c>
      <c r="CB124" s="39">
        <f t="shared" si="114"/>
        <v>0.22685216002130074</v>
      </c>
      <c r="CC124" s="39">
        <f t="shared" si="114"/>
        <v>0.22010582010582011</v>
      </c>
      <c r="CD124" s="39">
        <f t="shared" si="114"/>
        <v>0.21980826263880268</v>
      </c>
      <c r="CE124" s="39">
        <f t="shared" si="114"/>
        <v>0.22190658650987646</v>
      </c>
      <c r="CF124" s="39">
        <f t="shared" si="114"/>
        <v>0.22088001079767844</v>
      </c>
      <c r="CG124" s="39">
        <f t="shared" si="114"/>
        <v>0.22085092562520295</v>
      </c>
      <c r="CH124" s="39">
        <f t="shared" si="114"/>
        <v>0.23903739998759535</v>
      </c>
      <c r="CI124" s="39">
        <f t="shared" si="114"/>
        <v>0.22565980966085622</v>
      </c>
      <c r="CJ124" s="39">
        <f t="shared" si="114"/>
        <v>0.22562656239984619</v>
      </c>
      <c r="CK124" s="39">
        <f t="shared" si="114"/>
        <v>0.23422556390977442</v>
      </c>
      <c r="CL124" s="39">
        <f t="shared" si="114"/>
        <v>0.23006268230621235</v>
      </c>
      <c r="CM124" s="27">
        <f t="shared" si="114"/>
        <v>0.22200308897610871</v>
      </c>
      <c r="CN124" s="27">
        <f t="shared" si="114"/>
        <v>0.22111243118745777</v>
      </c>
      <c r="CO124" s="27">
        <f t="shared" si="114"/>
        <v>0.22565160837863185</v>
      </c>
      <c r="CP124" s="27">
        <f t="shared" si="114"/>
        <v>0.23362896372164452</v>
      </c>
      <c r="CQ124" s="27">
        <f t="shared" si="114"/>
        <v>0.23649817247460772</v>
      </c>
      <c r="CR124" s="27">
        <f t="shared" si="114"/>
        <v>0.23864429853018013</v>
      </c>
      <c r="CS124" s="27">
        <f t="shared" si="114"/>
        <v>0.24105429255725352</v>
      </c>
      <c r="CT124" s="22"/>
      <c r="CV124" s="40">
        <f>IFERROR(AVERAGE(CO124,CP124,CQ124,CR124,CS124),"n/m")</f>
        <v>0.23509546713246357</v>
      </c>
      <c r="CW124" s="40">
        <f>IFERROR(AVERAGE(BK124,BQ124,BW124,CC124,CI124),"n/m")</f>
        <v>0.21862014208456143</v>
      </c>
      <c r="CX124" s="40">
        <f>IFERROR(AVERAGE(AG124,AM124,AS124,AY124,BE124,BK124,BQ124,BW124,CC124,CI124),"n/m")</f>
        <v>0.21020604694591338</v>
      </c>
      <c r="CY124" s="40">
        <f>IFERROR(AVERAGE(C124,D124,E124,F124,G124,H124,I124,O124,U124,AA124,AG124,AM124,AS124,AY124,BE124,BK124,BQ124,BW124,CC124,CI124),"n/m")</f>
        <v>0.21020604694591338</v>
      </c>
    </row>
    <row r="125" spans="2:103" ht="15" customHeight="1" x14ac:dyDescent="0.25">
      <c r="B125" s="12" t="s">
        <v>225</v>
      </c>
      <c r="C125" s="30">
        <v>7.7</v>
      </c>
      <c r="D125" s="30">
        <v>6.4</v>
      </c>
      <c r="E125" s="30">
        <v>15.8</v>
      </c>
      <c r="F125" s="30">
        <v>12.4</v>
      </c>
      <c r="G125" s="30">
        <v>14.1</v>
      </c>
      <c r="H125" s="30">
        <v>24.6</v>
      </c>
      <c r="I125" s="30">
        <v>29.4</v>
      </c>
      <c r="J125" s="29"/>
      <c r="K125" s="29"/>
      <c r="L125" s="29"/>
      <c r="M125" s="29"/>
      <c r="N125" s="29"/>
      <c r="O125" s="30">
        <v>31.5</v>
      </c>
      <c r="P125" s="29"/>
      <c r="Q125" s="29"/>
      <c r="R125" s="29"/>
      <c r="S125" s="29"/>
      <c r="T125" s="29"/>
      <c r="U125" s="30">
        <v>32</v>
      </c>
      <c r="V125" s="29"/>
      <c r="W125" s="29"/>
      <c r="X125" s="29"/>
      <c r="Y125" s="29"/>
      <c r="Z125" s="29"/>
      <c r="AA125" s="30">
        <v>30.6</v>
      </c>
      <c r="AB125" s="29"/>
      <c r="AC125" s="29"/>
      <c r="AD125" s="29"/>
      <c r="AE125" s="29"/>
      <c r="AF125" s="29"/>
      <c r="AG125" s="30">
        <v>28.3</v>
      </c>
      <c r="AH125" s="29"/>
      <c r="AI125" s="29"/>
      <c r="AJ125" s="29"/>
      <c r="AK125" s="29"/>
      <c r="AL125" s="29"/>
      <c r="AM125" s="30">
        <v>41.4</v>
      </c>
      <c r="AN125" s="29"/>
      <c r="AO125" s="29"/>
      <c r="AP125" s="29"/>
      <c r="AQ125" s="29"/>
      <c r="AR125" s="29"/>
      <c r="AS125" s="30">
        <v>39.5</v>
      </c>
      <c r="AT125" s="29"/>
      <c r="AU125" s="29"/>
      <c r="AV125" s="29"/>
      <c r="AW125" s="29"/>
      <c r="AX125" s="29"/>
      <c r="AY125" s="30">
        <v>36.5</v>
      </c>
      <c r="AZ125" s="30">
        <v>9.6</v>
      </c>
      <c r="BA125" s="30">
        <v>9.6999999999999993</v>
      </c>
      <c r="BB125" s="29">
        <f>AZ125+BA125</f>
        <v>19.299999999999997</v>
      </c>
      <c r="BC125" s="30">
        <v>9.9</v>
      </c>
      <c r="BD125" s="30">
        <v>9.6</v>
      </c>
      <c r="BE125" s="30">
        <v>38.799999999999997</v>
      </c>
      <c r="BF125" s="30">
        <v>9.8000000000000007</v>
      </c>
      <c r="BG125" s="30">
        <v>32.799999999999997</v>
      </c>
      <c r="BH125" s="29">
        <f>BF125+BG125</f>
        <v>42.599999999999994</v>
      </c>
      <c r="BI125" s="30">
        <v>55.3</v>
      </c>
      <c r="BJ125" s="30">
        <v>51.4</v>
      </c>
      <c r="BK125" s="30">
        <v>149.30000000000001</v>
      </c>
      <c r="BL125" s="30">
        <v>53.6</v>
      </c>
      <c r="BM125" s="30">
        <v>51.3</v>
      </c>
      <c r="BN125" s="29">
        <f>BL125+BM125</f>
        <v>104.9</v>
      </c>
      <c r="BO125" s="30">
        <v>48.9</v>
      </c>
      <c r="BP125" s="30">
        <v>47.9</v>
      </c>
      <c r="BQ125" s="30">
        <v>201.7</v>
      </c>
      <c r="BR125" s="30">
        <v>49.7</v>
      </c>
      <c r="BS125" s="30">
        <v>49.3</v>
      </c>
      <c r="BT125" s="29">
        <f>BR125+BS125</f>
        <v>99</v>
      </c>
      <c r="BU125" s="30">
        <v>49.1</v>
      </c>
      <c r="BV125" s="30">
        <v>48.6</v>
      </c>
      <c r="BW125" s="30">
        <v>196.7</v>
      </c>
      <c r="BX125" s="30">
        <v>49.4</v>
      </c>
      <c r="BY125" s="30">
        <v>49.1</v>
      </c>
      <c r="BZ125" s="29">
        <f>BX125+BY125</f>
        <v>98.5</v>
      </c>
      <c r="CA125" s="30">
        <v>49.8</v>
      </c>
      <c r="CB125" s="30">
        <v>49.7</v>
      </c>
      <c r="CC125" s="30">
        <v>198</v>
      </c>
      <c r="CD125" s="30">
        <v>52</v>
      </c>
      <c r="CE125" s="30">
        <v>54.6</v>
      </c>
      <c r="CF125" s="29">
        <f>CD125+CE125</f>
        <v>106.6</v>
      </c>
      <c r="CG125" s="30">
        <v>55.1</v>
      </c>
      <c r="CH125" s="30">
        <v>54.9</v>
      </c>
      <c r="CI125" s="30">
        <v>216.6</v>
      </c>
      <c r="CJ125" s="30">
        <v>57.6</v>
      </c>
      <c r="CK125" s="30">
        <v>56</v>
      </c>
      <c r="CL125" s="29">
        <f>CJ125+CK125</f>
        <v>113.6</v>
      </c>
      <c r="CM125" s="31">
        <f>($CO$371-CL125)/2</f>
        <v>56.2</v>
      </c>
      <c r="CN125" s="31">
        <f>($CO$371-CL125)/2</f>
        <v>56.2</v>
      </c>
      <c r="CO125" s="31">
        <f>SUM(CJ125,CK125,CM125,CN125)</f>
        <v>226</v>
      </c>
      <c r="CP125" s="31">
        <f>CP371+CP117</f>
        <v>222.73750000000001</v>
      </c>
      <c r="CQ125" s="31">
        <f>CQ371+CQ117</f>
        <v>245.35833333333335</v>
      </c>
      <c r="CR125" s="31">
        <f>CR371+CR117</f>
        <v>230.625</v>
      </c>
      <c r="CS125" s="31">
        <f>CS371+CS117</f>
        <v>233.5916666666667</v>
      </c>
      <c r="CT125" s="22" t="s">
        <v>226</v>
      </c>
      <c r="CV125" s="6"/>
      <c r="CW125" s="6"/>
      <c r="CX125" s="6"/>
      <c r="CY125" s="6"/>
    </row>
    <row r="126" spans="2:103" ht="15" customHeight="1" x14ac:dyDescent="0.25">
      <c r="B126" s="33" t="s">
        <v>227</v>
      </c>
      <c r="C126" s="34" t="str">
        <f t="shared" ref="C126:AH126" si="115">IF(ISNUMBER(C13),N(C13)+N(C30)+N(C50)+N(C69)-C97+N(C101),"")</f>
        <v/>
      </c>
      <c r="D126" s="34" t="str">
        <f t="shared" si="115"/>
        <v/>
      </c>
      <c r="E126" s="34">
        <f t="shared" si="115"/>
        <v>198.6</v>
      </c>
      <c r="F126" s="34">
        <f t="shared" si="115"/>
        <v>171.4</v>
      </c>
      <c r="G126" s="34">
        <f t="shared" si="115"/>
        <v>178.5</v>
      </c>
      <c r="H126" s="34">
        <f t="shared" si="115"/>
        <v>227.20000000000005</v>
      </c>
      <c r="I126" s="34">
        <f t="shared" si="115"/>
        <v>243.10000000000002</v>
      </c>
      <c r="J126" s="19">
        <f t="shared" si="115"/>
        <v>58.900000000000006</v>
      </c>
      <c r="K126" s="19">
        <f t="shared" si="115"/>
        <v>64.899999999999991</v>
      </c>
      <c r="L126" s="19">
        <f t="shared" si="115"/>
        <v>123.80000000000001</v>
      </c>
      <c r="M126" s="19">
        <f t="shared" si="115"/>
        <v>53.000000000000007</v>
      </c>
      <c r="N126" s="19">
        <f t="shared" si="115"/>
        <v>63.5</v>
      </c>
      <c r="O126" s="34">
        <f t="shared" si="115"/>
        <v>240.29999999999998</v>
      </c>
      <c r="P126" s="19">
        <f t="shared" si="115"/>
        <v>66</v>
      </c>
      <c r="Q126" s="19">
        <f t="shared" si="115"/>
        <v>74.3</v>
      </c>
      <c r="R126" s="19">
        <f t="shared" si="115"/>
        <v>140.29999999999998</v>
      </c>
      <c r="S126" s="19">
        <f t="shared" si="115"/>
        <v>74.300000000000011</v>
      </c>
      <c r="T126" s="19">
        <f t="shared" si="115"/>
        <v>79.899999999999991</v>
      </c>
      <c r="U126" s="34">
        <f t="shared" si="115"/>
        <v>294.5</v>
      </c>
      <c r="V126" s="19">
        <f t="shared" si="115"/>
        <v>67.300000000000011</v>
      </c>
      <c r="W126" s="19">
        <f t="shared" si="115"/>
        <v>68.899999999999991</v>
      </c>
      <c r="X126" s="19">
        <f t="shared" si="115"/>
        <v>136.20000000000002</v>
      </c>
      <c r="Y126" s="19">
        <f t="shared" si="115"/>
        <v>69.5</v>
      </c>
      <c r="Z126" s="19">
        <f t="shared" si="115"/>
        <v>76.000000000000014</v>
      </c>
      <c r="AA126" s="34">
        <f t="shared" si="115"/>
        <v>281.70000000000005</v>
      </c>
      <c r="AB126" s="19">
        <f t="shared" si="115"/>
        <v>60.899999999999991</v>
      </c>
      <c r="AC126" s="19">
        <f t="shared" si="115"/>
        <v>53.599999999999994</v>
      </c>
      <c r="AD126" s="19">
        <f t="shared" si="115"/>
        <v>114.5</v>
      </c>
      <c r="AE126" s="19">
        <f t="shared" si="115"/>
        <v>68.8</v>
      </c>
      <c r="AF126" s="19">
        <f t="shared" si="115"/>
        <v>70.5</v>
      </c>
      <c r="AG126" s="34">
        <f t="shared" si="115"/>
        <v>253.79999999999998</v>
      </c>
      <c r="AH126" s="19">
        <f t="shared" si="115"/>
        <v>54.8</v>
      </c>
      <c r="AI126" s="19">
        <f t="shared" ref="AI126:BN126" si="116">IF(ISNUMBER(AI13),N(AI13)+N(AI30)+N(AI50)+N(AI69)-AI97+N(AI101),"")</f>
        <v>82.800000000000011</v>
      </c>
      <c r="AJ126" s="19">
        <f t="shared" si="116"/>
        <v>137.60000000000002</v>
      </c>
      <c r="AK126" s="19">
        <f t="shared" si="116"/>
        <v>89.5</v>
      </c>
      <c r="AL126" s="19">
        <f t="shared" si="116"/>
        <v>94.59999999999998</v>
      </c>
      <c r="AM126" s="34">
        <f t="shared" si="116"/>
        <v>321.7</v>
      </c>
      <c r="AN126" s="19">
        <f t="shared" si="116"/>
        <v>88.399999999999991</v>
      </c>
      <c r="AO126" s="19">
        <f t="shared" si="116"/>
        <v>111.5</v>
      </c>
      <c r="AP126" s="19">
        <f t="shared" si="116"/>
        <v>199.90000000000003</v>
      </c>
      <c r="AQ126" s="19">
        <f t="shared" si="116"/>
        <v>105.5</v>
      </c>
      <c r="AR126" s="19">
        <f t="shared" si="116"/>
        <v>111.19999999999999</v>
      </c>
      <c r="AS126" s="34">
        <f t="shared" si="116"/>
        <v>416.59999999999997</v>
      </c>
      <c r="AT126" s="19">
        <f t="shared" si="116"/>
        <v>97.300000000000011</v>
      </c>
      <c r="AU126" s="19">
        <f t="shared" si="116"/>
        <v>131.89999999999998</v>
      </c>
      <c r="AV126" s="19">
        <f t="shared" si="116"/>
        <v>229.20000000000002</v>
      </c>
      <c r="AW126" s="19">
        <f t="shared" si="116"/>
        <v>128.69999999999999</v>
      </c>
      <c r="AX126" s="19">
        <f t="shared" si="116"/>
        <v>133.79999999999998</v>
      </c>
      <c r="AY126" s="34">
        <f t="shared" si="116"/>
        <v>491.69999999999993</v>
      </c>
      <c r="AZ126" s="19">
        <f t="shared" si="116"/>
        <v>104</v>
      </c>
      <c r="BA126" s="19">
        <f t="shared" si="116"/>
        <v>109.8</v>
      </c>
      <c r="BB126" s="19">
        <f t="shared" si="116"/>
        <v>213.8</v>
      </c>
      <c r="BC126" s="19">
        <f t="shared" si="116"/>
        <v>122.5</v>
      </c>
      <c r="BD126" s="19">
        <f t="shared" si="116"/>
        <v>143.80000000000001</v>
      </c>
      <c r="BE126" s="34">
        <f t="shared" si="116"/>
        <v>480.09999999999997</v>
      </c>
      <c r="BF126" s="19">
        <f t="shared" si="116"/>
        <v>135.20000000000002</v>
      </c>
      <c r="BG126" s="19">
        <f t="shared" si="116"/>
        <v>104.39999999999999</v>
      </c>
      <c r="BH126" s="19">
        <f t="shared" si="116"/>
        <v>239.6</v>
      </c>
      <c r="BI126" s="19">
        <f t="shared" si="116"/>
        <v>189.60000000000002</v>
      </c>
      <c r="BJ126" s="19">
        <f t="shared" si="116"/>
        <v>195.1</v>
      </c>
      <c r="BK126" s="34">
        <f t="shared" si="116"/>
        <v>624.29999999999995</v>
      </c>
      <c r="BL126" s="19">
        <f t="shared" si="116"/>
        <v>223.50000000000003</v>
      </c>
      <c r="BM126" s="19">
        <f t="shared" si="116"/>
        <v>229.5</v>
      </c>
      <c r="BN126" s="19">
        <f t="shared" si="116"/>
        <v>453</v>
      </c>
      <c r="BO126" s="19">
        <f t="shared" ref="BO126:CL126" si="117">IF(ISNUMBER(BO13),N(BO13)+N(BO30)+N(BO50)+N(BO69)-BO97+N(BO101),"")</f>
        <v>245.19999999999993</v>
      </c>
      <c r="BP126" s="19">
        <f t="shared" si="117"/>
        <v>273.8</v>
      </c>
      <c r="BQ126" s="34">
        <f t="shared" si="117"/>
        <v>971.99999999999989</v>
      </c>
      <c r="BR126" s="19">
        <f t="shared" si="117"/>
        <v>242.49999999999997</v>
      </c>
      <c r="BS126" s="19">
        <f t="shared" si="117"/>
        <v>256.09999999999997</v>
      </c>
      <c r="BT126" s="19">
        <f t="shared" si="117"/>
        <v>498.6</v>
      </c>
      <c r="BU126" s="19">
        <f t="shared" si="117"/>
        <v>264.29999999999995</v>
      </c>
      <c r="BV126" s="19">
        <f t="shared" si="117"/>
        <v>271.5</v>
      </c>
      <c r="BW126" s="34">
        <f t="shared" si="117"/>
        <v>1034.4000000000001</v>
      </c>
      <c r="BX126" s="19">
        <f t="shared" si="117"/>
        <v>234.3</v>
      </c>
      <c r="BY126" s="19">
        <f t="shared" si="117"/>
        <v>247</v>
      </c>
      <c r="BZ126" s="19">
        <f t="shared" si="117"/>
        <v>481.30000000000007</v>
      </c>
      <c r="CA126" s="19">
        <f t="shared" si="117"/>
        <v>270.7</v>
      </c>
      <c r="CB126" s="19">
        <f t="shared" si="117"/>
        <v>237.10000000000002</v>
      </c>
      <c r="CC126" s="34">
        <f t="shared" si="117"/>
        <v>989.10000000000014</v>
      </c>
      <c r="CD126" s="19">
        <f t="shared" si="117"/>
        <v>259.3</v>
      </c>
      <c r="CE126" s="19">
        <f t="shared" si="117"/>
        <v>278.2</v>
      </c>
      <c r="CF126" s="19">
        <f t="shared" si="117"/>
        <v>537.5</v>
      </c>
      <c r="CG126" s="19">
        <f t="shared" si="117"/>
        <v>282.8</v>
      </c>
      <c r="CH126" s="19">
        <f t="shared" si="117"/>
        <v>329.5</v>
      </c>
      <c r="CI126" s="34">
        <f t="shared" si="117"/>
        <v>1149.8</v>
      </c>
      <c r="CJ126" s="19">
        <f t="shared" si="117"/>
        <v>294.2</v>
      </c>
      <c r="CK126" s="19">
        <f t="shared" si="117"/>
        <v>333.20000000000005</v>
      </c>
      <c r="CL126" s="19">
        <f t="shared" si="117"/>
        <v>627.4</v>
      </c>
      <c r="CM126" s="34">
        <f>N(CM13)+N(CM30)+N(CM50)+N(CM69)+N(CM118)-CM97+CM101</f>
        <v>318.7458598726115</v>
      </c>
      <c r="CN126" s="34">
        <f>N(CN13)+N(CN30)+N(CN50)+N(CN69)+N(CN118)-CN97+CN101</f>
        <v>335.18057324840743</v>
      </c>
      <c r="CO126" s="34">
        <f>SUM(CJ126,CK126,CM126,CN126)</f>
        <v>1281.3264331210189</v>
      </c>
      <c r="CP126" s="34">
        <f>N(CP13)+N(CP30)+N(CP50)+N(CP69)+N(CP118)-CP97+CP101</f>
        <v>1449.717227347862</v>
      </c>
      <c r="CQ126" s="34">
        <f>N(CQ13)+N(CQ30)+N(CQ50)+N(CQ69)+N(CQ118)-CQ97+CQ101</f>
        <v>1606.494112753277</v>
      </c>
      <c r="CR126" s="34">
        <f>N(CR13)+N(CR30)+N(CR50)+N(CR69)+N(CR118)-CR97+CR101</f>
        <v>1811.5365762416361</v>
      </c>
      <c r="CS126" s="34">
        <f>N(CS13)+N(CS30)+N(CS50)+N(CS69)+N(CS118)-CS97+CS101</f>
        <v>2013.9657495183951</v>
      </c>
      <c r="CT126" s="22"/>
      <c r="CV126" s="23">
        <f>IFERROR((CS126/CI126)^(1/5)-1,"n/m")</f>
        <v>0.11862869396153619</v>
      </c>
      <c r="CW126" s="23">
        <f>IFERROR((CI126/BE126)^(1/5)-1,"n/m")</f>
        <v>0.19085290290686374</v>
      </c>
      <c r="CX126" s="23">
        <f>IFERROR((CI126/AA126)^(1/10)-1,"n/m")</f>
        <v>0.15102179104294722</v>
      </c>
      <c r="CY126" s="23" t="str">
        <f>IFERROR((CI126/C126)^(1/19)-1,"n/m")</f>
        <v>n/m</v>
      </c>
    </row>
    <row r="127" spans="2:103" ht="15" customHeight="1" x14ac:dyDescent="0.25">
      <c r="B127" s="25" t="s">
        <v>228</v>
      </c>
      <c r="C127" s="39" t="str">
        <f t="shared" ref="C127:AH127" si="118">IFERROR(C126/C122,"")</f>
        <v/>
      </c>
      <c r="D127" s="39" t="str">
        <f t="shared" si="118"/>
        <v/>
      </c>
      <c r="E127" s="39">
        <f t="shared" si="118"/>
        <v>0.11533101045296167</v>
      </c>
      <c r="F127" s="39">
        <f t="shared" si="118"/>
        <v>0.1037467465649779</v>
      </c>
      <c r="G127" s="39">
        <f t="shared" si="118"/>
        <v>0.10856343510521833</v>
      </c>
      <c r="H127" s="39">
        <f t="shared" si="118"/>
        <v>0.11699881559297597</v>
      </c>
      <c r="I127" s="39">
        <f t="shared" si="118"/>
        <v>0.11427631269684579</v>
      </c>
      <c r="J127" s="39">
        <f t="shared" si="118"/>
        <v>0.10344221988057604</v>
      </c>
      <c r="K127" s="39">
        <f t="shared" si="118"/>
        <v>0.10798668885191347</v>
      </c>
      <c r="L127" s="39">
        <f t="shared" si="118"/>
        <v>0.10577580314422422</v>
      </c>
      <c r="M127" s="39">
        <f t="shared" si="118"/>
        <v>9.2722183344996503E-2</v>
      </c>
      <c r="N127" s="39">
        <f t="shared" si="118"/>
        <v>0.10643647334897753</v>
      </c>
      <c r="O127" s="39">
        <f t="shared" si="118"/>
        <v>0.10275378431540237</v>
      </c>
      <c r="P127" s="39">
        <f t="shared" si="118"/>
        <v>0.11508282476024413</v>
      </c>
      <c r="Q127" s="39">
        <f t="shared" si="118"/>
        <v>0.12443476804555349</v>
      </c>
      <c r="R127" s="39">
        <f t="shared" si="118"/>
        <v>0.1198530668033487</v>
      </c>
      <c r="S127" s="39">
        <f t="shared" si="118"/>
        <v>0.12360672101147899</v>
      </c>
      <c r="T127" s="39">
        <f t="shared" si="118"/>
        <v>0.12839466495259519</v>
      </c>
      <c r="U127" s="39">
        <f t="shared" si="118"/>
        <v>0.12301587301587301</v>
      </c>
      <c r="V127" s="39">
        <f t="shared" si="118"/>
        <v>0.11911504424778763</v>
      </c>
      <c r="W127" s="39">
        <f t="shared" si="118"/>
        <v>0.11926605504587154</v>
      </c>
      <c r="X127" s="39">
        <f t="shared" si="118"/>
        <v>0.11919138881596221</v>
      </c>
      <c r="Y127" s="39">
        <f t="shared" si="118"/>
        <v>0.12513503781058696</v>
      </c>
      <c r="Z127" s="39">
        <f t="shared" si="118"/>
        <v>0.12666666666666668</v>
      </c>
      <c r="AA127" s="39">
        <f t="shared" si="118"/>
        <v>0.1225795222140029</v>
      </c>
      <c r="AB127" s="39">
        <f t="shared" si="118"/>
        <v>0.11479736098020733</v>
      </c>
      <c r="AC127" s="39">
        <f t="shared" si="118"/>
        <v>9.931443394478412E-2</v>
      </c>
      <c r="AD127" s="39">
        <f t="shared" si="118"/>
        <v>0.10698934778546068</v>
      </c>
      <c r="AE127" s="39">
        <f t="shared" si="118"/>
        <v>0.13059984813971148</v>
      </c>
      <c r="AF127" s="39">
        <f t="shared" si="118"/>
        <v>0.12750949538795442</v>
      </c>
      <c r="AG127" s="39">
        <f t="shared" si="118"/>
        <v>0.11805200241871713</v>
      </c>
      <c r="AH127" s="39">
        <f t="shared" si="118"/>
        <v>9.6802685037979147E-2</v>
      </c>
      <c r="AI127" s="39">
        <f t="shared" ref="AI127:BN127" si="119">IFERROR(AI126/AI122,"")</f>
        <v>0.12337952615109522</v>
      </c>
      <c r="AJ127" s="39">
        <f t="shared" si="119"/>
        <v>0.11121888134497256</v>
      </c>
      <c r="AK127" s="39">
        <f t="shared" si="119"/>
        <v>0.13515554213228631</v>
      </c>
      <c r="AL127" s="39">
        <f t="shared" si="119"/>
        <v>0.13429869392390684</v>
      </c>
      <c r="AM127" s="39">
        <f t="shared" si="119"/>
        <v>0.12355019586757814</v>
      </c>
      <c r="AN127" s="39">
        <f t="shared" si="119"/>
        <v>0.12708453133985048</v>
      </c>
      <c r="AO127" s="39">
        <f t="shared" si="119"/>
        <v>0.15221843003412969</v>
      </c>
      <c r="AP127" s="39">
        <f t="shared" si="119"/>
        <v>0.13997619214340734</v>
      </c>
      <c r="AQ127" s="39">
        <f t="shared" si="119"/>
        <v>0.1454570522542396</v>
      </c>
      <c r="AR127" s="39">
        <f t="shared" si="119"/>
        <v>0.14858364510956704</v>
      </c>
      <c r="AS127" s="39">
        <f t="shared" si="119"/>
        <v>0.14356606244400028</v>
      </c>
      <c r="AT127" s="39">
        <f t="shared" si="119"/>
        <v>0.13056897477187332</v>
      </c>
      <c r="AU127" s="39">
        <f t="shared" si="119"/>
        <v>0.16867007672634268</v>
      </c>
      <c r="AV127" s="39">
        <f t="shared" si="119"/>
        <v>0.1500785751702462</v>
      </c>
      <c r="AW127" s="39">
        <f t="shared" si="119"/>
        <v>0.16043380703066565</v>
      </c>
      <c r="AX127" s="39">
        <f t="shared" si="119"/>
        <v>0.16039319108127545</v>
      </c>
      <c r="AY127" s="39">
        <f t="shared" si="119"/>
        <v>0.15542420027816409</v>
      </c>
      <c r="AZ127" s="39">
        <f t="shared" si="119"/>
        <v>0.13255161865918941</v>
      </c>
      <c r="BA127" s="39">
        <f t="shared" si="119"/>
        <v>0.14771962868290056</v>
      </c>
      <c r="BB127" s="39">
        <f t="shared" si="119"/>
        <v>0.13993062373191964</v>
      </c>
      <c r="BC127" s="39">
        <f t="shared" si="119"/>
        <v>0.16355140186915887</v>
      </c>
      <c r="BD127" s="39">
        <f t="shared" si="119"/>
        <v>0.17768441863338691</v>
      </c>
      <c r="BE127" s="39">
        <f t="shared" si="119"/>
        <v>0.15556347611949969</v>
      </c>
      <c r="BF127" s="39">
        <f t="shared" si="119"/>
        <v>0.16780439369492367</v>
      </c>
      <c r="BG127" s="39">
        <f t="shared" si="119"/>
        <v>9.3131132917038353E-2</v>
      </c>
      <c r="BH127" s="39">
        <f t="shared" si="119"/>
        <v>0.12435771007422017</v>
      </c>
      <c r="BI127" s="39">
        <f t="shared" si="119"/>
        <v>0.14452321061056483</v>
      </c>
      <c r="BJ127" s="39">
        <f t="shared" si="119"/>
        <v>0.14181871047466743</v>
      </c>
      <c r="BK127" s="39">
        <f t="shared" si="119"/>
        <v>0.13529679474676548</v>
      </c>
      <c r="BL127" s="39">
        <f t="shared" si="119"/>
        <v>0.1691900075700227</v>
      </c>
      <c r="BM127" s="39">
        <f t="shared" si="119"/>
        <v>0.16927275409352413</v>
      </c>
      <c r="BN127" s="39">
        <f t="shared" si="119"/>
        <v>0.16923191870890616</v>
      </c>
      <c r="BO127" s="39">
        <f t="shared" ref="BO127:CS127" si="120">IFERROR(BO126/BO122,"")</f>
        <v>0.17981812848342618</v>
      </c>
      <c r="BP127" s="39">
        <f t="shared" si="120"/>
        <v>0.1930616274150331</v>
      </c>
      <c r="BQ127" s="39">
        <f t="shared" si="120"/>
        <v>0.17806763639028322</v>
      </c>
      <c r="BR127" s="39">
        <f t="shared" si="120"/>
        <v>0.17530542904648302</v>
      </c>
      <c r="BS127" s="39">
        <f t="shared" si="120"/>
        <v>0.17975714185442548</v>
      </c>
      <c r="BT127" s="39">
        <f t="shared" si="120"/>
        <v>0.1775641025641026</v>
      </c>
      <c r="BU127" s="39">
        <f t="shared" si="120"/>
        <v>0.18844919786096254</v>
      </c>
      <c r="BV127" s="39">
        <f t="shared" si="120"/>
        <v>0.19052631578947368</v>
      </c>
      <c r="BW127" s="39">
        <f t="shared" si="120"/>
        <v>0.18355070535001333</v>
      </c>
      <c r="BX127" s="39">
        <f t="shared" si="120"/>
        <v>0.1735427005407007</v>
      </c>
      <c r="BY127" s="39">
        <f t="shared" si="120"/>
        <v>0.17975402081362343</v>
      </c>
      <c r="BZ127" s="39">
        <f t="shared" si="120"/>
        <v>0.176675721312679</v>
      </c>
      <c r="CA127" s="39">
        <f t="shared" si="120"/>
        <v>0.18753030827848977</v>
      </c>
      <c r="CB127" s="39">
        <f t="shared" si="120"/>
        <v>0.15782466884111032</v>
      </c>
      <c r="CC127" s="39">
        <f t="shared" si="120"/>
        <v>0.17444444444444446</v>
      </c>
      <c r="CD127" s="39">
        <f t="shared" si="120"/>
        <v>0.1788399199944824</v>
      </c>
      <c r="CE127" s="39">
        <f t="shared" si="120"/>
        <v>0.18378806897007335</v>
      </c>
      <c r="CF127" s="39">
        <f t="shared" si="120"/>
        <v>0.18136725603995138</v>
      </c>
      <c r="CG127" s="39">
        <f t="shared" si="120"/>
        <v>0.18369600519649237</v>
      </c>
      <c r="CH127" s="39">
        <f t="shared" si="120"/>
        <v>0.20436643304595919</v>
      </c>
      <c r="CI127" s="39">
        <f t="shared" si="120"/>
        <v>0.18801713706380613</v>
      </c>
      <c r="CJ127" s="39">
        <f t="shared" si="120"/>
        <v>0.18857765527850778</v>
      </c>
      <c r="CK127" s="39">
        <f t="shared" si="120"/>
        <v>0.20042105263157897</v>
      </c>
      <c r="CL127" s="39">
        <f t="shared" si="120"/>
        <v>0.19468751939427789</v>
      </c>
      <c r="CM127" s="27">
        <f t="shared" si="120"/>
        <v>0.18847608417915529</v>
      </c>
      <c r="CN127" s="27">
        <f t="shared" si="120"/>
        <v>0.18912035068087502</v>
      </c>
      <c r="CO127" s="27">
        <f t="shared" si="120"/>
        <v>0.19164068723426497</v>
      </c>
      <c r="CP127" s="27">
        <f t="shared" si="120"/>
        <v>0.20191062565974083</v>
      </c>
      <c r="CQ127" s="27">
        <f t="shared" si="120"/>
        <v>0.20461126168538055</v>
      </c>
      <c r="CR127" s="27">
        <f t="shared" si="120"/>
        <v>0.21117672416098612</v>
      </c>
      <c r="CS127" s="27">
        <f t="shared" si="120"/>
        <v>0.21552173786846138</v>
      </c>
      <c r="CT127" s="22"/>
      <c r="CV127" s="40">
        <f>IFERROR(AVERAGE(CO127,CP127,CQ127,CR127,CS127),"n/m")</f>
        <v>0.20497220732176674</v>
      </c>
      <c r="CW127" s="40">
        <f>IFERROR(AVERAGE(BK127,BQ127,BW127,CC127,CI127),"n/m")</f>
        <v>0.17187534359906254</v>
      </c>
      <c r="CX127" s="40">
        <f>IFERROR(AVERAGE(AG127,AM127,AS127,AY127,BE127,BK127,BQ127,BW127,CC127,CI127),"n/m")</f>
        <v>0.1555532655123272</v>
      </c>
      <c r="CY127" s="40">
        <f>IFERROR(AVERAGE(C127,D127,E127,F127,G127,H127,I127,O127,U127,AA127,AG127,AM127,AS127,AY127,BE127,BK127,BQ127,BW127,CC127,CI127),"n/m")</f>
        <v>0.13682211972675168</v>
      </c>
    </row>
    <row r="128" spans="2:103" ht="15" customHeight="1" x14ac:dyDescent="0.25">
      <c r="B128" s="25" t="s">
        <v>105</v>
      </c>
      <c r="C128" s="26"/>
      <c r="D128" s="26" t="str">
        <f t="shared" ref="D128:I129" si="121">IFERROR(D122/C122-1,"")</f>
        <v/>
      </c>
      <c r="E128" s="26" t="str">
        <f t="shared" si="121"/>
        <v/>
      </c>
      <c r="F128" s="26">
        <f t="shared" si="121"/>
        <v>-4.0592334494773397E-2</v>
      </c>
      <c r="G128" s="26">
        <f t="shared" si="121"/>
        <v>-4.7817928696810563E-3</v>
      </c>
      <c r="H128" s="26">
        <f t="shared" si="121"/>
        <v>0.1810606982118963</v>
      </c>
      <c r="I128" s="26">
        <f t="shared" si="121"/>
        <v>9.5473505329831454E-2</v>
      </c>
      <c r="J128" s="26"/>
      <c r="K128" s="26"/>
      <c r="L128" s="26"/>
      <c r="M128" s="26"/>
      <c r="N128" s="26"/>
      <c r="O128" s="26">
        <f t="shared" ref="O128:X129" si="122">IFERROR(O122/I122-1,"")</f>
        <v>9.9327786395901008E-2</v>
      </c>
      <c r="P128" s="26">
        <f t="shared" si="122"/>
        <v>7.200561995082122E-3</v>
      </c>
      <c r="Q128" s="26">
        <f t="shared" si="122"/>
        <v>-6.4891846921796281E-3</v>
      </c>
      <c r="R128" s="26">
        <f t="shared" si="122"/>
        <v>1.7088174982915483E-4</v>
      </c>
      <c r="S128" s="26">
        <f t="shared" si="122"/>
        <v>5.1609517144856287E-2</v>
      </c>
      <c r="T128" s="26">
        <f t="shared" si="122"/>
        <v>4.3077438819979941E-2</v>
      </c>
      <c r="U128" s="26">
        <f t="shared" si="122"/>
        <v>2.3689386812622892E-2</v>
      </c>
      <c r="V128" s="26">
        <f t="shared" si="122"/>
        <v>-1.4821272885788828E-2</v>
      </c>
      <c r="W128" s="26">
        <f t="shared" si="122"/>
        <v>-3.2490370122257528E-2</v>
      </c>
      <c r="X128" s="26">
        <f t="shared" si="122"/>
        <v>-2.3833931317273072E-2</v>
      </c>
      <c r="Y128" s="26">
        <f t="shared" ref="Y128:AH129" si="123">IFERROR(Y122/S122-1,"")</f>
        <v>-7.6027283313924388E-2</v>
      </c>
      <c r="Z128" s="26">
        <f t="shared" si="123"/>
        <v>-3.5834806363490346E-2</v>
      </c>
      <c r="AA128" s="26">
        <f t="shared" si="123"/>
        <v>-4.0058479532163793E-2</v>
      </c>
      <c r="AB128" s="26">
        <f t="shared" si="123"/>
        <v>-6.1061946902654873E-2</v>
      </c>
      <c r="AC128" s="26">
        <f t="shared" si="123"/>
        <v>-6.5778085511511208E-2</v>
      </c>
      <c r="AD128" s="26">
        <f t="shared" si="123"/>
        <v>-6.3446223855780359E-2</v>
      </c>
      <c r="AE128" s="26">
        <f t="shared" si="123"/>
        <v>-5.1494418437162404E-2</v>
      </c>
      <c r="AF128" s="26">
        <f t="shared" si="123"/>
        <v>-7.8500000000000014E-2</v>
      </c>
      <c r="AG128" s="26">
        <f t="shared" si="123"/>
        <v>-6.4488055350071738E-2</v>
      </c>
      <c r="AH128" s="26">
        <f t="shared" si="123"/>
        <v>6.7106503298774767E-2</v>
      </c>
      <c r="AI128" s="26">
        <f t="shared" ref="AI128:AR129" si="124">IFERROR(AI122/AC122-1,"")</f>
        <v>0.24346859366314622</v>
      </c>
      <c r="AJ128" s="26">
        <f t="shared" si="124"/>
        <v>0.15604559895346659</v>
      </c>
      <c r="AK128" s="26">
        <f t="shared" si="124"/>
        <v>0.25702353834472302</v>
      </c>
      <c r="AL128" s="26">
        <f t="shared" si="124"/>
        <v>0.27400976668475319</v>
      </c>
      <c r="AM128" s="26">
        <f t="shared" si="124"/>
        <v>0.21112609888832035</v>
      </c>
      <c r="AN128" s="26">
        <f t="shared" si="124"/>
        <v>0.2287581699346406</v>
      </c>
      <c r="AO128" s="26">
        <f t="shared" si="124"/>
        <v>9.1491580986440058E-2</v>
      </c>
      <c r="AP128" s="26">
        <f t="shared" si="124"/>
        <v>0.15430003233107037</v>
      </c>
      <c r="AQ128" s="26">
        <f t="shared" si="124"/>
        <v>9.5288432497734776E-2</v>
      </c>
      <c r="AR128" s="26">
        <f t="shared" si="124"/>
        <v>6.246450880181742E-2</v>
      </c>
      <c r="AS128" s="26">
        <f t="shared" ref="AS128:BB129" si="125">IFERROR(AS122/AM122-1,"")</f>
        <v>0.11444811429449242</v>
      </c>
      <c r="AT128" s="26">
        <f t="shared" si="125"/>
        <v>7.1305347901092553E-2</v>
      </c>
      <c r="AU128" s="26">
        <f t="shared" si="125"/>
        <v>6.757679180887366E-2</v>
      </c>
      <c r="AV128" s="26">
        <f t="shared" si="125"/>
        <v>6.9392899656886664E-2</v>
      </c>
      <c r="AW128" s="26">
        <f t="shared" si="125"/>
        <v>0.10602509306493868</v>
      </c>
      <c r="AX128" s="26">
        <f t="shared" si="125"/>
        <v>0.11464457509353276</v>
      </c>
      <c r="AY128" s="26">
        <f t="shared" si="125"/>
        <v>9.0219863532979616E-2</v>
      </c>
      <c r="AZ128" s="26">
        <f t="shared" si="125"/>
        <v>5.2871712292001938E-2</v>
      </c>
      <c r="BA128" s="26">
        <f t="shared" si="125"/>
        <v>-4.9488491048593208E-2</v>
      </c>
      <c r="BB128" s="26">
        <f t="shared" si="125"/>
        <v>4.583551597694413E-4</v>
      </c>
      <c r="BC128" s="26">
        <f t="shared" ref="BC128:BL129" si="126">IFERROR(BC122/AW122-1,"")</f>
        <v>-6.6317626527050644E-2</v>
      </c>
      <c r="BD128" s="26">
        <f t="shared" si="126"/>
        <v>-2.9848957084632088E-2</v>
      </c>
      <c r="BE128" s="26">
        <f t="shared" si="126"/>
        <v>-2.4465798457453447E-2</v>
      </c>
      <c r="BF128" s="26">
        <f t="shared" si="126"/>
        <v>2.6892684170278125E-2</v>
      </c>
      <c r="BG128" s="26">
        <f t="shared" si="126"/>
        <v>0.50813937844746393</v>
      </c>
      <c r="BH128" s="26">
        <f t="shared" si="126"/>
        <v>0.26101184632502128</v>
      </c>
      <c r="BI128" s="26">
        <f t="shared" si="126"/>
        <v>0.75153538050734325</v>
      </c>
      <c r="BJ128" s="26">
        <f t="shared" si="126"/>
        <v>0.69986408006919576</v>
      </c>
      <c r="BK128" s="26">
        <f t="shared" si="126"/>
        <v>0.49513965394336079</v>
      </c>
      <c r="BL128" s="26">
        <f t="shared" si="126"/>
        <v>0.639568077448182</v>
      </c>
      <c r="BM128" s="26">
        <f t="shared" ref="BM128:BV129" si="127">IFERROR(BM122/BG122-1,"")</f>
        <v>0.20945584299732367</v>
      </c>
      <c r="BN128" s="26">
        <f t="shared" si="127"/>
        <v>0.38931852390097044</v>
      </c>
      <c r="BO128" s="26">
        <f t="shared" si="127"/>
        <v>3.9408491500876552E-2</v>
      </c>
      <c r="BP128" s="26">
        <f t="shared" si="127"/>
        <v>3.0893363378643679E-2</v>
      </c>
      <c r="BQ128" s="26">
        <f t="shared" si="127"/>
        <v>0.18297466571310905</v>
      </c>
      <c r="BR128" s="26">
        <f t="shared" si="127"/>
        <v>4.7161241483724137E-2</v>
      </c>
      <c r="BS128" s="26">
        <f t="shared" si="127"/>
        <v>5.0818704823720307E-2</v>
      </c>
      <c r="BT128" s="26">
        <f t="shared" si="127"/>
        <v>4.9013747758517523E-2</v>
      </c>
      <c r="BU128" s="26">
        <f t="shared" si="127"/>
        <v>2.852742739806402E-2</v>
      </c>
      <c r="BV128" s="26">
        <f t="shared" si="127"/>
        <v>4.7948103229444872E-3</v>
      </c>
      <c r="BW128" s="26">
        <f t="shared" ref="BW128:CF129" si="128">IFERROR(BW122/BQ122-1,"")</f>
        <v>3.2407577034404556E-2</v>
      </c>
      <c r="BX128" s="26">
        <f t="shared" si="128"/>
        <v>-2.4000578327188604E-2</v>
      </c>
      <c r="BY128" s="26">
        <f t="shared" si="128"/>
        <v>-3.5516249034884373E-2</v>
      </c>
      <c r="BZ128" s="26">
        <f t="shared" si="128"/>
        <v>-2.9843304843304774E-2</v>
      </c>
      <c r="CA128" s="26">
        <f t="shared" si="128"/>
        <v>2.9233511586452821E-2</v>
      </c>
      <c r="CB128" s="26">
        <f t="shared" si="128"/>
        <v>5.4245614035087764E-2</v>
      </c>
      <c r="CC128" s="26">
        <f t="shared" si="128"/>
        <v>6.121905775885006E-3</v>
      </c>
      <c r="CD128" s="26">
        <f t="shared" si="128"/>
        <v>7.3920450337012111E-2</v>
      </c>
      <c r="CE128" s="26">
        <f t="shared" si="128"/>
        <v>0.10159377046794238</v>
      </c>
      <c r="CF128" s="26">
        <f t="shared" si="128"/>
        <v>8.7879010351663123E-2</v>
      </c>
      <c r="CG128" s="26">
        <f t="shared" ref="CG128:CO129" si="129">IFERROR(CG122/CA122-1,"")</f>
        <v>6.6505022514721235E-2</v>
      </c>
      <c r="CH128" s="26">
        <f t="shared" si="129"/>
        <v>7.3221061039739022E-2</v>
      </c>
      <c r="CI128" s="26">
        <f t="shared" si="129"/>
        <v>7.855379188712508E-2</v>
      </c>
      <c r="CJ128" s="26">
        <f t="shared" si="129"/>
        <v>7.6005241740809693E-2</v>
      </c>
      <c r="CK128" s="26">
        <f t="shared" si="129"/>
        <v>9.8302173482196054E-2</v>
      </c>
      <c r="CL128" s="26">
        <f t="shared" si="129"/>
        <v>8.7393710352274168E-2</v>
      </c>
      <c r="CM128" s="27">
        <f t="shared" si="129"/>
        <v>9.8521620967437551E-2</v>
      </c>
      <c r="CN128" s="27">
        <f t="shared" si="129"/>
        <v>9.9245561969767859E-2</v>
      </c>
      <c r="CO128" s="27">
        <f t="shared" si="129"/>
        <v>9.331975913974988E-2</v>
      </c>
      <c r="CP128" s="27">
        <f t="shared" ref="CP128:CS129" si="130">IFERROR(CP122/CO122-1,"")</f>
        <v>7.3870863856029256E-2</v>
      </c>
      <c r="CQ128" s="27">
        <f t="shared" si="130"/>
        <v>9.3516850755687386E-2</v>
      </c>
      <c r="CR128" s="27">
        <f t="shared" si="130"/>
        <v>9.2575489591364413E-2</v>
      </c>
      <c r="CS128" s="27">
        <f t="shared" si="130"/>
        <v>8.9331197470785995E-2</v>
      </c>
      <c r="CT128" s="22"/>
      <c r="CV128" s="6"/>
      <c r="CW128" s="6"/>
      <c r="CX128" s="6"/>
      <c r="CY128" s="6"/>
    </row>
    <row r="129" spans="2:103" ht="15" customHeight="1" x14ac:dyDescent="0.25">
      <c r="B129" s="25" t="s">
        <v>229</v>
      </c>
      <c r="C129" s="26"/>
      <c r="D129" s="26" t="str">
        <f t="shared" si="121"/>
        <v/>
      </c>
      <c r="E129" s="26" t="str">
        <f t="shared" si="121"/>
        <v/>
      </c>
      <c r="F129" s="26" t="str">
        <f t="shared" si="121"/>
        <v/>
      </c>
      <c r="G129" s="26" t="str">
        <f t="shared" si="121"/>
        <v/>
      </c>
      <c r="H129" s="26" t="str">
        <f t="shared" si="121"/>
        <v/>
      </c>
      <c r="I129" s="26" t="str">
        <f t="shared" si="121"/>
        <v/>
      </c>
      <c r="J129" s="26"/>
      <c r="K129" s="26"/>
      <c r="L129" s="26"/>
      <c r="M129" s="26"/>
      <c r="N129" s="26"/>
      <c r="O129" s="26" t="str">
        <f t="shared" si="122"/>
        <v/>
      </c>
      <c r="P129" s="26" t="str">
        <f t="shared" si="122"/>
        <v/>
      </c>
      <c r="Q129" s="26" t="str">
        <f t="shared" si="122"/>
        <v/>
      </c>
      <c r="R129" s="26" t="str">
        <f t="shared" si="122"/>
        <v/>
      </c>
      <c r="S129" s="26" t="str">
        <f t="shared" si="122"/>
        <v/>
      </c>
      <c r="T129" s="26" t="str">
        <f t="shared" si="122"/>
        <v/>
      </c>
      <c r="U129" s="26" t="str">
        <f t="shared" si="122"/>
        <v/>
      </c>
      <c r="V129" s="26" t="str">
        <f t="shared" si="122"/>
        <v/>
      </c>
      <c r="W129" s="26" t="str">
        <f t="shared" si="122"/>
        <v/>
      </c>
      <c r="X129" s="26" t="str">
        <f t="shared" si="122"/>
        <v/>
      </c>
      <c r="Y129" s="26" t="str">
        <f t="shared" si="123"/>
        <v/>
      </c>
      <c r="Z129" s="26" t="str">
        <f t="shared" si="123"/>
        <v/>
      </c>
      <c r="AA129" s="26" t="str">
        <f t="shared" si="123"/>
        <v/>
      </c>
      <c r="AB129" s="26" t="str">
        <f t="shared" si="123"/>
        <v/>
      </c>
      <c r="AC129" s="26" t="str">
        <f t="shared" si="123"/>
        <v/>
      </c>
      <c r="AD129" s="26" t="str">
        <f t="shared" si="123"/>
        <v/>
      </c>
      <c r="AE129" s="26" t="str">
        <f t="shared" si="123"/>
        <v/>
      </c>
      <c r="AF129" s="26" t="str">
        <f t="shared" si="123"/>
        <v/>
      </c>
      <c r="AG129" s="26" t="str">
        <f t="shared" si="123"/>
        <v/>
      </c>
      <c r="AH129" s="26" t="str">
        <f t="shared" si="123"/>
        <v/>
      </c>
      <c r="AI129" s="26" t="str">
        <f t="shared" si="124"/>
        <v/>
      </c>
      <c r="AJ129" s="26" t="str">
        <f t="shared" si="124"/>
        <v/>
      </c>
      <c r="AK129" s="26" t="str">
        <f t="shared" si="124"/>
        <v/>
      </c>
      <c r="AL129" s="26" t="str">
        <f t="shared" si="124"/>
        <v/>
      </c>
      <c r="AM129" s="26" t="str">
        <f t="shared" si="124"/>
        <v/>
      </c>
      <c r="AN129" s="26" t="str">
        <f t="shared" si="124"/>
        <v/>
      </c>
      <c r="AO129" s="26" t="str">
        <f t="shared" si="124"/>
        <v/>
      </c>
      <c r="AP129" s="26" t="str">
        <f t="shared" si="124"/>
        <v/>
      </c>
      <c r="AQ129" s="26" t="str">
        <f t="shared" si="124"/>
        <v/>
      </c>
      <c r="AR129" s="26" t="str">
        <f t="shared" si="124"/>
        <v/>
      </c>
      <c r="AS129" s="26" t="str">
        <f t="shared" si="125"/>
        <v/>
      </c>
      <c r="AT129" s="26" t="str">
        <f t="shared" si="125"/>
        <v/>
      </c>
      <c r="AU129" s="26" t="str">
        <f t="shared" si="125"/>
        <v/>
      </c>
      <c r="AV129" s="26" t="str">
        <f t="shared" si="125"/>
        <v/>
      </c>
      <c r="AW129" s="26" t="str">
        <f t="shared" si="125"/>
        <v/>
      </c>
      <c r="AX129" s="26" t="str">
        <f t="shared" si="125"/>
        <v/>
      </c>
      <c r="AY129" s="26" t="str">
        <f t="shared" si="125"/>
        <v/>
      </c>
      <c r="AZ129" s="26" t="str">
        <f t="shared" si="125"/>
        <v/>
      </c>
      <c r="BA129" s="26" t="str">
        <f t="shared" si="125"/>
        <v/>
      </c>
      <c r="BB129" s="26" t="str">
        <f t="shared" si="125"/>
        <v/>
      </c>
      <c r="BC129" s="26" t="str">
        <f t="shared" si="126"/>
        <v/>
      </c>
      <c r="BD129" s="26" t="str">
        <f t="shared" si="126"/>
        <v/>
      </c>
      <c r="BE129" s="26" t="str">
        <f t="shared" si="126"/>
        <v/>
      </c>
      <c r="BF129" s="26">
        <f t="shared" si="126"/>
        <v>0.32834507042253525</v>
      </c>
      <c r="BG129" s="26">
        <f t="shared" si="126"/>
        <v>1.1347280334728032</v>
      </c>
      <c r="BH129" s="26">
        <f t="shared" si="126"/>
        <v>0.74174174174174201</v>
      </c>
      <c r="BI129" s="26">
        <f t="shared" si="126"/>
        <v>1.1291540785498491</v>
      </c>
      <c r="BJ129" s="26">
        <f t="shared" si="126"/>
        <v>0.92372881355932135</v>
      </c>
      <c r="BK129" s="26">
        <f t="shared" si="126"/>
        <v>0.89439198304104761</v>
      </c>
      <c r="BL129" s="26">
        <f t="shared" si="126"/>
        <v>0.83631544068919794</v>
      </c>
      <c r="BM129" s="26">
        <f t="shared" si="127"/>
        <v>0.10074480595844792</v>
      </c>
      <c r="BN129" s="26">
        <f t="shared" si="127"/>
        <v>0.37413793103448278</v>
      </c>
      <c r="BO129" s="26">
        <f t="shared" si="127"/>
        <v>4.3277758070237482E-2</v>
      </c>
      <c r="BP129" s="26">
        <f t="shared" si="127"/>
        <v>7.6584208742799031E-2</v>
      </c>
      <c r="BQ129" s="26">
        <f t="shared" si="127"/>
        <v>0.18992878942014269</v>
      </c>
      <c r="BR129" s="26">
        <f t="shared" si="127"/>
        <v>5.4492962829303826E-2</v>
      </c>
      <c r="BS129" s="26">
        <f t="shared" si="127"/>
        <v>8.7606837606837296E-2</v>
      </c>
      <c r="BT129" s="26">
        <f t="shared" si="127"/>
        <v>7.1159706040509141E-2</v>
      </c>
      <c r="BU129" s="26">
        <f t="shared" si="127"/>
        <v>8.5345120707242428E-2</v>
      </c>
      <c r="BV129" s="26">
        <f t="shared" si="127"/>
        <v>1.6997167138810276E-2</v>
      </c>
      <c r="BW129" s="26">
        <f t="shared" si="128"/>
        <v>6.0015388561169614E-2</v>
      </c>
      <c r="BX129" s="26">
        <f t="shared" si="128"/>
        <v>-2.1560574948665479E-2</v>
      </c>
      <c r="BY129" s="26">
        <f t="shared" si="128"/>
        <v>-2.7177472167648875E-2</v>
      </c>
      <c r="BZ129" s="26">
        <f t="shared" si="128"/>
        <v>-2.4431057563587766E-2</v>
      </c>
      <c r="CA129" s="26">
        <f t="shared" si="128"/>
        <v>1.5664160401002603E-2</v>
      </c>
      <c r="CB129" s="26">
        <f t="shared" si="128"/>
        <v>5.4781801299907285E-2</v>
      </c>
      <c r="CC129" s="26">
        <f t="shared" si="128"/>
        <v>6.5327849020082596E-3</v>
      </c>
      <c r="CD129" s="26">
        <f t="shared" si="128"/>
        <v>0.11472542847149358</v>
      </c>
      <c r="CE129" s="26">
        <f t="shared" si="128"/>
        <v>0.13059575900370235</v>
      </c>
      <c r="CF129" s="26">
        <f t="shared" si="128"/>
        <v>0.12281303602058302</v>
      </c>
      <c r="CG129" s="26">
        <f t="shared" si="129"/>
        <v>4.8735348550277502E-2</v>
      </c>
      <c r="CH129" s="26">
        <f t="shared" si="129"/>
        <v>0.13086854460093877</v>
      </c>
      <c r="CI129" s="26">
        <f t="shared" si="129"/>
        <v>0.10576923076923084</v>
      </c>
      <c r="CJ129" s="26">
        <f t="shared" si="129"/>
        <v>0.10448697834954501</v>
      </c>
      <c r="CK129" s="26">
        <f t="shared" si="129"/>
        <v>0.15927359333134872</v>
      </c>
      <c r="CL129" s="26">
        <f t="shared" si="129"/>
        <v>0.13260006110601896</v>
      </c>
      <c r="CM129" s="27">
        <f t="shared" si="129"/>
        <v>0.10425252903709259</v>
      </c>
      <c r="CN129" s="27">
        <f t="shared" si="129"/>
        <v>1.6815187463433912E-2</v>
      </c>
      <c r="CO129" s="27">
        <f t="shared" si="129"/>
        <v>9.3280024000738315E-2</v>
      </c>
      <c r="CP129" s="27">
        <f t="shared" si="130"/>
        <v>0.11183491620664721</v>
      </c>
      <c r="CQ129" s="27">
        <f t="shared" si="130"/>
        <v>0.10694638478999985</v>
      </c>
      <c r="CR129" s="27">
        <f t="shared" si="130"/>
        <v>0.10249017392637172</v>
      </c>
      <c r="CS129" s="27">
        <f t="shared" si="130"/>
        <v>0.10033201205373854</v>
      </c>
      <c r="CT129" s="22"/>
      <c r="CV129" s="6"/>
      <c r="CW129" s="6"/>
      <c r="CX129" s="6"/>
      <c r="CY129" s="6"/>
    </row>
    <row r="130" spans="2:103" ht="15" customHeight="1" x14ac:dyDescent="0.25">
      <c r="B130" s="12" t="s">
        <v>230</v>
      </c>
      <c r="C130" s="30">
        <v>124.8</v>
      </c>
      <c r="D130" s="30">
        <v>161.5</v>
      </c>
      <c r="E130" s="30">
        <v>142.9</v>
      </c>
      <c r="F130" s="30">
        <v>39.9</v>
      </c>
      <c r="G130" s="30">
        <v>25.3</v>
      </c>
      <c r="H130" s="30">
        <v>249.6</v>
      </c>
      <c r="I130" s="30">
        <v>180.7</v>
      </c>
      <c r="J130" s="30">
        <v>65</v>
      </c>
      <c r="K130" s="30">
        <v>67.3</v>
      </c>
      <c r="L130" s="29">
        <f>J130+K130</f>
        <v>132.30000000000001</v>
      </c>
      <c r="M130" s="30">
        <v>28.9</v>
      </c>
      <c r="N130" s="30">
        <v>23.1</v>
      </c>
      <c r="O130" s="30">
        <v>172</v>
      </c>
      <c r="P130" s="30">
        <v>20.6</v>
      </c>
      <c r="Q130" s="30">
        <v>10.7</v>
      </c>
      <c r="R130" s="29">
        <f>P130+Q130</f>
        <v>31.3</v>
      </c>
      <c r="S130" s="30">
        <v>10.199999999999999</v>
      </c>
      <c r="T130" s="30">
        <v>13.7</v>
      </c>
      <c r="U130" s="30">
        <v>53.8</v>
      </c>
      <c r="V130" s="30">
        <v>12.1</v>
      </c>
      <c r="W130" s="30">
        <v>10</v>
      </c>
      <c r="X130" s="29">
        <f>V130+W130</f>
        <v>22.1</v>
      </c>
      <c r="Y130" s="30">
        <v>13.5</v>
      </c>
      <c r="Z130" s="30">
        <v>3.2</v>
      </c>
      <c r="AA130" s="30">
        <v>38.9</v>
      </c>
      <c r="AB130" s="30">
        <v>2.2999999999999998</v>
      </c>
      <c r="AC130" s="30">
        <v>7</v>
      </c>
      <c r="AD130" s="29">
        <f>AB130+AC130</f>
        <v>9.3000000000000007</v>
      </c>
      <c r="AE130" s="30">
        <v>5.9</v>
      </c>
      <c r="AF130" s="30">
        <v>10</v>
      </c>
      <c r="AG130" s="30">
        <v>25.2</v>
      </c>
      <c r="AH130" s="30">
        <v>19.100000000000001</v>
      </c>
      <c r="AI130" s="30">
        <v>96.3</v>
      </c>
      <c r="AJ130" s="29">
        <f>AH130+AI130</f>
        <v>115.4</v>
      </c>
      <c r="AK130" s="30">
        <v>90.1</v>
      </c>
      <c r="AL130" s="30">
        <v>99.7</v>
      </c>
      <c r="AM130" s="30">
        <v>298</v>
      </c>
      <c r="AN130" s="30">
        <v>85.5</v>
      </c>
      <c r="AO130" s="30">
        <v>5.3</v>
      </c>
      <c r="AP130" s="29">
        <f>AN130+AO130</f>
        <v>90.8</v>
      </c>
      <c r="AQ130" s="29"/>
      <c r="AR130" s="29"/>
      <c r="AS130" s="30">
        <v>115.1</v>
      </c>
      <c r="AT130" s="30">
        <v>14.1</v>
      </c>
      <c r="AU130" s="30">
        <v>23.3</v>
      </c>
      <c r="AV130" s="29">
        <f>AT130+AU130</f>
        <v>37.4</v>
      </c>
      <c r="AW130" s="30">
        <v>40.799999999999997</v>
      </c>
      <c r="AX130" s="30">
        <v>55</v>
      </c>
      <c r="AY130" s="30">
        <v>133.1</v>
      </c>
      <c r="AZ130" s="30">
        <v>36.799999999999997</v>
      </c>
      <c r="BA130" s="30">
        <v>29.5</v>
      </c>
      <c r="BB130" s="29">
        <f>AZ130+BA130</f>
        <v>66.3</v>
      </c>
      <c r="BC130" s="30">
        <v>11.7</v>
      </c>
      <c r="BD130" s="30">
        <v>4.8</v>
      </c>
      <c r="BE130" s="30">
        <v>68.900000000000006</v>
      </c>
      <c r="BF130" s="29"/>
      <c r="BG130" s="30">
        <v>301.39999999999998</v>
      </c>
      <c r="BH130" s="29"/>
      <c r="BI130" s="30">
        <v>473.6</v>
      </c>
      <c r="BJ130" s="30">
        <v>498.6</v>
      </c>
      <c r="BK130" s="30">
        <v>1273.5999999999999</v>
      </c>
      <c r="BL130" s="30">
        <v>452.6</v>
      </c>
      <c r="BM130" s="30">
        <v>167.6</v>
      </c>
      <c r="BN130" s="29">
        <f>BL130+BM130</f>
        <v>620.20000000000005</v>
      </c>
      <c r="BO130" s="29"/>
      <c r="BP130" s="29"/>
      <c r="BQ130" s="30">
        <v>593.70000000000005</v>
      </c>
      <c r="BR130" s="30">
        <v>25</v>
      </c>
      <c r="BS130" s="30">
        <v>28.8</v>
      </c>
      <c r="BT130" s="29">
        <f>BR130+BS130</f>
        <v>53.8</v>
      </c>
      <c r="BU130" s="30">
        <v>25.8</v>
      </c>
      <c r="BV130" s="30">
        <v>17.600000000000001</v>
      </c>
      <c r="BW130" s="30">
        <v>99.8</v>
      </c>
      <c r="BX130" s="29"/>
      <c r="BY130" s="29"/>
      <c r="BZ130" s="29"/>
      <c r="CA130" s="30">
        <v>18</v>
      </c>
      <c r="CB130" s="30">
        <v>17.3</v>
      </c>
      <c r="CC130" s="30">
        <v>49.4</v>
      </c>
      <c r="CD130" s="30">
        <v>55.6</v>
      </c>
      <c r="CE130" s="30">
        <v>70.099999999999994</v>
      </c>
      <c r="CF130" s="29">
        <f>CD130+CE130</f>
        <v>125.69999999999999</v>
      </c>
      <c r="CG130" s="30">
        <v>69</v>
      </c>
      <c r="CH130" s="30">
        <v>73</v>
      </c>
      <c r="CI130" s="30">
        <v>270.10000000000002</v>
      </c>
      <c r="CJ130" s="30">
        <v>33.299999999999997</v>
      </c>
      <c r="CK130" s="30">
        <v>12.2</v>
      </c>
      <c r="CL130" s="29">
        <f>CJ130+CK130</f>
        <v>45.5</v>
      </c>
      <c r="CM130" s="32">
        <v>8</v>
      </c>
      <c r="CN130" s="32">
        <v>8</v>
      </c>
      <c r="CO130" s="31">
        <f>SUM(CJ130,CK130,CM130,CN130)</f>
        <v>61.5</v>
      </c>
      <c r="CP130" s="31">
        <f>CP119</f>
        <v>125</v>
      </c>
      <c r="CQ130" s="31">
        <f>CQ119</f>
        <v>291.66666666666663</v>
      </c>
      <c r="CR130" s="31">
        <f>CR119</f>
        <v>333.33333333333331</v>
      </c>
      <c r="CS130" s="31">
        <f>CS119</f>
        <v>333.33333333333331</v>
      </c>
      <c r="CT130" s="22" t="s">
        <v>231</v>
      </c>
      <c r="CV130" s="6"/>
      <c r="CW130" s="6"/>
      <c r="CX130" s="6"/>
      <c r="CY130" s="6"/>
    </row>
    <row r="131" spans="2:103" ht="15" customHeight="1" x14ac:dyDescent="0.25">
      <c r="B131" s="36" t="s">
        <v>232</v>
      </c>
      <c r="C131" s="30">
        <v>582.4</v>
      </c>
      <c r="D131" s="30">
        <v>707.2</v>
      </c>
      <c r="E131" s="30">
        <v>822.5</v>
      </c>
      <c r="F131" s="30">
        <v>812.5</v>
      </c>
      <c r="G131" s="30">
        <v>863.8</v>
      </c>
      <c r="H131" s="30">
        <v>944.6</v>
      </c>
      <c r="I131" s="30">
        <v>952.5</v>
      </c>
      <c r="J131" s="29"/>
      <c r="K131" s="29"/>
      <c r="L131" s="29"/>
      <c r="M131" s="29"/>
      <c r="N131" s="29"/>
      <c r="O131" s="30">
        <v>941.2</v>
      </c>
      <c r="P131" s="29"/>
      <c r="Q131" s="29"/>
      <c r="R131" s="29"/>
      <c r="S131" s="29"/>
      <c r="T131" s="29"/>
      <c r="U131" s="30">
        <v>944.6</v>
      </c>
      <c r="V131" s="29"/>
      <c r="W131" s="29"/>
      <c r="X131" s="29"/>
      <c r="Y131" s="29"/>
      <c r="Z131" s="29"/>
      <c r="AA131" s="30">
        <v>802.8</v>
      </c>
      <c r="AB131" s="29"/>
      <c r="AC131" s="29"/>
      <c r="AD131" s="29"/>
      <c r="AE131" s="29"/>
      <c r="AF131" s="29"/>
      <c r="AG131" s="30">
        <v>916.4</v>
      </c>
      <c r="AH131" s="29"/>
      <c r="AI131" s="29"/>
      <c r="AJ131" s="29"/>
      <c r="AK131" s="29"/>
      <c r="AL131" s="29"/>
      <c r="AM131" s="30">
        <v>1250.2</v>
      </c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30">
        <v>5000</v>
      </c>
      <c r="CL131" s="29"/>
      <c r="CM131" s="31"/>
      <c r="CN131" s="31"/>
      <c r="CO131" s="31"/>
      <c r="CP131" s="31"/>
      <c r="CQ131" s="31"/>
      <c r="CR131" s="31"/>
      <c r="CS131" s="31"/>
      <c r="CT131" s="22"/>
      <c r="CV131" s="6"/>
      <c r="CW131" s="6"/>
      <c r="CX131" s="6"/>
      <c r="CY131" s="6"/>
    </row>
    <row r="132" spans="2:103" ht="15" customHeight="1" x14ac:dyDescent="0.25">
      <c r="B132" s="36" t="s">
        <v>233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30">
        <v>1519.4</v>
      </c>
      <c r="BW132" s="29"/>
      <c r="BX132" s="30">
        <v>1433.2</v>
      </c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31"/>
      <c r="CN132" s="31"/>
      <c r="CO132" s="31"/>
      <c r="CP132" s="31"/>
      <c r="CQ132" s="31"/>
      <c r="CR132" s="31"/>
      <c r="CS132" s="31"/>
      <c r="CT132" s="22"/>
      <c r="CV132" s="6"/>
      <c r="CW132" s="6"/>
      <c r="CX132" s="6"/>
      <c r="CY132" s="6"/>
    </row>
    <row r="133" spans="2:103" ht="15" customHeight="1" x14ac:dyDescent="0.25">
      <c r="B133" s="38" t="s">
        <v>234</v>
      </c>
      <c r="C133" s="29" t="str">
        <f t="shared" ref="C133:AH133" si="131">IF(ISNUMBER(C122),ROUND(C122-C152,1),"")</f>
        <v/>
      </c>
      <c r="D133" s="29" t="str">
        <f t="shared" si="131"/>
        <v/>
      </c>
      <c r="E133" s="29">
        <f t="shared" si="131"/>
        <v>0</v>
      </c>
      <c r="F133" s="29">
        <f t="shared" si="131"/>
        <v>0</v>
      </c>
      <c r="G133" s="29">
        <f t="shared" si="131"/>
        <v>0</v>
      </c>
      <c r="H133" s="29">
        <f t="shared" si="131"/>
        <v>0</v>
      </c>
      <c r="I133" s="29">
        <f t="shared" si="131"/>
        <v>0</v>
      </c>
      <c r="J133" s="29">
        <f t="shared" si="131"/>
        <v>0</v>
      </c>
      <c r="K133" s="29">
        <f t="shared" si="131"/>
        <v>0</v>
      </c>
      <c r="L133" s="29">
        <f t="shared" si="131"/>
        <v>0</v>
      </c>
      <c r="M133" s="29">
        <f t="shared" si="131"/>
        <v>0</v>
      </c>
      <c r="N133" s="29">
        <f t="shared" si="131"/>
        <v>0</v>
      </c>
      <c r="O133" s="29">
        <f t="shared" si="131"/>
        <v>0</v>
      </c>
      <c r="P133" s="29">
        <f t="shared" si="131"/>
        <v>0</v>
      </c>
      <c r="Q133" s="29">
        <f t="shared" si="131"/>
        <v>0</v>
      </c>
      <c r="R133" s="29">
        <f t="shared" si="131"/>
        <v>0</v>
      </c>
      <c r="S133" s="29">
        <f t="shared" si="131"/>
        <v>0</v>
      </c>
      <c r="T133" s="29">
        <f t="shared" si="131"/>
        <v>0</v>
      </c>
      <c r="U133" s="29">
        <f t="shared" si="131"/>
        <v>0</v>
      </c>
      <c r="V133" s="29">
        <f t="shared" si="131"/>
        <v>0</v>
      </c>
      <c r="W133" s="29">
        <f t="shared" si="131"/>
        <v>0</v>
      </c>
      <c r="X133" s="29">
        <f t="shared" si="131"/>
        <v>0</v>
      </c>
      <c r="Y133" s="29">
        <f t="shared" si="131"/>
        <v>0</v>
      </c>
      <c r="Z133" s="29">
        <f t="shared" si="131"/>
        <v>0</v>
      </c>
      <c r="AA133" s="29">
        <f t="shared" si="131"/>
        <v>0</v>
      </c>
      <c r="AB133" s="29">
        <f t="shared" si="131"/>
        <v>0</v>
      </c>
      <c r="AC133" s="29">
        <f t="shared" si="131"/>
        <v>0</v>
      </c>
      <c r="AD133" s="29">
        <f t="shared" si="131"/>
        <v>0</v>
      </c>
      <c r="AE133" s="29">
        <f t="shared" si="131"/>
        <v>0</v>
      </c>
      <c r="AF133" s="29">
        <f t="shared" si="131"/>
        <v>0</v>
      </c>
      <c r="AG133" s="29">
        <f t="shared" si="131"/>
        <v>0</v>
      </c>
      <c r="AH133" s="29">
        <f t="shared" si="131"/>
        <v>0</v>
      </c>
      <c r="AI133" s="29">
        <f t="shared" ref="AI133:BN133" si="132">IF(ISNUMBER(AI122),ROUND(AI122-AI152,1),"")</f>
        <v>0</v>
      </c>
      <c r="AJ133" s="29">
        <f t="shared" si="132"/>
        <v>0</v>
      </c>
      <c r="AK133" s="29">
        <f t="shared" si="132"/>
        <v>0</v>
      </c>
      <c r="AL133" s="29">
        <f t="shared" si="132"/>
        <v>0</v>
      </c>
      <c r="AM133" s="29">
        <f t="shared" si="132"/>
        <v>0</v>
      </c>
      <c r="AN133" s="29">
        <f t="shared" si="132"/>
        <v>0</v>
      </c>
      <c r="AO133" s="29">
        <f t="shared" si="132"/>
        <v>0</v>
      </c>
      <c r="AP133" s="29">
        <f t="shared" si="132"/>
        <v>0</v>
      </c>
      <c r="AQ133" s="29">
        <f t="shared" si="132"/>
        <v>0</v>
      </c>
      <c r="AR133" s="29">
        <f t="shared" si="132"/>
        <v>0</v>
      </c>
      <c r="AS133" s="29">
        <f t="shared" si="132"/>
        <v>0</v>
      </c>
      <c r="AT133" s="29">
        <f t="shared" si="132"/>
        <v>0</v>
      </c>
      <c r="AU133" s="29">
        <f t="shared" si="132"/>
        <v>0</v>
      </c>
      <c r="AV133" s="29">
        <f t="shared" si="132"/>
        <v>0</v>
      </c>
      <c r="AW133" s="29">
        <f t="shared" si="132"/>
        <v>0</v>
      </c>
      <c r="AX133" s="29">
        <f t="shared" si="132"/>
        <v>0</v>
      </c>
      <c r="AY133" s="29">
        <f t="shared" si="132"/>
        <v>0</v>
      </c>
      <c r="AZ133" s="29">
        <f t="shared" si="132"/>
        <v>0</v>
      </c>
      <c r="BA133" s="29">
        <f t="shared" si="132"/>
        <v>0</v>
      </c>
      <c r="BB133" s="29">
        <f t="shared" si="132"/>
        <v>0</v>
      </c>
      <c r="BC133" s="29">
        <f t="shared" si="132"/>
        <v>0</v>
      </c>
      <c r="BD133" s="29">
        <f t="shared" si="132"/>
        <v>0</v>
      </c>
      <c r="BE133" s="29">
        <f t="shared" si="132"/>
        <v>0</v>
      </c>
      <c r="BF133" s="29">
        <f t="shared" si="132"/>
        <v>0</v>
      </c>
      <c r="BG133" s="29">
        <f t="shared" si="132"/>
        <v>0</v>
      </c>
      <c r="BH133" s="29">
        <f t="shared" si="132"/>
        <v>0</v>
      </c>
      <c r="BI133" s="29">
        <f t="shared" si="132"/>
        <v>0</v>
      </c>
      <c r="BJ133" s="29">
        <f t="shared" si="132"/>
        <v>0</v>
      </c>
      <c r="BK133" s="29">
        <f t="shared" si="132"/>
        <v>0</v>
      </c>
      <c r="BL133" s="29">
        <f t="shared" si="132"/>
        <v>0</v>
      </c>
      <c r="BM133" s="29">
        <f t="shared" si="132"/>
        <v>0</v>
      </c>
      <c r="BN133" s="29">
        <f t="shared" si="132"/>
        <v>0</v>
      </c>
      <c r="BO133" s="29">
        <f t="shared" ref="BO133:CL133" si="133">IF(ISNUMBER(BO122),ROUND(BO122-BO152,1),"")</f>
        <v>0</v>
      </c>
      <c r="BP133" s="29">
        <f t="shared" si="133"/>
        <v>0</v>
      </c>
      <c r="BQ133" s="29">
        <f t="shared" si="133"/>
        <v>0</v>
      </c>
      <c r="BR133" s="29">
        <f t="shared" si="133"/>
        <v>0</v>
      </c>
      <c r="BS133" s="29">
        <f t="shared" si="133"/>
        <v>0</v>
      </c>
      <c r="BT133" s="29">
        <f t="shared" si="133"/>
        <v>0</v>
      </c>
      <c r="BU133" s="29">
        <f t="shared" si="133"/>
        <v>0</v>
      </c>
      <c r="BV133" s="29">
        <f t="shared" si="133"/>
        <v>0</v>
      </c>
      <c r="BW133" s="29">
        <f t="shared" si="133"/>
        <v>0</v>
      </c>
      <c r="BX133" s="29">
        <f t="shared" si="133"/>
        <v>0</v>
      </c>
      <c r="BY133" s="29">
        <f t="shared" si="133"/>
        <v>0</v>
      </c>
      <c r="BZ133" s="29">
        <f t="shared" si="133"/>
        <v>0</v>
      </c>
      <c r="CA133" s="29">
        <f t="shared" si="133"/>
        <v>0</v>
      </c>
      <c r="CB133" s="29">
        <f t="shared" si="133"/>
        <v>0</v>
      </c>
      <c r="CC133" s="29">
        <f t="shared" si="133"/>
        <v>0</v>
      </c>
      <c r="CD133" s="29">
        <f t="shared" si="133"/>
        <v>0</v>
      </c>
      <c r="CE133" s="29">
        <f t="shared" si="133"/>
        <v>0</v>
      </c>
      <c r="CF133" s="29">
        <f t="shared" si="133"/>
        <v>0</v>
      </c>
      <c r="CG133" s="29">
        <f t="shared" si="133"/>
        <v>0</v>
      </c>
      <c r="CH133" s="29">
        <f t="shared" si="133"/>
        <v>0</v>
      </c>
      <c r="CI133" s="29">
        <f t="shared" si="133"/>
        <v>0</v>
      </c>
      <c r="CJ133" s="29">
        <f t="shared" si="133"/>
        <v>0</v>
      </c>
      <c r="CK133" s="29">
        <f t="shared" si="133"/>
        <v>0</v>
      </c>
      <c r="CL133" s="29">
        <f t="shared" si="133"/>
        <v>0</v>
      </c>
      <c r="CM133" s="31">
        <f t="shared" ref="CM133:CS133" si="134">ROUND(CM122-CM152,1)</f>
        <v>0</v>
      </c>
      <c r="CN133" s="31">
        <f t="shared" si="134"/>
        <v>0</v>
      </c>
      <c r="CO133" s="31">
        <f t="shared" si="134"/>
        <v>0</v>
      </c>
      <c r="CP133" s="31">
        <f t="shared" si="134"/>
        <v>0</v>
      </c>
      <c r="CQ133" s="31">
        <f t="shared" si="134"/>
        <v>0</v>
      </c>
      <c r="CR133" s="31">
        <f t="shared" si="134"/>
        <v>0</v>
      </c>
      <c r="CS133" s="31">
        <f t="shared" si="134"/>
        <v>0</v>
      </c>
      <c r="CT133" s="22"/>
      <c r="CV133" s="6"/>
      <c r="CW133" s="6"/>
      <c r="CX133" s="6"/>
      <c r="CY133" s="6"/>
    </row>
    <row r="134" spans="2:103" ht="15" customHeight="1" x14ac:dyDescent="0.25">
      <c r="B134" s="38" t="s">
        <v>235</v>
      </c>
      <c r="C134" s="29" t="str">
        <f t="shared" ref="C134:AH134" si="135">IF(ISNUMBER(C126),ROUND(C126-C160,1),"")</f>
        <v/>
      </c>
      <c r="D134" s="29" t="str">
        <f t="shared" si="135"/>
        <v/>
      </c>
      <c r="E134" s="29">
        <f t="shared" si="135"/>
        <v>0</v>
      </c>
      <c r="F134" s="29">
        <f t="shared" si="135"/>
        <v>0</v>
      </c>
      <c r="G134" s="29">
        <f t="shared" si="135"/>
        <v>0</v>
      </c>
      <c r="H134" s="29">
        <f t="shared" si="135"/>
        <v>0</v>
      </c>
      <c r="I134" s="29">
        <f t="shared" si="135"/>
        <v>0</v>
      </c>
      <c r="J134" s="29">
        <f t="shared" si="135"/>
        <v>0</v>
      </c>
      <c r="K134" s="29">
        <f t="shared" si="135"/>
        <v>0</v>
      </c>
      <c r="L134" s="29">
        <f t="shared" si="135"/>
        <v>0</v>
      </c>
      <c r="M134" s="29">
        <f t="shared" si="135"/>
        <v>0</v>
      </c>
      <c r="N134" s="29">
        <f t="shared" si="135"/>
        <v>0</v>
      </c>
      <c r="O134" s="29">
        <f t="shared" si="135"/>
        <v>0</v>
      </c>
      <c r="P134" s="29">
        <f t="shared" si="135"/>
        <v>0</v>
      </c>
      <c r="Q134" s="29">
        <f t="shared" si="135"/>
        <v>0</v>
      </c>
      <c r="R134" s="29">
        <f t="shared" si="135"/>
        <v>0</v>
      </c>
      <c r="S134" s="29">
        <f t="shared" si="135"/>
        <v>0</v>
      </c>
      <c r="T134" s="29">
        <f t="shared" si="135"/>
        <v>0</v>
      </c>
      <c r="U134" s="29">
        <f t="shared" si="135"/>
        <v>0</v>
      </c>
      <c r="V134" s="29">
        <f t="shared" si="135"/>
        <v>0</v>
      </c>
      <c r="W134" s="29">
        <f t="shared" si="135"/>
        <v>0</v>
      </c>
      <c r="X134" s="29">
        <f t="shared" si="135"/>
        <v>0</v>
      </c>
      <c r="Y134" s="29">
        <f t="shared" si="135"/>
        <v>0</v>
      </c>
      <c r="Z134" s="29">
        <f t="shared" si="135"/>
        <v>0</v>
      </c>
      <c r="AA134" s="29">
        <f t="shared" si="135"/>
        <v>0</v>
      </c>
      <c r="AB134" s="29">
        <f t="shared" si="135"/>
        <v>0</v>
      </c>
      <c r="AC134" s="29">
        <f t="shared" si="135"/>
        <v>0</v>
      </c>
      <c r="AD134" s="29">
        <f t="shared" si="135"/>
        <v>0</v>
      </c>
      <c r="AE134" s="29">
        <f t="shared" si="135"/>
        <v>0</v>
      </c>
      <c r="AF134" s="29">
        <f t="shared" si="135"/>
        <v>0</v>
      </c>
      <c r="AG134" s="29">
        <f t="shared" si="135"/>
        <v>0</v>
      </c>
      <c r="AH134" s="29">
        <f t="shared" si="135"/>
        <v>0</v>
      </c>
      <c r="AI134" s="29">
        <f t="shared" ref="AI134:BN134" si="136">IF(ISNUMBER(AI126),ROUND(AI126-AI160,1),"")</f>
        <v>0</v>
      </c>
      <c r="AJ134" s="29">
        <f t="shared" si="136"/>
        <v>0</v>
      </c>
      <c r="AK134" s="29">
        <f t="shared" si="136"/>
        <v>0</v>
      </c>
      <c r="AL134" s="29">
        <f t="shared" si="136"/>
        <v>0</v>
      </c>
      <c r="AM134" s="29">
        <f t="shared" si="136"/>
        <v>0</v>
      </c>
      <c r="AN134" s="29">
        <f t="shared" si="136"/>
        <v>0</v>
      </c>
      <c r="AO134" s="29">
        <f t="shared" si="136"/>
        <v>0</v>
      </c>
      <c r="AP134" s="29">
        <f t="shared" si="136"/>
        <v>0</v>
      </c>
      <c r="AQ134" s="29">
        <f t="shared" si="136"/>
        <v>0</v>
      </c>
      <c r="AR134" s="29">
        <f t="shared" si="136"/>
        <v>0</v>
      </c>
      <c r="AS134" s="29">
        <f t="shared" si="136"/>
        <v>0</v>
      </c>
      <c r="AT134" s="29">
        <f t="shared" si="136"/>
        <v>0</v>
      </c>
      <c r="AU134" s="29">
        <f t="shared" si="136"/>
        <v>0</v>
      </c>
      <c r="AV134" s="29">
        <f t="shared" si="136"/>
        <v>0</v>
      </c>
      <c r="AW134" s="29">
        <f t="shared" si="136"/>
        <v>0</v>
      </c>
      <c r="AX134" s="29">
        <f t="shared" si="136"/>
        <v>0</v>
      </c>
      <c r="AY134" s="29">
        <f t="shared" si="136"/>
        <v>0</v>
      </c>
      <c r="AZ134" s="29">
        <f t="shared" si="136"/>
        <v>0</v>
      </c>
      <c r="BA134" s="29">
        <f t="shared" si="136"/>
        <v>0</v>
      </c>
      <c r="BB134" s="29">
        <f t="shared" si="136"/>
        <v>0</v>
      </c>
      <c r="BC134" s="29">
        <f t="shared" si="136"/>
        <v>0</v>
      </c>
      <c r="BD134" s="29">
        <f t="shared" si="136"/>
        <v>0</v>
      </c>
      <c r="BE134" s="29">
        <f t="shared" si="136"/>
        <v>0</v>
      </c>
      <c r="BF134" s="29">
        <f t="shared" si="136"/>
        <v>0</v>
      </c>
      <c r="BG134" s="29">
        <f t="shared" si="136"/>
        <v>0</v>
      </c>
      <c r="BH134" s="29">
        <f t="shared" si="136"/>
        <v>0</v>
      </c>
      <c r="BI134" s="29">
        <f t="shared" si="136"/>
        <v>0</v>
      </c>
      <c r="BJ134" s="29">
        <f t="shared" si="136"/>
        <v>0</v>
      </c>
      <c r="BK134" s="29">
        <f t="shared" si="136"/>
        <v>0</v>
      </c>
      <c r="BL134" s="29">
        <f t="shared" si="136"/>
        <v>0</v>
      </c>
      <c r="BM134" s="29">
        <f t="shared" si="136"/>
        <v>0</v>
      </c>
      <c r="BN134" s="29">
        <f t="shared" si="136"/>
        <v>0</v>
      </c>
      <c r="BO134" s="29">
        <f t="shared" ref="BO134:CL134" si="137">IF(ISNUMBER(BO126),ROUND(BO126-BO160,1),"")</f>
        <v>0</v>
      </c>
      <c r="BP134" s="29">
        <f t="shared" si="137"/>
        <v>0</v>
      </c>
      <c r="BQ134" s="29">
        <f t="shared" si="137"/>
        <v>0</v>
      </c>
      <c r="BR134" s="29">
        <f t="shared" si="137"/>
        <v>0</v>
      </c>
      <c r="BS134" s="29">
        <f t="shared" si="137"/>
        <v>0</v>
      </c>
      <c r="BT134" s="29">
        <f t="shared" si="137"/>
        <v>0</v>
      </c>
      <c r="BU134" s="29">
        <f t="shared" si="137"/>
        <v>0</v>
      </c>
      <c r="BV134" s="29">
        <f t="shared" si="137"/>
        <v>0</v>
      </c>
      <c r="BW134" s="29">
        <f t="shared" si="137"/>
        <v>0</v>
      </c>
      <c r="BX134" s="29">
        <f t="shared" si="137"/>
        <v>0</v>
      </c>
      <c r="BY134" s="29">
        <f t="shared" si="137"/>
        <v>0</v>
      </c>
      <c r="BZ134" s="29">
        <f t="shared" si="137"/>
        <v>0</v>
      </c>
      <c r="CA134" s="29">
        <f t="shared" si="137"/>
        <v>0</v>
      </c>
      <c r="CB134" s="29">
        <f t="shared" si="137"/>
        <v>0</v>
      </c>
      <c r="CC134" s="29">
        <f t="shared" si="137"/>
        <v>0</v>
      </c>
      <c r="CD134" s="29">
        <f t="shared" si="137"/>
        <v>0</v>
      </c>
      <c r="CE134" s="29">
        <f t="shared" si="137"/>
        <v>0</v>
      </c>
      <c r="CF134" s="29">
        <f t="shared" si="137"/>
        <v>0</v>
      </c>
      <c r="CG134" s="29">
        <f t="shared" si="137"/>
        <v>0</v>
      </c>
      <c r="CH134" s="29">
        <f t="shared" si="137"/>
        <v>0</v>
      </c>
      <c r="CI134" s="29">
        <f t="shared" si="137"/>
        <v>0</v>
      </c>
      <c r="CJ134" s="29">
        <f t="shared" si="137"/>
        <v>0</v>
      </c>
      <c r="CK134" s="29">
        <f t="shared" si="137"/>
        <v>0</v>
      </c>
      <c r="CL134" s="29">
        <f t="shared" si="137"/>
        <v>0</v>
      </c>
      <c r="CM134" s="31">
        <f t="shared" ref="CM134:CS134" si="138">ROUND(CM126-CM160,1)</f>
        <v>0</v>
      </c>
      <c r="CN134" s="31">
        <f t="shared" si="138"/>
        <v>0</v>
      </c>
      <c r="CO134" s="31">
        <f t="shared" si="138"/>
        <v>0</v>
      </c>
      <c r="CP134" s="31">
        <f t="shared" si="138"/>
        <v>0</v>
      </c>
      <c r="CQ134" s="31">
        <f t="shared" si="138"/>
        <v>0</v>
      </c>
      <c r="CR134" s="31">
        <f t="shared" si="138"/>
        <v>0</v>
      </c>
      <c r="CS134" s="31">
        <f t="shared" si="138"/>
        <v>0</v>
      </c>
      <c r="CT134" s="22"/>
      <c r="CV134" s="6"/>
      <c r="CW134" s="6"/>
      <c r="CX134" s="6"/>
      <c r="CY134" s="6"/>
    </row>
    <row r="135" spans="2:103" ht="15" customHeight="1" x14ac:dyDescent="0.25">
      <c r="B135" s="38" t="s">
        <v>236</v>
      </c>
      <c r="C135" s="29" t="str">
        <f t="shared" ref="C135:AH135" si="139">IF(AND(ISNUMBER(C123),ISNUMBER(C195)),ROUND(C123-C195,1),"n/p")</f>
        <v>n/p</v>
      </c>
      <c r="D135" s="29" t="str">
        <f t="shared" si="139"/>
        <v>n/p</v>
      </c>
      <c r="E135" s="29" t="str">
        <f t="shared" si="139"/>
        <v>n/p</v>
      </c>
      <c r="F135" s="29" t="str">
        <f t="shared" si="139"/>
        <v>n/p</v>
      </c>
      <c r="G135" s="29" t="str">
        <f t="shared" si="139"/>
        <v>n/p</v>
      </c>
      <c r="H135" s="29" t="str">
        <f t="shared" si="139"/>
        <v>n/p</v>
      </c>
      <c r="I135" s="29" t="str">
        <f t="shared" si="139"/>
        <v>n/p</v>
      </c>
      <c r="J135" s="29" t="str">
        <f t="shared" si="139"/>
        <v>n/p</v>
      </c>
      <c r="K135" s="29" t="str">
        <f t="shared" si="139"/>
        <v>n/p</v>
      </c>
      <c r="L135" s="29" t="str">
        <f t="shared" si="139"/>
        <v>n/p</v>
      </c>
      <c r="M135" s="29" t="str">
        <f t="shared" si="139"/>
        <v>n/p</v>
      </c>
      <c r="N135" s="29" t="str">
        <f t="shared" si="139"/>
        <v>n/p</v>
      </c>
      <c r="O135" s="29" t="str">
        <f t="shared" si="139"/>
        <v>n/p</v>
      </c>
      <c r="P135" s="29" t="str">
        <f t="shared" si="139"/>
        <v>n/p</v>
      </c>
      <c r="Q135" s="29" t="str">
        <f t="shared" si="139"/>
        <v>n/p</v>
      </c>
      <c r="R135" s="29" t="str">
        <f t="shared" si="139"/>
        <v>n/p</v>
      </c>
      <c r="S135" s="29" t="str">
        <f t="shared" si="139"/>
        <v>n/p</v>
      </c>
      <c r="T135" s="29" t="str">
        <f t="shared" si="139"/>
        <v>n/p</v>
      </c>
      <c r="U135" s="29" t="str">
        <f t="shared" si="139"/>
        <v>n/p</v>
      </c>
      <c r="V135" s="29" t="str">
        <f t="shared" si="139"/>
        <v>n/p</v>
      </c>
      <c r="W135" s="29" t="str">
        <f t="shared" si="139"/>
        <v>n/p</v>
      </c>
      <c r="X135" s="29" t="str">
        <f t="shared" si="139"/>
        <v>n/p</v>
      </c>
      <c r="Y135" s="29" t="str">
        <f t="shared" si="139"/>
        <v>n/p</v>
      </c>
      <c r="Z135" s="29" t="str">
        <f t="shared" si="139"/>
        <v>n/p</v>
      </c>
      <c r="AA135" s="29" t="str">
        <f t="shared" si="139"/>
        <v>n/p</v>
      </c>
      <c r="AB135" s="29" t="str">
        <f t="shared" si="139"/>
        <v>n/p</v>
      </c>
      <c r="AC135" s="29" t="str">
        <f t="shared" si="139"/>
        <v>n/p</v>
      </c>
      <c r="AD135" s="29" t="str">
        <f t="shared" si="139"/>
        <v>n/p</v>
      </c>
      <c r="AE135" s="29" t="str">
        <f t="shared" si="139"/>
        <v>n/p</v>
      </c>
      <c r="AF135" s="29" t="str">
        <f t="shared" si="139"/>
        <v>n/p</v>
      </c>
      <c r="AG135" s="29" t="str">
        <f t="shared" si="139"/>
        <v>n/p</v>
      </c>
      <c r="AH135" s="29" t="str">
        <f t="shared" si="139"/>
        <v>n/p</v>
      </c>
      <c r="AI135" s="29" t="str">
        <f t="shared" ref="AI135:BN135" si="140">IF(AND(ISNUMBER(AI123),ISNUMBER(AI195)),ROUND(AI123-AI195,1),"n/p")</f>
        <v>n/p</v>
      </c>
      <c r="AJ135" s="29" t="str">
        <f t="shared" si="140"/>
        <v>n/p</v>
      </c>
      <c r="AK135" s="29" t="str">
        <f t="shared" si="140"/>
        <v>n/p</v>
      </c>
      <c r="AL135" s="29" t="str">
        <f t="shared" si="140"/>
        <v>n/p</v>
      </c>
      <c r="AM135" s="29" t="str">
        <f t="shared" si="140"/>
        <v>n/p</v>
      </c>
      <c r="AN135" s="29" t="str">
        <f t="shared" si="140"/>
        <v>n/p</v>
      </c>
      <c r="AO135" s="29" t="str">
        <f t="shared" si="140"/>
        <v>n/p</v>
      </c>
      <c r="AP135" s="29" t="str">
        <f t="shared" si="140"/>
        <v>n/p</v>
      </c>
      <c r="AQ135" s="29" t="str">
        <f t="shared" si="140"/>
        <v>n/p</v>
      </c>
      <c r="AR135" s="29" t="str">
        <f t="shared" si="140"/>
        <v>n/p</v>
      </c>
      <c r="AS135" s="29" t="str">
        <f t="shared" si="140"/>
        <v>n/p</v>
      </c>
      <c r="AT135" s="29" t="str">
        <f t="shared" si="140"/>
        <v>n/p</v>
      </c>
      <c r="AU135" s="29" t="str">
        <f t="shared" si="140"/>
        <v>n/p</v>
      </c>
      <c r="AV135" s="29" t="str">
        <f t="shared" si="140"/>
        <v>n/p</v>
      </c>
      <c r="AW135" s="29" t="str">
        <f t="shared" si="140"/>
        <v>n/p</v>
      </c>
      <c r="AX135" s="29" t="str">
        <f t="shared" si="140"/>
        <v>n/p</v>
      </c>
      <c r="AY135" s="29" t="str">
        <f t="shared" si="140"/>
        <v>n/p</v>
      </c>
      <c r="AZ135" s="29">
        <f t="shared" si="140"/>
        <v>0</v>
      </c>
      <c r="BA135" s="29">
        <f t="shared" si="140"/>
        <v>0</v>
      </c>
      <c r="BB135" s="29">
        <f t="shared" si="140"/>
        <v>0</v>
      </c>
      <c r="BC135" s="29">
        <f t="shared" si="140"/>
        <v>0</v>
      </c>
      <c r="BD135" s="29">
        <f t="shared" si="140"/>
        <v>0</v>
      </c>
      <c r="BE135" s="29">
        <f t="shared" si="140"/>
        <v>0</v>
      </c>
      <c r="BF135" s="29">
        <f t="shared" si="140"/>
        <v>0</v>
      </c>
      <c r="BG135" s="29">
        <f t="shared" si="140"/>
        <v>0</v>
      </c>
      <c r="BH135" s="29">
        <f t="shared" si="140"/>
        <v>0</v>
      </c>
      <c r="BI135" s="29">
        <f t="shared" si="140"/>
        <v>0</v>
      </c>
      <c r="BJ135" s="29">
        <f t="shared" si="140"/>
        <v>0</v>
      </c>
      <c r="BK135" s="29">
        <f t="shared" si="140"/>
        <v>0</v>
      </c>
      <c r="BL135" s="29">
        <f t="shared" si="140"/>
        <v>0</v>
      </c>
      <c r="BM135" s="29">
        <f t="shared" si="140"/>
        <v>0</v>
      </c>
      <c r="BN135" s="29">
        <f t="shared" si="140"/>
        <v>0</v>
      </c>
      <c r="BO135" s="29">
        <f t="shared" ref="BO135:CL135" si="141">IF(AND(ISNUMBER(BO123),ISNUMBER(BO195)),ROUND(BO123-BO195,1),"n/p")</f>
        <v>0</v>
      </c>
      <c r="BP135" s="29">
        <f t="shared" si="141"/>
        <v>0</v>
      </c>
      <c r="BQ135" s="29">
        <f t="shared" si="141"/>
        <v>0</v>
      </c>
      <c r="BR135" s="29">
        <f t="shared" si="141"/>
        <v>0</v>
      </c>
      <c r="BS135" s="29">
        <f t="shared" si="141"/>
        <v>0</v>
      </c>
      <c r="BT135" s="29">
        <f t="shared" si="141"/>
        <v>0</v>
      </c>
      <c r="BU135" s="29">
        <f t="shared" si="141"/>
        <v>0</v>
      </c>
      <c r="BV135" s="29">
        <f t="shared" si="141"/>
        <v>0</v>
      </c>
      <c r="BW135" s="29">
        <f t="shared" si="141"/>
        <v>0</v>
      </c>
      <c r="BX135" s="29">
        <f t="shared" si="141"/>
        <v>0</v>
      </c>
      <c r="BY135" s="29">
        <f t="shared" si="141"/>
        <v>0</v>
      </c>
      <c r="BZ135" s="29">
        <f t="shared" si="141"/>
        <v>0</v>
      </c>
      <c r="CA135" s="29">
        <f t="shared" si="141"/>
        <v>0</v>
      </c>
      <c r="CB135" s="29">
        <f t="shared" si="141"/>
        <v>0</v>
      </c>
      <c r="CC135" s="29">
        <f t="shared" si="141"/>
        <v>0</v>
      </c>
      <c r="CD135" s="29">
        <f t="shared" si="141"/>
        <v>0</v>
      </c>
      <c r="CE135" s="29">
        <f t="shared" si="141"/>
        <v>0</v>
      </c>
      <c r="CF135" s="29">
        <f t="shared" si="141"/>
        <v>0</v>
      </c>
      <c r="CG135" s="29">
        <f t="shared" si="141"/>
        <v>0</v>
      </c>
      <c r="CH135" s="29">
        <f t="shared" si="141"/>
        <v>0</v>
      </c>
      <c r="CI135" s="29">
        <f t="shared" si="141"/>
        <v>0</v>
      </c>
      <c r="CJ135" s="29">
        <f t="shared" si="141"/>
        <v>0</v>
      </c>
      <c r="CK135" s="29">
        <f t="shared" si="141"/>
        <v>0</v>
      </c>
      <c r="CL135" s="29">
        <f t="shared" si="141"/>
        <v>0</v>
      </c>
      <c r="CM135" s="31">
        <f t="shared" ref="CM135:CS135" si="142">ROUND(CM123-CM193,1)</f>
        <v>0</v>
      </c>
      <c r="CN135" s="31">
        <f t="shared" si="142"/>
        <v>0</v>
      </c>
      <c r="CO135" s="31">
        <f t="shared" si="142"/>
        <v>0</v>
      </c>
      <c r="CP135" s="31">
        <f t="shared" si="142"/>
        <v>0</v>
      </c>
      <c r="CQ135" s="31">
        <f t="shared" si="142"/>
        <v>0</v>
      </c>
      <c r="CR135" s="31">
        <f t="shared" si="142"/>
        <v>0</v>
      </c>
      <c r="CS135" s="31">
        <f t="shared" si="142"/>
        <v>0</v>
      </c>
      <c r="CT135" s="22"/>
      <c r="CV135" s="6"/>
      <c r="CW135" s="6"/>
      <c r="CX135" s="6"/>
      <c r="CY135" s="6"/>
    </row>
    <row r="136" spans="2:103" ht="15" customHeight="1" x14ac:dyDescent="0.25">
      <c r="B136" s="12"/>
      <c r="CM136" s="6"/>
      <c r="CN136" s="6"/>
      <c r="CO136" s="6"/>
      <c r="CP136" s="6"/>
      <c r="CQ136" s="6"/>
      <c r="CR136" s="6"/>
      <c r="CS136" s="6"/>
      <c r="CT136" s="6"/>
    </row>
    <row r="137" spans="2:103" ht="15" customHeight="1" x14ac:dyDescent="0.25">
      <c r="B137" s="16" t="s">
        <v>237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7" t="s">
        <v>238</v>
      </c>
    </row>
    <row r="138" spans="2:103" ht="15" customHeight="1" x14ac:dyDescent="0.25">
      <c r="B138" s="25" t="s">
        <v>239</v>
      </c>
      <c r="C138" s="39">
        <f t="shared" ref="C138:AH138" si="143">IFERROR(C155/C152,"")</f>
        <v>0.71183365894501816</v>
      </c>
      <c r="D138" s="39">
        <f t="shared" si="143"/>
        <v>0.70048696295383106</v>
      </c>
      <c r="E138" s="39">
        <f t="shared" si="143"/>
        <v>0.70029036004645762</v>
      </c>
      <c r="F138" s="39">
        <f t="shared" si="143"/>
        <v>0.71260819562980449</v>
      </c>
      <c r="G138" s="39">
        <f t="shared" si="143"/>
        <v>0.69827271621457232</v>
      </c>
      <c r="H138" s="39">
        <f t="shared" si="143"/>
        <v>0.66465832432154071</v>
      </c>
      <c r="I138" s="39">
        <f t="shared" si="143"/>
        <v>0.64828656042871236</v>
      </c>
      <c r="J138" s="39">
        <f t="shared" si="143"/>
        <v>0.64172813487881974</v>
      </c>
      <c r="K138" s="39">
        <f t="shared" si="143"/>
        <v>0.63826955074875213</v>
      </c>
      <c r="L138" s="39">
        <f t="shared" si="143"/>
        <v>0.63995215311004783</v>
      </c>
      <c r="M138" s="39">
        <f t="shared" si="143"/>
        <v>0.64555633310006999</v>
      </c>
      <c r="N138" s="39">
        <f t="shared" si="143"/>
        <v>0.64029500502849479</v>
      </c>
      <c r="O138" s="39">
        <f t="shared" si="143"/>
        <v>0.6414093902334731</v>
      </c>
      <c r="P138" s="39">
        <f t="shared" si="143"/>
        <v>0.61325196163905837</v>
      </c>
      <c r="Q138" s="39">
        <f t="shared" si="143"/>
        <v>0.61698208005359234</v>
      </c>
      <c r="R138" s="39">
        <f t="shared" si="143"/>
        <v>0.61515462156159229</v>
      </c>
      <c r="S138" s="39">
        <f t="shared" si="143"/>
        <v>0.62452171019797031</v>
      </c>
      <c r="T138" s="39">
        <f t="shared" si="143"/>
        <v>0.62927848304676215</v>
      </c>
      <c r="U138" s="39">
        <f t="shared" si="143"/>
        <v>0.62117794486215538</v>
      </c>
      <c r="V138" s="39">
        <f t="shared" si="143"/>
        <v>0.61221238938053091</v>
      </c>
      <c r="W138" s="39">
        <f t="shared" si="143"/>
        <v>0.61917950493335638</v>
      </c>
      <c r="X138" s="39">
        <f t="shared" si="143"/>
        <v>0.6157346635162334</v>
      </c>
      <c r="Y138" s="39">
        <f t="shared" si="143"/>
        <v>0.62261433201296368</v>
      </c>
      <c r="Z138" s="39">
        <f t="shared" si="143"/>
        <v>0.6306666666666666</v>
      </c>
      <c r="AA138" s="39">
        <f t="shared" si="143"/>
        <v>0.62129585309603585</v>
      </c>
      <c r="AB138" s="39">
        <f t="shared" si="143"/>
        <v>0.61225259189443926</v>
      </c>
      <c r="AC138" s="39">
        <f t="shared" si="143"/>
        <v>0.62293866963127653</v>
      </c>
      <c r="AD138" s="39">
        <f t="shared" si="143"/>
        <v>0.61764156232479905</v>
      </c>
      <c r="AE138" s="39">
        <f t="shared" si="143"/>
        <v>0.60174639331814739</v>
      </c>
      <c r="AF138" s="39">
        <f t="shared" si="143"/>
        <v>0.61493941038162414</v>
      </c>
      <c r="AG138" s="39">
        <f t="shared" si="143"/>
        <v>0.6130517698497604</v>
      </c>
      <c r="AH138" s="39">
        <f t="shared" si="143"/>
        <v>0.63063063063063063</v>
      </c>
      <c r="AI138" s="39">
        <f t="shared" ref="AI138:BN138" si="144">IFERROR(AI155/AI152,"")</f>
        <v>0.62762628520339736</v>
      </c>
      <c r="AJ138" s="39">
        <f t="shared" si="144"/>
        <v>0.62900096993210475</v>
      </c>
      <c r="AK138" s="39">
        <f t="shared" si="144"/>
        <v>0.61703412866203566</v>
      </c>
      <c r="AL138" s="39">
        <f t="shared" si="144"/>
        <v>0.62067007382169226</v>
      </c>
      <c r="AM138" s="39">
        <f t="shared" si="144"/>
        <v>0.62370381749750359</v>
      </c>
      <c r="AN138" s="39">
        <f t="shared" si="144"/>
        <v>0.62995974698102353</v>
      </c>
      <c r="AO138" s="39">
        <f t="shared" si="144"/>
        <v>0.61023890784982937</v>
      </c>
      <c r="AP138" s="39">
        <f t="shared" si="144"/>
        <v>0.61984454870107142</v>
      </c>
      <c r="AQ138" s="39">
        <f t="shared" si="144"/>
        <v>0.61519371294636704</v>
      </c>
      <c r="AR138" s="39">
        <f t="shared" si="144"/>
        <v>0.61411010154997336</v>
      </c>
      <c r="AS138" s="39">
        <f t="shared" si="144"/>
        <v>0.61720311530773997</v>
      </c>
      <c r="AT138" s="39">
        <f t="shared" si="144"/>
        <v>0.62251744498121298</v>
      </c>
      <c r="AU138" s="39">
        <f t="shared" si="144"/>
        <v>0.59283887468030694</v>
      </c>
      <c r="AV138" s="39">
        <f t="shared" si="144"/>
        <v>0.60732058669460454</v>
      </c>
      <c r="AW138" s="39">
        <f t="shared" si="144"/>
        <v>0.60795312889553721</v>
      </c>
      <c r="AX138" s="39">
        <f t="shared" si="144"/>
        <v>0.6054902900982978</v>
      </c>
      <c r="AY138" s="39">
        <f t="shared" si="144"/>
        <v>0.60699835630294596</v>
      </c>
      <c r="AZ138" s="39">
        <f t="shared" si="144"/>
        <v>0.62783583991842984</v>
      </c>
      <c r="BA138" s="39">
        <f t="shared" si="144"/>
        <v>0.61966904345486351</v>
      </c>
      <c r="BB138" s="39">
        <f t="shared" si="144"/>
        <v>0.62386281824726753</v>
      </c>
      <c r="BC138" s="39">
        <f t="shared" si="144"/>
        <v>0.61214953271028039</v>
      </c>
      <c r="BD138" s="39">
        <f t="shared" si="144"/>
        <v>0.60990979859137529</v>
      </c>
      <c r="BE138" s="39">
        <f t="shared" si="144"/>
        <v>0.61736115611431541</v>
      </c>
      <c r="BF138" s="39">
        <f t="shared" si="144"/>
        <v>0.61126970336353481</v>
      </c>
      <c r="BG138" s="39">
        <f t="shared" si="144"/>
        <v>0.59152542372881356</v>
      </c>
      <c r="BH138" s="39">
        <f t="shared" si="144"/>
        <v>0.59978201069185644</v>
      </c>
      <c r="BI138" s="39">
        <f t="shared" si="144"/>
        <v>0.60042686180349114</v>
      </c>
      <c r="BJ138" s="39">
        <f t="shared" si="144"/>
        <v>0.60303845315112303</v>
      </c>
      <c r="BK138" s="39">
        <f t="shared" si="144"/>
        <v>0.60093622001170277</v>
      </c>
      <c r="BL138" s="39">
        <f t="shared" si="144"/>
        <v>0.56971990915972748</v>
      </c>
      <c r="BM138" s="39">
        <f t="shared" si="144"/>
        <v>0.58164921079805287</v>
      </c>
      <c r="BN138" s="39">
        <f t="shared" si="144"/>
        <v>0.57576210400478178</v>
      </c>
      <c r="BO138" s="39">
        <f t="shared" ref="BO138:CL138" si="145">IFERROR(BO155/BO152,"")</f>
        <v>0.57626870049867995</v>
      </c>
      <c r="BP138" s="39">
        <f t="shared" si="145"/>
        <v>0.56501198702580735</v>
      </c>
      <c r="BQ138" s="39">
        <f t="shared" si="145"/>
        <v>0.57309566555527058</v>
      </c>
      <c r="BR138" s="39">
        <f t="shared" si="145"/>
        <v>0.57160413503939855</v>
      </c>
      <c r="BS138" s="39">
        <f t="shared" si="145"/>
        <v>0.56594370744718181</v>
      </c>
      <c r="BT138" s="39">
        <f t="shared" si="145"/>
        <v>0.56873219373219375</v>
      </c>
      <c r="BU138" s="39">
        <f t="shared" si="145"/>
        <v>0.56841354723707671</v>
      </c>
      <c r="BV138" s="39">
        <f t="shared" si="145"/>
        <v>0.56273684210526309</v>
      </c>
      <c r="BW138" s="39">
        <f t="shared" si="145"/>
        <v>0.56713690000887229</v>
      </c>
      <c r="BX138" s="39">
        <f t="shared" si="145"/>
        <v>0.57047626101770244</v>
      </c>
      <c r="BY138" s="39">
        <f t="shared" si="145"/>
        <v>0.56873589986172768</v>
      </c>
      <c r="BZ138" s="39">
        <f t="shared" si="145"/>
        <v>0.56959841421334712</v>
      </c>
      <c r="CA138" s="39">
        <f t="shared" si="145"/>
        <v>0.57076550051957042</v>
      </c>
      <c r="CB138" s="39">
        <f t="shared" si="145"/>
        <v>0.57218930972508819</v>
      </c>
      <c r="CC138" s="39">
        <f t="shared" si="145"/>
        <v>0.57058201058201052</v>
      </c>
      <c r="CD138" s="39">
        <f t="shared" si="145"/>
        <v>0.57272915373474031</v>
      </c>
      <c r="CE138" s="39">
        <f t="shared" si="145"/>
        <v>0.57415604148774524</v>
      </c>
      <c r="CF138" s="39">
        <f t="shared" si="145"/>
        <v>0.57345795653934395</v>
      </c>
      <c r="CG138" s="39">
        <f t="shared" si="145"/>
        <v>0.57161416044170188</v>
      </c>
      <c r="CH138" s="39">
        <f t="shared" si="145"/>
        <v>0.57129566457855241</v>
      </c>
      <c r="CI138" s="39">
        <f t="shared" si="145"/>
        <v>0.57242371717303853</v>
      </c>
      <c r="CJ138" s="39">
        <f t="shared" si="145"/>
        <v>0.56810460867893087</v>
      </c>
      <c r="CK138" s="39">
        <f t="shared" si="145"/>
        <v>0.55603007518796987</v>
      </c>
      <c r="CL138" s="39">
        <f t="shared" si="145"/>
        <v>0.56187550425122568</v>
      </c>
      <c r="CM138" s="27">
        <f>CG138+$CL$138-$CF$138</f>
        <v>0.56003170815358361</v>
      </c>
      <c r="CN138" s="27">
        <f>CH138+$CL$138-$CF$138</f>
        <v>0.55971321229043414</v>
      </c>
      <c r="CO138" s="27">
        <f>IFERROR(CO155/CO152,"")</f>
        <v>0.56083596664160551</v>
      </c>
      <c r="CP138" s="45">
        <v>0.56399999999999995</v>
      </c>
      <c r="CQ138" s="45">
        <v>0.56200000000000006</v>
      </c>
      <c r="CR138" s="45">
        <v>0.56000000000000005</v>
      </c>
      <c r="CS138" s="45">
        <v>0.55800000000000005</v>
      </c>
      <c r="CT138" s="22" t="s">
        <v>240</v>
      </c>
      <c r="CV138" s="40">
        <f>IFERROR(AVERAGE(CO138,CP138,CQ138,CR138,CS138),"n/m")</f>
        <v>0.56096719332832112</v>
      </c>
      <c r="CW138" s="40">
        <f>IFERROR(AVERAGE(BK138,BQ138,BW138,CC138,CI138),"n/m")</f>
        <v>0.57683490266617887</v>
      </c>
      <c r="CX138" s="40">
        <f>IFERROR(AVERAGE(AG138,AM138,AS138,AY138,BE138,BK138,BQ138,BW138,CC138,CI138),"n/m")</f>
        <v>0.59624927284031615</v>
      </c>
      <c r="CY138" s="40">
        <f>IFERROR(AVERAGE(C138,D138,E138,F138,G138,H138,I138,O138,U138,AA138,AG138,AM138,AS138,AY138,BE138,BK138,BQ138,BW138,CC138,CI138),"n/m")</f>
        <v>0.63414063475673776</v>
      </c>
    </row>
    <row r="139" spans="2:103" ht="15" customHeight="1" x14ac:dyDescent="0.25">
      <c r="B139" s="25" t="s">
        <v>241</v>
      </c>
      <c r="C139" s="39">
        <f t="shared" ref="C139:AH139" si="146">IFERROR(C140/C152,"")</f>
        <v>1.6955065587496512E-2</v>
      </c>
      <c r="D139" s="39">
        <f t="shared" si="146"/>
        <v>1.7444369105590832E-2</v>
      </c>
      <c r="E139" s="39">
        <f t="shared" si="146"/>
        <v>1.6957026713124275E-2</v>
      </c>
      <c r="F139" s="39">
        <f t="shared" si="146"/>
        <v>1.8219236123721325E-2</v>
      </c>
      <c r="G139" s="39">
        <f t="shared" si="146"/>
        <v>1.8914973847463813E-2</v>
      </c>
      <c r="H139" s="39">
        <f t="shared" si="146"/>
        <v>2.0392399196663063E-2</v>
      </c>
      <c r="I139" s="39">
        <f t="shared" si="146"/>
        <v>2.2986884783528415E-2</v>
      </c>
      <c r="J139" s="39" t="str">
        <f t="shared" si="146"/>
        <v/>
      </c>
      <c r="K139" s="39" t="str">
        <f t="shared" si="146"/>
        <v/>
      </c>
      <c r="L139" s="39" t="str">
        <f t="shared" si="146"/>
        <v/>
      </c>
      <c r="M139" s="39" t="str">
        <f t="shared" si="146"/>
        <v/>
      </c>
      <c r="N139" s="39" t="str">
        <f t="shared" si="146"/>
        <v/>
      </c>
      <c r="O139" s="39">
        <f t="shared" si="146"/>
        <v>2.5485333105276661E-2</v>
      </c>
      <c r="P139" s="39" t="str">
        <f t="shared" si="146"/>
        <v/>
      </c>
      <c r="Q139" s="39" t="str">
        <f t="shared" si="146"/>
        <v/>
      </c>
      <c r="R139" s="39" t="str">
        <f t="shared" si="146"/>
        <v/>
      </c>
      <c r="S139" s="39" t="str">
        <f t="shared" si="146"/>
        <v/>
      </c>
      <c r="T139" s="39" t="str">
        <f t="shared" si="146"/>
        <v/>
      </c>
      <c r="U139" s="39">
        <f t="shared" si="146"/>
        <v>2.6023391812865497E-2</v>
      </c>
      <c r="V139" s="39" t="str">
        <f t="shared" si="146"/>
        <v/>
      </c>
      <c r="W139" s="39" t="str">
        <f t="shared" si="146"/>
        <v/>
      </c>
      <c r="X139" s="39" t="str">
        <f t="shared" si="146"/>
        <v/>
      </c>
      <c r="Y139" s="39" t="str">
        <f t="shared" si="146"/>
        <v/>
      </c>
      <c r="Z139" s="39" t="str">
        <f t="shared" si="146"/>
        <v/>
      </c>
      <c r="AA139" s="39">
        <f t="shared" si="146"/>
        <v>2.5977981811061309E-2</v>
      </c>
      <c r="AB139" s="39" t="str">
        <f t="shared" si="146"/>
        <v/>
      </c>
      <c r="AC139" s="39" t="str">
        <f t="shared" si="146"/>
        <v/>
      </c>
      <c r="AD139" s="39" t="str">
        <f t="shared" si="146"/>
        <v/>
      </c>
      <c r="AE139" s="39" t="str">
        <f t="shared" si="146"/>
        <v/>
      </c>
      <c r="AF139" s="39" t="str">
        <f t="shared" si="146"/>
        <v/>
      </c>
      <c r="AG139" s="39">
        <f t="shared" si="146"/>
        <v>2.744313689008791E-2</v>
      </c>
      <c r="AH139" s="39" t="str">
        <f t="shared" si="146"/>
        <v/>
      </c>
      <c r="AI139" s="39" t="str">
        <f t="shared" ref="AI139:BN139" si="147">IFERROR(AI140/AI152,"")</f>
        <v/>
      </c>
      <c r="AJ139" s="39" t="str">
        <f t="shared" si="147"/>
        <v/>
      </c>
      <c r="AK139" s="39" t="str">
        <f t="shared" si="147"/>
        <v/>
      </c>
      <c r="AL139" s="39" t="str">
        <f t="shared" si="147"/>
        <v/>
      </c>
      <c r="AM139" s="39">
        <f t="shared" si="147"/>
        <v>2.7498271756663334E-2</v>
      </c>
      <c r="AN139" s="39" t="str">
        <f t="shared" si="147"/>
        <v/>
      </c>
      <c r="AO139" s="39" t="str">
        <f t="shared" si="147"/>
        <v/>
      </c>
      <c r="AP139" s="39" t="str">
        <f t="shared" si="147"/>
        <v/>
      </c>
      <c r="AQ139" s="39" t="str">
        <f t="shared" si="147"/>
        <v/>
      </c>
      <c r="AR139" s="39" t="str">
        <f t="shared" si="147"/>
        <v/>
      </c>
      <c r="AS139" s="39">
        <f t="shared" si="147"/>
        <v>2.5329106072093183E-2</v>
      </c>
      <c r="AT139" s="39" t="str">
        <f t="shared" si="147"/>
        <v/>
      </c>
      <c r="AU139" s="39" t="str">
        <f t="shared" si="147"/>
        <v/>
      </c>
      <c r="AV139" s="39" t="str">
        <f t="shared" si="147"/>
        <v/>
      </c>
      <c r="AW139" s="39" t="str">
        <f t="shared" si="147"/>
        <v/>
      </c>
      <c r="AX139" s="39" t="str">
        <f t="shared" si="147"/>
        <v/>
      </c>
      <c r="AY139" s="39">
        <f t="shared" si="147"/>
        <v>2.3833607282842333E-2</v>
      </c>
      <c r="AZ139" s="39">
        <f t="shared" si="147"/>
        <v>2.5108335457557994E-2</v>
      </c>
      <c r="BA139" s="39">
        <f t="shared" si="147"/>
        <v>2.5965289923314948E-2</v>
      </c>
      <c r="BB139" s="39">
        <f t="shared" si="147"/>
        <v>2.5525230708816019E-2</v>
      </c>
      <c r="BC139" s="39">
        <f t="shared" si="147"/>
        <v>2.5767690253671559E-2</v>
      </c>
      <c r="BD139" s="39">
        <f t="shared" si="147"/>
        <v>2.3600642530581986E-2</v>
      </c>
      <c r="BE139" s="39">
        <f t="shared" si="147"/>
        <v>2.5079385652258444E-2</v>
      </c>
      <c r="BF139" s="39">
        <f t="shared" si="147"/>
        <v>2.4202556782921682E-2</v>
      </c>
      <c r="BG139" s="39">
        <f t="shared" si="147"/>
        <v>2.3996431757359507E-2</v>
      </c>
      <c r="BH139" s="39">
        <f t="shared" si="147"/>
        <v>2.4082628328229619E-2</v>
      </c>
      <c r="BI139" s="39">
        <f t="shared" si="147"/>
        <v>2.6602637396143002E-2</v>
      </c>
      <c r="BJ139" s="39">
        <f t="shared" si="147"/>
        <v>2.5296212837101116E-2</v>
      </c>
      <c r="BK139" s="39">
        <f t="shared" si="147"/>
        <v>2.5160912814511403E-2</v>
      </c>
      <c r="BL139" s="39">
        <f t="shared" si="147"/>
        <v>2.5208175624526877E-2</v>
      </c>
      <c r="BM139" s="39">
        <f t="shared" si="147"/>
        <v>2.3159758076412455E-2</v>
      </c>
      <c r="BN139" s="39">
        <f t="shared" si="147"/>
        <v>2.4170651524208015E-2</v>
      </c>
      <c r="BO139" s="39">
        <f t="shared" ref="BO139:CL139" si="148">IFERROR(BO140/BO152,"")</f>
        <v>2.3393957172191258E-2</v>
      </c>
      <c r="BP139" s="39">
        <f t="shared" si="148"/>
        <v>2.3903539698208996E-2</v>
      </c>
      <c r="BQ139" s="39">
        <f t="shared" si="148"/>
        <v>2.3907228959806542E-2</v>
      </c>
      <c r="BR139" s="39">
        <f t="shared" si="148"/>
        <v>2.3422251138581648E-2</v>
      </c>
      <c r="BS139" s="39">
        <f t="shared" si="148"/>
        <v>2.1548396153576194E-2</v>
      </c>
      <c r="BT139" s="39">
        <f t="shared" si="148"/>
        <v>2.247150997150997E-2</v>
      </c>
      <c r="BU139" s="39">
        <f t="shared" si="148"/>
        <v>1.9821746880570413E-2</v>
      </c>
      <c r="BV139" s="39">
        <f t="shared" si="148"/>
        <v>2.0210526315789477E-2</v>
      </c>
      <c r="BW139" s="39">
        <f t="shared" si="148"/>
        <v>2.1240351344157572E-2</v>
      </c>
      <c r="BX139" s="39">
        <f t="shared" si="148"/>
        <v>2.1183616028442341E-2</v>
      </c>
      <c r="BY139" s="39">
        <f t="shared" si="148"/>
        <v>2.0886398369842078E-2</v>
      </c>
      <c r="BZ139" s="39">
        <f t="shared" si="148"/>
        <v>2.1033697966375456E-2</v>
      </c>
      <c r="CA139" s="39">
        <f t="shared" si="148"/>
        <v>1.8773813647384834E-2</v>
      </c>
      <c r="CB139" s="39">
        <f t="shared" si="148"/>
        <v>1.8305265259934766E-2</v>
      </c>
      <c r="CC139" s="39">
        <f t="shared" si="148"/>
        <v>1.9735449735449731E-2</v>
      </c>
      <c r="CD139" s="39">
        <f t="shared" si="148"/>
        <v>1.9794468584040281E-2</v>
      </c>
      <c r="CE139" s="39">
        <f t="shared" si="148"/>
        <v>2.107418907313206E-2</v>
      </c>
      <c r="CF139" s="39">
        <f t="shared" si="148"/>
        <v>2.0448103657713587E-2</v>
      </c>
      <c r="CG139" s="39">
        <f t="shared" si="148"/>
        <v>1.9097109451120493E-2</v>
      </c>
      <c r="CH139" s="39">
        <f t="shared" si="148"/>
        <v>1.8420889412640324E-2</v>
      </c>
      <c r="CI139" s="39">
        <f t="shared" si="148"/>
        <v>1.9573535664061226E-2</v>
      </c>
      <c r="CJ139" s="39">
        <f t="shared" si="148"/>
        <v>1.8973142747259794E-2</v>
      </c>
      <c r="CK139" s="39">
        <f t="shared" si="148"/>
        <v>1.786466165413534E-2</v>
      </c>
      <c r="CL139" s="39">
        <f t="shared" si="148"/>
        <v>1.8401290883137841E-2</v>
      </c>
      <c r="CM139" s="27">
        <f>$CL$139</f>
        <v>1.8401290883137841E-2</v>
      </c>
      <c r="CN139" s="27">
        <f>$CL$139</f>
        <v>1.8401290883137841E-2</v>
      </c>
      <c r="CO139" s="27">
        <f>IFERROR(CO140/CO152,"")</f>
        <v>1.8401290883137845E-2</v>
      </c>
      <c r="CP139" s="45">
        <v>1.95E-2</v>
      </c>
      <c r="CQ139" s="45">
        <v>1.95E-2</v>
      </c>
      <c r="CR139" s="45">
        <v>1.95E-2</v>
      </c>
      <c r="CS139" s="45">
        <v>1.95E-2</v>
      </c>
      <c r="CT139" s="22"/>
      <c r="CV139" s="40">
        <f>IFERROR(AVERAGE(CO139,CP139,CQ139,CR139,CS139),"n/m")</f>
        <v>1.9280258176627572E-2</v>
      </c>
      <c r="CW139" s="40">
        <f>IFERROR(AVERAGE(BK139,BQ139,BW139,CC139,CI139),"n/m")</f>
        <v>2.1923495703597296E-2</v>
      </c>
      <c r="CX139" s="40">
        <f>IFERROR(AVERAGE(AG139,AM139,AS139,AY139,BE139,BK139,BQ139,BW139,CC139,CI139),"n/m")</f>
        <v>2.3880098617193167E-2</v>
      </c>
      <c r="CY139" s="40">
        <f>IFERROR(AVERAGE(C139,D139,E139,F139,G139,H139,I139,O139,U139,AA139,AG139,AM139,AS139,AY139,BE139,BK139,BQ139,BW139,CC139,CI139),"n/m")</f>
        <v>2.2407882412936168E-2</v>
      </c>
    </row>
    <row r="140" spans="2:103" ht="15" customHeight="1" x14ac:dyDescent="0.25">
      <c r="B140" s="12" t="s">
        <v>242</v>
      </c>
      <c r="C140" s="29">
        <f t="shared" ref="C140:AH140" si="149">IF(AND(ISNUMBER(C174),ISNUMBER(C125)),C174-C125,"")</f>
        <v>24.3</v>
      </c>
      <c r="D140" s="29">
        <f t="shared" si="149"/>
        <v>28.300000000000004</v>
      </c>
      <c r="E140" s="29">
        <f t="shared" si="149"/>
        <v>29.2</v>
      </c>
      <c r="F140" s="29">
        <f t="shared" si="149"/>
        <v>30.1</v>
      </c>
      <c r="G140" s="29">
        <f t="shared" si="149"/>
        <v>31.1</v>
      </c>
      <c r="H140" s="29">
        <f t="shared" si="149"/>
        <v>39.6</v>
      </c>
      <c r="I140" s="29">
        <f t="shared" si="149"/>
        <v>48.9</v>
      </c>
      <c r="J140" s="29" t="str">
        <f t="shared" si="149"/>
        <v/>
      </c>
      <c r="K140" s="29" t="str">
        <f t="shared" si="149"/>
        <v/>
      </c>
      <c r="L140" s="29" t="str">
        <f t="shared" si="149"/>
        <v/>
      </c>
      <c r="M140" s="29" t="str">
        <f t="shared" si="149"/>
        <v/>
      </c>
      <c r="N140" s="29" t="str">
        <f t="shared" si="149"/>
        <v/>
      </c>
      <c r="O140" s="29">
        <f t="shared" si="149"/>
        <v>59.599999999999994</v>
      </c>
      <c r="P140" s="29" t="str">
        <f t="shared" si="149"/>
        <v/>
      </c>
      <c r="Q140" s="29" t="str">
        <f t="shared" si="149"/>
        <v/>
      </c>
      <c r="R140" s="29" t="str">
        <f t="shared" si="149"/>
        <v/>
      </c>
      <c r="S140" s="29" t="str">
        <f t="shared" si="149"/>
        <v/>
      </c>
      <c r="T140" s="29" t="str">
        <f t="shared" si="149"/>
        <v/>
      </c>
      <c r="U140" s="29">
        <f t="shared" si="149"/>
        <v>62.3</v>
      </c>
      <c r="V140" s="29" t="str">
        <f t="shared" si="149"/>
        <v/>
      </c>
      <c r="W140" s="29" t="str">
        <f t="shared" si="149"/>
        <v/>
      </c>
      <c r="X140" s="29" t="str">
        <f t="shared" si="149"/>
        <v/>
      </c>
      <c r="Y140" s="29" t="str">
        <f t="shared" si="149"/>
        <v/>
      </c>
      <c r="Z140" s="29" t="str">
        <f t="shared" si="149"/>
        <v/>
      </c>
      <c r="AA140" s="29">
        <f t="shared" si="149"/>
        <v>59.699999999999996</v>
      </c>
      <c r="AB140" s="29" t="str">
        <f t="shared" si="149"/>
        <v/>
      </c>
      <c r="AC140" s="29" t="str">
        <f t="shared" si="149"/>
        <v/>
      </c>
      <c r="AD140" s="29" t="str">
        <f t="shared" si="149"/>
        <v/>
      </c>
      <c r="AE140" s="29" t="str">
        <f t="shared" si="149"/>
        <v/>
      </c>
      <c r="AF140" s="29" t="str">
        <f t="shared" si="149"/>
        <v/>
      </c>
      <c r="AG140" s="29">
        <f t="shared" si="149"/>
        <v>59</v>
      </c>
      <c r="AH140" s="29" t="str">
        <f t="shared" si="149"/>
        <v/>
      </c>
      <c r="AI140" s="29" t="str">
        <f t="shared" ref="AI140:BN140" si="150">IF(AND(ISNUMBER(AI174),ISNUMBER(AI125)),AI174-AI125,"")</f>
        <v/>
      </c>
      <c r="AJ140" s="29" t="str">
        <f t="shared" si="150"/>
        <v/>
      </c>
      <c r="AK140" s="29" t="str">
        <f t="shared" si="150"/>
        <v/>
      </c>
      <c r="AL140" s="29" t="str">
        <f t="shared" si="150"/>
        <v/>
      </c>
      <c r="AM140" s="29">
        <f t="shared" si="150"/>
        <v>71.599999999999994</v>
      </c>
      <c r="AN140" s="29" t="str">
        <f t="shared" si="150"/>
        <v/>
      </c>
      <c r="AO140" s="29" t="str">
        <f t="shared" si="150"/>
        <v/>
      </c>
      <c r="AP140" s="29" t="str">
        <f t="shared" si="150"/>
        <v/>
      </c>
      <c r="AQ140" s="29" t="str">
        <f t="shared" si="150"/>
        <v/>
      </c>
      <c r="AR140" s="29" t="str">
        <f t="shared" si="150"/>
        <v/>
      </c>
      <c r="AS140" s="29">
        <f t="shared" si="150"/>
        <v>73.5</v>
      </c>
      <c r="AT140" s="29" t="str">
        <f t="shared" si="150"/>
        <v/>
      </c>
      <c r="AU140" s="29" t="str">
        <f t="shared" si="150"/>
        <v/>
      </c>
      <c r="AV140" s="29" t="str">
        <f t="shared" si="150"/>
        <v/>
      </c>
      <c r="AW140" s="29" t="str">
        <f t="shared" si="150"/>
        <v/>
      </c>
      <c r="AX140" s="29" t="str">
        <f t="shared" si="150"/>
        <v/>
      </c>
      <c r="AY140" s="29">
        <f t="shared" si="150"/>
        <v>75.400000000000006</v>
      </c>
      <c r="AZ140" s="29">
        <f t="shared" si="150"/>
        <v>19.700000000000003</v>
      </c>
      <c r="BA140" s="29">
        <f t="shared" si="150"/>
        <v>19.3</v>
      </c>
      <c r="BB140" s="29">
        <f t="shared" si="150"/>
        <v>39</v>
      </c>
      <c r="BC140" s="29">
        <f t="shared" si="150"/>
        <v>19.299999999999997</v>
      </c>
      <c r="BD140" s="29">
        <f t="shared" si="150"/>
        <v>19.100000000000001</v>
      </c>
      <c r="BE140" s="29">
        <f t="shared" si="150"/>
        <v>77.400000000000006</v>
      </c>
      <c r="BF140" s="29">
        <f t="shared" si="150"/>
        <v>19.5</v>
      </c>
      <c r="BG140" s="29">
        <f t="shared" si="150"/>
        <v>26.900000000000006</v>
      </c>
      <c r="BH140" s="29">
        <f t="shared" si="150"/>
        <v>46.400000000000006</v>
      </c>
      <c r="BI140" s="29">
        <f t="shared" si="150"/>
        <v>34.900000000000006</v>
      </c>
      <c r="BJ140" s="29">
        <f t="shared" si="150"/>
        <v>34.800000000000004</v>
      </c>
      <c r="BK140" s="29">
        <f t="shared" si="150"/>
        <v>116.09999999999997</v>
      </c>
      <c r="BL140" s="29">
        <f t="shared" si="150"/>
        <v>33.300000000000004</v>
      </c>
      <c r="BM140" s="29">
        <f t="shared" si="150"/>
        <v>31.400000000000006</v>
      </c>
      <c r="BN140" s="29">
        <f t="shared" si="150"/>
        <v>64.700000000000017</v>
      </c>
      <c r="BO140" s="29">
        <f t="shared" ref="BO140:CL140" si="151">IF(AND(ISNUMBER(BO174),ISNUMBER(BO125)),BO174-BO125,"")</f>
        <v>31.9</v>
      </c>
      <c r="BP140" s="29">
        <f t="shared" si="151"/>
        <v>33.9</v>
      </c>
      <c r="BQ140" s="29">
        <f t="shared" si="151"/>
        <v>130.5</v>
      </c>
      <c r="BR140" s="29">
        <f t="shared" si="151"/>
        <v>32.399999999999991</v>
      </c>
      <c r="BS140" s="29">
        <f t="shared" si="151"/>
        <v>30.700000000000003</v>
      </c>
      <c r="BT140" s="29">
        <f t="shared" si="151"/>
        <v>63.099999999999994</v>
      </c>
      <c r="BU140" s="29">
        <f t="shared" si="151"/>
        <v>27.800000000000004</v>
      </c>
      <c r="BV140" s="29">
        <f t="shared" si="151"/>
        <v>28.800000000000004</v>
      </c>
      <c r="BW140" s="29">
        <f t="shared" si="151"/>
        <v>119.69999999999999</v>
      </c>
      <c r="BX140" s="29">
        <f t="shared" si="151"/>
        <v>28.6</v>
      </c>
      <c r="BY140" s="29">
        <f t="shared" si="151"/>
        <v>28.699999999999996</v>
      </c>
      <c r="BZ140" s="29">
        <f t="shared" si="151"/>
        <v>57.300000000000011</v>
      </c>
      <c r="CA140" s="29">
        <f t="shared" si="151"/>
        <v>27.100000000000009</v>
      </c>
      <c r="CB140" s="29">
        <f t="shared" si="151"/>
        <v>27.5</v>
      </c>
      <c r="CC140" s="29">
        <f t="shared" si="151"/>
        <v>111.89999999999998</v>
      </c>
      <c r="CD140" s="29">
        <f t="shared" si="151"/>
        <v>28.700000000000003</v>
      </c>
      <c r="CE140" s="29">
        <f t="shared" si="151"/>
        <v>31.9</v>
      </c>
      <c r="CF140" s="29">
        <f t="shared" si="151"/>
        <v>60.599999999999994</v>
      </c>
      <c r="CG140" s="29">
        <f t="shared" si="151"/>
        <v>29.4</v>
      </c>
      <c r="CH140" s="29">
        <f t="shared" si="151"/>
        <v>29.699999999999996</v>
      </c>
      <c r="CI140" s="29">
        <f t="shared" si="151"/>
        <v>119.70000000000002</v>
      </c>
      <c r="CJ140" s="29">
        <f t="shared" si="151"/>
        <v>29.6</v>
      </c>
      <c r="CK140" s="29">
        <f t="shared" si="151"/>
        <v>29.700000000000003</v>
      </c>
      <c r="CL140" s="29">
        <f t="shared" si="151"/>
        <v>59.300000000000011</v>
      </c>
      <c r="CM140" s="31">
        <f>CM152*CM139</f>
        <v>31.119785360865965</v>
      </c>
      <c r="CN140" s="31">
        <f>CN152*CN139</f>
        <v>32.612858449741424</v>
      </c>
      <c r="CO140" s="31">
        <f>SUM(CJ140,CK140,CM140,CN140)</f>
        <v>123.0326438106074</v>
      </c>
      <c r="CP140" s="31">
        <f>CP152*CP139</f>
        <v>140.00989715579882</v>
      </c>
      <c r="CQ140" s="31">
        <f>CQ152*CQ139</f>
        <v>153.10318181243679</v>
      </c>
      <c r="CR140" s="31">
        <f>CR152*CR139</f>
        <v>167.27678382671883</v>
      </c>
      <c r="CS140" s="31">
        <f>CS152*CS139</f>
        <v>182.21981923502142</v>
      </c>
      <c r="CT140" s="22"/>
      <c r="CV140" s="6"/>
      <c r="CW140" s="6"/>
      <c r="CX140" s="6"/>
      <c r="CY140" s="6"/>
    </row>
    <row r="141" spans="2:103" ht="15" customHeight="1" x14ac:dyDescent="0.25">
      <c r="B141" s="25" t="s">
        <v>243</v>
      </c>
      <c r="C141" s="39">
        <f t="shared" ref="C141:AH141" si="152">IFERROR(C175/C152,"")</f>
        <v>4.1166620150711692E-3</v>
      </c>
      <c r="D141" s="39">
        <f t="shared" si="152"/>
        <v>4.1915798557603402E-3</v>
      </c>
      <c r="E141" s="39">
        <f t="shared" si="152"/>
        <v>4.3554006968641113E-3</v>
      </c>
      <c r="F141" s="39">
        <f t="shared" si="152"/>
        <v>3.2685672780098061E-3</v>
      </c>
      <c r="G141" s="39">
        <f t="shared" si="152"/>
        <v>2.9801727283785429E-3</v>
      </c>
      <c r="H141" s="39">
        <f t="shared" si="152"/>
        <v>2.9867655389051958E-3</v>
      </c>
      <c r="I141" s="39">
        <f t="shared" si="152"/>
        <v>3.7606355474075117E-3</v>
      </c>
      <c r="J141" s="39">
        <f t="shared" si="152"/>
        <v>3.1612223393045311E-3</v>
      </c>
      <c r="K141" s="39">
        <f t="shared" si="152"/>
        <v>4.6589018302828616E-3</v>
      </c>
      <c r="L141" s="39">
        <f t="shared" si="152"/>
        <v>3.9302802460697188E-3</v>
      </c>
      <c r="M141" s="39">
        <f t="shared" si="152"/>
        <v>5.2484254723582924E-3</v>
      </c>
      <c r="N141" s="39">
        <f t="shared" si="152"/>
        <v>5.1961112973516596E-3</v>
      </c>
      <c r="O141" s="39">
        <f t="shared" si="152"/>
        <v>4.5753869836654406E-3</v>
      </c>
      <c r="P141" s="39">
        <f t="shared" si="152"/>
        <v>4.5335658238884044E-3</v>
      </c>
      <c r="Q141" s="39">
        <f t="shared" si="152"/>
        <v>6.029140847429241E-3</v>
      </c>
      <c r="R141" s="39">
        <f t="shared" si="152"/>
        <v>5.2964291816162655E-3</v>
      </c>
      <c r="S141" s="39">
        <f t="shared" si="152"/>
        <v>6.4881051405756111E-3</v>
      </c>
      <c r="T141" s="39">
        <f t="shared" si="152"/>
        <v>6.2670737586373133E-3</v>
      </c>
      <c r="U141" s="39">
        <f t="shared" si="152"/>
        <v>5.8479532163742687E-3</v>
      </c>
      <c r="V141" s="39">
        <f t="shared" si="152"/>
        <v>6.725663716814159E-3</v>
      </c>
      <c r="W141" s="39">
        <f t="shared" si="152"/>
        <v>5.7123074259996529E-3</v>
      </c>
      <c r="X141" s="39">
        <f t="shared" si="152"/>
        <v>6.2133543362212296E-3</v>
      </c>
      <c r="Y141" s="39">
        <f t="shared" si="152"/>
        <v>4.6813107670147644E-3</v>
      </c>
      <c r="Z141" s="39">
        <f t="shared" si="152"/>
        <v>4.1666666666666666E-3</v>
      </c>
      <c r="AA141" s="39">
        <f t="shared" si="152"/>
        <v>5.3087333014229148E-3</v>
      </c>
      <c r="AB141" s="39">
        <f t="shared" si="152"/>
        <v>6.4090480678605085E-3</v>
      </c>
      <c r="AC141" s="39">
        <f t="shared" si="152"/>
        <v>5.3733555679080962E-3</v>
      </c>
      <c r="AD141" s="39">
        <f t="shared" si="152"/>
        <v>5.8867501401607169E-3</v>
      </c>
      <c r="AE141" s="39">
        <f t="shared" si="152"/>
        <v>4.7456340167046319E-3</v>
      </c>
      <c r="AF141" s="39">
        <f t="shared" si="152"/>
        <v>5.0642069090251398E-3</v>
      </c>
      <c r="AG141" s="39">
        <f t="shared" si="152"/>
        <v>5.3955997953393179E-3</v>
      </c>
      <c r="AH141" s="39">
        <f t="shared" si="152"/>
        <v>0</v>
      </c>
      <c r="AI141" s="39">
        <f t="shared" ref="AI141:BN141" si="153">IFERROR(AI175/AI152,"")</f>
        <v>0</v>
      </c>
      <c r="AJ141" s="39">
        <f t="shared" si="153"/>
        <v>0</v>
      </c>
      <c r="AK141" s="39">
        <f t="shared" si="153"/>
        <v>0</v>
      </c>
      <c r="AL141" s="39">
        <f t="shared" si="153"/>
        <v>0</v>
      </c>
      <c r="AM141" s="39">
        <f t="shared" si="153"/>
        <v>7.2202166064981943E-3</v>
      </c>
      <c r="AN141" s="39">
        <f t="shared" si="153"/>
        <v>0</v>
      </c>
      <c r="AO141" s="39">
        <f t="shared" si="153"/>
        <v>0</v>
      </c>
      <c r="AP141" s="39">
        <f t="shared" si="153"/>
        <v>0</v>
      </c>
      <c r="AQ141" s="39">
        <f t="shared" si="153"/>
        <v>0</v>
      </c>
      <c r="AR141" s="39">
        <f t="shared" si="153"/>
        <v>0</v>
      </c>
      <c r="AS141" s="39">
        <f t="shared" si="153"/>
        <v>8.6498035701978084E-3</v>
      </c>
      <c r="AT141" s="39">
        <f t="shared" si="153"/>
        <v>0</v>
      </c>
      <c r="AU141" s="39">
        <f t="shared" si="153"/>
        <v>0</v>
      </c>
      <c r="AV141" s="39">
        <f t="shared" si="153"/>
        <v>0</v>
      </c>
      <c r="AW141" s="39">
        <f t="shared" si="153"/>
        <v>0</v>
      </c>
      <c r="AX141" s="39">
        <f t="shared" si="153"/>
        <v>0</v>
      </c>
      <c r="AY141" s="39">
        <f t="shared" si="153"/>
        <v>9.7041345302819569E-3</v>
      </c>
      <c r="AZ141" s="39">
        <f t="shared" si="153"/>
        <v>0</v>
      </c>
      <c r="BA141" s="39">
        <f t="shared" si="153"/>
        <v>0</v>
      </c>
      <c r="BB141" s="39">
        <f t="shared" si="153"/>
        <v>0</v>
      </c>
      <c r="BC141" s="39">
        <f t="shared" si="153"/>
        <v>0</v>
      </c>
      <c r="BD141" s="39">
        <f t="shared" si="153"/>
        <v>0</v>
      </c>
      <c r="BE141" s="39">
        <f t="shared" si="153"/>
        <v>9.720692113278466E-3</v>
      </c>
      <c r="BF141" s="39">
        <f t="shared" si="153"/>
        <v>8.6880973066898338E-3</v>
      </c>
      <c r="BG141" s="39">
        <f t="shared" si="153"/>
        <v>7.4933095450490633E-3</v>
      </c>
      <c r="BH141" s="39">
        <f t="shared" si="153"/>
        <v>7.9929412985934502E-3</v>
      </c>
      <c r="BI141" s="39">
        <f t="shared" si="153"/>
        <v>6.6316030185227526E-3</v>
      </c>
      <c r="BJ141" s="39">
        <f t="shared" si="153"/>
        <v>7.1236461437813479E-3</v>
      </c>
      <c r="BK141" s="39">
        <f t="shared" si="153"/>
        <v>7.3467264807229697E-3</v>
      </c>
      <c r="BL141" s="39">
        <f t="shared" si="153"/>
        <v>6.8130204390613172E-3</v>
      </c>
      <c r="BM141" s="39">
        <f t="shared" si="153"/>
        <v>4.7204602448738756E-3</v>
      </c>
      <c r="BN141" s="39">
        <f t="shared" si="153"/>
        <v>5.7531380753138069E-3</v>
      </c>
      <c r="BO141" s="39">
        <f t="shared" ref="BO141:CL141" si="154">IFERROR(BO175/BO152,"")</f>
        <v>4.913464359049575E-3</v>
      </c>
      <c r="BP141" s="39">
        <f t="shared" si="154"/>
        <v>8.0383584825835571E-3</v>
      </c>
      <c r="BQ141" s="39">
        <f t="shared" si="154"/>
        <v>5.7707104385739932E-3</v>
      </c>
      <c r="BR141" s="39">
        <f t="shared" si="154"/>
        <v>5.7109809874936754E-3</v>
      </c>
      <c r="BS141" s="39">
        <f t="shared" si="154"/>
        <v>5.8959781006527687E-3</v>
      </c>
      <c r="BT141" s="39">
        <f t="shared" si="154"/>
        <v>5.8048433048433047E-3</v>
      </c>
      <c r="BU141" s="39">
        <f t="shared" si="154"/>
        <v>5.7040998217468804E-3</v>
      </c>
      <c r="BV141" s="39">
        <f t="shared" si="154"/>
        <v>5.6140350877192978E-3</v>
      </c>
      <c r="BW141" s="39">
        <f t="shared" si="154"/>
        <v>5.7315233785822017E-3</v>
      </c>
      <c r="BX141" s="39">
        <f t="shared" si="154"/>
        <v>8.8882305014443379E-3</v>
      </c>
      <c r="BY141" s="39">
        <f t="shared" si="154"/>
        <v>6.7680663707153782E-3</v>
      </c>
      <c r="BZ141" s="39">
        <f t="shared" si="154"/>
        <v>7.8188091916893045E-3</v>
      </c>
      <c r="CA141" s="39">
        <f t="shared" si="154"/>
        <v>6.027017665396605E-3</v>
      </c>
      <c r="CB141" s="39">
        <f t="shared" si="154"/>
        <v>5.1254742727817352E-3</v>
      </c>
      <c r="CC141" s="39">
        <f t="shared" si="154"/>
        <v>6.6490299823633164E-3</v>
      </c>
      <c r="CD141" s="39">
        <f t="shared" si="154"/>
        <v>6.1383543692668458E-3</v>
      </c>
      <c r="CE141" s="39">
        <f t="shared" si="154"/>
        <v>7.4651516152474074E-3</v>
      </c>
      <c r="CF141" s="39">
        <f t="shared" si="154"/>
        <v>6.8160345525711975E-3</v>
      </c>
      <c r="CG141" s="39">
        <f t="shared" si="154"/>
        <v>6.8203962325430337E-3</v>
      </c>
      <c r="CH141" s="39">
        <f t="shared" si="154"/>
        <v>5.5200645041245432E-3</v>
      </c>
      <c r="CI141" s="39">
        <f t="shared" si="154"/>
        <v>6.4754554076593522E-3</v>
      </c>
      <c r="CJ141" s="39">
        <f t="shared" si="154"/>
        <v>3.5895134927248253E-3</v>
      </c>
      <c r="CK141" s="39">
        <f t="shared" si="154"/>
        <v>8.3609022556390983E-3</v>
      </c>
      <c r="CL141" s="39">
        <f t="shared" si="154"/>
        <v>6.0510147086203685E-3</v>
      </c>
      <c r="CM141" s="27">
        <f>$CL$141</f>
        <v>6.0510147086203685E-3</v>
      </c>
      <c r="CN141" s="27">
        <f>$CL$141</f>
        <v>6.0510147086203685E-3</v>
      </c>
      <c r="CO141" s="27">
        <f>IFERROR(CO175/CO152,"")</f>
        <v>6.0510147086203702E-3</v>
      </c>
      <c r="CP141" s="45">
        <v>6.4999999999999997E-3</v>
      </c>
      <c r="CQ141" s="45">
        <v>6.4999999999999997E-3</v>
      </c>
      <c r="CR141" s="45">
        <v>6.4999999999999997E-3</v>
      </c>
      <c r="CS141" s="45">
        <v>6.4999999999999997E-3</v>
      </c>
      <c r="CT141" s="22"/>
      <c r="CV141" s="6"/>
      <c r="CW141" s="6"/>
      <c r="CX141" s="6"/>
      <c r="CY141" s="6"/>
    </row>
    <row r="142" spans="2:103" ht="15" customHeight="1" x14ac:dyDescent="0.25">
      <c r="B142" s="25" t="s">
        <v>244</v>
      </c>
      <c r="C142" s="39">
        <f t="shared" ref="C142:AH142" si="155">IFERROR(C176/C152,"")</f>
        <v>3.663131454088752E-2</v>
      </c>
      <c r="D142" s="39">
        <f t="shared" si="155"/>
        <v>3.6799605498366521E-2</v>
      </c>
      <c r="E142" s="39">
        <f t="shared" si="155"/>
        <v>3.5714285714285712E-2</v>
      </c>
      <c r="F142" s="39">
        <f t="shared" si="155"/>
        <v>3.5591065916106772E-2</v>
      </c>
      <c r="G142" s="39">
        <f t="shared" si="155"/>
        <v>3.7282569030531565E-2</v>
      </c>
      <c r="H142" s="39">
        <f t="shared" si="155"/>
        <v>5.2474380761110252E-2</v>
      </c>
      <c r="I142" s="39">
        <f t="shared" si="155"/>
        <v>6.1862454754853559E-2</v>
      </c>
      <c r="J142" s="39">
        <f t="shared" si="155"/>
        <v>0</v>
      </c>
      <c r="K142" s="39">
        <f t="shared" si="155"/>
        <v>0</v>
      </c>
      <c r="L142" s="39">
        <f t="shared" si="155"/>
        <v>0</v>
      </c>
      <c r="M142" s="39">
        <f t="shared" si="155"/>
        <v>0</v>
      </c>
      <c r="N142" s="39">
        <f t="shared" si="155"/>
        <v>0</v>
      </c>
      <c r="O142" s="39">
        <f t="shared" si="155"/>
        <v>7.1410245445993337E-2</v>
      </c>
      <c r="P142" s="39">
        <f t="shared" si="155"/>
        <v>0</v>
      </c>
      <c r="Q142" s="39">
        <f t="shared" si="155"/>
        <v>0</v>
      </c>
      <c r="R142" s="39">
        <f t="shared" si="155"/>
        <v>0</v>
      </c>
      <c r="S142" s="39">
        <f t="shared" si="155"/>
        <v>0</v>
      </c>
      <c r="T142" s="39">
        <f t="shared" si="155"/>
        <v>0</v>
      </c>
      <c r="U142" s="39">
        <f t="shared" si="155"/>
        <v>6.9715956558061828E-2</v>
      </c>
      <c r="V142" s="39">
        <f t="shared" si="155"/>
        <v>0</v>
      </c>
      <c r="W142" s="39">
        <f t="shared" si="155"/>
        <v>0</v>
      </c>
      <c r="X142" s="39">
        <f t="shared" si="155"/>
        <v>0</v>
      </c>
      <c r="Y142" s="39">
        <f t="shared" si="155"/>
        <v>0</v>
      </c>
      <c r="Z142" s="39">
        <f t="shared" si="155"/>
        <v>0</v>
      </c>
      <c r="AA142" s="39">
        <f t="shared" si="155"/>
        <v>7.1232757495322221E-2</v>
      </c>
      <c r="AB142" s="39">
        <f t="shared" si="155"/>
        <v>0</v>
      </c>
      <c r="AC142" s="39">
        <f t="shared" si="155"/>
        <v>0</v>
      </c>
      <c r="AD142" s="39">
        <f t="shared" si="155"/>
        <v>0</v>
      </c>
      <c r="AE142" s="39">
        <f t="shared" si="155"/>
        <v>0</v>
      </c>
      <c r="AF142" s="39">
        <f t="shared" si="155"/>
        <v>0</v>
      </c>
      <c r="AG142" s="39">
        <f t="shared" si="155"/>
        <v>7.8003628075724446E-2</v>
      </c>
      <c r="AH142" s="39">
        <f t="shared" si="155"/>
        <v>0</v>
      </c>
      <c r="AI142" s="39">
        <f t="shared" ref="AI142:BN142" si="156">IFERROR(AI176/AI152,"")</f>
        <v>0</v>
      </c>
      <c r="AJ142" s="39">
        <f t="shared" si="156"/>
        <v>0</v>
      </c>
      <c r="AK142" s="39">
        <f t="shared" si="156"/>
        <v>0</v>
      </c>
      <c r="AL142" s="39">
        <f t="shared" si="156"/>
        <v>0</v>
      </c>
      <c r="AM142" s="39">
        <f t="shared" si="156"/>
        <v>6.8246409094400481E-2</v>
      </c>
      <c r="AN142" s="39">
        <f t="shared" si="156"/>
        <v>0</v>
      </c>
      <c r="AO142" s="39">
        <f t="shared" si="156"/>
        <v>0</v>
      </c>
      <c r="AP142" s="39">
        <f t="shared" si="156"/>
        <v>0</v>
      </c>
      <c r="AQ142" s="39">
        <f t="shared" si="156"/>
        <v>0</v>
      </c>
      <c r="AR142" s="39">
        <f t="shared" si="156"/>
        <v>0</v>
      </c>
      <c r="AS142" s="39">
        <f t="shared" si="156"/>
        <v>6.3960300503135975E-2</v>
      </c>
      <c r="AT142" s="39">
        <f t="shared" si="156"/>
        <v>0</v>
      </c>
      <c r="AU142" s="39">
        <f t="shared" si="156"/>
        <v>0</v>
      </c>
      <c r="AV142" s="39">
        <f t="shared" si="156"/>
        <v>0</v>
      </c>
      <c r="AW142" s="39">
        <f t="shared" si="156"/>
        <v>0</v>
      </c>
      <c r="AX142" s="39">
        <f t="shared" si="156"/>
        <v>0</v>
      </c>
      <c r="AY142" s="39">
        <f t="shared" si="156"/>
        <v>6.6253635099254013E-2</v>
      </c>
      <c r="AZ142" s="39">
        <f t="shared" si="156"/>
        <v>0</v>
      </c>
      <c r="BA142" s="39">
        <f t="shared" si="156"/>
        <v>0</v>
      </c>
      <c r="BB142" s="39">
        <f t="shared" si="156"/>
        <v>0</v>
      </c>
      <c r="BC142" s="39">
        <f t="shared" si="156"/>
        <v>0</v>
      </c>
      <c r="BD142" s="39">
        <f t="shared" si="156"/>
        <v>0</v>
      </c>
      <c r="BE142" s="39">
        <f t="shared" si="156"/>
        <v>6.3508521806752649E-2</v>
      </c>
      <c r="BF142" s="39">
        <f t="shared" si="156"/>
        <v>0</v>
      </c>
      <c r="BG142" s="39">
        <f t="shared" si="156"/>
        <v>0</v>
      </c>
      <c r="BH142" s="39">
        <f t="shared" si="156"/>
        <v>0</v>
      </c>
      <c r="BI142" s="39">
        <f t="shared" si="156"/>
        <v>0</v>
      </c>
      <c r="BJ142" s="39">
        <f t="shared" si="156"/>
        <v>0</v>
      </c>
      <c r="BK142" s="39">
        <f t="shared" si="156"/>
        <v>0</v>
      </c>
      <c r="BL142" s="39">
        <f t="shared" si="156"/>
        <v>0</v>
      </c>
      <c r="BM142" s="39">
        <f t="shared" si="156"/>
        <v>0</v>
      </c>
      <c r="BN142" s="39">
        <f t="shared" si="156"/>
        <v>0</v>
      </c>
      <c r="BO142" s="39">
        <f t="shared" ref="BO142:CL142" si="157">IFERROR(BO176/BO152,"")</f>
        <v>0</v>
      </c>
      <c r="BP142" s="39">
        <f t="shared" si="157"/>
        <v>0</v>
      </c>
      <c r="BQ142" s="39">
        <f t="shared" si="157"/>
        <v>6.4522038617960645E-2</v>
      </c>
      <c r="BR142" s="39">
        <f t="shared" si="157"/>
        <v>0</v>
      </c>
      <c r="BS142" s="39">
        <f t="shared" si="157"/>
        <v>0</v>
      </c>
      <c r="BT142" s="39">
        <f t="shared" si="157"/>
        <v>0</v>
      </c>
      <c r="BU142" s="39">
        <f t="shared" si="157"/>
        <v>0</v>
      </c>
      <c r="BV142" s="39">
        <f t="shared" si="157"/>
        <v>0</v>
      </c>
      <c r="BW142" s="39">
        <f t="shared" si="157"/>
        <v>6.322420370863277E-2</v>
      </c>
      <c r="BX142" s="39">
        <f t="shared" si="157"/>
        <v>5.6662469446707657E-2</v>
      </c>
      <c r="BY142" s="39">
        <f t="shared" si="157"/>
        <v>5.2179608470999207E-2</v>
      </c>
      <c r="BZ142" s="39">
        <f t="shared" si="157"/>
        <v>5.4401292122457971E-2</v>
      </c>
      <c r="CA142" s="39">
        <f t="shared" si="157"/>
        <v>5.0571527537235886E-2</v>
      </c>
      <c r="CB142" s="39">
        <f t="shared" si="157"/>
        <v>4.7527125074885178E-2</v>
      </c>
      <c r="CC142" s="39">
        <f t="shared" si="157"/>
        <v>5.1604938271604943E-2</v>
      </c>
      <c r="CD142" s="39">
        <f t="shared" si="157"/>
        <v>5.1244913442306361E-2</v>
      </c>
      <c r="CE142" s="39">
        <f t="shared" si="157"/>
        <v>5.4436149831538619E-2</v>
      </c>
      <c r="CF142" s="39">
        <f t="shared" si="157"/>
        <v>5.2874881900391406E-2</v>
      </c>
      <c r="CG142" s="39">
        <f t="shared" si="157"/>
        <v>5.4173432932770382E-2</v>
      </c>
      <c r="CH142" s="39">
        <f t="shared" si="157"/>
        <v>4.7881907833529747E-2</v>
      </c>
      <c r="CI142" s="39">
        <f t="shared" si="157"/>
        <v>5.1885404061876576E-2</v>
      </c>
      <c r="CJ142" s="39">
        <f t="shared" si="157"/>
        <v>5.4227293122235752E-2</v>
      </c>
      <c r="CK142" s="39">
        <f t="shared" si="157"/>
        <v>5.4255639097744363E-2</v>
      </c>
      <c r="CL142" s="39">
        <f t="shared" si="157"/>
        <v>5.4241916464966185E-2</v>
      </c>
      <c r="CM142" s="27"/>
      <c r="CN142" s="27"/>
      <c r="CO142" s="27"/>
      <c r="CP142" s="27"/>
      <c r="CQ142" s="27"/>
      <c r="CR142" s="27"/>
      <c r="CS142" s="27"/>
      <c r="CT142" s="22"/>
      <c r="CV142" s="6"/>
      <c r="CW142" s="6"/>
      <c r="CX142" s="6"/>
      <c r="CY142" s="6"/>
    </row>
    <row r="143" spans="2:103" ht="15" customHeight="1" x14ac:dyDescent="0.25">
      <c r="B143" s="12"/>
      <c r="CM143" s="6"/>
      <c r="CN143" s="6"/>
      <c r="CO143" s="6"/>
      <c r="CP143" s="6"/>
      <c r="CQ143" s="6"/>
      <c r="CR143" s="6"/>
      <c r="CS143" s="6"/>
      <c r="CT143" s="6"/>
    </row>
    <row r="144" spans="2:103" ht="15" customHeight="1" x14ac:dyDescent="0.25">
      <c r="B144" s="16" t="s">
        <v>245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7" t="s">
        <v>246</v>
      </c>
    </row>
    <row r="145" spans="2:103" ht="15" customHeight="1" x14ac:dyDescent="0.25">
      <c r="B145" s="12" t="s">
        <v>247</v>
      </c>
      <c r="C145" s="30">
        <v>569.4</v>
      </c>
      <c r="D145" s="30">
        <v>664.5</v>
      </c>
      <c r="E145" s="30">
        <v>754.5</v>
      </c>
      <c r="F145" s="30">
        <v>777.8</v>
      </c>
      <c r="G145" s="30">
        <v>727.4</v>
      </c>
      <c r="H145" s="30">
        <v>694.4</v>
      </c>
      <c r="I145" s="30">
        <v>684</v>
      </c>
      <c r="J145" s="29"/>
      <c r="K145" s="29"/>
      <c r="L145" s="29"/>
      <c r="M145" s="29"/>
      <c r="N145" s="29"/>
      <c r="O145" s="30">
        <v>630.20000000000005</v>
      </c>
      <c r="P145" s="29"/>
      <c r="Q145" s="29"/>
      <c r="R145" s="29"/>
      <c r="S145" s="29"/>
      <c r="T145" s="29"/>
      <c r="U145" s="30">
        <v>607.9</v>
      </c>
      <c r="V145" s="29"/>
      <c r="W145" s="29"/>
      <c r="X145" s="29"/>
      <c r="Y145" s="29"/>
      <c r="Z145" s="29"/>
      <c r="AA145" s="30">
        <v>598</v>
      </c>
      <c r="AB145" s="29"/>
      <c r="AC145" s="29"/>
      <c r="AD145" s="29"/>
      <c r="AE145" s="29"/>
      <c r="AF145" s="29"/>
      <c r="AG145" s="30">
        <v>577.70000000000005</v>
      </c>
      <c r="AH145" s="29"/>
      <c r="AI145" s="29"/>
      <c r="AJ145" s="29"/>
      <c r="AK145" s="29"/>
      <c r="AL145" s="29"/>
      <c r="AM145" s="30">
        <v>619.70000000000005</v>
      </c>
      <c r="AN145" s="29"/>
      <c r="AO145" s="29"/>
      <c r="AP145" s="29"/>
      <c r="AQ145" s="29"/>
      <c r="AR145" s="29"/>
      <c r="AS145" s="30">
        <v>655.29999999999995</v>
      </c>
      <c r="AT145" s="29"/>
      <c r="AU145" s="29"/>
      <c r="AV145" s="29"/>
      <c r="AW145" s="29"/>
      <c r="AX145" s="29"/>
      <c r="AY145" s="30">
        <v>759.8</v>
      </c>
      <c r="AZ145" s="29"/>
      <c r="BA145" s="29"/>
      <c r="BB145" s="29"/>
      <c r="BC145" s="29"/>
      <c r="BD145" s="29"/>
      <c r="BE145" s="30">
        <v>818.2</v>
      </c>
      <c r="BF145" s="29"/>
      <c r="BG145" s="29"/>
      <c r="BH145" s="29"/>
      <c r="BI145" s="29"/>
      <c r="BJ145" s="29"/>
      <c r="BK145" s="30">
        <v>1193.0999999999999</v>
      </c>
      <c r="BL145" s="29"/>
      <c r="BM145" s="29"/>
      <c r="BN145" s="29"/>
      <c r="BO145" s="29"/>
      <c r="BP145" s="29"/>
      <c r="BQ145" s="30">
        <v>1359.9</v>
      </c>
      <c r="BR145" s="29"/>
      <c r="BS145" s="29"/>
      <c r="BT145" s="29"/>
      <c r="BU145" s="29"/>
      <c r="BV145" s="29"/>
      <c r="BW145" s="30">
        <v>1381.7</v>
      </c>
      <c r="BX145" s="29"/>
      <c r="BY145" s="29"/>
      <c r="BZ145" s="29"/>
      <c r="CA145" s="29"/>
      <c r="CB145" s="29"/>
      <c r="CC145" s="30">
        <v>1377.1</v>
      </c>
      <c r="CD145" s="29"/>
      <c r="CE145" s="29"/>
      <c r="CF145" s="29"/>
      <c r="CG145" s="29"/>
      <c r="CH145" s="29"/>
      <c r="CI145" s="30">
        <v>1559.4</v>
      </c>
      <c r="CJ145" s="29"/>
      <c r="CK145" s="29"/>
      <c r="CL145" s="29"/>
      <c r="CM145" s="31"/>
      <c r="CN145" s="31"/>
      <c r="CO145" s="31"/>
      <c r="CP145" s="31"/>
      <c r="CQ145" s="31"/>
      <c r="CR145" s="31"/>
      <c r="CS145" s="31"/>
      <c r="CT145" s="22"/>
      <c r="CV145" s="6"/>
      <c r="CW145" s="6"/>
      <c r="CX145" s="6"/>
      <c r="CY145" s="6"/>
    </row>
    <row r="146" spans="2:103" ht="15" customHeight="1" x14ac:dyDescent="0.25">
      <c r="B146" s="25" t="s">
        <v>248</v>
      </c>
      <c r="C146" s="39">
        <f t="shared" ref="C146:I146" si="158">IFERROR(C145/C152,"")</f>
        <v>0.39729277142059721</v>
      </c>
      <c r="D146" s="39">
        <f t="shared" si="158"/>
        <v>0.40960364914010972</v>
      </c>
      <c r="E146" s="39">
        <f t="shared" si="158"/>
        <v>0.43815331010452963</v>
      </c>
      <c r="F146" s="39">
        <f t="shared" si="158"/>
        <v>0.47079474608074573</v>
      </c>
      <c r="G146" s="39">
        <f t="shared" si="158"/>
        <v>0.44240360053521466</v>
      </c>
      <c r="H146" s="39">
        <f t="shared" si="158"/>
        <v>0.35758792934754619</v>
      </c>
      <c r="I146" s="39">
        <f t="shared" si="158"/>
        <v>0.32153433930334224</v>
      </c>
      <c r="J146" s="39"/>
      <c r="K146" s="39"/>
      <c r="L146" s="39"/>
      <c r="M146" s="39"/>
      <c r="N146" s="39"/>
      <c r="O146" s="39">
        <f>IFERROR(O145/O152,"")</f>
        <v>0.2694774651500898</v>
      </c>
      <c r="P146" s="39"/>
      <c r="Q146" s="39"/>
      <c r="R146" s="39"/>
      <c r="S146" s="39"/>
      <c r="T146" s="39"/>
      <c r="U146" s="39">
        <f>IFERROR(U145/U152,"")</f>
        <v>0.25392648287385128</v>
      </c>
      <c r="V146" s="39"/>
      <c r="W146" s="39"/>
      <c r="X146" s="39"/>
      <c r="Y146" s="39"/>
      <c r="Z146" s="39"/>
      <c r="AA146" s="39">
        <f>IFERROR(AA145/AA152,"")</f>
        <v>0.26021496018450024</v>
      </c>
      <c r="AB146" s="39"/>
      <c r="AC146" s="39"/>
      <c r="AD146" s="39"/>
      <c r="AE146" s="39"/>
      <c r="AF146" s="39"/>
      <c r="AG146" s="39">
        <f>IFERROR(AG145/AG152,"")</f>
        <v>0.26871017256616586</v>
      </c>
      <c r="AH146" s="39"/>
      <c r="AI146" s="39"/>
      <c r="AJ146" s="39"/>
      <c r="AK146" s="39"/>
      <c r="AL146" s="39"/>
      <c r="AM146" s="39">
        <f>IFERROR(AM145/AM152,"")</f>
        <v>0.23799831016207082</v>
      </c>
      <c r="AN146" s="39"/>
      <c r="AO146" s="39"/>
      <c r="AP146" s="39"/>
      <c r="AQ146" s="39"/>
      <c r="AR146" s="39"/>
      <c r="AS146" s="39">
        <f>IFERROR(AS145/AS152,"")</f>
        <v>0.22582534978289334</v>
      </c>
      <c r="AT146" s="39"/>
      <c r="AU146" s="39"/>
      <c r="AV146" s="39"/>
      <c r="AW146" s="39"/>
      <c r="AX146" s="39"/>
      <c r="AY146" s="39">
        <f>IFERROR(AY145/AY152,"")</f>
        <v>0.24016942723479578</v>
      </c>
      <c r="AZ146" s="39"/>
      <c r="BA146" s="39"/>
      <c r="BB146" s="39"/>
      <c r="BC146" s="39"/>
      <c r="BD146" s="39"/>
      <c r="BE146" s="39">
        <f>IFERROR(BE145/BE152,"")</f>
        <v>0.26511567623614807</v>
      </c>
      <c r="BF146" s="39"/>
      <c r="BG146" s="39"/>
      <c r="BH146" s="39"/>
      <c r="BI146" s="39"/>
      <c r="BJ146" s="39"/>
      <c r="BK146" s="39">
        <f>IFERROR(BK145/BK152,"")</f>
        <v>0.25856576295429423</v>
      </c>
      <c r="BL146" s="39"/>
      <c r="BM146" s="39"/>
      <c r="BN146" s="39"/>
      <c r="BO146" s="39"/>
      <c r="BP146" s="39"/>
      <c r="BQ146" s="39">
        <f>IFERROR(BQ145/BQ152,"")</f>
        <v>0.2491298135052944</v>
      </c>
      <c r="BR146" s="39"/>
      <c r="BS146" s="39"/>
      <c r="BT146" s="39"/>
      <c r="BU146" s="39"/>
      <c r="BV146" s="39"/>
      <c r="BW146" s="39">
        <f>IFERROR(BW145/BW152,"")</f>
        <v>0.24517789016058913</v>
      </c>
      <c r="BX146" s="39"/>
      <c r="BY146" s="39"/>
      <c r="BZ146" s="39"/>
      <c r="CA146" s="39"/>
      <c r="CB146" s="39"/>
      <c r="CC146" s="39">
        <f>IFERROR(CC145/CC152,"")</f>
        <v>0.24287477954144618</v>
      </c>
      <c r="CD146" s="39"/>
      <c r="CE146" s="39"/>
      <c r="CF146" s="39"/>
      <c r="CG146" s="39"/>
      <c r="CH146" s="39"/>
      <c r="CI146" s="39">
        <f>IFERROR(CI145/CI152,"")</f>
        <v>0.25499558491676755</v>
      </c>
      <c r="CJ146" s="39"/>
      <c r="CK146" s="39"/>
      <c r="CL146" s="39"/>
      <c r="CM146" s="27"/>
      <c r="CN146" s="27"/>
      <c r="CO146" s="27"/>
      <c r="CP146" s="27"/>
      <c r="CQ146" s="27"/>
      <c r="CR146" s="27"/>
      <c r="CS146" s="27"/>
      <c r="CT146" s="22"/>
      <c r="CV146" s="6"/>
      <c r="CW146" s="6"/>
      <c r="CX146" s="6"/>
      <c r="CY146" s="6"/>
    </row>
    <row r="147" spans="2:103" ht="15" customHeight="1" x14ac:dyDescent="0.25">
      <c r="B147" s="12" t="s">
        <v>249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30">
        <v>1776.8</v>
      </c>
      <c r="P147" s="29"/>
      <c r="Q147" s="29"/>
      <c r="R147" s="29"/>
      <c r="S147" s="29"/>
      <c r="T147" s="29"/>
      <c r="U147" s="30">
        <v>1852</v>
      </c>
      <c r="V147" s="29"/>
      <c r="W147" s="29"/>
      <c r="X147" s="29"/>
      <c r="Y147" s="29"/>
      <c r="Z147" s="29"/>
      <c r="AA147" s="30">
        <v>1797.1</v>
      </c>
      <c r="AB147" s="29"/>
      <c r="AC147" s="29"/>
      <c r="AD147" s="29"/>
      <c r="AE147" s="29"/>
      <c r="AF147" s="29"/>
      <c r="AG147" s="30">
        <v>1645.7</v>
      </c>
      <c r="AH147" s="29"/>
      <c r="AI147" s="29"/>
      <c r="AJ147" s="29"/>
      <c r="AK147" s="29"/>
      <c r="AL147" s="29"/>
      <c r="AM147" s="30">
        <v>1849.4</v>
      </c>
      <c r="AN147" s="29"/>
      <c r="AO147" s="29"/>
      <c r="AP147" s="29"/>
      <c r="AQ147" s="29"/>
      <c r="AR147" s="29"/>
      <c r="AS147" s="30">
        <v>2044.9</v>
      </c>
      <c r="AT147" s="29"/>
      <c r="AU147" s="29"/>
      <c r="AV147" s="29"/>
      <c r="AW147" s="29"/>
      <c r="AX147" s="29"/>
      <c r="AY147" s="30">
        <v>2179.6</v>
      </c>
      <c r="AZ147" s="29"/>
      <c r="BA147" s="29"/>
      <c r="BB147" s="29"/>
      <c r="BC147" s="29"/>
      <c r="BD147" s="29"/>
      <c r="BE147" s="30">
        <v>1700.9</v>
      </c>
      <c r="BF147" s="29"/>
      <c r="BG147" s="29"/>
      <c r="BH147" s="29"/>
      <c r="BI147" s="29"/>
      <c r="BJ147" s="29"/>
      <c r="BK147" s="30">
        <v>2466.4</v>
      </c>
      <c r="BL147" s="29"/>
      <c r="BM147" s="29"/>
      <c r="BN147" s="29"/>
      <c r="BO147" s="29"/>
      <c r="BP147" s="29"/>
      <c r="BQ147" s="30">
        <v>2872.6</v>
      </c>
      <c r="BR147" s="29"/>
      <c r="BS147" s="29"/>
      <c r="BT147" s="29"/>
      <c r="BU147" s="29"/>
      <c r="BV147" s="29"/>
      <c r="BW147" s="30">
        <v>2895.4</v>
      </c>
      <c r="BX147" s="29"/>
      <c r="BY147" s="29"/>
      <c r="BZ147" s="29"/>
      <c r="CA147" s="29"/>
      <c r="CB147" s="29"/>
      <c r="CC147" s="30">
        <v>2938.9</v>
      </c>
      <c r="CD147" s="29"/>
      <c r="CE147" s="29"/>
      <c r="CF147" s="29"/>
      <c r="CG147" s="29"/>
      <c r="CH147" s="29"/>
      <c r="CI147" s="30">
        <v>3182.8</v>
      </c>
      <c r="CJ147" s="29"/>
      <c r="CK147" s="29"/>
      <c r="CL147" s="29"/>
      <c r="CM147" s="31"/>
      <c r="CN147" s="31"/>
      <c r="CO147" s="31"/>
      <c r="CP147" s="31"/>
      <c r="CQ147" s="31"/>
      <c r="CR147" s="31"/>
      <c r="CS147" s="31"/>
      <c r="CT147" s="22"/>
      <c r="CV147" s="6"/>
      <c r="CW147" s="6"/>
      <c r="CX147" s="6"/>
      <c r="CY147" s="6"/>
    </row>
    <row r="148" spans="2:103" ht="15" customHeight="1" x14ac:dyDescent="0.25">
      <c r="B148" s="12" t="s">
        <v>250</v>
      </c>
      <c r="C148" s="29" t="str">
        <f t="shared" ref="C148:I148" si="159">IF(ISNUMBER(C147),C152-C147,"")</f>
        <v/>
      </c>
      <c r="D148" s="29" t="str">
        <f t="shared" si="159"/>
        <v/>
      </c>
      <c r="E148" s="29" t="str">
        <f t="shared" si="159"/>
        <v/>
      </c>
      <c r="F148" s="29" t="str">
        <f t="shared" si="159"/>
        <v/>
      </c>
      <c r="G148" s="29" t="str">
        <f t="shared" si="159"/>
        <v/>
      </c>
      <c r="H148" s="29" t="str">
        <f t="shared" si="159"/>
        <v/>
      </c>
      <c r="I148" s="29" t="str">
        <f t="shared" si="159"/>
        <v/>
      </c>
      <c r="J148" s="29"/>
      <c r="K148" s="29"/>
      <c r="L148" s="29"/>
      <c r="M148" s="29"/>
      <c r="N148" s="29"/>
      <c r="O148" s="29">
        <f>IF(ISNUMBER(O147),O152-O147,"")</f>
        <v>561.79999999999995</v>
      </c>
      <c r="P148" s="29"/>
      <c r="Q148" s="29"/>
      <c r="R148" s="29"/>
      <c r="S148" s="29"/>
      <c r="T148" s="29"/>
      <c r="U148" s="29">
        <f>IF(ISNUMBER(U147),U152-U147,"")</f>
        <v>542</v>
      </c>
      <c r="V148" s="29"/>
      <c r="W148" s="29"/>
      <c r="X148" s="29"/>
      <c r="Y148" s="29"/>
      <c r="Z148" s="29"/>
      <c r="AA148" s="29">
        <f>IF(ISNUMBER(AA147),AA152-AA147,"")</f>
        <v>501</v>
      </c>
      <c r="AB148" s="29"/>
      <c r="AC148" s="29"/>
      <c r="AD148" s="29"/>
      <c r="AE148" s="29"/>
      <c r="AF148" s="29"/>
      <c r="AG148" s="29">
        <f>IF(ISNUMBER(AG147),AG152-AG147,"")</f>
        <v>504.20000000000005</v>
      </c>
      <c r="AH148" s="29"/>
      <c r="AI148" s="29"/>
      <c r="AJ148" s="29"/>
      <c r="AK148" s="29"/>
      <c r="AL148" s="29"/>
      <c r="AM148" s="29">
        <f>IF(ISNUMBER(AM147),AM152-AM147,"")</f>
        <v>754.40000000000009</v>
      </c>
      <c r="AN148" s="29"/>
      <c r="AO148" s="29"/>
      <c r="AP148" s="29"/>
      <c r="AQ148" s="29"/>
      <c r="AR148" s="29"/>
      <c r="AS148" s="29">
        <f>IF(ISNUMBER(AS147),AS152-AS147,"")</f>
        <v>856.90000000000009</v>
      </c>
      <c r="AT148" s="29"/>
      <c r="AU148" s="29"/>
      <c r="AV148" s="29"/>
      <c r="AW148" s="29"/>
      <c r="AX148" s="29"/>
      <c r="AY148" s="29">
        <f>IF(ISNUMBER(AY147),AY152-AY147,"")</f>
        <v>984</v>
      </c>
      <c r="AZ148" s="29"/>
      <c r="BA148" s="29"/>
      <c r="BB148" s="29"/>
      <c r="BC148" s="29"/>
      <c r="BD148" s="29"/>
      <c r="BE148" s="29">
        <f>IF(ISNUMBER(BE147),BE152-BE147,"")</f>
        <v>1385.2999999999997</v>
      </c>
      <c r="BF148" s="29"/>
      <c r="BG148" s="29"/>
      <c r="BH148" s="29"/>
      <c r="BI148" s="29"/>
      <c r="BJ148" s="29"/>
      <c r="BK148" s="29">
        <f>IF(ISNUMBER(BK147),BK152-BK147,"")</f>
        <v>2147.9</v>
      </c>
      <c r="BL148" s="29"/>
      <c r="BM148" s="29"/>
      <c r="BN148" s="29"/>
      <c r="BO148" s="29"/>
      <c r="BP148" s="29"/>
      <c r="BQ148" s="29">
        <f>IF(ISNUMBER(BQ147),BQ152-BQ147,"")</f>
        <v>2586.0000000000005</v>
      </c>
      <c r="BR148" s="29"/>
      <c r="BS148" s="29"/>
      <c r="BT148" s="29"/>
      <c r="BU148" s="29"/>
      <c r="BV148" s="29"/>
      <c r="BW148" s="29">
        <f>IF(ISNUMBER(BW147),BW152-BW147,"")</f>
        <v>2740.1</v>
      </c>
      <c r="BX148" s="29"/>
      <c r="BY148" s="29"/>
      <c r="BZ148" s="29"/>
      <c r="CA148" s="29"/>
      <c r="CB148" s="29"/>
      <c r="CC148" s="29">
        <f>IF(ISNUMBER(CC147),CC152-CC147,"")</f>
        <v>2731.1</v>
      </c>
      <c r="CD148" s="29"/>
      <c r="CE148" s="29"/>
      <c r="CF148" s="29"/>
      <c r="CG148" s="29"/>
      <c r="CH148" s="29"/>
      <c r="CI148" s="29">
        <f>IF(ISNUMBER(CI147),CI152-CI147,"")</f>
        <v>2932.5999999999995</v>
      </c>
      <c r="CJ148" s="29"/>
      <c r="CK148" s="29"/>
      <c r="CL148" s="29"/>
      <c r="CM148" s="31"/>
      <c r="CN148" s="31"/>
      <c r="CO148" s="31"/>
      <c r="CP148" s="31"/>
      <c r="CQ148" s="31"/>
      <c r="CR148" s="31"/>
      <c r="CS148" s="31"/>
      <c r="CT148" s="22"/>
      <c r="CV148" s="6"/>
      <c r="CW148" s="6"/>
      <c r="CX148" s="6"/>
      <c r="CY148" s="6"/>
    </row>
    <row r="149" spans="2:103" ht="15" customHeight="1" x14ac:dyDescent="0.25">
      <c r="B149" s="25" t="s">
        <v>251</v>
      </c>
      <c r="C149" s="39" t="str">
        <f t="shared" ref="C149:I149" si="160">IFERROR(C148/C152,"")</f>
        <v/>
      </c>
      <c r="D149" s="39" t="str">
        <f t="shared" si="160"/>
        <v/>
      </c>
      <c r="E149" s="39" t="str">
        <f t="shared" si="160"/>
        <v/>
      </c>
      <c r="F149" s="39" t="str">
        <f t="shared" si="160"/>
        <v/>
      </c>
      <c r="G149" s="39" t="str">
        <f t="shared" si="160"/>
        <v/>
      </c>
      <c r="H149" s="39" t="str">
        <f t="shared" si="160"/>
        <v/>
      </c>
      <c r="I149" s="39" t="str">
        <f t="shared" si="160"/>
        <v/>
      </c>
      <c r="J149" s="39"/>
      <c r="K149" s="39"/>
      <c r="L149" s="39"/>
      <c r="M149" s="39"/>
      <c r="N149" s="39"/>
      <c r="O149" s="39">
        <f>IFERROR(O148/O152,"")</f>
        <v>0.24022919695544342</v>
      </c>
      <c r="P149" s="39"/>
      <c r="Q149" s="39"/>
      <c r="R149" s="39"/>
      <c r="S149" s="39"/>
      <c r="T149" s="39"/>
      <c r="U149" s="39">
        <f>IFERROR(U148/U152,"")</f>
        <v>0.22639933166248954</v>
      </c>
      <c r="V149" s="39"/>
      <c r="W149" s="39"/>
      <c r="X149" s="39"/>
      <c r="Y149" s="39"/>
      <c r="Z149" s="39"/>
      <c r="AA149" s="39">
        <f>IFERROR(AA148/AA152,"")</f>
        <v>0.2180061790174492</v>
      </c>
      <c r="AB149" s="39"/>
      <c r="AC149" s="39"/>
      <c r="AD149" s="39"/>
      <c r="AE149" s="39"/>
      <c r="AF149" s="39"/>
      <c r="AG149" s="39">
        <f>IFERROR(AG148/AG152,"")</f>
        <v>0.23452253593190381</v>
      </c>
      <c r="AH149" s="39"/>
      <c r="AI149" s="39"/>
      <c r="AJ149" s="39"/>
      <c r="AK149" s="39"/>
      <c r="AL149" s="39"/>
      <c r="AM149" s="39">
        <f>IFERROR(AM148/AM152,"")</f>
        <v>0.28973039403948075</v>
      </c>
      <c r="AN149" s="39"/>
      <c r="AO149" s="39"/>
      <c r="AP149" s="39"/>
      <c r="AQ149" s="39"/>
      <c r="AR149" s="39"/>
      <c r="AS149" s="39">
        <f>IFERROR(AS148/AS152,"")</f>
        <v>0.2952994692949204</v>
      </c>
      <c r="AT149" s="39"/>
      <c r="AU149" s="39"/>
      <c r="AV149" s="39"/>
      <c r="AW149" s="39"/>
      <c r="AX149" s="39"/>
      <c r="AY149" s="39">
        <f>IFERROR(AY148/AY152,"")</f>
        <v>0.31103805790871158</v>
      </c>
      <c r="AZ149" s="39"/>
      <c r="BA149" s="39"/>
      <c r="BB149" s="39"/>
      <c r="BC149" s="39"/>
      <c r="BD149" s="39"/>
      <c r="BE149" s="39">
        <f>IFERROR(BE148/BE152,"")</f>
        <v>0.44886915948415523</v>
      </c>
      <c r="BF149" s="39"/>
      <c r="BG149" s="39"/>
      <c r="BH149" s="39"/>
      <c r="BI149" s="39"/>
      <c r="BJ149" s="39"/>
      <c r="BK149" s="39">
        <f>IFERROR(BK148/BK152,"")</f>
        <v>0.46548772294822616</v>
      </c>
      <c r="BL149" s="39"/>
      <c r="BM149" s="39"/>
      <c r="BN149" s="39"/>
      <c r="BO149" s="39"/>
      <c r="BP149" s="39"/>
      <c r="BQ149" s="39">
        <f>IFERROR(BQ148/BQ152,"")</f>
        <v>0.47374784743340786</v>
      </c>
      <c r="BR149" s="39"/>
      <c r="BS149" s="39"/>
      <c r="BT149" s="39"/>
      <c r="BU149" s="39"/>
      <c r="BV149" s="39"/>
      <c r="BW149" s="39">
        <f>IFERROR(BW148/BW152,"")</f>
        <v>0.486221275840653</v>
      </c>
      <c r="BX149" s="39"/>
      <c r="BY149" s="39"/>
      <c r="BZ149" s="39"/>
      <c r="CA149" s="39"/>
      <c r="CB149" s="39"/>
      <c r="CC149" s="39">
        <f>IFERROR(CC148/CC152,"")</f>
        <v>0.48167548500881835</v>
      </c>
      <c r="CD149" s="39"/>
      <c r="CE149" s="39"/>
      <c r="CF149" s="39"/>
      <c r="CG149" s="39"/>
      <c r="CH149" s="39"/>
      <c r="CI149" s="39">
        <f>IFERROR(CI148/CI152,"")</f>
        <v>0.47954344768943974</v>
      </c>
      <c r="CJ149" s="39"/>
      <c r="CK149" s="39"/>
      <c r="CL149" s="39"/>
      <c r="CM149" s="27"/>
      <c r="CN149" s="27"/>
      <c r="CO149" s="27"/>
      <c r="CP149" s="27"/>
      <c r="CQ149" s="27"/>
      <c r="CR149" s="27"/>
      <c r="CS149" s="27"/>
      <c r="CT149" s="22"/>
      <c r="CV149" s="6"/>
      <c r="CW149" s="6"/>
      <c r="CX149" s="6"/>
      <c r="CY149" s="6"/>
    </row>
    <row r="150" spans="2:103" ht="15" customHeight="1" x14ac:dyDescent="0.25">
      <c r="B150" s="12"/>
      <c r="CM150" s="6"/>
      <c r="CN150" s="6"/>
      <c r="CO150" s="6"/>
      <c r="CP150" s="6"/>
      <c r="CQ150" s="6"/>
      <c r="CR150" s="6"/>
      <c r="CS150" s="6"/>
      <c r="CT150" s="6"/>
    </row>
    <row r="151" spans="2:103" ht="15" customHeight="1" x14ac:dyDescent="0.25">
      <c r="B151" s="11" t="s">
        <v>252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 t="s">
        <v>253</v>
      </c>
    </row>
    <row r="152" spans="2:103" ht="15" customHeight="1" x14ac:dyDescent="0.25">
      <c r="B152" s="33" t="s">
        <v>254</v>
      </c>
      <c r="C152" s="54">
        <v>1433.2</v>
      </c>
      <c r="D152" s="54">
        <v>1622.3</v>
      </c>
      <c r="E152" s="54">
        <v>1722</v>
      </c>
      <c r="F152" s="54">
        <v>1652.1</v>
      </c>
      <c r="G152" s="54">
        <v>1644.2</v>
      </c>
      <c r="H152" s="54">
        <v>1941.9</v>
      </c>
      <c r="I152" s="54">
        <v>2127.3000000000002</v>
      </c>
      <c r="J152" s="20">
        <v>569.4</v>
      </c>
      <c r="K152" s="20">
        <v>601</v>
      </c>
      <c r="L152" s="19">
        <f>J152+K152</f>
        <v>1170.4000000000001</v>
      </c>
      <c r="M152" s="20">
        <v>571.6</v>
      </c>
      <c r="N152" s="20">
        <v>596.6</v>
      </c>
      <c r="O152" s="54">
        <v>2338.6</v>
      </c>
      <c r="P152" s="20">
        <v>573.5</v>
      </c>
      <c r="Q152" s="20">
        <v>597.1</v>
      </c>
      <c r="R152" s="19">
        <f>P152+Q152</f>
        <v>1170.5999999999999</v>
      </c>
      <c r="S152" s="20">
        <v>601.1</v>
      </c>
      <c r="T152" s="20">
        <v>622.29999999999995</v>
      </c>
      <c r="U152" s="54">
        <v>2394</v>
      </c>
      <c r="V152" s="20">
        <v>565</v>
      </c>
      <c r="W152" s="20">
        <v>577.70000000000005</v>
      </c>
      <c r="X152" s="19">
        <f>V152+W152</f>
        <v>1142.7</v>
      </c>
      <c r="Y152" s="20">
        <v>555.4</v>
      </c>
      <c r="Z152" s="20">
        <v>600</v>
      </c>
      <c r="AA152" s="54">
        <v>2298.1</v>
      </c>
      <c r="AB152" s="20">
        <v>530.5</v>
      </c>
      <c r="AC152" s="20">
        <v>539.70000000000005</v>
      </c>
      <c r="AD152" s="19">
        <f>AB152+AC152</f>
        <v>1070.2</v>
      </c>
      <c r="AE152" s="20">
        <v>526.79999999999995</v>
      </c>
      <c r="AF152" s="20">
        <v>552.9</v>
      </c>
      <c r="AG152" s="54">
        <v>2149.9</v>
      </c>
      <c r="AH152" s="20">
        <v>566.1</v>
      </c>
      <c r="AI152" s="20">
        <v>671.1</v>
      </c>
      <c r="AJ152" s="19">
        <f>AH152+AI152</f>
        <v>1237.2</v>
      </c>
      <c r="AK152" s="20">
        <v>662.2</v>
      </c>
      <c r="AL152" s="20">
        <v>704.4</v>
      </c>
      <c r="AM152" s="54">
        <v>2603.8000000000002</v>
      </c>
      <c r="AN152" s="20">
        <v>695.6</v>
      </c>
      <c r="AO152" s="20">
        <v>732.5</v>
      </c>
      <c r="AP152" s="19">
        <f>AN152+AO152</f>
        <v>1428.1</v>
      </c>
      <c r="AQ152" s="20">
        <v>725.3</v>
      </c>
      <c r="AR152" s="20">
        <v>748.4</v>
      </c>
      <c r="AS152" s="54">
        <v>2901.8</v>
      </c>
      <c r="AT152" s="20">
        <v>745.2</v>
      </c>
      <c r="AU152" s="20">
        <v>782</v>
      </c>
      <c r="AV152" s="19">
        <f>AT152+AU152</f>
        <v>1527.2</v>
      </c>
      <c r="AW152" s="20">
        <v>802.2</v>
      </c>
      <c r="AX152" s="20">
        <v>834.2</v>
      </c>
      <c r="AY152" s="54">
        <v>3163.6</v>
      </c>
      <c r="AZ152" s="20">
        <v>784.6</v>
      </c>
      <c r="BA152" s="20">
        <v>743.3</v>
      </c>
      <c r="BB152" s="19">
        <f>AZ152+BA152</f>
        <v>1527.9</v>
      </c>
      <c r="BC152" s="20">
        <v>749</v>
      </c>
      <c r="BD152" s="20">
        <v>809.3</v>
      </c>
      <c r="BE152" s="54">
        <v>3086.2</v>
      </c>
      <c r="BF152" s="20">
        <v>805.7</v>
      </c>
      <c r="BG152" s="20">
        <v>1121</v>
      </c>
      <c r="BH152" s="19">
        <f>BF152+BG152</f>
        <v>1926.7</v>
      </c>
      <c r="BI152" s="20">
        <v>1311.9</v>
      </c>
      <c r="BJ152" s="20">
        <v>1375.7</v>
      </c>
      <c r="BK152" s="54">
        <v>4614.3</v>
      </c>
      <c r="BL152" s="20">
        <v>1321</v>
      </c>
      <c r="BM152" s="20">
        <v>1355.8</v>
      </c>
      <c r="BN152" s="19">
        <f>BL152+BM152</f>
        <v>2676.8</v>
      </c>
      <c r="BO152" s="20">
        <v>1363.6</v>
      </c>
      <c r="BP152" s="20">
        <v>1418.2</v>
      </c>
      <c r="BQ152" s="54">
        <v>5458.6</v>
      </c>
      <c r="BR152" s="20">
        <v>1383.3</v>
      </c>
      <c r="BS152" s="20">
        <v>1424.7</v>
      </c>
      <c r="BT152" s="19">
        <f>BR152+BS152</f>
        <v>2808</v>
      </c>
      <c r="BU152" s="20">
        <v>1402.5</v>
      </c>
      <c r="BV152" s="20">
        <v>1425</v>
      </c>
      <c r="BW152" s="54">
        <v>5635.5</v>
      </c>
      <c r="BX152" s="20">
        <v>1350.1</v>
      </c>
      <c r="BY152" s="20">
        <v>1374.1</v>
      </c>
      <c r="BZ152" s="19">
        <f>BX152+BY152</f>
        <v>2724.2</v>
      </c>
      <c r="CA152" s="20">
        <v>1443.5</v>
      </c>
      <c r="CB152" s="20">
        <v>1502.3</v>
      </c>
      <c r="CC152" s="54">
        <v>5670</v>
      </c>
      <c r="CD152" s="20">
        <v>1449.9</v>
      </c>
      <c r="CE152" s="20">
        <v>1513.7</v>
      </c>
      <c r="CF152" s="19">
        <f>CD152+CE152</f>
        <v>2963.6000000000004</v>
      </c>
      <c r="CG152" s="20">
        <v>1539.5</v>
      </c>
      <c r="CH152" s="20">
        <v>1612.3</v>
      </c>
      <c r="CI152" s="54">
        <v>6115.4</v>
      </c>
      <c r="CJ152" s="20">
        <v>1560.1</v>
      </c>
      <c r="CK152" s="20">
        <v>1662.5</v>
      </c>
      <c r="CL152" s="19">
        <f>CJ152+CK152</f>
        <v>3222.6</v>
      </c>
      <c r="CM152" s="34">
        <f>CM122</f>
        <v>1691.1740354793701</v>
      </c>
      <c r="CN152" s="34">
        <f>CN122</f>
        <v>1772.3136195638565</v>
      </c>
      <c r="CO152" s="34">
        <f>SUM(CJ152,CK152,CM152,CN152)</f>
        <v>6686.0876550432258</v>
      </c>
      <c r="CP152" s="34">
        <f>CP122</f>
        <v>7179.9947259384016</v>
      </c>
      <c r="CQ152" s="34">
        <f>CQ122</f>
        <v>7851.445221150605</v>
      </c>
      <c r="CR152" s="34">
        <f>CR122</f>
        <v>8578.2966064984012</v>
      </c>
      <c r="CS152" s="34">
        <f>CS122</f>
        <v>9344.606114616483</v>
      </c>
      <c r="CT152" s="22" t="s">
        <v>255</v>
      </c>
      <c r="CV152" s="23">
        <f>IFERROR((CS152/CI152)^(1/5)-1,"n/m")</f>
        <v>8.8496974479118418E-2</v>
      </c>
      <c r="CW152" s="23">
        <f>IFERROR((CI152/BE152)^(1/5)-1,"n/m")</f>
        <v>0.14656890733628281</v>
      </c>
      <c r="CX152" s="23">
        <f>IFERROR((CI152/AA152)^(1/10)-1,"n/m")</f>
        <v>0.1028224404066771</v>
      </c>
      <c r="CY152" s="23">
        <f>IFERROR((CI152/C152)^(1/19)-1,"n/m")</f>
        <v>7.9354505988549873E-2</v>
      </c>
    </row>
    <row r="153" spans="2:103" ht="15" customHeight="1" x14ac:dyDescent="0.25">
      <c r="B153" s="36" t="s">
        <v>256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31"/>
      <c r="CN153" s="31"/>
      <c r="CO153" s="31"/>
      <c r="CP153" s="31"/>
      <c r="CQ153" s="31"/>
      <c r="CR153" s="31"/>
      <c r="CS153" s="31"/>
      <c r="CT153" s="22"/>
      <c r="CV153" s="6"/>
      <c r="CW153" s="6"/>
      <c r="CX153" s="6"/>
      <c r="CY153" s="6"/>
    </row>
    <row r="154" spans="2:103" ht="15" customHeight="1" x14ac:dyDescent="0.25">
      <c r="B154" s="36" t="s">
        <v>257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31"/>
      <c r="CN154" s="31"/>
      <c r="CO154" s="31"/>
      <c r="CP154" s="31"/>
      <c r="CQ154" s="31"/>
      <c r="CR154" s="31"/>
      <c r="CS154" s="31"/>
      <c r="CT154" s="22"/>
      <c r="CV154" s="6"/>
      <c r="CW154" s="6"/>
      <c r="CX154" s="6"/>
      <c r="CY154" s="6"/>
    </row>
    <row r="155" spans="2:103" ht="15" customHeight="1" x14ac:dyDescent="0.25">
      <c r="B155" s="12" t="s">
        <v>258</v>
      </c>
      <c r="C155" s="30">
        <v>1020.2</v>
      </c>
      <c r="D155" s="30">
        <v>1136.4000000000001</v>
      </c>
      <c r="E155" s="30">
        <v>1205.9000000000001</v>
      </c>
      <c r="F155" s="30">
        <v>1177.3</v>
      </c>
      <c r="G155" s="30">
        <v>1148.0999999999999</v>
      </c>
      <c r="H155" s="30">
        <v>1290.7</v>
      </c>
      <c r="I155" s="30">
        <v>1379.1</v>
      </c>
      <c r="J155" s="30">
        <v>365.4</v>
      </c>
      <c r="K155" s="30">
        <v>383.6</v>
      </c>
      <c r="L155" s="29">
        <f>J155+K155</f>
        <v>749</v>
      </c>
      <c r="M155" s="30">
        <v>369</v>
      </c>
      <c r="N155" s="30">
        <v>382</v>
      </c>
      <c r="O155" s="30">
        <v>1500</v>
      </c>
      <c r="P155" s="30">
        <v>351.7</v>
      </c>
      <c r="Q155" s="30">
        <v>368.4</v>
      </c>
      <c r="R155" s="29">
        <f>P155+Q155</f>
        <v>720.09999999999991</v>
      </c>
      <c r="S155" s="30">
        <v>375.4</v>
      </c>
      <c r="T155" s="30">
        <v>391.6</v>
      </c>
      <c r="U155" s="30">
        <v>1487.1</v>
      </c>
      <c r="V155" s="30">
        <v>345.9</v>
      </c>
      <c r="W155" s="30">
        <v>357.7</v>
      </c>
      <c r="X155" s="29">
        <f>V155+W155</f>
        <v>703.59999999999991</v>
      </c>
      <c r="Y155" s="30">
        <v>345.8</v>
      </c>
      <c r="Z155" s="30">
        <v>378.4</v>
      </c>
      <c r="AA155" s="30">
        <v>1427.8</v>
      </c>
      <c r="AB155" s="30">
        <v>324.8</v>
      </c>
      <c r="AC155" s="30">
        <v>336.2</v>
      </c>
      <c r="AD155" s="29">
        <f>AB155+AC155</f>
        <v>661</v>
      </c>
      <c r="AE155" s="30">
        <v>317</v>
      </c>
      <c r="AF155" s="30">
        <v>340</v>
      </c>
      <c r="AG155" s="30">
        <v>1318</v>
      </c>
      <c r="AH155" s="30">
        <v>357</v>
      </c>
      <c r="AI155" s="30">
        <v>421.2</v>
      </c>
      <c r="AJ155" s="29">
        <f>AH155+AI155</f>
        <v>778.2</v>
      </c>
      <c r="AK155" s="30">
        <v>408.6</v>
      </c>
      <c r="AL155" s="30">
        <v>437.2</v>
      </c>
      <c r="AM155" s="30">
        <v>1624</v>
      </c>
      <c r="AN155" s="30">
        <v>438.2</v>
      </c>
      <c r="AO155" s="30">
        <v>447</v>
      </c>
      <c r="AP155" s="29">
        <f>AN155+AO155</f>
        <v>885.2</v>
      </c>
      <c r="AQ155" s="30">
        <v>446.2</v>
      </c>
      <c r="AR155" s="30">
        <v>459.6</v>
      </c>
      <c r="AS155" s="30">
        <v>1791</v>
      </c>
      <c r="AT155" s="30">
        <v>463.9</v>
      </c>
      <c r="AU155" s="30">
        <v>463.6</v>
      </c>
      <c r="AV155" s="29">
        <f>AT155+AU155</f>
        <v>927.5</v>
      </c>
      <c r="AW155" s="30">
        <v>487.7</v>
      </c>
      <c r="AX155" s="30">
        <v>505.1</v>
      </c>
      <c r="AY155" s="30">
        <v>1920.3</v>
      </c>
      <c r="AZ155" s="30">
        <v>492.6</v>
      </c>
      <c r="BA155" s="30">
        <v>460.6</v>
      </c>
      <c r="BB155" s="29">
        <f>AZ155+BA155</f>
        <v>953.2</v>
      </c>
      <c r="BC155" s="30">
        <v>458.5</v>
      </c>
      <c r="BD155" s="30">
        <v>493.6</v>
      </c>
      <c r="BE155" s="30">
        <v>1905.3</v>
      </c>
      <c r="BF155" s="30">
        <v>492.5</v>
      </c>
      <c r="BG155" s="30">
        <v>663.1</v>
      </c>
      <c r="BH155" s="29">
        <f>BF155+BG155</f>
        <v>1155.5999999999999</v>
      </c>
      <c r="BI155" s="30">
        <v>787.7</v>
      </c>
      <c r="BJ155" s="30">
        <v>829.6</v>
      </c>
      <c r="BK155" s="30">
        <v>2772.9</v>
      </c>
      <c r="BL155" s="30">
        <v>752.6</v>
      </c>
      <c r="BM155" s="30">
        <v>788.6</v>
      </c>
      <c r="BN155" s="29">
        <f>BL155+BM155</f>
        <v>1541.2</v>
      </c>
      <c r="BO155" s="30">
        <v>785.8</v>
      </c>
      <c r="BP155" s="30">
        <v>801.3</v>
      </c>
      <c r="BQ155" s="30">
        <v>3128.3</v>
      </c>
      <c r="BR155" s="30">
        <v>790.7</v>
      </c>
      <c r="BS155" s="30">
        <v>806.3</v>
      </c>
      <c r="BT155" s="29">
        <f>BR155+BS155</f>
        <v>1597</v>
      </c>
      <c r="BU155" s="30">
        <v>797.2</v>
      </c>
      <c r="BV155" s="30">
        <v>801.9</v>
      </c>
      <c r="BW155" s="30">
        <v>3196.1</v>
      </c>
      <c r="BX155" s="30">
        <v>770.2</v>
      </c>
      <c r="BY155" s="30">
        <v>781.5</v>
      </c>
      <c r="BZ155" s="29">
        <f>BX155+BY155</f>
        <v>1551.7</v>
      </c>
      <c r="CA155" s="30">
        <v>823.9</v>
      </c>
      <c r="CB155" s="30">
        <v>859.6</v>
      </c>
      <c r="CC155" s="30">
        <v>3235.2</v>
      </c>
      <c r="CD155" s="30">
        <v>830.4</v>
      </c>
      <c r="CE155" s="30">
        <v>869.1</v>
      </c>
      <c r="CF155" s="29">
        <f>CD155+CE155</f>
        <v>1699.5</v>
      </c>
      <c r="CG155" s="30">
        <v>880</v>
      </c>
      <c r="CH155" s="30">
        <v>921.1</v>
      </c>
      <c r="CI155" s="30">
        <v>3500.6</v>
      </c>
      <c r="CJ155" s="30">
        <v>886.3</v>
      </c>
      <c r="CK155" s="30">
        <v>924.4</v>
      </c>
      <c r="CL155" s="29">
        <f>CJ155+CK155</f>
        <v>1810.6999999999998</v>
      </c>
      <c r="CM155" s="31">
        <f>CM152*CM138</f>
        <v>947.11108387450088</v>
      </c>
      <c r="CN155" s="31">
        <f>CN152*CN138</f>
        <v>991.98734919217259</v>
      </c>
      <c r="CO155" s="31">
        <f t="shared" ref="CO155:CO165" si="161">SUM(CJ155,CK155,CM155,CN155)</f>
        <v>3749.7984330666732</v>
      </c>
      <c r="CP155" s="31">
        <f>CP152*CP138</f>
        <v>4049.517025429258</v>
      </c>
      <c r="CQ155" s="31">
        <f>CQ152*CQ138</f>
        <v>4412.5122142866403</v>
      </c>
      <c r="CR155" s="31">
        <f>CR152*CR138</f>
        <v>4803.846099639105</v>
      </c>
      <c r="CS155" s="31">
        <f>CS152*CS138</f>
        <v>5214.2902119559976</v>
      </c>
      <c r="CT155" s="22"/>
      <c r="CV155" s="6"/>
      <c r="CW155" s="6"/>
      <c r="CX155" s="6"/>
      <c r="CY155" s="6"/>
    </row>
    <row r="156" spans="2:103" ht="15" customHeight="1" x14ac:dyDescent="0.25">
      <c r="B156" s="18" t="s">
        <v>259</v>
      </c>
      <c r="C156" s="19">
        <f t="shared" ref="C156:AH156" si="162">C152-C155</f>
        <v>413</v>
      </c>
      <c r="D156" s="19">
        <f t="shared" si="162"/>
        <v>485.89999999999986</v>
      </c>
      <c r="E156" s="19">
        <f t="shared" si="162"/>
        <v>516.09999999999991</v>
      </c>
      <c r="F156" s="19">
        <f t="shared" si="162"/>
        <v>474.79999999999995</v>
      </c>
      <c r="G156" s="19">
        <f t="shared" si="162"/>
        <v>496.10000000000014</v>
      </c>
      <c r="H156" s="19">
        <f t="shared" si="162"/>
        <v>651.20000000000005</v>
      </c>
      <c r="I156" s="19">
        <f t="shared" si="162"/>
        <v>748.20000000000027</v>
      </c>
      <c r="J156" s="19">
        <f t="shared" si="162"/>
        <v>204</v>
      </c>
      <c r="K156" s="19">
        <f t="shared" si="162"/>
        <v>217.39999999999998</v>
      </c>
      <c r="L156" s="19">
        <f t="shared" si="162"/>
        <v>421.40000000000009</v>
      </c>
      <c r="M156" s="19">
        <f t="shared" si="162"/>
        <v>202.60000000000002</v>
      </c>
      <c r="N156" s="19">
        <f t="shared" si="162"/>
        <v>214.60000000000002</v>
      </c>
      <c r="O156" s="19">
        <f t="shared" si="162"/>
        <v>838.59999999999991</v>
      </c>
      <c r="P156" s="19">
        <f t="shared" si="162"/>
        <v>221.8</v>
      </c>
      <c r="Q156" s="19">
        <f t="shared" si="162"/>
        <v>228.70000000000005</v>
      </c>
      <c r="R156" s="19">
        <f t="shared" si="162"/>
        <v>450.5</v>
      </c>
      <c r="S156" s="19">
        <f t="shared" si="162"/>
        <v>225.70000000000005</v>
      </c>
      <c r="T156" s="19">
        <f t="shared" si="162"/>
        <v>230.69999999999993</v>
      </c>
      <c r="U156" s="19">
        <f t="shared" si="162"/>
        <v>906.90000000000009</v>
      </c>
      <c r="V156" s="19">
        <f t="shared" si="162"/>
        <v>219.10000000000002</v>
      </c>
      <c r="W156" s="19">
        <f t="shared" si="162"/>
        <v>220.00000000000006</v>
      </c>
      <c r="X156" s="19">
        <f t="shared" si="162"/>
        <v>439.10000000000014</v>
      </c>
      <c r="Y156" s="19">
        <f t="shared" si="162"/>
        <v>209.59999999999997</v>
      </c>
      <c r="Z156" s="19">
        <f t="shared" si="162"/>
        <v>221.60000000000002</v>
      </c>
      <c r="AA156" s="19">
        <f t="shared" si="162"/>
        <v>870.3</v>
      </c>
      <c r="AB156" s="19">
        <f t="shared" si="162"/>
        <v>205.7</v>
      </c>
      <c r="AC156" s="19">
        <f t="shared" si="162"/>
        <v>203.50000000000006</v>
      </c>
      <c r="AD156" s="19">
        <f t="shared" si="162"/>
        <v>409.20000000000005</v>
      </c>
      <c r="AE156" s="19">
        <f t="shared" si="162"/>
        <v>209.79999999999995</v>
      </c>
      <c r="AF156" s="19">
        <f t="shared" si="162"/>
        <v>212.89999999999998</v>
      </c>
      <c r="AG156" s="19">
        <f t="shared" si="162"/>
        <v>831.90000000000009</v>
      </c>
      <c r="AH156" s="19">
        <f t="shared" si="162"/>
        <v>209.10000000000002</v>
      </c>
      <c r="AI156" s="19">
        <f t="shared" ref="AI156:BN156" si="163">AI152-AI155</f>
        <v>249.90000000000003</v>
      </c>
      <c r="AJ156" s="19">
        <f t="shared" si="163"/>
        <v>459</v>
      </c>
      <c r="AK156" s="19">
        <f t="shared" si="163"/>
        <v>253.60000000000002</v>
      </c>
      <c r="AL156" s="19">
        <f t="shared" si="163"/>
        <v>267.2</v>
      </c>
      <c r="AM156" s="19">
        <f t="shared" si="163"/>
        <v>979.80000000000018</v>
      </c>
      <c r="AN156" s="19">
        <f t="shared" si="163"/>
        <v>257.40000000000003</v>
      </c>
      <c r="AO156" s="19">
        <f t="shared" si="163"/>
        <v>285.5</v>
      </c>
      <c r="AP156" s="19">
        <f t="shared" si="163"/>
        <v>542.89999999999986</v>
      </c>
      <c r="AQ156" s="19">
        <f t="shared" si="163"/>
        <v>279.09999999999997</v>
      </c>
      <c r="AR156" s="19">
        <f t="shared" si="163"/>
        <v>288.79999999999995</v>
      </c>
      <c r="AS156" s="19">
        <f t="shared" si="163"/>
        <v>1110.8000000000002</v>
      </c>
      <c r="AT156" s="19">
        <f t="shared" si="163"/>
        <v>281.30000000000007</v>
      </c>
      <c r="AU156" s="19">
        <f t="shared" si="163"/>
        <v>318.39999999999998</v>
      </c>
      <c r="AV156" s="19">
        <f t="shared" si="163"/>
        <v>599.70000000000005</v>
      </c>
      <c r="AW156" s="19">
        <f t="shared" si="163"/>
        <v>314.50000000000006</v>
      </c>
      <c r="AX156" s="19">
        <f t="shared" si="163"/>
        <v>329.1</v>
      </c>
      <c r="AY156" s="19">
        <f t="shared" si="163"/>
        <v>1243.3</v>
      </c>
      <c r="AZ156" s="19">
        <f t="shared" si="163"/>
        <v>292</v>
      </c>
      <c r="BA156" s="19">
        <f t="shared" si="163"/>
        <v>282.69999999999993</v>
      </c>
      <c r="BB156" s="19">
        <f t="shared" si="163"/>
        <v>574.70000000000005</v>
      </c>
      <c r="BC156" s="19">
        <f t="shared" si="163"/>
        <v>290.5</v>
      </c>
      <c r="BD156" s="19">
        <f t="shared" si="163"/>
        <v>315.69999999999993</v>
      </c>
      <c r="BE156" s="19">
        <f t="shared" si="163"/>
        <v>1180.8999999999999</v>
      </c>
      <c r="BF156" s="19">
        <f t="shared" si="163"/>
        <v>313.20000000000005</v>
      </c>
      <c r="BG156" s="19">
        <f t="shared" si="163"/>
        <v>457.9</v>
      </c>
      <c r="BH156" s="19">
        <f t="shared" si="163"/>
        <v>771.10000000000014</v>
      </c>
      <c r="BI156" s="19">
        <f t="shared" si="163"/>
        <v>524.20000000000005</v>
      </c>
      <c r="BJ156" s="19">
        <f t="shared" si="163"/>
        <v>546.1</v>
      </c>
      <c r="BK156" s="19">
        <f t="shared" si="163"/>
        <v>1841.4</v>
      </c>
      <c r="BL156" s="19">
        <f t="shared" si="163"/>
        <v>568.4</v>
      </c>
      <c r="BM156" s="19">
        <f t="shared" si="163"/>
        <v>567.19999999999993</v>
      </c>
      <c r="BN156" s="19">
        <f t="shared" si="163"/>
        <v>1135.6000000000001</v>
      </c>
      <c r="BO156" s="19">
        <f t="shared" ref="BO156:CN156" si="164">BO152-BO155</f>
        <v>577.79999999999995</v>
      </c>
      <c r="BP156" s="19">
        <f t="shared" si="164"/>
        <v>616.90000000000009</v>
      </c>
      <c r="BQ156" s="19">
        <f t="shared" si="164"/>
        <v>2330.3000000000002</v>
      </c>
      <c r="BR156" s="19">
        <f t="shared" si="164"/>
        <v>592.59999999999991</v>
      </c>
      <c r="BS156" s="19">
        <f t="shared" si="164"/>
        <v>618.40000000000009</v>
      </c>
      <c r="BT156" s="19">
        <f t="shared" si="164"/>
        <v>1211</v>
      </c>
      <c r="BU156" s="19">
        <f t="shared" si="164"/>
        <v>605.29999999999995</v>
      </c>
      <c r="BV156" s="19">
        <f t="shared" si="164"/>
        <v>623.1</v>
      </c>
      <c r="BW156" s="19">
        <f t="shared" si="164"/>
        <v>2439.4</v>
      </c>
      <c r="BX156" s="19">
        <f t="shared" si="164"/>
        <v>579.89999999999986</v>
      </c>
      <c r="BY156" s="19">
        <f t="shared" si="164"/>
        <v>592.59999999999991</v>
      </c>
      <c r="BZ156" s="19">
        <f t="shared" si="164"/>
        <v>1172.4999999999998</v>
      </c>
      <c r="CA156" s="19">
        <f t="shared" si="164"/>
        <v>619.6</v>
      </c>
      <c r="CB156" s="19">
        <f t="shared" si="164"/>
        <v>642.69999999999993</v>
      </c>
      <c r="CC156" s="19">
        <f t="shared" si="164"/>
        <v>2434.8000000000002</v>
      </c>
      <c r="CD156" s="19">
        <f t="shared" si="164"/>
        <v>619.50000000000011</v>
      </c>
      <c r="CE156" s="19">
        <f t="shared" si="164"/>
        <v>644.6</v>
      </c>
      <c r="CF156" s="19">
        <f t="shared" si="164"/>
        <v>1264.1000000000004</v>
      </c>
      <c r="CG156" s="19">
        <f t="shared" si="164"/>
        <v>659.5</v>
      </c>
      <c r="CH156" s="19">
        <f t="shared" si="164"/>
        <v>691.19999999999993</v>
      </c>
      <c r="CI156" s="19">
        <f t="shared" si="164"/>
        <v>2614.7999999999997</v>
      </c>
      <c r="CJ156" s="19">
        <f t="shared" si="164"/>
        <v>673.8</v>
      </c>
      <c r="CK156" s="19">
        <f t="shared" si="164"/>
        <v>738.1</v>
      </c>
      <c r="CL156" s="19">
        <f t="shared" si="164"/>
        <v>1411.9</v>
      </c>
      <c r="CM156" s="21">
        <f t="shared" si="164"/>
        <v>744.06295160486923</v>
      </c>
      <c r="CN156" s="21">
        <f t="shared" si="164"/>
        <v>780.3262703716839</v>
      </c>
      <c r="CO156" s="21">
        <f t="shared" si="161"/>
        <v>2936.2892219765536</v>
      </c>
      <c r="CP156" s="21">
        <f>CP152-CP155</f>
        <v>3130.4777005091437</v>
      </c>
      <c r="CQ156" s="21">
        <f>CQ152-CQ155</f>
        <v>3438.9330068639647</v>
      </c>
      <c r="CR156" s="21">
        <f>CR152-CR155</f>
        <v>3774.4505068592962</v>
      </c>
      <c r="CS156" s="21">
        <f>CS152-CS155</f>
        <v>4130.3159026604853</v>
      </c>
      <c r="CT156" s="22"/>
      <c r="CV156" s="6"/>
      <c r="CW156" s="6"/>
      <c r="CX156" s="6"/>
      <c r="CY156" s="6"/>
    </row>
    <row r="157" spans="2:103" ht="15" customHeight="1" x14ac:dyDescent="0.25">
      <c r="B157" s="12" t="s">
        <v>260</v>
      </c>
      <c r="C157" s="30">
        <v>287.89999999999998</v>
      </c>
      <c r="D157" s="30">
        <v>323.60000000000002</v>
      </c>
      <c r="E157" s="30">
        <v>317.5</v>
      </c>
      <c r="F157" s="30">
        <v>303.39999999999998</v>
      </c>
      <c r="G157" s="30">
        <v>317.60000000000002</v>
      </c>
      <c r="H157" s="30">
        <v>424</v>
      </c>
      <c r="I157" s="30">
        <v>505.1</v>
      </c>
      <c r="J157" s="30">
        <v>145.1</v>
      </c>
      <c r="K157" s="30">
        <v>152.5</v>
      </c>
      <c r="L157" s="29">
        <f>J157+K157</f>
        <v>297.60000000000002</v>
      </c>
      <c r="M157" s="30">
        <v>149.6</v>
      </c>
      <c r="N157" s="30">
        <v>151.1</v>
      </c>
      <c r="O157" s="30">
        <v>598.29999999999995</v>
      </c>
      <c r="P157" s="30">
        <v>155.80000000000001</v>
      </c>
      <c r="Q157" s="30">
        <v>154.4</v>
      </c>
      <c r="R157" s="29">
        <f>P157+Q157</f>
        <v>310.20000000000005</v>
      </c>
      <c r="S157" s="30">
        <v>151.4</v>
      </c>
      <c r="T157" s="30">
        <v>150.80000000000001</v>
      </c>
      <c r="U157" s="30">
        <v>612.4</v>
      </c>
      <c r="V157" s="30">
        <v>151.80000000000001</v>
      </c>
      <c r="W157" s="30">
        <v>151.1</v>
      </c>
      <c r="X157" s="29">
        <f>V157+W157</f>
        <v>302.89999999999998</v>
      </c>
      <c r="Y157" s="30">
        <v>140.1</v>
      </c>
      <c r="Z157" s="30">
        <v>145.6</v>
      </c>
      <c r="AA157" s="30">
        <v>588.6</v>
      </c>
      <c r="AB157" s="30">
        <v>144.80000000000001</v>
      </c>
      <c r="AC157" s="30">
        <v>149.9</v>
      </c>
      <c r="AD157" s="29">
        <f>AB157+AC157</f>
        <v>294.70000000000005</v>
      </c>
      <c r="AE157" s="30">
        <v>141</v>
      </c>
      <c r="AF157" s="30">
        <v>142.4</v>
      </c>
      <c r="AG157" s="30">
        <v>578.1</v>
      </c>
      <c r="AH157" s="30">
        <v>154.30000000000001</v>
      </c>
      <c r="AI157" s="30">
        <v>167.1</v>
      </c>
      <c r="AJ157" s="29">
        <f>AH157+AI157</f>
        <v>321.39999999999998</v>
      </c>
      <c r="AK157" s="30">
        <v>164.1</v>
      </c>
      <c r="AL157" s="30">
        <v>172.6</v>
      </c>
      <c r="AM157" s="30">
        <v>658.1</v>
      </c>
      <c r="AN157" s="30">
        <v>169</v>
      </c>
      <c r="AO157" s="30">
        <v>174</v>
      </c>
      <c r="AP157" s="29">
        <f>AN157+AO157</f>
        <v>343</v>
      </c>
      <c r="AQ157" s="30">
        <v>173.6</v>
      </c>
      <c r="AR157" s="30">
        <v>177.6</v>
      </c>
      <c r="AS157" s="30">
        <v>694.2</v>
      </c>
      <c r="AT157" s="30">
        <v>184</v>
      </c>
      <c r="AU157" s="30">
        <v>186.5</v>
      </c>
      <c r="AV157" s="29">
        <f>AT157+AU157</f>
        <v>370.5</v>
      </c>
      <c r="AW157" s="30">
        <v>185.8</v>
      </c>
      <c r="AX157" s="30">
        <v>195.3</v>
      </c>
      <c r="AY157" s="30">
        <v>751.6</v>
      </c>
      <c r="AZ157" s="30">
        <v>188</v>
      </c>
      <c r="BA157" s="30">
        <v>172.9</v>
      </c>
      <c r="BB157" s="29">
        <f>AZ157+BA157</f>
        <v>360.9</v>
      </c>
      <c r="BC157" s="30">
        <v>168</v>
      </c>
      <c r="BD157" s="30">
        <v>171.9</v>
      </c>
      <c r="BE157" s="30">
        <v>700.8</v>
      </c>
      <c r="BF157" s="30">
        <v>168.2</v>
      </c>
      <c r="BG157" s="30">
        <v>320.7</v>
      </c>
      <c r="BH157" s="29">
        <f>BF157+BG157</f>
        <v>488.9</v>
      </c>
      <c r="BI157" s="30">
        <v>279.3</v>
      </c>
      <c r="BJ157" s="30">
        <v>299.60000000000002</v>
      </c>
      <c r="BK157" s="30">
        <v>1067.8</v>
      </c>
      <c r="BL157" s="30">
        <v>291.3</v>
      </c>
      <c r="BM157" s="30">
        <v>286.39999999999998</v>
      </c>
      <c r="BN157" s="29">
        <f>BL157+BM157</f>
        <v>577.70000000000005</v>
      </c>
      <c r="BO157" s="30">
        <v>283.7</v>
      </c>
      <c r="BP157" s="30">
        <v>295.2</v>
      </c>
      <c r="BQ157" s="30">
        <v>1156.5999999999999</v>
      </c>
      <c r="BR157" s="30">
        <v>300.39999999999998</v>
      </c>
      <c r="BS157" s="30">
        <v>313</v>
      </c>
      <c r="BT157" s="29">
        <f>BR157+BS157</f>
        <v>613.4</v>
      </c>
      <c r="BU157" s="30">
        <v>291.89999999999998</v>
      </c>
      <c r="BV157" s="30">
        <v>303</v>
      </c>
      <c r="BW157" s="30">
        <v>1208.3</v>
      </c>
      <c r="BX157" s="30">
        <v>296.2</v>
      </c>
      <c r="BY157" s="30">
        <v>296.5</v>
      </c>
      <c r="BZ157" s="29">
        <f>BX157+BY157</f>
        <v>592.70000000000005</v>
      </c>
      <c r="CA157" s="30">
        <v>299.10000000000002</v>
      </c>
      <c r="CB157" s="30">
        <v>303.39999999999998</v>
      </c>
      <c r="CC157" s="30">
        <v>1195.2</v>
      </c>
      <c r="CD157" s="30">
        <v>308.2</v>
      </c>
      <c r="CE157" s="30">
        <v>311.8</v>
      </c>
      <c r="CF157" s="29">
        <f>CD157+CE157</f>
        <v>620</v>
      </c>
      <c r="CG157" s="30">
        <v>321.60000000000002</v>
      </c>
      <c r="CH157" s="30">
        <v>306.8</v>
      </c>
      <c r="CI157" s="30">
        <v>1248.4000000000001</v>
      </c>
      <c r="CJ157" s="30">
        <v>322</v>
      </c>
      <c r="CK157" s="30">
        <v>348.9</v>
      </c>
      <c r="CL157" s="29">
        <f>CJ157+CK157</f>
        <v>670.9</v>
      </c>
      <c r="CM157" s="31">
        <f>CM156-CM158+CM159-CM126</f>
        <v>369.11709173225768</v>
      </c>
      <c r="CN157" s="31">
        <f>CN156-CN158+CN159-CN126</f>
        <v>388.94569712327643</v>
      </c>
      <c r="CO157" s="31">
        <f t="shared" si="161"/>
        <v>1428.962788855534</v>
      </c>
      <c r="CP157" s="31">
        <f>CP156-CP158+CP159-CP126</f>
        <v>1458.0229731612815</v>
      </c>
      <c r="CQ157" s="31">
        <f>CQ156-CQ158+CQ159-CQ126</f>
        <v>1587.0805607773541</v>
      </c>
      <c r="CR157" s="31">
        <f>CR156-CR158+CR159-CR126</f>
        <v>1732.2889306176601</v>
      </c>
      <c r="CS157" s="31">
        <f>CS156-CS158+CS159-CS126</f>
        <v>1882.7584864754235</v>
      </c>
      <c r="CT157" s="22" t="s">
        <v>261</v>
      </c>
      <c r="CV157" s="6"/>
      <c r="CW157" s="6"/>
      <c r="CX157" s="6"/>
      <c r="CY157" s="6"/>
    </row>
    <row r="158" spans="2:103" ht="15" customHeight="1" x14ac:dyDescent="0.25">
      <c r="B158" s="12" t="s">
        <v>262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30">
        <v>9.8000000000000007</v>
      </c>
      <c r="BG158" s="30">
        <v>32.799999999999997</v>
      </c>
      <c r="BH158" s="29">
        <f>BF158+BG158</f>
        <v>42.599999999999994</v>
      </c>
      <c r="BI158" s="30">
        <v>55.3</v>
      </c>
      <c r="BJ158" s="30">
        <v>51.4</v>
      </c>
      <c r="BK158" s="30">
        <v>149.30000000000001</v>
      </c>
      <c r="BL158" s="30">
        <v>53.6</v>
      </c>
      <c r="BM158" s="30">
        <v>51.3</v>
      </c>
      <c r="BN158" s="29">
        <f>BL158+BM158</f>
        <v>104.9</v>
      </c>
      <c r="BO158" s="30">
        <v>48.9</v>
      </c>
      <c r="BP158" s="30">
        <v>47.9</v>
      </c>
      <c r="BQ158" s="30">
        <v>201.7</v>
      </c>
      <c r="BR158" s="30">
        <v>49.7</v>
      </c>
      <c r="BS158" s="30">
        <v>49.3</v>
      </c>
      <c r="BT158" s="29">
        <f>BR158+BS158</f>
        <v>99</v>
      </c>
      <c r="BU158" s="30">
        <v>49.1</v>
      </c>
      <c r="BV158" s="30">
        <v>48.6</v>
      </c>
      <c r="BW158" s="30">
        <v>196.7</v>
      </c>
      <c r="BX158" s="30">
        <v>49.4</v>
      </c>
      <c r="BY158" s="30">
        <v>49.1</v>
      </c>
      <c r="BZ158" s="29">
        <f>BX158+BY158</f>
        <v>98.5</v>
      </c>
      <c r="CA158" s="30">
        <v>49.8</v>
      </c>
      <c r="CB158" s="30">
        <v>49.7</v>
      </c>
      <c r="CC158" s="30">
        <v>198</v>
      </c>
      <c r="CD158" s="30">
        <v>52</v>
      </c>
      <c r="CE158" s="30">
        <v>54.6</v>
      </c>
      <c r="CF158" s="29">
        <f>CD158+CE158</f>
        <v>106.6</v>
      </c>
      <c r="CG158" s="30">
        <v>55.1</v>
      </c>
      <c r="CH158" s="30">
        <v>54.9</v>
      </c>
      <c r="CI158" s="30">
        <v>216.6</v>
      </c>
      <c r="CJ158" s="30">
        <v>57.6</v>
      </c>
      <c r="CK158" s="30">
        <v>56</v>
      </c>
      <c r="CL158" s="29">
        <f>CJ158+CK158</f>
        <v>113.6</v>
      </c>
      <c r="CM158" s="31">
        <f>CM125</f>
        <v>56.2</v>
      </c>
      <c r="CN158" s="31">
        <f>CN125</f>
        <v>56.2</v>
      </c>
      <c r="CO158" s="31">
        <f t="shared" si="161"/>
        <v>226</v>
      </c>
      <c r="CP158" s="31">
        <f>CP125</f>
        <v>222.73750000000001</v>
      </c>
      <c r="CQ158" s="31">
        <f>CQ125</f>
        <v>245.35833333333335</v>
      </c>
      <c r="CR158" s="31">
        <f>CR125</f>
        <v>230.625</v>
      </c>
      <c r="CS158" s="31">
        <f>CS125</f>
        <v>233.5916666666667</v>
      </c>
      <c r="CT158" s="22"/>
      <c r="CV158" s="6"/>
      <c r="CW158" s="6"/>
      <c r="CX158" s="6"/>
      <c r="CY158" s="6"/>
    </row>
    <row r="159" spans="2:103" ht="15" customHeight="1" x14ac:dyDescent="0.25">
      <c r="B159" s="12" t="s">
        <v>263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30">
        <v>0</v>
      </c>
      <c r="BG159" s="30">
        <v>0</v>
      </c>
      <c r="BH159" s="29">
        <f>BF159+BG159</f>
        <v>0</v>
      </c>
      <c r="BI159" s="30">
        <v>0</v>
      </c>
      <c r="BJ159" s="30">
        <v>0</v>
      </c>
      <c r="BK159" s="30">
        <v>0</v>
      </c>
      <c r="BL159" s="30">
        <v>0</v>
      </c>
      <c r="BM159" s="30">
        <v>0</v>
      </c>
      <c r="BN159" s="29">
        <f>BL159+BM159</f>
        <v>0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29">
        <f>BR159+BS159</f>
        <v>0</v>
      </c>
      <c r="BU159" s="30">
        <v>0</v>
      </c>
      <c r="BV159" s="30">
        <v>0</v>
      </c>
      <c r="BW159" s="30">
        <v>0</v>
      </c>
      <c r="BX159" s="30">
        <v>0</v>
      </c>
      <c r="BY159" s="30">
        <v>0</v>
      </c>
      <c r="BZ159" s="29">
        <f>BX159+BY159</f>
        <v>0</v>
      </c>
      <c r="CA159" s="30">
        <v>0</v>
      </c>
      <c r="CB159" s="30">
        <v>-52.5</v>
      </c>
      <c r="CC159" s="30">
        <v>-52.5</v>
      </c>
      <c r="CD159" s="30">
        <v>0</v>
      </c>
      <c r="CE159" s="30">
        <v>0</v>
      </c>
      <c r="CF159" s="29">
        <f>CD159+CE159</f>
        <v>0</v>
      </c>
      <c r="CG159" s="30">
        <v>0</v>
      </c>
      <c r="CH159" s="30">
        <v>0</v>
      </c>
      <c r="CI159" s="30">
        <v>0</v>
      </c>
      <c r="CJ159" s="30">
        <v>0</v>
      </c>
      <c r="CK159" s="30">
        <v>0</v>
      </c>
      <c r="CL159" s="29">
        <f>CJ159+CK159</f>
        <v>0</v>
      </c>
      <c r="CM159" s="32">
        <v>0</v>
      </c>
      <c r="CN159" s="32">
        <v>0</v>
      </c>
      <c r="CO159" s="31">
        <f t="shared" si="161"/>
        <v>0</v>
      </c>
      <c r="CP159" s="32">
        <v>0</v>
      </c>
      <c r="CQ159" s="32">
        <v>0</v>
      </c>
      <c r="CR159" s="32">
        <v>0</v>
      </c>
      <c r="CS159" s="32">
        <v>0</v>
      </c>
      <c r="CT159" s="22"/>
      <c r="CV159" s="6"/>
      <c r="CW159" s="6"/>
      <c r="CX159" s="6"/>
      <c r="CY159" s="6"/>
    </row>
    <row r="160" spans="2:103" ht="15" customHeight="1" x14ac:dyDescent="0.25">
      <c r="B160" s="33" t="s">
        <v>264</v>
      </c>
      <c r="C160" s="34">
        <f t="shared" ref="C160:AH160" si="165">C156-C157-N(C158)+N(C159)</f>
        <v>125.10000000000002</v>
      </c>
      <c r="D160" s="34">
        <f t="shared" si="165"/>
        <v>162.29999999999984</v>
      </c>
      <c r="E160" s="34">
        <f t="shared" si="165"/>
        <v>198.59999999999991</v>
      </c>
      <c r="F160" s="34">
        <f t="shared" si="165"/>
        <v>171.39999999999998</v>
      </c>
      <c r="G160" s="34">
        <f t="shared" si="165"/>
        <v>178.50000000000011</v>
      </c>
      <c r="H160" s="34">
        <f t="shared" si="165"/>
        <v>227.20000000000005</v>
      </c>
      <c r="I160" s="34">
        <f t="shared" si="165"/>
        <v>243.10000000000025</v>
      </c>
      <c r="J160" s="19">
        <f t="shared" si="165"/>
        <v>58.900000000000006</v>
      </c>
      <c r="K160" s="19">
        <f t="shared" si="165"/>
        <v>64.899999999999977</v>
      </c>
      <c r="L160" s="19">
        <f t="shared" si="165"/>
        <v>123.80000000000007</v>
      </c>
      <c r="M160" s="19">
        <f t="shared" si="165"/>
        <v>53.000000000000028</v>
      </c>
      <c r="N160" s="19">
        <f t="shared" si="165"/>
        <v>63.500000000000028</v>
      </c>
      <c r="O160" s="34">
        <f t="shared" si="165"/>
        <v>240.29999999999995</v>
      </c>
      <c r="P160" s="19">
        <f t="shared" si="165"/>
        <v>66</v>
      </c>
      <c r="Q160" s="19">
        <f t="shared" si="165"/>
        <v>74.30000000000004</v>
      </c>
      <c r="R160" s="19">
        <f t="shared" si="165"/>
        <v>140.29999999999995</v>
      </c>
      <c r="S160" s="19">
        <f t="shared" si="165"/>
        <v>74.30000000000004</v>
      </c>
      <c r="T160" s="19">
        <f t="shared" si="165"/>
        <v>79.89999999999992</v>
      </c>
      <c r="U160" s="34">
        <f t="shared" si="165"/>
        <v>294.50000000000011</v>
      </c>
      <c r="V160" s="19">
        <f t="shared" si="165"/>
        <v>67.300000000000011</v>
      </c>
      <c r="W160" s="19">
        <f t="shared" si="165"/>
        <v>68.900000000000063</v>
      </c>
      <c r="X160" s="19">
        <f t="shared" si="165"/>
        <v>136.20000000000016</v>
      </c>
      <c r="Y160" s="19">
        <f t="shared" si="165"/>
        <v>69.499999999999972</v>
      </c>
      <c r="Z160" s="19">
        <f t="shared" si="165"/>
        <v>76.000000000000028</v>
      </c>
      <c r="AA160" s="34">
        <f t="shared" si="165"/>
        <v>281.69999999999993</v>
      </c>
      <c r="AB160" s="19">
        <f t="shared" si="165"/>
        <v>60.899999999999977</v>
      </c>
      <c r="AC160" s="19">
        <f t="shared" si="165"/>
        <v>53.600000000000051</v>
      </c>
      <c r="AD160" s="19">
        <f t="shared" si="165"/>
        <v>114.5</v>
      </c>
      <c r="AE160" s="19">
        <f t="shared" si="165"/>
        <v>68.799999999999955</v>
      </c>
      <c r="AF160" s="19">
        <f t="shared" si="165"/>
        <v>70.499999999999972</v>
      </c>
      <c r="AG160" s="34">
        <f t="shared" si="165"/>
        <v>253.80000000000007</v>
      </c>
      <c r="AH160" s="19">
        <f t="shared" si="165"/>
        <v>54.800000000000011</v>
      </c>
      <c r="AI160" s="19">
        <f t="shared" ref="AI160:BN160" si="166">AI156-AI157-N(AI158)+N(AI159)</f>
        <v>82.80000000000004</v>
      </c>
      <c r="AJ160" s="19">
        <f t="shared" si="166"/>
        <v>137.60000000000002</v>
      </c>
      <c r="AK160" s="19">
        <f t="shared" si="166"/>
        <v>89.500000000000028</v>
      </c>
      <c r="AL160" s="19">
        <f t="shared" si="166"/>
        <v>94.6</v>
      </c>
      <c r="AM160" s="34">
        <f t="shared" si="166"/>
        <v>321.70000000000016</v>
      </c>
      <c r="AN160" s="19">
        <f t="shared" si="166"/>
        <v>88.400000000000034</v>
      </c>
      <c r="AO160" s="19">
        <f t="shared" si="166"/>
        <v>111.5</v>
      </c>
      <c r="AP160" s="19">
        <f t="shared" si="166"/>
        <v>199.89999999999986</v>
      </c>
      <c r="AQ160" s="19">
        <f t="shared" si="166"/>
        <v>105.49999999999997</v>
      </c>
      <c r="AR160" s="19">
        <f t="shared" si="166"/>
        <v>111.19999999999996</v>
      </c>
      <c r="AS160" s="34">
        <f t="shared" si="166"/>
        <v>416.60000000000014</v>
      </c>
      <c r="AT160" s="19">
        <f t="shared" si="166"/>
        <v>97.300000000000068</v>
      </c>
      <c r="AU160" s="19">
        <f t="shared" si="166"/>
        <v>131.89999999999998</v>
      </c>
      <c r="AV160" s="19">
        <f t="shared" si="166"/>
        <v>229.20000000000005</v>
      </c>
      <c r="AW160" s="19">
        <f t="shared" si="166"/>
        <v>128.70000000000005</v>
      </c>
      <c r="AX160" s="19">
        <f t="shared" si="166"/>
        <v>133.80000000000001</v>
      </c>
      <c r="AY160" s="34">
        <f t="shared" si="166"/>
        <v>491.69999999999993</v>
      </c>
      <c r="AZ160" s="19">
        <f t="shared" si="166"/>
        <v>104</v>
      </c>
      <c r="BA160" s="19">
        <f t="shared" si="166"/>
        <v>109.79999999999993</v>
      </c>
      <c r="BB160" s="19">
        <f t="shared" si="166"/>
        <v>213.80000000000007</v>
      </c>
      <c r="BC160" s="19">
        <f t="shared" si="166"/>
        <v>122.5</v>
      </c>
      <c r="BD160" s="19">
        <f t="shared" si="166"/>
        <v>143.79999999999993</v>
      </c>
      <c r="BE160" s="34">
        <f t="shared" si="166"/>
        <v>480.09999999999991</v>
      </c>
      <c r="BF160" s="19">
        <f t="shared" si="166"/>
        <v>135.20000000000005</v>
      </c>
      <c r="BG160" s="19">
        <f t="shared" si="166"/>
        <v>104.39999999999999</v>
      </c>
      <c r="BH160" s="19">
        <f t="shared" si="166"/>
        <v>239.60000000000016</v>
      </c>
      <c r="BI160" s="19">
        <f t="shared" si="166"/>
        <v>189.60000000000002</v>
      </c>
      <c r="BJ160" s="19">
        <f t="shared" si="166"/>
        <v>195.1</v>
      </c>
      <c r="BK160" s="34">
        <f t="shared" si="166"/>
        <v>624.30000000000018</v>
      </c>
      <c r="BL160" s="19">
        <f t="shared" si="166"/>
        <v>223.49999999999997</v>
      </c>
      <c r="BM160" s="19">
        <f t="shared" si="166"/>
        <v>229.49999999999994</v>
      </c>
      <c r="BN160" s="19">
        <f t="shared" si="166"/>
        <v>453.00000000000011</v>
      </c>
      <c r="BO160" s="19">
        <f t="shared" ref="BO160:CL160" si="167">BO156-BO157-N(BO158)+N(BO159)</f>
        <v>245.19999999999996</v>
      </c>
      <c r="BP160" s="19">
        <f t="shared" si="167"/>
        <v>273.80000000000013</v>
      </c>
      <c r="BQ160" s="34">
        <f t="shared" si="167"/>
        <v>972.00000000000023</v>
      </c>
      <c r="BR160" s="19">
        <f t="shared" si="167"/>
        <v>242.49999999999994</v>
      </c>
      <c r="BS160" s="19">
        <f t="shared" si="167"/>
        <v>256.10000000000008</v>
      </c>
      <c r="BT160" s="19">
        <f t="shared" si="167"/>
        <v>498.6</v>
      </c>
      <c r="BU160" s="19">
        <f t="shared" si="167"/>
        <v>264.29999999999995</v>
      </c>
      <c r="BV160" s="19">
        <f t="shared" si="167"/>
        <v>271.5</v>
      </c>
      <c r="BW160" s="34">
        <f t="shared" si="167"/>
        <v>1034.4000000000001</v>
      </c>
      <c r="BX160" s="19">
        <f t="shared" si="167"/>
        <v>234.29999999999987</v>
      </c>
      <c r="BY160" s="19">
        <f t="shared" si="167"/>
        <v>246.99999999999991</v>
      </c>
      <c r="BZ160" s="19">
        <f t="shared" si="167"/>
        <v>481.29999999999973</v>
      </c>
      <c r="CA160" s="19">
        <f t="shared" si="167"/>
        <v>270.7</v>
      </c>
      <c r="CB160" s="19">
        <f t="shared" si="167"/>
        <v>237.09999999999997</v>
      </c>
      <c r="CC160" s="34">
        <f t="shared" si="167"/>
        <v>989.10000000000014</v>
      </c>
      <c r="CD160" s="19">
        <f t="shared" si="167"/>
        <v>259.30000000000013</v>
      </c>
      <c r="CE160" s="19">
        <f t="shared" si="167"/>
        <v>278.2</v>
      </c>
      <c r="CF160" s="19">
        <f t="shared" si="167"/>
        <v>537.50000000000034</v>
      </c>
      <c r="CG160" s="19">
        <f t="shared" si="167"/>
        <v>282.79999999999995</v>
      </c>
      <c r="CH160" s="19">
        <f t="shared" si="167"/>
        <v>329.49999999999994</v>
      </c>
      <c r="CI160" s="34">
        <f t="shared" si="167"/>
        <v>1149.7999999999997</v>
      </c>
      <c r="CJ160" s="19">
        <f t="shared" si="167"/>
        <v>294.19999999999993</v>
      </c>
      <c r="CK160" s="19">
        <f t="shared" si="167"/>
        <v>333.20000000000005</v>
      </c>
      <c r="CL160" s="19">
        <f t="shared" si="167"/>
        <v>627.40000000000009</v>
      </c>
      <c r="CM160" s="34">
        <f>CM156-CM157-CM158+CM159</f>
        <v>318.74585987261156</v>
      </c>
      <c r="CN160" s="34">
        <f>CN156-CN157-CN158+CN159</f>
        <v>335.18057324840748</v>
      </c>
      <c r="CO160" s="34">
        <f t="shared" si="161"/>
        <v>1281.3264331210189</v>
      </c>
      <c r="CP160" s="34">
        <f>CP156-CP157-CP158+CP159</f>
        <v>1449.7172273478623</v>
      </c>
      <c r="CQ160" s="34">
        <f>CQ156-CQ157-CQ158+CQ159</f>
        <v>1606.4941127532772</v>
      </c>
      <c r="CR160" s="34">
        <f>CR156-CR157-CR158+CR159</f>
        <v>1811.5365762416361</v>
      </c>
      <c r="CS160" s="34">
        <f>CS156-CS157-CS158+CS159</f>
        <v>2013.9657495183951</v>
      </c>
      <c r="CT160" s="22"/>
      <c r="CV160" s="23">
        <f>IFERROR((CS160/CI160)^(1/5)-1,"n/m")</f>
        <v>0.11862869396153641</v>
      </c>
      <c r="CW160" s="23">
        <f>IFERROR((CI160/BE160)^(1/5)-1,"n/m")</f>
        <v>0.19085290290686374</v>
      </c>
      <c r="CX160" s="23">
        <f>IFERROR((CI160/AA160)^(1/10)-1,"n/m")</f>
        <v>0.15102179104294722</v>
      </c>
      <c r="CY160" s="23">
        <f>IFERROR((CI160/C160)^(1/19)-1,"n/m")</f>
        <v>0.12383724462041945</v>
      </c>
    </row>
    <row r="161" spans="2:103" ht="15" customHeight="1" x14ac:dyDescent="0.25">
      <c r="B161" s="12" t="s">
        <v>265</v>
      </c>
      <c r="C161" s="30">
        <v>7.4</v>
      </c>
      <c r="D161" s="30">
        <v>12.5</v>
      </c>
      <c r="E161" s="30">
        <v>10.9</v>
      </c>
      <c r="F161" s="30">
        <v>4.8</v>
      </c>
      <c r="G161" s="30">
        <v>6.5</v>
      </c>
      <c r="H161" s="30">
        <v>16.2</v>
      </c>
      <c r="I161" s="30">
        <v>17.8</v>
      </c>
      <c r="J161" s="30">
        <v>5.4</v>
      </c>
      <c r="K161" s="30">
        <v>5.0999999999999996</v>
      </c>
      <c r="L161" s="29">
        <f>J161+K161</f>
        <v>10.5</v>
      </c>
      <c r="M161" s="30">
        <v>5.0999999999999996</v>
      </c>
      <c r="N161" s="30">
        <v>4.8</v>
      </c>
      <c r="O161" s="30">
        <v>20.399999999999999</v>
      </c>
      <c r="P161" s="30">
        <v>4.7</v>
      </c>
      <c r="Q161" s="30">
        <v>4.5999999999999996</v>
      </c>
      <c r="R161" s="29">
        <f>P161+Q161</f>
        <v>9.3000000000000007</v>
      </c>
      <c r="S161" s="30">
        <v>4.5999999999999996</v>
      </c>
      <c r="T161" s="30">
        <v>5.0999999999999996</v>
      </c>
      <c r="U161" s="30">
        <v>19</v>
      </c>
      <c r="V161" s="30">
        <v>5.9</v>
      </c>
      <c r="W161" s="30">
        <v>6</v>
      </c>
      <c r="X161" s="29">
        <f>V161+W161</f>
        <v>11.9</v>
      </c>
      <c r="Y161" s="30">
        <v>6</v>
      </c>
      <c r="Z161" s="30">
        <v>6</v>
      </c>
      <c r="AA161" s="30">
        <v>23.9</v>
      </c>
      <c r="AB161" s="30">
        <v>5.7</v>
      </c>
      <c r="AC161" s="30">
        <v>5.9</v>
      </c>
      <c r="AD161" s="29">
        <f>AB161+AC161</f>
        <v>11.600000000000001</v>
      </c>
      <c r="AE161" s="30">
        <v>5.6</v>
      </c>
      <c r="AF161" s="30">
        <v>6</v>
      </c>
      <c r="AG161" s="30">
        <v>23.2</v>
      </c>
      <c r="AH161" s="30">
        <v>8.1999999999999993</v>
      </c>
      <c r="AI161" s="30">
        <v>9.1</v>
      </c>
      <c r="AJ161" s="29">
        <f>AH161+AI161</f>
        <v>17.299999999999997</v>
      </c>
      <c r="AK161" s="30">
        <v>8.1999999999999993</v>
      </c>
      <c r="AL161" s="30">
        <v>7.6</v>
      </c>
      <c r="AM161" s="30">
        <v>33.1</v>
      </c>
      <c r="AN161" s="30">
        <v>7.1</v>
      </c>
      <c r="AO161" s="30">
        <v>6.7</v>
      </c>
      <c r="AP161" s="29">
        <f>AN161+AO161</f>
        <v>13.8</v>
      </c>
      <c r="AQ161" s="30">
        <v>6</v>
      </c>
      <c r="AR161" s="30">
        <v>5.7</v>
      </c>
      <c r="AS161" s="30">
        <v>25.5</v>
      </c>
      <c r="AT161" s="30">
        <v>5.4</v>
      </c>
      <c r="AU161" s="30">
        <v>5.4</v>
      </c>
      <c r="AV161" s="29">
        <f>AT161+AU161</f>
        <v>10.8</v>
      </c>
      <c r="AW161" s="30">
        <v>5.5</v>
      </c>
      <c r="AX161" s="30">
        <v>4.7</v>
      </c>
      <c r="AY161" s="30">
        <v>21</v>
      </c>
      <c r="AZ161" s="30">
        <v>4.0999999999999996</v>
      </c>
      <c r="BA161" s="30">
        <v>3.7</v>
      </c>
      <c r="BB161" s="29">
        <f>AZ161+BA161</f>
        <v>7.8</v>
      </c>
      <c r="BC161" s="30">
        <v>4.0999999999999996</v>
      </c>
      <c r="BD161" s="30">
        <v>3.4</v>
      </c>
      <c r="BE161" s="30">
        <v>15.3</v>
      </c>
      <c r="BF161" s="30">
        <v>22.3</v>
      </c>
      <c r="BG161" s="30">
        <v>21.2</v>
      </c>
      <c r="BH161" s="29">
        <f>BF161+BG161</f>
        <v>43.5</v>
      </c>
      <c r="BI161" s="30">
        <v>23.8</v>
      </c>
      <c r="BJ161" s="30">
        <v>23.5</v>
      </c>
      <c r="BK161" s="30">
        <v>90.8</v>
      </c>
      <c r="BL161" s="30">
        <v>22.3</v>
      </c>
      <c r="BM161" s="30">
        <v>22.5</v>
      </c>
      <c r="BN161" s="29">
        <f>BL161+BM161</f>
        <v>44.8</v>
      </c>
      <c r="BO161" s="30">
        <v>22</v>
      </c>
      <c r="BP161" s="30">
        <v>22.5</v>
      </c>
      <c r="BQ161" s="30">
        <v>89.3</v>
      </c>
      <c r="BR161" s="30">
        <v>21</v>
      </c>
      <c r="BS161" s="30">
        <v>22.3</v>
      </c>
      <c r="BT161" s="29">
        <f>BR161+BS161</f>
        <v>43.3</v>
      </c>
      <c r="BU161" s="30">
        <v>18.399999999999999</v>
      </c>
      <c r="BV161" s="30">
        <v>15.6</v>
      </c>
      <c r="BW161" s="30">
        <v>77.3</v>
      </c>
      <c r="BX161" s="30">
        <v>12.7</v>
      </c>
      <c r="BY161" s="30">
        <v>15.8</v>
      </c>
      <c r="BZ161" s="29">
        <f>BX161+BY161</f>
        <v>28.5</v>
      </c>
      <c r="CA161" s="30">
        <v>15.7</v>
      </c>
      <c r="CB161" s="30">
        <v>13.7</v>
      </c>
      <c r="CC161" s="30">
        <v>57.9</v>
      </c>
      <c r="CD161" s="30">
        <v>17.3</v>
      </c>
      <c r="CE161" s="30">
        <v>17.600000000000001</v>
      </c>
      <c r="CF161" s="29">
        <f>CD161+CE161</f>
        <v>34.900000000000006</v>
      </c>
      <c r="CG161" s="30">
        <v>12.6</v>
      </c>
      <c r="CH161" s="30">
        <v>12.1</v>
      </c>
      <c r="CI161" s="30">
        <v>59.6</v>
      </c>
      <c r="CJ161" s="30">
        <v>12.3</v>
      </c>
      <c r="CK161" s="30">
        <v>13.6</v>
      </c>
      <c r="CL161" s="29">
        <f>CJ161+CK161</f>
        <v>25.9</v>
      </c>
      <c r="CM161" s="31">
        <f>CK161</f>
        <v>13.6</v>
      </c>
      <c r="CN161" s="31">
        <f>CK161</f>
        <v>13.6</v>
      </c>
      <c r="CO161" s="31">
        <f t="shared" si="161"/>
        <v>53.1</v>
      </c>
      <c r="CP161" s="31">
        <f>CP385*(CO376-CO380-CO383)+CP387*CO380+CP388*CO383-CP386*CO315</f>
        <v>24.623054116612217</v>
      </c>
      <c r="CQ161" s="31">
        <f>CQ385*(CP376-CP380-CP383)+CQ387*CP380+CQ388*CP383-CQ386*CP315</f>
        <v>50.791331225183043</v>
      </c>
      <c r="CR161" s="31">
        <f>CR385*(CQ376-CQ380-CQ383)+CR387*CQ380+CR388*CQ383-CR386*CQ315</f>
        <v>81.87130139495234</v>
      </c>
      <c r="CS161" s="31">
        <f>CS385*(CR376-CR380-CR383)+CS387*CR380+CS388*CR383-CS386*CR315</f>
        <v>92.095438003417755</v>
      </c>
      <c r="CT161" s="22" t="s">
        <v>266</v>
      </c>
      <c r="CV161" s="6"/>
      <c r="CW161" s="6"/>
      <c r="CX161" s="6"/>
      <c r="CY161" s="6"/>
    </row>
    <row r="162" spans="2:103" ht="15" customHeight="1" x14ac:dyDescent="0.25">
      <c r="B162" s="12" t="s">
        <v>267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0">
        <v>3.3</v>
      </c>
      <c r="AI162" s="30">
        <v>3.4</v>
      </c>
      <c r="AJ162" s="29">
        <f>AH162+AI162</f>
        <v>6.6999999999999993</v>
      </c>
      <c r="AK162" s="30">
        <v>3.4</v>
      </c>
      <c r="AL162" s="30">
        <v>3.8</v>
      </c>
      <c r="AM162" s="30">
        <v>13.9</v>
      </c>
      <c r="AN162" s="30">
        <v>3.4</v>
      </c>
      <c r="AO162" s="30">
        <v>3.3</v>
      </c>
      <c r="AP162" s="29">
        <f>AN162+AO162</f>
        <v>6.6999999999999993</v>
      </c>
      <c r="AQ162" s="30">
        <v>3.4</v>
      </c>
      <c r="AR162" s="30">
        <v>3.4</v>
      </c>
      <c r="AS162" s="30">
        <v>13.5</v>
      </c>
      <c r="AT162" s="30">
        <v>2.2000000000000002</v>
      </c>
      <c r="AU162" s="30">
        <v>2</v>
      </c>
      <c r="AV162" s="29">
        <f>AT162+AU162</f>
        <v>4.2</v>
      </c>
      <c r="AW162" s="30">
        <v>1.9</v>
      </c>
      <c r="AX162" s="30">
        <v>1.9</v>
      </c>
      <c r="AY162" s="30">
        <v>8</v>
      </c>
      <c r="AZ162" s="30">
        <v>2.5</v>
      </c>
      <c r="BA162" s="30">
        <v>3.2</v>
      </c>
      <c r="BB162" s="29">
        <f>AZ162+BA162</f>
        <v>5.7</v>
      </c>
      <c r="BC162" s="30">
        <v>3.2</v>
      </c>
      <c r="BD162" s="30">
        <v>3.2</v>
      </c>
      <c r="BE162" s="30">
        <v>12.1</v>
      </c>
      <c r="BF162" s="30">
        <v>2.8</v>
      </c>
      <c r="BG162" s="30">
        <v>2.8</v>
      </c>
      <c r="BH162" s="29">
        <f>BF162+BG162</f>
        <v>5.6</v>
      </c>
      <c r="BI162" s="30">
        <v>2.8</v>
      </c>
      <c r="BJ162" s="30">
        <v>2.8</v>
      </c>
      <c r="BK162" s="30">
        <v>11.2</v>
      </c>
      <c r="BL162" s="30">
        <v>2.8</v>
      </c>
      <c r="BM162" s="30">
        <v>2.9</v>
      </c>
      <c r="BN162" s="29">
        <f>BL162+BM162</f>
        <v>5.6999999999999993</v>
      </c>
      <c r="BO162" s="30">
        <v>2.9</v>
      </c>
      <c r="BP162" s="30">
        <v>2.8</v>
      </c>
      <c r="BQ162" s="30">
        <v>11.4</v>
      </c>
      <c r="BR162" s="30">
        <v>3.3</v>
      </c>
      <c r="BS162" s="30">
        <v>2.9</v>
      </c>
      <c r="BT162" s="29">
        <f>BR162+BS162</f>
        <v>6.1999999999999993</v>
      </c>
      <c r="BU162" s="30">
        <v>3.1</v>
      </c>
      <c r="BV162" s="30">
        <v>3.1</v>
      </c>
      <c r="BW162" s="30">
        <v>12.4</v>
      </c>
      <c r="BX162" s="30">
        <v>2.7</v>
      </c>
      <c r="BY162" s="30">
        <v>2.7</v>
      </c>
      <c r="BZ162" s="29">
        <f>BX162+BY162</f>
        <v>5.4</v>
      </c>
      <c r="CA162" s="30">
        <v>2.8</v>
      </c>
      <c r="CB162" s="30">
        <v>2.6</v>
      </c>
      <c r="CC162" s="30">
        <v>10.8</v>
      </c>
      <c r="CD162" s="30">
        <v>2.8</v>
      </c>
      <c r="CE162" s="30">
        <v>2.7</v>
      </c>
      <c r="CF162" s="29">
        <f>CD162+CE162</f>
        <v>5.5</v>
      </c>
      <c r="CG162" s="30">
        <v>2.7</v>
      </c>
      <c r="CH162" s="30">
        <v>2.7</v>
      </c>
      <c r="CI162" s="30">
        <v>10.9</v>
      </c>
      <c r="CJ162" s="30">
        <v>2.7</v>
      </c>
      <c r="CK162" s="30">
        <v>2.6</v>
      </c>
      <c r="CL162" s="29">
        <f>CJ162+CK162</f>
        <v>5.3000000000000007</v>
      </c>
      <c r="CM162" s="31">
        <f>CK162</f>
        <v>2.6</v>
      </c>
      <c r="CN162" s="31">
        <f>CK162</f>
        <v>2.6</v>
      </c>
      <c r="CO162" s="31">
        <f t="shared" si="161"/>
        <v>10.5</v>
      </c>
      <c r="CP162" s="32">
        <v>10</v>
      </c>
      <c r="CQ162" s="32">
        <v>10</v>
      </c>
      <c r="CR162" s="32">
        <v>10</v>
      </c>
      <c r="CS162" s="32">
        <v>10</v>
      </c>
      <c r="CT162" s="22" t="s">
        <v>268</v>
      </c>
      <c r="CV162" s="6"/>
      <c r="CW162" s="6"/>
      <c r="CX162" s="6"/>
      <c r="CY162" s="6"/>
    </row>
    <row r="163" spans="2:103" ht="15" customHeight="1" x14ac:dyDescent="0.25">
      <c r="B163" s="12" t="s">
        <v>269</v>
      </c>
      <c r="C163" s="30">
        <v>5</v>
      </c>
      <c r="D163" s="30">
        <v>2.9</v>
      </c>
      <c r="E163" s="30">
        <v>0.3</v>
      </c>
      <c r="F163" s="30">
        <v>-0.2</v>
      </c>
      <c r="G163" s="30">
        <v>1.6</v>
      </c>
      <c r="H163" s="30">
        <v>0.6</v>
      </c>
      <c r="I163" s="30">
        <v>2.9</v>
      </c>
      <c r="J163" s="30">
        <v>-0.5</v>
      </c>
      <c r="K163" s="30">
        <v>0</v>
      </c>
      <c r="L163" s="29">
        <f>J163+K163</f>
        <v>-0.5</v>
      </c>
      <c r="M163" s="30">
        <v>-0.7</v>
      </c>
      <c r="N163" s="30">
        <v>5.3</v>
      </c>
      <c r="O163" s="30">
        <v>4.0999999999999996</v>
      </c>
      <c r="P163" s="30">
        <v>0.6</v>
      </c>
      <c r="Q163" s="30">
        <v>8.1999999999999993</v>
      </c>
      <c r="R163" s="29">
        <f>P163+Q163</f>
        <v>8.7999999999999989</v>
      </c>
      <c r="S163" s="30">
        <v>-1.8</v>
      </c>
      <c r="T163" s="30">
        <v>-0.4</v>
      </c>
      <c r="U163" s="30">
        <v>6.6</v>
      </c>
      <c r="V163" s="30">
        <v>0.8</v>
      </c>
      <c r="W163" s="30">
        <v>3.4</v>
      </c>
      <c r="X163" s="29">
        <f>V163+W163</f>
        <v>4.2</v>
      </c>
      <c r="Y163" s="30">
        <v>-2.1</v>
      </c>
      <c r="Z163" s="30">
        <v>-1.7</v>
      </c>
      <c r="AA163" s="30">
        <v>0.4</v>
      </c>
      <c r="AB163" s="30">
        <v>-1.3</v>
      </c>
      <c r="AC163" s="30">
        <v>17.2</v>
      </c>
      <c r="AD163" s="29">
        <f>AB163+AC163</f>
        <v>15.899999999999999</v>
      </c>
      <c r="AE163" s="30">
        <v>-0.8</v>
      </c>
      <c r="AF163" s="30">
        <v>-4.4000000000000004</v>
      </c>
      <c r="AG163" s="30">
        <v>10.7</v>
      </c>
      <c r="AH163" s="30">
        <v>-9.3000000000000007</v>
      </c>
      <c r="AI163" s="30">
        <v>-0.7</v>
      </c>
      <c r="AJ163" s="29">
        <f>AH163+AI163</f>
        <v>-10</v>
      </c>
      <c r="AK163" s="30">
        <v>-3</v>
      </c>
      <c r="AL163" s="30">
        <v>-2.5</v>
      </c>
      <c r="AM163" s="30">
        <v>-15.5</v>
      </c>
      <c r="AN163" s="30">
        <v>-2.5</v>
      </c>
      <c r="AO163" s="30">
        <v>-3.7</v>
      </c>
      <c r="AP163" s="29">
        <f>AN163+AO163</f>
        <v>-6.2</v>
      </c>
      <c r="AQ163" s="30">
        <v>-2.7</v>
      </c>
      <c r="AR163" s="30">
        <v>-1.8</v>
      </c>
      <c r="AS163" s="30">
        <v>-10.7</v>
      </c>
      <c r="AT163" s="30">
        <v>-1.2</v>
      </c>
      <c r="AU163" s="30">
        <v>-0.6</v>
      </c>
      <c r="AV163" s="29">
        <f>AT163+AU163</f>
        <v>-1.7999999999999998</v>
      </c>
      <c r="AW163" s="30">
        <v>-1.7</v>
      </c>
      <c r="AX163" s="30">
        <v>-1.5</v>
      </c>
      <c r="AY163" s="30">
        <v>-5</v>
      </c>
      <c r="AZ163" s="30">
        <v>-1.4</v>
      </c>
      <c r="BA163" s="30">
        <v>-1.4</v>
      </c>
      <c r="BB163" s="29">
        <f>AZ163+BA163</f>
        <v>-2.8</v>
      </c>
      <c r="BC163" s="30">
        <v>-1.9</v>
      </c>
      <c r="BD163" s="30">
        <v>-2.5</v>
      </c>
      <c r="BE163" s="30">
        <v>-7.2</v>
      </c>
      <c r="BF163" s="30">
        <v>-14.4</v>
      </c>
      <c r="BG163" s="30">
        <v>6.1</v>
      </c>
      <c r="BH163" s="29">
        <f>BF163+BG163</f>
        <v>-8.3000000000000007</v>
      </c>
      <c r="BI163" s="30">
        <v>-0.7</v>
      </c>
      <c r="BJ163" s="30">
        <v>-1.9</v>
      </c>
      <c r="BK163" s="30">
        <v>-10.9</v>
      </c>
      <c r="BL163" s="30">
        <v>-1</v>
      </c>
      <c r="BM163" s="30">
        <v>11.6</v>
      </c>
      <c r="BN163" s="29">
        <f>BL163+BM163</f>
        <v>10.6</v>
      </c>
      <c r="BO163" s="30">
        <v>5.2</v>
      </c>
      <c r="BP163" s="30">
        <v>-1.8</v>
      </c>
      <c r="BQ163" s="30">
        <v>14</v>
      </c>
      <c r="BR163" s="30">
        <v>-1.1000000000000001</v>
      </c>
      <c r="BS163" s="30">
        <v>-1.8</v>
      </c>
      <c r="BT163" s="29">
        <f>BR163+BS163</f>
        <v>-2.9000000000000004</v>
      </c>
      <c r="BU163" s="30">
        <v>-2.9</v>
      </c>
      <c r="BV163" s="30">
        <v>-4.8</v>
      </c>
      <c r="BW163" s="30">
        <v>-10.6</v>
      </c>
      <c r="BX163" s="30">
        <v>1.2</v>
      </c>
      <c r="BY163" s="30">
        <v>-2.2000000000000002</v>
      </c>
      <c r="BZ163" s="29">
        <f>BX163+BY163</f>
        <v>-1.0000000000000002</v>
      </c>
      <c r="CA163" s="30">
        <v>-2.7</v>
      </c>
      <c r="CB163" s="30">
        <v>-0.4</v>
      </c>
      <c r="CC163" s="30">
        <v>-4.0999999999999996</v>
      </c>
      <c r="CD163" s="30">
        <v>-5.9</v>
      </c>
      <c r="CE163" s="30">
        <v>-2.7</v>
      </c>
      <c r="CF163" s="29">
        <f>CD163+CE163</f>
        <v>-8.6000000000000014</v>
      </c>
      <c r="CG163" s="30">
        <v>0.9</v>
      </c>
      <c r="CH163" s="30">
        <v>1.1000000000000001</v>
      </c>
      <c r="CI163" s="30">
        <v>-6.6</v>
      </c>
      <c r="CJ163" s="30">
        <v>-5.9</v>
      </c>
      <c r="CK163" s="30">
        <v>-0.9</v>
      </c>
      <c r="CL163" s="29">
        <f>CJ163+CK163</f>
        <v>-6.8000000000000007</v>
      </c>
      <c r="CM163" s="32">
        <v>0</v>
      </c>
      <c r="CN163" s="32">
        <v>0</v>
      </c>
      <c r="CO163" s="31">
        <f t="shared" si="161"/>
        <v>-6.8000000000000007</v>
      </c>
      <c r="CP163" s="32">
        <v>0</v>
      </c>
      <c r="CQ163" s="32">
        <v>0</v>
      </c>
      <c r="CR163" s="32">
        <v>0</v>
      </c>
      <c r="CS163" s="32">
        <v>0</v>
      </c>
      <c r="CT163" s="22"/>
      <c r="CV163" s="6"/>
      <c r="CW163" s="6"/>
      <c r="CX163" s="6"/>
      <c r="CY163" s="6"/>
    </row>
    <row r="164" spans="2:103" ht="15" customHeight="1" x14ac:dyDescent="0.25">
      <c r="B164" s="33" t="s">
        <v>270</v>
      </c>
      <c r="C164" s="34">
        <f t="shared" ref="C164:AH164" si="168">C160-C161+N(C162)+N(C163)</f>
        <v>122.70000000000002</v>
      </c>
      <c r="D164" s="34">
        <f t="shared" si="168"/>
        <v>152.69999999999985</v>
      </c>
      <c r="E164" s="34">
        <f t="shared" si="168"/>
        <v>187.99999999999991</v>
      </c>
      <c r="F164" s="34">
        <f t="shared" si="168"/>
        <v>166.39999999999998</v>
      </c>
      <c r="G164" s="34">
        <f t="shared" si="168"/>
        <v>173.60000000000011</v>
      </c>
      <c r="H164" s="34">
        <f t="shared" si="168"/>
        <v>211.60000000000005</v>
      </c>
      <c r="I164" s="34">
        <f t="shared" si="168"/>
        <v>228.20000000000024</v>
      </c>
      <c r="J164" s="19">
        <f t="shared" si="168"/>
        <v>53.000000000000007</v>
      </c>
      <c r="K164" s="19">
        <f t="shared" si="168"/>
        <v>59.799999999999976</v>
      </c>
      <c r="L164" s="19">
        <f t="shared" si="168"/>
        <v>112.80000000000007</v>
      </c>
      <c r="M164" s="19">
        <f t="shared" si="168"/>
        <v>47.200000000000024</v>
      </c>
      <c r="N164" s="19">
        <f t="shared" si="168"/>
        <v>64.000000000000028</v>
      </c>
      <c r="O164" s="34">
        <f t="shared" si="168"/>
        <v>223.99999999999994</v>
      </c>
      <c r="P164" s="19">
        <f t="shared" si="168"/>
        <v>61.9</v>
      </c>
      <c r="Q164" s="19">
        <f t="shared" si="168"/>
        <v>77.900000000000048</v>
      </c>
      <c r="R164" s="19">
        <f t="shared" si="168"/>
        <v>139.79999999999995</v>
      </c>
      <c r="S164" s="19">
        <f t="shared" si="168"/>
        <v>67.900000000000048</v>
      </c>
      <c r="T164" s="19">
        <f t="shared" si="168"/>
        <v>74.39999999999992</v>
      </c>
      <c r="U164" s="34">
        <f t="shared" si="168"/>
        <v>282.10000000000014</v>
      </c>
      <c r="V164" s="19">
        <f t="shared" si="168"/>
        <v>62.20000000000001</v>
      </c>
      <c r="W164" s="19">
        <f t="shared" si="168"/>
        <v>66.300000000000068</v>
      </c>
      <c r="X164" s="19">
        <f t="shared" si="168"/>
        <v>128.50000000000014</v>
      </c>
      <c r="Y164" s="19">
        <f t="shared" si="168"/>
        <v>61.39999999999997</v>
      </c>
      <c r="Z164" s="19">
        <f t="shared" si="168"/>
        <v>68.300000000000026</v>
      </c>
      <c r="AA164" s="34">
        <f t="shared" si="168"/>
        <v>258.19999999999993</v>
      </c>
      <c r="AB164" s="19">
        <f t="shared" si="168"/>
        <v>53.899999999999977</v>
      </c>
      <c r="AC164" s="19">
        <f t="shared" si="168"/>
        <v>64.900000000000048</v>
      </c>
      <c r="AD164" s="19">
        <f t="shared" si="168"/>
        <v>118.80000000000001</v>
      </c>
      <c r="AE164" s="19">
        <f t="shared" si="168"/>
        <v>62.399999999999956</v>
      </c>
      <c r="AF164" s="19">
        <f t="shared" si="168"/>
        <v>60.099999999999973</v>
      </c>
      <c r="AG164" s="34">
        <f t="shared" si="168"/>
        <v>241.30000000000007</v>
      </c>
      <c r="AH164" s="19">
        <f t="shared" si="168"/>
        <v>40.600000000000009</v>
      </c>
      <c r="AI164" s="19">
        <f t="shared" ref="AI164:BN164" si="169">AI160-AI161+N(AI162)+N(AI163)</f>
        <v>76.400000000000048</v>
      </c>
      <c r="AJ164" s="19">
        <f t="shared" si="169"/>
        <v>117.00000000000003</v>
      </c>
      <c r="AK164" s="19">
        <f t="shared" si="169"/>
        <v>81.700000000000031</v>
      </c>
      <c r="AL164" s="19">
        <f t="shared" si="169"/>
        <v>88.3</v>
      </c>
      <c r="AM164" s="34">
        <f t="shared" si="169"/>
        <v>287.00000000000011</v>
      </c>
      <c r="AN164" s="19">
        <f t="shared" si="169"/>
        <v>82.200000000000045</v>
      </c>
      <c r="AO164" s="19">
        <f t="shared" si="169"/>
        <v>104.39999999999999</v>
      </c>
      <c r="AP164" s="19">
        <f t="shared" si="169"/>
        <v>186.59999999999985</v>
      </c>
      <c r="AQ164" s="19">
        <f t="shared" si="169"/>
        <v>100.19999999999997</v>
      </c>
      <c r="AR164" s="19">
        <f t="shared" si="169"/>
        <v>107.09999999999997</v>
      </c>
      <c r="AS164" s="34">
        <f t="shared" si="169"/>
        <v>393.90000000000015</v>
      </c>
      <c r="AT164" s="19">
        <f t="shared" si="169"/>
        <v>92.900000000000063</v>
      </c>
      <c r="AU164" s="19">
        <f t="shared" si="169"/>
        <v>127.89999999999998</v>
      </c>
      <c r="AV164" s="19">
        <f t="shared" si="169"/>
        <v>220.8</v>
      </c>
      <c r="AW164" s="19">
        <f t="shared" si="169"/>
        <v>123.40000000000005</v>
      </c>
      <c r="AX164" s="19">
        <f t="shared" si="169"/>
        <v>129.50000000000003</v>
      </c>
      <c r="AY164" s="34">
        <f t="shared" si="169"/>
        <v>473.69999999999993</v>
      </c>
      <c r="AZ164" s="19">
        <f t="shared" si="169"/>
        <v>101</v>
      </c>
      <c r="BA164" s="19">
        <f t="shared" si="169"/>
        <v>107.89999999999992</v>
      </c>
      <c r="BB164" s="19">
        <f t="shared" si="169"/>
        <v>208.90000000000003</v>
      </c>
      <c r="BC164" s="19">
        <f t="shared" si="169"/>
        <v>119.7</v>
      </c>
      <c r="BD164" s="19">
        <f t="shared" si="169"/>
        <v>141.09999999999991</v>
      </c>
      <c r="BE164" s="34">
        <f t="shared" si="169"/>
        <v>469.69999999999993</v>
      </c>
      <c r="BF164" s="19">
        <f t="shared" si="169"/>
        <v>101.30000000000004</v>
      </c>
      <c r="BG164" s="19">
        <f t="shared" si="169"/>
        <v>92.09999999999998</v>
      </c>
      <c r="BH164" s="19">
        <f t="shared" si="169"/>
        <v>193.40000000000015</v>
      </c>
      <c r="BI164" s="19">
        <f t="shared" si="169"/>
        <v>167.90000000000003</v>
      </c>
      <c r="BJ164" s="19">
        <f t="shared" si="169"/>
        <v>172.5</v>
      </c>
      <c r="BK164" s="34">
        <f t="shared" si="169"/>
        <v>533.8000000000003</v>
      </c>
      <c r="BL164" s="19">
        <f t="shared" si="169"/>
        <v>202.99999999999997</v>
      </c>
      <c r="BM164" s="19">
        <f t="shared" si="169"/>
        <v>221.49999999999994</v>
      </c>
      <c r="BN164" s="19">
        <f t="shared" si="169"/>
        <v>424.50000000000011</v>
      </c>
      <c r="BO164" s="19">
        <f t="shared" ref="BO164:CL164" si="170">BO160-BO161+N(BO162)+N(BO163)</f>
        <v>231.29999999999995</v>
      </c>
      <c r="BP164" s="19">
        <f t="shared" si="170"/>
        <v>252.30000000000013</v>
      </c>
      <c r="BQ164" s="34">
        <f t="shared" si="170"/>
        <v>908.10000000000025</v>
      </c>
      <c r="BR164" s="19">
        <f t="shared" si="170"/>
        <v>223.69999999999996</v>
      </c>
      <c r="BS164" s="19">
        <f t="shared" si="170"/>
        <v>234.90000000000006</v>
      </c>
      <c r="BT164" s="19">
        <f t="shared" si="170"/>
        <v>458.6</v>
      </c>
      <c r="BU164" s="19">
        <f t="shared" si="170"/>
        <v>246.09999999999994</v>
      </c>
      <c r="BV164" s="19">
        <f t="shared" si="170"/>
        <v>254.2</v>
      </c>
      <c r="BW164" s="34">
        <f t="shared" si="170"/>
        <v>958.90000000000009</v>
      </c>
      <c r="BX164" s="19">
        <f t="shared" si="170"/>
        <v>225.49999999999986</v>
      </c>
      <c r="BY164" s="19">
        <f t="shared" si="170"/>
        <v>231.6999999999999</v>
      </c>
      <c r="BZ164" s="19">
        <f t="shared" si="170"/>
        <v>457.1999999999997</v>
      </c>
      <c r="CA164" s="19">
        <f t="shared" si="170"/>
        <v>255.10000000000002</v>
      </c>
      <c r="CB164" s="19">
        <f t="shared" si="170"/>
        <v>225.59999999999997</v>
      </c>
      <c r="CC164" s="34">
        <f t="shared" si="170"/>
        <v>937.90000000000009</v>
      </c>
      <c r="CD164" s="19">
        <f t="shared" si="170"/>
        <v>238.90000000000012</v>
      </c>
      <c r="CE164" s="19">
        <f t="shared" si="170"/>
        <v>260.59999999999997</v>
      </c>
      <c r="CF164" s="19">
        <f t="shared" si="170"/>
        <v>499.50000000000034</v>
      </c>
      <c r="CG164" s="19">
        <f t="shared" si="170"/>
        <v>273.7999999999999</v>
      </c>
      <c r="CH164" s="19">
        <f t="shared" si="170"/>
        <v>321.19999999999993</v>
      </c>
      <c r="CI164" s="34">
        <f t="shared" si="170"/>
        <v>1094.5</v>
      </c>
      <c r="CJ164" s="19">
        <f t="shared" si="170"/>
        <v>278.69999999999993</v>
      </c>
      <c r="CK164" s="19">
        <f t="shared" si="170"/>
        <v>321.30000000000007</v>
      </c>
      <c r="CL164" s="19">
        <f t="shared" si="170"/>
        <v>600.00000000000011</v>
      </c>
      <c r="CM164" s="34">
        <f>CM160-CM161+CM162+CM163</f>
        <v>307.74585987261156</v>
      </c>
      <c r="CN164" s="34">
        <f>CN160-CN161+CN162+CN163</f>
        <v>324.18057324840748</v>
      </c>
      <c r="CO164" s="34">
        <f t="shared" si="161"/>
        <v>1231.926433121019</v>
      </c>
      <c r="CP164" s="34">
        <f>CP160-CP161+CP162+CP163</f>
        <v>1435.0941732312501</v>
      </c>
      <c r="CQ164" s="34">
        <f>CQ160-CQ161+CQ162+CQ163</f>
        <v>1565.7027815280942</v>
      </c>
      <c r="CR164" s="34">
        <f>CR160-CR161+CR162+CR163</f>
        <v>1739.6652748466838</v>
      </c>
      <c r="CS164" s="34">
        <f>CS160-CS161+CS162+CS163</f>
        <v>1931.8703115149774</v>
      </c>
      <c r="CT164" s="22"/>
      <c r="CV164" s="23">
        <f>IFERROR((CS164/CI164)^(1/5)-1,"n/m")</f>
        <v>0.12034670316573348</v>
      </c>
      <c r="CW164" s="23">
        <f>IFERROR((CI164/BE164)^(1/5)-1,"n/m")</f>
        <v>0.18434720955570727</v>
      </c>
      <c r="CX164" s="23">
        <f>IFERROR((CI164/AA164)^(1/10)-1,"n/m")</f>
        <v>0.15538294583262124</v>
      </c>
      <c r="CY164" s="23">
        <f>IFERROR((CI164/C164)^(1/19)-1,"n/m")</f>
        <v>0.12206893014030396</v>
      </c>
    </row>
    <row r="165" spans="2:103" ht="15" customHeight="1" x14ac:dyDescent="0.25">
      <c r="B165" s="12" t="s">
        <v>271</v>
      </c>
      <c r="C165" s="30">
        <v>41.4</v>
      </c>
      <c r="D165" s="30">
        <v>50.8</v>
      </c>
      <c r="E165" s="30">
        <v>69.099999999999994</v>
      </c>
      <c r="F165" s="30">
        <v>50</v>
      </c>
      <c r="G165" s="30">
        <v>53.6</v>
      </c>
      <c r="H165" s="30">
        <v>69.5</v>
      </c>
      <c r="I165" s="30">
        <v>65.400000000000006</v>
      </c>
      <c r="J165" s="30">
        <v>13.2</v>
      </c>
      <c r="K165" s="30">
        <v>16.5</v>
      </c>
      <c r="L165" s="29">
        <f>J165+K165</f>
        <v>29.7</v>
      </c>
      <c r="M165" s="30">
        <v>0.3</v>
      </c>
      <c r="N165" s="30">
        <v>9.5</v>
      </c>
      <c r="O165" s="30">
        <v>39.5</v>
      </c>
      <c r="P165" s="30">
        <v>15.9</v>
      </c>
      <c r="Q165" s="30">
        <v>22.1</v>
      </c>
      <c r="R165" s="29">
        <f>P165+Q165</f>
        <v>38</v>
      </c>
      <c r="S165" s="30">
        <v>13</v>
      </c>
      <c r="T165" s="30">
        <v>15.5</v>
      </c>
      <c r="U165" s="30">
        <v>66.5</v>
      </c>
      <c r="V165" s="30">
        <v>18.5</v>
      </c>
      <c r="W165" s="30">
        <v>18.3</v>
      </c>
      <c r="X165" s="29">
        <f>V165+W165</f>
        <v>36.799999999999997</v>
      </c>
      <c r="Y165" s="30">
        <v>13.1</v>
      </c>
      <c r="Z165" s="30">
        <v>12.8</v>
      </c>
      <c r="AA165" s="30">
        <v>62.7</v>
      </c>
      <c r="AB165" s="30">
        <v>14.9</v>
      </c>
      <c r="AC165" s="30">
        <v>18</v>
      </c>
      <c r="AD165" s="29">
        <f>AB165+AC165</f>
        <v>32.9</v>
      </c>
      <c r="AE165" s="30">
        <v>10.4</v>
      </c>
      <c r="AF165" s="30">
        <v>7.1</v>
      </c>
      <c r="AG165" s="30">
        <v>50.4</v>
      </c>
      <c r="AH165" s="30">
        <v>10.1</v>
      </c>
      <c r="AI165" s="30">
        <v>16.3</v>
      </c>
      <c r="AJ165" s="29">
        <f>AH165+AI165</f>
        <v>26.4</v>
      </c>
      <c r="AK165" s="30">
        <v>12.7</v>
      </c>
      <c r="AL165" s="30">
        <v>20.7</v>
      </c>
      <c r="AM165" s="30">
        <v>59.8</v>
      </c>
      <c r="AN165" s="30">
        <v>15.7</v>
      </c>
      <c r="AO165" s="30">
        <v>18.5</v>
      </c>
      <c r="AP165" s="29">
        <f>AN165+AO165</f>
        <v>34.200000000000003</v>
      </c>
      <c r="AQ165" s="30">
        <v>9.9</v>
      </c>
      <c r="AR165" s="30">
        <v>16</v>
      </c>
      <c r="AS165" s="30">
        <v>60.1</v>
      </c>
      <c r="AT165" s="30">
        <v>17.600000000000001</v>
      </c>
      <c r="AU165" s="30">
        <v>23.3</v>
      </c>
      <c r="AV165" s="29">
        <f>AT165+AU165</f>
        <v>40.900000000000006</v>
      </c>
      <c r="AW165" s="30">
        <v>16.7</v>
      </c>
      <c r="AX165" s="30">
        <v>13.8</v>
      </c>
      <c r="AY165" s="30">
        <v>71.400000000000006</v>
      </c>
      <c r="AZ165" s="30">
        <v>18.8</v>
      </c>
      <c r="BA165" s="30">
        <v>14.2</v>
      </c>
      <c r="BB165" s="29">
        <f>AZ165+BA165</f>
        <v>33</v>
      </c>
      <c r="BC165" s="30">
        <v>25.8</v>
      </c>
      <c r="BD165" s="30">
        <v>9</v>
      </c>
      <c r="BE165" s="30">
        <v>67.8</v>
      </c>
      <c r="BF165" s="30">
        <v>16.600000000000001</v>
      </c>
      <c r="BG165" s="30">
        <v>27.4</v>
      </c>
      <c r="BH165" s="29">
        <f>BF165+BG165</f>
        <v>44</v>
      </c>
      <c r="BI165" s="30">
        <v>33.799999999999997</v>
      </c>
      <c r="BJ165" s="30">
        <v>10.7</v>
      </c>
      <c r="BK165" s="30">
        <v>88.5</v>
      </c>
      <c r="BL165" s="30">
        <v>-9.6</v>
      </c>
      <c r="BM165" s="30">
        <v>50.2</v>
      </c>
      <c r="BN165" s="29">
        <f>BL165+BM165</f>
        <v>40.6</v>
      </c>
      <c r="BO165" s="30">
        <v>53.1</v>
      </c>
      <c r="BP165" s="30">
        <v>25.5</v>
      </c>
      <c r="BQ165" s="30">
        <v>119.2</v>
      </c>
      <c r="BR165" s="30">
        <v>44.9</v>
      </c>
      <c r="BS165" s="30">
        <v>49.4</v>
      </c>
      <c r="BT165" s="29">
        <f>BR165+BS165</f>
        <v>94.3</v>
      </c>
      <c r="BU165" s="30">
        <v>47.3</v>
      </c>
      <c r="BV165" s="30">
        <v>-69.3</v>
      </c>
      <c r="BW165" s="30">
        <v>72.3</v>
      </c>
      <c r="BX165" s="30">
        <v>46.4</v>
      </c>
      <c r="BY165" s="30">
        <v>51.4</v>
      </c>
      <c r="BZ165" s="29">
        <f>BX165+BY165</f>
        <v>97.8</v>
      </c>
      <c r="CA165" s="30">
        <v>-7.1</v>
      </c>
      <c r="CB165" s="30">
        <v>26.5</v>
      </c>
      <c r="CC165" s="30">
        <v>117.2</v>
      </c>
      <c r="CD165" s="30">
        <v>50.1</v>
      </c>
      <c r="CE165" s="30">
        <v>50.2</v>
      </c>
      <c r="CF165" s="29">
        <f>CD165+CE165</f>
        <v>100.30000000000001</v>
      </c>
      <c r="CG165" s="30">
        <v>52.9</v>
      </c>
      <c r="CH165" s="30">
        <v>45.6</v>
      </c>
      <c r="CI165" s="30">
        <v>198.8</v>
      </c>
      <c r="CJ165" s="30">
        <v>51.9</v>
      </c>
      <c r="CK165" s="30">
        <v>69.599999999999994</v>
      </c>
      <c r="CL165" s="29">
        <f>CJ165+CK165</f>
        <v>121.5</v>
      </c>
      <c r="CM165" s="31">
        <f>CM164*$DD$16</f>
        <v>66.165359872611489</v>
      </c>
      <c r="CN165" s="31">
        <f>CN164*$DD$16</f>
        <v>69.698823248407606</v>
      </c>
      <c r="CO165" s="31">
        <f t="shared" si="161"/>
        <v>257.3641831210191</v>
      </c>
      <c r="CP165" s="31">
        <f>CP164*CP166</f>
        <v>308.54524724471878</v>
      </c>
      <c r="CQ165" s="31">
        <f>CQ164*CQ166</f>
        <v>336.62609802854024</v>
      </c>
      <c r="CR165" s="31">
        <f>CR164*CR166</f>
        <v>374.02803409203699</v>
      </c>
      <c r="CS165" s="31">
        <f>CS164*CS166</f>
        <v>415.35211697572015</v>
      </c>
      <c r="CT165" s="22" t="s">
        <v>272</v>
      </c>
      <c r="CV165" s="6"/>
      <c r="CW165" s="6"/>
      <c r="CX165" s="6"/>
      <c r="CY165" s="6"/>
    </row>
    <row r="166" spans="2:103" ht="15" customHeight="1" x14ac:dyDescent="0.25">
      <c r="B166" s="25" t="s">
        <v>273</v>
      </c>
      <c r="C166" s="39">
        <f t="shared" ref="C166:AH166" si="171">IFERROR(C165/C164,"")</f>
        <v>0.33740831295843515</v>
      </c>
      <c r="D166" s="39">
        <f t="shared" si="171"/>
        <v>0.33267845448592043</v>
      </c>
      <c r="E166" s="39">
        <f t="shared" si="171"/>
        <v>0.36755319148936183</v>
      </c>
      <c r="F166" s="39">
        <f t="shared" si="171"/>
        <v>0.30048076923076927</v>
      </c>
      <c r="G166" s="39">
        <f t="shared" si="171"/>
        <v>0.30875576036866342</v>
      </c>
      <c r="H166" s="39">
        <f t="shared" si="171"/>
        <v>0.3284499054820415</v>
      </c>
      <c r="I166" s="39">
        <f t="shared" si="171"/>
        <v>0.28659070990359303</v>
      </c>
      <c r="J166" s="39">
        <f t="shared" si="171"/>
        <v>0.24905660377358485</v>
      </c>
      <c r="K166" s="39">
        <f t="shared" si="171"/>
        <v>0.27591973244147167</v>
      </c>
      <c r="L166" s="39">
        <f t="shared" si="171"/>
        <v>0.26329787234042534</v>
      </c>
      <c r="M166" s="39">
        <f t="shared" si="171"/>
        <v>6.3559322033898275E-3</v>
      </c>
      <c r="N166" s="39">
        <f t="shared" si="171"/>
        <v>0.14843749999999994</v>
      </c>
      <c r="O166" s="39">
        <f t="shared" si="171"/>
        <v>0.17633928571428575</v>
      </c>
      <c r="P166" s="39">
        <f t="shared" si="171"/>
        <v>0.25686591276252019</v>
      </c>
      <c r="Q166" s="39">
        <f t="shared" si="171"/>
        <v>0.28369704749679059</v>
      </c>
      <c r="R166" s="39">
        <f t="shared" si="171"/>
        <v>0.27181688125894143</v>
      </c>
      <c r="S166" s="39">
        <f t="shared" si="171"/>
        <v>0.19145802650957278</v>
      </c>
      <c r="T166" s="39">
        <f t="shared" si="171"/>
        <v>0.20833333333333356</v>
      </c>
      <c r="U166" s="39">
        <f t="shared" si="171"/>
        <v>0.23573200992555821</v>
      </c>
      <c r="V166" s="39">
        <f t="shared" si="171"/>
        <v>0.29742765273311894</v>
      </c>
      <c r="W166" s="39">
        <f t="shared" si="171"/>
        <v>0.27601809954751105</v>
      </c>
      <c r="X166" s="39">
        <f t="shared" si="171"/>
        <v>0.28638132295719809</v>
      </c>
      <c r="Y166" s="39">
        <f t="shared" si="171"/>
        <v>0.21335504885993495</v>
      </c>
      <c r="Z166" s="39">
        <f t="shared" si="171"/>
        <v>0.18740849194729131</v>
      </c>
      <c r="AA166" s="39">
        <f t="shared" si="171"/>
        <v>0.24283501161890014</v>
      </c>
      <c r="AB166" s="39">
        <f t="shared" si="171"/>
        <v>0.27643784786641939</v>
      </c>
      <c r="AC166" s="39">
        <f t="shared" si="171"/>
        <v>0.27734976887519242</v>
      </c>
      <c r="AD166" s="39">
        <f t="shared" si="171"/>
        <v>0.27693602693602692</v>
      </c>
      <c r="AE166" s="39">
        <f t="shared" si="171"/>
        <v>0.1666666666666668</v>
      </c>
      <c r="AF166" s="39">
        <f t="shared" si="171"/>
        <v>0.1181364392678869</v>
      </c>
      <c r="AG166" s="39">
        <f t="shared" si="171"/>
        <v>0.20886862826357225</v>
      </c>
      <c r="AH166" s="39">
        <f t="shared" si="171"/>
        <v>0.24876847290640389</v>
      </c>
      <c r="AI166" s="39">
        <f t="shared" ref="AI166:BN166" si="172">IFERROR(AI165/AI164,"")</f>
        <v>0.21335078534031401</v>
      </c>
      <c r="AJ166" s="39">
        <f t="shared" si="172"/>
        <v>0.22564102564102556</v>
      </c>
      <c r="AK166" s="39">
        <f t="shared" si="172"/>
        <v>0.15544675642594852</v>
      </c>
      <c r="AL166" s="39">
        <f t="shared" si="172"/>
        <v>0.23442808607021517</v>
      </c>
      <c r="AM166" s="39">
        <f t="shared" si="172"/>
        <v>0.208362369337979</v>
      </c>
      <c r="AN166" s="39">
        <f t="shared" si="172"/>
        <v>0.19099756690997555</v>
      </c>
      <c r="AO166" s="39">
        <f t="shared" si="172"/>
        <v>0.17720306513409964</v>
      </c>
      <c r="AP166" s="39">
        <f t="shared" si="172"/>
        <v>0.18327974276527348</v>
      </c>
      <c r="AQ166" s="39">
        <f t="shared" si="172"/>
        <v>9.8802395209580868E-2</v>
      </c>
      <c r="AR166" s="39">
        <f t="shared" si="172"/>
        <v>0.14939309056956121</v>
      </c>
      <c r="AS166" s="39">
        <f t="shared" si="172"/>
        <v>0.15257679614115252</v>
      </c>
      <c r="AT166" s="39">
        <f t="shared" si="172"/>
        <v>0.18945102260495145</v>
      </c>
      <c r="AU166" s="39">
        <f t="shared" si="172"/>
        <v>0.18217357310398752</v>
      </c>
      <c r="AV166" s="39">
        <f t="shared" si="172"/>
        <v>0.18523550724637683</v>
      </c>
      <c r="AW166" s="39">
        <f t="shared" si="172"/>
        <v>0.13533225283630465</v>
      </c>
      <c r="AX166" s="39">
        <f t="shared" si="172"/>
        <v>0.10656370656370655</v>
      </c>
      <c r="AY166" s="39">
        <f t="shared" si="172"/>
        <v>0.15072830905636483</v>
      </c>
      <c r="AZ166" s="39">
        <f t="shared" si="172"/>
        <v>0.18613861386138614</v>
      </c>
      <c r="BA166" s="39">
        <f t="shared" si="172"/>
        <v>0.13160333642261363</v>
      </c>
      <c r="BB166" s="39">
        <f t="shared" si="172"/>
        <v>0.15797032072762085</v>
      </c>
      <c r="BC166" s="39">
        <f t="shared" si="172"/>
        <v>0.21553884711779447</v>
      </c>
      <c r="BD166" s="39">
        <f t="shared" si="172"/>
        <v>6.3784549964564174E-2</v>
      </c>
      <c r="BE166" s="39">
        <f t="shared" si="172"/>
        <v>0.14434745582286568</v>
      </c>
      <c r="BF166" s="39">
        <f t="shared" si="172"/>
        <v>0.16386969397828227</v>
      </c>
      <c r="BG166" s="39">
        <f t="shared" si="172"/>
        <v>0.29750271444082521</v>
      </c>
      <c r="BH166" s="39">
        <f t="shared" si="172"/>
        <v>0.22750775594622527</v>
      </c>
      <c r="BI166" s="39">
        <f t="shared" si="172"/>
        <v>0.20131030375223341</v>
      </c>
      <c r="BJ166" s="39">
        <f t="shared" si="172"/>
        <v>6.2028985507246372E-2</v>
      </c>
      <c r="BK166" s="39">
        <f t="shared" si="172"/>
        <v>0.16579243162233037</v>
      </c>
      <c r="BL166" s="39">
        <f t="shared" si="172"/>
        <v>-4.7290640394088673E-2</v>
      </c>
      <c r="BM166" s="39">
        <f t="shared" si="172"/>
        <v>0.22663656884875855</v>
      </c>
      <c r="BN166" s="39">
        <f t="shared" si="172"/>
        <v>9.5641931684334491E-2</v>
      </c>
      <c r="BO166" s="39">
        <f t="shared" ref="BO166:CO166" si="173">IFERROR(BO165/BO164,"")</f>
        <v>0.22957198443579771</v>
      </c>
      <c r="BP166" s="39">
        <f t="shared" si="173"/>
        <v>0.10107015457788342</v>
      </c>
      <c r="BQ166" s="39">
        <f t="shared" si="173"/>
        <v>0.13126307675366145</v>
      </c>
      <c r="BR166" s="39">
        <f t="shared" si="173"/>
        <v>0.20071524362986146</v>
      </c>
      <c r="BS166" s="39">
        <f t="shared" si="173"/>
        <v>0.21030225627926771</v>
      </c>
      <c r="BT166" s="39">
        <f t="shared" si="173"/>
        <v>0.20562581770606192</v>
      </c>
      <c r="BU166" s="39">
        <f t="shared" si="173"/>
        <v>0.19219829337667618</v>
      </c>
      <c r="BV166" s="39">
        <f t="shared" si="173"/>
        <v>-0.27261998426435879</v>
      </c>
      <c r="BW166" s="39">
        <f t="shared" si="173"/>
        <v>7.5398894566690994E-2</v>
      </c>
      <c r="BX166" s="39">
        <f t="shared" si="173"/>
        <v>0.20576496674057662</v>
      </c>
      <c r="BY166" s="39">
        <f t="shared" si="173"/>
        <v>0.22183858437634882</v>
      </c>
      <c r="BZ166" s="39">
        <f t="shared" si="173"/>
        <v>0.21391076115485577</v>
      </c>
      <c r="CA166" s="39">
        <f t="shared" si="173"/>
        <v>-2.7832222657781257E-2</v>
      </c>
      <c r="CB166" s="39">
        <f t="shared" si="173"/>
        <v>0.11746453900709222</v>
      </c>
      <c r="CC166" s="39">
        <f t="shared" si="173"/>
        <v>0.12496001705938799</v>
      </c>
      <c r="CD166" s="39">
        <f t="shared" si="173"/>
        <v>0.20971117622436156</v>
      </c>
      <c r="CE166" s="39">
        <f t="shared" si="173"/>
        <v>0.19263238679969305</v>
      </c>
      <c r="CF166" s="39">
        <f t="shared" si="173"/>
        <v>0.20080080080080068</v>
      </c>
      <c r="CG166" s="39">
        <f t="shared" si="173"/>
        <v>0.19320672023374733</v>
      </c>
      <c r="CH166" s="39">
        <f t="shared" si="173"/>
        <v>0.14196762141967625</v>
      </c>
      <c r="CI166" s="39">
        <f t="shared" si="173"/>
        <v>0.18163544997715853</v>
      </c>
      <c r="CJ166" s="39">
        <f t="shared" si="173"/>
        <v>0.18622174381054901</v>
      </c>
      <c r="CK166" s="39">
        <f t="shared" si="173"/>
        <v>0.2166199813258636</v>
      </c>
      <c r="CL166" s="39">
        <f t="shared" si="173"/>
        <v>0.20249999999999996</v>
      </c>
      <c r="CM166" s="27">
        <f t="shared" si="173"/>
        <v>0.21500000000000002</v>
      </c>
      <c r="CN166" s="27">
        <f t="shared" si="173"/>
        <v>0.215</v>
      </c>
      <c r="CO166" s="27">
        <f t="shared" si="173"/>
        <v>0.20891197412576079</v>
      </c>
      <c r="CP166" s="45">
        <v>0.215</v>
      </c>
      <c r="CQ166" s="45">
        <v>0.215</v>
      </c>
      <c r="CR166" s="45">
        <v>0.215</v>
      </c>
      <c r="CS166" s="45">
        <v>0.215</v>
      </c>
      <c r="CT166" s="22"/>
      <c r="CV166" s="40">
        <f>IFERROR(AVERAGE(CO166,CP166,CQ166,CR166,CS166),"n/m")</f>
        <v>0.21378239482515213</v>
      </c>
      <c r="CW166" s="40">
        <f>IFERROR(AVERAGE(BK166,BQ166,BW166,CC166,CI166),"n/m")</f>
        <v>0.13580997399584588</v>
      </c>
      <c r="CX166" s="40">
        <f>IFERROR(AVERAGE(AG166,AM166,AS166,AY166,BE166,BK166,BQ166,BW166,CC166,CI166),"n/m")</f>
        <v>0.15439334286011638</v>
      </c>
      <c r="CY166" s="40">
        <f>IFERROR(AVERAGE(C166,D166,E166,F166,G166,H166,I166,O166,U166,AA166,AG166,AM166,AS166,AY166,BE166,BK166,BQ166,BW166,CC166,CI166),"n/m")</f>
        <v>0.22303784198893464</v>
      </c>
    </row>
    <row r="167" spans="2:103" ht="15" customHeight="1" x14ac:dyDescent="0.25">
      <c r="B167" s="18" t="s">
        <v>274</v>
      </c>
      <c r="C167" s="19">
        <f t="shared" ref="C167:AH167" si="174">C164-C165</f>
        <v>81.300000000000011</v>
      </c>
      <c r="D167" s="19">
        <f t="shared" si="174"/>
        <v>101.89999999999985</v>
      </c>
      <c r="E167" s="19">
        <f t="shared" si="174"/>
        <v>118.89999999999992</v>
      </c>
      <c r="F167" s="19">
        <f t="shared" si="174"/>
        <v>116.39999999999998</v>
      </c>
      <c r="G167" s="19">
        <f t="shared" si="174"/>
        <v>120.00000000000011</v>
      </c>
      <c r="H167" s="19">
        <f t="shared" si="174"/>
        <v>142.10000000000005</v>
      </c>
      <c r="I167" s="19">
        <f t="shared" si="174"/>
        <v>162.80000000000024</v>
      </c>
      <c r="J167" s="19">
        <f t="shared" si="174"/>
        <v>39.800000000000011</v>
      </c>
      <c r="K167" s="19">
        <f t="shared" si="174"/>
        <v>43.299999999999976</v>
      </c>
      <c r="L167" s="19">
        <f t="shared" si="174"/>
        <v>83.100000000000065</v>
      </c>
      <c r="M167" s="19">
        <f t="shared" si="174"/>
        <v>46.900000000000027</v>
      </c>
      <c r="N167" s="19">
        <f t="shared" si="174"/>
        <v>54.500000000000028</v>
      </c>
      <c r="O167" s="19">
        <f t="shared" si="174"/>
        <v>184.49999999999994</v>
      </c>
      <c r="P167" s="19">
        <f t="shared" si="174"/>
        <v>46</v>
      </c>
      <c r="Q167" s="19">
        <f t="shared" si="174"/>
        <v>55.800000000000047</v>
      </c>
      <c r="R167" s="19">
        <f t="shared" si="174"/>
        <v>101.79999999999995</v>
      </c>
      <c r="S167" s="19">
        <f t="shared" si="174"/>
        <v>54.900000000000048</v>
      </c>
      <c r="T167" s="19">
        <f t="shared" si="174"/>
        <v>58.89999999999992</v>
      </c>
      <c r="U167" s="19">
        <f t="shared" si="174"/>
        <v>215.60000000000014</v>
      </c>
      <c r="V167" s="19">
        <f t="shared" si="174"/>
        <v>43.70000000000001</v>
      </c>
      <c r="W167" s="19">
        <f t="shared" si="174"/>
        <v>48.000000000000071</v>
      </c>
      <c r="X167" s="19">
        <f t="shared" si="174"/>
        <v>91.700000000000145</v>
      </c>
      <c r="Y167" s="19">
        <f t="shared" si="174"/>
        <v>48.299999999999969</v>
      </c>
      <c r="Z167" s="19">
        <f t="shared" si="174"/>
        <v>55.500000000000028</v>
      </c>
      <c r="AA167" s="19">
        <f t="shared" si="174"/>
        <v>195.49999999999994</v>
      </c>
      <c r="AB167" s="19">
        <f t="shared" si="174"/>
        <v>38.999999999999979</v>
      </c>
      <c r="AC167" s="19">
        <f t="shared" si="174"/>
        <v>46.900000000000048</v>
      </c>
      <c r="AD167" s="19">
        <f t="shared" si="174"/>
        <v>85.9</v>
      </c>
      <c r="AE167" s="19">
        <f t="shared" si="174"/>
        <v>51.999999999999957</v>
      </c>
      <c r="AF167" s="19">
        <f t="shared" si="174"/>
        <v>52.999999999999972</v>
      </c>
      <c r="AG167" s="19">
        <f t="shared" si="174"/>
        <v>190.90000000000006</v>
      </c>
      <c r="AH167" s="19">
        <f t="shared" si="174"/>
        <v>30.500000000000007</v>
      </c>
      <c r="AI167" s="19">
        <f t="shared" ref="AI167:BN167" si="175">AI164-AI165</f>
        <v>60.100000000000051</v>
      </c>
      <c r="AJ167" s="19">
        <f t="shared" si="175"/>
        <v>90.600000000000023</v>
      </c>
      <c r="AK167" s="19">
        <f t="shared" si="175"/>
        <v>69.000000000000028</v>
      </c>
      <c r="AL167" s="19">
        <f t="shared" si="175"/>
        <v>67.599999999999994</v>
      </c>
      <c r="AM167" s="19">
        <f t="shared" si="175"/>
        <v>227.2000000000001</v>
      </c>
      <c r="AN167" s="19">
        <f t="shared" si="175"/>
        <v>66.500000000000043</v>
      </c>
      <c r="AO167" s="19">
        <f t="shared" si="175"/>
        <v>85.899999999999991</v>
      </c>
      <c r="AP167" s="19">
        <f t="shared" si="175"/>
        <v>152.39999999999986</v>
      </c>
      <c r="AQ167" s="19">
        <f t="shared" si="175"/>
        <v>90.299999999999969</v>
      </c>
      <c r="AR167" s="19">
        <f t="shared" si="175"/>
        <v>91.099999999999966</v>
      </c>
      <c r="AS167" s="19">
        <f t="shared" si="175"/>
        <v>333.80000000000013</v>
      </c>
      <c r="AT167" s="19">
        <f t="shared" si="175"/>
        <v>75.300000000000068</v>
      </c>
      <c r="AU167" s="19">
        <f t="shared" si="175"/>
        <v>104.59999999999998</v>
      </c>
      <c r="AV167" s="19">
        <f t="shared" si="175"/>
        <v>179.9</v>
      </c>
      <c r="AW167" s="19">
        <f t="shared" si="175"/>
        <v>106.70000000000005</v>
      </c>
      <c r="AX167" s="19">
        <f t="shared" si="175"/>
        <v>115.70000000000003</v>
      </c>
      <c r="AY167" s="19">
        <f t="shared" si="175"/>
        <v>402.29999999999995</v>
      </c>
      <c r="AZ167" s="19">
        <f t="shared" si="175"/>
        <v>82.2</v>
      </c>
      <c r="BA167" s="19">
        <f t="shared" si="175"/>
        <v>93.699999999999918</v>
      </c>
      <c r="BB167" s="19">
        <f t="shared" si="175"/>
        <v>175.90000000000003</v>
      </c>
      <c r="BC167" s="19">
        <f t="shared" si="175"/>
        <v>93.9</v>
      </c>
      <c r="BD167" s="19">
        <f t="shared" si="175"/>
        <v>132.09999999999991</v>
      </c>
      <c r="BE167" s="19">
        <f t="shared" si="175"/>
        <v>401.89999999999992</v>
      </c>
      <c r="BF167" s="19">
        <f t="shared" si="175"/>
        <v>84.700000000000045</v>
      </c>
      <c r="BG167" s="19">
        <f t="shared" si="175"/>
        <v>64.699999999999989</v>
      </c>
      <c r="BH167" s="19">
        <f t="shared" si="175"/>
        <v>149.40000000000015</v>
      </c>
      <c r="BI167" s="19">
        <f t="shared" si="175"/>
        <v>134.10000000000002</v>
      </c>
      <c r="BJ167" s="19">
        <f t="shared" si="175"/>
        <v>161.80000000000001</v>
      </c>
      <c r="BK167" s="19">
        <f t="shared" si="175"/>
        <v>445.3000000000003</v>
      </c>
      <c r="BL167" s="19">
        <f t="shared" si="175"/>
        <v>212.59999999999997</v>
      </c>
      <c r="BM167" s="19">
        <f t="shared" si="175"/>
        <v>171.29999999999995</v>
      </c>
      <c r="BN167" s="19">
        <f t="shared" si="175"/>
        <v>383.90000000000009</v>
      </c>
      <c r="BO167" s="19">
        <f t="shared" ref="BO167:CN167" si="176">BO164-BO165</f>
        <v>178.19999999999996</v>
      </c>
      <c r="BP167" s="19">
        <f t="shared" si="176"/>
        <v>226.80000000000013</v>
      </c>
      <c r="BQ167" s="19">
        <f t="shared" si="176"/>
        <v>788.9000000000002</v>
      </c>
      <c r="BR167" s="19">
        <f t="shared" si="176"/>
        <v>178.79999999999995</v>
      </c>
      <c r="BS167" s="19">
        <f t="shared" si="176"/>
        <v>185.50000000000006</v>
      </c>
      <c r="BT167" s="19">
        <f t="shared" si="176"/>
        <v>364.3</v>
      </c>
      <c r="BU167" s="19">
        <f t="shared" si="176"/>
        <v>198.79999999999995</v>
      </c>
      <c r="BV167" s="19">
        <f t="shared" si="176"/>
        <v>323.5</v>
      </c>
      <c r="BW167" s="19">
        <f t="shared" si="176"/>
        <v>886.60000000000014</v>
      </c>
      <c r="BX167" s="19">
        <f t="shared" si="176"/>
        <v>179.09999999999985</v>
      </c>
      <c r="BY167" s="19">
        <f t="shared" si="176"/>
        <v>180.2999999999999</v>
      </c>
      <c r="BZ167" s="19">
        <f t="shared" si="176"/>
        <v>359.39999999999969</v>
      </c>
      <c r="CA167" s="19">
        <f t="shared" si="176"/>
        <v>262.20000000000005</v>
      </c>
      <c r="CB167" s="19">
        <f t="shared" si="176"/>
        <v>199.09999999999997</v>
      </c>
      <c r="CC167" s="19">
        <f t="shared" si="176"/>
        <v>820.7</v>
      </c>
      <c r="CD167" s="19">
        <f t="shared" si="176"/>
        <v>188.80000000000013</v>
      </c>
      <c r="CE167" s="19">
        <f t="shared" si="176"/>
        <v>210.39999999999998</v>
      </c>
      <c r="CF167" s="19">
        <f t="shared" si="176"/>
        <v>399.20000000000033</v>
      </c>
      <c r="CG167" s="19">
        <f t="shared" si="176"/>
        <v>220.89999999999989</v>
      </c>
      <c r="CH167" s="19">
        <f t="shared" si="176"/>
        <v>275.59999999999991</v>
      </c>
      <c r="CI167" s="19">
        <f t="shared" si="176"/>
        <v>895.7</v>
      </c>
      <c r="CJ167" s="19">
        <f t="shared" si="176"/>
        <v>226.79999999999993</v>
      </c>
      <c r="CK167" s="19">
        <f t="shared" si="176"/>
        <v>251.70000000000007</v>
      </c>
      <c r="CL167" s="19">
        <f t="shared" si="176"/>
        <v>478.50000000000011</v>
      </c>
      <c r="CM167" s="21">
        <f t="shared" si="176"/>
        <v>241.58050000000009</v>
      </c>
      <c r="CN167" s="21">
        <f t="shared" si="176"/>
        <v>254.48174999999986</v>
      </c>
      <c r="CO167" s="21">
        <f>SUM(CJ167,CK167,CM167,CN167)</f>
        <v>974.56224999999995</v>
      </c>
      <c r="CP167" s="21">
        <f>CP164-CP165</f>
        <v>1126.5489259865312</v>
      </c>
      <c r="CQ167" s="21">
        <f>CQ164-CQ165</f>
        <v>1229.0766834995538</v>
      </c>
      <c r="CR167" s="21">
        <f>CR164-CR165</f>
        <v>1365.6372407546469</v>
      </c>
      <c r="CS167" s="21">
        <f>CS164-CS165</f>
        <v>1516.5181945392574</v>
      </c>
      <c r="CT167" s="22"/>
      <c r="CV167" s="6"/>
      <c r="CW167" s="6"/>
      <c r="CX167" s="6"/>
      <c r="CY167" s="6"/>
    </row>
    <row r="168" spans="2:103" ht="15" customHeight="1" x14ac:dyDescent="0.25">
      <c r="B168" s="12" t="s">
        <v>275</v>
      </c>
      <c r="C168" s="29"/>
      <c r="D168" s="29"/>
      <c r="E168" s="30">
        <v>-5.3</v>
      </c>
      <c r="F168" s="30">
        <v>-2.6</v>
      </c>
      <c r="G168" s="30">
        <v>0.6</v>
      </c>
      <c r="H168" s="30">
        <v>113.1</v>
      </c>
      <c r="I168" s="30">
        <v>2.2999999999999998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32">
        <v>0</v>
      </c>
      <c r="CN168" s="32">
        <v>0</v>
      </c>
      <c r="CO168" s="31">
        <f>SUM(CJ168,CK168,CM168,CN168)</f>
        <v>0</v>
      </c>
      <c r="CP168" s="32">
        <v>0</v>
      </c>
      <c r="CQ168" s="32">
        <v>0</v>
      </c>
      <c r="CR168" s="32">
        <v>0</v>
      </c>
      <c r="CS168" s="32">
        <v>0</v>
      </c>
      <c r="CT168" s="22"/>
      <c r="CV168" s="6"/>
      <c r="CW168" s="6"/>
      <c r="CX168" s="6"/>
      <c r="CY168" s="6"/>
    </row>
    <row r="169" spans="2:103" ht="15" customHeight="1" x14ac:dyDescent="0.25">
      <c r="B169" s="33" t="s">
        <v>276</v>
      </c>
      <c r="C169" s="34">
        <f t="shared" ref="C169:AH169" si="177">C167+N(C168)</f>
        <v>81.300000000000011</v>
      </c>
      <c r="D169" s="34">
        <f t="shared" si="177"/>
        <v>101.89999999999985</v>
      </c>
      <c r="E169" s="34">
        <f t="shared" si="177"/>
        <v>113.59999999999992</v>
      </c>
      <c r="F169" s="34">
        <f t="shared" si="177"/>
        <v>113.79999999999998</v>
      </c>
      <c r="G169" s="34">
        <f t="shared" si="177"/>
        <v>120.60000000000011</v>
      </c>
      <c r="H169" s="34">
        <f t="shared" si="177"/>
        <v>255.20000000000005</v>
      </c>
      <c r="I169" s="34">
        <f t="shared" si="177"/>
        <v>165.10000000000025</v>
      </c>
      <c r="J169" s="19">
        <f t="shared" si="177"/>
        <v>39.800000000000011</v>
      </c>
      <c r="K169" s="19">
        <f t="shared" si="177"/>
        <v>43.299999999999976</v>
      </c>
      <c r="L169" s="19">
        <f t="shared" si="177"/>
        <v>83.100000000000065</v>
      </c>
      <c r="M169" s="19">
        <f t="shared" si="177"/>
        <v>46.900000000000027</v>
      </c>
      <c r="N169" s="19">
        <f t="shared" si="177"/>
        <v>54.500000000000028</v>
      </c>
      <c r="O169" s="34">
        <f t="shared" si="177"/>
        <v>184.49999999999994</v>
      </c>
      <c r="P169" s="19">
        <f t="shared" si="177"/>
        <v>46</v>
      </c>
      <c r="Q169" s="19">
        <f t="shared" si="177"/>
        <v>55.800000000000047</v>
      </c>
      <c r="R169" s="19">
        <f t="shared" si="177"/>
        <v>101.79999999999995</v>
      </c>
      <c r="S169" s="19">
        <f t="shared" si="177"/>
        <v>54.900000000000048</v>
      </c>
      <c r="T169" s="19">
        <f t="shared" si="177"/>
        <v>58.89999999999992</v>
      </c>
      <c r="U169" s="34">
        <f t="shared" si="177"/>
        <v>215.60000000000014</v>
      </c>
      <c r="V169" s="19">
        <f t="shared" si="177"/>
        <v>43.70000000000001</v>
      </c>
      <c r="W169" s="19">
        <f t="shared" si="177"/>
        <v>48.000000000000071</v>
      </c>
      <c r="X169" s="19">
        <f t="shared" si="177"/>
        <v>91.700000000000145</v>
      </c>
      <c r="Y169" s="19">
        <f t="shared" si="177"/>
        <v>48.299999999999969</v>
      </c>
      <c r="Z169" s="19">
        <f t="shared" si="177"/>
        <v>55.500000000000028</v>
      </c>
      <c r="AA169" s="34">
        <f t="shared" si="177"/>
        <v>195.49999999999994</v>
      </c>
      <c r="AB169" s="19">
        <f t="shared" si="177"/>
        <v>38.999999999999979</v>
      </c>
      <c r="AC169" s="19">
        <f t="shared" si="177"/>
        <v>46.900000000000048</v>
      </c>
      <c r="AD169" s="19">
        <f t="shared" si="177"/>
        <v>85.9</v>
      </c>
      <c r="AE169" s="19">
        <f t="shared" si="177"/>
        <v>51.999999999999957</v>
      </c>
      <c r="AF169" s="19">
        <f t="shared" si="177"/>
        <v>52.999999999999972</v>
      </c>
      <c r="AG169" s="34">
        <f t="shared" si="177"/>
        <v>190.90000000000006</v>
      </c>
      <c r="AH169" s="19">
        <f t="shared" si="177"/>
        <v>30.500000000000007</v>
      </c>
      <c r="AI169" s="19">
        <f t="shared" ref="AI169:BN169" si="178">AI167+N(AI168)</f>
        <v>60.100000000000051</v>
      </c>
      <c r="AJ169" s="19">
        <f t="shared" si="178"/>
        <v>90.600000000000023</v>
      </c>
      <c r="AK169" s="19">
        <f t="shared" si="178"/>
        <v>69.000000000000028</v>
      </c>
      <c r="AL169" s="19">
        <f t="shared" si="178"/>
        <v>67.599999999999994</v>
      </c>
      <c r="AM169" s="34">
        <f t="shared" si="178"/>
        <v>227.2000000000001</v>
      </c>
      <c r="AN169" s="19">
        <f t="shared" si="178"/>
        <v>66.500000000000043</v>
      </c>
      <c r="AO169" s="19">
        <f t="shared" si="178"/>
        <v>85.899999999999991</v>
      </c>
      <c r="AP169" s="19">
        <f t="shared" si="178"/>
        <v>152.39999999999986</v>
      </c>
      <c r="AQ169" s="19">
        <f t="shared" si="178"/>
        <v>90.299999999999969</v>
      </c>
      <c r="AR169" s="19">
        <f t="shared" si="178"/>
        <v>91.099999999999966</v>
      </c>
      <c r="AS169" s="34">
        <f t="shared" si="178"/>
        <v>333.80000000000013</v>
      </c>
      <c r="AT169" s="19">
        <f t="shared" si="178"/>
        <v>75.300000000000068</v>
      </c>
      <c r="AU169" s="19">
        <f t="shared" si="178"/>
        <v>104.59999999999998</v>
      </c>
      <c r="AV169" s="19">
        <f t="shared" si="178"/>
        <v>179.9</v>
      </c>
      <c r="AW169" s="19">
        <f t="shared" si="178"/>
        <v>106.70000000000005</v>
      </c>
      <c r="AX169" s="19">
        <f t="shared" si="178"/>
        <v>115.70000000000003</v>
      </c>
      <c r="AY169" s="34">
        <f t="shared" si="178"/>
        <v>402.29999999999995</v>
      </c>
      <c r="AZ169" s="19">
        <f t="shared" si="178"/>
        <v>82.2</v>
      </c>
      <c r="BA169" s="19">
        <f t="shared" si="178"/>
        <v>93.699999999999918</v>
      </c>
      <c r="BB169" s="19">
        <f t="shared" si="178"/>
        <v>175.90000000000003</v>
      </c>
      <c r="BC169" s="19">
        <f t="shared" si="178"/>
        <v>93.9</v>
      </c>
      <c r="BD169" s="19">
        <f t="shared" si="178"/>
        <v>132.09999999999991</v>
      </c>
      <c r="BE169" s="34">
        <f t="shared" si="178"/>
        <v>401.89999999999992</v>
      </c>
      <c r="BF169" s="19">
        <f t="shared" si="178"/>
        <v>84.700000000000045</v>
      </c>
      <c r="BG169" s="19">
        <f t="shared" si="178"/>
        <v>64.699999999999989</v>
      </c>
      <c r="BH169" s="19">
        <f t="shared" si="178"/>
        <v>149.40000000000015</v>
      </c>
      <c r="BI169" s="19">
        <f t="shared" si="178"/>
        <v>134.10000000000002</v>
      </c>
      <c r="BJ169" s="19">
        <f t="shared" si="178"/>
        <v>161.80000000000001</v>
      </c>
      <c r="BK169" s="34">
        <f t="shared" si="178"/>
        <v>445.3000000000003</v>
      </c>
      <c r="BL169" s="19">
        <f t="shared" si="178"/>
        <v>212.59999999999997</v>
      </c>
      <c r="BM169" s="19">
        <f t="shared" si="178"/>
        <v>171.29999999999995</v>
      </c>
      <c r="BN169" s="19">
        <f t="shared" si="178"/>
        <v>383.90000000000009</v>
      </c>
      <c r="BO169" s="19">
        <f t="shared" ref="BO169:CL169" si="179">BO167+N(BO168)</f>
        <v>178.19999999999996</v>
      </c>
      <c r="BP169" s="19">
        <f t="shared" si="179"/>
        <v>226.80000000000013</v>
      </c>
      <c r="BQ169" s="34">
        <f t="shared" si="179"/>
        <v>788.9000000000002</v>
      </c>
      <c r="BR169" s="19">
        <f t="shared" si="179"/>
        <v>178.79999999999995</v>
      </c>
      <c r="BS169" s="19">
        <f t="shared" si="179"/>
        <v>185.50000000000006</v>
      </c>
      <c r="BT169" s="19">
        <f t="shared" si="179"/>
        <v>364.3</v>
      </c>
      <c r="BU169" s="19">
        <f t="shared" si="179"/>
        <v>198.79999999999995</v>
      </c>
      <c r="BV169" s="19">
        <f t="shared" si="179"/>
        <v>323.5</v>
      </c>
      <c r="BW169" s="34">
        <f t="shared" si="179"/>
        <v>886.60000000000014</v>
      </c>
      <c r="BX169" s="19">
        <f t="shared" si="179"/>
        <v>179.09999999999985</v>
      </c>
      <c r="BY169" s="19">
        <f t="shared" si="179"/>
        <v>180.2999999999999</v>
      </c>
      <c r="BZ169" s="19">
        <f t="shared" si="179"/>
        <v>359.39999999999969</v>
      </c>
      <c r="CA169" s="19">
        <f t="shared" si="179"/>
        <v>262.20000000000005</v>
      </c>
      <c r="CB169" s="19">
        <f t="shared" si="179"/>
        <v>199.09999999999997</v>
      </c>
      <c r="CC169" s="34">
        <f t="shared" si="179"/>
        <v>820.7</v>
      </c>
      <c r="CD169" s="19">
        <f t="shared" si="179"/>
        <v>188.80000000000013</v>
      </c>
      <c r="CE169" s="19">
        <f t="shared" si="179"/>
        <v>210.39999999999998</v>
      </c>
      <c r="CF169" s="19">
        <f t="shared" si="179"/>
        <v>399.20000000000033</v>
      </c>
      <c r="CG169" s="19">
        <f t="shared" si="179"/>
        <v>220.89999999999989</v>
      </c>
      <c r="CH169" s="19">
        <f t="shared" si="179"/>
        <v>275.59999999999991</v>
      </c>
      <c r="CI169" s="34">
        <f t="shared" si="179"/>
        <v>895.7</v>
      </c>
      <c r="CJ169" s="19">
        <f t="shared" si="179"/>
        <v>226.79999999999993</v>
      </c>
      <c r="CK169" s="19">
        <f t="shared" si="179"/>
        <v>251.70000000000007</v>
      </c>
      <c r="CL169" s="19">
        <f t="shared" si="179"/>
        <v>478.50000000000011</v>
      </c>
      <c r="CM169" s="34">
        <f>CM167+CM168</f>
        <v>241.58050000000009</v>
      </c>
      <c r="CN169" s="34">
        <f>CN167+CN168</f>
        <v>254.48174999999986</v>
      </c>
      <c r="CO169" s="34">
        <f>SUM(CJ169,CK169,CM169,CN169)</f>
        <v>974.56224999999995</v>
      </c>
      <c r="CP169" s="34">
        <f>CP167+CP168</f>
        <v>1126.5489259865312</v>
      </c>
      <c r="CQ169" s="34">
        <f>CQ167+CQ168</f>
        <v>1229.0766834995538</v>
      </c>
      <c r="CR169" s="34">
        <f>CR167+CR168</f>
        <v>1365.6372407546469</v>
      </c>
      <c r="CS169" s="34">
        <f>CS167+CS168</f>
        <v>1516.5181945392574</v>
      </c>
      <c r="CT169" s="22"/>
      <c r="CV169" s="23">
        <f>IFERROR((CS169/CI169)^(1/5)-1,"n/m")</f>
        <v>0.11105871479197349</v>
      </c>
      <c r="CW169" s="23">
        <f>IFERROR((CI169/BE169)^(1/5)-1,"n/m")</f>
        <v>0.17384002451931635</v>
      </c>
      <c r="CX169" s="23">
        <f>IFERROR((CI169/AA169)^(1/10)-1,"n/m")</f>
        <v>0.16439834971596157</v>
      </c>
      <c r="CY169" s="23">
        <f>IFERROR((CI169/C169)^(1/19)-1,"n/m")</f>
        <v>0.13460814327025794</v>
      </c>
    </row>
    <row r="170" spans="2:103" ht="15" customHeight="1" x14ac:dyDescent="0.25">
      <c r="B170" s="12" t="s">
        <v>277</v>
      </c>
      <c r="C170" s="30">
        <v>1</v>
      </c>
      <c r="D170" s="30">
        <v>3.4</v>
      </c>
      <c r="E170" s="30">
        <v>2.2999999999999998</v>
      </c>
      <c r="F170" s="30">
        <v>0.5</v>
      </c>
      <c r="G170" s="30">
        <v>0.1</v>
      </c>
      <c r="H170" s="30">
        <v>0</v>
      </c>
      <c r="I170" s="30">
        <v>1</v>
      </c>
      <c r="J170" s="30">
        <v>-0.6</v>
      </c>
      <c r="K170" s="30">
        <v>0.4</v>
      </c>
      <c r="L170" s="29">
        <f>J170+K170</f>
        <v>-0.19999999999999996</v>
      </c>
      <c r="M170" s="30">
        <v>0.1</v>
      </c>
      <c r="N170" s="30">
        <v>-0.4</v>
      </c>
      <c r="O170" s="30">
        <v>-0.5</v>
      </c>
      <c r="P170" s="30">
        <v>0.2</v>
      </c>
      <c r="Q170" s="30">
        <v>-0.3</v>
      </c>
      <c r="R170" s="29">
        <f>P170+Q170</f>
        <v>-9.9999999999999978E-2</v>
      </c>
      <c r="S170" s="30">
        <v>-0.7</v>
      </c>
      <c r="T170" s="30">
        <v>-1.3</v>
      </c>
      <c r="U170" s="30">
        <v>-2.1</v>
      </c>
      <c r="V170" s="30">
        <v>0</v>
      </c>
      <c r="W170" s="30">
        <v>-0.3</v>
      </c>
      <c r="X170" s="29">
        <f>V170+W170</f>
        <v>-0.3</v>
      </c>
      <c r="Y170" s="30">
        <v>0</v>
      </c>
      <c r="Z170" s="30">
        <v>0</v>
      </c>
      <c r="AA170" s="30">
        <v>-0.3</v>
      </c>
      <c r="AB170" s="30">
        <v>0</v>
      </c>
      <c r="AC170" s="30">
        <v>0</v>
      </c>
      <c r="AD170" s="29">
        <f>AB170+AC170</f>
        <v>0</v>
      </c>
      <c r="AE170" s="30">
        <v>0</v>
      </c>
      <c r="AF170" s="30">
        <v>0</v>
      </c>
      <c r="AG170" s="30">
        <v>0</v>
      </c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30">
        <v>0</v>
      </c>
      <c r="BJ170" s="30">
        <v>0</v>
      </c>
      <c r="BK170" s="30">
        <v>0</v>
      </c>
      <c r="BL170" s="30">
        <v>0</v>
      </c>
      <c r="BM170" s="30">
        <v>0</v>
      </c>
      <c r="BN170" s="29">
        <f>BL170+BM170</f>
        <v>0</v>
      </c>
      <c r="BO170" s="30">
        <v>-0.1</v>
      </c>
      <c r="BP170" s="30">
        <v>0.4</v>
      </c>
      <c r="BQ170" s="30">
        <v>0.3</v>
      </c>
      <c r="BR170" s="30">
        <v>0.1</v>
      </c>
      <c r="BS170" s="30">
        <v>0.2</v>
      </c>
      <c r="BT170" s="29">
        <f>BR170+BS170</f>
        <v>0.30000000000000004</v>
      </c>
      <c r="BU170" s="30">
        <v>0.2</v>
      </c>
      <c r="BV170" s="30">
        <v>0.4</v>
      </c>
      <c r="BW170" s="30">
        <v>0.9</v>
      </c>
      <c r="BX170" s="30">
        <v>0.6</v>
      </c>
      <c r="BY170" s="30">
        <v>0.1</v>
      </c>
      <c r="BZ170" s="29">
        <f>BX170+BY170</f>
        <v>0.7</v>
      </c>
      <c r="CA170" s="30">
        <v>0.2</v>
      </c>
      <c r="CB170" s="30">
        <v>0.6</v>
      </c>
      <c r="CC170" s="30">
        <v>1.5</v>
      </c>
      <c r="CD170" s="30">
        <v>0.2</v>
      </c>
      <c r="CE170" s="30">
        <v>0.5</v>
      </c>
      <c r="CF170" s="29">
        <f>CD170+CE170</f>
        <v>0.7</v>
      </c>
      <c r="CG170" s="30">
        <v>0.2</v>
      </c>
      <c r="CH170" s="30">
        <v>0</v>
      </c>
      <c r="CI170" s="30">
        <v>0.9</v>
      </c>
      <c r="CJ170" s="30">
        <v>0</v>
      </c>
      <c r="CK170" s="30">
        <v>0</v>
      </c>
      <c r="CL170" s="29">
        <f>CJ170+CK170</f>
        <v>0</v>
      </c>
      <c r="CM170" s="32">
        <v>0</v>
      </c>
      <c r="CN170" s="32">
        <v>0</v>
      </c>
      <c r="CO170" s="31">
        <f>SUM(CJ170,CK170,CM170,CN170)</f>
        <v>0</v>
      </c>
      <c r="CP170" s="32">
        <v>0</v>
      </c>
      <c r="CQ170" s="32">
        <v>0</v>
      </c>
      <c r="CR170" s="32">
        <v>0</v>
      </c>
      <c r="CS170" s="32">
        <v>0</v>
      </c>
      <c r="CT170" s="22"/>
      <c r="CV170" s="6"/>
      <c r="CW170" s="6"/>
      <c r="CX170" s="6"/>
      <c r="CY170" s="6"/>
    </row>
    <row r="171" spans="2:103" ht="15" hidden="1" customHeight="1" outlineLevel="1" x14ac:dyDescent="0.25">
      <c r="B171" s="33" t="s">
        <v>278</v>
      </c>
      <c r="C171" s="34">
        <f t="shared" ref="C171:AH171" si="180">C169-N(C170)</f>
        <v>80.300000000000011</v>
      </c>
      <c r="D171" s="34">
        <f t="shared" si="180"/>
        <v>98.499999999999844</v>
      </c>
      <c r="E171" s="34">
        <f t="shared" si="180"/>
        <v>111.29999999999993</v>
      </c>
      <c r="F171" s="34">
        <f t="shared" si="180"/>
        <v>113.29999999999998</v>
      </c>
      <c r="G171" s="34">
        <f t="shared" si="180"/>
        <v>120.50000000000011</v>
      </c>
      <c r="H171" s="34">
        <f t="shared" si="180"/>
        <v>255.20000000000005</v>
      </c>
      <c r="I171" s="34">
        <f t="shared" si="180"/>
        <v>164.10000000000025</v>
      </c>
      <c r="J171" s="19">
        <f t="shared" si="180"/>
        <v>40.400000000000013</v>
      </c>
      <c r="K171" s="19">
        <f t="shared" si="180"/>
        <v>42.899999999999977</v>
      </c>
      <c r="L171" s="19">
        <f t="shared" si="180"/>
        <v>83.300000000000068</v>
      </c>
      <c r="M171" s="19">
        <f t="shared" si="180"/>
        <v>46.800000000000026</v>
      </c>
      <c r="N171" s="19">
        <f t="shared" si="180"/>
        <v>54.900000000000027</v>
      </c>
      <c r="O171" s="34">
        <f t="shared" si="180"/>
        <v>184.99999999999994</v>
      </c>
      <c r="P171" s="19">
        <f t="shared" si="180"/>
        <v>45.8</v>
      </c>
      <c r="Q171" s="19">
        <f t="shared" si="180"/>
        <v>56.100000000000044</v>
      </c>
      <c r="R171" s="19">
        <f t="shared" si="180"/>
        <v>101.89999999999995</v>
      </c>
      <c r="S171" s="19">
        <f t="shared" si="180"/>
        <v>55.600000000000051</v>
      </c>
      <c r="T171" s="19">
        <f t="shared" si="180"/>
        <v>60.199999999999918</v>
      </c>
      <c r="U171" s="34">
        <f t="shared" si="180"/>
        <v>217.70000000000013</v>
      </c>
      <c r="V171" s="19">
        <f t="shared" si="180"/>
        <v>43.70000000000001</v>
      </c>
      <c r="W171" s="19">
        <f t="shared" si="180"/>
        <v>48.300000000000068</v>
      </c>
      <c r="X171" s="19">
        <f t="shared" si="180"/>
        <v>92.000000000000142</v>
      </c>
      <c r="Y171" s="19">
        <f t="shared" si="180"/>
        <v>48.299999999999969</v>
      </c>
      <c r="Z171" s="19">
        <f t="shared" si="180"/>
        <v>55.500000000000028</v>
      </c>
      <c r="AA171" s="34">
        <f t="shared" si="180"/>
        <v>195.79999999999995</v>
      </c>
      <c r="AB171" s="19">
        <f t="shared" si="180"/>
        <v>38.999999999999979</v>
      </c>
      <c r="AC171" s="19">
        <f t="shared" si="180"/>
        <v>46.900000000000048</v>
      </c>
      <c r="AD171" s="19">
        <f t="shared" si="180"/>
        <v>85.9</v>
      </c>
      <c r="AE171" s="19">
        <f t="shared" si="180"/>
        <v>51.999999999999957</v>
      </c>
      <c r="AF171" s="19">
        <f t="shared" si="180"/>
        <v>52.999999999999972</v>
      </c>
      <c r="AG171" s="34">
        <f t="shared" si="180"/>
        <v>190.90000000000006</v>
      </c>
      <c r="AH171" s="19">
        <f t="shared" si="180"/>
        <v>30.500000000000007</v>
      </c>
      <c r="AI171" s="19">
        <f t="shared" ref="AI171:BN171" si="181">AI169-N(AI170)</f>
        <v>60.100000000000051</v>
      </c>
      <c r="AJ171" s="19">
        <f t="shared" si="181"/>
        <v>90.600000000000023</v>
      </c>
      <c r="AK171" s="19">
        <f t="shared" si="181"/>
        <v>69.000000000000028</v>
      </c>
      <c r="AL171" s="19">
        <f t="shared" si="181"/>
        <v>67.599999999999994</v>
      </c>
      <c r="AM171" s="34">
        <f t="shared" si="181"/>
        <v>227.2000000000001</v>
      </c>
      <c r="AN171" s="19">
        <f t="shared" si="181"/>
        <v>66.500000000000043</v>
      </c>
      <c r="AO171" s="19">
        <f t="shared" si="181"/>
        <v>85.899999999999991</v>
      </c>
      <c r="AP171" s="19">
        <f t="shared" si="181"/>
        <v>152.39999999999986</v>
      </c>
      <c r="AQ171" s="19">
        <f t="shared" si="181"/>
        <v>90.299999999999969</v>
      </c>
      <c r="AR171" s="19">
        <f t="shared" si="181"/>
        <v>91.099999999999966</v>
      </c>
      <c r="AS171" s="34">
        <f t="shared" si="181"/>
        <v>333.80000000000013</v>
      </c>
      <c r="AT171" s="19">
        <f t="shared" si="181"/>
        <v>75.300000000000068</v>
      </c>
      <c r="AU171" s="19">
        <f t="shared" si="181"/>
        <v>104.59999999999998</v>
      </c>
      <c r="AV171" s="19">
        <f t="shared" si="181"/>
        <v>179.9</v>
      </c>
      <c r="AW171" s="19">
        <f t="shared" si="181"/>
        <v>106.70000000000005</v>
      </c>
      <c r="AX171" s="19">
        <f t="shared" si="181"/>
        <v>115.70000000000003</v>
      </c>
      <c r="AY171" s="34">
        <f t="shared" si="181"/>
        <v>402.29999999999995</v>
      </c>
      <c r="AZ171" s="19">
        <f t="shared" si="181"/>
        <v>82.2</v>
      </c>
      <c r="BA171" s="19">
        <f t="shared" si="181"/>
        <v>93.699999999999918</v>
      </c>
      <c r="BB171" s="19">
        <f t="shared" si="181"/>
        <v>175.90000000000003</v>
      </c>
      <c r="BC171" s="19">
        <f t="shared" si="181"/>
        <v>93.9</v>
      </c>
      <c r="BD171" s="19">
        <f t="shared" si="181"/>
        <v>132.09999999999991</v>
      </c>
      <c r="BE171" s="34">
        <f t="shared" si="181"/>
        <v>401.89999999999992</v>
      </c>
      <c r="BF171" s="19">
        <f t="shared" si="181"/>
        <v>84.700000000000045</v>
      </c>
      <c r="BG171" s="19">
        <f t="shared" si="181"/>
        <v>64.699999999999989</v>
      </c>
      <c r="BH171" s="19">
        <f t="shared" si="181"/>
        <v>149.40000000000015</v>
      </c>
      <c r="BI171" s="19">
        <f t="shared" si="181"/>
        <v>134.10000000000002</v>
      </c>
      <c r="BJ171" s="19">
        <f t="shared" si="181"/>
        <v>161.80000000000001</v>
      </c>
      <c r="BK171" s="34">
        <f t="shared" si="181"/>
        <v>445.3000000000003</v>
      </c>
      <c r="BL171" s="19">
        <f t="shared" si="181"/>
        <v>212.59999999999997</v>
      </c>
      <c r="BM171" s="19">
        <f t="shared" si="181"/>
        <v>171.29999999999995</v>
      </c>
      <c r="BN171" s="19">
        <f t="shared" si="181"/>
        <v>383.90000000000009</v>
      </c>
      <c r="BO171" s="19">
        <f t="shared" ref="BO171:CL171" si="182">BO169-N(BO170)</f>
        <v>178.29999999999995</v>
      </c>
      <c r="BP171" s="19">
        <f t="shared" si="182"/>
        <v>226.40000000000012</v>
      </c>
      <c r="BQ171" s="34">
        <f t="shared" si="182"/>
        <v>788.60000000000025</v>
      </c>
      <c r="BR171" s="19">
        <f t="shared" si="182"/>
        <v>178.69999999999996</v>
      </c>
      <c r="BS171" s="19">
        <f t="shared" si="182"/>
        <v>185.30000000000007</v>
      </c>
      <c r="BT171" s="19">
        <f t="shared" si="182"/>
        <v>364</v>
      </c>
      <c r="BU171" s="19">
        <f t="shared" si="182"/>
        <v>198.59999999999997</v>
      </c>
      <c r="BV171" s="19">
        <f t="shared" si="182"/>
        <v>323.10000000000002</v>
      </c>
      <c r="BW171" s="34">
        <f t="shared" si="182"/>
        <v>885.70000000000016</v>
      </c>
      <c r="BX171" s="19">
        <f t="shared" si="182"/>
        <v>178.49999999999986</v>
      </c>
      <c r="BY171" s="19">
        <f t="shared" si="182"/>
        <v>180.1999999999999</v>
      </c>
      <c r="BZ171" s="19">
        <f t="shared" si="182"/>
        <v>358.6999999999997</v>
      </c>
      <c r="CA171" s="19">
        <f t="shared" si="182"/>
        <v>262.00000000000006</v>
      </c>
      <c r="CB171" s="19">
        <f t="shared" si="182"/>
        <v>198.49999999999997</v>
      </c>
      <c r="CC171" s="34">
        <f t="shared" si="182"/>
        <v>819.2</v>
      </c>
      <c r="CD171" s="19">
        <f t="shared" si="182"/>
        <v>188.60000000000014</v>
      </c>
      <c r="CE171" s="19">
        <f t="shared" si="182"/>
        <v>209.89999999999998</v>
      </c>
      <c r="CF171" s="19">
        <f t="shared" si="182"/>
        <v>398.50000000000034</v>
      </c>
      <c r="CG171" s="19">
        <f t="shared" si="182"/>
        <v>220.6999999999999</v>
      </c>
      <c r="CH171" s="19">
        <f t="shared" si="182"/>
        <v>275.59999999999991</v>
      </c>
      <c r="CI171" s="34">
        <f t="shared" si="182"/>
        <v>894.80000000000007</v>
      </c>
      <c r="CJ171" s="19">
        <f t="shared" si="182"/>
        <v>226.79999999999993</v>
      </c>
      <c r="CK171" s="19">
        <f t="shared" si="182"/>
        <v>251.70000000000007</v>
      </c>
      <c r="CL171" s="19">
        <f t="shared" si="182"/>
        <v>478.50000000000011</v>
      </c>
      <c r="CM171" s="34">
        <f>CM169-CM170</f>
        <v>241.58050000000009</v>
      </c>
      <c r="CN171" s="34">
        <f>CN169-CN170</f>
        <v>254.48174999999986</v>
      </c>
      <c r="CO171" s="34">
        <f>SUM(CJ171,CK171,CM171,CN171)</f>
        <v>974.56224999999995</v>
      </c>
      <c r="CP171" s="34">
        <f>CP169-CP170</f>
        <v>1126.5489259865312</v>
      </c>
      <c r="CQ171" s="34">
        <f>CQ169-CQ170</f>
        <v>1229.0766834995538</v>
      </c>
      <c r="CR171" s="34">
        <f>CR169-CR170</f>
        <v>1365.6372407546469</v>
      </c>
      <c r="CS171" s="34">
        <f>CS169-CS170</f>
        <v>1516.5181945392574</v>
      </c>
      <c r="CT171" s="22"/>
      <c r="CV171" s="23">
        <f>IFERROR((CS171/CI171)^(1/5)-1,"n/m")</f>
        <v>0.11128212801959059</v>
      </c>
      <c r="CW171" s="23">
        <f>IFERROR((CI171/BE171)^(1/5)-1,"n/m")</f>
        <v>0.17360403459203178</v>
      </c>
      <c r="CX171" s="23">
        <f>IFERROR((CI171/AA171)^(1/10)-1,"n/m")</f>
        <v>0.16410278648610443</v>
      </c>
      <c r="CY171" s="23">
        <f>IFERROR((CI171/C171)^(1/19)-1,"n/m")</f>
        <v>0.13528738498005755</v>
      </c>
    </row>
    <row r="172" spans="2:103" ht="15" hidden="1" customHeight="1" outlineLevel="1" x14ac:dyDescent="0.25">
      <c r="B172" s="38" t="s">
        <v>279</v>
      </c>
      <c r="C172" s="29">
        <f t="shared" ref="C172:AH172" si="183">IF(ISNUMBER(C173),ROUND(C171-C173,1),"")</f>
        <v>0</v>
      </c>
      <c r="D172" s="29">
        <f t="shared" si="183"/>
        <v>0</v>
      </c>
      <c r="E172" s="29">
        <f t="shared" si="183"/>
        <v>0</v>
      </c>
      <c r="F172" s="29">
        <f t="shared" si="183"/>
        <v>0</v>
      </c>
      <c r="G172" s="29">
        <f t="shared" si="183"/>
        <v>0</v>
      </c>
      <c r="H172" s="29">
        <f t="shared" si="183"/>
        <v>0</v>
      </c>
      <c r="I172" s="29">
        <f t="shared" si="183"/>
        <v>0</v>
      </c>
      <c r="J172" s="29">
        <f t="shared" si="183"/>
        <v>0</v>
      </c>
      <c r="K172" s="29">
        <f t="shared" si="183"/>
        <v>0</v>
      </c>
      <c r="L172" s="29">
        <f t="shared" si="183"/>
        <v>0</v>
      </c>
      <c r="M172" s="29">
        <f t="shared" si="183"/>
        <v>0</v>
      </c>
      <c r="N172" s="29">
        <f t="shared" si="183"/>
        <v>0</v>
      </c>
      <c r="O172" s="29">
        <f t="shared" si="183"/>
        <v>0</v>
      </c>
      <c r="P172" s="29">
        <f t="shared" si="183"/>
        <v>0</v>
      </c>
      <c r="Q172" s="29">
        <f t="shared" si="183"/>
        <v>0</v>
      </c>
      <c r="R172" s="29">
        <f t="shared" si="183"/>
        <v>0</v>
      </c>
      <c r="S172" s="29">
        <f t="shared" si="183"/>
        <v>0</v>
      </c>
      <c r="T172" s="29">
        <f t="shared" si="183"/>
        <v>0</v>
      </c>
      <c r="U172" s="29">
        <f t="shared" si="183"/>
        <v>0</v>
      </c>
      <c r="V172" s="29">
        <f t="shared" si="183"/>
        <v>0</v>
      </c>
      <c r="W172" s="29">
        <f t="shared" si="183"/>
        <v>0</v>
      </c>
      <c r="X172" s="29">
        <f t="shared" si="183"/>
        <v>0</v>
      </c>
      <c r="Y172" s="29">
        <f t="shared" si="183"/>
        <v>0</v>
      </c>
      <c r="Z172" s="29">
        <f t="shared" si="183"/>
        <v>0</v>
      </c>
      <c r="AA172" s="29">
        <f t="shared" si="183"/>
        <v>0</v>
      </c>
      <c r="AB172" s="29">
        <f t="shared" si="183"/>
        <v>0</v>
      </c>
      <c r="AC172" s="29">
        <f t="shared" si="183"/>
        <v>0</v>
      </c>
      <c r="AD172" s="29">
        <f t="shared" si="183"/>
        <v>0</v>
      </c>
      <c r="AE172" s="29">
        <f t="shared" si="183"/>
        <v>0</v>
      </c>
      <c r="AF172" s="29">
        <f t="shared" si="183"/>
        <v>0</v>
      </c>
      <c r="AG172" s="29">
        <f t="shared" si="183"/>
        <v>0</v>
      </c>
      <c r="AH172" s="29">
        <f t="shared" si="183"/>
        <v>0</v>
      </c>
      <c r="AI172" s="29">
        <f t="shared" ref="AI172:BN172" si="184">IF(ISNUMBER(AI173),ROUND(AI171-AI173,1),"")</f>
        <v>0</v>
      </c>
      <c r="AJ172" s="29">
        <f t="shared" si="184"/>
        <v>0</v>
      </c>
      <c r="AK172" s="29">
        <f t="shared" si="184"/>
        <v>0</v>
      </c>
      <c r="AL172" s="29">
        <f t="shared" si="184"/>
        <v>0</v>
      </c>
      <c r="AM172" s="29">
        <f t="shared" si="184"/>
        <v>0</v>
      </c>
      <c r="AN172" s="29">
        <f t="shared" si="184"/>
        <v>0</v>
      </c>
      <c r="AO172" s="29">
        <f t="shared" si="184"/>
        <v>0</v>
      </c>
      <c r="AP172" s="29">
        <f t="shared" si="184"/>
        <v>0</v>
      </c>
      <c r="AQ172" s="29">
        <f t="shared" si="184"/>
        <v>0</v>
      </c>
      <c r="AR172" s="29">
        <f t="shared" si="184"/>
        <v>0</v>
      </c>
      <c r="AS172" s="29">
        <f t="shared" si="184"/>
        <v>0</v>
      </c>
      <c r="AT172" s="29">
        <f t="shared" si="184"/>
        <v>0</v>
      </c>
      <c r="AU172" s="29">
        <f t="shared" si="184"/>
        <v>0</v>
      </c>
      <c r="AV172" s="29">
        <f t="shared" si="184"/>
        <v>0</v>
      </c>
      <c r="AW172" s="29">
        <f t="shared" si="184"/>
        <v>0</v>
      </c>
      <c r="AX172" s="29">
        <f t="shared" si="184"/>
        <v>0</v>
      </c>
      <c r="AY172" s="29">
        <f t="shared" si="184"/>
        <v>0</v>
      </c>
      <c r="AZ172" s="29">
        <f t="shared" si="184"/>
        <v>0</v>
      </c>
      <c r="BA172" s="29">
        <f t="shared" si="184"/>
        <v>0</v>
      </c>
      <c r="BB172" s="29">
        <f t="shared" si="184"/>
        <v>0</v>
      </c>
      <c r="BC172" s="29">
        <f t="shared" si="184"/>
        <v>0</v>
      </c>
      <c r="BD172" s="29">
        <f t="shared" si="184"/>
        <v>0</v>
      </c>
      <c r="BE172" s="29">
        <f t="shared" si="184"/>
        <v>0</v>
      </c>
      <c r="BF172" s="29">
        <f t="shared" si="184"/>
        <v>0</v>
      </c>
      <c r="BG172" s="29">
        <f t="shared" si="184"/>
        <v>0</v>
      </c>
      <c r="BH172" s="29">
        <f t="shared" si="184"/>
        <v>0</v>
      </c>
      <c r="BI172" s="29">
        <f t="shared" si="184"/>
        <v>0</v>
      </c>
      <c r="BJ172" s="29">
        <f t="shared" si="184"/>
        <v>0</v>
      </c>
      <c r="BK172" s="29">
        <f t="shared" si="184"/>
        <v>0</v>
      </c>
      <c r="BL172" s="29">
        <f t="shared" si="184"/>
        <v>0</v>
      </c>
      <c r="BM172" s="29">
        <f t="shared" si="184"/>
        <v>0</v>
      </c>
      <c r="BN172" s="29">
        <f t="shared" si="184"/>
        <v>0</v>
      </c>
      <c r="BO172" s="29">
        <f t="shared" ref="BO172:CL172" si="185">IF(ISNUMBER(BO173),ROUND(BO171-BO173,1),"")</f>
        <v>0</v>
      </c>
      <c r="BP172" s="29">
        <f t="shared" si="185"/>
        <v>0</v>
      </c>
      <c r="BQ172" s="29">
        <f t="shared" si="185"/>
        <v>0</v>
      </c>
      <c r="BR172" s="29">
        <f t="shared" si="185"/>
        <v>0</v>
      </c>
      <c r="BS172" s="29">
        <f t="shared" si="185"/>
        <v>0</v>
      </c>
      <c r="BT172" s="29">
        <f t="shared" si="185"/>
        <v>0</v>
      </c>
      <c r="BU172" s="29">
        <f t="shared" si="185"/>
        <v>0</v>
      </c>
      <c r="BV172" s="29">
        <f t="shared" si="185"/>
        <v>0</v>
      </c>
      <c r="BW172" s="29">
        <f t="shared" si="185"/>
        <v>0</v>
      </c>
      <c r="BX172" s="29">
        <f t="shared" si="185"/>
        <v>0</v>
      </c>
      <c r="BY172" s="29">
        <f t="shared" si="185"/>
        <v>0</v>
      </c>
      <c r="BZ172" s="29">
        <f t="shared" si="185"/>
        <v>0</v>
      </c>
      <c r="CA172" s="29">
        <f t="shared" si="185"/>
        <v>0</v>
      </c>
      <c r="CB172" s="29">
        <f t="shared" si="185"/>
        <v>0</v>
      </c>
      <c r="CC172" s="29">
        <f t="shared" si="185"/>
        <v>0</v>
      </c>
      <c r="CD172" s="29">
        <f t="shared" si="185"/>
        <v>0</v>
      </c>
      <c r="CE172" s="29">
        <f t="shared" si="185"/>
        <v>0</v>
      </c>
      <c r="CF172" s="29">
        <f t="shared" si="185"/>
        <v>0</v>
      </c>
      <c r="CG172" s="29">
        <f t="shared" si="185"/>
        <v>0</v>
      </c>
      <c r="CH172" s="29">
        <f t="shared" si="185"/>
        <v>0</v>
      </c>
      <c r="CI172" s="29">
        <f t="shared" si="185"/>
        <v>0</v>
      </c>
      <c r="CJ172" s="29">
        <f t="shared" si="185"/>
        <v>0</v>
      </c>
      <c r="CK172" s="29">
        <f t="shared" si="185"/>
        <v>0</v>
      </c>
      <c r="CL172" s="29">
        <f t="shared" si="185"/>
        <v>0</v>
      </c>
      <c r="CM172" s="31"/>
      <c r="CN172" s="31"/>
      <c r="CO172" s="31"/>
      <c r="CP172" s="31"/>
      <c r="CQ172" s="31"/>
      <c r="CR172" s="31"/>
      <c r="CS172" s="31"/>
      <c r="CT172" s="22"/>
      <c r="CV172" s="6"/>
      <c r="CW172" s="6"/>
      <c r="CX172" s="6"/>
      <c r="CY172" s="6"/>
    </row>
    <row r="173" spans="2:103" ht="15" hidden="1" customHeight="1" outlineLevel="1" x14ac:dyDescent="0.25">
      <c r="B173" s="36" t="s">
        <v>280</v>
      </c>
      <c r="C173" s="30">
        <v>80.3</v>
      </c>
      <c r="D173" s="30">
        <v>98.5</v>
      </c>
      <c r="E173" s="30">
        <v>111.3</v>
      </c>
      <c r="F173" s="30">
        <v>113.3</v>
      </c>
      <c r="G173" s="30">
        <v>120.5</v>
      </c>
      <c r="H173" s="30">
        <v>255.2</v>
      </c>
      <c r="I173" s="30">
        <v>164.1</v>
      </c>
      <c r="J173" s="30">
        <v>40.4</v>
      </c>
      <c r="K173" s="30">
        <v>42.9</v>
      </c>
      <c r="L173" s="29">
        <f>J173+K173</f>
        <v>83.3</v>
      </c>
      <c r="M173" s="30">
        <v>46.8</v>
      </c>
      <c r="N173" s="30">
        <v>54.9</v>
      </c>
      <c r="O173" s="30">
        <v>185</v>
      </c>
      <c r="P173" s="30">
        <v>45.8</v>
      </c>
      <c r="Q173" s="30">
        <v>56.1</v>
      </c>
      <c r="R173" s="29">
        <f>P173+Q173</f>
        <v>101.9</v>
      </c>
      <c r="S173" s="30">
        <v>55.6</v>
      </c>
      <c r="T173" s="30">
        <v>60.2</v>
      </c>
      <c r="U173" s="30">
        <v>217.7</v>
      </c>
      <c r="V173" s="30">
        <v>43.7</v>
      </c>
      <c r="W173" s="30">
        <v>48.3</v>
      </c>
      <c r="X173" s="29">
        <f>V173+W173</f>
        <v>92</v>
      </c>
      <c r="Y173" s="30">
        <v>48.3</v>
      </c>
      <c r="Z173" s="30">
        <v>55.5</v>
      </c>
      <c r="AA173" s="30">
        <v>195.8</v>
      </c>
      <c r="AB173" s="30">
        <v>39</v>
      </c>
      <c r="AC173" s="30">
        <v>46.9</v>
      </c>
      <c r="AD173" s="29">
        <f>AB173+AC173</f>
        <v>85.9</v>
      </c>
      <c r="AE173" s="30">
        <v>52</v>
      </c>
      <c r="AF173" s="30">
        <v>53</v>
      </c>
      <c r="AG173" s="30">
        <v>190.9</v>
      </c>
      <c r="AH173" s="30">
        <v>30.5</v>
      </c>
      <c r="AI173" s="30">
        <v>60.1</v>
      </c>
      <c r="AJ173" s="29">
        <f>AH173+AI173</f>
        <v>90.6</v>
      </c>
      <c r="AK173" s="30">
        <v>69</v>
      </c>
      <c r="AL173" s="30">
        <v>67.599999999999994</v>
      </c>
      <c r="AM173" s="30">
        <v>227.2</v>
      </c>
      <c r="AN173" s="30">
        <v>66.5</v>
      </c>
      <c r="AO173" s="30">
        <v>85.9</v>
      </c>
      <c r="AP173" s="29">
        <f>AN173+AO173</f>
        <v>152.4</v>
      </c>
      <c r="AQ173" s="30">
        <v>90.3</v>
      </c>
      <c r="AR173" s="30">
        <v>91.1</v>
      </c>
      <c r="AS173" s="30">
        <v>333.8</v>
      </c>
      <c r="AT173" s="30">
        <v>75.3</v>
      </c>
      <c r="AU173" s="30">
        <v>104.6</v>
      </c>
      <c r="AV173" s="29">
        <f>AT173+AU173</f>
        <v>179.89999999999998</v>
      </c>
      <c r="AW173" s="30">
        <v>106.7</v>
      </c>
      <c r="AX173" s="30">
        <v>115.7</v>
      </c>
      <c r="AY173" s="30">
        <v>402.3</v>
      </c>
      <c r="AZ173" s="30">
        <v>82.2</v>
      </c>
      <c r="BA173" s="30">
        <v>93.7</v>
      </c>
      <c r="BB173" s="29">
        <f>AZ173+BA173</f>
        <v>175.9</v>
      </c>
      <c r="BC173" s="30">
        <v>93.9</v>
      </c>
      <c r="BD173" s="30">
        <v>132.1</v>
      </c>
      <c r="BE173" s="30">
        <v>401.9</v>
      </c>
      <c r="BF173" s="30">
        <v>84.7</v>
      </c>
      <c r="BG173" s="30">
        <v>64.7</v>
      </c>
      <c r="BH173" s="29">
        <f>BF173+BG173</f>
        <v>149.4</v>
      </c>
      <c r="BI173" s="30">
        <v>134.1</v>
      </c>
      <c r="BJ173" s="30">
        <v>161.80000000000001</v>
      </c>
      <c r="BK173" s="30">
        <v>445.3</v>
      </c>
      <c r="BL173" s="30">
        <v>212.6</v>
      </c>
      <c r="BM173" s="30">
        <v>171.3</v>
      </c>
      <c r="BN173" s="29">
        <f>BL173+BM173</f>
        <v>383.9</v>
      </c>
      <c r="BO173" s="30">
        <v>178.3</v>
      </c>
      <c r="BP173" s="30">
        <v>226.4</v>
      </c>
      <c r="BQ173" s="30">
        <v>788.6</v>
      </c>
      <c r="BR173" s="30">
        <v>178.7</v>
      </c>
      <c r="BS173" s="30">
        <v>185.3</v>
      </c>
      <c r="BT173" s="29">
        <f>BR173+BS173</f>
        <v>364</v>
      </c>
      <c r="BU173" s="30">
        <v>198.6</v>
      </c>
      <c r="BV173" s="30">
        <v>323.10000000000002</v>
      </c>
      <c r="BW173" s="30">
        <v>885.7</v>
      </c>
      <c r="BX173" s="30">
        <v>178.5</v>
      </c>
      <c r="BY173" s="30">
        <v>180.2</v>
      </c>
      <c r="BZ173" s="29">
        <f>BX173+BY173</f>
        <v>358.7</v>
      </c>
      <c r="CA173" s="30">
        <v>262</v>
      </c>
      <c r="CB173" s="30">
        <v>198.5</v>
      </c>
      <c r="CC173" s="30">
        <v>819.2</v>
      </c>
      <c r="CD173" s="30">
        <v>188.6</v>
      </c>
      <c r="CE173" s="30">
        <v>209.9</v>
      </c>
      <c r="CF173" s="29">
        <f>CD173+CE173</f>
        <v>398.5</v>
      </c>
      <c r="CG173" s="30">
        <v>220.7</v>
      </c>
      <c r="CH173" s="30">
        <v>275.60000000000002</v>
      </c>
      <c r="CI173" s="30">
        <v>894.8</v>
      </c>
      <c r="CJ173" s="30">
        <v>226.8</v>
      </c>
      <c r="CK173" s="30">
        <v>251.7</v>
      </c>
      <c r="CL173" s="29">
        <f>CJ173+CK173</f>
        <v>478.5</v>
      </c>
      <c r="CM173" s="31"/>
      <c r="CN173" s="31"/>
      <c r="CO173" s="31"/>
      <c r="CP173" s="31"/>
      <c r="CQ173" s="31"/>
      <c r="CR173" s="31"/>
      <c r="CS173" s="31"/>
      <c r="CT173" s="22"/>
      <c r="CV173" s="6"/>
      <c r="CW173" s="6"/>
      <c r="CX173" s="6"/>
      <c r="CY173" s="6"/>
    </row>
    <row r="174" spans="2:103" ht="15" hidden="1" customHeight="1" outlineLevel="1" x14ac:dyDescent="0.25">
      <c r="B174" s="36" t="s">
        <v>281</v>
      </c>
      <c r="C174" s="30">
        <v>32</v>
      </c>
      <c r="D174" s="30">
        <v>34.700000000000003</v>
      </c>
      <c r="E174" s="30">
        <v>45</v>
      </c>
      <c r="F174" s="30">
        <v>42.5</v>
      </c>
      <c r="G174" s="30">
        <v>45.2</v>
      </c>
      <c r="H174" s="30">
        <v>64.2</v>
      </c>
      <c r="I174" s="30">
        <v>78.3</v>
      </c>
      <c r="J174" s="30">
        <v>21.9</v>
      </c>
      <c r="K174" s="30">
        <v>22.1</v>
      </c>
      <c r="L174" s="29">
        <f>J174+K174</f>
        <v>44</v>
      </c>
      <c r="M174" s="30">
        <v>23.1</v>
      </c>
      <c r="N174" s="30">
        <v>24</v>
      </c>
      <c r="O174" s="30">
        <v>91.1</v>
      </c>
      <c r="P174" s="30">
        <v>23.2</v>
      </c>
      <c r="Q174" s="30">
        <v>23.4</v>
      </c>
      <c r="R174" s="29">
        <f>P174+Q174</f>
        <v>46.599999999999994</v>
      </c>
      <c r="S174" s="30">
        <v>23.5</v>
      </c>
      <c r="T174" s="30">
        <v>24.2</v>
      </c>
      <c r="U174" s="30">
        <v>94.3</v>
      </c>
      <c r="V174" s="30">
        <v>23.2</v>
      </c>
      <c r="W174" s="30">
        <v>22.8</v>
      </c>
      <c r="X174" s="29">
        <f>V174+W174</f>
        <v>46</v>
      </c>
      <c r="Y174" s="30">
        <v>21.9</v>
      </c>
      <c r="Z174" s="30">
        <v>22.4</v>
      </c>
      <c r="AA174" s="30">
        <v>90.3</v>
      </c>
      <c r="AB174" s="30">
        <v>21.1</v>
      </c>
      <c r="AC174" s="30">
        <v>21.7</v>
      </c>
      <c r="AD174" s="29">
        <f>AB174+AC174</f>
        <v>42.8</v>
      </c>
      <c r="AE174" s="30">
        <v>22.8</v>
      </c>
      <c r="AF174" s="30">
        <v>21.7</v>
      </c>
      <c r="AG174" s="30">
        <v>87.3</v>
      </c>
      <c r="AH174" s="30">
        <v>22.8</v>
      </c>
      <c r="AI174" s="30">
        <v>33.200000000000003</v>
      </c>
      <c r="AJ174" s="29">
        <f>AH174+AI174</f>
        <v>56</v>
      </c>
      <c r="AK174" s="30">
        <v>31.4</v>
      </c>
      <c r="AL174" s="30">
        <v>25.6</v>
      </c>
      <c r="AM174" s="30">
        <v>113</v>
      </c>
      <c r="AN174" s="30">
        <v>28.8</v>
      </c>
      <c r="AO174" s="30">
        <v>27.6</v>
      </c>
      <c r="AP174" s="29">
        <f>AN174+AO174</f>
        <v>56.400000000000006</v>
      </c>
      <c r="AQ174" s="30">
        <v>27.3</v>
      </c>
      <c r="AR174" s="30">
        <v>29.3</v>
      </c>
      <c r="AS174" s="30">
        <v>113</v>
      </c>
      <c r="AT174" s="30">
        <v>27.6</v>
      </c>
      <c r="AU174" s="30">
        <v>27.1</v>
      </c>
      <c r="AV174" s="29">
        <f>AT174+AU174</f>
        <v>54.7</v>
      </c>
      <c r="AW174" s="30">
        <v>27.9</v>
      </c>
      <c r="AX174" s="30">
        <v>29.3</v>
      </c>
      <c r="AY174" s="30">
        <v>111.9</v>
      </c>
      <c r="AZ174" s="30">
        <v>29.3</v>
      </c>
      <c r="BA174" s="30">
        <v>29</v>
      </c>
      <c r="BB174" s="29">
        <f>AZ174+BA174</f>
        <v>58.3</v>
      </c>
      <c r="BC174" s="30">
        <v>29.2</v>
      </c>
      <c r="BD174" s="30">
        <v>28.7</v>
      </c>
      <c r="BE174" s="30">
        <v>116.2</v>
      </c>
      <c r="BF174" s="30">
        <v>29.3</v>
      </c>
      <c r="BG174" s="30">
        <v>59.7</v>
      </c>
      <c r="BH174" s="29">
        <f>BF174+BG174</f>
        <v>89</v>
      </c>
      <c r="BI174" s="30">
        <v>90.2</v>
      </c>
      <c r="BJ174" s="30">
        <v>86.2</v>
      </c>
      <c r="BK174" s="30">
        <v>265.39999999999998</v>
      </c>
      <c r="BL174" s="30">
        <v>86.9</v>
      </c>
      <c r="BM174" s="30">
        <v>82.7</v>
      </c>
      <c r="BN174" s="29">
        <f>BL174+BM174</f>
        <v>169.60000000000002</v>
      </c>
      <c r="BO174" s="30">
        <v>80.8</v>
      </c>
      <c r="BP174" s="30">
        <v>81.8</v>
      </c>
      <c r="BQ174" s="30">
        <v>332.2</v>
      </c>
      <c r="BR174" s="30">
        <v>82.1</v>
      </c>
      <c r="BS174" s="30">
        <v>80</v>
      </c>
      <c r="BT174" s="29">
        <f>BR174+BS174</f>
        <v>162.1</v>
      </c>
      <c r="BU174" s="30">
        <v>76.900000000000006</v>
      </c>
      <c r="BV174" s="30">
        <v>77.400000000000006</v>
      </c>
      <c r="BW174" s="30">
        <v>316.39999999999998</v>
      </c>
      <c r="BX174" s="30">
        <v>78</v>
      </c>
      <c r="BY174" s="30">
        <v>77.8</v>
      </c>
      <c r="BZ174" s="29">
        <f>BX174+BY174</f>
        <v>155.80000000000001</v>
      </c>
      <c r="CA174" s="30">
        <v>76.900000000000006</v>
      </c>
      <c r="CB174" s="30">
        <v>77.2</v>
      </c>
      <c r="CC174" s="30">
        <v>309.89999999999998</v>
      </c>
      <c r="CD174" s="30">
        <v>80.7</v>
      </c>
      <c r="CE174" s="30">
        <v>86.5</v>
      </c>
      <c r="CF174" s="29">
        <f>CD174+CE174</f>
        <v>167.2</v>
      </c>
      <c r="CG174" s="30">
        <v>84.5</v>
      </c>
      <c r="CH174" s="30">
        <v>84.6</v>
      </c>
      <c r="CI174" s="30">
        <v>336.3</v>
      </c>
      <c r="CJ174" s="30">
        <v>87.2</v>
      </c>
      <c r="CK174" s="30">
        <v>85.7</v>
      </c>
      <c r="CL174" s="29">
        <f>CJ174+CK174</f>
        <v>172.9</v>
      </c>
      <c r="CM174" s="31">
        <f>CM140+CM125</f>
        <v>87.319785360865964</v>
      </c>
      <c r="CN174" s="31">
        <f>CN140+CN125</f>
        <v>88.812858449741427</v>
      </c>
      <c r="CO174" s="31">
        <f>SUM(CJ174,CK174,CM174,CN174)</f>
        <v>349.0326438106074</v>
      </c>
      <c r="CP174" s="31">
        <f>CP140+CP125</f>
        <v>362.74739715579881</v>
      </c>
      <c r="CQ174" s="31">
        <f>CQ140+CQ125</f>
        <v>398.46151514577014</v>
      </c>
      <c r="CR174" s="31">
        <f>CR140+CR125</f>
        <v>397.90178382671883</v>
      </c>
      <c r="CS174" s="31">
        <f>CS140+CS125</f>
        <v>415.81148590168812</v>
      </c>
      <c r="CT174" s="22"/>
      <c r="CV174" s="6"/>
      <c r="CW174" s="6"/>
      <c r="CX174" s="6"/>
      <c r="CY174" s="6"/>
    </row>
    <row r="175" spans="2:103" ht="15" hidden="1" customHeight="1" outlineLevel="1" x14ac:dyDescent="0.25">
      <c r="B175" s="36" t="s">
        <v>282</v>
      </c>
      <c r="C175" s="30">
        <v>5.9</v>
      </c>
      <c r="D175" s="30">
        <v>6.8</v>
      </c>
      <c r="E175" s="30">
        <v>7.5</v>
      </c>
      <c r="F175" s="30">
        <v>5.4</v>
      </c>
      <c r="G175" s="30">
        <v>4.9000000000000004</v>
      </c>
      <c r="H175" s="30">
        <v>5.8</v>
      </c>
      <c r="I175" s="30">
        <v>8</v>
      </c>
      <c r="J175" s="30">
        <v>1.8</v>
      </c>
      <c r="K175" s="30">
        <v>2.8</v>
      </c>
      <c r="L175" s="29">
        <f>J175+K175</f>
        <v>4.5999999999999996</v>
      </c>
      <c r="M175" s="30">
        <v>3</v>
      </c>
      <c r="N175" s="30">
        <v>3.1</v>
      </c>
      <c r="O175" s="30">
        <v>10.7</v>
      </c>
      <c r="P175" s="30">
        <v>2.6</v>
      </c>
      <c r="Q175" s="30">
        <v>3.6</v>
      </c>
      <c r="R175" s="29">
        <f>P175+Q175</f>
        <v>6.2</v>
      </c>
      <c r="S175" s="30">
        <v>3.9</v>
      </c>
      <c r="T175" s="30">
        <v>3.9</v>
      </c>
      <c r="U175" s="30">
        <v>14</v>
      </c>
      <c r="V175" s="30">
        <v>3.8</v>
      </c>
      <c r="W175" s="30">
        <v>3.3</v>
      </c>
      <c r="X175" s="29">
        <f>V175+W175</f>
        <v>7.1</v>
      </c>
      <c r="Y175" s="30">
        <v>2.6</v>
      </c>
      <c r="Z175" s="30">
        <v>2.5</v>
      </c>
      <c r="AA175" s="30">
        <v>12.2</v>
      </c>
      <c r="AB175" s="30">
        <v>3.4</v>
      </c>
      <c r="AC175" s="30">
        <v>2.9</v>
      </c>
      <c r="AD175" s="29">
        <f>AB175+AC175</f>
        <v>6.3</v>
      </c>
      <c r="AE175" s="30">
        <v>2.5</v>
      </c>
      <c r="AF175" s="30">
        <v>2.8</v>
      </c>
      <c r="AG175" s="30">
        <v>11.6</v>
      </c>
      <c r="AH175" s="29"/>
      <c r="AI175" s="29"/>
      <c r="AJ175" s="29"/>
      <c r="AK175" s="29"/>
      <c r="AL175" s="29"/>
      <c r="AM175" s="30">
        <v>18.8</v>
      </c>
      <c r="AN175" s="29"/>
      <c r="AO175" s="29"/>
      <c r="AP175" s="29"/>
      <c r="AQ175" s="29"/>
      <c r="AR175" s="29"/>
      <c r="AS175" s="30">
        <v>25.1</v>
      </c>
      <c r="AT175" s="29"/>
      <c r="AU175" s="29"/>
      <c r="AV175" s="29"/>
      <c r="AW175" s="29"/>
      <c r="AX175" s="29"/>
      <c r="AY175" s="30">
        <v>30.7</v>
      </c>
      <c r="AZ175" s="29"/>
      <c r="BA175" s="29"/>
      <c r="BB175" s="29"/>
      <c r="BC175" s="29"/>
      <c r="BD175" s="29"/>
      <c r="BE175" s="30">
        <v>30</v>
      </c>
      <c r="BF175" s="30">
        <v>7</v>
      </c>
      <c r="BG175" s="30">
        <v>8.4</v>
      </c>
      <c r="BH175" s="29">
        <f>BF175+BG175</f>
        <v>15.4</v>
      </c>
      <c r="BI175" s="30">
        <v>8.6999999999999993</v>
      </c>
      <c r="BJ175" s="30">
        <v>9.8000000000000007</v>
      </c>
      <c r="BK175" s="30">
        <v>33.9</v>
      </c>
      <c r="BL175" s="30">
        <v>9</v>
      </c>
      <c r="BM175" s="30">
        <v>6.4</v>
      </c>
      <c r="BN175" s="29">
        <f>BL175+BM175</f>
        <v>15.4</v>
      </c>
      <c r="BO175" s="30">
        <v>6.7</v>
      </c>
      <c r="BP175" s="30">
        <v>11.4</v>
      </c>
      <c r="BQ175" s="30">
        <v>31.5</v>
      </c>
      <c r="BR175" s="30">
        <v>7.9</v>
      </c>
      <c r="BS175" s="30">
        <v>8.4</v>
      </c>
      <c r="BT175" s="29">
        <f>BR175+BS175</f>
        <v>16.3</v>
      </c>
      <c r="BU175" s="30">
        <v>8</v>
      </c>
      <c r="BV175" s="30">
        <v>8</v>
      </c>
      <c r="BW175" s="30">
        <v>32.299999999999997</v>
      </c>
      <c r="BX175" s="30">
        <v>12</v>
      </c>
      <c r="BY175" s="30">
        <v>9.3000000000000007</v>
      </c>
      <c r="BZ175" s="29">
        <f>BX175+BY175</f>
        <v>21.3</v>
      </c>
      <c r="CA175" s="30">
        <v>8.6999999999999993</v>
      </c>
      <c r="CB175" s="30">
        <v>7.7</v>
      </c>
      <c r="CC175" s="30">
        <v>37.700000000000003</v>
      </c>
      <c r="CD175" s="30">
        <v>8.9</v>
      </c>
      <c r="CE175" s="30">
        <v>11.3</v>
      </c>
      <c r="CF175" s="29">
        <f>CD175+CE175</f>
        <v>20.200000000000003</v>
      </c>
      <c r="CG175" s="30">
        <v>10.5</v>
      </c>
      <c r="CH175" s="30">
        <v>8.9</v>
      </c>
      <c r="CI175" s="30">
        <v>39.6</v>
      </c>
      <c r="CJ175" s="30">
        <v>5.6</v>
      </c>
      <c r="CK175" s="30">
        <v>13.9</v>
      </c>
      <c r="CL175" s="29">
        <f>CJ175+CK175</f>
        <v>19.5</v>
      </c>
      <c r="CM175" s="31">
        <f>CM152*CM141</f>
        <v>10.233318963522533</v>
      </c>
      <c r="CN175" s="31">
        <f>CN152*CN141</f>
        <v>10.724295780269101</v>
      </c>
      <c r="CO175" s="31">
        <f>SUM(CJ175,CK175,CM175,CN175)</f>
        <v>40.457614743791638</v>
      </c>
      <c r="CP175" s="31">
        <f>CP152*CP141</f>
        <v>46.669965718599606</v>
      </c>
      <c r="CQ175" s="31">
        <f>CQ152*CQ141</f>
        <v>51.034393937478931</v>
      </c>
      <c r="CR175" s="31">
        <f>CR152*CR141</f>
        <v>55.758927942239602</v>
      </c>
      <c r="CS175" s="31">
        <f>CS152*CS141</f>
        <v>60.739939745007135</v>
      </c>
      <c r="CT175" s="22"/>
      <c r="CV175" s="6"/>
      <c r="CW175" s="6"/>
      <c r="CX175" s="6"/>
      <c r="CY175" s="6"/>
    </row>
    <row r="176" spans="2:103" ht="15" hidden="1" customHeight="1" outlineLevel="1" x14ac:dyDescent="0.25">
      <c r="B176" s="36" t="s">
        <v>283</v>
      </c>
      <c r="C176" s="30">
        <v>52.5</v>
      </c>
      <c r="D176" s="30">
        <v>59.7</v>
      </c>
      <c r="E176" s="30">
        <v>61.5</v>
      </c>
      <c r="F176" s="30">
        <v>58.8</v>
      </c>
      <c r="G176" s="30">
        <v>61.3</v>
      </c>
      <c r="H176" s="30">
        <v>101.9</v>
      </c>
      <c r="I176" s="30">
        <v>131.6</v>
      </c>
      <c r="J176" s="29"/>
      <c r="K176" s="29"/>
      <c r="L176" s="29"/>
      <c r="M176" s="29"/>
      <c r="N176" s="29"/>
      <c r="O176" s="30">
        <v>167</v>
      </c>
      <c r="P176" s="29"/>
      <c r="Q176" s="29"/>
      <c r="R176" s="29"/>
      <c r="S176" s="29"/>
      <c r="T176" s="29"/>
      <c r="U176" s="30">
        <v>166.9</v>
      </c>
      <c r="V176" s="29"/>
      <c r="W176" s="29"/>
      <c r="X176" s="29"/>
      <c r="Y176" s="29"/>
      <c r="Z176" s="29"/>
      <c r="AA176" s="30">
        <v>163.69999999999999</v>
      </c>
      <c r="AB176" s="29"/>
      <c r="AC176" s="29"/>
      <c r="AD176" s="29"/>
      <c r="AE176" s="29"/>
      <c r="AF176" s="29"/>
      <c r="AG176" s="30">
        <v>167.7</v>
      </c>
      <c r="AH176" s="29"/>
      <c r="AI176" s="29"/>
      <c r="AJ176" s="29"/>
      <c r="AK176" s="29"/>
      <c r="AL176" s="29"/>
      <c r="AM176" s="30">
        <v>177.7</v>
      </c>
      <c r="AN176" s="29"/>
      <c r="AO176" s="29"/>
      <c r="AP176" s="29"/>
      <c r="AQ176" s="29"/>
      <c r="AR176" s="29"/>
      <c r="AS176" s="30">
        <v>185.6</v>
      </c>
      <c r="AT176" s="29"/>
      <c r="AU176" s="29"/>
      <c r="AV176" s="29"/>
      <c r="AW176" s="29"/>
      <c r="AX176" s="29"/>
      <c r="AY176" s="30">
        <v>209.6</v>
      </c>
      <c r="AZ176" s="29"/>
      <c r="BA176" s="29"/>
      <c r="BB176" s="29"/>
      <c r="BC176" s="29"/>
      <c r="BD176" s="29"/>
      <c r="BE176" s="30">
        <v>196</v>
      </c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30">
        <v>352.2</v>
      </c>
      <c r="BR176" s="29"/>
      <c r="BS176" s="29"/>
      <c r="BT176" s="29"/>
      <c r="BU176" s="29"/>
      <c r="BV176" s="29"/>
      <c r="BW176" s="30">
        <v>356.3</v>
      </c>
      <c r="BX176" s="30">
        <v>76.5</v>
      </c>
      <c r="BY176" s="30">
        <v>71.7</v>
      </c>
      <c r="BZ176" s="29">
        <f>BX176+BY176</f>
        <v>148.19999999999999</v>
      </c>
      <c r="CA176" s="30">
        <v>73</v>
      </c>
      <c r="CB176" s="30">
        <v>71.400000000000006</v>
      </c>
      <c r="CC176" s="30">
        <v>292.60000000000002</v>
      </c>
      <c r="CD176" s="30">
        <v>74.3</v>
      </c>
      <c r="CE176" s="30">
        <v>82.4</v>
      </c>
      <c r="CF176" s="29">
        <f>CD176+CE176</f>
        <v>156.69999999999999</v>
      </c>
      <c r="CG176" s="30">
        <v>83.4</v>
      </c>
      <c r="CH176" s="30">
        <v>77.2</v>
      </c>
      <c r="CI176" s="30">
        <v>317.3</v>
      </c>
      <c r="CJ176" s="30">
        <v>84.6</v>
      </c>
      <c r="CK176" s="30">
        <v>90.2</v>
      </c>
      <c r="CL176" s="29">
        <f>CJ176+CK176</f>
        <v>174.8</v>
      </c>
      <c r="CM176" s="31"/>
      <c r="CN176" s="31"/>
      <c r="CO176" s="31"/>
      <c r="CP176" s="31"/>
      <c r="CQ176" s="31"/>
      <c r="CR176" s="31"/>
      <c r="CS176" s="31"/>
      <c r="CT176" s="22"/>
      <c r="CV176" s="6"/>
      <c r="CW176" s="6"/>
      <c r="CX176" s="6"/>
      <c r="CY176" s="6"/>
    </row>
    <row r="177" spans="2:103" ht="15" hidden="1" customHeight="1" outlineLevel="1" x14ac:dyDescent="0.25">
      <c r="B177" s="12" t="s">
        <v>284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31"/>
      <c r="CN177" s="31"/>
      <c r="CO177" s="31"/>
      <c r="CP177" s="31"/>
      <c r="CQ177" s="31"/>
      <c r="CR177" s="31"/>
      <c r="CS177" s="31"/>
      <c r="CT177" s="22"/>
      <c r="CV177" s="6"/>
      <c r="CW177" s="6"/>
      <c r="CX177" s="6"/>
      <c r="CY177" s="6"/>
    </row>
    <row r="178" spans="2:103" ht="15" customHeight="1" collapsed="1" x14ac:dyDescent="0.25">
      <c r="B178" s="12" t="s">
        <v>285</v>
      </c>
      <c r="C178" s="55">
        <v>34.299999999999997</v>
      </c>
      <c r="D178" s="55">
        <v>34.9</v>
      </c>
      <c r="E178" s="55">
        <v>35.5</v>
      </c>
      <c r="F178" s="55">
        <v>36</v>
      </c>
      <c r="G178" s="55">
        <v>36.200000000000003</v>
      </c>
      <c r="H178" s="55">
        <v>36.6</v>
      </c>
      <c r="I178" s="55">
        <v>36.700000000000003</v>
      </c>
      <c r="J178" s="55">
        <v>37.200000000000003</v>
      </c>
      <c r="K178" s="55">
        <v>37.299999999999997</v>
      </c>
      <c r="L178" s="51">
        <f>AVERAGE(J178,K178)</f>
        <v>37.25</v>
      </c>
      <c r="M178" s="55">
        <v>37.299999999999997</v>
      </c>
      <c r="N178" s="51"/>
      <c r="O178" s="55">
        <v>37.299999999999997</v>
      </c>
      <c r="P178" s="55">
        <v>37.5</v>
      </c>
      <c r="Q178" s="55">
        <v>37.4</v>
      </c>
      <c r="R178" s="51">
        <f>AVERAGE(P178,Q178)</f>
        <v>37.450000000000003</v>
      </c>
      <c r="S178" s="55">
        <v>37.200000000000003</v>
      </c>
      <c r="T178" s="51"/>
      <c r="U178" s="55">
        <v>37.1</v>
      </c>
      <c r="V178" s="55">
        <v>35.700000000000003</v>
      </c>
      <c r="W178" s="55">
        <v>35.299999999999997</v>
      </c>
      <c r="X178" s="51">
        <f>AVERAGE(V178,W178)</f>
        <v>35.5</v>
      </c>
      <c r="Y178" s="55">
        <v>35.299999999999997</v>
      </c>
      <c r="Z178" s="51"/>
      <c r="AA178" s="55">
        <v>35.299999999999997</v>
      </c>
      <c r="AB178" s="55">
        <v>34.4</v>
      </c>
      <c r="AC178" s="55">
        <v>34.4</v>
      </c>
      <c r="AD178" s="51">
        <f>AVERAGE(AB178,AC178)</f>
        <v>34.4</v>
      </c>
      <c r="AE178" s="55">
        <v>34.700000000000003</v>
      </c>
      <c r="AF178" s="51"/>
      <c r="AG178" s="55">
        <v>34.6</v>
      </c>
      <c r="AH178" s="55">
        <v>35.1</v>
      </c>
      <c r="AI178" s="55">
        <v>35.200000000000003</v>
      </c>
      <c r="AJ178" s="51">
        <f>AVERAGE(AH178,AI178)</f>
        <v>35.150000000000006</v>
      </c>
      <c r="AK178" s="55">
        <v>35.299999999999997</v>
      </c>
      <c r="AL178" s="51"/>
      <c r="AM178" s="55">
        <v>35.200000000000003</v>
      </c>
      <c r="AN178" s="55">
        <v>35.6</v>
      </c>
      <c r="AO178" s="55">
        <v>35.799999999999997</v>
      </c>
      <c r="AP178" s="51">
        <f>AVERAGE(AN178,AO178)</f>
        <v>35.700000000000003</v>
      </c>
      <c r="AQ178" s="55">
        <v>35.9</v>
      </c>
      <c r="AR178" s="51"/>
      <c r="AS178" s="55">
        <v>35.799999999999997</v>
      </c>
      <c r="AT178" s="55">
        <v>36.1</v>
      </c>
      <c r="AU178" s="55">
        <v>36.200000000000003</v>
      </c>
      <c r="AV178" s="51">
        <f>AVERAGE(AT178,AU178)</f>
        <v>36.150000000000006</v>
      </c>
      <c r="AW178" s="55">
        <v>36.4</v>
      </c>
      <c r="AX178" s="51"/>
      <c r="AY178" s="55">
        <v>36.299999999999997</v>
      </c>
      <c r="AZ178" s="55">
        <v>36.6</v>
      </c>
      <c r="BA178" s="55">
        <v>36.700000000000003</v>
      </c>
      <c r="BB178" s="51">
        <f>AVERAGE(AZ178,BA178)</f>
        <v>36.650000000000006</v>
      </c>
      <c r="BC178" s="55">
        <v>36.799999999999997</v>
      </c>
      <c r="BD178" s="51"/>
      <c r="BE178" s="55">
        <v>36.700000000000003</v>
      </c>
      <c r="BF178" s="55">
        <v>37</v>
      </c>
      <c r="BG178" s="55">
        <v>42.5</v>
      </c>
      <c r="BH178" s="51">
        <f>AVERAGE(BF178,BG178)</f>
        <v>39.75</v>
      </c>
      <c r="BI178" s="55">
        <v>46.6</v>
      </c>
      <c r="BJ178" s="51"/>
      <c r="BK178" s="55">
        <v>43.2</v>
      </c>
      <c r="BL178" s="55">
        <v>46.7</v>
      </c>
      <c r="BM178" s="55">
        <v>46.8</v>
      </c>
      <c r="BN178" s="51">
        <f>AVERAGE(BL178,BM178)</f>
        <v>46.75</v>
      </c>
      <c r="BO178" s="55">
        <v>46.8</v>
      </c>
      <c r="BP178" s="51"/>
      <c r="BQ178" s="55">
        <v>46.8</v>
      </c>
      <c r="BR178" s="55">
        <v>46.9</v>
      </c>
      <c r="BS178" s="55">
        <v>47</v>
      </c>
      <c r="BT178" s="51">
        <f>AVERAGE(BR178,BS178)</f>
        <v>46.95</v>
      </c>
      <c r="BU178" s="55">
        <v>47.1</v>
      </c>
      <c r="BV178" s="51"/>
      <c r="BW178" s="55">
        <v>47.1</v>
      </c>
      <c r="BX178" s="55">
        <v>47.3</v>
      </c>
      <c r="BY178" s="55">
        <v>47.2</v>
      </c>
      <c r="BZ178" s="51">
        <f>AVERAGE(BX178,BY178)</f>
        <v>47.25</v>
      </c>
      <c r="CA178" s="55">
        <v>46.7</v>
      </c>
      <c r="CB178" s="51"/>
      <c r="CC178" s="55">
        <v>47</v>
      </c>
      <c r="CD178" s="55">
        <v>46.8</v>
      </c>
      <c r="CE178" s="55">
        <v>46.9</v>
      </c>
      <c r="CF178" s="51">
        <f>AVERAGE(CD178,CE178)</f>
        <v>46.849999999999994</v>
      </c>
      <c r="CG178" s="55">
        <v>46.9</v>
      </c>
      <c r="CH178" s="51"/>
      <c r="CI178" s="55">
        <v>46.8</v>
      </c>
      <c r="CJ178" s="55">
        <v>46.3</v>
      </c>
      <c r="CK178" s="55">
        <v>46.3</v>
      </c>
      <c r="CL178" s="51">
        <f>AVERAGE(CJ178,CK178)</f>
        <v>46.3</v>
      </c>
      <c r="CM178" s="52">
        <f>CK178-CO304*(3-2)/2</f>
        <v>46.3</v>
      </c>
      <c r="CN178" s="52">
        <f>CK178-CO304*(4-2)/2</f>
        <v>46.3</v>
      </c>
      <c r="CO178" s="52">
        <f>AVERAGE(CJ178,CK178,CM178,CN178)</f>
        <v>46.3</v>
      </c>
      <c r="CP178" s="52">
        <f>AVERAGE(CP306,CP307)</f>
        <v>45.521231381294726</v>
      </c>
      <c r="CQ178" s="52">
        <f>AVERAGE(CQ306,CQ307)</f>
        <v>44.156120864872754</v>
      </c>
      <c r="CR178" s="52">
        <f>AVERAGE(CR306,CR307)</f>
        <v>43.334855369087798</v>
      </c>
      <c r="CS178" s="52">
        <f>AVERAGE(CS306,CS307)</f>
        <v>42.389737008688599</v>
      </c>
      <c r="CT178" s="22" t="s">
        <v>286</v>
      </c>
      <c r="CV178" s="6"/>
      <c r="CW178" s="6"/>
      <c r="CX178" s="6"/>
      <c r="CY178" s="6"/>
    </row>
    <row r="179" spans="2:103" ht="15" customHeight="1" x14ac:dyDescent="0.25">
      <c r="B179" s="12" t="s">
        <v>287</v>
      </c>
      <c r="C179" s="55">
        <v>35.5</v>
      </c>
      <c r="D179" s="55">
        <v>36.200000000000003</v>
      </c>
      <c r="E179" s="55">
        <v>36.5</v>
      </c>
      <c r="F179" s="55">
        <v>36.6</v>
      </c>
      <c r="G179" s="55">
        <v>36.9</v>
      </c>
      <c r="H179" s="55">
        <v>37.299999999999997</v>
      </c>
      <c r="I179" s="55">
        <v>37.4</v>
      </c>
      <c r="J179" s="55">
        <v>37.799999999999997</v>
      </c>
      <c r="K179" s="55">
        <v>38</v>
      </c>
      <c r="L179" s="51">
        <f>AVERAGE(J179,K179)</f>
        <v>37.9</v>
      </c>
      <c r="M179" s="55">
        <v>38.1</v>
      </c>
      <c r="N179" s="55">
        <v>38.200000000000003</v>
      </c>
      <c r="O179" s="55">
        <v>38</v>
      </c>
      <c r="P179" s="55">
        <v>38.299999999999997</v>
      </c>
      <c r="Q179" s="55">
        <v>38.1</v>
      </c>
      <c r="R179" s="51">
        <f>AVERAGE(P179,Q179)</f>
        <v>38.200000000000003</v>
      </c>
      <c r="S179" s="55">
        <v>37.799999999999997</v>
      </c>
      <c r="T179" s="55">
        <v>37.200000000000003</v>
      </c>
      <c r="U179" s="55">
        <v>37.9</v>
      </c>
      <c r="V179" s="55">
        <v>36.5</v>
      </c>
      <c r="W179" s="55">
        <v>36.1</v>
      </c>
      <c r="X179" s="51">
        <f>AVERAGE(V179,W179)</f>
        <v>36.299999999999997</v>
      </c>
      <c r="Y179" s="55">
        <v>36.1</v>
      </c>
      <c r="Z179" s="55">
        <v>35.4</v>
      </c>
      <c r="AA179" s="55">
        <v>36</v>
      </c>
      <c r="AB179" s="55">
        <v>35.200000000000003</v>
      </c>
      <c r="AC179" s="55">
        <v>35.299999999999997</v>
      </c>
      <c r="AD179" s="51">
        <f>AVERAGE(AB179,AC179)</f>
        <v>35.25</v>
      </c>
      <c r="AE179" s="55">
        <v>35.6</v>
      </c>
      <c r="AF179" s="55">
        <v>35.9</v>
      </c>
      <c r="AG179" s="55">
        <v>35.5</v>
      </c>
      <c r="AH179" s="55">
        <v>36.1</v>
      </c>
      <c r="AI179" s="55">
        <v>36.200000000000003</v>
      </c>
      <c r="AJ179" s="51">
        <f>AVERAGE(AH179,AI179)</f>
        <v>36.150000000000006</v>
      </c>
      <c r="AK179" s="55">
        <v>36.4</v>
      </c>
      <c r="AL179" s="55">
        <v>36.700000000000003</v>
      </c>
      <c r="AM179" s="55">
        <v>36.299999999999997</v>
      </c>
      <c r="AN179" s="55">
        <v>36.799999999999997</v>
      </c>
      <c r="AO179" s="55">
        <v>37</v>
      </c>
      <c r="AP179" s="51">
        <f>AVERAGE(AN179,AO179)</f>
        <v>36.9</v>
      </c>
      <c r="AQ179" s="55">
        <v>37.200000000000003</v>
      </c>
      <c r="AR179" s="55">
        <v>37.200000000000003</v>
      </c>
      <c r="AS179" s="55">
        <v>37</v>
      </c>
      <c r="AT179" s="55">
        <v>37.200000000000003</v>
      </c>
      <c r="AU179" s="55">
        <v>37.4</v>
      </c>
      <c r="AV179" s="51">
        <f>AVERAGE(AT179,AU179)</f>
        <v>37.299999999999997</v>
      </c>
      <c r="AW179" s="55">
        <v>37.6</v>
      </c>
      <c r="AX179" s="55">
        <v>37.799999999999997</v>
      </c>
      <c r="AY179" s="55">
        <v>37.5</v>
      </c>
      <c r="AZ179" s="55">
        <v>37.799999999999997</v>
      </c>
      <c r="BA179" s="55">
        <v>37.799999999999997</v>
      </c>
      <c r="BB179" s="51">
        <f>AVERAGE(AZ179,BA179)</f>
        <v>37.799999999999997</v>
      </c>
      <c r="BC179" s="55">
        <v>37.799999999999997</v>
      </c>
      <c r="BD179" s="55">
        <v>38</v>
      </c>
      <c r="BE179" s="55">
        <v>37.9</v>
      </c>
      <c r="BF179" s="55">
        <v>38</v>
      </c>
      <c r="BG179" s="55">
        <v>43.6</v>
      </c>
      <c r="BH179" s="51">
        <f>AVERAGE(BF179,BG179)</f>
        <v>40.799999999999997</v>
      </c>
      <c r="BI179" s="55">
        <v>47.7</v>
      </c>
      <c r="BJ179" s="55">
        <v>47.7</v>
      </c>
      <c r="BK179" s="55">
        <v>44.3</v>
      </c>
      <c r="BL179" s="55">
        <v>47.7</v>
      </c>
      <c r="BM179" s="55">
        <v>47.7</v>
      </c>
      <c r="BN179" s="51">
        <f>AVERAGE(BL179,BM179)</f>
        <v>47.7</v>
      </c>
      <c r="BO179" s="55">
        <v>47.7</v>
      </c>
      <c r="BP179" s="55">
        <v>47.8</v>
      </c>
      <c r="BQ179" s="55">
        <v>47.7</v>
      </c>
      <c r="BR179" s="55">
        <v>47.9</v>
      </c>
      <c r="BS179" s="55">
        <v>47.9</v>
      </c>
      <c r="BT179" s="51">
        <f>AVERAGE(BR179,BS179)</f>
        <v>47.9</v>
      </c>
      <c r="BU179" s="55">
        <v>47.9</v>
      </c>
      <c r="BV179" s="55">
        <v>47.9</v>
      </c>
      <c r="BW179" s="55">
        <v>47.9</v>
      </c>
      <c r="BX179" s="55">
        <v>48</v>
      </c>
      <c r="BY179" s="55">
        <v>47.8</v>
      </c>
      <c r="BZ179" s="51">
        <f>AVERAGE(BX179,BY179)</f>
        <v>47.9</v>
      </c>
      <c r="CA179" s="55">
        <v>47.3</v>
      </c>
      <c r="CB179" s="55">
        <v>47.3</v>
      </c>
      <c r="CC179" s="55">
        <v>47.6</v>
      </c>
      <c r="CD179" s="55">
        <v>47.3</v>
      </c>
      <c r="CE179" s="55">
        <v>47.4</v>
      </c>
      <c r="CF179" s="51">
        <f>AVERAGE(CD179,CE179)</f>
        <v>47.349999999999994</v>
      </c>
      <c r="CG179" s="55">
        <v>47.5</v>
      </c>
      <c r="CH179" s="55">
        <v>47.2</v>
      </c>
      <c r="CI179" s="55">
        <v>47.4</v>
      </c>
      <c r="CJ179" s="55">
        <v>46.8</v>
      </c>
      <c r="CK179" s="55">
        <v>46.9</v>
      </c>
      <c r="CL179" s="51">
        <f>AVERAGE(CJ179,CK179)</f>
        <v>46.849999999999994</v>
      </c>
      <c r="CM179" s="52">
        <f>CM178+(CK179-CK178)</f>
        <v>46.9</v>
      </c>
      <c r="CN179" s="52">
        <f>CN178+(CK179-CK178)</f>
        <v>46.9</v>
      </c>
      <c r="CO179" s="52">
        <f>AVERAGE(CJ179,CK179,CM179,CN179)</f>
        <v>46.875</v>
      </c>
      <c r="CP179" s="52">
        <f>CP178+CP373</f>
        <v>46.121231381294727</v>
      </c>
      <c r="CQ179" s="52">
        <f>CQ178+CQ373</f>
        <v>44.756120864872756</v>
      </c>
      <c r="CR179" s="52">
        <f>CR178+CR373</f>
        <v>43.934855369087799</v>
      </c>
      <c r="CS179" s="52">
        <f>CS178+CS373</f>
        <v>42.9897370086886</v>
      </c>
      <c r="CT179" s="22" t="s">
        <v>288</v>
      </c>
      <c r="CV179" s="6"/>
      <c r="CW179" s="6"/>
      <c r="CX179" s="6"/>
      <c r="CY179" s="6"/>
    </row>
    <row r="180" spans="2:103" ht="15" customHeight="1" x14ac:dyDescent="0.25">
      <c r="B180" s="33" t="s">
        <v>289</v>
      </c>
      <c r="C180" s="56">
        <f t="shared" ref="C180:AH180" si="186">IFERROR(C171/C178,"")</f>
        <v>2.341107871720117</v>
      </c>
      <c r="D180" s="56">
        <f t="shared" si="186"/>
        <v>2.8223495702005685</v>
      </c>
      <c r="E180" s="56">
        <f t="shared" si="186"/>
        <v>3.1352112676056318</v>
      </c>
      <c r="F180" s="56">
        <f t="shared" si="186"/>
        <v>3.1472222222222217</v>
      </c>
      <c r="G180" s="56">
        <f t="shared" si="186"/>
        <v>3.3287292817679588</v>
      </c>
      <c r="H180" s="56">
        <f t="shared" si="186"/>
        <v>6.9726775956284159</v>
      </c>
      <c r="I180" s="56">
        <f t="shared" si="186"/>
        <v>4.4713896457765729</v>
      </c>
      <c r="J180" s="57">
        <f t="shared" si="186"/>
        <v>1.0860215053763445</v>
      </c>
      <c r="K180" s="57">
        <f t="shared" si="186"/>
        <v>1.1501340482573721</v>
      </c>
      <c r="L180" s="57">
        <f t="shared" si="186"/>
        <v>2.236241610738257</v>
      </c>
      <c r="M180" s="57">
        <f t="shared" si="186"/>
        <v>1.2546916890080437</v>
      </c>
      <c r="N180" s="57" t="str">
        <f t="shared" si="186"/>
        <v/>
      </c>
      <c r="O180" s="56">
        <f t="shared" si="186"/>
        <v>4.9597855227882022</v>
      </c>
      <c r="P180" s="57">
        <f t="shared" si="186"/>
        <v>1.2213333333333332</v>
      </c>
      <c r="Q180" s="57">
        <f t="shared" si="186"/>
        <v>1.5000000000000013</v>
      </c>
      <c r="R180" s="57">
        <f t="shared" si="186"/>
        <v>2.7209612817089437</v>
      </c>
      <c r="S180" s="57">
        <f t="shared" si="186"/>
        <v>1.4946236559139798</v>
      </c>
      <c r="T180" s="57" t="str">
        <f t="shared" si="186"/>
        <v/>
      </c>
      <c r="U180" s="56">
        <f t="shared" si="186"/>
        <v>5.8679245283018897</v>
      </c>
      <c r="V180" s="57">
        <f t="shared" si="186"/>
        <v>1.2240896358543418</v>
      </c>
      <c r="W180" s="57">
        <f t="shared" si="186"/>
        <v>1.368271954674223</v>
      </c>
      <c r="X180" s="57">
        <f t="shared" si="186"/>
        <v>2.591549295774652</v>
      </c>
      <c r="Y180" s="57">
        <f t="shared" si="186"/>
        <v>1.3682719546742201</v>
      </c>
      <c r="Z180" s="57" t="str">
        <f t="shared" si="186"/>
        <v/>
      </c>
      <c r="AA180" s="56">
        <f t="shared" si="186"/>
        <v>5.5467422096317271</v>
      </c>
      <c r="AB180" s="57">
        <f t="shared" si="186"/>
        <v>1.1337209302325575</v>
      </c>
      <c r="AC180" s="57">
        <f t="shared" si="186"/>
        <v>1.3633720930232573</v>
      </c>
      <c r="AD180" s="57">
        <f t="shared" si="186"/>
        <v>2.4970930232558142</v>
      </c>
      <c r="AE180" s="57">
        <f t="shared" si="186"/>
        <v>1.498559077809797</v>
      </c>
      <c r="AF180" s="57" t="str">
        <f t="shared" si="186"/>
        <v/>
      </c>
      <c r="AG180" s="56">
        <f t="shared" si="186"/>
        <v>5.517341040462429</v>
      </c>
      <c r="AH180" s="57">
        <f t="shared" si="186"/>
        <v>0.86894586894586912</v>
      </c>
      <c r="AI180" s="57">
        <f t="shared" ref="AI180:BN180" si="187">IFERROR(AI171/AI178,"")</f>
        <v>1.7073863636363649</v>
      </c>
      <c r="AJ180" s="57">
        <f t="shared" si="187"/>
        <v>2.5775248933143673</v>
      </c>
      <c r="AK180" s="57">
        <f t="shared" si="187"/>
        <v>1.9546742209631738</v>
      </c>
      <c r="AL180" s="57" t="str">
        <f t="shared" si="187"/>
        <v/>
      </c>
      <c r="AM180" s="56">
        <f t="shared" si="187"/>
        <v>6.4545454545454568</v>
      </c>
      <c r="AN180" s="57">
        <f t="shared" si="187"/>
        <v>1.8679775280898887</v>
      </c>
      <c r="AO180" s="57">
        <f t="shared" si="187"/>
        <v>2.3994413407821229</v>
      </c>
      <c r="AP180" s="57">
        <f t="shared" si="187"/>
        <v>4.2689075630252056</v>
      </c>
      <c r="AQ180" s="57">
        <f t="shared" si="187"/>
        <v>2.5153203342618378</v>
      </c>
      <c r="AR180" s="57" t="str">
        <f t="shared" si="187"/>
        <v/>
      </c>
      <c r="AS180" s="56">
        <f t="shared" si="187"/>
        <v>9.3240223463687197</v>
      </c>
      <c r="AT180" s="57">
        <f t="shared" si="187"/>
        <v>2.0858725761772869</v>
      </c>
      <c r="AU180" s="57">
        <f t="shared" si="187"/>
        <v>2.8895027624309386</v>
      </c>
      <c r="AV180" s="57">
        <f t="shared" si="187"/>
        <v>4.9764868603042869</v>
      </c>
      <c r="AW180" s="57">
        <f t="shared" si="187"/>
        <v>2.9313186813186829</v>
      </c>
      <c r="AX180" s="57" t="str">
        <f t="shared" si="187"/>
        <v/>
      </c>
      <c r="AY180" s="56">
        <f t="shared" si="187"/>
        <v>11.082644628099173</v>
      </c>
      <c r="AZ180" s="57">
        <f t="shared" si="187"/>
        <v>2.2459016393442623</v>
      </c>
      <c r="BA180" s="57">
        <f t="shared" si="187"/>
        <v>2.5531335149863734</v>
      </c>
      <c r="BB180" s="57">
        <f t="shared" si="187"/>
        <v>4.7994542974079133</v>
      </c>
      <c r="BC180" s="57">
        <f t="shared" si="187"/>
        <v>2.5516304347826089</v>
      </c>
      <c r="BD180" s="57" t="str">
        <f t="shared" si="187"/>
        <v/>
      </c>
      <c r="BE180" s="56">
        <f t="shared" si="187"/>
        <v>10.950953678474111</v>
      </c>
      <c r="BF180" s="57">
        <f t="shared" si="187"/>
        <v>2.2891891891891905</v>
      </c>
      <c r="BG180" s="57">
        <f t="shared" si="187"/>
        <v>1.5223529411764702</v>
      </c>
      <c r="BH180" s="57">
        <f t="shared" si="187"/>
        <v>3.7584905660377395</v>
      </c>
      <c r="BI180" s="57">
        <f t="shared" si="187"/>
        <v>2.8776824034334769</v>
      </c>
      <c r="BJ180" s="57" t="str">
        <f t="shared" si="187"/>
        <v/>
      </c>
      <c r="BK180" s="56">
        <f t="shared" si="187"/>
        <v>10.307870370370377</v>
      </c>
      <c r="BL180" s="57">
        <f t="shared" si="187"/>
        <v>4.5524625267665941</v>
      </c>
      <c r="BM180" s="57">
        <f t="shared" si="187"/>
        <v>3.6602564102564097</v>
      </c>
      <c r="BN180" s="57">
        <f t="shared" si="187"/>
        <v>8.2117647058823557</v>
      </c>
      <c r="BO180" s="57">
        <f t="shared" ref="BO180:CS180" si="188">IFERROR(BO171/BO178,"")</f>
        <v>3.8098290598290592</v>
      </c>
      <c r="BP180" s="57" t="str">
        <f t="shared" si="188"/>
        <v/>
      </c>
      <c r="BQ180" s="56">
        <f t="shared" si="188"/>
        <v>16.850427350427356</v>
      </c>
      <c r="BR180" s="57">
        <f t="shared" si="188"/>
        <v>3.8102345415778243</v>
      </c>
      <c r="BS180" s="57">
        <f t="shared" si="188"/>
        <v>3.9425531914893632</v>
      </c>
      <c r="BT180" s="57">
        <f t="shared" si="188"/>
        <v>7.7529286474973373</v>
      </c>
      <c r="BU180" s="57">
        <f t="shared" si="188"/>
        <v>4.2165605095541396</v>
      </c>
      <c r="BV180" s="57" t="str">
        <f t="shared" si="188"/>
        <v/>
      </c>
      <c r="BW180" s="56">
        <f t="shared" si="188"/>
        <v>18.80467091295117</v>
      </c>
      <c r="BX180" s="57">
        <f t="shared" si="188"/>
        <v>3.7737843551797012</v>
      </c>
      <c r="BY180" s="57">
        <f t="shared" si="188"/>
        <v>3.8177966101694891</v>
      </c>
      <c r="BZ180" s="57">
        <f t="shared" si="188"/>
        <v>7.5915343915343856</v>
      </c>
      <c r="CA180" s="57">
        <f t="shared" si="188"/>
        <v>5.610278372591007</v>
      </c>
      <c r="CB180" s="57" t="str">
        <f t="shared" si="188"/>
        <v/>
      </c>
      <c r="CC180" s="56">
        <f t="shared" si="188"/>
        <v>17.429787234042553</v>
      </c>
      <c r="CD180" s="57">
        <f t="shared" si="188"/>
        <v>4.0299145299145334</v>
      </c>
      <c r="CE180" s="57">
        <f t="shared" si="188"/>
        <v>4.47547974413646</v>
      </c>
      <c r="CF180" s="57">
        <f t="shared" si="188"/>
        <v>8.5058697972251949</v>
      </c>
      <c r="CG180" s="57">
        <f t="shared" si="188"/>
        <v>4.7057569296375243</v>
      </c>
      <c r="CH180" s="57" t="str">
        <f t="shared" si="188"/>
        <v/>
      </c>
      <c r="CI180" s="56">
        <f t="shared" si="188"/>
        <v>19.119658119658123</v>
      </c>
      <c r="CJ180" s="57">
        <f t="shared" si="188"/>
        <v>4.898488120950323</v>
      </c>
      <c r="CK180" s="57">
        <f t="shared" si="188"/>
        <v>5.4362850971922265</v>
      </c>
      <c r="CL180" s="57">
        <f t="shared" si="188"/>
        <v>10.334773218142551</v>
      </c>
      <c r="CM180" s="56">
        <f t="shared" si="188"/>
        <v>5.2177213822894188</v>
      </c>
      <c r="CN180" s="56">
        <f t="shared" si="188"/>
        <v>5.4963660907127405</v>
      </c>
      <c r="CO180" s="56">
        <f t="shared" si="188"/>
        <v>21.048860691144707</v>
      </c>
      <c r="CP180" s="56">
        <f t="shared" si="188"/>
        <v>24.747769157436391</v>
      </c>
      <c r="CQ180" s="56">
        <f t="shared" si="188"/>
        <v>27.834797519030111</v>
      </c>
      <c r="CR180" s="56">
        <f t="shared" si="188"/>
        <v>31.513598675324104</v>
      </c>
      <c r="CS180" s="56">
        <f t="shared" si="188"/>
        <v>35.775598094142872</v>
      </c>
      <c r="CT180" s="22"/>
      <c r="CV180" s="23">
        <f>IFERROR((CS180/CI180)^(1/5)-1,"n/m")</f>
        <v>0.13349956065507596</v>
      </c>
      <c r="CW180" s="23">
        <f>IFERROR((CI180/BE180)^(1/5)-1,"n/m")</f>
        <v>0.11790689831993095</v>
      </c>
      <c r="CX180" s="23">
        <f>IFERROR((CI180/AA180)^(1/10)-1,"n/m")</f>
        <v>0.13173361092956437</v>
      </c>
      <c r="CY180" s="23">
        <f>IFERROR((CI180/C180)^(1/19)-1,"n/m")</f>
        <v>0.11687119253329392</v>
      </c>
    </row>
    <row r="181" spans="2:103" ht="15" customHeight="1" x14ac:dyDescent="0.25">
      <c r="B181" s="33" t="s">
        <v>290</v>
      </c>
      <c r="C181" s="56">
        <f t="shared" ref="C181:AH181" si="189">IFERROR(C171/C179,"")</f>
        <v>2.261971830985916</v>
      </c>
      <c r="D181" s="56">
        <f t="shared" si="189"/>
        <v>2.720994475138117</v>
      </c>
      <c r="E181" s="56">
        <f t="shared" si="189"/>
        <v>3.0493150684931485</v>
      </c>
      <c r="F181" s="56">
        <f t="shared" si="189"/>
        <v>3.095628415300546</v>
      </c>
      <c r="G181" s="56">
        <f t="shared" si="189"/>
        <v>3.2655826558265613</v>
      </c>
      <c r="H181" s="56">
        <f t="shared" si="189"/>
        <v>6.84182305630027</v>
      </c>
      <c r="I181" s="56">
        <f t="shared" si="189"/>
        <v>4.3877005347593654</v>
      </c>
      <c r="J181" s="57">
        <f t="shared" si="189"/>
        <v>1.0687830687830693</v>
      </c>
      <c r="K181" s="57">
        <f t="shared" si="189"/>
        <v>1.128947368421052</v>
      </c>
      <c r="L181" s="57">
        <f t="shared" si="189"/>
        <v>2.1978891820580495</v>
      </c>
      <c r="M181" s="57">
        <f t="shared" si="189"/>
        <v>1.2283464566929141</v>
      </c>
      <c r="N181" s="57">
        <f t="shared" si="189"/>
        <v>1.4371727748691105</v>
      </c>
      <c r="O181" s="56">
        <f t="shared" si="189"/>
        <v>4.8684210526315779</v>
      </c>
      <c r="P181" s="57">
        <f t="shared" si="189"/>
        <v>1.195822454308094</v>
      </c>
      <c r="Q181" s="57">
        <f t="shared" si="189"/>
        <v>1.4724409448818909</v>
      </c>
      <c r="R181" s="57">
        <f t="shared" si="189"/>
        <v>2.6675392670157052</v>
      </c>
      <c r="S181" s="57">
        <f t="shared" si="189"/>
        <v>1.4708994708994723</v>
      </c>
      <c r="T181" s="57">
        <f t="shared" si="189"/>
        <v>1.6182795698924708</v>
      </c>
      <c r="U181" s="56">
        <f t="shared" si="189"/>
        <v>5.7440633245382626</v>
      </c>
      <c r="V181" s="57">
        <f t="shared" si="189"/>
        <v>1.197260273972603</v>
      </c>
      <c r="W181" s="57">
        <f t="shared" si="189"/>
        <v>1.337950138504157</v>
      </c>
      <c r="X181" s="57">
        <f t="shared" si="189"/>
        <v>2.5344352617079933</v>
      </c>
      <c r="Y181" s="57">
        <f t="shared" si="189"/>
        <v>1.3379501385041541</v>
      </c>
      <c r="Z181" s="57">
        <f t="shared" si="189"/>
        <v>1.5677966101694925</v>
      </c>
      <c r="AA181" s="56">
        <f t="shared" si="189"/>
        <v>5.4388888888888873</v>
      </c>
      <c r="AB181" s="57">
        <f t="shared" si="189"/>
        <v>1.1079545454545447</v>
      </c>
      <c r="AC181" s="57">
        <f t="shared" si="189"/>
        <v>1.3286118980169987</v>
      </c>
      <c r="AD181" s="57">
        <f t="shared" si="189"/>
        <v>2.4368794326241137</v>
      </c>
      <c r="AE181" s="57">
        <f t="shared" si="189"/>
        <v>1.4606741573033695</v>
      </c>
      <c r="AF181" s="57">
        <f t="shared" si="189"/>
        <v>1.476323119777158</v>
      </c>
      <c r="AG181" s="56">
        <f t="shared" si="189"/>
        <v>5.3774647887323965</v>
      </c>
      <c r="AH181" s="57">
        <f t="shared" si="189"/>
        <v>0.84487534626038796</v>
      </c>
      <c r="AI181" s="57">
        <f t="shared" ref="AI181:BN181" si="190">IFERROR(AI171/AI179,"")</f>
        <v>1.6602209944751394</v>
      </c>
      <c r="AJ181" s="57">
        <f t="shared" si="190"/>
        <v>2.5062240663900419</v>
      </c>
      <c r="AK181" s="57">
        <f t="shared" si="190"/>
        <v>1.8956043956043964</v>
      </c>
      <c r="AL181" s="57">
        <f t="shared" si="190"/>
        <v>1.8419618528610351</v>
      </c>
      <c r="AM181" s="56">
        <f t="shared" si="190"/>
        <v>6.2589531680440809</v>
      </c>
      <c r="AN181" s="57">
        <f t="shared" si="190"/>
        <v>1.8070652173913055</v>
      </c>
      <c r="AO181" s="57">
        <f t="shared" si="190"/>
        <v>2.3216216216216212</v>
      </c>
      <c r="AP181" s="57">
        <f t="shared" si="190"/>
        <v>4.1300813008130044</v>
      </c>
      <c r="AQ181" s="57">
        <f t="shared" si="190"/>
        <v>2.4274193548387086</v>
      </c>
      <c r="AR181" s="57">
        <f t="shared" si="190"/>
        <v>2.4489247311827946</v>
      </c>
      <c r="AS181" s="56">
        <f t="shared" si="190"/>
        <v>9.021621621621625</v>
      </c>
      <c r="AT181" s="57">
        <f t="shared" si="190"/>
        <v>2.0241935483870983</v>
      </c>
      <c r="AU181" s="57">
        <f t="shared" si="190"/>
        <v>2.796791443850267</v>
      </c>
      <c r="AV181" s="57">
        <f t="shared" si="190"/>
        <v>4.8230563002680968</v>
      </c>
      <c r="AW181" s="57">
        <f t="shared" si="190"/>
        <v>2.8377659574468095</v>
      </c>
      <c r="AX181" s="57">
        <f t="shared" si="190"/>
        <v>3.0608465608465618</v>
      </c>
      <c r="AY181" s="56">
        <f t="shared" si="190"/>
        <v>10.727999999999998</v>
      </c>
      <c r="AZ181" s="57">
        <f t="shared" si="190"/>
        <v>2.1746031746031749</v>
      </c>
      <c r="BA181" s="57">
        <f t="shared" si="190"/>
        <v>2.4788359788359768</v>
      </c>
      <c r="BB181" s="57">
        <f t="shared" si="190"/>
        <v>4.6534391534391544</v>
      </c>
      <c r="BC181" s="57">
        <f t="shared" si="190"/>
        <v>2.4841269841269846</v>
      </c>
      <c r="BD181" s="57">
        <f t="shared" si="190"/>
        <v>3.476315789473682</v>
      </c>
      <c r="BE181" s="56">
        <f t="shared" si="190"/>
        <v>10.604221635883903</v>
      </c>
      <c r="BF181" s="57">
        <f t="shared" si="190"/>
        <v>2.2289473684210539</v>
      </c>
      <c r="BG181" s="57">
        <f t="shared" si="190"/>
        <v>1.48394495412844</v>
      </c>
      <c r="BH181" s="57">
        <f t="shared" si="190"/>
        <v>3.6617647058823568</v>
      </c>
      <c r="BI181" s="57">
        <f t="shared" si="190"/>
        <v>2.8113207547169816</v>
      </c>
      <c r="BJ181" s="57">
        <f t="shared" si="190"/>
        <v>3.392033542976939</v>
      </c>
      <c r="BK181" s="56">
        <f t="shared" si="190"/>
        <v>10.051918735891656</v>
      </c>
      <c r="BL181" s="57">
        <f t="shared" si="190"/>
        <v>4.4570230607966446</v>
      </c>
      <c r="BM181" s="57">
        <f t="shared" si="190"/>
        <v>3.5911949685534581</v>
      </c>
      <c r="BN181" s="57">
        <f t="shared" si="190"/>
        <v>8.0482180293501067</v>
      </c>
      <c r="BO181" s="57">
        <f t="shared" ref="BO181:CS181" si="191">IFERROR(BO171/BO179,"")</f>
        <v>3.7379454926624724</v>
      </c>
      <c r="BP181" s="57">
        <f t="shared" si="191"/>
        <v>4.7364016736401702</v>
      </c>
      <c r="BQ181" s="56">
        <f t="shared" si="191"/>
        <v>16.532494758909859</v>
      </c>
      <c r="BR181" s="57">
        <f t="shared" si="191"/>
        <v>3.7306889352818366</v>
      </c>
      <c r="BS181" s="57">
        <f t="shared" si="191"/>
        <v>3.8684759916492708</v>
      </c>
      <c r="BT181" s="57">
        <f t="shared" si="191"/>
        <v>7.599164926931107</v>
      </c>
      <c r="BU181" s="57">
        <f t="shared" si="191"/>
        <v>4.1461377870563672</v>
      </c>
      <c r="BV181" s="57">
        <f t="shared" si="191"/>
        <v>6.7453027139874742</v>
      </c>
      <c r="BW181" s="56">
        <f t="shared" si="191"/>
        <v>18.490605427974952</v>
      </c>
      <c r="BX181" s="57">
        <f t="shared" si="191"/>
        <v>3.7187499999999969</v>
      </c>
      <c r="BY181" s="57">
        <f t="shared" si="191"/>
        <v>3.7698744769874457</v>
      </c>
      <c r="BZ181" s="57">
        <f t="shared" si="191"/>
        <v>7.4885177453027083</v>
      </c>
      <c r="CA181" s="57">
        <f t="shared" si="191"/>
        <v>5.5391120507399592</v>
      </c>
      <c r="CB181" s="57">
        <f t="shared" si="191"/>
        <v>4.1966173361522197</v>
      </c>
      <c r="CC181" s="56">
        <f t="shared" si="191"/>
        <v>17.210084033613445</v>
      </c>
      <c r="CD181" s="57">
        <f t="shared" si="191"/>
        <v>3.9873150105708275</v>
      </c>
      <c r="CE181" s="57">
        <f t="shared" si="191"/>
        <v>4.4282700421940921</v>
      </c>
      <c r="CF181" s="57">
        <f t="shared" si="191"/>
        <v>8.4160506863780444</v>
      </c>
      <c r="CG181" s="57">
        <f t="shared" si="191"/>
        <v>4.6463157894736824</v>
      </c>
      <c r="CH181" s="57">
        <f t="shared" si="191"/>
        <v>5.8389830508474549</v>
      </c>
      <c r="CI181" s="56">
        <f t="shared" si="191"/>
        <v>18.877637130801691</v>
      </c>
      <c r="CJ181" s="57">
        <f t="shared" si="191"/>
        <v>4.8461538461538449</v>
      </c>
      <c r="CK181" s="57">
        <f t="shared" si="191"/>
        <v>5.3667377398720699</v>
      </c>
      <c r="CL181" s="57">
        <f t="shared" si="191"/>
        <v>10.213447171824978</v>
      </c>
      <c r="CM181" s="56">
        <f t="shared" si="191"/>
        <v>5.150970149253733</v>
      </c>
      <c r="CN181" s="56">
        <f t="shared" si="191"/>
        <v>5.4260501066098055</v>
      </c>
      <c r="CO181" s="56">
        <f t="shared" si="191"/>
        <v>20.790661333333333</v>
      </c>
      <c r="CP181" s="56">
        <f t="shared" si="191"/>
        <v>24.425820652382296</v>
      </c>
      <c r="CQ181" s="56">
        <f t="shared" si="191"/>
        <v>27.461644569473975</v>
      </c>
      <c r="CR181" s="56">
        <f t="shared" si="191"/>
        <v>31.083230598626209</v>
      </c>
      <c r="CS181" s="56">
        <f t="shared" si="191"/>
        <v>35.276284528857573</v>
      </c>
      <c r="CT181" s="22" t="s">
        <v>291</v>
      </c>
      <c r="CV181" s="23">
        <f>IFERROR((CS181/CI181)^(1/5)-1,"n/m")</f>
        <v>0.13320123881463242</v>
      </c>
      <c r="CW181" s="23">
        <f>IFERROR((CI181/BE181)^(1/5)-1,"n/m")</f>
        <v>0.12226073283478622</v>
      </c>
      <c r="CX181" s="23">
        <f>IFERROR((CI181/AA181)^(1/10)-1,"n/m")</f>
        <v>0.13251443103255101</v>
      </c>
      <c r="CY181" s="23">
        <f>IFERROR((CI181/C181)^(1/19)-1,"n/m")</f>
        <v>0.11814446414264723</v>
      </c>
    </row>
    <row r="182" spans="2:103" ht="15" customHeight="1" x14ac:dyDescent="0.25">
      <c r="B182" s="36" t="s">
        <v>292</v>
      </c>
      <c r="C182" s="58">
        <v>2.2599999999999998</v>
      </c>
      <c r="D182" s="58">
        <v>2.72</v>
      </c>
      <c r="E182" s="58">
        <v>3.05</v>
      </c>
      <c r="F182" s="58">
        <v>3.1</v>
      </c>
      <c r="G182" s="58">
        <v>3.27</v>
      </c>
      <c r="H182" s="58">
        <v>6.84</v>
      </c>
      <c r="I182" s="58">
        <v>4.3899999999999997</v>
      </c>
      <c r="J182" s="58">
        <v>1.07</v>
      </c>
      <c r="K182" s="58">
        <v>1.1299999999999999</v>
      </c>
      <c r="L182" s="59"/>
      <c r="M182" s="58">
        <v>1.23</v>
      </c>
      <c r="N182" s="58">
        <v>1.44</v>
      </c>
      <c r="O182" s="58">
        <v>4.87</v>
      </c>
      <c r="P182" s="58">
        <v>1.2</v>
      </c>
      <c r="Q182" s="58">
        <v>1.47</v>
      </c>
      <c r="R182" s="59"/>
      <c r="S182" s="58">
        <v>1.47</v>
      </c>
      <c r="T182" s="58">
        <v>1.62</v>
      </c>
      <c r="U182" s="58">
        <v>5.75</v>
      </c>
      <c r="V182" s="58">
        <v>1.2</v>
      </c>
      <c r="W182" s="58">
        <v>1.34</v>
      </c>
      <c r="X182" s="59"/>
      <c r="Y182" s="58">
        <v>1.34</v>
      </c>
      <c r="Z182" s="58">
        <v>1.57</v>
      </c>
      <c r="AA182" s="58">
        <v>5.44</v>
      </c>
      <c r="AB182" s="58">
        <v>1.1100000000000001</v>
      </c>
      <c r="AC182" s="58">
        <v>1.33</v>
      </c>
      <c r="AD182" s="59"/>
      <c r="AE182" s="58">
        <v>1.46</v>
      </c>
      <c r="AF182" s="58">
        <v>1.48</v>
      </c>
      <c r="AG182" s="58">
        <v>5.37</v>
      </c>
      <c r="AH182" s="58">
        <v>0.84</v>
      </c>
      <c r="AI182" s="58">
        <v>1.66</v>
      </c>
      <c r="AJ182" s="59"/>
      <c r="AK182" s="58">
        <v>1.9</v>
      </c>
      <c r="AL182" s="58">
        <v>1.84</v>
      </c>
      <c r="AM182" s="58">
        <v>6.26</v>
      </c>
      <c r="AN182" s="58">
        <v>1.81</v>
      </c>
      <c r="AO182" s="58">
        <v>2.3199999999999998</v>
      </c>
      <c r="AP182" s="59"/>
      <c r="AQ182" s="58">
        <v>2.4300000000000002</v>
      </c>
      <c r="AR182" s="58">
        <v>2.4500000000000002</v>
      </c>
      <c r="AS182" s="58">
        <v>9.01</v>
      </c>
      <c r="AT182" s="58">
        <v>2.02</v>
      </c>
      <c r="AU182" s="58">
        <v>2.8</v>
      </c>
      <c r="AV182" s="59"/>
      <c r="AW182" s="58">
        <v>2.84</v>
      </c>
      <c r="AX182" s="58">
        <v>3.06</v>
      </c>
      <c r="AY182" s="58">
        <v>10.73</v>
      </c>
      <c r="AZ182" s="58">
        <v>2.17</v>
      </c>
      <c r="BA182" s="58">
        <v>2.48</v>
      </c>
      <c r="BB182" s="59"/>
      <c r="BC182" s="58">
        <v>2.48</v>
      </c>
      <c r="BD182" s="58">
        <v>3.48</v>
      </c>
      <c r="BE182" s="58">
        <v>10.62</v>
      </c>
      <c r="BF182" s="58">
        <v>2.23</v>
      </c>
      <c r="BG182" s="58">
        <v>1.48</v>
      </c>
      <c r="BH182" s="59"/>
      <c r="BI182" s="58">
        <v>2.81</v>
      </c>
      <c r="BJ182" s="58">
        <v>3.39</v>
      </c>
      <c r="BK182" s="58">
        <v>10.050000000000001</v>
      </c>
      <c r="BL182" s="58">
        <v>4.46</v>
      </c>
      <c r="BM182" s="58">
        <v>3.59</v>
      </c>
      <c r="BN182" s="59"/>
      <c r="BO182" s="58">
        <v>3.74</v>
      </c>
      <c r="BP182" s="58">
        <v>4.74</v>
      </c>
      <c r="BQ182" s="58">
        <v>16.53</v>
      </c>
      <c r="BR182" s="58">
        <v>3.73</v>
      </c>
      <c r="BS182" s="58">
        <v>3.87</v>
      </c>
      <c r="BT182" s="59"/>
      <c r="BU182" s="58">
        <v>4.1500000000000004</v>
      </c>
      <c r="BV182" s="58">
        <v>6.75</v>
      </c>
      <c r="BW182" s="58">
        <v>18.489999999999998</v>
      </c>
      <c r="BX182" s="58">
        <v>3.72</v>
      </c>
      <c r="BY182" s="58">
        <v>3.77</v>
      </c>
      <c r="BZ182" s="59"/>
      <c r="CA182" s="58">
        <v>5.54</v>
      </c>
      <c r="CB182" s="58">
        <v>4.2</v>
      </c>
      <c r="CC182" s="58">
        <v>17.21</v>
      </c>
      <c r="CD182" s="58">
        <v>3.99</v>
      </c>
      <c r="CE182" s="58">
        <v>4.43</v>
      </c>
      <c r="CF182" s="59"/>
      <c r="CG182" s="58">
        <v>4.6500000000000004</v>
      </c>
      <c r="CH182" s="58">
        <v>5.84</v>
      </c>
      <c r="CI182" s="58">
        <v>18.88</v>
      </c>
      <c r="CJ182" s="58">
        <v>4.8499999999999996</v>
      </c>
      <c r="CK182" s="58">
        <v>5.37</v>
      </c>
      <c r="CL182" s="58">
        <v>10.199999999999999</v>
      </c>
      <c r="CM182" s="60"/>
      <c r="CN182" s="60"/>
      <c r="CO182" s="60"/>
      <c r="CP182" s="60"/>
      <c r="CQ182" s="60"/>
      <c r="CR182" s="60"/>
      <c r="CS182" s="60"/>
      <c r="CT182" s="22"/>
      <c r="CV182" s="6"/>
      <c r="CW182" s="6"/>
      <c r="CX182" s="6"/>
      <c r="CY182" s="6"/>
    </row>
    <row r="183" spans="2:103" ht="15" customHeight="1" x14ac:dyDescent="0.25">
      <c r="B183" s="36" t="s">
        <v>293</v>
      </c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60"/>
      <c r="CN183" s="60"/>
      <c r="CO183" s="60">
        <f>CHOOSE(MATCH($CT$2,{"Bull","Base","Bear"},0),$DC$14,$DD$14,$DE$14)</f>
        <v>20.86</v>
      </c>
      <c r="CP183" s="60"/>
      <c r="CQ183" s="60"/>
      <c r="CR183" s="60"/>
      <c r="CS183" s="60"/>
      <c r="CT183" s="22" t="s">
        <v>294</v>
      </c>
      <c r="CV183" s="6"/>
      <c r="CW183" s="6"/>
      <c r="CX183" s="6"/>
      <c r="CY183" s="6"/>
    </row>
    <row r="184" spans="2:103" ht="15" customHeight="1" x14ac:dyDescent="0.25">
      <c r="B184" s="12"/>
      <c r="CM184" s="6"/>
      <c r="CN184" s="6"/>
      <c r="CO184" s="6"/>
      <c r="CP184" s="6"/>
      <c r="CQ184" s="6"/>
      <c r="CR184" s="6"/>
      <c r="CS184" s="6"/>
      <c r="CT184" s="6"/>
    </row>
    <row r="185" spans="2:103" ht="15" hidden="1" customHeight="1" outlineLevel="1" x14ac:dyDescent="0.25">
      <c r="B185" s="11" t="s">
        <v>295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 t="s">
        <v>296</v>
      </c>
    </row>
    <row r="186" spans="2:103" ht="15" hidden="1" customHeight="1" outlineLevel="1" x14ac:dyDescent="0.25">
      <c r="B186" s="18" t="s">
        <v>297</v>
      </c>
      <c r="C186" s="19">
        <f t="shared" ref="C186:AH186" si="192">C160</f>
        <v>125.10000000000002</v>
      </c>
      <c r="D186" s="19">
        <f t="shared" si="192"/>
        <v>162.29999999999984</v>
      </c>
      <c r="E186" s="19">
        <f t="shared" si="192"/>
        <v>198.59999999999991</v>
      </c>
      <c r="F186" s="19">
        <f t="shared" si="192"/>
        <v>171.39999999999998</v>
      </c>
      <c r="G186" s="19">
        <f t="shared" si="192"/>
        <v>178.50000000000011</v>
      </c>
      <c r="H186" s="19">
        <f t="shared" si="192"/>
        <v>227.20000000000005</v>
      </c>
      <c r="I186" s="19">
        <f t="shared" si="192"/>
        <v>243.10000000000025</v>
      </c>
      <c r="J186" s="19">
        <f t="shared" si="192"/>
        <v>58.900000000000006</v>
      </c>
      <c r="K186" s="19">
        <f t="shared" si="192"/>
        <v>64.899999999999977</v>
      </c>
      <c r="L186" s="19">
        <f t="shared" si="192"/>
        <v>123.80000000000007</v>
      </c>
      <c r="M186" s="19">
        <f t="shared" si="192"/>
        <v>53.000000000000028</v>
      </c>
      <c r="N186" s="19">
        <f t="shared" si="192"/>
        <v>63.500000000000028</v>
      </c>
      <c r="O186" s="19">
        <f t="shared" si="192"/>
        <v>240.29999999999995</v>
      </c>
      <c r="P186" s="19">
        <f t="shared" si="192"/>
        <v>66</v>
      </c>
      <c r="Q186" s="19">
        <f t="shared" si="192"/>
        <v>74.30000000000004</v>
      </c>
      <c r="R186" s="19">
        <f t="shared" si="192"/>
        <v>140.29999999999995</v>
      </c>
      <c r="S186" s="19">
        <f t="shared" si="192"/>
        <v>74.30000000000004</v>
      </c>
      <c r="T186" s="19">
        <f t="shared" si="192"/>
        <v>79.89999999999992</v>
      </c>
      <c r="U186" s="19">
        <f t="shared" si="192"/>
        <v>294.50000000000011</v>
      </c>
      <c r="V186" s="19">
        <f t="shared" si="192"/>
        <v>67.300000000000011</v>
      </c>
      <c r="W186" s="19">
        <f t="shared" si="192"/>
        <v>68.900000000000063</v>
      </c>
      <c r="X186" s="19">
        <f t="shared" si="192"/>
        <v>136.20000000000016</v>
      </c>
      <c r="Y186" s="19">
        <f t="shared" si="192"/>
        <v>69.499999999999972</v>
      </c>
      <c r="Z186" s="19">
        <f t="shared" si="192"/>
        <v>76.000000000000028</v>
      </c>
      <c r="AA186" s="19">
        <f t="shared" si="192"/>
        <v>281.69999999999993</v>
      </c>
      <c r="AB186" s="19">
        <f t="shared" si="192"/>
        <v>60.899999999999977</v>
      </c>
      <c r="AC186" s="19">
        <f t="shared" si="192"/>
        <v>53.600000000000051</v>
      </c>
      <c r="AD186" s="19">
        <f t="shared" si="192"/>
        <v>114.5</v>
      </c>
      <c r="AE186" s="19">
        <f t="shared" si="192"/>
        <v>68.799999999999955</v>
      </c>
      <c r="AF186" s="19">
        <f t="shared" si="192"/>
        <v>70.499999999999972</v>
      </c>
      <c r="AG186" s="19">
        <f t="shared" si="192"/>
        <v>253.80000000000007</v>
      </c>
      <c r="AH186" s="19">
        <f t="shared" si="192"/>
        <v>54.800000000000011</v>
      </c>
      <c r="AI186" s="19">
        <f t="shared" ref="AI186:BN186" si="193">AI160</f>
        <v>82.80000000000004</v>
      </c>
      <c r="AJ186" s="19">
        <f t="shared" si="193"/>
        <v>137.60000000000002</v>
      </c>
      <c r="AK186" s="19">
        <f t="shared" si="193"/>
        <v>89.500000000000028</v>
      </c>
      <c r="AL186" s="19">
        <f t="shared" si="193"/>
        <v>94.6</v>
      </c>
      <c r="AM186" s="19">
        <f t="shared" si="193"/>
        <v>321.70000000000016</v>
      </c>
      <c r="AN186" s="19">
        <f t="shared" si="193"/>
        <v>88.400000000000034</v>
      </c>
      <c r="AO186" s="19">
        <f t="shared" si="193"/>
        <v>111.5</v>
      </c>
      <c r="AP186" s="19">
        <f t="shared" si="193"/>
        <v>199.89999999999986</v>
      </c>
      <c r="AQ186" s="19">
        <f t="shared" si="193"/>
        <v>105.49999999999997</v>
      </c>
      <c r="AR186" s="19">
        <f t="shared" si="193"/>
        <v>111.19999999999996</v>
      </c>
      <c r="AS186" s="19">
        <f t="shared" si="193"/>
        <v>416.60000000000014</v>
      </c>
      <c r="AT186" s="19">
        <f t="shared" si="193"/>
        <v>97.300000000000068</v>
      </c>
      <c r="AU186" s="19">
        <f t="shared" si="193"/>
        <v>131.89999999999998</v>
      </c>
      <c r="AV186" s="19">
        <f t="shared" si="193"/>
        <v>229.20000000000005</v>
      </c>
      <c r="AW186" s="19">
        <f t="shared" si="193"/>
        <v>128.70000000000005</v>
      </c>
      <c r="AX186" s="19">
        <f t="shared" si="193"/>
        <v>133.80000000000001</v>
      </c>
      <c r="AY186" s="19">
        <f t="shared" si="193"/>
        <v>491.69999999999993</v>
      </c>
      <c r="AZ186" s="19">
        <f t="shared" si="193"/>
        <v>104</v>
      </c>
      <c r="BA186" s="19">
        <f t="shared" si="193"/>
        <v>109.79999999999993</v>
      </c>
      <c r="BB186" s="19">
        <f t="shared" si="193"/>
        <v>213.80000000000007</v>
      </c>
      <c r="BC186" s="19">
        <f t="shared" si="193"/>
        <v>122.5</v>
      </c>
      <c r="BD186" s="19">
        <f t="shared" si="193"/>
        <v>143.79999999999993</v>
      </c>
      <c r="BE186" s="19">
        <f t="shared" si="193"/>
        <v>480.09999999999991</v>
      </c>
      <c r="BF186" s="19">
        <f t="shared" si="193"/>
        <v>135.20000000000005</v>
      </c>
      <c r="BG186" s="19">
        <f t="shared" si="193"/>
        <v>104.39999999999999</v>
      </c>
      <c r="BH186" s="19">
        <f t="shared" si="193"/>
        <v>239.60000000000016</v>
      </c>
      <c r="BI186" s="19">
        <f t="shared" si="193"/>
        <v>189.60000000000002</v>
      </c>
      <c r="BJ186" s="19">
        <f t="shared" si="193"/>
        <v>195.1</v>
      </c>
      <c r="BK186" s="19">
        <f t="shared" si="193"/>
        <v>624.30000000000018</v>
      </c>
      <c r="BL186" s="19">
        <f t="shared" si="193"/>
        <v>223.49999999999997</v>
      </c>
      <c r="BM186" s="19">
        <f t="shared" si="193"/>
        <v>229.49999999999994</v>
      </c>
      <c r="BN186" s="19">
        <f t="shared" si="193"/>
        <v>453.00000000000011</v>
      </c>
      <c r="BO186" s="19">
        <f t="shared" ref="BO186:CN186" si="194">BO160</f>
        <v>245.19999999999996</v>
      </c>
      <c r="BP186" s="19">
        <f t="shared" si="194"/>
        <v>273.80000000000013</v>
      </c>
      <c r="BQ186" s="19">
        <f t="shared" si="194"/>
        <v>972.00000000000023</v>
      </c>
      <c r="BR186" s="19">
        <f t="shared" si="194"/>
        <v>242.49999999999994</v>
      </c>
      <c r="BS186" s="19">
        <f t="shared" si="194"/>
        <v>256.10000000000008</v>
      </c>
      <c r="BT186" s="19">
        <f t="shared" si="194"/>
        <v>498.6</v>
      </c>
      <c r="BU186" s="19">
        <f t="shared" si="194"/>
        <v>264.29999999999995</v>
      </c>
      <c r="BV186" s="19">
        <f t="shared" si="194"/>
        <v>271.5</v>
      </c>
      <c r="BW186" s="19">
        <f t="shared" si="194"/>
        <v>1034.4000000000001</v>
      </c>
      <c r="BX186" s="19">
        <f t="shared" si="194"/>
        <v>234.29999999999987</v>
      </c>
      <c r="BY186" s="19">
        <f t="shared" si="194"/>
        <v>246.99999999999991</v>
      </c>
      <c r="BZ186" s="19">
        <f t="shared" si="194"/>
        <v>481.29999999999973</v>
      </c>
      <c r="CA186" s="19">
        <f t="shared" si="194"/>
        <v>270.7</v>
      </c>
      <c r="CB186" s="19">
        <f t="shared" si="194"/>
        <v>237.09999999999997</v>
      </c>
      <c r="CC186" s="19">
        <f t="shared" si="194"/>
        <v>989.10000000000014</v>
      </c>
      <c r="CD186" s="19">
        <f t="shared" si="194"/>
        <v>259.30000000000013</v>
      </c>
      <c r="CE186" s="19">
        <f t="shared" si="194"/>
        <v>278.2</v>
      </c>
      <c r="CF186" s="19">
        <f t="shared" si="194"/>
        <v>537.50000000000034</v>
      </c>
      <c r="CG186" s="19">
        <f t="shared" si="194"/>
        <v>282.79999999999995</v>
      </c>
      <c r="CH186" s="19">
        <f t="shared" si="194"/>
        <v>329.49999999999994</v>
      </c>
      <c r="CI186" s="19">
        <f t="shared" si="194"/>
        <v>1149.7999999999997</v>
      </c>
      <c r="CJ186" s="19">
        <f t="shared" si="194"/>
        <v>294.19999999999993</v>
      </c>
      <c r="CK186" s="19">
        <f t="shared" si="194"/>
        <v>333.20000000000005</v>
      </c>
      <c r="CL186" s="19">
        <f t="shared" si="194"/>
        <v>627.40000000000009</v>
      </c>
      <c r="CM186" s="21">
        <f t="shared" si="194"/>
        <v>318.74585987261156</v>
      </c>
      <c r="CN186" s="21">
        <f t="shared" si="194"/>
        <v>335.18057324840748</v>
      </c>
      <c r="CO186" s="21">
        <f t="shared" ref="CO186:CO193" si="195">SUM(CJ186,CK186,CM186,CN186)</f>
        <v>1281.3264331210189</v>
      </c>
      <c r="CP186" s="21">
        <f>CP160</f>
        <v>1449.7172273478623</v>
      </c>
      <c r="CQ186" s="21">
        <f>CQ160</f>
        <v>1606.4941127532772</v>
      </c>
      <c r="CR186" s="21">
        <f>CR160</f>
        <v>1811.5365762416361</v>
      </c>
      <c r="CS186" s="21">
        <f>CS160</f>
        <v>2013.9657495183951</v>
      </c>
      <c r="CT186" s="22"/>
      <c r="CV186" s="6"/>
      <c r="CW186" s="6"/>
      <c r="CX186" s="6"/>
      <c r="CY186" s="6"/>
    </row>
    <row r="187" spans="2:103" ht="15" hidden="1" customHeight="1" outlineLevel="1" x14ac:dyDescent="0.25">
      <c r="B187" s="12" t="s">
        <v>111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30">
        <v>9.6</v>
      </c>
      <c r="BA187" s="30">
        <v>9.6999999999999993</v>
      </c>
      <c r="BB187" s="29">
        <f>AZ187+BA187</f>
        <v>19.299999999999997</v>
      </c>
      <c r="BC187" s="30">
        <v>9.9</v>
      </c>
      <c r="BD187" s="30">
        <v>9.6</v>
      </c>
      <c r="BE187" s="30">
        <v>38.799999999999997</v>
      </c>
      <c r="BF187" s="30">
        <v>9.8000000000000007</v>
      </c>
      <c r="BG187" s="30">
        <v>32.799999999999997</v>
      </c>
      <c r="BH187" s="29">
        <f>BF187+BG187</f>
        <v>42.599999999999994</v>
      </c>
      <c r="BI187" s="30">
        <v>55.3</v>
      </c>
      <c r="BJ187" s="30">
        <v>51.4</v>
      </c>
      <c r="BK187" s="30">
        <v>149.30000000000001</v>
      </c>
      <c r="BL187" s="30">
        <v>53.6</v>
      </c>
      <c r="BM187" s="30">
        <v>51.3</v>
      </c>
      <c r="BN187" s="29">
        <f>BL187+BM187</f>
        <v>104.9</v>
      </c>
      <c r="BO187" s="30">
        <v>48.9</v>
      </c>
      <c r="BP187" s="30">
        <v>47.9</v>
      </c>
      <c r="BQ187" s="30">
        <v>201.7</v>
      </c>
      <c r="BR187" s="30">
        <v>49.7</v>
      </c>
      <c r="BS187" s="30">
        <v>49.3</v>
      </c>
      <c r="BT187" s="29">
        <f>BR187+BS187</f>
        <v>99</v>
      </c>
      <c r="BU187" s="30">
        <v>49.1</v>
      </c>
      <c r="BV187" s="30">
        <v>48.6</v>
      </c>
      <c r="BW187" s="30">
        <v>196.7</v>
      </c>
      <c r="BX187" s="30">
        <v>49.4</v>
      </c>
      <c r="BY187" s="30">
        <v>49.1</v>
      </c>
      <c r="BZ187" s="29">
        <f>BX187+BY187</f>
        <v>98.5</v>
      </c>
      <c r="CA187" s="30">
        <v>49.8</v>
      </c>
      <c r="CB187" s="30">
        <v>49.7</v>
      </c>
      <c r="CC187" s="30">
        <v>198</v>
      </c>
      <c r="CD187" s="30">
        <v>52</v>
      </c>
      <c r="CE187" s="30">
        <v>54.6</v>
      </c>
      <c r="CF187" s="29">
        <f>CD187+CE187</f>
        <v>106.6</v>
      </c>
      <c r="CG187" s="30">
        <v>55.1</v>
      </c>
      <c r="CH187" s="30">
        <v>54.9</v>
      </c>
      <c r="CI187" s="30">
        <v>216.6</v>
      </c>
      <c r="CJ187" s="30">
        <v>57.6</v>
      </c>
      <c r="CK187" s="30">
        <v>56</v>
      </c>
      <c r="CL187" s="29">
        <f>CJ187+CK187</f>
        <v>113.6</v>
      </c>
      <c r="CM187" s="31">
        <f>CM125</f>
        <v>56.2</v>
      </c>
      <c r="CN187" s="31">
        <f>CN125</f>
        <v>56.2</v>
      </c>
      <c r="CO187" s="31">
        <f t="shared" si="195"/>
        <v>226</v>
      </c>
      <c r="CP187" s="31">
        <f>CP125</f>
        <v>222.73750000000001</v>
      </c>
      <c r="CQ187" s="31">
        <f>CQ125</f>
        <v>245.35833333333335</v>
      </c>
      <c r="CR187" s="31">
        <f>CR125</f>
        <v>230.625</v>
      </c>
      <c r="CS187" s="31">
        <f>CS125</f>
        <v>233.5916666666667</v>
      </c>
      <c r="CT187" s="22"/>
      <c r="CV187" s="6"/>
      <c r="CW187" s="6"/>
      <c r="CX187" s="6"/>
      <c r="CY187" s="6"/>
    </row>
    <row r="188" spans="2:103" ht="15" hidden="1" customHeight="1" outlineLevel="1" x14ac:dyDescent="0.25">
      <c r="B188" s="12" t="s">
        <v>298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30">
        <v>1.9</v>
      </c>
      <c r="AG188" s="30">
        <v>1.9</v>
      </c>
      <c r="AH188" s="30">
        <v>11.5</v>
      </c>
      <c r="AI188" s="30">
        <v>1.3</v>
      </c>
      <c r="AJ188" s="29">
        <f>AH188+AI188</f>
        <v>12.8</v>
      </c>
      <c r="AK188" s="30">
        <v>0.2</v>
      </c>
      <c r="AL188" s="30">
        <v>0</v>
      </c>
      <c r="AM188" s="30">
        <v>13</v>
      </c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30">
        <v>5.9</v>
      </c>
      <c r="BG188" s="30">
        <v>94.5</v>
      </c>
      <c r="BH188" s="29">
        <f>BF188+BG188</f>
        <v>100.4</v>
      </c>
      <c r="BI188" s="30">
        <v>1.8</v>
      </c>
      <c r="BJ188" s="30">
        <v>0.8</v>
      </c>
      <c r="BK188" s="30">
        <v>103</v>
      </c>
      <c r="BL188" s="29"/>
      <c r="BM188" s="29"/>
      <c r="BN188" s="29"/>
      <c r="BO188" s="29"/>
      <c r="BP188" s="30">
        <v>-4</v>
      </c>
      <c r="BQ188" s="30">
        <v>-4</v>
      </c>
      <c r="BR188" s="29"/>
      <c r="BS188" s="29"/>
      <c r="BT188" s="29"/>
      <c r="BU188" s="30">
        <v>5.8</v>
      </c>
      <c r="BV188" s="30">
        <v>3</v>
      </c>
      <c r="BW188" s="30">
        <v>8.8000000000000007</v>
      </c>
      <c r="BX188" s="30">
        <v>2.2000000000000002</v>
      </c>
      <c r="BY188" s="30">
        <v>1</v>
      </c>
      <c r="BZ188" s="29">
        <f>BX188+BY188</f>
        <v>3.2</v>
      </c>
      <c r="CA188" s="30">
        <v>3.7</v>
      </c>
      <c r="CB188" s="30">
        <v>1.5</v>
      </c>
      <c r="CC188" s="30">
        <v>8.4</v>
      </c>
      <c r="CD188" s="30">
        <v>6.8</v>
      </c>
      <c r="CE188" s="30">
        <v>1.9</v>
      </c>
      <c r="CF188" s="29">
        <f>CD188+CE188</f>
        <v>8.6999999999999993</v>
      </c>
      <c r="CG188" s="30">
        <v>0.7</v>
      </c>
      <c r="CH188" s="30">
        <v>0.8</v>
      </c>
      <c r="CI188" s="30">
        <v>10.199999999999999</v>
      </c>
      <c r="CJ188" s="30">
        <v>0.2</v>
      </c>
      <c r="CK188" s="30">
        <v>0.2</v>
      </c>
      <c r="CL188" s="29">
        <f>CJ188+CK188</f>
        <v>0.4</v>
      </c>
      <c r="CM188" s="31">
        <f>CM98</f>
        <v>0.5</v>
      </c>
      <c r="CN188" s="31">
        <f>CN98</f>
        <v>0.5</v>
      </c>
      <c r="CO188" s="31">
        <f t="shared" si="195"/>
        <v>1.4</v>
      </c>
      <c r="CP188" s="31">
        <f>CP98</f>
        <v>5</v>
      </c>
      <c r="CQ188" s="31">
        <f>CQ98</f>
        <v>5</v>
      </c>
      <c r="CR188" s="31">
        <f>CR98</f>
        <v>5</v>
      </c>
      <c r="CS188" s="31">
        <f>CS98</f>
        <v>5</v>
      </c>
      <c r="CT188" s="22"/>
      <c r="CV188" s="6"/>
      <c r="CW188" s="6"/>
      <c r="CX188" s="6"/>
      <c r="CY188" s="6"/>
    </row>
    <row r="189" spans="2:103" ht="15" hidden="1" customHeight="1" outlineLevel="1" x14ac:dyDescent="0.25">
      <c r="B189" s="12" t="s">
        <v>299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30">
        <v>1.4</v>
      </c>
      <c r="AI189" s="30">
        <v>2.7</v>
      </c>
      <c r="AJ189" s="29">
        <f>AH189+AI189</f>
        <v>4.0999999999999996</v>
      </c>
      <c r="AK189" s="30">
        <v>2.7</v>
      </c>
      <c r="AL189" s="30">
        <v>-1.1000000000000001</v>
      </c>
      <c r="AM189" s="30">
        <v>5.7</v>
      </c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30">
        <v>23.4</v>
      </c>
      <c r="BH189" s="29">
        <f>N(BF189)+N(BG189)</f>
        <v>23.4</v>
      </c>
      <c r="BI189" s="30">
        <v>35.200000000000003</v>
      </c>
      <c r="BJ189" s="30">
        <v>47.8</v>
      </c>
      <c r="BK189" s="30">
        <v>106.4</v>
      </c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30">
        <v>0</v>
      </c>
      <c r="BY189" s="30">
        <v>0</v>
      </c>
      <c r="BZ189" s="29">
        <f>BX189+BY189</f>
        <v>0</v>
      </c>
      <c r="CA189" s="30">
        <v>0</v>
      </c>
      <c r="CB189" s="30">
        <v>0</v>
      </c>
      <c r="CC189" s="30">
        <v>0</v>
      </c>
      <c r="CD189" s="30">
        <v>0.6</v>
      </c>
      <c r="CE189" s="30">
        <v>1.2</v>
      </c>
      <c r="CF189" s="29">
        <f>CD189+CE189</f>
        <v>1.7999999999999998</v>
      </c>
      <c r="CG189" s="30">
        <v>1.4</v>
      </c>
      <c r="CH189" s="30">
        <v>0.2</v>
      </c>
      <c r="CI189" s="30">
        <v>3.4</v>
      </c>
      <c r="CJ189" s="30">
        <v>0</v>
      </c>
      <c r="CK189" s="30">
        <v>0</v>
      </c>
      <c r="CL189" s="29">
        <f>CJ189+CK189</f>
        <v>0</v>
      </c>
      <c r="CM189" s="31">
        <f>CM15+CM32+CM52+CM71</f>
        <v>0</v>
      </c>
      <c r="CN189" s="31">
        <f>CN15+CN32+CN52+CN71</f>
        <v>0</v>
      </c>
      <c r="CO189" s="31">
        <f t="shared" si="195"/>
        <v>0</v>
      </c>
      <c r="CP189" s="31">
        <f>CP15+CP32+CP52+CP71</f>
        <v>0</v>
      </c>
      <c r="CQ189" s="31">
        <f>CQ15+CQ32+CQ52+CQ71</f>
        <v>0</v>
      </c>
      <c r="CR189" s="31">
        <f>CR15+CR32+CR52+CR71</f>
        <v>0</v>
      </c>
      <c r="CS189" s="31">
        <f>CS15+CS32+CS52+CS71</f>
        <v>0</v>
      </c>
      <c r="CT189" s="22"/>
      <c r="CV189" s="6"/>
      <c r="CW189" s="6"/>
      <c r="CX189" s="6"/>
      <c r="CY189" s="6"/>
    </row>
    <row r="190" spans="2:103" ht="15" hidden="1" customHeight="1" outlineLevel="1" x14ac:dyDescent="0.25">
      <c r="B190" s="12" t="s">
        <v>300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30">
        <v>52.5</v>
      </c>
      <c r="CC190" s="30">
        <v>52.5</v>
      </c>
      <c r="CD190" s="29"/>
      <c r="CE190" s="29"/>
      <c r="CF190" s="29"/>
      <c r="CG190" s="29"/>
      <c r="CH190" s="30">
        <v>0</v>
      </c>
      <c r="CI190" s="30">
        <v>0</v>
      </c>
      <c r="CJ190" s="29"/>
      <c r="CK190" s="29"/>
      <c r="CL190" s="29"/>
      <c r="CM190" s="32">
        <v>0</v>
      </c>
      <c r="CN190" s="32">
        <v>0</v>
      </c>
      <c r="CO190" s="31">
        <f t="shared" si="195"/>
        <v>0</v>
      </c>
      <c r="CP190" s="32">
        <v>0</v>
      </c>
      <c r="CQ190" s="32">
        <v>0</v>
      </c>
      <c r="CR190" s="32">
        <v>0</v>
      </c>
      <c r="CS190" s="32">
        <v>0</v>
      </c>
      <c r="CT190" s="22"/>
      <c r="CV190" s="6"/>
      <c r="CW190" s="6"/>
      <c r="CX190" s="6"/>
      <c r="CY190" s="6"/>
    </row>
    <row r="191" spans="2:103" ht="15" hidden="1" customHeight="1" outlineLevel="1" x14ac:dyDescent="0.25">
      <c r="B191" s="12" t="s">
        <v>301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30">
        <v>3.3</v>
      </c>
      <c r="AI191" s="30">
        <v>3.4</v>
      </c>
      <c r="AJ191" s="29">
        <f>AH191+AI191</f>
        <v>6.6999999999999993</v>
      </c>
      <c r="AK191" s="30">
        <v>3.4</v>
      </c>
      <c r="AL191" s="30">
        <v>3.8</v>
      </c>
      <c r="AM191" s="30">
        <v>13.9</v>
      </c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32">
        <v>0</v>
      </c>
      <c r="CN191" s="32">
        <v>0</v>
      </c>
      <c r="CO191" s="31">
        <f t="shared" si="195"/>
        <v>0</v>
      </c>
      <c r="CP191" s="32">
        <v>0</v>
      </c>
      <c r="CQ191" s="32">
        <v>0</v>
      </c>
      <c r="CR191" s="32">
        <v>0</v>
      </c>
      <c r="CS191" s="32">
        <v>0</v>
      </c>
      <c r="CT191" s="22"/>
      <c r="CV191" s="6"/>
      <c r="CW191" s="6"/>
      <c r="CX191" s="6"/>
      <c r="CY191" s="6"/>
    </row>
    <row r="192" spans="2:103" ht="15" hidden="1" customHeight="1" outlineLevel="1" x14ac:dyDescent="0.25">
      <c r="B192" s="18" t="s">
        <v>302</v>
      </c>
      <c r="C192" s="19">
        <f t="shared" ref="C192:AH192" si="196">SUM(C187:C191)</f>
        <v>0</v>
      </c>
      <c r="D192" s="19">
        <f t="shared" si="196"/>
        <v>0</v>
      </c>
      <c r="E192" s="19">
        <f t="shared" si="196"/>
        <v>0</v>
      </c>
      <c r="F192" s="19">
        <f t="shared" si="196"/>
        <v>0</v>
      </c>
      <c r="G192" s="19">
        <f t="shared" si="196"/>
        <v>0</v>
      </c>
      <c r="H192" s="19">
        <f t="shared" si="196"/>
        <v>0</v>
      </c>
      <c r="I192" s="19">
        <f t="shared" si="196"/>
        <v>0</v>
      </c>
      <c r="J192" s="19">
        <f t="shared" si="196"/>
        <v>0</v>
      </c>
      <c r="K192" s="19">
        <f t="shared" si="196"/>
        <v>0</v>
      </c>
      <c r="L192" s="19">
        <f t="shared" si="196"/>
        <v>0</v>
      </c>
      <c r="M192" s="19">
        <f t="shared" si="196"/>
        <v>0</v>
      </c>
      <c r="N192" s="19">
        <f t="shared" si="196"/>
        <v>0</v>
      </c>
      <c r="O192" s="19">
        <f t="shared" si="196"/>
        <v>0</v>
      </c>
      <c r="P192" s="19">
        <f t="shared" si="196"/>
        <v>0</v>
      </c>
      <c r="Q192" s="19">
        <f t="shared" si="196"/>
        <v>0</v>
      </c>
      <c r="R192" s="19">
        <f t="shared" si="196"/>
        <v>0</v>
      </c>
      <c r="S192" s="19">
        <f t="shared" si="196"/>
        <v>0</v>
      </c>
      <c r="T192" s="19">
        <f t="shared" si="196"/>
        <v>0</v>
      </c>
      <c r="U192" s="19">
        <f t="shared" si="196"/>
        <v>0</v>
      </c>
      <c r="V192" s="19">
        <f t="shared" si="196"/>
        <v>0</v>
      </c>
      <c r="W192" s="19">
        <f t="shared" si="196"/>
        <v>0</v>
      </c>
      <c r="X192" s="19">
        <f t="shared" si="196"/>
        <v>0</v>
      </c>
      <c r="Y192" s="19">
        <f t="shared" si="196"/>
        <v>0</v>
      </c>
      <c r="Z192" s="19">
        <f t="shared" si="196"/>
        <v>0</v>
      </c>
      <c r="AA192" s="19">
        <f t="shared" si="196"/>
        <v>0</v>
      </c>
      <c r="AB192" s="19">
        <f t="shared" si="196"/>
        <v>0</v>
      </c>
      <c r="AC192" s="19">
        <f t="shared" si="196"/>
        <v>0</v>
      </c>
      <c r="AD192" s="19">
        <f t="shared" si="196"/>
        <v>0</v>
      </c>
      <c r="AE192" s="19">
        <f t="shared" si="196"/>
        <v>0</v>
      </c>
      <c r="AF192" s="19">
        <f t="shared" si="196"/>
        <v>1.9</v>
      </c>
      <c r="AG192" s="19">
        <f t="shared" si="196"/>
        <v>1.9</v>
      </c>
      <c r="AH192" s="19">
        <f t="shared" si="196"/>
        <v>16.2</v>
      </c>
      <c r="AI192" s="19">
        <f t="shared" ref="AI192:BN192" si="197">SUM(AI187:AI191)</f>
        <v>7.4</v>
      </c>
      <c r="AJ192" s="19">
        <f t="shared" si="197"/>
        <v>23.599999999999998</v>
      </c>
      <c r="AK192" s="19">
        <f t="shared" si="197"/>
        <v>6.3000000000000007</v>
      </c>
      <c r="AL192" s="19">
        <f t="shared" si="197"/>
        <v>2.6999999999999997</v>
      </c>
      <c r="AM192" s="19">
        <f t="shared" si="197"/>
        <v>32.6</v>
      </c>
      <c r="AN192" s="19">
        <f t="shared" si="197"/>
        <v>0</v>
      </c>
      <c r="AO192" s="19">
        <f t="shared" si="197"/>
        <v>0</v>
      </c>
      <c r="AP192" s="19">
        <f t="shared" si="197"/>
        <v>0</v>
      </c>
      <c r="AQ192" s="19">
        <f t="shared" si="197"/>
        <v>0</v>
      </c>
      <c r="AR192" s="19">
        <f t="shared" si="197"/>
        <v>0</v>
      </c>
      <c r="AS192" s="19">
        <f t="shared" si="197"/>
        <v>0</v>
      </c>
      <c r="AT192" s="19">
        <f t="shared" si="197"/>
        <v>0</v>
      </c>
      <c r="AU192" s="19">
        <f t="shared" si="197"/>
        <v>0</v>
      </c>
      <c r="AV192" s="19">
        <f t="shared" si="197"/>
        <v>0</v>
      </c>
      <c r="AW192" s="19">
        <f t="shared" si="197"/>
        <v>0</v>
      </c>
      <c r="AX192" s="19">
        <f t="shared" si="197"/>
        <v>0</v>
      </c>
      <c r="AY192" s="19">
        <f t="shared" si="197"/>
        <v>0</v>
      </c>
      <c r="AZ192" s="19">
        <f t="shared" si="197"/>
        <v>9.6</v>
      </c>
      <c r="BA192" s="19">
        <f t="shared" si="197"/>
        <v>9.6999999999999993</v>
      </c>
      <c r="BB192" s="19">
        <f t="shared" si="197"/>
        <v>19.299999999999997</v>
      </c>
      <c r="BC192" s="19">
        <f t="shared" si="197"/>
        <v>9.9</v>
      </c>
      <c r="BD192" s="19">
        <f t="shared" si="197"/>
        <v>9.6</v>
      </c>
      <c r="BE192" s="19">
        <f t="shared" si="197"/>
        <v>38.799999999999997</v>
      </c>
      <c r="BF192" s="19">
        <f t="shared" si="197"/>
        <v>15.700000000000001</v>
      </c>
      <c r="BG192" s="19">
        <f t="shared" si="197"/>
        <v>150.69999999999999</v>
      </c>
      <c r="BH192" s="19">
        <f t="shared" si="197"/>
        <v>166.4</v>
      </c>
      <c r="BI192" s="19">
        <f t="shared" si="197"/>
        <v>92.3</v>
      </c>
      <c r="BJ192" s="19">
        <f t="shared" si="197"/>
        <v>100</v>
      </c>
      <c r="BK192" s="19">
        <f t="shared" si="197"/>
        <v>358.70000000000005</v>
      </c>
      <c r="BL192" s="19">
        <f t="shared" si="197"/>
        <v>53.6</v>
      </c>
      <c r="BM192" s="19">
        <f t="shared" si="197"/>
        <v>51.3</v>
      </c>
      <c r="BN192" s="19">
        <f t="shared" si="197"/>
        <v>104.9</v>
      </c>
      <c r="BO192" s="19">
        <f t="shared" ref="BO192:CN192" si="198">SUM(BO187:BO191)</f>
        <v>48.9</v>
      </c>
      <c r="BP192" s="19">
        <f t="shared" si="198"/>
        <v>43.9</v>
      </c>
      <c r="BQ192" s="19">
        <f t="shared" si="198"/>
        <v>197.7</v>
      </c>
      <c r="BR192" s="19">
        <f t="shared" si="198"/>
        <v>49.7</v>
      </c>
      <c r="BS192" s="19">
        <f t="shared" si="198"/>
        <v>49.3</v>
      </c>
      <c r="BT192" s="19">
        <f t="shared" si="198"/>
        <v>99</v>
      </c>
      <c r="BU192" s="19">
        <f t="shared" si="198"/>
        <v>54.9</v>
      </c>
      <c r="BV192" s="19">
        <f t="shared" si="198"/>
        <v>51.6</v>
      </c>
      <c r="BW192" s="19">
        <f t="shared" si="198"/>
        <v>205.5</v>
      </c>
      <c r="BX192" s="19">
        <f t="shared" si="198"/>
        <v>51.6</v>
      </c>
      <c r="BY192" s="19">
        <f t="shared" si="198"/>
        <v>50.1</v>
      </c>
      <c r="BZ192" s="19">
        <f t="shared" si="198"/>
        <v>101.7</v>
      </c>
      <c r="CA192" s="19">
        <f t="shared" si="198"/>
        <v>53.5</v>
      </c>
      <c r="CB192" s="19">
        <f t="shared" si="198"/>
        <v>103.7</v>
      </c>
      <c r="CC192" s="19">
        <f t="shared" si="198"/>
        <v>258.89999999999998</v>
      </c>
      <c r="CD192" s="19">
        <f t="shared" si="198"/>
        <v>59.4</v>
      </c>
      <c r="CE192" s="19">
        <f t="shared" si="198"/>
        <v>57.7</v>
      </c>
      <c r="CF192" s="19">
        <f t="shared" si="198"/>
        <v>117.1</v>
      </c>
      <c r="CG192" s="19">
        <f t="shared" si="198"/>
        <v>57.2</v>
      </c>
      <c r="CH192" s="19">
        <f t="shared" si="198"/>
        <v>55.9</v>
      </c>
      <c r="CI192" s="19">
        <f t="shared" si="198"/>
        <v>230.2</v>
      </c>
      <c r="CJ192" s="19">
        <f t="shared" si="198"/>
        <v>57.800000000000004</v>
      </c>
      <c r="CK192" s="19">
        <f t="shared" si="198"/>
        <v>56.2</v>
      </c>
      <c r="CL192" s="19">
        <f t="shared" si="198"/>
        <v>114</v>
      </c>
      <c r="CM192" s="21">
        <f t="shared" si="198"/>
        <v>56.7</v>
      </c>
      <c r="CN192" s="21">
        <f t="shared" si="198"/>
        <v>56.7</v>
      </c>
      <c r="CO192" s="21">
        <f t="shared" si="195"/>
        <v>227.39999999999998</v>
      </c>
      <c r="CP192" s="21">
        <f>SUM(CP187:CP191)</f>
        <v>227.73750000000001</v>
      </c>
      <c r="CQ192" s="21">
        <f>SUM(CQ187:CQ191)</f>
        <v>250.35833333333335</v>
      </c>
      <c r="CR192" s="21">
        <f>SUM(CR187:CR191)</f>
        <v>235.625</v>
      </c>
      <c r="CS192" s="21">
        <f>SUM(CS187:CS191)</f>
        <v>238.5916666666667</v>
      </c>
      <c r="CT192" s="22"/>
      <c r="CV192" s="6"/>
      <c r="CW192" s="6"/>
      <c r="CX192" s="6"/>
      <c r="CY192" s="6"/>
    </row>
    <row r="193" spans="2:103" ht="15" hidden="1" customHeight="1" outlineLevel="1" x14ac:dyDescent="0.25">
      <c r="B193" s="33" t="s">
        <v>303</v>
      </c>
      <c r="C193" s="34" t="str">
        <f t="shared" ref="C193:AH193" si="199">IF(ISNUMBER(C195),C186+C192,"")</f>
        <v/>
      </c>
      <c r="D193" s="34" t="str">
        <f t="shared" si="199"/>
        <v/>
      </c>
      <c r="E193" s="34" t="str">
        <f t="shared" si="199"/>
        <v/>
      </c>
      <c r="F193" s="34" t="str">
        <f t="shared" si="199"/>
        <v/>
      </c>
      <c r="G193" s="34" t="str">
        <f t="shared" si="199"/>
        <v/>
      </c>
      <c r="H193" s="34" t="str">
        <f t="shared" si="199"/>
        <v/>
      </c>
      <c r="I193" s="34" t="str">
        <f t="shared" si="199"/>
        <v/>
      </c>
      <c r="J193" s="19" t="str">
        <f t="shared" si="199"/>
        <v/>
      </c>
      <c r="K193" s="19" t="str">
        <f t="shared" si="199"/>
        <v/>
      </c>
      <c r="L193" s="19" t="str">
        <f t="shared" si="199"/>
        <v/>
      </c>
      <c r="M193" s="19" t="str">
        <f t="shared" si="199"/>
        <v/>
      </c>
      <c r="N193" s="19" t="str">
        <f t="shared" si="199"/>
        <v/>
      </c>
      <c r="O193" s="34" t="str">
        <f t="shared" si="199"/>
        <v/>
      </c>
      <c r="P193" s="19" t="str">
        <f t="shared" si="199"/>
        <v/>
      </c>
      <c r="Q193" s="19" t="str">
        <f t="shared" si="199"/>
        <v/>
      </c>
      <c r="R193" s="19" t="str">
        <f t="shared" si="199"/>
        <v/>
      </c>
      <c r="S193" s="19" t="str">
        <f t="shared" si="199"/>
        <v/>
      </c>
      <c r="T193" s="19" t="str">
        <f t="shared" si="199"/>
        <v/>
      </c>
      <c r="U193" s="34" t="str">
        <f t="shared" si="199"/>
        <v/>
      </c>
      <c r="V193" s="19" t="str">
        <f t="shared" si="199"/>
        <v/>
      </c>
      <c r="W193" s="19" t="str">
        <f t="shared" si="199"/>
        <v/>
      </c>
      <c r="X193" s="19" t="str">
        <f t="shared" si="199"/>
        <v/>
      </c>
      <c r="Y193" s="19" t="str">
        <f t="shared" si="199"/>
        <v/>
      </c>
      <c r="Z193" s="19" t="str">
        <f t="shared" si="199"/>
        <v/>
      </c>
      <c r="AA193" s="34" t="str">
        <f t="shared" si="199"/>
        <v/>
      </c>
      <c r="AB193" s="19">
        <f t="shared" si="199"/>
        <v>60.899999999999977</v>
      </c>
      <c r="AC193" s="19">
        <f t="shared" si="199"/>
        <v>53.600000000000051</v>
      </c>
      <c r="AD193" s="19">
        <f t="shared" si="199"/>
        <v>114.5</v>
      </c>
      <c r="AE193" s="19">
        <f t="shared" si="199"/>
        <v>68.799999999999955</v>
      </c>
      <c r="AF193" s="19">
        <f t="shared" si="199"/>
        <v>72.399999999999977</v>
      </c>
      <c r="AG193" s="34">
        <f t="shared" si="199"/>
        <v>255.70000000000007</v>
      </c>
      <c r="AH193" s="19">
        <f t="shared" si="199"/>
        <v>71.000000000000014</v>
      </c>
      <c r="AI193" s="19">
        <f t="shared" ref="AI193:BN193" si="200">IF(ISNUMBER(AI195),AI186+AI192,"")</f>
        <v>90.200000000000045</v>
      </c>
      <c r="AJ193" s="19">
        <f t="shared" si="200"/>
        <v>161.20000000000002</v>
      </c>
      <c r="AK193" s="19">
        <f t="shared" si="200"/>
        <v>95.800000000000026</v>
      </c>
      <c r="AL193" s="19">
        <f t="shared" si="200"/>
        <v>97.3</v>
      </c>
      <c r="AM193" s="34">
        <f t="shared" si="200"/>
        <v>354.30000000000018</v>
      </c>
      <c r="AN193" s="19" t="str">
        <f t="shared" si="200"/>
        <v/>
      </c>
      <c r="AO193" s="19" t="str">
        <f t="shared" si="200"/>
        <v/>
      </c>
      <c r="AP193" s="19" t="str">
        <f t="shared" si="200"/>
        <v/>
      </c>
      <c r="AQ193" s="19" t="str">
        <f t="shared" si="200"/>
        <v/>
      </c>
      <c r="AR193" s="19" t="str">
        <f t="shared" si="200"/>
        <v/>
      </c>
      <c r="AS193" s="34" t="str">
        <f t="shared" si="200"/>
        <v/>
      </c>
      <c r="AT193" s="19" t="str">
        <f t="shared" si="200"/>
        <v/>
      </c>
      <c r="AU193" s="19" t="str">
        <f t="shared" si="200"/>
        <v/>
      </c>
      <c r="AV193" s="19" t="str">
        <f t="shared" si="200"/>
        <v/>
      </c>
      <c r="AW193" s="19" t="str">
        <f t="shared" si="200"/>
        <v/>
      </c>
      <c r="AX193" s="19" t="str">
        <f t="shared" si="200"/>
        <v/>
      </c>
      <c r="AY193" s="34" t="str">
        <f t="shared" si="200"/>
        <v/>
      </c>
      <c r="AZ193" s="19">
        <f t="shared" si="200"/>
        <v>113.6</v>
      </c>
      <c r="BA193" s="19">
        <f t="shared" si="200"/>
        <v>119.49999999999993</v>
      </c>
      <c r="BB193" s="19">
        <f t="shared" si="200"/>
        <v>233.10000000000008</v>
      </c>
      <c r="BC193" s="19">
        <f t="shared" si="200"/>
        <v>132.4</v>
      </c>
      <c r="BD193" s="19">
        <f t="shared" si="200"/>
        <v>153.39999999999992</v>
      </c>
      <c r="BE193" s="34">
        <f t="shared" si="200"/>
        <v>518.89999999999986</v>
      </c>
      <c r="BF193" s="19">
        <f t="shared" si="200"/>
        <v>150.90000000000003</v>
      </c>
      <c r="BG193" s="19">
        <f t="shared" si="200"/>
        <v>255.09999999999997</v>
      </c>
      <c r="BH193" s="19">
        <f t="shared" si="200"/>
        <v>406.00000000000017</v>
      </c>
      <c r="BI193" s="19">
        <f t="shared" si="200"/>
        <v>281.90000000000003</v>
      </c>
      <c r="BJ193" s="19">
        <f t="shared" si="200"/>
        <v>295.10000000000002</v>
      </c>
      <c r="BK193" s="34">
        <f t="shared" si="200"/>
        <v>983.00000000000023</v>
      </c>
      <c r="BL193" s="19">
        <f t="shared" si="200"/>
        <v>277.09999999999997</v>
      </c>
      <c r="BM193" s="19">
        <f t="shared" si="200"/>
        <v>280.79999999999995</v>
      </c>
      <c r="BN193" s="19">
        <f t="shared" si="200"/>
        <v>557.90000000000009</v>
      </c>
      <c r="BO193" s="19">
        <f t="shared" ref="BO193:CL193" si="201">IF(ISNUMBER(BO195),BO186+BO192,"")</f>
        <v>294.09999999999997</v>
      </c>
      <c r="BP193" s="19">
        <f t="shared" si="201"/>
        <v>317.7000000000001</v>
      </c>
      <c r="BQ193" s="34">
        <f t="shared" si="201"/>
        <v>1169.7000000000003</v>
      </c>
      <c r="BR193" s="19">
        <f t="shared" si="201"/>
        <v>292.19999999999993</v>
      </c>
      <c r="BS193" s="19">
        <f t="shared" si="201"/>
        <v>305.40000000000009</v>
      </c>
      <c r="BT193" s="19">
        <f t="shared" si="201"/>
        <v>597.6</v>
      </c>
      <c r="BU193" s="19">
        <f t="shared" si="201"/>
        <v>319.19999999999993</v>
      </c>
      <c r="BV193" s="19">
        <f t="shared" si="201"/>
        <v>323.10000000000002</v>
      </c>
      <c r="BW193" s="34">
        <f t="shared" si="201"/>
        <v>1239.9000000000001</v>
      </c>
      <c r="BX193" s="19">
        <f t="shared" si="201"/>
        <v>285.89999999999986</v>
      </c>
      <c r="BY193" s="19">
        <f t="shared" si="201"/>
        <v>297.09999999999991</v>
      </c>
      <c r="BZ193" s="19">
        <f t="shared" si="201"/>
        <v>582.99999999999977</v>
      </c>
      <c r="CA193" s="19">
        <f t="shared" si="201"/>
        <v>324.2</v>
      </c>
      <c r="CB193" s="19">
        <f t="shared" si="201"/>
        <v>340.79999999999995</v>
      </c>
      <c r="CC193" s="34">
        <f t="shared" si="201"/>
        <v>1248</v>
      </c>
      <c r="CD193" s="19">
        <f t="shared" si="201"/>
        <v>318.7000000000001</v>
      </c>
      <c r="CE193" s="19">
        <f t="shared" si="201"/>
        <v>335.9</v>
      </c>
      <c r="CF193" s="19">
        <f t="shared" si="201"/>
        <v>654.60000000000036</v>
      </c>
      <c r="CG193" s="19">
        <f t="shared" si="201"/>
        <v>339.99999999999994</v>
      </c>
      <c r="CH193" s="19">
        <f t="shared" si="201"/>
        <v>385.39999999999992</v>
      </c>
      <c r="CI193" s="34">
        <f t="shared" si="201"/>
        <v>1379.9999999999998</v>
      </c>
      <c r="CJ193" s="19">
        <f t="shared" si="201"/>
        <v>351.99999999999994</v>
      </c>
      <c r="CK193" s="19">
        <f t="shared" si="201"/>
        <v>389.40000000000003</v>
      </c>
      <c r="CL193" s="19">
        <f t="shared" si="201"/>
        <v>741.40000000000009</v>
      </c>
      <c r="CM193" s="34">
        <f>CM186+CM192</f>
        <v>375.44585987261155</v>
      </c>
      <c r="CN193" s="34">
        <f>CN186+CN192</f>
        <v>391.88057324840747</v>
      </c>
      <c r="CO193" s="34">
        <f t="shared" si="195"/>
        <v>1508.726433121019</v>
      </c>
      <c r="CP193" s="34">
        <f>CP186+CP192</f>
        <v>1677.4547273478622</v>
      </c>
      <c r="CQ193" s="34">
        <f>CQ186+CQ192</f>
        <v>1856.8524460866106</v>
      </c>
      <c r="CR193" s="34">
        <f>CR186+CR192</f>
        <v>2047.1615762416361</v>
      </c>
      <c r="CS193" s="34">
        <f>CS186+CS192</f>
        <v>2252.5574161850618</v>
      </c>
      <c r="CT193" s="22" t="s">
        <v>304</v>
      </c>
      <c r="CV193" s="23">
        <f>IFERROR((CS193/CI193)^(1/5)-1,"n/m")</f>
        <v>0.102958969081961</v>
      </c>
      <c r="CW193" s="23">
        <f>IFERROR((CI193/BE193)^(1/5)-1,"n/m")</f>
        <v>0.21607142362833387</v>
      </c>
      <c r="CX193" s="23" t="str">
        <f>IFERROR((CI193/AA193)^(1/10)-1,"n/m")</f>
        <v>n/m</v>
      </c>
      <c r="CY193" s="23" t="str">
        <f>IFERROR((CI193/C193)^(1/19)-1,"n/m")</f>
        <v>n/m</v>
      </c>
    </row>
    <row r="194" spans="2:103" ht="15" hidden="1" customHeight="1" outlineLevel="1" x14ac:dyDescent="0.25">
      <c r="B194" s="25" t="s">
        <v>224</v>
      </c>
      <c r="C194" s="39" t="str">
        <f t="shared" ref="C194:AH194" si="202">IFERROR(C193/C152,"")</f>
        <v/>
      </c>
      <c r="D194" s="39" t="str">
        <f t="shared" si="202"/>
        <v/>
      </c>
      <c r="E194" s="39" t="str">
        <f t="shared" si="202"/>
        <v/>
      </c>
      <c r="F194" s="39" t="str">
        <f t="shared" si="202"/>
        <v/>
      </c>
      <c r="G194" s="39" t="str">
        <f t="shared" si="202"/>
        <v/>
      </c>
      <c r="H194" s="39" t="str">
        <f t="shared" si="202"/>
        <v/>
      </c>
      <c r="I194" s="39" t="str">
        <f t="shared" si="202"/>
        <v/>
      </c>
      <c r="J194" s="39" t="str">
        <f t="shared" si="202"/>
        <v/>
      </c>
      <c r="K194" s="39" t="str">
        <f t="shared" si="202"/>
        <v/>
      </c>
      <c r="L194" s="39" t="str">
        <f t="shared" si="202"/>
        <v/>
      </c>
      <c r="M194" s="39" t="str">
        <f t="shared" si="202"/>
        <v/>
      </c>
      <c r="N194" s="39" t="str">
        <f t="shared" si="202"/>
        <v/>
      </c>
      <c r="O194" s="39" t="str">
        <f t="shared" si="202"/>
        <v/>
      </c>
      <c r="P194" s="39" t="str">
        <f t="shared" si="202"/>
        <v/>
      </c>
      <c r="Q194" s="39" t="str">
        <f t="shared" si="202"/>
        <v/>
      </c>
      <c r="R194" s="39" t="str">
        <f t="shared" si="202"/>
        <v/>
      </c>
      <c r="S194" s="39" t="str">
        <f t="shared" si="202"/>
        <v/>
      </c>
      <c r="T194" s="39" t="str">
        <f t="shared" si="202"/>
        <v/>
      </c>
      <c r="U194" s="39" t="str">
        <f t="shared" si="202"/>
        <v/>
      </c>
      <c r="V194" s="39" t="str">
        <f t="shared" si="202"/>
        <v/>
      </c>
      <c r="W194" s="39" t="str">
        <f t="shared" si="202"/>
        <v/>
      </c>
      <c r="X194" s="39" t="str">
        <f t="shared" si="202"/>
        <v/>
      </c>
      <c r="Y194" s="39" t="str">
        <f t="shared" si="202"/>
        <v/>
      </c>
      <c r="Z194" s="39" t="str">
        <f t="shared" si="202"/>
        <v/>
      </c>
      <c r="AA194" s="39" t="str">
        <f t="shared" si="202"/>
        <v/>
      </c>
      <c r="AB194" s="39">
        <f t="shared" si="202"/>
        <v>0.11479736098020731</v>
      </c>
      <c r="AC194" s="39">
        <f t="shared" si="202"/>
        <v>9.9314433944784231E-2</v>
      </c>
      <c r="AD194" s="39">
        <f t="shared" si="202"/>
        <v>0.10698934778546065</v>
      </c>
      <c r="AE194" s="39">
        <f t="shared" si="202"/>
        <v>0.1305998481397114</v>
      </c>
      <c r="AF194" s="39">
        <f t="shared" si="202"/>
        <v>0.13094592150479287</v>
      </c>
      <c r="AG194" s="39">
        <f t="shared" si="202"/>
        <v>0.11893576445416069</v>
      </c>
      <c r="AH194" s="39">
        <f t="shared" si="202"/>
        <v>0.12541953718424309</v>
      </c>
      <c r="AI194" s="39">
        <f t="shared" ref="AI194:BN194" si="203">IFERROR(AI193/AI152,"")</f>
        <v>0.13440619877812554</v>
      </c>
      <c r="AJ194" s="39">
        <f t="shared" si="203"/>
        <v>0.13029421273844166</v>
      </c>
      <c r="AK194" s="39">
        <f t="shared" si="203"/>
        <v>0.14466928420416794</v>
      </c>
      <c r="AL194" s="39">
        <f t="shared" si="203"/>
        <v>0.13813174332765474</v>
      </c>
      <c r="AM194" s="39">
        <f t="shared" si="203"/>
        <v>0.13607035870650594</v>
      </c>
      <c r="AN194" s="39" t="str">
        <f t="shared" si="203"/>
        <v/>
      </c>
      <c r="AO194" s="39" t="str">
        <f t="shared" si="203"/>
        <v/>
      </c>
      <c r="AP194" s="39" t="str">
        <f t="shared" si="203"/>
        <v/>
      </c>
      <c r="AQ194" s="39" t="str">
        <f t="shared" si="203"/>
        <v/>
      </c>
      <c r="AR194" s="39" t="str">
        <f t="shared" si="203"/>
        <v/>
      </c>
      <c r="AS194" s="39" t="str">
        <f t="shared" si="203"/>
        <v/>
      </c>
      <c r="AT194" s="39" t="str">
        <f t="shared" si="203"/>
        <v/>
      </c>
      <c r="AU194" s="39" t="str">
        <f t="shared" si="203"/>
        <v/>
      </c>
      <c r="AV194" s="39" t="str">
        <f t="shared" si="203"/>
        <v/>
      </c>
      <c r="AW194" s="39" t="str">
        <f t="shared" si="203"/>
        <v/>
      </c>
      <c r="AX194" s="39" t="str">
        <f t="shared" si="203"/>
        <v/>
      </c>
      <c r="AY194" s="39" t="str">
        <f t="shared" si="203"/>
        <v/>
      </c>
      <c r="AZ194" s="39">
        <f t="shared" si="203"/>
        <v>0.14478715268926839</v>
      </c>
      <c r="BA194" s="39">
        <f t="shared" si="203"/>
        <v>0.16076954123503287</v>
      </c>
      <c r="BB194" s="39">
        <f t="shared" si="203"/>
        <v>0.1525623404673081</v>
      </c>
      <c r="BC194" s="39">
        <f t="shared" si="203"/>
        <v>0.17676902536715622</v>
      </c>
      <c r="BD194" s="39">
        <f t="shared" si="203"/>
        <v>0.18954652168540706</v>
      </c>
      <c r="BE194" s="39">
        <f t="shared" si="203"/>
        <v>0.16813557125267314</v>
      </c>
      <c r="BF194" s="39">
        <f t="shared" si="203"/>
        <v>0.18729055479707091</v>
      </c>
      <c r="BG194" s="39">
        <f t="shared" si="203"/>
        <v>0.22756467439785902</v>
      </c>
      <c r="BH194" s="39">
        <f t="shared" si="203"/>
        <v>0.21072299787200921</v>
      </c>
      <c r="BI194" s="39">
        <f t="shared" si="203"/>
        <v>0.2148791828645476</v>
      </c>
      <c r="BJ194" s="39">
        <f t="shared" si="203"/>
        <v>0.21450897724794651</v>
      </c>
      <c r="BK194" s="39">
        <f t="shared" si="203"/>
        <v>0.21303339618143602</v>
      </c>
      <c r="BL194" s="39">
        <f t="shared" si="203"/>
        <v>0.20976532929598787</v>
      </c>
      <c r="BM194" s="39">
        <f t="shared" si="203"/>
        <v>0.20711019324384125</v>
      </c>
      <c r="BN194" s="39">
        <f t="shared" si="203"/>
        <v>0.20842050209205024</v>
      </c>
      <c r="BO194" s="39">
        <f t="shared" ref="BO194:CS194" si="204">IFERROR(BO193/BO152,"")</f>
        <v>0.215679084775594</v>
      </c>
      <c r="BP194" s="39">
        <f t="shared" si="204"/>
        <v>0.2240163587646313</v>
      </c>
      <c r="BQ194" s="39">
        <f t="shared" si="204"/>
        <v>0.21428571428571433</v>
      </c>
      <c r="BR194" s="39">
        <f t="shared" si="204"/>
        <v>0.21123400563869005</v>
      </c>
      <c r="BS194" s="39">
        <f t="shared" si="204"/>
        <v>0.21436091808801858</v>
      </c>
      <c r="BT194" s="39">
        <f t="shared" si="204"/>
        <v>0.21282051282051284</v>
      </c>
      <c r="BU194" s="39">
        <f t="shared" si="204"/>
        <v>0.22759358288770049</v>
      </c>
      <c r="BV194" s="39">
        <f t="shared" si="204"/>
        <v>0.22673684210526318</v>
      </c>
      <c r="BW194" s="39">
        <f t="shared" si="204"/>
        <v>0.22001597018898059</v>
      </c>
      <c r="BX194" s="39">
        <f t="shared" si="204"/>
        <v>0.21176209169691126</v>
      </c>
      <c r="BY194" s="39">
        <f t="shared" si="204"/>
        <v>0.21621424932683206</v>
      </c>
      <c r="BZ194" s="39">
        <f t="shared" si="204"/>
        <v>0.21400778210116725</v>
      </c>
      <c r="CA194" s="39">
        <f t="shared" si="204"/>
        <v>0.22459300311742292</v>
      </c>
      <c r="CB194" s="39">
        <f t="shared" si="204"/>
        <v>0.22685216002130065</v>
      </c>
      <c r="CC194" s="39">
        <f t="shared" si="204"/>
        <v>0.22010582010582011</v>
      </c>
      <c r="CD194" s="39">
        <f t="shared" si="204"/>
        <v>0.21980826263880274</v>
      </c>
      <c r="CE194" s="39">
        <f t="shared" si="204"/>
        <v>0.22190658650987644</v>
      </c>
      <c r="CF194" s="39">
        <f t="shared" si="204"/>
        <v>0.22088001079767861</v>
      </c>
      <c r="CG194" s="39">
        <f t="shared" si="204"/>
        <v>0.22085092562520295</v>
      </c>
      <c r="CH194" s="39">
        <f t="shared" si="204"/>
        <v>0.23903739998759532</v>
      </c>
      <c r="CI194" s="39">
        <f t="shared" si="204"/>
        <v>0.22565980966085616</v>
      </c>
      <c r="CJ194" s="39">
        <f t="shared" si="204"/>
        <v>0.22562656239984613</v>
      </c>
      <c r="CK194" s="39">
        <f t="shared" si="204"/>
        <v>0.23422556390977445</v>
      </c>
      <c r="CL194" s="39">
        <f t="shared" si="204"/>
        <v>0.23006268230621241</v>
      </c>
      <c r="CM194" s="27">
        <f t="shared" si="204"/>
        <v>0.22200308897610879</v>
      </c>
      <c r="CN194" s="27">
        <f t="shared" si="204"/>
        <v>0.2211124311874578</v>
      </c>
      <c r="CO194" s="27">
        <f t="shared" si="204"/>
        <v>0.22565160837863185</v>
      </c>
      <c r="CP194" s="27">
        <f t="shared" si="204"/>
        <v>0.23362896372164457</v>
      </c>
      <c r="CQ194" s="27">
        <f t="shared" si="204"/>
        <v>0.23649817247460775</v>
      </c>
      <c r="CR194" s="27">
        <f t="shared" si="204"/>
        <v>0.23864429853018018</v>
      </c>
      <c r="CS194" s="27">
        <f t="shared" si="204"/>
        <v>0.24105429255725352</v>
      </c>
      <c r="CT194" s="22"/>
      <c r="CV194" s="40">
        <f>IFERROR(AVERAGE(CO194,CP194,CQ194,CR194,CS194),"n/m")</f>
        <v>0.23509546713246357</v>
      </c>
      <c r="CW194" s="40">
        <f>IFERROR(AVERAGE(BK194,BQ194,BW194,CC194,CI194),"n/m")</f>
        <v>0.21862014208456143</v>
      </c>
      <c r="CX194" s="40">
        <f>IFERROR(AVERAGE(AG194,AM194,AS194,AY194,BE194,BK194,BQ194,BW194,CC194,CI194),"n/m")</f>
        <v>0.18953030060451839</v>
      </c>
      <c r="CY194" s="40">
        <f>IFERROR(AVERAGE(C194,D194,E194,F194,G194,H194,I194,O194,U194,AA194,AG194,AM194,AS194,AY194,BE194,BK194,BQ194,BW194,CC194,CI194),"n/m")</f>
        <v>0.18953030060451839</v>
      </c>
    </row>
    <row r="195" spans="2:103" ht="15" hidden="1" customHeight="1" outlineLevel="1" x14ac:dyDescent="0.25">
      <c r="B195" s="36" t="s">
        <v>305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30">
        <v>60.9</v>
      </c>
      <c r="AC195" s="30">
        <v>53.6</v>
      </c>
      <c r="AD195" s="29">
        <f>AB195+AC195</f>
        <v>114.5</v>
      </c>
      <c r="AE195" s="30">
        <v>68.8</v>
      </c>
      <c r="AF195" s="30">
        <v>72.400000000000006</v>
      </c>
      <c r="AG195" s="30">
        <v>255.7</v>
      </c>
      <c r="AH195" s="30">
        <v>71</v>
      </c>
      <c r="AI195" s="30">
        <v>90.2</v>
      </c>
      <c r="AJ195" s="29">
        <f>AH195+AI195</f>
        <v>161.19999999999999</v>
      </c>
      <c r="AK195" s="30">
        <v>95.8</v>
      </c>
      <c r="AL195" s="30">
        <v>97.3</v>
      </c>
      <c r="AM195" s="30">
        <v>354.3</v>
      </c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30">
        <v>113.6</v>
      </c>
      <c r="BA195" s="30">
        <v>119.5</v>
      </c>
      <c r="BB195" s="29">
        <f>AZ195+BA195</f>
        <v>233.1</v>
      </c>
      <c r="BC195" s="30">
        <v>132.4</v>
      </c>
      <c r="BD195" s="30">
        <v>153.4</v>
      </c>
      <c r="BE195" s="30">
        <v>518.9</v>
      </c>
      <c r="BF195" s="30">
        <v>150.9</v>
      </c>
      <c r="BG195" s="30">
        <v>255.1</v>
      </c>
      <c r="BH195" s="29">
        <f>BF195+BG195</f>
        <v>406</v>
      </c>
      <c r="BI195" s="30">
        <v>281.89999999999998</v>
      </c>
      <c r="BJ195" s="30">
        <v>295.10000000000002</v>
      </c>
      <c r="BK195" s="30">
        <v>983</v>
      </c>
      <c r="BL195" s="30">
        <v>277.10000000000002</v>
      </c>
      <c r="BM195" s="30">
        <v>280.8</v>
      </c>
      <c r="BN195" s="29">
        <f>BL195+BM195</f>
        <v>557.90000000000009</v>
      </c>
      <c r="BO195" s="30">
        <v>294.10000000000002</v>
      </c>
      <c r="BP195" s="30">
        <v>317.7</v>
      </c>
      <c r="BQ195" s="30">
        <v>1169.7</v>
      </c>
      <c r="BR195" s="30">
        <v>292.2</v>
      </c>
      <c r="BS195" s="30">
        <v>305.39999999999998</v>
      </c>
      <c r="BT195" s="29">
        <f>BR195+BS195</f>
        <v>597.59999999999991</v>
      </c>
      <c r="BU195" s="30">
        <v>319.2</v>
      </c>
      <c r="BV195" s="30">
        <v>323.10000000000002</v>
      </c>
      <c r="BW195" s="30">
        <v>1239.9000000000001</v>
      </c>
      <c r="BX195" s="30">
        <v>285.89999999999998</v>
      </c>
      <c r="BY195" s="30">
        <v>297.10000000000002</v>
      </c>
      <c r="BZ195" s="29">
        <f>BX195+BY195</f>
        <v>583</v>
      </c>
      <c r="CA195" s="30">
        <v>324.2</v>
      </c>
      <c r="CB195" s="30">
        <v>340.8</v>
      </c>
      <c r="CC195" s="30">
        <v>1248</v>
      </c>
      <c r="CD195" s="30">
        <v>318.7</v>
      </c>
      <c r="CE195" s="30">
        <v>335.9</v>
      </c>
      <c r="CF195" s="29">
        <f>CD195+CE195</f>
        <v>654.59999999999991</v>
      </c>
      <c r="CG195" s="30">
        <v>340</v>
      </c>
      <c r="CH195" s="30">
        <v>385.4</v>
      </c>
      <c r="CI195" s="30">
        <v>1380</v>
      </c>
      <c r="CJ195" s="30">
        <v>352</v>
      </c>
      <c r="CK195" s="30">
        <v>389.4</v>
      </c>
      <c r="CL195" s="29">
        <f>CJ195+CK195</f>
        <v>741.4</v>
      </c>
      <c r="CM195" s="31"/>
      <c r="CN195" s="31"/>
      <c r="CO195" s="31"/>
      <c r="CP195" s="31"/>
      <c r="CQ195" s="31"/>
      <c r="CR195" s="31"/>
      <c r="CS195" s="31"/>
      <c r="CT195" s="22"/>
      <c r="CV195" s="6"/>
      <c r="CW195" s="6"/>
      <c r="CX195" s="6"/>
      <c r="CY195" s="6"/>
    </row>
    <row r="196" spans="2:103" ht="15" hidden="1" customHeight="1" outlineLevel="1" x14ac:dyDescent="0.25">
      <c r="B196" s="38" t="s">
        <v>306</v>
      </c>
      <c r="C196" s="29" t="str">
        <f t="shared" ref="C196:AH196" si="205">IF(ISNUMBER(C195),ROUND(C193-C195,1),"n/p")</f>
        <v>n/p</v>
      </c>
      <c r="D196" s="29" t="str">
        <f t="shared" si="205"/>
        <v>n/p</v>
      </c>
      <c r="E196" s="29" t="str">
        <f t="shared" si="205"/>
        <v>n/p</v>
      </c>
      <c r="F196" s="29" t="str">
        <f t="shared" si="205"/>
        <v>n/p</v>
      </c>
      <c r="G196" s="29" t="str">
        <f t="shared" si="205"/>
        <v>n/p</v>
      </c>
      <c r="H196" s="29" t="str">
        <f t="shared" si="205"/>
        <v>n/p</v>
      </c>
      <c r="I196" s="29" t="str">
        <f t="shared" si="205"/>
        <v>n/p</v>
      </c>
      <c r="J196" s="29" t="str">
        <f t="shared" si="205"/>
        <v>n/p</v>
      </c>
      <c r="K196" s="29" t="str">
        <f t="shared" si="205"/>
        <v>n/p</v>
      </c>
      <c r="L196" s="29" t="str">
        <f t="shared" si="205"/>
        <v>n/p</v>
      </c>
      <c r="M196" s="29" t="str">
        <f t="shared" si="205"/>
        <v>n/p</v>
      </c>
      <c r="N196" s="29" t="str">
        <f t="shared" si="205"/>
        <v>n/p</v>
      </c>
      <c r="O196" s="29" t="str">
        <f t="shared" si="205"/>
        <v>n/p</v>
      </c>
      <c r="P196" s="29" t="str">
        <f t="shared" si="205"/>
        <v>n/p</v>
      </c>
      <c r="Q196" s="29" t="str">
        <f t="shared" si="205"/>
        <v>n/p</v>
      </c>
      <c r="R196" s="29" t="str">
        <f t="shared" si="205"/>
        <v>n/p</v>
      </c>
      <c r="S196" s="29" t="str">
        <f t="shared" si="205"/>
        <v>n/p</v>
      </c>
      <c r="T196" s="29" t="str">
        <f t="shared" si="205"/>
        <v>n/p</v>
      </c>
      <c r="U196" s="29" t="str">
        <f t="shared" si="205"/>
        <v>n/p</v>
      </c>
      <c r="V196" s="29" t="str">
        <f t="shared" si="205"/>
        <v>n/p</v>
      </c>
      <c r="W196" s="29" t="str">
        <f t="shared" si="205"/>
        <v>n/p</v>
      </c>
      <c r="X196" s="29" t="str">
        <f t="shared" si="205"/>
        <v>n/p</v>
      </c>
      <c r="Y196" s="29" t="str">
        <f t="shared" si="205"/>
        <v>n/p</v>
      </c>
      <c r="Z196" s="29" t="str">
        <f t="shared" si="205"/>
        <v>n/p</v>
      </c>
      <c r="AA196" s="29" t="str">
        <f t="shared" si="205"/>
        <v>n/p</v>
      </c>
      <c r="AB196" s="29">
        <f t="shared" si="205"/>
        <v>0</v>
      </c>
      <c r="AC196" s="29">
        <f t="shared" si="205"/>
        <v>0</v>
      </c>
      <c r="AD196" s="29">
        <f t="shared" si="205"/>
        <v>0</v>
      </c>
      <c r="AE196" s="29">
        <f t="shared" si="205"/>
        <v>0</v>
      </c>
      <c r="AF196" s="29">
        <f t="shared" si="205"/>
        <v>0</v>
      </c>
      <c r="AG196" s="29">
        <f t="shared" si="205"/>
        <v>0</v>
      </c>
      <c r="AH196" s="29">
        <f t="shared" si="205"/>
        <v>0</v>
      </c>
      <c r="AI196" s="29">
        <f t="shared" ref="AI196:BN196" si="206">IF(ISNUMBER(AI195),ROUND(AI193-AI195,1),"n/p")</f>
        <v>0</v>
      </c>
      <c r="AJ196" s="29">
        <f t="shared" si="206"/>
        <v>0</v>
      </c>
      <c r="AK196" s="29">
        <f t="shared" si="206"/>
        <v>0</v>
      </c>
      <c r="AL196" s="29">
        <f t="shared" si="206"/>
        <v>0</v>
      </c>
      <c r="AM196" s="29">
        <f t="shared" si="206"/>
        <v>0</v>
      </c>
      <c r="AN196" s="29" t="str">
        <f t="shared" si="206"/>
        <v>n/p</v>
      </c>
      <c r="AO196" s="29" t="str">
        <f t="shared" si="206"/>
        <v>n/p</v>
      </c>
      <c r="AP196" s="29" t="str">
        <f t="shared" si="206"/>
        <v>n/p</v>
      </c>
      <c r="AQ196" s="29" t="str">
        <f t="shared" si="206"/>
        <v>n/p</v>
      </c>
      <c r="AR196" s="29" t="str">
        <f t="shared" si="206"/>
        <v>n/p</v>
      </c>
      <c r="AS196" s="29" t="str">
        <f t="shared" si="206"/>
        <v>n/p</v>
      </c>
      <c r="AT196" s="29" t="str">
        <f t="shared" si="206"/>
        <v>n/p</v>
      </c>
      <c r="AU196" s="29" t="str">
        <f t="shared" si="206"/>
        <v>n/p</v>
      </c>
      <c r="AV196" s="29" t="str">
        <f t="shared" si="206"/>
        <v>n/p</v>
      </c>
      <c r="AW196" s="29" t="str">
        <f t="shared" si="206"/>
        <v>n/p</v>
      </c>
      <c r="AX196" s="29" t="str">
        <f t="shared" si="206"/>
        <v>n/p</v>
      </c>
      <c r="AY196" s="29" t="str">
        <f t="shared" si="206"/>
        <v>n/p</v>
      </c>
      <c r="AZ196" s="29">
        <f t="shared" si="206"/>
        <v>0</v>
      </c>
      <c r="BA196" s="29">
        <f t="shared" si="206"/>
        <v>0</v>
      </c>
      <c r="BB196" s="29">
        <f t="shared" si="206"/>
        <v>0</v>
      </c>
      <c r="BC196" s="29">
        <f t="shared" si="206"/>
        <v>0</v>
      </c>
      <c r="BD196" s="29">
        <f t="shared" si="206"/>
        <v>0</v>
      </c>
      <c r="BE196" s="29">
        <f t="shared" si="206"/>
        <v>0</v>
      </c>
      <c r="BF196" s="29">
        <f t="shared" si="206"/>
        <v>0</v>
      </c>
      <c r="BG196" s="29">
        <f t="shared" si="206"/>
        <v>0</v>
      </c>
      <c r="BH196" s="29">
        <f t="shared" si="206"/>
        <v>0</v>
      </c>
      <c r="BI196" s="29">
        <f t="shared" si="206"/>
        <v>0</v>
      </c>
      <c r="BJ196" s="29">
        <f t="shared" si="206"/>
        <v>0</v>
      </c>
      <c r="BK196" s="29">
        <f t="shared" si="206"/>
        <v>0</v>
      </c>
      <c r="BL196" s="29">
        <f t="shared" si="206"/>
        <v>0</v>
      </c>
      <c r="BM196" s="29">
        <f t="shared" si="206"/>
        <v>0</v>
      </c>
      <c r="BN196" s="29">
        <f t="shared" si="206"/>
        <v>0</v>
      </c>
      <c r="BO196" s="29">
        <f t="shared" ref="BO196:CL196" si="207">IF(ISNUMBER(BO195),ROUND(BO193-BO195,1),"n/p")</f>
        <v>0</v>
      </c>
      <c r="BP196" s="29">
        <f t="shared" si="207"/>
        <v>0</v>
      </c>
      <c r="BQ196" s="29">
        <f t="shared" si="207"/>
        <v>0</v>
      </c>
      <c r="BR196" s="29">
        <f t="shared" si="207"/>
        <v>0</v>
      </c>
      <c r="BS196" s="29">
        <f t="shared" si="207"/>
        <v>0</v>
      </c>
      <c r="BT196" s="29">
        <f t="shared" si="207"/>
        <v>0</v>
      </c>
      <c r="BU196" s="29">
        <f t="shared" si="207"/>
        <v>0</v>
      </c>
      <c r="BV196" s="29">
        <f t="shared" si="207"/>
        <v>0</v>
      </c>
      <c r="BW196" s="29">
        <f t="shared" si="207"/>
        <v>0</v>
      </c>
      <c r="BX196" s="29">
        <f t="shared" si="207"/>
        <v>0</v>
      </c>
      <c r="BY196" s="29">
        <f t="shared" si="207"/>
        <v>0</v>
      </c>
      <c r="BZ196" s="29">
        <f t="shared" si="207"/>
        <v>0</v>
      </c>
      <c r="CA196" s="29">
        <f t="shared" si="207"/>
        <v>0</v>
      </c>
      <c r="CB196" s="29">
        <f t="shared" si="207"/>
        <v>0</v>
      </c>
      <c r="CC196" s="29">
        <f t="shared" si="207"/>
        <v>0</v>
      </c>
      <c r="CD196" s="29">
        <f t="shared" si="207"/>
        <v>0</v>
      </c>
      <c r="CE196" s="29">
        <f t="shared" si="207"/>
        <v>0</v>
      </c>
      <c r="CF196" s="29">
        <f t="shared" si="207"/>
        <v>0</v>
      </c>
      <c r="CG196" s="29">
        <f t="shared" si="207"/>
        <v>0</v>
      </c>
      <c r="CH196" s="29">
        <f t="shared" si="207"/>
        <v>0</v>
      </c>
      <c r="CI196" s="29">
        <f t="shared" si="207"/>
        <v>0</v>
      </c>
      <c r="CJ196" s="29">
        <f t="shared" si="207"/>
        <v>0</v>
      </c>
      <c r="CK196" s="29">
        <f t="shared" si="207"/>
        <v>0</v>
      </c>
      <c r="CL196" s="29">
        <f t="shared" si="207"/>
        <v>0</v>
      </c>
      <c r="CM196" s="31"/>
      <c r="CN196" s="31"/>
      <c r="CO196" s="31"/>
      <c r="CP196" s="31"/>
      <c r="CQ196" s="31"/>
      <c r="CR196" s="31"/>
      <c r="CS196" s="31"/>
      <c r="CT196" s="22"/>
      <c r="CV196" s="6"/>
      <c r="CW196" s="6"/>
      <c r="CX196" s="6"/>
      <c r="CY196" s="6"/>
    </row>
    <row r="197" spans="2:103" ht="15" hidden="1" customHeight="1" outlineLevel="1" x14ac:dyDescent="0.25">
      <c r="B197" s="61" t="s">
        <v>307</v>
      </c>
      <c r="C197" s="62" t="s">
        <v>308</v>
      </c>
      <c r="AF197" s="62" t="s">
        <v>309</v>
      </c>
      <c r="AG197" s="62" t="s">
        <v>310</v>
      </c>
      <c r="AS197" s="62" t="s">
        <v>311</v>
      </c>
      <c r="AZ197" s="62" t="s">
        <v>312</v>
      </c>
      <c r="BE197" s="62" t="s">
        <v>313</v>
      </c>
      <c r="BF197" s="62" t="s">
        <v>314</v>
      </c>
      <c r="BK197" s="62" t="s">
        <v>315</v>
      </c>
      <c r="BP197" s="62" t="s">
        <v>316</v>
      </c>
      <c r="BU197" s="62" t="s">
        <v>317</v>
      </c>
      <c r="CB197" s="62" t="s">
        <v>318</v>
      </c>
      <c r="CD197" s="62" t="s">
        <v>319</v>
      </c>
      <c r="CM197" s="6"/>
      <c r="CN197" s="6"/>
      <c r="CO197" s="6"/>
      <c r="CP197" s="6"/>
      <c r="CQ197" s="6"/>
      <c r="CR197" s="6"/>
      <c r="CS197" s="6"/>
      <c r="CT197" s="22" t="s">
        <v>320</v>
      </c>
      <c r="CV197" s="6"/>
      <c r="CW197" s="6"/>
      <c r="CX197" s="6"/>
      <c r="CY197" s="6"/>
    </row>
    <row r="198" spans="2:103" ht="15" hidden="1" customHeight="1" outlineLevel="1" x14ac:dyDescent="0.25">
      <c r="B198" s="36" t="s">
        <v>321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31"/>
      <c r="CN198" s="31"/>
      <c r="CO198" s="31"/>
      <c r="CP198" s="31"/>
      <c r="CQ198" s="31"/>
      <c r="CR198" s="31"/>
      <c r="CS198" s="31"/>
      <c r="CT198" s="22"/>
      <c r="CV198" s="6"/>
      <c r="CW198" s="6"/>
      <c r="CX198" s="6"/>
      <c r="CY198" s="6"/>
    </row>
    <row r="199" spans="2:103" ht="15" hidden="1" customHeight="1" outlineLevel="1" x14ac:dyDescent="0.25">
      <c r="B199" s="12" t="s">
        <v>322</v>
      </c>
      <c r="C199" s="29">
        <f t="shared" ref="C199:AH199" si="208">N(C192)-N(C187)-N(C191)</f>
        <v>0</v>
      </c>
      <c r="D199" s="29">
        <f t="shared" si="208"/>
        <v>0</v>
      </c>
      <c r="E199" s="29">
        <f t="shared" si="208"/>
        <v>0</v>
      </c>
      <c r="F199" s="29">
        <f t="shared" si="208"/>
        <v>0</v>
      </c>
      <c r="G199" s="29">
        <f t="shared" si="208"/>
        <v>0</v>
      </c>
      <c r="H199" s="29">
        <f t="shared" si="208"/>
        <v>0</v>
      </c>
      <c r="I199" s="29">
        <f t="shared" si="208"/>
        <v>0</v>
      </c>
      <c r="J199" s="29">
        <f t="shared" si="208"/>
        <v>0</v>
      </c>
      <c r="K199" s="29">
        <f t="shared" si="208"/>
        <v>0</v>
      </c>
      <c r="L199" s="29">
        <f t="shared" si="208"/>
        <v>0</v>
      </c>
      <c r="M199" s="29">
        <f t="shared" si="208"/>
        <v>0</v>
      </c>
      <c r="N199" s="29">
        <f t="shared" si="208"/>
        <v>0</v>
      </c>
      <c r="O199" s="29">
        <f t="shared" si="208"/>
        <v>0</v>
      </c>
      <c r="P199" s="29">
        <f t="shared" si="208"/>
        <v>0</v>
      </c>
      <c r="Q199" s="29">
        <f t="shared" si="208"/>
        <v>0</v>
      </c>
      <c r="R199" s="29">
        <f t="shared" si="208"/>
        <v>0</v>
      </c>
      <c r="S199" s="29">
        <f t="shared" si="208"/>
        <v>0</v>
      </c>
      <c r="T199" s="29">
        <f t="shared" si="208"/>
        <v>0</v>
      </c>
      <c r="U199" s="29">
        <f t="shared" si="208"/>
        <v>0</v>
      </c>
      <c r="V199" s="29">
        <f t="shared" si="208"/>
        <v>0</v>
      </c>
      <c r="W199" s="29">
        <f t="shared" si="208"/>
        <v>0</v>
      </c>
      <c r="X199" s="29">
        <f t="shared" si="208"/>
        <v>0</v>
      </c>
      <c r="Y199" s="29">
        <f t="shared" si="208"/>
        <v>0</v>
      </c>
      <c r="Z199" s="29">
        <f t="shared" si="208"/>
        <v>0</v>
      </c>
      <c r="AA199" s="29">
        <f t="shared" si="208"/>
        <v>0</v>
      </c>
      <c r="AB199" s="29">
        <f t="shared" si="208"/>
        <v>0</v>
      </c>
      <c r="AC199" s="29">
        <f t="shared" si="208"/>
        <v>0</v>
      </c>
      <c r="AD199" s="29">
        <f t="shared" si="208"/>
        <v>0</v>
      </c>
      <c r="AE199" s="29">
        <f t="shared" si="208"/>
        <v>0</v>
      </c>
      <c r="AF199" s="29">
        <f t="shared" si="208"/>
        <v>1.9</v>
      </c>
      <c r="AG199" s="29">
        <f t="shared" si="208"/>
        <v>1.9</v>
      </c>
      <c r="AH199" s="29">
        <f t="shared" si="208"/>
        <v>12.899999999999999</v>
      </c>
      <c r="AI199" s="29">
        <f t="shared" ref="AI199:BN199" si="209">N(AI192)-N(AI187)-N(AI191)</f>
        <v>4</v>
      </c>
      <c r="AJ199" s="29">
        <f t="shared" si="209"/>
        <v>16.899999999999999</v>
      </c>
      <c r="AK199" s="29">
        <f t="shared" si="209"/>
        <v>2.9000000000000008</v>
      </c>
      <c r="AL199" s="29">
        <f t="shared" si="209"/>
        <v>-1.1000000000000001</v>
      </c>
      <c r="AM199" s="29">
        <f t="shared" si="209"/>
        <v>18.700000000000003</v>
      </c>
      <c r="AN199" s="29">
        <f t="shared" si="209"/>
        <v>0</v>
      </c>
      <c r="AO199" s="29">
        <f t="shared" si="209"/>
        <v>0</v>
      </c>
      <c r="AP199" s="29">
        <f t="shared" si="209"/>
        <v>0</v>
      </c>
      <c r="AQ199" s="29">
        <f t="shared" si="209"/>
        <v>0</v>
      </c>
      <c r="AR199" s="29">
        <f t="shared" si="209"/>
        <v>0</v>
      </c>
      <c r="AS199" s="29">
        <f t="shared" si="209"/>
        <v>0</v>
      </c>
      <c r="AT199" s="29">
        <f t="shared" si="209"/>
        <v>0</v>
      </c>
      <c r="AU199" s="29">
        <f t="shared" si="209"/>
        <v>0</v>
      </c>
      <c r="AV199" s="29">
        <f t="shared" si="209"/>
        <v>0</v>
      </c>
      <c r="AW199" s="29">
        <f t="shared" si="209"/>
        <v>0</v>
      </c>
      <c r="AX199" s="29">
        <f t="shared" si="209"/>
        <v>0</v>
      </c>
      <c r="AY199" s="29">
        <f t="shared" si="209"/>
        <v>0</v>
      </c>
      <c r="AZ199" s="29">
        <f t="shared" si="209"/>
        <v>0</v>
      </c>
      <c r="BA199" s="29">
        <f t="shared" si="209"/>
        <v>0</v>
      </c>
      <c r="BB199" s="29">
        <f t="shared" si="209"/>
        <v>0</v>
      </c>
      <c r="BC199" s="29">
        <f t="shared" si="209"/>
        <v>0</v>
      </c>
      <c r="BD199" s="29">
        <f t="shared" si="209"/>
        <v>0</v>
      </c>
      <c r="BE199" s="29">
        <f t="shared" si="209"/>
        <v>0</v>
      </c>
      <c r="BF199" s="29">
        <f t="shared" si="209"/>
        <v>5.9</v>
      </c>
      <c r="BG199" s="29">
        <f t="shared" si="209"/>
        <v>117.89999999999999</v>
      </c>
      <c r="BH199" s="29">
        <f t="shared" si="209"/>
        <v>123.80000000000001</v>
      </c>
      <c r="BI199" s="29">
        <f t="shared" si="209"/>
        <v>37</v>
      </c>
      <c r="BJ199" s="29">
        <f t="shared" si="209"/>
        <v>48.6</v>
      </c>
      <c r="BK199" s="29">
        <f t="shared" si="209"/>
        <v>209.40000000000003</v>
      </c>
      <c r="BL199" s="29">
        <f t="shared" si="209"/>
        <v>0</v>
      </c>
      <c r="BM199" s="29">
        <f t="shared" si="209"/>
        <v>0</v>
      </c>
      <c r="BN199" s="29">
        <f t="shared" si="209"/>
        <v>0</v>
      </c>
      <c r="BO199" s="29">
        <f t="shared" ref="BO199:CN199" si="210">N(BO192)-N(BO187)-N(BO191)</f>
        <v>0</v>
      </c>
      <c r="BP199" s="29">
        <f t="shared" si="210"/>
        <v>-4</v>
      </c>
      <c r="BQ199" s="29">
        <f t="shared" si="210"/>
        <v>-4</v>
      </c>
      <c r="BR199" s="29">
        <f t="shared" si="210"/>
        <v>0</v>
      </c>
      <c r="BS199" s="29">
        <f t="shared" si="210"/>
        <v>0</v>
      </c>
      <c r="BT199" s="29">
        <f t="shared" si="210"/>
        <v>0</v>
      </c>
      <c r="BU199" s="29">
        <f t="shared" si="210"/>
        <v>5.7999999999999972</v>
      </c>
      <c r="BV199" s="29">
        <f t="shared" si="210"/>
        <v>3</v>
      </c>
      <c r="BW199" s="29">
        <f t="shared" si="210"/>
        <v>8.8000000000000114</v>
      </c>
      <c r="BX199" s="29">
        <f t="shared" si="210"/>
        <v>2.2000000000000028</v>
      </c>
      <c r="BY199" s="29">
        <f t="shared" si="210"/>
        <v>1</v>
      </c>
      <c r="BZ199" s="29">
        <f t="shared" si="210"/>
        <v>3.2000000000000028</v>
      </c>
      <c r="CA199" s="29">
        <f t="shared" si="210"/>
        <v>3.7000000000000028</v>
      </c>
      <c r="CB199" s="29">
        <f t="shared" si="210"/>
        <v>54</v>
      </c>
      <c r="CC199" s="29">
        <f t="shared" si="210"/>
        <v>60.899999999999977</v>
      </c>
      <c r="CD199" s="29">
        <f t="shared" si="210"/>
        <v>7.3999999999999986</v>
      </c>
      <c r="CE199" s="29">
        <f t="shared" si="210"/>
        <v>3.1000000000000014</v>
      </c>
      <c r="CF199" s="29">
        <f t="shared" si="210"/>
        <v>10.5</v>
      </c>
      <c r="CG199" s="29">
        <f t="shared" si="210"/>
        <v>2.1000000000000014</v>
      </c>
      <c r="CH199" s="29">
        <f t="shared" si="210"/>
        <v>1</v>
      </c>
      <c r="CI199" s="29">
        <f t="shared" si="210"/>
        <v>13.599999999999994</v>
      </c>
      <c r="CJ199" s="29">
        <f t="shared" si="210"/>
        <v>0.20000000000000284</v>
      </c>
      <c r="CK199" s="29">
        <f t="shared" si="210"/>
        <v>0.20000000000000284</v>
      </c>
      <c r="CL199" s="29">
        <f t="shared" si="210"/>
        <v>0.40000000000000568</v>
      </c>
      <c r="CM199" s="31">
        <f t="shared" si="210"/>
        <v>0.5</v>
      </c>
      <c r="CN199" s="31">
        <f t="shared" si="210"/>
        <v>0.5</v>
      </c>
      <c r="CO199" s="31">
        <f>SUM(CJ199,CK199,CM199,CN199)</f>
        <v>1.4000000000000057</v>
      </c>
      <c r="CP199" s="31">
        <f>N(CP192)-N(CP187)-N(CP191)</f>
        <v>5</v>
      </c>
      <c r="CQ199" s="31">
        <f>N(CQ192)-N(CQ187)-N(CQ191)</f>
        <v>5</v>
      </c>
      <c r="CR199" s="31">
        <f>N(CR192)-N(CR187)-N(CR191)</f>
        <v>5</v>
      </c>
      <c r="CS199" s="31">
        <f>N(CS192)-N(CS187)-N(CS191)</f>
        <v>5</v>
      </c>
      <c r="CT199" s="22" t="s">
        <v>323</v>
      </c>
      <c r="CV199" s="6"/>
      <c r="CW199" s="6"/>
      <c r="CX199" s="6"/>
      <c r="CY199" s="6"/>
    </row>
    <row r="200" spans="2:103" ht="15" hidden="1" customHeight="1" outlineLevel="1" x14ac:dyDescent="0.25">
      <c r="B200" s="18" t="s">
        <v>324</v>
      </c>
      <c r="C200" s="19">
        <f t="shared" ref="C200:AH200" si="211">IF(ISNUMBER(C125),C160+C125+C199,"")</f>
        <v>132.80000000000001</v>
      </c>
      <c r="D200" s="19">
        <f t="shared" si="211"/>
        <v>168.69999999999985</v>
      </c>
      <c r="E200" s="19">
        <f t="shared" si="211"/>
        <v>214.39999999999992</v>
      </c>
      <c r="F200" s="19">
        <f t="shared" si="211"/>
        <v>183.79999999999998</v>
      </c>
      <c r="G200" s="19">
        <f t="shared" si="211"/>
        <v>192.60000000000011</v>
      </c>
      <c r="H200" s="19">
        <f t="shared" si="211"/>
        <v>251.80000000000004</v>
      </c>
      <c r="I200" s="19">
        <f t="shared" si="211"/>
        <v>272.50000000000023</v>
      </c>
      <c r="J200" s="19" t="str">
        <f t="shared" si="211"/>
        <v/>
      </c>
      <c r="K200" s="19" t="str">
        <f t="shared" si="211"/>
        <v/>
      </c>
      <c r="L200" s="19" t="str">
        <f t="shared" si="211"/>
        <v/>
      </c>
      <c r="M200" s="19" t="str">
        <f t="shared" si="211"/>
        <v/>
      </c>
      <c r="N200" s="19" t="str">
        <f t="shared" si="211"/>
        <v/>
      </c>
      <c r="O200" s="19">
        <f t="shared" si="211"/>
        <v>271.79999999999995</v>
      </c>
      <c r="P200" s="19" t="str">
        <f t="shared" si="211"/>
        <v/>
      </c>
      <c r="Q200" s="19" t="str">
        <f t="shared" si="211"/>
        <v/>
      </c>
      <c r="R200" s="19" t="str">
        <f t="shared" si="211"/>
        <v/>
      </c>
      <c r="S200" s="19" t="str">
        <f t="shared" si="211"/>
        <v/>
      </c>
      <c r="T200" s="19" t="str">
        <f t="shared" si="211"/>
        <v/>
      </c>
      <c r="U200" s="19">
        <f t="shared" si="211"/>
        <v>326.50000000000011</v>
      </c>
      <c r="V200" s="19" t="str">
        <f t="shared" si="211"/>
        <v/>
      </c>
      <c r="W200" s="19" t="str">
        <f t="shared" si="211"/>
        <v/>
      </c>
      <c r="X200" s="19" t="str">
        <f t="shared" si="211"/>
        <v/>
      </c>
      <c r="Y200" s="19" t="str">
        <f t="shared" si="211"/>
        <v/>
      </c>
      <c r="Z200" s="19" t="str">
        <f t="shared" si="211"/>
        <v/>
      </c>
      <c r="AA200" s="19">
        <f t="shared" si="211"/>
        <v>312.29999999999995</v>
      </c>
      <c r="AB200" s="19" t="str">
        <f t="shared" si="211"/>
        <v/>
      </c>
      <c r="AC200" s="19" t="str">
        <f t="shared" si="211"/>
        <v/>
      </c>
      <c r="AD200" s="19" t="str">
        <f t="shared" si="211"/>
        <v/>
      </c>
      <c r="AE200" s="19" t="str">
        <f t="shared" si="211"/>
        <v/>
      </c>
      <c r="AF200" s="19" t="str">
        <f t="shared" si="211"/>
        <v/>
      </c>
      <c r="AG200" s="19">
        <f t="shared" si="211"/>
        <v>284.00000000000006</v>
      </c>
      <c r="AH200" s="19" t="str">
        <f t="shared" si="211"/>
        <v/>
      </c>
      <c r="AI200" s="19" t="str">
        <f t="shared" ref="AI200:BN200" si="212">IF(ISNUMBER(AI125),AI160+AI125+AI199,"")</f>
        <v/>
      </c>
      <c r="AJ200" s="19" t="str">
        <f t="shared" si="212"/>
        <v/>
      </c>
      <c r="AK200" s="19" t="str">
        <f t="shared" si="212"/>
        <v/>
      </c>
      <c r="AL200" s="19" t="str">
        <f t="shared" si="212"/>
        <v/>
      </c>
      <c r="AM200" s="19">
        <f t="shared" si="212"/>
        <v>381.80000000000013</v>
      </c>
      <c r="AN200" s="19" t="str">
        <f t="shared" si="212"/>
        <v/>
      </c>
      <c r="AO200" s="19" t="str">
        <f t="shared" si="212"/>
        <v/>
      </c>
      <c r="AP200" s="19" t="str">
        <f t="shared" si="212"/>
        <v/>
      </c>
      <c r="AQ200" s="19" t="str">
        <f t="shared" si="212"/>
        <v/>
      </c>
      <c r="AR200" s="19" t="str">
        <f t="shared" si="212"/>
        <v/>
      </c>
      <c r="AS200" s="19">
        <f t="shared" si="212"/>
        <v>456.10000000000014</v>
      </c>
      <c r="AT200" s="19" t="str">
        <f t="shared" si="212"/>
        <v/>
      </c>
      <c r="AU200" s="19" t="str">
        <f t="shared" si="212"/>
        <v/>
      </c>
      <c r="AV200" s="19" t="str">
        <f t="shared" si="212"/>
        <v/>
      </c>
      <c r="AW200" s="19" t="str">
        <f t="shared" si="212"/>
        <v/>
      </c>
      <c r="AX200" s="19" t="str">
        <f t="shared" si="212"/>
        <v/>
      </c>
      <c r="AY200" s="19">
        <f t="shared" si="212"/>
        <v>528.19999999999993</v>
      </c>
      <c r="AZ200" s="19">
        <f t="shared" si="212"/>
        <v>113.6</v>
      </c>
      <c r="BA200" s="19">
        <f t="shared" si="212"/>
        <v>119.49999999999993</v>
      </c>
      <c r="BB200" s="19">
        <f t="shared" si="212"/>
        <v>233.10000000000008</v>
      </c>
      <c r="BC200" s="19">
        <f t="shared" si="212"/>
        <v>132.4</v>
      </c>
      <c r="BD200" s="19">
        <f t="shared" si="212"/>
        <v>153.39999999999992</v>
      </c>
      <c r="BE200" s="19">
        <f t="shared" si="212"/>
        <v>518.89999999999986</v>
      </c>
      <c r="BF200" s="19">
        <f t="shared" si="212"/>
        <v>150.90000000000006</v>
      </c>
      <c r="BG200" s="19">
        <f t="shared" si="212"/>
        <v>255.09999999999997</v>
      </c>
      <c r="BH200" s="19">
        <f t="shared" si="212"/>
        <v>406.00000000000017</v>
      </c>
      <c r="BI200" s="19">
        <f t="shared" si="212"/>
        <v>281.90000000000003</v>
      </c>
      <c r="BJ200" s="19">
        <f t="shared" si="212"/>
        <v>295.10000000000002</v>
      </c>
      <c r="BK200" s="19">
        <f t="shared" si="212"/>
        <v>983.00000000000023</v>
      </c>
      <c r="BL200" s="19">
        <f t="shared" si="212"/>
        <v>277.09999999999997</v>
      </c>
      <c r="BM200" s="19">
        <f t="shared" si="212"/>
        <v>280.79999999999995</v>
      </c>
      <c r="BN200" s="19">
        <f t="shared" si="212"/>
        <v>557.90000000000009</v>
      </c>
      <c r="BO200" s="19">
        <f t="shared" ref="BO200:CL200" si="213">IF(ISNUMBER(BO125),BO160+BO125+BO199,"")</f>
        <v>294.09999999999997</v>
      </c>
      <c r="BP200" s="19">
        <f t="shared" si="213"/>
        <v>317.7000000000001</v>
      </c>
      <c r="BQ200" s="19">
        <f t="shared" si="213"/>
        <v>1169.7000000000003</v>
      </c>
      <c r="BR200" s="19">
        <f t="shared" si="213"/>
        <v>292.19999999999993</v>
      </c>
      <c r="BS200" s="19">
        <f t="shared" si="213"/>
        <v>305.40000000000009</v>
      </c>
      <c r="BT200" s="19">
        <f t="shared" si="213"/>
        <v>597.6</v>
      </c>
      <c r="BU200" s="19">
        <f t="shared" si="213"/>
        <v>319.2</v>
      </c>
      <c r="BV200" s="19">
        <f t="shared" si="213"/>
        <v>323.10000000000002</v>
      </c>
      <c r="BW200" s="19">
        <f t="shared" si="213"/>
        <v>1239.9000000000001</v>
      </c>
      <c r="BX200" s="19">
        <f t="shared" si="213"/>
        <v>285.89999999999986</v>
      </c>
      <c r="BY200" s="19">
        <f t="shared" si="213"/>
        <v>297.09999999999991</v>
      </c>
      <c r="BZ200" s="19">
        <f t="shared" si="213"/>
        <v>582.99999999999977</v>
      </c>
      <c r="CA200" s="19">
        <f t="shared" si="213"/>
        <v>324.2</v>
      </c>
      <c r="CB200" s="19">
        <f t="shared" si="213"/>
        <v>340.79999999999995</v>
      </c>
      <c r="CC200" s="19">
        <f t="shared" si="213"/>
        <v>1248</v>
      </c>
      <c r="CD200" s="19">
        <f t="shared" si="213"/>
        <v>318.7000000000001</v>
      </c>
      <c r="CE200" s="19">
        <f t="shared" si="213"/>
        <v>335.90000000000003</v>
      </c>
      <c r="CF200" s="19">
        <f t="shared" si="213"/>
        <v>654.60000000000036</v>
      </c>
      <c r="CG200" s="19">
        <f t="shared" si="213"/>
        <v>340</v>
      </c>
      <c r="CH200" s="19">
        <f t="shared" si="213"/>
        <v>385.39999999999992</v>
      </c>
      <c r="CI200" s="19">
        <f t="shared" si="213"/>
        <v>1379.9999999999995</v>
      </c>
      <c r="CJ200" s="19">
        <f t="shared" si="213"/>
        <v>351.99999999999994</v>
      </c>
      <c r="CK200" s="19">
        <f t="shared" si="213"/>
        <v>389.40000000000003</v>
      </c>
      <c r="CL200" s="19">
        <f t="shared" si="213"/>
        <v>741.40000000000009</v>
      </c>
      <c r="CM200" s="21">
        <f>CM160+CM125+CM199</f>
        <v>375.44585987261155</v>
      </c>
      <c r="CN200" s="21">
        <f>CN160+CN125+CN199</f>
        <v>391.88057324840747</v>
      </c>
      <c r="CO200" s="21">
        <f>SUM(CJ200,CK200,CM200,CN200)</f>
        <v>1508.726433121019</v>
      </c>
      <c r="CP200" s="21">
        <f>CP160+CP125+CP199</f>
        <v>1677.4547273478622</v>
      </c>
      <c r="CQ200" s="21">
        <f>CQ160+CQ125+CQ199</f>
        <v>1856.8524460866106</v>
      </c>
      <c r="CR200" s="21">
        <f>CR160+CR125+CR199</f>
        <v>2047.1615762416361</v>
      </c>
      <c r="CS200" s="21">
        <f>CS160+CS125+CS199</f>
        <v>2252.5574161850618</v>
      </c>
      <c r="CT200" s="22" t="s">
        <v>325</v>
      </c>
      <c r="CV200" s="23">
        <f>IFERROR((CS200/CI200)^(1/5)-1,"n/m")</f>
        <v>0.102958969081961</v>
      </c>
      <c r="CW200" s="23">
        <f>IFERROR((CI200/BE200)^(1/5)-1,"n/m")</f>
        <v>0.21607142362833387</v>
      </c>
      <c r="CX200" s="23">
        <f>IFERROR((CI200/AA200)^(1/10)-1,"n/m")</f>
        <v>0.16019425393391451</v>
      </c>
      <c r="CY200" s="23">
        <f>IFERROR((CI200/C200)^(1/19)-1,"n/m")</f>
        <v>0.13112220195829338</v>
      </c>
    </row>
    <row r="201" spans="2:103" ht="15" hidden="1" customHeight="1" outlineLevel="1" x14ac:dyDescent="0.25">
      <c r="B201" s="25" t="s">
        <v>326</v>
      </c>
      <c r="C201" s="39">
        <f t="shared" ref="C201:AH201" si="214">IFERROR(C200/C152,"")</f>
        <v>9.2659782305330729E-2</v>
      </c>
      <c r="D201" s="39">
        <f t="shared" si="214"/>
        <v>0.10398816495099542</v>
      </c>
      <c r="E201" s="39">
        <f t="shared" si="214"/>
        <v>0.12450638792102202</v>
      </c>
      <c r="F201" s="39">
        <f t="shared" si="214"/>
        <v>0.11125234549966709</v>
      </c>
      <c r="G201" s="39">
        <f t="shared" si="214"/>
        <v>0.11713903418075666</v>
      </c>
      <c r="H201" s="39">
        <f t="shared" si="214"/>
        <v>0.1296668211545394</v>
      </c>
      <c r="I201" s="39">
        <f t="shared" si="214"/>
        <v>0.12809664833356846</v>
      </c>
      <c r="J201" s="39" t="str">
        <f t="shared" si="214"/>
        <v/>
      </c>
      <c r="K201" s="39" t="str">
        <f t="shared" si="214"/>
        <v/>
      </c>
      <c r="L201" s="39" t="str">
        <f t="shared" si="214"/>
        <v/>
      </c>
      <c r="M201" s="39" t="str">
        <f t="shared" si="214"/>
        <v/>
      </c>
      <c r="N201" s="39" t="str">
        <f t="shared" si="214"/>
        <v/>
      </c>
      <c r="O201" s="39">
        <f t="shared" si="214"/>
        <v>0.1162233815103053</v>
      </c>
      <c r="P201" s="39" t="str">
        <f t="shared" si="214"/>
        <v/>
      </c>
      <c r="Q201" s="39" t="str">
        <f t="shared" si="214"/>
        <v/>
      </c>
      <c r="R201" s="39" t="str">
        <f t="shared" si="214"/>
        <v/>
      </c>
      <c r="S201" s="39" t="str">
        <f t="shared" si="214"/>
        <v/>
      </c>
      <c r="T201" s="39" t="str">
        <f t="shared" si="214"/>
        <v/>
      </c>
      <c r="U201" s="39">
        <f t="shared" si="214"/>
        <v>0.13638262322472852</v>
      </c>
      <c r="V201" s="39" t="str">
        <f t="shared" si="214"/>
        <v/>
      </c>
      <c r="W201" s="39" t="str">
        <f t="shared" si="214"/>
        <v/>
      </c>
      <c r="X201" s="39" t="str">
        <f t="shared" si="214"/>
        <v/>
      </c>
      <c r="Y201" s="39" t="str">
        <f t="shared" si="214"/>
        <v/>
      </c>
      <c r="Z201" s="39" t="str">
        <f t="shared" si="214"/>
        <v/>
      </c>
      <c r="AA201" s="39">
        <f t="shared" si="214"/>
        <v>0.13589486967494885</v>
      </c>
      <c r="AB201" s="39" t="str">
        <f t="shared" si="214"/>
        <v/>
      </c>
      <c r="AC201" s="39" t="str">
        <f t="shared" si="214"/>
        <v/>
      </c>
      <c r="AD201" s="39" t="str">
        <f t="shared" si="214"/>
        <v/>
      </c>
      <c r="AE201" s="39" t="str">
        <f t="shared" si="214"/>
        <v/>
      </c>
      <c r="AF201" s="39" t="str">
        <f t="shared" si="214"/>
        <v/>
      </c>
      <c r="AG201" s="39">
        <f t="shared" si="214"/>
        <v>0.13209916740313504</v>
      </c>
      <c r="AH201" s="39" t="str">
        <f t="shared" si="214"/>
        <v/>
      </c>
      <c r="AI201" s="39" t="str">
        <f t="shared" ref="AI201:BN201" si="215">IFERROR(AI200/AI152,"")</f>
        <v/>
      </c>
      <c r="AJ201" s="39" t="str">
        <f t="shared" si="215"/>
        <v/>
      </c>
      <c r="AK201" s="39" t="str">
        <f t="shared" si="215"/>
        <v/>
      </c>
      <c r="AL201" s="39" t="str">
        <f t="shared" si="215"/>
        <v/>
      </c>
      <c r="AM201" s="39">
        <f t="shared" si="215"/>
        <v>0.14663184576388361</v>
      </c>
      <c r="AN201" s="39" t="str">
        <f t="shared" si="215"/>
        <v/>
      </c>
      <c r="AO201" s="39" t="str">
        <f t="shared" si="215"/>
        <v/>
      </c>
      <c r="AP201" s="39" t="str">
        <f t="shared" si="215"/>
        <v/>
      </c>
      <c r="AQ201" s="39" t="str">
        <f t="shared" si="215"/>
        <v/>
      </c>
      <c r="AR201" s="39" t="str">
        <f t="shared" si="215"/>
        <v/>
      </c>
      <c r="AS201" s="39">
        <f t="shared" si="215"/>
        <v>0.15717830312220005</v>
      </c>
      <c r="AT201" s="39" t="str">
        <f t="shared" si="215"/>
        <v/>
      </c>
      <c r="AU201" s="39" t="str">
        <f t="shared" si="215"/>
        <v/>
      </c>
      <c r="AV201" s="39" t="str">
        <f t="shared" si="215"/>
        <v/>
      </c>
      <c r="AW201" s="39" t="str">
        <f t="shared" si="215"/>
        <v/>
      </c>
      <c r="AX201" s="39" t="str">
        <f t="shared" si="215"/>
        <v/>
      </c>
      <c r="AY201" s="39">
        <f t="shared" si="215"/>
        <v>0.16696168921481855</v>
      </c>
      <c r="AZ201" s="39">
        <f t="shared" si="215"/>
        <v>0.14478715268926839</v>
      </c>
      <c r="BA201" s="39">
        <f t="shared" si="215"/>
        <v>0.16076954123503287</v>
      </c>
      <c r="BB201" s="39">
        <f t="shared" si="215"/>
        <v>0.1525623404673081</v>
      </c>
      <c r="BC201" s="39">
        <f t="shared" si="215"/>
        <v>0.17676902536715622</v>
      </c>
      <c r="BD201" s="39">
        <f t="shared" si="215"/>
        <v>0.18954652168540706</v>
      </c>
      <c r="BE201" s="39">
        <f t="shared" si="215"/>
        <v>0.16813557125267314</v>
      </c>
      <c r="BF201" s="39">
        <f t="shared" si="215"/>
        <v>0.18729055479707094</v>
      </c>
      <c r="BG201" s="39">
        <f t="shared" si="215"/>
        <v>0.22756467439785902</v>
      </c>
      <c r="BH201" s="39">
        <f t="shared" si="215"/>
        <v>0.21072299787200921</v>
      </c>
      <c r="BI201" s="39">
        <f t="shared" si="215"/>
        <v>0.2148791828645476</v>
      </c>
      <c r="BJ201" s="39">
        <f t="shared" si="215"/>
        <v>0.21450897724794651</v>
      </c>
      <c r="BK201" s="39">
        <f t="shared" si="215"/>
        <v>0.21303339618143602</v>
      </c>
      <c r="BL201" s="39">
        <f t="shared" si="215"/>
        <v>0.20976532929598787</v>
      </c>
      <c r="BM201" s="39">
        <f t="shared" si="215"/>
        <v>0.20711019324384125</v>
      </c>
      <c r="BN201" s="39">
        <f t="shared" si="215"/>
        <v>0.20842050209205024</v>
      </c>
      <c r="BO201" s="39">
        <f t="shared" ref="BO201:CS201" si="216">IFERROR(BO200/BO152,"")</f>
        <v>0.215679084775594</v>
      </c>
      <c r="BP201" s="39">
        <f t="shared" si="216"/>
        <v>0.2240163587646313</v>
      </c>
      <c r="BQ201" s="39">
        <f t="shared" si="216"/>
        <v>0.21428571428571433</v>
      </c>
      <c r="BR201" s="39">
        <f t="shared" si="216"/>
        <v>0.21123400563869005</v>
      </c>
      <c r="BS201" s="39">
        <f t="shared" si="216"/>
        <v>0.21436091808801858</v>
      </c>
      <c r="BT201" s="39">
        <f t="shared" si="216"/>
        <v>0.21282051282051284</v>
      </c>
      <c r="BU201" s="39">
        <f t="shared" si="216"/>
        <v>0.22759358288770051</v>
      </c>
      <c r="BV201" s="39">
        <f t="shared" si="216"/>
        <v>0.22673684210526318</v>
      </c>
      <c r="BW201" s="39">
        <f t="shared" si="216"/>
        <v>0.22001597018898059</v>
      </c>
      <c r="BX201" s="39">
        <f t="shared" si="216"/>
        <v>0.21176209169691126</v>
      </c>
      <c r="BY201" s="39">
        <f t="shared" si="216"/>
        <v>0.21621424932683206</v>
      </c>
      <c r="BZ201" s="39">
        <f t="shared" si="216"/>
        <v>0.21400778210116725</v>
      </c>
      <c r="CA201" s="39">
        <f t="shared" si="216"/>
        <v>0.22459300311742292</v>
      </c>
      <c r="CB201" s="39">
        <f t="shared" si="216"/>
        <v>0.22685216002130065</v>
      </c>
      <c r="CC201" s="39">
        <f t="shared" si="216"/>
        <v>0.22010582010582011</v>
      </c>
      <c r="CD201" s="39">
        <f t="shared" si="216"/>
        <v>0.21980826263880274</v>
      </c>
      <c r="CE201" s="39">
        <f t="shared" si="216"/>
        <v>0.22190658650987649</v>
      </c>
      <c r="CF201" s="39">
        <f t="shared" si="216"/>
        <v>0.22088001079767861</v>
      </c>
      <c r="CG201" s="39">
        <f t="shared" si="216"/>
        <v>0.22085092562520298</v>
      </c>
      <c r="CH201" s="39">
        <f t="shared" si="216"/>
        <v>0.23903739998759532</v>
      </c>
      <c r="CI201" s="39">
        <f t="shared" si="216"/>
        <v>0.22565980966085614</v>
      </c>
      <c r="CJ201" s="39">
        <f t="shared" si="216"/>
        <v>0.22562656239984613</v>
      </c>
      <c r="CK201" s="39">
        <f t="shared" si="216"/>
        <v>0.23422556390977445</v>
      </c>
      <c r="CL201" s="39">
        <f t="shared" si="216"/>
        <v>0.23006268230621241</v>
      </c>
      <c r="CM201" s="27">
        <f t="shared" si="216"/>
        <v>0.22200308897610879</v>
      </c>
      <c r="CN201" s="27">
        <f t="shared" si="216"/>
        <v>0.2211124311874578</v>
      </c>
      <c r="CO201" s="27">
        <f t="shared" si="216"/>
        <v>0.22565160837863185</v>
      </c>
      <c r="CP201" s="27">
        <f t="shared" si="216"/>
        <v>0.23362896372164457</v>
      </c>
      <c r="CQ201" s="27">
        <f t="shared" si="216"/>
        <v>0.23649817247460775</v>
      </c>
      <c r="CR201" s="27">
        <f t="shared" si="216"/>
        <v>0.23864429853018018</v>
      </c>
      <c r="CS201" s="27">
        <f t="shared" si="216"/>
        <v>0.24105429255725352</v>
      </c>
      <c r="CT201" s="22"/>
      <c r="CV201" s="40">
        <f>IFERROR(AVERAGE(CO201,CP201,CQ201,CR201,CS201),"n/m")</f>
        <v>0.23509546713246357</v>
      </c>
      <c r="CW201" s="40">
        <f>IFERROR(AVERAGE(BK201,BQ201,BW201,CC201,CI201),"n/m")</f>
        <v>0.21862014208456143</v>
      </c>
      <c r="CX201" s="40">
        <f>IFERROR(AVERAGE(AG201,AM201,AS201,AY201,BE201,BK201,BQ201,BW201,CC201,CI201),"n/m")</f>
        <v>0.18641072871795178</v>
      </c>
      <c r="CY201" s="40">
        <f>IFERROR(AVERAGE(C201,D201,E201,F201,G201,H201,I201,O201,U201,AA201,AG201,AM201,AS201,AY201,BE201,BK201,BQ201,BW201,CC201,CI201),"n/m")</f>
        <v>0.15299586729676901</v>
      </c>
    </row>
    <row r="202" spans="2:103" ht="15" hidden="1" customHeight="1" outlineLevel="1" x14ac:dyDescent="0.25">
      <c r="B202" s="12"/>
      <c r="CM202" s="6"/>
      <c r="CN202" s="6"/>
      <c r="CO202" s="6"/>
      <c r="CP202" s="6"/>
      <c r="CQ202" s="6"/>
      <c r="CR202" s="6"/>
      <c r="CS202" s="6"/>
      <c r="CT202" s="6"/>
    </row>
    <row r="203" spans="2:103" ht="15" hidden="1" customHeight="1" outlineLevel="1" x14ac:dyDescent="0.25">
      <c r="B203" s="11" t="s">
        <v>327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 t="s">
        <v>328</v>
      </c>
    </row>
    <row r="204" spans="2:103" ht="15" hidden="1" customHeight="1" outlineLevel="1" x14ac:dyDescent="0.25">
      <c r="B204" s="18" t="s">
        <v>329</v>
      </c>
      <c r="C204" s="19">
        <f t="shared" ref="C204:AH204" si="217">C169</f>
        <v>81.300000000000011</v>
      </c>
      <c r="D204" s="19">
        <f t="shared" si="217"/>
        <v>101.89999999999985</v>
      </c>
      <c r="E204" s="19">
        <f t="shared" si="217"/>
        <v>113.59999999999992</v>
      </c>
      <c r="F204" s="19">
        <f t="shared" si="217"/>
        <v>113.79999999999998</v>
      </c>
      <c r="G204" s="19">
        <f t="shared" si="217"/>
        <v>120.60000000000011</v>
      </c>
      <c r="H204" s="19">
        <f t="shared" si="217"/>
        <v>255.20000000000005</v>
      </c>
      <c r="I204" s="19">
        <f t="shared" si="217"/>
        <v>165.10000000000025</v>
      </c>
      <c r="J204" s="19">
        <f t="shared" si="217"/>
        <v>39.800000000000011</v>
      </c>
      <c r="K204" s="19">
        <f t="shared" si="217"/>
        <v>43.299999999999976</v>
      </c>
      <c r="L204" s="19">
        <f t="shared" si="217"/>
        <v>83.100000000000065</v>
      </c>
      <c r="M204" s="19">
        <f t="shared" si="217"/>
        <v>46.900000000000027</v>
      </c>
      <c r="N204" s="19">
        <f t="shared" si="217"/>
        <v>54.500000000000028</v>
      </c>
      <c r="O204" s="19">
        <f t="shared" si="217"/>
        <v>184.49999999999994</v>
      </c>
      <c r="P204" s="19">
        <f t="shared" si="217"/>
        <v>46</v>
      </c>
      <c r="Q204" s="19">
        <f t="shared" si="217"/>
        <v>55.800000000000047</v>
      </c>
      <c r="R204" s="19">
        <f t="shared" si="217"/>
        <v>101.79999999999995</v>
      </c>
      <c r="S204" s="19">
        <f t="shared" si="217"/>
        <v>54.900000000000048</v>
      </c>
      <c r="T204" s="19">
        <f t="shared" si="217"/>
        <v>58.89999999999992</v>
      </c>
      <c r="U204" s="19">
        <f t="shared" si="217"/>
        <v>215.60000000000014</v>
      </c>
      <c r="V204" s="19">
        <f t="shared" si="217"/>
        <v>43.70000000000001</v>
      </c>
      <c r="W204" s="19">
        <f t="shared" si="217"/>
        <v>48.000000000000071</v>
      </c>
      <c r="X204" s="19">
        <f t="shared" si="217"/>
        <v>91.700000000000145</v>
      </c>
      <c r="Y204" s="19">
        <f t="shared" si="217"/>
        <v>48.299999999999969</v>
      </c>
      <c r="Z204" s="19">
        <f t="shared" si="217"/>
        <v>55.500000000000028</v>
      </c>
      <c r="AA204" s="19">
        <f t="shared" si="217"/>
        <v>195.49999999999994</v>
      </c>
      <c r="AB204" s="19">
        <f t="shared" si="217"/>
        <v>38.999999999999979</v>
      </c>
      <c r="AC204" s="19">
        <f t="shared" si="217"/>
        <v>46.900000000000048</v>
      </c>
      <c r="AD204" s="19">
        <f t="shared" si="217"/>
        <v>85.9</v>
      </c>
      <c r="AE204" s="19">
        <f t="shared" si="217"/>
        <v>51.999999999999957</v>
      </c>
      <c r="AF204" s="19">
        <f t="shared" si="217"/>
        <v>52.999999999999972</v>
      </c>
      <c r="AG204" s="19">
        <f t="shared" si="217"/>
        <v>190.90000000000006</v>
      </c>
      <c r="AH204" s="19">
        <f t="shared" si="217"/>
        <v>30.500000000000007</v>
      </c>
      <c r="AI204" s="19">
        <f t="shared" ref="AI204:BN204" si="218">AI169</f>
        <v>60.100000000000051</v>
      </c>
      <c r="AJ204" s="19">
        <f t="shared" si="218"/>
        <v>90.600000000000023</v>
      </c>
      <c r="AK204" s="19">
        <f t="shared" si="218"/>
        <v>69.000000000000028</v>
      </c>
      <c r="AL204" s="19">
        <f t="shared" si="218"/>
        <v>67.599999999999994</v>
      </c>
      <c r="AM204" s="19">
        <f t="shared" si="218"/>
        <v>227.2000000000001</v>
      </c>
      <c r="AN204" s="19">
        <f t="shared" si="218"/>
        <v>66.500000000000043</v>
      </c>
      <c r="AO204" s="19">
        <f t="shared" si="218"/>
        <v>85.899999999999991</v>
      </c>
      <c r="AP204" s="19">
        <f t="shared" si="218"/>
        <v>152.39999999999986</v>
      </c>
      <c r="AQ204" s="19">
        <f t="shared" si="218"/>
        <v>90.299999999999969</v>
      </c>
      <c r="AR204" s="19">
        <f t="shared" si="218"/>
        <v>91.099999999999966</v>
      </c>
      <c r="AS204" s="19">
        <f t="shared" si="218"/>
        <v>333.80000000000013</v>
      </c>
      <c r="AT204" s="19">
        <f t="shared" si="218"/>
        <v>75.300000000000068</v>
      </c>
      <c r="AU204" s="19">
        <f t="shared" si="218"/>
        <v>104.59999999999998</v>
      </c>
      <c r="AV204" s="19">
        <f t="shared" si="218"/>
        <v>179.9</v>
      </c>
      <c r="AW204" s="19">
        <f t="shared" si="218"/>
        <v>106.70000000000005</v>
      </c>
      <c r="AX204" s="19">
        <f t="shared" si="218"/>
        <v>115.70000000000003</v>
      </c>
      <c r="AY204" s="19">
        <f t="shared" si="218"/>
        <v>402.29999999999995</v>
      </c>
      <c r="AZ204" s="19">
        <f t="shared" si="218"/>
        <v>82.2</v>
      </c>
      <c r="BA204" s="19">
        <f t="shared" si="218"/>
        <v>93.699999999999918</v>
      </c>
      <c r="BB204" s="19">
        <f t="shared" si="218"/>
        <v>175.90000000000003</v>
      </c>
      <c r="BC204" s="19">
        <f t="shared" si="218"/>
        <v>93.9</v>
      </c>
      <c r="BD204" s="19">
        <f t="shared" si="218"/>
        <v>132.09999999999991</v>
      </c>
      <c r="BE204" s="19">
        <f t="shared" si="218"/>
        <v>401.89999999999992</v>
      </c>
      <c r="BF204" s="19">
        <f t="shared" si="218"/>
        <v>84.700000000000045</v>
      </c>
      <c r="BG204" s="19">
        <f t="shared" si="218"/>
        <v>64.699999999999989</v>
      </c>
      <c r="BH204" s="19">
        <f t="shared" si="218"/>
        <v>149.40000000000015</v>
      </c>
      <c r="BI204" s="19">
        <f t="shared" si="218"/>
        <v>134.10000000000002</v>
      </c>
      <c r="BJ204" s="19">
        <f t="shared" si="218"/>
        <v>161.80000000000001</v>
      </c>
      <c r="BK204" s="19">
        <f t="shared" si="218"/>
        <v>445.3000000000003</v>
      </c>
      <c r="BL204" s="19">
        <f t="shared" si="218"/>
        <v>212.59999999999997</v>
      </c>
      <c r="BM204" s="19">
        <f t="shared" si="218"/>
        <v>171.29999999999995</v>
      </c>
      <c r="BN204" s="19">
        <f t="shared" si="218"/>
        <v>383.90000000000009</v>
      </c>
      <c r="BO204" s="19">
        <f t="shared" ref="BO204:CN204" si="219">BO169</f>
        <v>178.19999999999996</v>
      </c>
      <c r="BP204" s="19">
        <f t="shared" si="219"/>
        <v>226.80000000000013</v>
      </c>
      <c r="BQ204" s="19">
        <f t="shared" si="219"/>
        <v>788.9000000000002</v>
      </c>
      <c r="BR204" s="19">
        <f t="shared" si="219"/>
        <v>178.79999999999995</v>
      </c>
      <c r="BS204" s="19">
        <f t="shared" si="219"/>
        <v>185.50000000000006</v>
      </c>
      <c r="BT204" s="19">
        <f t="shared" si="219"/>
        <v>364.3</v>
      </c>
      <c r="BU204" s="19">
        <f t="shared" si="219"/>
        <v>198.79999999999995</v>
      </c>
      <c r="BV204" s="19">
        <f t="shared" si="219"/>
        <v>323.5</v>
      </c>
      <c r="BW204" s="19">
        <f t="shared" si="219"/>
        <v>886.60000000000014</v>
      </c>
      <c r="BX204" s="19">
        <f t="shared" si="219"/>
        <v>179.09999999999985</v>
      </c>
      <c r="BY204" s="19">
        <f t="shared" si="219"/>
        <v>180.2999999999999</v>
      </c>
      <c r="BZ204" s="19">
        <f t="shared" si="219"/>
        <v>359.39999999999969</v>
      </c>
      <c r="CA204" s="19">
        <f t="shared" si="219"/>
        <v>262.20000000000005</v>
      </c>
      <c r="CB204" s="19">
        <f t="shared" si="219"/>
        <v>199.09999999999997</v>
      </c>
      <c r="CC204" s="19">
        <f t="shared" si="219"/>
        <v>820.7</v>
      </c>
      <c r="CD204" s="19">
        <f t="shared" si="219"/>
        <v>188.80000000000013</v>
      </c>
      <c r="CE204" s="19">
        <f t="shared" si="219"/>
        <v>210.39999999999998</v>
      </c>
      <c r="CF204" s="19">
        <f t="shared" si="219"/>
        <v>399.20000000000033</v>
      </c>
      <c r="CG204" s="19">
        <f t="shared" si="219"/>
        <v>220.89999999999989</v>
      </c>
      <c r="CH204" s="19">
        <f t="shared" si="219"/>
        <v>275.59999999999991</v>
      </c>
      <c r="CI204" s="19">
        <f t="shared" si="219"/>
        <v>895.7</v>
      </c>
      <c r="CJ204" s="19">
        <f t="shared" si="219"/>
        <v>226.79999999999993</v>
      </c>
      <c r="CK204" s="19">
        <f t="shared" si="219"/>
        <v>251.70000000000007</v>
      </c>
      <c r="CL204" s="19">
        <f t="shared" si="219"/>
        <v>478.50000000000011</v>
      </c>
      <c r="CM204" s="21">
        <f t="shared" si="219"/>
        <v>241.58050000000009</v>
      </c>
      <c r="CN204" s="21">
        <f t="shared" si="219"/>
        <v>254.48174999999986</v>
      </c>
      <c r="CO204" s="21">
        <f t="shared" ref="CO204:CO211" si="220">SUM(CJ204,CK204,CM204,CN204)</f>
        <v>974.56224999999995</v>
      </c>
      <c r="CP204" s="21">
        <f>CP169</f>
        <v>1126.5489259865312</v>
      </c>
      <c r="CQ204" s="21">
        <f>CQ169</f>
        <v>1229.0766834995538</v>
      </c>
      <c r="CR204" s="21">
        <f>CR169</f>
        <v>1365.6372407546469</v>
      </c>
      <c r="CS204" s="21">
        <f>CS169</f>
        <v>1516.5181945392574</v>
      </c>
      <c r="CT204" s="22"/>
      <c r="CV204" s="6"/>
      <c r="CW204" s="6"/>
      <c r="CX204" s="6"/>
      <c r="CY204" s="6"/>
    </row>
    <row r="205" spans="2:103" ht="15" hidden="1" customHeight="1" outlineLevel="1" x14ac:dyDescent="0.25">
      <c r="B205" s="12" t="s">
        <v>330</v>
      </c>
      <c r="C205" s="29">
        <f t="shared" ref="C205:AH205" si="221">-N(C168)</f>
        <v>0</v>
      </c>
      <c r="D205" s="29">
        <f t="shared" si="221"/>
        <v>0</v>
      </c>
      <c r="E205" s="29">
        <f t="shared" si="221"/>
        <v>5.3</v>
      </c>
      <c r="F205" s="29">
        <f t="shared" si="221"/>
        <v>2.6</v>
      </c>
      <c r="G205" s="29">
        <f t="shared" si="221"/>
        <v>-0.6</v>
      </c>
      <c r="H205" s="29">
        <f t="shared" si="221"/>
        <v>-113.1</v>
      </c>
      <c r="I205" s="29">
        <f t="shared" si="221"/>
        <v>-2.2999999999999998</v>
      </c>
      <c r="J205" s="29">
        <f t="shared" si="221"/>
        <v>0</v>
      </c>
      <c r="K205" s="29">
        <f t="shared" si="221"/>
        <v>0</v>
      </c>
      <c r="L205" s="29">
        <f t="shared" si="221"/>
        <v>0</v>
      </c>
      <c r="M205" s="29">
        <f t="shared" si="221"/>
        <v>0</v>
      </c>
      <c r="N205" s="29">
        <f t="shared" si="221"/>
        <v>0</v>
      </c>
      <c r="O205" s="29">
        <f t="shared" si="221"/>
        <v>0</v>
      </c>
      <c r="P205" s="29">
        <f t="shared" si="221"/>
        <v>0</v>
      </c>
      <c r="Q205" s="29">
        <f t="shared" si="221"/>
        <v>0</v>
      </c>
      <c r="R205" s="29">
        <f t="shared" si="221"/>
        <v>0</v>
      </c>
      <c r="S205" s="29">
        <f t="shared" si="221"/>
        <v>0</v>
      </c>
      <c r="T205" s="29">
        <f t="shared" si="221"/>
        <v>0</v>
      </c>
      <c r="U205" s="29">
        <f t="shared" si="221"/>
        <v>0</v>
      </c>
      <c r="V205" s="29">
        <f t="shared" si="221"/>
        <v>0</v>
      </c>
      <c r="W205" s="29">
        <f t="shared" si="221"/>
        <v>0</v>
      </c>
      <c r="X205" s="29">
        <f t="shared" si="221"/>
        <v>0</v>
      </c>
      <c r="Y205" s="29">
        <f t="shared" si="221"/>
        <v>0</v>
      </c>
      <c r="Z205" s="29">
        <f t="shared" si="221"/>
        <v>0</v>
      </c>
      <c r="AA205" s="29">
        <f t="shared" si="221"/>
        <v>0</v>
      </c>
      <c r="AB205" s="29">
        <f t="shared" si="221"/>
        <v>0</v>
      </c>
      <c r="AC205" s="29">
        <f t="shared" si="221"/>
        <v>0</v>
      </c>
      <c r="AD205" s="29">
        <f t="shared" si="221"/>
        <v>0</v>
      </c>
      <c r="AE205" s="29">
        <f t="shared" si="221"/>
        <v>0</v>
      </c>
      <c r="AF205" s="29">
        <f t="shared" si="221"/>
        <v>0</v>
      </c>
      <c r="AG205" s="29">
        <f t="shared" si="221"/>
        <v>0</v>
      </c>
      <c r="AH205" s="29">
        <f t="shared" si="221"/>
        <v>0</v>
      </c>
      <c r="AI205" s="29">
        <f t="shared" ref="AI205:BN205" si="222">-N(AI168)</f>
        <v>0</v>
      </c>
      <c r="AJ205" s="29">
        <f t="shared" si="222"/>
        <v>0</v>
      </c>
      <c r="AK205" s="29">
        <f t="shared" si="222"/>
        <v>0</v>
      </c>
      <c r="AL205" s="29">
        <f t="shared" si="222"/>
        <v>0</v>
      </c>
      <c r="AM205" s="29">
        <f t="shared" si="222"/>
        <v>0</v>
      </c>
      <c r="AN205" s="29">
        <f t="shared" si="222"/>
        <v>0</v>
      </c>
      <c r="AO205" s="29">
        <f t="shared" si="222"/>
        <v>0</v>
      </c>
      <c r="AP205" s="29">
        <f t="shared" si="222"/>
        <v>0</v>
      </c>
      <c r="AQ205" s="29">
        <f t="shared" si="222"/>
        <v>0</v>
      </c>
      <c r="AR205" s="29">
        <f t="shared" si="222"/>
        <v>0</v>
      </c>
      <c r="AS205" s="29">
        <f t="shared" si="222"/>
        <v>0</v>
      </c>
      <c r="AT205" s="29">
        <f t="shared" si="222"/>
        <v>0</v>
      </c>
      <c r="AU205" s="29">
        <f t="shared" si="222"/>
        <v>0</v>
      </c>
      <c r="AV205" s="29">
        <f t="shared" si="222"/>
        <v>0</v>
      </c>
      <c r="AW205" s="29">
        <f t="shared" si="222"/>
        <v>0</v>
      </c>
      <c r="AX205" s="29">
        <f t="shared" si="222"/>
        <v>0</v>
      </c>
      <c r="AY205" s="29">
        <f t="shared" si="222"/>
        <v>0</v>
      </c>
      <c r="AZ205" s="29">
        <f t="shared" si="222"/>
        <v>0</v>
      </c>
      <c r="BA205" s="29">
        <f t="shared" si="222"/>
        <v>0</v>
      </c>
      <c r="BB205" s="29">
        <f t="shared" si="222"/>
        <v>0</v>
      </c>
      <c r="BC205" s="29">
        <f t="shared" si="222"/>
        <v>0</v>
      </c>
      <c r="BD205" s="29">
        <f t="shared" si="222"/>
        <v>0</v>
      </c>
      <c r="BE205" s="29">
        <f t="shared" si="222"/>
        <v>0</v>
      </c>
      <c r="BF205" s="29">
        <f t="shared" si="222"/>
        <v>0</v>
      </c>
      <c r="BG205" s="29">
        <f t="shared" si="222"/>
        <v>0</v>
      </c>
      <c r="BH205" s="29">
        <f t="shared" si="222"/>
        <v>0</v>
      </c>
      <c r="BI205" s="29">
        <f t="shared" si="222"/>
        <v>0</v>
      </c>
      <c r="BJ205" s="29">
        <f t="shared" si="222"/>
        <v>0</v>
      </c>
      <c r="BK205" s="29">
        <f t="shared" si="222"/>
        <v>0</v>
      </c>
      <c r="BL205" s="29">
        <f t="shared" si="222"/>
        <v>0</v>
      </c>
      <c r="BM205" s="29">
        <f t="shared" si="222"/>
        <v>0</v>
      </c>
      <c r="BN205" s="29">
        <f t="shared" si="222"/>
        <v>0</v>
      </c>
      <c r="BO205" s="29">
        <f t="shared" ref="BO205:CL205" si="223">-N(BO168)</f>
        <v>0</v>
      </c>
      <c r="BP205" s="29">
        <f t="shared" si="223"/>
        <v>0</v>
      </c>
      <c r="BQ205" s="29">
        <f t="shared" si="223"/>
        <v>0</v>
      </c>
      <c r="BR205" s="29">
        <f t="shared" si="223"/>
        <v>0</v>
      </c>
      <c r="BS205" s="29">
        <f t="shared" si="223"/>
        <v>0</v>
      </c>
      <c r="BT205" s="29">
        <f t="shared" si="223"/>
        <v>0</v>
      </c>
      <c r="BU205" s="29">
        <f t="shared" si="223"/>
        <v>0</v>
      </c>
      <c r="BV205" s="29">
        <f t="shared" si="223"/>
        <v>0</v>
      </c>
      <c r="BW205" s="29">
        <f t="shared" si="223"/>
        <v>0</v>
      </c>
      <c r="BX205" s="29">
        <f t="shared" si="223"/>
        <v>0</v>
      </c>
      <c r="BY205" s="29">
        <f t="shared" si="223"/>
        <v>0</v>
      </c>
      <c r="BZ205" s="29">
        <f t="shared" si="223"/>
        <v>0</v>
      </c>
      <c r="CA205" s="29">
        <f t="shared" si="223"/>
        <v>0</v>
      </c>
      <c r="CB205" s="29">
        <f t="shared" si="223"/>
        <v>0</v>
      </c>
      <c r="CC205" s="29">
        <f t="shared" si="223"/>
        <v>0</v>
      </c>
      <c r="CD205" s="29">
        <f t="shared" si="223"/>
        <v>0</v>
      </c>
      <c r="CE205" s="29">
        <f t="shared" si="223"/>
        <v>0</v>
      </c>
      <c r="CF205" s="29">
        <f t="shared" si="223"/>
        <v>0</v>
      </c>
      <c r="CG205" s="29">
        <f t="shared" si="223"/>
        <v>0</v>
      </c>
      <c r="CH205" s="29">
        <f t="shared" si="223"/>
        <v>0</v>
      </c>
      <c r="CI205" s="29">
        <f t="shared" si="223"/>
        <v>0</v>
      </c>
      <c r="CJ205" s="29">
        <f t="shared" si="223"/>
        <v>0</v>
      </c>
      <c r="CK205" s="29">
        <f t="shared" si="223"/>
        <v>0</v>
      </c>
      <c r="CL205" s="29">
        <f t="shared" si="223"/>
        <v>0</v>
      </c>
      <c r="CM205" s="31">
        <f>-CM168</f>
        <v>0</v>
      </c>
      <c r="CN205" s="31">
        <f>-CN168</f>
        <v>0</v>
      </c>
      <c r="CO205" s="31">
        <f t="shared" si="220"/>
        <v>0</v>
      </c>
      <c r="CP205" s="31">
        <f>-CP168</f>
        <v>0</v>
      </c>
      <c r="CQ205" s="31">
        <f>-CQ168</f>
        <v>0</v>
      </c>
      <c r="CR205" s="31">
        <f>-CR168</f>
        <v>0</v>
      </c>
      <c r="CS205" s="31">
        <f>-CS168</f>
        <v>0</v>
      </c>
      <c r="CT205" s="22"/>
      <c r="CV205" s="6"/>
      <c r="CW205" s="6"/>
      <c r="CX205" s="6"/>
      <c r="CY205" s="6"/>
    </row>
    <row r="206" spans="2:103" ht="15" hidden="1" customHeight="1" outlineLevel="1" x14ac:dyDescent="0.25">
      <c r="B206" s="12" t="s">
        <v>331</v>
      </c>
      <c r="C206" s="29">
        <f t="shared" ref="C206:AH206" si="224">C165</f>
        <v>41.4</v>
      </c>
      <c r="D206" s="29">
        <f t="shared" si="224"/>
        <v>50.8</v>
      </c>
      <c r="E206" s="29">
        <f t="shared" si="224"/>
        <v>69.099999999999994</v>
      </c>
      <c r="F206" s="29">
        <f t="shared" si="224"/>
        <v>50</v>
      </c>
      <c r="G206" s="29">
        <f t="shared" si="224"/>
        <v>53.6</v>
      </c>
      <c r="H206" s="29">
        <f t="shared" si="224"/>
        <v>69.5</v>
      </c>
      <c r="I206" s="29">
        <f t="shared" si="224"/>
        <v>65.400000000000006</v>
      </c>
      <c r="J206" s="29">
        <f t="shared" si="224"/>
        <v>13.2</v>
      </c>
      <c r="K206" s="29">
        <f t="shared" si="224"/>
        <v>16.5</v>
      </c>
      <c r="L206" s="29">
        <f t="shared" si="224"/>
        <v>29.7</v>
      </c>
      <c r="M206" s="29">
        <f t="shared" si="224"/>
        <v>0.3</v>
      </c>
      <c r="N206" s="29">
        <f t="shared" si="224"/>
        <v>9.5</v>
      </c>
      <c r="O206" s="29">
        <f t="shared" si="224"/>
        <v>39.5</v>
      </c>
      <c r="P206" s="29">
        <f t="shared" si="224"/>
        <v>15.9</v>
      </c>
      <c r="Q206" s="29">
        <f t="shared" si="224"/>
        <v>22.1</v>
      </c>
      <c r="R206" s="29">
        <f t="shared" si="224"/>
        <v>38</v>
      </c>
      <c r="S206" s="29">
        <f t="shared" si="224"/>
        <v>13</v>
      </c>
      <c r="T206" s="29">
        <f t="shared" si="224"/>
        <v>15.5</v>
      </c>
      <c r="U206" s="29">
        <f t="shared" si="224"/>
        <v>66.5</v>
      </c>
      <c r="V206" s="29">
        <f t="shared" si="224"/>
        <v>18.5</v>
      </c>
      <c r="W206" s="29">
        <f t="shared" si="224"/>
        <v>18.3</v>
      </c>
      <c r="X206" s="29">
        <f t="shared" si="224"/>
        <v>36.799999999999997</v>
      </c>
      <c r="Y206" s="29">
        <f t="shared" si="224"/>
        <v>13.1</v>
      </c>
      <c r="Z206" s="29">
        <f t="shared" si="224"/>
        <v>12.8</v>
      </c>
      <c r="AA206" s="29">
        <f t="shared" si="224"/>
        <v>62.7</v>
      </c>
      <c r="AB206" s="29">
        <f t="shared" si="224"/>
        <v>14.9</v>
      </c>
      <c r="AC206" s="29">
        <f t="shared" si="224"/>
        <v>18</v>
      </c>
      <c r="AD206" s="29">
        <f t="shared" si="224"/>
        <v>32.9</v>
      </c>
      <c r="AE206" s="29">
        <f t="shared" si="224"/>
        <v>10.4</v>
      </c>
      <c r="AF206" s="29">
        <f t="shared" si="224"/>
        <v>7.1</v>
      </c>
      <c r="AG206" s="29">
        <f t="shared" si="224"/>
        <v>50.4</v>
      </c>
      <c r="AH206" s="29">
        <f t="shared" si="224"/>
        <v>10.1</v>
      </c>
      <c r="AI206" s="29">
        <f t="shared" ref="AI206:BN206" si="225">AI165</f>
        <v>16.3</v>
      </c>
      <c r="AJ206" s="29">
        <f t="shared" si="225"/>
        <v>26.4</v>
      </c>
      <c r="AK206" s="29">
        <f t="shared" si="225"/>
        <v>12.7</v>
      </c>
      <c r="AL206" s="29">
        <f t="shared" si="225"/>
        <v>20.7</v>
      </c>
      <c r="AM206" s="29">
        <f t="shared" si="225"/>
        <v>59.8</v>
      </c>
      <c r="AN206" s="29">
        <f t="shared" si="225"/>
        <v>15.7</v>
      </c>
      <c r="AO206" s="29">
        <f t="shared" si="225"/>
        <v>18.5</v>
      </c>
      <c r="AP206" s="29">
        <f t="shared" si="225"/>
        <v>34.200000000000003</v>
      </c>
      <c r="AQ206" s="29">
        <f t="shared" si="225"/>
        <v>9.9</v>
      </c>
      <c r="AR206" s="29">
        <f t="shared" si="225"/>
        <v>16</v>
      </c>
      <c r="AS206" s="29">
        <f t="shared" si="225"/>
        <v>60.1</v>
      </c>
      <c r="AT206" s="29">
        <f t="shared" si="225"/>
        <v>17.600000000000001</v>
      </c>
      <c r="AU206" s="29">
        <f t="shared" si="225"/>
        <v>23.3</v>
      </c>
      <c r="AV206" s="29">
        <f t="shared" si="225"/>
        <v>40.900000000000006</v>
      </c>
      <c r="AW206" s="29">
        <f t="shared" si="225"/>
        <v>16.7</v>
      </c>
      <c r="AX206" s="29">
        <f t="shared" si="225"/>
        <v>13.8</v>
      </c>
      <c r="AY206" s="29">
        <f t="shared" si="225"/>
        <v>71.400000000000006</v>
      </c>
      <c r="AZ206" s="29">
        <f t="shared" si="225"/>
        <v>18.8</v>
      </c>
      <c r="BA206" s="29">
        <f t="shared" si="225"/>
        <v>14.2</v>
      </c>
      <c r="BB206" s="29">
        <f t="shared" si="225"/>
        <v>33</v>
      </c>
      <c r="BC206" s="29">
        <f t="shared" si="225"/>
        <v>25.8</v>
      </c>
      <c r="BD206" s="29">
        <f t="shared" si="225"/>
        <v>9</v>
      </c>
      <c r="BE206" s="29">
        <f t="shared" si="225"/>
        <v>67.8</v>
      </c>
      <c r="BF206" s="29">
        <f t="shared" si="225"/>
        <v>16.600000000000001</v>
      </c>
      <c r="BG206" s="29">
        <f t="shared" si="225"/>
        <v>27.4</v>
      </c>
      <c r="BH206" s="29">
        <f t="shared" si="225"/>
        <v>44</v>
      </c>
      <c r="BI206" s="29">
        <f t="shared" si="225"/>
        <v>33.799999999999997</v>
      </c>
      <c r="BJ206" s="29">
        <f t="shared" si="225"/>
        <v>10.7</v>
      </c>
      <c r="BK206" s="29">
        <f t="shared" si="225"/>
        <v>88.5</v>
      </c>
      <c r="BL206" s="29">
        <f t="shared" si="225"/>
        <v>-9.6</v>
      </c>
      <c r="BM206" s="29">
        <f t="shared" si="225"/>
        <v>50.2</v>
      </c>
      <c r="BN206" s="29">
        <f t="shared" si="225"/>
        <v>40.6</v>
      </c>
      <c r="BO206" s="29">
        <f t="shared" ref="BO206:CN206" si="226">BO165</f>
        <v>53.1</v>
      </c>
      <c r="BP206" s="29">
        <f t="shared" si="226"/>
        <v>25.5</v>
      </c>
      <c r="BQ206" s="29">
        <f t="shared" si="226"/>
        <v>119.2</v>
      </c>
      <c r="BR206" s="29">
        <f t="shared" si="226"/>
        <v>44.9</v>
      </c>
      <c r="BS206" s="29">
        <f t="shared" si="226"/>
        <v>49.4</v>
      </c>
      <c r="BT206" s="29">
        <f t="shared" si="226"/>
        <v>94.3</v>
      </c>
      <c r="BU206" s="29">
        <f t="shared" si="226"/>
        <v>47.3</v>
      </c>
      <c r="BV206" s="29">
        <f t="shared" si="226"/>
        <v>-69.3</v>
      </c>
      <c r="BW206" s="29">
        <f t="shared" si="226"/>
        <v>72.3</v>
      </c>
      <c r="BX206" s="29">
        <f t="shared" si="226"/>
        <v>46.4</v>
      </c>
      <c r="BY206" s="29">
        <f t="shared" si="226"/>
        <v>51.4</v>
      </c>
      <c r="BZ206" s="29">
        <f t="shared" si="226"/>
        <v>97.8</v>
      </c>
      <c r="CA206" s="29">
        <f t="shared" si="226"/>
        <v>-7.1</v>
      </c>
      <c r="CB206" s="29">
        <f t="shared" si="226"/>
        <v>26.5</v>
      </c>
      <c r="CC206" s="29">
        <f t="shared" si="226"/>
        <v>117.2</v>
      </c>
      <c r="CD206" s="29">
        <f t="shared" si="226"/>
        <v>50.1</v>
      </c>
      <c r="CE206" s="29">
        <f t="shared" si="226"/>
        <v>50.2</v>
      </c>
      <c r="CF206" s="29">
        <f t="shared" si="226"/>
        <v>100.30000000000001</v>
      </c>
      <c r="CG206" s="29">
        <f t="shared" si="226"/>
        <v>52.9</v>
      </c>
      <c r="CH206" s="29">
        <f t="shared" si="226"/>
        <v>45.6</v>
      </c>
      <c r="CI206" s="29">
        <f t="shared" si="226"/>
        <v>198.8</v>
      </c>
      <c r="CJ206" s="29">
        <f t="shared" si="226"/>
        <v>51.9</v>
      </c>
      <c r="CK206" s="29">
        <f t="shared" si="226"/>
        <v>69.599999999999994</v>
      </c>
      <c r="CL206" s="29">
        <f t="shared" si="226"/>
        <v>121.5</v>
      </c>
      <c r="CM206" s="31">
        <f t="shared" si="226"/>
        <v>66.165359872611489</v>
      </c>
      <c r="CN206" s="31">
        <f t="shared" si="226"/>
        <v>69.698823248407606</v>
      </c>
      <c r="CO206" s="31">
        <f t="shared" si="220"/>
        <v>257.3641831210191</v>
      </c>
      <c r="CP206" s="31">
        <f>CP165</f>
        <v>308.54524724471878</v>
      </c>
      <c r="CQ206" s="31">
        <f>CQ165</f>
        <v>336.62609802854024</v>
      </c>
      <c r="CR206" s="31">
        <f>CR165</f>
        <v>374.02803409203699</v>
      </c>
      <c r="CS206" s="31">
        <f>CS165</f>
        <v>415.35211697572015</v>
      </c>
      <c r="CT206" s="22"/>
      <c r="CV206" s="6"/>
      <c r="CW206" s="6"/>
      <c r="CX206" s="6"/>
      <c r="CY206" s="6"/>
    </row>
    <row r="207" spans="2:103" ht="15" hidden="1" customHeight="1" outlineLevel="1" x14ac:dyDescent="0.25">
      <c r="B207" s="12" t="s">
        <v>332</v>
      </c>
      <c r="C207" s="29">
        <f t="shared" ref="C207:AH207" si="227">C161</f>
        <v>7.4</v>
      </c>
      <c r="D207" s="29">
        <f t="shared" si="227"/>
        <v>12.5</v>
      </c>
      <c r="E207" s="29">
        <f t="shared" si="227"/>
        <v>10.9</v>
      </c>
      <c r="F207" s="29">
        <f t="shared" si="227"/>
        <v>4.8</v>
      </c>
      <c r="G207" s="29">
        <f t="shared" si="227"/>
        <v>6.5</v>
      </c>
      <c r="H207" s="29">
        <f t="shared" si="227"/>
        <v>16.2</v>
      </c>
      <c r="I207" s="29">
        <f t="shared" si="227"/>
        <v>17.8</v>
      </c>
      <c r="J207" s="29">
        <f t="shared" si="227"/>
        <v>5.4</v>
      </c>
      <c r="K207" s="29">
        <f t="shared" si="227"/>
        <v>5.0999999999999996</v>
      </c>
      <c r="L207" s="29">
        <f t="shared" si="227"/>
        <v>10.5</v>
      </c>
      <c r="M207" s="29">
        <f t="shared" si="227"/>
        <v>5.0999999999999996</v>
      </c>
      <c r="N207" s="29">
        <f t="shared" si="227"/>
        <v>4.8</v>
      </c>
      <c r="O207" s="29">
        <f t="shared" si="227"/>
        <v>20.399999999999999</v>
      </c>
      <c r="P207" s="29">
        <f t="shared" si="227"/>
        <v>4.7</v>
      </c>
      <c r="Q207" s="29">
        <f t="shared" si="227"/>
        <v>4.5999999999999996</v>
      </c>
      <c r="R207" s="29">
        <f t="shared" si="227"/>
        <v>9.3000000000000007</v>
      </c>
      <c r="S207" s="29">
        <f t="shared" si="227"/>
        <v>4.5999999999999996</v>
      </c>
      <c r="T207" s="29">
        <f t="shared" si="227"/>
        <v>5.0999999999999996</v>
      </c>
      <c r="U207" s="29">
        <f t="shared" si="227"/>
        <v>19</v>
      </c>
      <c r="V207" s="29">
        <f t="shared" si="227"/>
        <v>5.9</v>
      </c>
      <c r="W207" s="29">
        <f t="shared" si="227"/>
        <v>6</v>
      </c>
      <c r="X207" s="29">
        <f t="shared" si="227"/>
        <v>11.9</v>
      </c>
      <c r="Y207" s="29">
        <f t="shared" si="227"/>
        <v>6</v>
      </c>
      <c r="Z207" s="29">
        <f t="shared" si="227"/>
        <v>6</v>
      </c>
      <c r="AA207" s="29">
        <f t="shared" si="227"/>
        <v>23.9</v>
      </c>
      <c r="AB207" s="29">
        <f t="shared" si="227"/>
        <v>5.7</v>
      </c>
      <c r="AC207" s="29">
        <f t="shared" si="227"/>
        <v>5.9</v>
      </c>
      <c r="AD207" s="29">
        <f t="shared" si="227"/>
        <v>11.600000000000001</v>
      </c>
      <c r="AE207" s="29">
        <f t="shared" si="227"/>
        <v>5.6</v>
      </c>
      <c r="AF207" s="29">
        <f t="shared" si="227"/>
        <v>6</v>
      </c>
      <c r="AG207" s="29">
        <f t="shared" si="227"/>
        <v>23.2</v>
      </c>
      <c r="AH207" s="29">
        <f t="shared" si="227"/>
        <v>8.1999999999999993</v>
      </c>
      <c r="AI207" s="29">
        <f t="shared" ref="AI207:BN207" si="228">AI161</f>
        <v>9.1</v>
      </c>
      <c r="AJ207" s="29">
        <f t="shared" si="228"/>
        <v>17.299999999999997</v>
      </c>
      <c r="AK207" s="29">
        <f t="shared" si="228"/>
        <v>8.1999999999999993</v>
      </c>
      <c r="AL207" s="29">
        <f t="shared" si="228"/>
        <v>7.6</v>
      </c>
      <c r="AM207" s="29">
        <f t="shared" si="228"/>
        <v>33.1</v>
      </c>
      <c r="AN207" s="29">
        <f t="shared" si="228"/>
        <v>7.1</v>
      </c>
      <c r="AO207" s="29">
        <f t="shared" si="228"/>
        <v>6.7</v>
      </c>
      <c r="AP207" s="29">
        <f t="shared" si="228"/>
        <v>13.8</v>
      </c>
      <c r="AQ207" s="29">
        <f t="shared" si="228"/>
        <v>6</v>
      </c>
      <c r="AR207" s="29">
        <f t="shared" si="228"/>
        <v>5.7</v>
      </c>
      <c r="AS207" s="29">
        <f t="shared" si="228"/>
        <v>25.5</v>
      </c>
      <c r="AT207" s="29">
        <f t="shared" si="228"/>
        <v>5.4</v>
      </c>
      <c r="AU207" s="29">
        <f t="shared" si="228"/>
        <v>5.4</v>
      </c>
      <c r="AV207" s="29">
        <f t="shared" si="228"/>
        <v>10.8</v>
      </c>
      <c r="AW207" s="29">
        <f t="shared" si="228"/>
        <v>5.5</v>
      </c>
      <c r="AX207" s="29">
        <f t="shared" si="228"/>
        <v>4.7</v>
      </c>
      <c r="AY207" s="29">
        <f t="shared" si="228"/>
        <v>21</v>
      </c>
      <c r="AZ207" s="29">
        <f t="shared" si="228"/>
        <v>4.0999999999999996</v>
      </c>
      <c r="BA207" s="29">
        <f t="shared" si="228"/>
        <v>3.7</v>
      </c>
      <c r="BB207" s="29">
        <f t="shared" si="228"/>
        <v>7.8</v>
      </c>
      <c r="BC207" s="29">
        <f t="shared" si="228"/>
        <v>4.0999999999999996</v>
      </c>
      <c r="BD207" s="29">
        <f t="shared" si="228"/>
        <v>3.4</v>
      </c>
      <c r="BE207" s="29">
        <f t="shared" si="228"/>
        <v>15.3</v>
      </c>
      <c r="BF207" s="29">
        <f t="shared" si="228"/>
        <v>22.3</v>
      </c>
      <c r="BG207" s="29">
        <f t="shared" si="228"/>
        <v>21.2</v>
      </c>
      <c r="BH207" s="29">
        <f t="shared" si="228"/>
        <v>43.5</v>
      </c>
      <c r="BI207" s="29">
        <f t="shared" si="228"/>
        <v>23.8</v>
      </c>
      <c r="BJ207" s="29">
        <f t="shared" si="228"/>
        <v>23.5</v>
      </c>
      <c r="BK207" s="29">
        <f t="shared" si="228"/>
        <v>90.8</v>
      </c>
      <c r="BL207" s="29">
        <f t="shared" si="228"/>
        <v>22.3</v>
      </c>
      <c r="BM207" s="29">
        <f t="shared" si="228"/>
        <v>22.5</v>
      </c>
      <c r="BN207" s="29">
        <f t="shared" si="228"/>
        <v>44.8</v>
      </c>
      <c r="BO207" s="29">
        <f t="shared" ref="BO207:CN207" si="229">BO161</f>
        <v>22</v>
      </c>
      <c r="BP207" s="29">
        <f t="shared" si="229"/>
        <v>22.5</v>
      </c>
      <c r="BQ207" s="29">
        <f t="shared" si="229"/>
        <v>89.3</v>
      </c>
      <c r="BR207" s="29">
        <f t="shared" si="229"/>
        <v>21</v>
      </c>
      <c r="BS207" s="29">
        <f t="shared" si="229"/>
        <v>22.3</v>
      </c>
      <c r="BT207" s="29">
        <f t="shared" si="229"/>
        <v>43.3</v>
      </c>
      <c r="BU207" s="29">
        <f t="shared" si="229"/>
        <v>18.399999999999999</v>
      </c>
      <c r="BV207" s="29">
        <f t="shared" si="229"/>
        <v>15.6</v>
      </c>
      <c r="BW207" s="29">
        <f t="shared" si="229"/>
        <v>77.3</v>
      </c>
      <c r="BX207" s="29">
        <f t="shared" si="229"/>
        <v>12.7</v>
      </c>
      <c r="BY207" s="29">
        <f t="shared" si="229"/>
        <v>15.8</v>
      </c>
      <c r="BZ207" s="29">
        <f t="shared" si="229"/>
        <v>28.5</v>
      </c>
      <c r="CA207" s="29">
        <f t="shared" si="229"/>
        <v>15.7</v>
      </c>
      <c r="CB207" s="29">
        <f t="shared" si="229"/>
        <v>13.7</v>
      </c>
      <c r="CC207" s="29">
        <f t="shared" si="229"/>
        <v>57.9</v>
      </c>
      <c r="CD207" s="29">
        <f t="shared" si="229"/>
        <v>17.3</v>
      </c>
      <c r="CE207" s="29">
        <f t="shared" si="229"/>
        <v>17.600000000000001</v>
      </c>
      <c r="CF207" s="29">
        <f t="shared" si="229"/>
        <v>34.900000000000006</v>
      </c>
      <c r="CG207" s="29">
        <f t="shared" si="229"/>
        <v>12.6</v>
      </c>
      <c r="CH207" s="29">
        <f t="shared" si="229"/>
        <v>12.1</v>
      </c>
      <c r="CI207" s="29">
        <f t="shared" si="229"/>
        <v>59.6</v>
      </c>
      <c r="CJ207" s="29">
        <f t="shared" si="229"/>
        <v>12.3</v>
      </c>
      <c r="CK207" s="29">
        <f t="shared" si="229"/>
        <v>13.6</v>
      </c>
      <c r="CL207" s="29">
        <f t="shared" si="229"/>
        <v>25.9</v>
      </c>
      <c r="CM207" s="31">
        <f t="shared" si="229"/>
        <v>13.6</v>
      </c>
      <c r="CN207" s="31">
        <f t="shared" si="229"/>
        <v>13.6</v>
      </c>
      <c r="CO207" s="31">
        <f t="shared" si="220"/>
        <v>53.1</v>
      </c>
      <c r="CP207" s="31">
        <f>CP161</f>
        <v>24.623054116612217</v>
      </c>
      <c r="CQ207" s="31">
        <f>CQ161</f>
        <v>50.791331225183043</v>
      </c>
      <c r="CR207" s="31">
        <f>CR161</f>
        <v>81.87130139495234</v>
      </c>
      <c r="CS207" s="31">
        <f>CS161</f>
        <v>92.095438003417755</v>
      </c>
      <c r="CT207" s="22"/>
      <c r="CV207" s="6"/>
      <c r="CW207" s="6"/>
      <c r="CX207" s="6"/>
      <c r="CY207" s="6"/>
    </row>
    <row r="208" spans="2:103" ht="15" hidden="1" customHeight="1" outlineLevel="1" x14ac:dyDescent="0.25">
      <c r="B208" s="12" t="s">
        <v>333</v>
      </c>
      <c r="C208" s="29">
        <f t="shared" ref="C208:AH208" si="230">C174</f>
        <v>32</v>
      </c>
      <c r="D208" s="29">
        <f t="shared" si="230"/>
        <v>34.700000000000003</v>
      </c>
      <c r="E208" s="29">
        <f t="shared" si="230"/>
        <v>45</v>
      </c>
      <c r="F208" s="29">
        <f t="shared" si="230"/>
        <v>42.5</v>
      </c>
      <c r="G208" s="29">
        <f t="shared" si="230"/>
        <v>45.2</v>
      </c>
      <c r="H208" s="29">
        <f t="shared" si="230"/>
        <v>64.2</v>
      </c>
      <c r="I208" s="29">
        <f t="shared" si="230"/>
        <v>78.3</v>
      </c>
      <c r="J208" s="29">
        <f t="shared" si="230"/>
        <v>21.9</v>
      </c>
      <c r="K208" s="29">
        <f t="shared" si="230"/>
        <v>22.1</v>
      </c>
      <c r="L208" s="29">
        <f t="shared" si="230"/>
        <v>44</v>
      </c>
      <c r="M208" s="29">
        <f t="shared" si="230"/>
        <v>23.1</v>
      </c>
      <c r="N208" s="29">
        <f t="shared" si="230"/>
        <v>24</v>
      </c>
      <c r="O208" s="29">
        <f t="shared" si="230"/>
        <v>91.1</v>
      </c>
      <c r="P208" s="29">
        <f t="shared" si="230"/>
        <v>23.2</v>
      </c>
      <c r="Q208" s="29">
        <f t="shared" si="230"/>
        <v>23.4</v>
      </c>
      <c r="R208" s="29">
        <f t="shared" si="230"/>
        <v>46.599999999999994</v>
      </c>
      <c r="S208" s="29">
        <f t="shared" si="230"/>
        <v>23.5</v>
      </c>
      <c r="T208" s="29">
        <f t="shared" si="230"/>
        <v>24.2</v>
      </c>
      <c r="U208" s="29">
        <f t="shared" si="230"/>
        <v>94.3</v>
      </c>
      <c r="V208" s="29">
        <f t="shared" si="230"/>
        <v>23.2</v>
      </c>
      <c r="W208" s="29">
        <f t="shared" si="230"/>
        <v>22.8</v>
      </c>
      <c r="X208" s="29">
        <f t="shared" si="230"/>
        <v>46</v>
      </c>
      <c r="Y208" s="29">
        <f t="shared" si="230"/>
        <v>21.9</v>
      </c>
      <c r="Z208" s="29">
        <f t="shared" si="230"/>
        <v>22.4</v>
      </c>
      <c r="AA208" s="29">
        <f t="shared" si="230"/>
        <v>90.3</v>
      </c>
      <c r="AB208" s="29">
        <f t="shared" si="230"/>
        <v>21.1</v>
      </c>
      <c r="AC208" s="29">
        <f t="shared" si="230"/>
        <v>21.7</v>
      </c>
      <c r="AD208" s="29">
        <f t="shared" si="230"/>
        <v>42.8</v>
      </c>
      <c r="AE208" s="29">
        <f t="shared" si="230"/>
        <v>22.8</v>
      </c>
      <c r="AF208" s="29">
        <f t="shared" si="230"/>
        <v>21.7</v>
      </c>
      <c r="AG208" s="29">
        <f t="shared" si="230"/>
        <v>87.3</v>
      </c>
      <c r="AH208" s="29">
        <f t="shared" si="230"/>
        <v>22.8</v>
      </c>
      <c r="AI208" s="29">
        <f t="shared" ref="AI208:BN208" si="231">AI174</f>
        <v>33.200000000000003</v>
      </c>
      <c r="AJ208" s="29">
        <f t="shared" si="231"/>
        <v>56</v>
      </c>
      <c r="AK208" s="29">
        <f t="shared" si="231"/>
        <v>31.4</v>
      </c>
      <c r="AL208" s="29">
        <f t="shared" si="231"/>
        <v>25.6</v>
      </c>
      <c r="AM208" s="29">
        <f t="shared" si="231"/>
        <v>113</v>
      </c>
      <c r="AN208" s="29">
        <f t="shared" si="231"/>
        <v>28.8</v>
      </c>
      <c r="AO208" s="29">
        <f t="shared" si="231"/>
        <v>27.6</v>
      </c>
      <c r="AP208" s="29">
        <f t="shared" si="231"/>
        <v>56.400000000000006</v>
      </c>
      <c r="AQ208" s="29">
        <f t="shared" si="231"/>
        <v>27.3</v>
      </c>
      <c r="AR208" s="29">
        <f t="shared" si="231"/>
        <v>29.3</v>
      </c>
      <c r="AS208" s="29">
        <f t="shared" si="231"/>
        <v>113</v>
      </c>
      <c r="AT208" s="29">
        <f t="shared" si="231"/>
        <v>27.6</v>
      </c>
      <c r="AU208" s="29">
        <f t="shared" si="231"/>
        <v>27.1</v>
      </c>
      <c r="AV208" s="29">
        <f t="shared" si="231"/>
        <v>54.7</v>
      </c>
      <c r="AW208" s="29">
        <f t="shared" si="231"/>
        <v>27.9</v>
      </c>
      <c r="AX208" s="29">
        <f t="shared" si="231"/>
        <v>29.3</v>
      </c>
      <c r="AY208" s="29">
        <f t="shared" si="231"/>
        <v>111.9</v>
      </c>
      <c r="AZ208" s="29">
        <f t="shared" si="231"/>
        <v>29.3</v>
      </c>
      <c r="BA208" s="29">
        <f t="shared" si="231"/>
        <v>29</v>
      </c>
      <c r="BB208" s="29">
        <f t="shared" si="231"/>
        <v>58.3</v>
      </c>
      <c r="BC208" s="29">
        <f t="shared" si="231"/>
        <v>29.2</v>
      </c>
      <c r="BD208" s="29">
        <f t="shared" si="231"/>
        <v>28.7</v>
      </c>
      <c r="BE208" s="29">
        <f t="shared" si="231"/>
        <v>116.2</v>
      </c>
      <c r="BF208" s="29">
        <f t="shared" si="231"/>
        <v>29.3</v>
      </c>
      <c r="BG208" s="29">
        <f t="shared" si="231"/>
        <v>59.7</v>
      </c>
      <c r="BH208" s="29">
        <f t="shared" si="231"/>
        <v>89</v>
      </c>
      <c r="BI208" s="29">
        <f t="shared" si="231"/>
        <v>90.2</v>
      </c>
      <c r="BJ208" s="29">
        <f t="shared" si="231"/>
        <v>86.2</v>
      </c>
      <c r="BK208" s="29">
        <f t="shared" si="231"/>
        <v>265.39999999999998</v>
      </c>
      <c r="BL208" s="29">
        <f t="shared" si="231"/>
        <v>86.9</v>
      </c>
      <c r="BM208" s="29">
        <f t="shared" si="231"/>
        <v>82.7</v>
      </c>
      <c r="BN208" s="29">
        <f t="shared" si="231"/>
        <v>169.60000000000002</v>
      </c>
      <c r="BO208" s="29">
        <f t="shared" ref="BO208:CN208" si="232">BO174</f>
        <v>80.8</v>
      </c>
      <c r="BP208" s="29">
        <f t="shared" si="232"/>
        <v>81.8</v>
      </c>
      <c r="BQ208" s="29">
        <f t="shared" si="232"/>
        <v>332.2</v>
      </c>
      <c r="BR208" s="29">
        <f t="shared" si="232"/>
        <v>82.1</v>
      </c>
      <c r="BS208" s="29">
        <f t="shared" si="232"/>
        <v>80</v>
      </c>
      <c r="BT208" s="29">
        <f t="shared" si="232"/>
        <v>162.1</v>
      </c>
      <c r="BU208" s="29">
        <f t="shared" si="232"/>
        <v>76.900000000000006</v>
      </c>
      <c r="BV208" s="29">
        <f t="shared" si="232"/>
        <v>77.400000000000006</v>
      </c>
      <c r="BW208" s="29">
        <f t="shared" si="232"/>
        <v>316.39999999999998</v>
      </c>
      <c r="BX208" s="29">
        <f t="shared" si="232"/>
        <v>78</v>
      </c>
      <c r="BY208" s="29">
        <f t="shared" si="232"/>
        <v>77.8</v>
      </c>
      <c r="BZ208" s="29">
        <f t="shared" si="232"/>
        <v>155.80000000000001</v>
      </c>
      <c r="CA208" s="29">
        <f t="shared" si="232"/>
        <v>76.900000000000006</v>
      </c>
      <c r="CB208" s="29">
        <f t="shared" si="232"/>
        <v>77.2</v>
      </c>
      <c r="CC208" s="29">
        <f t="shared" si="232"/>
        <v>309.89999999999998</v>
      </c>
      <c r="CD208" s="29">
        <f t="shared" si="232"/>
        <v>80.7</v>
      </c>
      <c r="CE208" s="29">
        <f t="shared" si="232"/>
        <v>86.5</v>
      </c>
      <c r="CF208" s="29">
        <f t="shared" si="232"/>
        <v>167.2</v>
      </c>
      <c r="CG208" s="29">
        <f t="shared" si="232"/>
        <v>84.5</v>
      </c>
      <c r="CH208" s="29">
        <f t="shared" si="232"/>
        <v>84.6</v>
      </c>
      <c r="CI208" s="29">
        <f t="shared" si="232"/>
        <v>336.3</v>
      </c>
      <c r="CJ208" s="29">
        <f t="shared" si="232"/>
        <v>87.2</v>
      </c>
      <c r="CK208" s="29">
        <f t="shared" si="232"/>
        <v>85.7</v>
      </c>
      <c r="CL208" s="29">
        <f t="shared" si="232"/>
        <v>172.9</v>
      </c>
      <c r="CM208" s="31">
        <f t="shared" si="232"/>
        <v>87.319785360865964</v>
      </c>
      <c r="CN208" s="31">
        <f t="shared" si="232"/>
        <v>88.812858449741427</v>
      </c>
      <c r="CO208" s="31">
        <f t="shared" si="220"/>
        <v>349.0326438106074</v>
      </c>
      <c r="CP208" s="31">
        <f>CP174</f>
        <v>362.74739715579881</v>
      </c>
      <c r="CQ208" s="31">
        <f>CQ174</f>
        <v>398.46151514577014</v>
      </c>
      <c r="CR208" s="31">
        <f>CR174</f>
        <v>397.90178382671883</v>
      </c>
      <c r="CS208" s="31">
        <f>CS174</f>
        <v>415.81148590168812</v>
      </c>
      <c r="CT208" s="22"/>
      <c r="CV208" s="6"/>
      <c r="CW208" s="6"/>
      <c r="CX208" s="6"/>
      <c r="CY208" s="6"/>
    </row>
    <row r="209" spans="2:103" ht="15" hidden="1" customHeight="1" outlineLevel="1" x14ac:dyDescent="0.25">
      <c r="B209" s="33" t="s">
        <v>334</v>
      </c>
      <c r="C209" s="34">
        <f t="shared" ref="C209:AH209" si="233">IF(ISNUMBER(C174),SUM(C204:C208),"")</f>
        <v>162.10000000000002</v>
      </c>
      <c r="D209" s="34">
        <f t="shared" si="233"/>
        <v>199.89999999999986</v>
      </c>
      <c r="E209" s="34">
        <f t="shared" si="233"/>
        <v>243.89999999999992</v>
      </c>
      <c r="F209" s="34">
        <f t="shared" si="233"/>
        <v>213.7</v>
      </c>
      <c r="G209" s="34">
        <f t="shared" si="233"/>
        <v>225.30000000000013</v>
      </c>
      <c r="H209" s="34">
        <f t="shared" si="233"/>
        <v>292.00000000000006</v>
      </c>
      <c r="I209" s="34">
        <f t="shared" si="233"/>
        <v>324.30000000000024</v>
      </c>
      <c r="J209" s="19">
        <f t="shared" si="233"/>
        <v>80.300000000000011</v>
      </c>
      <c r="K209" s="19">
        <f t="shared" si="233"/>
        <v>86.999999999999972</v>
      </c>
      <c r="L209" s="19">
        <f t="shared" si="233"/>
        <v>167.30000000000007</v>
      </c>
      <c r="M209" s="19">
        <f t="shared" si="233"/>
        <v>75.400000000000034</v>
      </c>
      <c r="N209" s="19">
        <f t="shared" si="233"/>
        <v>92.800000000000026</v>
      </c>
      <c r="O209" s="34">
        <f t="shared" si="233"/>
        <v>335.49999999999994</v>
      </c>
      <c r="P209" s="19">
        <f t="shared" si="233"/>
        <v>89.8</v>
      </c>
      <c r="Q209" s="19">
        <f t="shared" si="233"/>
        <v>105.90000000000003</v>
      </c>
      <c r="R209" s="19">
        <f t="shared" si="233"/>
        <v>195.69999999999996</v>
      </c>
      <c r="S209" s="19">
        <f t="shared" si="233"/>
        <v>96.000000000000043</v>
      </c>
      <c r="T209" s="19">
        <f t="shared" si="233"/>
        <v>103.69999999999992</v>
      </c>
      <c r="U209" s="34">
        <f t="shared" si="233"/>
        <v>395.40000000000015</v>
      </c>
      <c r="V209" s="19">
        <f t="shared" si="233"/>
        <v>91.300000000000011</v>
      </c>
      <c r="W209" s="19">
        <f t="shared" si="233"/>
        <v>95.100000000000065</v>
      </c>
      <c r="X209" s="19">
        <f t="shared" si="233"/>
        <v>186.40000000000015</v>
      </c>
      <c r="Y209" s="19">
        <f t="shared" si="233"/>
        <v>89.299999999999983</v>
      </c>
      <c r="Z209" s="19">
        <f t="shared" si="233"/>
        <v>96.700000000000017</v>
      </c>
      <c r="AA209" s="34">
        <f t="shared" si="233"/>
        <v>372.39999999999992</v>
      </c>
      <c r="AB209" s="19">
        <f t="shared" si="233"/>
        <v>80.699999999999989</v>
      </c>
      <c r="AC209" s="19">
        <f t="shared" si="233"/>
        <v>92.500000000000057</v>
      </c>
      <c r="AD209" s="19">
        <f t="shared" si="233"/>
        <v>173.2</v>
      </c>
      <c r="AE209" s="19">
        <f t="shared" si="233"/>
        <v>90.799999999999955</v>
      </c>
      <c r="AF209" s="19">
        <f t="shared" si="233"/>
        <v>87.799999999999969</v>
      </c>
      <c r="AG209" s="34">
        <f t="shared" si="233"/>
        <v>351.80000000000007</v>
      </c>
      <c r="AH209" s="19">
        <f t="shared" si="233"/>
        <v>71.600000000000009</v>
      </c>
      <c r="AI209" s="19">
        <f t="shared" ref="AI209:BN209" si="234">IF(ISNUMBER(AI174),SUM(AI204:AI208),"")</f>
        <v>118.70000000000005</v>
      </c>
      <c r="AJ209" s="19">
        <f t="shared" si="234"/>
        <v>190.3</v>
      </c>
      <c r="AK209" s="19">
        <f t="shared" si="234"/>
        <v>121.30000000000004</v>
      </c>
      <c r="AL209" s="19">
        <f t="shared" si="234"/>
        <v>121.5</v>
      </c>
      <c r="AM209" s="34">
        <f t="shared" si="234"/>
        <v>433.10000000000014</v>
      </c>
      <c r="AN209" s="19">
        <f t="shared" si="234"/>
        <v>118.10000000000004</v>
      </c>
      <c r="AO209" s="19">
        <f t="shared" si="234"/>
        <v>138.69999999999999</v>
      </c>
      <c r="AP209" s="19">
        <f t="shared" si="234"/>
        <v>256.79999999999984</v>
      </c>
      <c r="AQ209" s="19">
        <f t="shared" si="234"/>
        <v>133.49999999999997</v>
      </c>
      <c r="AR209" s="19">
        <f t="shared" si="234"/>
        <v>142.09999999999997</v>
      </c>
      <c r="AS209" s="34">
        <f t="shared" si="234"/>
        <v>532.40000000000009</v>
      </c>
      <c r="AT209" s="19">
        <f t="shared" si="234"/>
        <v>125.90000000000006</v>
      </c>
      <c r="AU209" s="19">
        <f t="shared" si="234"/>
        <v>160.39999999999998</v>
      </c>
      <c r="AV209" s="19">
        <f t="shared" si="234"/>
        <v>286.3</v>
      </c>
      <c r="AW209" s="19">
        <f t="shared" si="234"/>
        <v>156.80000000000004</v>
      </c>
      <c r="AX209" s="19">
        <f t="shared" si="234"/>
        <v>163.50000000000003</v>
      </c>
      <c r="AY209" s="34">
        <f t="shared" si="234"/>
        <v>606.59999999999991</v>
      </c>
      <c r="AZ209" s="19">
        <f t="shared" si="234"/>
        <v>134.4</v>
      </c>
      <c r="BA209" s="19">
        <f t="shared" si="234"/>
        <v>140.59999999999991</v>
      </c>
      <c r="BB209" s="19">
        <f t="shared" si="234"/>
        <v>275.00000000000006</v>
      </c>
      <c r="BC209" s="19">
        <f t="shared" si="234"/>
        <v>153</v>
      </c>
      <c r="BD209" s="19">
        <f t="shared" si="234"/>
        <v>173.1999999999999</v>
      </c>
      <c r="BE209" s="34">
        <f t="shared" si="234"/>
        <v>601.19999999999993</v>
      </c>
      <c r="BF209" s="19">
        <f t="shared" si="234"/>
        <v>152.90000000000003</v>
      </c>
      <c r="BG209" s="19">
        <f t="shared" si="234"/>
        <v>173</v>
      </c>
      <c r="BH209" s="19">
        <f t="shared" si="234"/>
        <v>325.90000000000015</v>
      </c>
      <c r="BI209" s="19">
        <f t="shared" si="234"/>
        <v>281.90000000000003</v>
      </c>
      <c r="BJ209" s="19">
        <f t="shared" si="234"/>
        <v>282.2</v>
      </c>
      <c r="BK209" s="34">
        <f t="shared" si="234"/>
        <v>890.00000000000023</v>
      </c>
      <c r="BL209" s="19">
        <f t="shared" si="234"/>
        <v>312.2</v>
      </c>
      <c r="BM209" s="19">
        <f t="shared" si="234"/>
        <v>326.69999999999993</v>
      </c>
      <c r="BN209" s="19">
        <f t="shared" si="234"/>
        <v>638.90000000000009</v>
      </c>
      <c r="BO209" s="19">
        <f t="shared" ref="BO209:CL209" si="235">IF(ISNUMBER(BO174),SUM(BO204:BO208),"")</f>
        <v>334.09999999999997</v>
      </c>
      <c r="BP209" s="19">
        <f t="shared" si="235"/>
        <v>356.60000000000014</v>
      </c>
      <c r="BQ209" s="34">
        <f t="shared" si="235"/>
        <v>1329.6000000000001</v>
      </c>
      <c r="BR209" s="19">
        <f t="shared" si="235"/>
        <v>326.79999999999995</v>
      </c>
      <c r="BS209" s="19">
        <f t="shared" si="235"/>
        <v>337.20000000000005</v>
      </c>
      <c r="BT209" s="19">
        <f t="shared" si="235"/>
        <v>664</v>
      </c>
      <c r="BU209" s="19">
        <f t="shared" si="235"/>
        <v>341.4</v>
      </c>
      <c r="BV209" s="19">
        <f t="shared" si="235"/>
        <v>347.20000000000005</v>
      </c>
      <c r="BW209" s="34">
        <f t="shared" si="235"/>
        <v>1352.6</v>
      </c>
      <c r="BX209" s="19">
        <f t="shared" si="235"/>
        <v>316.19999999999982</v>
      </c>
      <c r="BY209" s="19">
        <f t="shared" si="235"/>
        <v>325.2999999999999</v>
      </c>
      <c r="BZ209" s="19">
        <f t="shared" si="235"/>
        <v>641.49999999999977</v>
      </c>
      <c r="CA209" s="19">
        <f t="shared" si="235"/>
        <v>347.70000000000005</v>
      </c>
      <c r="CB209" s="19">
        <f t="shared" si="235"/>
        <v>316.49999999999994</v>
      </c>
      <c r="CC209" s="34">
        <f t="shared" si="235"/>
        <v>1305.7</v>
      </c>
      <c r="CD209" s="19">
        <f t="shared" si="235"/>
        <v>336.90000000000009</v>
      </c>
      <c r="CE209" s="19">
        <f t="shared" si="235"/>
        <v>364.7</v>
      </c>
      <c r="CF209" s="19">
        <f t="shared" si="235"/>
        <v>701.60000000000036</v>
      </c>
      <c r="CG209" s="19">
        <f t="shared" si="235"/>
        <v>370.89999999999992</v>
      </c>
      <c r="CH209" s="19">
        <f t="shared" si="235"/>
        <v>417.9</v>
      </c>
      <c r="CI209" s="34">
        <f t="shared" si="235"/>
        <v>1490.3999999999999</v>
      </c>
      <c r="CJ209" s="19">
        <f t="shared" si="235"/>
        <v>378.19999999999993</v>
      </c>
      <c r="CK209" s="19">
        <f t="shared" si="235"/>
        <v>420.60000000000008</v>
      </c>
      <c r="CL209" s="19">
        <f t="shared" si="235"/>
        <v>798.80000000000007</v>
      </c>
      <c r="CM209" s="34">
        <f>SUM(CM204:CM208)</f>
        <v>408.66564523347756</v>
      </c>
      <c r="CN209" s="34">
        <f>SUM(CN204:CN208)</f>
        <v>426.59343169814895</v>
      </c>
      <c r="CO209" s="34">
        <f t="shared" si="220"/>
        <v>1634.0590769316264</v>
      </c>
      <c r="CP209" s="34">
        <f>SUM(CP204:CP208)</f>
        <v>1822.4646245036608</v>
      </c>
      <c r="CQ209" s="34">
        <f>SUM(CQ204:CQ208)</f>
        <v>2014.9556278990472</v>
      </c>
      <c r="CR209" s="34">
        <f>SUM(CR204:CR208)</f>
        <v>2219.438360068355</v>
      </c>
      <c r="CS209" s="34">
        <f>SUM(CS204:CS208)</f>
        <v>2439.7772354200833</v>
      </c>
      <c r="CT209" s="22"/>
      <c r="CV209" s="23">
        <f>IFERROR((CS209/CI209)^(1/5)-1,"n/m")</f>
        <v>0.10359434540383661</v>
      </c>
      <c r="CW209" s="23">
        <f>IFERROR((CI209/BE209)^(1/5)-1,"n/m")</f>
        <v>0.19910378541893814</v>
      </c>
      <c r="CX209" s="23">
        <f>IFERROR((CI209/AA209)^(1/10)-1,"n/m")</f>
        <v>0.1487600317337161</v>
      </c>
      <c r="CY209" s="23">
        <f>IFERROR((CI209/C209)^(1/19)-1,"n/m")</f>
        <v>0.12385833243108335</v>
      </c>
    </row>
    <row r="210" spans="2:103" ht="15" hidden="1" customHeight="1" outlineLevel="1" x14ac:dyDescent="0.25">
      <c r="B210" s="12" t="s">
        <v>335</v>
      </c>
      <c r="C210" s="29">
        <f t="shared" ref="C210:AH210" si="236">C199</f>
        <v>0</v>
      </c>
      <c r="D210" s="29">
        <f t="shared" si="236"/>
        <v>0</v>
      </c>
      <c r="E210" s="29">
        <f t="shared" si="236"/>
        <v>0</v>
      </c>
      <c r="F210" s="29">
        <f t="shared" si="236"/>
        <v>0</v>
      </c>
      <c r="G210" s="29">
        <f t="shared" si="236"/>
        <v>0</v>
      </c>
      <c r="H210" s="29">
        <f t="shared" si="236"/>
        <v>0</v>
      </c>
      <c r="I210" s="29">
        <f t="shared" si="236"/>
        <v>0</v>
      </c>
      <c r="J210" s="29">
        <f t="shared" si="236"/>
        <v>0</v>
      </c>
      <c r="K210" s="29">
        <f t="shared" si="236"/>
        <v>0</v>
      </c>
      <c r="L210" s="29">
        <f t="shared" si="236"/>
        <v>0</v>
      </c>
      <c r="M210" s="29">
        <f t="shared" si="236"/>
        <v>0</v>
      </c>
      <c r="N210" s="29">
        <f t="shared" si="236"/>
        <v>0</v>
      </c>
      <c r="O210" s="29">
        <f t="shared" si="236"/>
        <v>0</v>
      </c>
      <c r="P210" s="29">
        <f t="shared" si="236"/>
        <v>0</v>
      </c>
      <c r="Q210" s="29">
        <f t="shared" si="236"/>
        <v>0</v>
      </c>
      <c r="R210" s="29">
        <f t="shared" si="236"/>
        <v>0</v>
      </c>
      <c r="S210" s="29">
        <f t="shared" si="236"/>
        <v>0</v>
      </c>
      <c r="T210" s="29">
        <f t="shared" si="236"/>
        <v>0</v>
      </c>
      <c r="U210" s="29">
        <f t="shared" si="236"/>
        <v>0</v>
      </c>
      <c r="V210" s="29">
        <f t="shared" si="236"/>
        <v>0</v>
      </c>
      <c r="W210" s="29">
        <f t="shared" si="236"/>
        <v>0</v>
      </c>
      <c r="X210" s="29">
        <f t="shared" si="236"/>
        <v>0</v>
      </c>
      <c r="Y210" s="29">
        <f t="shared" si="236"/>
        <v>0</v>
      </c>
      <c r="Z210" s="29">
        <f t="shared" si="236"/>
        <v>0</v>
      </c>
      <c r="AA210" s="29">
        <f t="shared" si="236"/>
        <v>0</v>
      </c>
      <c r="AB210" s="29">
        <f t="shared" si="236"/>
        <v>0</v>
      </c>
      <c r="AC210" s="29">
        <f t="shared" si="236"/>
        <v>0</v>
      </c>
      <c r="AD210" s="29">
        <f t="shared" si="236"/>
        <v>0</v>
      </c>
      <c r="AE210" s="29">
        <f t="shared" si="236"/>
        <v>0</v>
      </c>
      <c r="AF210" s="29">
        <f t="shared" si="236"/>
        <v>1.9</v>
      </c>
      <c r="AG210" s="29">
        <f t="shared" si="236"/>
        <v>1.9</v>
      </c>
      <c r="AH210" s="29">
        <f t="shared" si="236"/>
        <v>12.899999999999999</v>
      </c>
      <c r="AI210" s="29">
        <f t="shared" ref="AI210:BN210" si="237">AI199</f>
        <v>4</v>
      </c>
      <c r="AJ210" s="29">
        <f t="shared" si="237"/>
        <v>16.899999999999999</v>
      </c>
      <c r="AK210" s="29">
        <f t="shared" si="237"/>
        <v>2.9000000000000008</v>
      </c>
      <c r="AL210" s="29">
        <f t="shared" si="237"/>
        <v>-1.1000000000000001</v>
      </c>
      <c r="AM210" s="29">
        <f t="shared" si="237"/>
        <v>18.700000000000003</v>
      </c>
      <c r="AN210" s="29">
        <f t="shared" si="237"/>
        <v>0</v>
      </c>
      <c r="AO210" s="29">
        <f t="shared" si="237"/>
        <v>0</v>
      </c>
      <c r="AP210" s="29">
        <f t="shared" si="237"/>
        <v>0</v>
      </c>
      <c r="AQ210" s="29">
        <f t="shared" si="237"/>
        <v>0</v>
      </c>
      <c r="AR210" s="29">
        <f t="shared" si="237"/>
        <v>0</v>
      </c>
      <c r="AS210" s="29">
        <f t="shared" si="237"/>
        <v>0</v>
      </c>
      <c r="AT210" s="29">
        <f t="shared" si="237"/>
        <v>0</v>
      </c>
      <c r="AU210" s="29">
        <f t="shared" si="237"/>
        <v>0</v>
      </c>
      <c r="AV210" s="29">
        <f t="shared" si="237"/>
        <v>0</v>
      </c>
      <c r="AW210" s="29">
        <f t="shared" si="237"/>
        <v>0</v>
      </c>
      <c r="AX210" s="29">
        <f t="shared" si="237"/>
        <v>0</v>
      </c>
      <c r="AY210" s="29">
        <f t="shared" si="237"/>
        <v>0</v>
      </c>
      <c r="AZ210" s="29">
        <f t="shared" si="237"/>
        <v>0</v>
      </c>
      <c r="BA210" s="29">
        <f t="shared" si="237"/>
        <v>0</v>
      </c>
      <c r="BB210" s="29">
        <f t="shared" si="237"/>
        <v>0</v>
      </c>
      <c r="BC210" s="29">
        <f t="shared" si="237"/>
        <v>0</v>
      </c>
      <c r="BD210" s="29">
        <f t="shared" si="237"/>
        <v>0</v>
      </c>
      <c r="BE210" s="29">
        <f t="shared" si="237"/>
        <v>0</v>
      </c>
      <c r="BF210" s="29">
        <f t="shared" si="237"/>
        <v>5.9</v>
      </c>
      <c r="BG210" s="29">
        <f t="shared" si="237"/>
        <v>117.89999999999999</v>
      </c>
      <c r="BH210" s="29">
        <f t="shared" si="237"/>
        <v>123.80000000000001</v>
      </c>
      <c r="BI210" s="29">
        <f t="shared" si="237"/>
        <v>37</v>
      </c>
      <c r="BJ210" s="29">
        <f t="shared" si="237"/>
        <v>48.6</v>
      </c>
      <c r="BK210" s="29">
        <f t="shared" si="237"/>
        <v>209.40000000000003</v>
      </c>
      <c r="BL210" s="29">
        <f t="shared" si="237"/>
        <v>0</v>
      </c>
      <c r="BM210" s="29">
        <f t="shared" si="237"/>
        <v>0</v>
      </c>
      <c r="BN210" s="29">
        <f t="shared" si="237"/>
        <v>0</v>
      </c>
      <c r="BO210" s="29">
        <f t="shared" ref="BO210:CN210" si="238">BO199</f>
        <v>0</v>
      </c>
      <c r="BP210" s="29">
        <f t="shared" si="238"/>
        <v>-4</v>
      </c>
      <c r="BQ210" s="29">
        <f t="shared" si="238"/>
        <v>-4</v>
      </c>
      <c r="BR210" s="29">
        <f t="shared" si="238"/>
        <v>0</v>
      </c>
      <c r="BS210" s="29">
        <f t="shared" si="238"/>
        <v>0</v>
      </c>
      <c r="BT210" s="29">
        <f t="shared" si="238"/>
        <v>0</v>
      </c>
      <c r="BU210" s="29">
        <f t="shared" si="238"/>
        <v>5.7999999999999972</v>
      </c>
      <c r="BV210" s="29">
        <f t="shared" si="238"/>
        <v>3</v>
      </c>
      <c r="BW210" s="29">
        <f t="shared" si="238"/>
        <v>8.8000000000000114</v>
      </c>
      <c r="BX210" s="29">
        <f t="shared" si="238"/>
        <v>2.2000000000000028</v>
      </c>
      <c r="BY210" s="29">
        <f t="shared" si="238"/>
        <v>1</v>
      </c>
      <c r="BZ210" s="29">
        <f t="shared" si="238"/>
        <v>3.2000000000000028</v>
      </c>
      <c r="CA210" s="29">
        <f t="shared" si="238"/>
        <v>3.7000000000000028</v>
      </c>
      <c r="CB210" s="29">
        <f t="shared" si="238"/>
        <v>54</v>
      </c>
      <c r="CC210" s="29">
        <f t="shared" si="238"/>
        <v>60.899999999999977</v>
      </c>
      <c r="CD210" s="29">
        <f t="shared" si="238"/>
        <v>7.3999999999999986</v>
      </c>
      <c r="CE210" s="29">
        <f t="shared" si="238"/>
        <v>3.1000000000000014</v>
      </c>
      <c r="CF210" s="29">
        <f t="shared" si="238"/>
        <v>10.5</v>
      </c>
      <c r="CG210" s="29">
        <f t="shared" si="238"/>
        <v>2.1000000000000014</v>
      </c>
      <c r="CH210" s="29">
        <f t="shared" si="238"/>
        <v>1</v>
      </c>
      <c r="CI210" s="29">
        <f t="shared" si="238"/>
        <v>13.599999999999994</v>
      </c>
      <c r="CJ210" s="29">
        <f t="shared" si="238"/>
        <v>0.20000000000000284</v>
      </c>
      <c r="CK210" s="29">
        <f t="shared" si="238"/>
        <v>0.20000000000000284</v>
      </c>
      <c r="CL210" s="29">
        <f t="shared" si="238"/>
        <v>0.40000000000000568</v>
      </c>
      <c r="CM210" s="31">
        <f t="shared" si="238"/>
        <v>0.5</v>
      </c>
      <c r="CN210" s="31">
        <f t="shared" si="238"/>
        <v>0.5</v>
      </c>
      <c r="CO210" s="31">
        <f t="shared" si="220"/>
        <v>1.4000000000000057</v>
      </c>
      <c r="CP210" s="31">
        <f>CP199</f>
        <v>5</v>
      </c>
      <c r="CQ210" s="31">
        <f>CQ199</f>
        <v>5</v>
      </c>
      <c r="CR210" s="31">
        <f>CR199</f>
        <v>5</v>
      </c>
      <c r="CS210" s="31">
        <f>CS199</f>
        <v>5</v>
      </c>
      <c r="CT210" s="22"/>
      <c r="CV210" s="6"/>
      <c r="CW210" s="6"/>
      <c r="CX210" s="6"/>
      <c r="CY210" s="6"/>
    </row>
    <row r="211" spans="2:103" ht="15" hidden="1" customHeight="1" outlineLevel="1" x14ac:dyDescent="0.25">
      <c r="B211" s="33" t="s">
        <v>336</v>
      </c>
      <c r="C211" s="34">
        <f t="shared" ref="C211:AH211" si="239">IF(ISNUMBER(C209),C209+C210,"")</f>
        <v>162.10000000000002</v>
      </c>
      <c r="D211" s="34">
        <f t="shared" si="239"/>
        <v>199.89999999999986</v>
      </c>
      <c r="E211" s="34">
        <f t="shared" si="239"/>
        <v>243.89999999999992</v>
      </c>
      <c r="F211" s="34">
        <f t="shared" si="239"/>
        <v>213.7</v>
      </c>
      <c r="G211" s="34">
        <f t="shared" si="239"/>
        <v>225.30000000000013</v>
      </c>
      <c r="H211" s="34">
        <f t="shared" si="239"/>
        <v>292.00000000000006</v>
      </c>
      <c r="I211" s="34">
        <f t="shared" si="239"/>
        <v>324.30000000000024</v>
      </c>
      <c r="J211" s="19">
        <f t="shared" si="239"/>
        <v>80.300000000000011</v>
      </c>
      <c r="K211" s="19">
        <f t="shared" si="239"/>
        <v>86.999999999999972</v>
      </c>
      <c r="L211" s="19">
        <f t="shared" si="239"/>
        <v>167.30000000000007</v>
      </c>
      <c r="M211" s="19">
        <f t="shared" si="239"/>
        <v>75.400000000000034</v>
      </c>
      <c r="N211" s="19">
        <f t="shared" si="239"/>
        <v>92.800000000000026</v>
      </c>
      <c r="O211" s="34">
        <f t="shared" si="239"/>
        <v>335.49999999999994</v>
      </c>
      <c r="P211" s="19">
        <f t="shared" si="239"/>
        <v>89.8</v>
      </c>
      <c r="Q211" s="19">
        <f t="shared" si="239"/>
        <v>105.90000000000003</v>
      </c>
      <c r="R211" s="19">
        <f t="shared" si="239"/>
        <v>195.69999999999996</v>
      </c>
      <c r="S211" s="19">
        <f t="shared" si="239"/>
        <v>96.000000000000043</v>
      </c>
      <c r="T211" s="19">
        <f t="shared" si="239"/>
        <v>103.69999999999992</v>
      </c>
      <c r="U211" s="34">
        <f t="shared" si="239"/>
        <v>395.40000000000015</v>
      </c>
      <c r="V211" s="19">
        <f t="shared" si="239"/>
        <v>91.300000000000011</v>
      </c>
      <c r="W211" s="19">
        <f t="shared" si="239"/>
        <v>95.100000000000065</v>
      </c>
      <c r="X211" s="19">
        <f t="shared" si="239"/>
        <v>186.40000000000015</v>
      </c>
      <c r="Y211" s="19">
        <f t="shared" si="239"/>
        <v>89.299999999999983</v>
      </c>
      <c r="Z211" s="19">
        <f t="shared" si="239"/>
        <v>96.700000000000017</v>
      </c>
      <c r="AA211" s="34">
        <f t="shared" si="239"/>
        <v>372.39999999999992</v>
      </c>
      <c r="AB211" s="19">
        <f t="shared" si="239"/>
        <v>80.699999999999989</v>
      </c>
      <c r="AC211" s="19">
        <f t="shared" si="239"/>
        <v>92.500000000000057</v>
      </c>
      <c r="AD211" s="19">
        <f t="shared" si="239"/>
        <v>173.2</v>
      </c>
      <c r="AE211" s="19">
        <f t="shared" si="239"/>
        <v>90.799999999999955</v>
      </c>
      <c r="AF211" s="19">
        <f t="shared" si="239"/>
        <v>89.699999999999974</v>
      </c>
      <c r="AG211" s="34">
        <f t="shared" si="239"/>
        <v>353.70000000000005</v>
      </c>
      <c r="AH211" s="19">
        <f t="shared" si="239"/>
        <v>84.5</v>
      </c>
      <c r="AI211" s="19">
        <f t="shared" ref="AI211:BN211" si="240">IF(ISNUMBER(AI209),AI209+AI210,"")</f>
        <v>122.70000000000005</v>
      </c>
      <c r="AJ211" s="19">
        <f t="shared" si="240"/>
        <v>207.20000000000002</v>
      </c>
      <c r="AK211" s="19">
        <f t="shared" si="240"/>
        <v>124.20000000000005</v>
      </c>
      <c r="AL211" s="19">
        <f t="shared" si="240"/>
        <v>120.4</v>
      </c>
      <c r="AM211" s="34">
        <f t="shared" si="240"/>
        <v>451.80000000000013</v>
      </c>
      <c r="AN211" s="19">
        <f t="shared" si="240"/>
        <v>118.10000000000004</v>
      </c>
      <c r="AO211" s="19">
        <f t="shared" si="240"/>
        <v>138.69999999999999</v>
      </c>
      <c r="AP211" s="19">
        <f t="shared" si="240"/>
        <v>256.79999999999984</v>
      </c>
      <c r="AQ211" s="19">
        <f t="shared" si="240"/>
        <v>133.49999999999997</v>
      </c>
      <c r="AR211" s="19">
        <f t="shared" si="240"/>
        <v>142.09999999999997</v>
      </c>
      <c r="AS211" s="34">
        <f t="shared" si="240"/>
        <v>532.40000000000009</v>
      </c>
      <c r="AT211" s="19">
        <f t="shared" si="240"/>
        <v>125.90000000000006</v>
      </c>
      <c r="AU211" s="19">
        <f t="shared" si="240"/>
        <v>160.39999999999998</v>
      </c>
      <c r="AV211" s="19">
        <f t="shared" si="240"/>
        <v>286.3</v>
      </c>
      <c r="AW211" s="19">
        <f t="shared" si="240"/>
        <v>156.80000000000004</v>
      </c>
      <c r="AX211" s="19">
        <f t="shared" si="240"/>
        <v>163.50000000000003</v>
      </c>
      <c r="AY211" s="34">
        <f t="shared" si="240"/>
        <v>606.59999999999991</v>
      </c>
      <c r="AZ211" s="19">
        <f t="shared" si="240"/>
        <v>134.4</v>
      </c>
      <c r="BA211" s="19">
        <f t="shared" si="240"/>
        <v>140.59999999999991</v>
      </c>
      <c r="BB211" s="19">
        <f t="shared" si="240"/>
        <v>275.00000000000006</v>
      </c>
      <c r="BC211" s="19">
        <f t="shared" si="240"/>
        <v>153</v>
      </c>
      <c r="BD211" s="19">
        <f t="shared" si="240"/>
        <v>173.1999999999999</v>
      </c>
      <c r="BE211" s="34">
        <f t="shared" si="240"/>
        <v>601.19999999999993</v>
      </c>
      <c r="BF211" s="19">
        <f t="shared" si="240"/>
        <v>158.80000000000004</v>
      </c>
      <c r="BG211" s="19">
        <f t="shared" si="240"/>
        <v>290.89999999999998</v>
      </c>
      <c r="BH211" s="19">
        <f t="shared" si="240"/>
        <v>449.70000000000016</v>
      </c>
      <c r="BI211" s="19">
        <f t="shared" si="240"/>
        <v>318.90000000000003</v>
      </c>
      <c r="BJ211" s="19">
        <f t="shared" si="240"/>
        <v>330.8</v>
      </c>
      <c r="BK211" s="34">
        <f t="shared" si="240"/>
        <v>1099.4000000000003</v>
      </c>
      <c r="BL211" s="19">
        <f t="shared" si="240"/>
        <v>312.2</v>
      </c>
      <c r="BM211" s="19">
        <f t="shared" si="240"/>
        <v>326.69999999999993</v>
      </c>
      <c r="BN211" s="19">
        <f t="shared" si="240"/>
        <v>638.90000000000009</v>
      </c>
      <c r="BO211" s="19">
        <f t="shared" ref="BO211:CL211" si="241">IF(ISNUMBER(BO209),BO209+BO210,"")</f>
        <v>334.09999999999997</v>
      </c>
      <c r="BP211" s="19">
        <f t="shared" si="241"/>
        <v>352.60000000000014</v>
      </c>
      <c r="BQ211" s="34">
        <f t="shared" si="241"/>
        <v>1325.6000000000001</v>
      </c>
      <c r="BR211" s="19">
        <f t="shared" si="241"/>
        <v>326.79999999999995</v>
      </c>
      <c r="BS211" s="19">
        <f t="shared" si="241"/>
        <v>337.20000000000005</v>
      </c>
      <c r="BT211" s="19">
        <f t="shared" si="241"/>
        <v>664</v>
      </c>
      <c r="BU211" s="19">
        <f t="shared" si="241"/>
        <v>347.2</v>
      </c>
      <c r="BV211" s="19">
        <f t="shared" si="241"/>
        <v>350.20000000000005</v>
      </c>
      <c r="BW211" s="34">
        <f t="shared" si="241"/>
        <v>1361.3999999999999</v>
      </c>
      <c r="BX211" s="19">
        <f t="shared" si="241"/>
        <v>318.39999999999981</v>
      </c>
      <c r="BY211" s="19">
        <f t="shared" si="241"/>
        <v>326.2999999999999</v>
      </c>
      <c r="BZ211" s="19">
        <f t="shared" si="241"/>
        <v>644.69999999999982</v>
      </c>
      <c r="CA211" s="19">
        <f t="shared" si="241"/>
        <v>351.40000000000003</v>
      </c>
      <c r="CB211" s="19">
        <f t="shared" si="241"/>
        <v>370.49999999999994</v>
      </c>
      <c r="CC211" s="34">
        <f t="shared" si="241"/>
        <v>1366.6</v>
      </c>
      <c r="CD211" s="19">
        <f t="shared" si="241"/>
        <v>344.30000000000007</v>
      </c>
      <c r="CE211" s="19">
        <f t="shared" si="241"/>
        <v>367.8</v>
      </c>
      <c r="CF211" s="19">
        <f t="shared" si="241"/>
        <v>712.10000000000036</v>
      </c>
      <c r="CG211" s="19">
        <f t="shared" si="241"/>
        <v>372.99999999999994</v>
      </c>
      <c r="CH211" s="19">
        <f t="shared" si="241"/>
        <v>418.9</v>
      </c>
      <c r="CI211" s="34">
        <f t="shared" si="241"/>
        <v>1503.9999999999998</v>
      </c>
      <c r="CJ211" s="19">
        <f t="shared" si="241"/>
        <v>378.39999999999992</v>
      </c>
      <c r="CK211" s="19">
        <f t="shared" si="241"/>
        <v>420.80000000000007</v>
      </c>
      <c r="CL211" s="19">
        <f t="shared" si="241"/>
        <v>799.2</v>
      </c>
      <c r="CM211" s="34">
        <f>CM209+CM210</f>
        <v>409.16564523347756</v>
      </c>
      <c r="CN211" s="34">
        <f>CN209+CN210</f>
        <v>427.09343169814895</v>
      </c>
      <c r="CO211" s="34">
        <f t="shared" si="220"/>
        <v>1635.4590769316264</v>
      </c>
      <c r="CP211" s="34">
        <f>CP209+CP210</f>
        <v>1827.4646245036608</v>
      </c>
      <c r="CQ211" s="34">
        <f>CQ209+CQ210</f>
        <v>2019.9556278990472</v>
      </c>
      <c r="CR211" s="34">
        <f>CR209+CR210</f>
        <v>2224.438360068355</v>
      </c>
      <c r="CS211" s="34">
        <f>CS209+CS210</f>
        <v>2444.7772354200833</v>
      </c>
      <c r="CT211" s="22"/>
      <c r="CV211" s="23">
        <f>IFERROR((CS211/CI211)^(1/5)-1,"n/m")</f>
        <v>0.1020423681603424</v>
      </c>
      <c r="CW211" s="23">
        <f>IFERROR((CI211/BE211)^(1/5)-1,"n/m")</f>
        <v>0.20128422172607574</v>
      </c>
      <c r="CX211" s="23">
        <f>IFERROR((CI211/AA211)^(1/10)-1,"n/m")</f>
        <v>0.14980400326980736</v>
      </c>
      <c r="CY211" s="23">
        <f>IFERROR((CI211/C211)^(1/19)-1,"n/m")</f>
        <v>0.12439576485557668</v>
      </c>
    </row>
    <row r="212" spans="2:103" ht="15" hidden="1" customHeight="1" outlineLevel="1" x14ac:dyDescent="0.25">
      <c r="B212" s="25" t="s">
        <v>337</v>
      </c>
      <c r="C212" s="39">
        <f t="shared" ref="C212:AH212" si="242">IFERROR(C211/C152,"")</f>
        <v>0.11310354451576893</v>
      </c>
      <c r="D212" s="39">
        <f t="shared" si="242"/>
        <v>0.12322011958330757</v>
      </c>
      <c r="E212" s="39">
        <f t="shared" si="242"/>
        <v>0.14163763066202087</v>
      </c>
      <c r="F212" s="39">
        <f t="shared" si="242"/>
        <v>0.12935052357605473</v>
      </c>
      <c r="G212" s="39">
        <f t="shared" si="242"/>
        <v>0.13702712565381348</v>
      </c>
      <c r="H212" s="39">
        <f t="shared" si="242"/>
        <v>0.15036819609660643</v>
      </c>
      <c r="I212" s="39">
        <f t="shared" si="242"/>
        <v>0.1524467635030321</v>
      </c>
      <c r="J212" s="39">
        <f t="shared" si="242"/>
        <v>0.14102564102564105</v>
      </c>
      <c r="K212" s="39">
        <f t="shared" si="242"/>
        <v>0.14475873544093174</v>
      </c>
      <c r="L212" s="39">
        <f t="shared" si="242"/>
        <v>0.14294258373205745</v>
      </c>
      <c r="M212" s="39">
        <f t="shared" si="242"/>
        <v>0.13191042687193846</v>
      </c>
      <c r="N212" s="39">
        <f t="shared" si="242"/>
        <v>0.15554810593362389</v>
      </c>
      <c r="O212" s="39">
        <f t="shared" si="242"/>
        <v>0.14346190028222011</v>
      </c>
      <c r="P212" s="39">
        <f t="shared" si="242"/>
        <v>0.15658238884045336</v>
      </c>
      <c r="Q212" s="39">
        <f t="shared" si="242"/>
        <v>0.17735722659521022</v>
      </c>
      <c r="R212" s="39">
        <f t="shared" si="242"/>
        <v>0.16717922432940371</v>
      </c>
      <c r="S212" s="39">
        <f t="shared" si="242"/>
        <v>0.1597072034603228</v>
      </c>
      <c r="T212" s="39">
        <f t="shared" si="242"/>
        <v>0.16663988430017665</v>
      </c>
      <c r="U212" s="39">
        <f t="shared" si="242"/>
        <v>0.16516290726817048</v>
      </c>
      <c r="V212" s="39">
        <f t="shared" si="242"/>
        <v>0.16159292035398232</v>
      </c>
      <c r="W212" s="39">
        <f t="shared" si="242"/>
        <v>0.1646183140038083</v>
      </c>
      <c r="X212" s="39">
        <f t="shared" si="242"/>
        <v>0.16312242933403356</v>
      </c>
      <c r="Y212" s="39">
        <f t="shared" si="242"/>
        <v>0.16078501980554552</v>
      </c>
      <c r="Z212" s="39">
        <f t="shared" si="242"/>
        <v>0.16116666666666671</v>
      </c>
      <c r="AA212" s="39">
        <f t="shared" si="242"/>
        <v>0.16204690831556501</v>
      </c>
      <c r="AB212" s="39">
        <f t="shared" si="242"/>
        <v>0.15212064090480676</v>
      </c>
      <c r="AC212" s="39">
        <f t="shared" si="242"/>
        <v>0.17139151380396525</v>
      </c>
      <c r="AD212" s="39">
        <f t="shared" si="242"/>
        <v>0.16183890861521208</v>
      </c>
      <c r="AE212" s="39">
        <f t="shared" si="242"/>
        <v>0.17236142748671215</v>
      </c>
      <c r="AF212" s="39">
        <f t="shared" si="242"/>
        <v>0.16223548562126963</v>
      </c>
      <c r="AG212" s="39">
        <f t="shared" si="242"/>
        <v>0.16451927996651008</v>
      </c>
      <c r="AH212" s="39">
        <f t="shared" si="242"/>
        <v>0.14926691397279632</v>
      </c>
      <c r="AI212" s="39">
        <f t="shared" ref="AI212:BN212" si="243">IFERROR(AI211/AI152,"")</f>
        <v>0.18283415288332594</v>
      </c>
      <c r="AJ212" s="39">
        <f t="shared" si="243"/>
        <v>0.16747494342062724</v>
      </c>
      <c r="AK212" s="39">
        <f t="shared" si="243"/>
        <v>0.18755662941709458</v>
      </c>
      <c r="AL212" s="39">
        <f t="shared" si="243"/>
        <v>0.17092561044860877</v>
      </c>
      <c r="AM212" s="39">
        <f t="shared" si="243"/>
        <v>0.17351563100084497</v>
      </c>
      <c r="AN212" s="39">
        <f t="shared" si="243"/>
        <v>0.16978148361127091</v>
      </c>
      <c r="AO212" s="39">
        <f t="shared" si="243"/>
        <v>0.18935153583617745</v>
      </c>
      <c r="AP212" s="39">
        <f t="shared" si="243"/>
        <v>0.17981934038232605</v>
      </c>
      <c r="AQ212" s="39">
        <f t="shared" si="243"/>
        <v>0.18406176754446432</v>
      </c>
      <c r="AR212" s="39">
        <f t="shared" si="243"/>
        <v>0.18987172634954566</v>
      </c>
      <c r="AS212" s="39">
        <f t="shared" si="243"/>
        <v>0.18347232752084916</v>
      </c>
      <c r="AT212" s="39">
        <f t="shared" si="243"/>
        <v>0.16894793344068715</v>
      </c>
      <c r="AU212" s="39">
        <f t="shared" si="243"/>
        <v>0.20511508951406646</v>
      </c>
      <c r="AV212" s="39">
        <f t="shared" si="243"/>
        <v>0.18746726034573075</v>
      </c>
      <c r="AW212" s="39">
        <f t="shared" si="243"/>
        <v>0.19546247818499132</v>
      </c>
      <c r="AX212" s="39">
        <f t="shared" si="243"/>
        <v>0.19599616398945099</v>
      </c>
      <c r="AY212" s="39">
        <f t="shared" si="243"/>
        <v>0.19174358325957766</v>
      </c>
      <c r="AZ212" s="39">
        <f t="shared" si="243"/>
        <v>0.17129747642110629</v>
      </c>
      <c r="BA212" s="39">
        <f t="shared" si="243"/>
        <v>0.18915646441544454</v>
      </c>
      <c r="BB212" s="39">
        <f t="shared" si="243"/>
        <v>0.17998560115190787</v>
      </c>
      <c r="BC212" s="39">
        <f t="shared" si="243"/>
        <v>0.20427236315086783</v>
      </c>
      <c r="BD212" s="39">
        <f t="shared" si="243"/>
        <v>0.21401210923019884</v>
      </c>
      <c r="BE212" s="39">
        <f t="shared" si="243"/>
        <v>0.19480266995010043</v>
      </c>
      <c r="BF212" s="39">
        <f t="shared" si="243"/>
        <v>0.19709569318604944</v>
      </c>
      <c r="BG212" s="39">
        <f t="shared" si="243"/>
        <v>0.25950044603033007</v>
      </c>
      <c r="BH212" s="39">
        <f t="shared" si="243"/>
        <v>0.23340426636217373</v>
      </c>
      <c r="BI212" s="39">
        <f t="shared" si="243"/>
        <v>0.24308255202378232</v>
      </c>
      <c r="BJ212" s="39">
        <f t="shared" si="243"/>
        <v>0.24045940248600711</v>
      </c>
      <c r="BK212" s="39">
        <f t="shared" si="243"/>
        <v>0.23825932427453791</v>
      </c>
      <c r="BL212" s="39">
        <f t="shared" si="243"/>
        <v>0.23633610900832702</v>
      </c>
      <c r="BM212" s="39">
        <f t="shared" si="243"/>
        <v>0.24096474406254606</v>
      </c>
      <c r="BN212" s="39">
        <f t="shared" si="243"/>
        <v>0.23868051404662285</v>
      </c>
      <c r="BO212" s="39">
        <f t="shared" ref="BO212:CS212" si="244">IFERROR(BO211/BO152,"")</f>
        <v>0.24501320035200938</v>
      </c>
      <c r="BP212" s="39">
        <f t="shared" si="244"/>
        <v>0.24862501762797923</v>
      </c>
      <c r="BQ212" s="39">
        <f t="shared" si="244"/>
        <v>0.24284615102773605</v>
      </c>
      <c r="BR212" s="39">
        <f t="shared" si="244"/>
        <v>0.23624665654594085</v>
      </c>
      <c r="BS212" s="39">
        <f t="shared" si="244"/>
        <v>0.23668140661191833</v>
      </c>
      <c r="BT212" s="39">
        <f t="shared" si="244"/>
        <v>0.23646723646723647</v>
      </c>
      <c r="BU212" s="39">
        <f t="shared" si="244"/>
        <v>0.24755793226381462</v>
      </c>
      <c r="BV212" s="39">
        <f t="shared" si="244"/>
        <v>0.24575438596491231</v>
      </c>
      <c r="BW212" s="39">
        <f t="shared" si="244"/>
        <v>0.24157572531274951</v>
      </c>
      <c r="BX212" s="39">
        <f t="shared" si="244"/>
        <v>0.23583438263832296</v>
      </c>
      <c r="BY212" s="39">
        <f t="shared" si="244"/>
        <v>0.23746452223273409</v>
      </c>
      <c r="BZ212" s="39">
        <f t="shared" si="244"/>
        <v>0.23665663314000435</v>
      </c>
      <c r="CA212" s="39">
        <f t="shared" si="244"/>
        <v>0.24343609282992729</v>
      </c>
      <c r="CB212" s="39">
        <f t="shared" si="244"/>
        <v>0.2466218465020302</v>
      </c>
      <c r="CC212" s="39">
        <f t="shared" si="244"/>
        <v>0.24102292768959435</v>
      </c>
      <c r="CD212" s="39">
        <f t="shared" si="244"/>
        <v>0.23746465273467138</v>
      </c>
      <c r="CE212" s="39">
        <f t="shared" si="244"/>
        <v>0.24298077558300851</v>
      </c>
      <c r="CF212" s="39">
        <f t="shared" si="244"/>
        <v>0.24028208935078968</v>
      </c>
      <c r="CG212" s="39">
        <f t="shared" si="244"/>
        <v>0.24228645664176676</v>
      </c>
      <c r="CH212" s="39">
        <f t="shared" si="244"/>
        <v>0.25981517087390682</v>
      </c>
      <c r="CI212" s="39">
        <f t="shared" si="244"/>
        <v>0.24593648821009254</v>
      </c>
      <c r="CJ212" s="39">
        <f t="shared" si="244"/>
        <v>0.2425485545798346</v>
      </c>
      <c r="CK212" s="39">
        <f t="shared" si="244"/>
        <v>0.25311278195488723</v>
      </c>
      <c r="CL212" s="39">
        <f t="shared" si="244"/>
        <v>0.24799851051945637</v>
      </c>
      <c r="CM212" s="27">
        <f t="shared" si="244"/>
        <v>0.24194177337727274</v>
      </c>
      <c r="CN212" s="27">
        <f t="shared" si="244"/>
        <v>0.24098073105326084</v>
      </c>
      <c r="CO212" s="27">
        <f t="shared" si="244"/>
        <v>0.24460628716077656</v>
      </c>
      <c r="CP212" s="27">
        <f t="shared" si="244"/>
        <v>0.25452172240486115</v>
      </c>
      <c r="CQ212" s="27">
        <f t="shared" si="244"/>
        <v>0.25727182333993648</v>
      </c>
      <c r="CR212" s="27">
        <f t="shared" si="244"/>
        <v>0.25931003112940326</v>
      </c>
      <c r="CS212" s="27">
        <f t="shared" si="244"/>
        <v>0.26162442862049096</v>
      </c>
      <c r="CT212" s="22"/>
      <c r="CV212" s="40">
        <f>IFERROR(AVERAGE(CO212,CP212,CQ212,CR212,CS212),"n/m")</f>
        <v>0.25546685853109369</v>
      </c>
      <c r="CW212" s="40">
        <f>IFERROR(AVERAGE(BK212,BQ212,BW212,CC212,CI212),"n/m")</f>
        <v>0.24192812330294208</v>
      </c>
      <c r="CX212" s="40">
        <f>IFERROR(AVERAGE(AG212,AM212,AS212,AY212,BE212,BK212,BQ212,BW212,CC212,CI212),"n/m")</f>
        <v>0.21176941082125927</v>
      </c>
      <c r="CY212" s="40">
        <f>IFERROR(AVERAGE(C212,D212,E212,F212,G212,H212,I212,O212,U212,AA212,AG212,AM212,AS212,AY212,BE212,BK212,BQ212,BW212,CC212,CI212),"n/m")</f>
        <v>0.17677598638345765</v>
      </c>
    </row>
    <row r="213" spans="2:103" ht="15" hidden="1" customHeight="1" outlineLevel="1" x14ac:dyDescent="0.25">
      <c r="B213" s="36" t="s">
        <v>338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31"/>
      <c r="CN213" s="31"/>
      <c r="CO213" s="31"/>
      <c r="CP213" s="31"/>
      <c r="CQ213" s="31"/>
      <c r="CR213" s="31"/>
      <c r="CS213" s="31"/>
      <c r="CT213" s="22"/>
      <c r="CV213" s="6"/>
      <c r="CW213" s="6"/>
      <c r="CX213" s="6"/>
      <c r="CY213" s="6"/>
    </row>
    <row r="214" spans="2:103" ht="15" hidden="1" customHeight="1" outlineLevel="1" x14ac:dyDescent="0.25">
      <c r="B214" s="12" t="s">
        <v>339</v>
      </c>
      <c r="C214" s="29">
        <f t="shared" ref="C214:AH214" si="245">-N(C174)</f>
        <v>-32</v>
      </c>
      <c r="D214" s="29">
        <f t="shared" si="245"/>
        <v>-34.700000000000003</v>
      </c>
      <c r="E214" s="29">
        <f t="shared" si="245"/>
        <v>-45</v>
      </c>
      <c r="F214" s="29">
        <f t="shared" si="245"/>
        <v>-42.5</v>
      </c>
      <c r="G214" s="29">
        <f t="shared" si="245"/>
        <v>-45.2</v>
      </c>
      <c r="H214" s="29">
        <f t="shared" si="245"/>
        <v>-64.2</v>
      </c>
      <c r="I214" s="29">
        <f t="shared" si="245"/>
        <v>-78.3</v>
      </c>
      <c r="J214" s="29">
        <f t="shared" si="245"/>
        <v>-21.9</v>
      </c>
      <c r="K214" s="29">
        <f t="shared" si="245"/>
        <v>-22.1</v>
      </c>
      <c r="L214" s="29">
        <f t="shared" si="245"/>
        <v>-44</v>
      </c>
      <c r="M214" s="29">
        <f t="shared" si="245"/>
        <v>-23.1</v>
      </c>
      <c r="N214" s="29">
        <f t="shared" si="245"/>
        <v>-24</v>
      </c>
      <c r="O214" s="29">
        <f t="shared" si="245"/>
        <v>-91.1</v>
      </c>
      <c r="P214" s="29">
        <f t="shared" si="245"/>
        <v>-23.2</v>
      </c>
      <c r="Q214" s="29">
        <f t="shared" si="245"/>
        <v>-23.4</v>
      </c>
      <c r="R214" s="29">
        <f t="shared" si="245"/>
        <v>-46.599999999999994</v>
      </c>
      <c r="S214" s="29">
        <f t="shared" si="245"/>
        <v>-23.5</v>
      </c>
      <c r="T214" s="29">
        <f t="shared" si="245"/>
        <v>-24.2</v>
      </c>
      <c r="U214" s="29">
        <f t="shared" si="245"/>
        <v>-94.3</v>
      </c>
      <c r="V214" s="29">
        <f t="shared" si="245"/>
        <v>-23.2</v>
      </c>
      <c r="W214" s="29">
        <f t="shared" si="245"/>
        <v>-22.8</v>
      </c>
      <c r="X214" s="29">
        <f t="shared" si="245"/>
        <v>-46</v>
      </c>
      <c r="Y214" s="29">
        <f t="shared" si="245"/>
        <v>-21.9</v>
      </c>
      <c r="Z214" s="29">
        <f t="shared" si="245"/>
        <v>-22.4</v>
      </c>
      <c r="AA214" s="29">
        <f t="shared" si="245"/>
        <v>-90.3</v>
      </c>
      <c r="AB214" s="29">
        <f t="shared" si="245"/>
        <v>-21.1</v>
      </c>
      <c r="AC214" s="29">
        <f t="shared" si="245"/>
        <v>-21.7</v>
      </c>
      <c r="AD214" s="29">
        <f t="shared" si="245"/>
        <v>-42.8</v>
      </c>
      <c r="AE214" s="29">
        <f t="shared" si="245"/>
        <v>-22.8</v>
      </c>
      <c r="AF214" s="29">
        <f t="shared" si="245"/>
        <v>-21.7</v>
      </c>
      <c r="AG214" s="29">
        <f t="shared" si="245"/>
        <v>-87.3</v>
      </c>
      <c r="AH214" s="29">
        <f t="shared" si="245"/>
        <v>-22.8</v>
      </c>
      <c r="AI214" s="29">
        <f t="shared" ref="AI214:BN214" si="246">-N(AI174)</f>
        <v>-33.200000000000003</v>
      </c>
      <c r="AJ214" s="29">
        <f t="shared" si="246"/>
        <v>-56</v>
      </c>
      <c r="AK214" s="29">
        <f t="shared" si="246"/>
        <v>-31.4</v>
      </c>
      <c r="AL214" s="29">
        <f t="shared" si="246"/>
        <v>-25.6</v>
      </c>
      <c r="AM214" s="29">
        <f t="shared" si="246"/>
        <v>-113</v>
      </c>
      <c r="AN214" s="29">
        <f t="shared" si="246"/>
        <v>-28.8</v>
      </c>
      <c r="AO214" s="29">
        <f t="shared" si="246"/>
        <v>-27.6</v>
      </c>
      <c r="AP214" s="29">
        <f t="shared" si="246"/>
        <v>-56.400000000000006</v>
      </c>
      <c r="AQ214" s="29">
        <f t="shared" si="246"/>
        <v>-27.3</v>
      </c>
      <c r="AR214" s="29">
        <f t="shared" si="246"/>
        <v>-29.3</v>
      </c>
      <c r="AS214" s="29">
        <f t="shared" si="246"/>
        <v>-113</v>
      </c>
      <c r="AT214" s="29">
        <f t="shared" si="246"/>
        <v>-27.6</v>
      </c>
      <c r="AU214" s="29">
        <f t="shared" si="246"/>
        <v>-27.1</v>
      </c>
      <c r="AV214" s="29">
        <f t="shared" si="246"/>
        <v>-54.7</v>
      </c>
      <c r="AW214" s="29">
        <f t="shared" si="246"/>
        <v>-27.9</v>
      </c>
      <c r="AX214" s="29">
        <f t="shared" si="246"/>
        <v>-29.3</v>
      </c>
      <c r="AY214" s="29">
        <f t="shared" si="246"/>
        <v>-111.9</v>
      </c>
      <c r="AZ214" s="29">
        <f t="shared" si="246"/>
        <v>-29.3</v>
      </c>
      <c r="BA214" s="29">
        <f t="shared" si="246"/>
        <v>-29</v>
      </c>
      <c r="BB214" s="29">
        <f t="shared" si="246"/>
        <v>-58.3</v>
      </c>
      <c r="BC214" s="29">
        <f t="shared" si="246"/>
        <v>-29.2</v>
      </c>
      <c r="BD214" s="29">
        <f t="shared" si="246"/>
        <v>-28.7</v>
      </c>
      <c r="BE214" s="29">
        <f t="shared" si="246"/>
        <v>-116.2</v>
      </c>
      <c r="BF214" s="29">
        <f t="shared" si="246"/>
        <v>-29.3</v>
      </c>
      <c r="BG214" s="29">
        <f t="shared" si="246"/>
        <v>-59.7</v>
      </c>
      <c r="BH214" s="29">
        <f t="shared" si="246"/>
        <v>-89</v>
      </c>
      <c r="BI214" s="29">
        <f t="shared" si="246"/>
        <v>-90.2</v>
      </c>
      <c r="BJ214" s="29">
        <f t="shared" si="246"/>
        <v>-86.2</v>
      </c>
      <c r="BK214" s="29">
        <f t="shared" si="246"/>
        <v>-265.39999999999998</v>
      </c>
      <c r="BL214" s="29">
        <f t="shared" si="246"/>
        <v>-86.9</v>
      </c>
      <c r="BM214" s="29">
        <f t="shared" si="246"/>
        <v>-82.7</v>
      </c>
      <c r="BN214" s="29">
        <f t="shared" si="246"/>
        <v>-169.60000000000002</v>
      </c>
      <c r="BO214" s="29">
        <f t="shared" ref="BO214:CL214" si="247">-N(BO174)</f>
        <v>-80.8</v>
      </c>
      <c r="BP214" s="29">
        <f t="shared" si="247"/>
        <v>-81.8</v>
      </c>
      <c r="BQ214" s="29">
        <f t="shared" si="247"/>
        <v>-332.2</v>
      </c>
      <c r="BR214" s="29">
        <f t="shared" si="247"/>
        <v>-82.1</v>
      </c>
      <c r="BS214" s="29">
        <f t="shared" si="247"/>
        <v>-80</v>
      </c>
      <c r="BT214" s="29">
        <f t="shared" si="247"/>
        <v>-162.1</v>
      </c>
      <c r="BU214" s="29">
        <f t="shared" si="247"/>
        <v>-76.900000000000006</v>
      </c>
      <c r="BV214" s="29">
        <f t="shared" si="247"/>
        <v>-77.400000000000006</v>
      </c>
      <c r="BW214" s="29">
        <f t="shared" si="247"/>
        <v>-316.39999999999998</v>
      </c>
      <c r="BX214" s="29">
        <f t="shared" si="247"/>
        <v>-78</v>
      </c>
      <c r="BY214" s="29">
        <f t="shared" si="247"/>
        <v>-77.8</v>
      </c>
      <c r="BZ214" s="29">
        <f t="shared" si="247"/>
        <v>-155.80000000000001</v>
      </c>
      <c r="CA214" s="29">
        <f t="shared" si="247"/>
        <v>-76.900000000000006</v>
      </c>
      <c r="CB214" s="29">
        <f t="shared" si="247"/>
        <v>-77.2</v>
      </c>
      <c r="CC214" s="29">
        <f t="shared" si="247"/>
        <v>-309.89999999999998</v>
      </c>
      <c r="CD214" s="29">
        <f t="shared" si="247"/>
        <v>-80.7</v>
      </c>
      <c r="CE214" s="29">
        <f t="shared" si="247"/>
        <v>-86.5</v>
      </c>
      <c r="CF214" s="29">
        <f t="shared" si="247"/>
        <v>-167.2</v>
      </c>
      <c r="CG214" s="29">
        <f t="shared" si="247"/>
        <v>-84.5</v>
      </c>
      <c r="CH214" s="29">
        <f t="shared" si="247"/>
        <v>-84.6</v>
      </c>
      <c r="CI214" s="29">
        <f t="shared" si="247"/>
        <v>-336.3</v>
      </c>
      <c r="CJ214" s="29">
        <f t="shared" si="247"/>
        <v>-87.2</v>
      </c>
      <c r="CK214" s="29">
        <f t="shared" si="247"/>
        <v>-85.7</v>
      </c>
      <c r="CL214" s="29">
        <f t="shared" si="247"/>
        <v>-172.9</v>
      </c>
      <c r="CM214" s="31">
        <f>-CM174</f>
        <v>-87.319785360865964</v>
      </c>
      <c r="CN214" s="31">
        <f>-CN174</f>
        <v>-88.812858449741427</v>
      </c>
      <c r="CO214" s="31">
        <f>SUM(CJ214,CK214,CM214,CN214)</f>
        <v>-349.0326438106074</v>
      </c>
      <c r="CP214" s="31">
        <f>-CP174</f>
        <v>-362.74739715579881</v>
      </c>
      <c r="CQ214" s="31">
        <f>-CQ174</f>
        <v>-398.46151514577014</v>
      </c>
      <c r="CR214" s="31">
        <f>-CR174</f>
        <v>-397.90178382671883</v>
      </c>
      <c r="CS214" s="31">
        <f>-CS174</f>
        <v>-415.81148590168812</v>
      </c>
      <c r="CT214" s="22"/>
      <c r="CV214" s="6"/>
      <c r="CW214" s="6"/>
      <c r="CX214" s="6"/>
      <c r="CY214" s="6"/>
    </row>
    <row r="215" spans="2:103" ht="15" hidden="1" customHeight="1" outlineLevel="1" x14ac:dyDescent="0.25">
      <c r="B215" s="12" t="s">
        <v>111</v>
      </c>
      <c r="C215" s="29">
        <f t="shared" ref="C215:AH215" si="248">N(C125)</f>
        <v>7.7</v>
      </c>
      <c r="D215" s="29">
        <f t="shared" si="248"/>
        <v>6.4</v>
      </c>
      <c r="E215" s="29">
        <f t="shared" si="248"/>
        <v>15.8</v>
      </c>
      <c r="F215" s="29">
        <f t="shared" si="248"/>
        <v>12.4</v>
      </c>
      <c r="G215" s="29">
        <f t="shared" si="248"/>
        <v>14.1</v>
      </c>
      <c r="H215" s="29">
        <f t="shared" si="248"/>
        <v>24.6</v>
      </c>
      <c r="I215" s="29">
        <f t="shared" si="248"/>
        <v>29.4</v>
      </c>
      <c r="J215" s="29">
        <f t="shared" si="248"/>
        <v>0</v>
      </c>
      <c r="K215" s="29">
        <f t="shared" si="248"/>
        <v>0</v>
      </c>
      <c r="L215" s="29">
        <f t="shared" si="248"/>
        <v>0</v>
      </c>
      <c r="M215" s="29">
        <f t="shared" si="248"/>
        <v>0</v>
      </c>
      <c r="N215" s="29">
        <f t="shared" si="248"/>
        <v>0</v>
      </c>
      <c r="O215" s="29">
        <f t="shared" si="248"/>
        <v>31.5</v>
      </c>
      <c r="P215" s="29">
        <f t="shared" si="248"/>
        <v>0</v>
      </c>
      <c r="Q215" s="29">
        <f t="shared" si="248"/>
        <v>0</v>
      </c>
      <c r="R215" s="29">
        <f t="shared" si="248"/>
        <v>0</v>
      </c>
      <c r="S215" s="29">
        <f t="shared" si="248"/>
        <v>0</v>
      </c>
      <c r="T215" s="29">
        <f t="shared" si="248"/>
        <v>0</v>
      </c>
      <c r="U215" s="29">
        <f t="shared" si="248"/>
        <v>32</v>
      </c>
      <c r="V215" s="29">
        <f t="shared" si="248"/>
        <v>0</v>
      </c>
      <c r="W215" s="29">
        <f t="shared" si="248"/>
        <v>0</v>
      </c>
      <c r="X215" s="29">
        <f t="shared" si="248"/>
        <v>0</v>
      </c>
      <c r="Y215" s="29">
        <f t="shared" si="248"/>
        <v>0</v>
      </c>
      <c r="Z215" s="29">
        <f t="shared" si="248"/>
        <v>0</v>
      </c>
      <c r="AA215" s="29">
        <f t="shared" si="248"/>
        <v>30.6</v>
      </c>
      <c r="AB215" s="29">
        <f t="shared" si="248"/>
        <v>0</v>
      </c>
      <c r="AC215" s="29">
        <f t="shared" si="248"/>
        <v>0</v>
      </c>
      <c r="AD215" s="29">
        <f t="shared" si="248"/>
        <v>0</v>
      </c>
      <c r="AE215" s="29">
        <f t="shared" si="248"/>
        <v>0</v>
      </c>
      <c r="AF215" s="29">
        <f t="shared" si="248"/>
        <v>0</v>
      </c>
      <c r="AG215" s="29">
        <f t="shared" si="248"/>
        <v>28.3</v>
      </c>
      <c r="AH215" s="29">
        <f t="shared" si="248"/>
        <v>0</v>
      </c>
      <c r="AI215" s="29">
        <f t="shared" ref="AI215:BN215" si="249">N(AI125)</f>
        <v>0</v>
      </c>
      <c r="AJ215" s="29">
        <f t="shared" si="249"/>
        <v>0</v>
      </c>
      <c r="AK215" s="29">
        <f t="shared" si="249"/>
        <v>0</v>
      </c>
      <c r="AL215" s="29">
        <f t="shared" si="249"/>
        <v>0</v>
      </c>
      <c r="AM215" s="29">
        <f t="shared" si="249"/>
        <v>41.4</v>
      </c>
      <c r="AN215" s="29">
        <f t="shared" si="249"/>
        <v>0</v>
      </c>
      <c r="AO215" s="29">
        <f t="shared" si="249"/>
        <v>0</v>
      </c>
      <c r="AP215" s="29">
        <f t="shared" si="249"/>
        <v>0</v>
      </c>
      <c r="AQ215" s="29">
        <f t="shared" si="249"/>
        <v>0</v>
      </c>
      <c r="AR215" s="29">
        <f t="shared" si="249"/>
        <v>0</v>
      </c>
      <c r="AS215" s="29">
        <f t="shared" si="249"/>
        <v>39.5</v>
      </c>
      <c r="AT215" s="29">
        <f t="shared" si="249"/>
        <v>0</v>
      </c>
      <c r="AU215" s="29">
        <f t="shared" si="249"/>
        <v>0</v>
      </c>
      <c r="AV215" s="29">
        <f t="shared" si="249"/>
        <v>0</v>
      </c>
      <c r="AW215" s="29">
        <f t="shared" si="249"/>
        <v>0</v>
      </c>
      <c r="AX215" s="29">
        <f t="shared" si="249"/>
        <v>0</v>
      </c>
      <c r="AY215" s="29">
        <f t="shared" si="249"/>
        <v>36.5</v>
      </c>
      <c r="AZ215" s="29">
        <f t="shared" si="249"/>
        <v>9.6</v>
      </c>
      <c r="BA215" s="29">
        <f t="shared" si="249"/>
        <v>9.6999999999999993</v>
      </c>
      <c r="BB215" s="29">
        <f t="shared" si="249"/>
        <v>19.299999999999997</v>
      </c>
      <c r="BC215" s="29">
        <f t="shared" si="249"/>
        <v>9.9</v>
      </c>
      <c r="BD215" s="29">
        <f t="shared" si="249"/>
        <v>9.6</v>
      </c>
      <c r="BE215" s="29">
        <f t="shared" si="249"/>
        <v>38.799999999999997</v>
      </c>
      <c r="BF215" s="29">
        <f t="shared" si="249"/>
        <v>9.8000000000000007</v>
      </c>
      <c r="BG215" s="29">
        <f t="shared" si="249"/>
        <v>32.799999999999997</v>
      </c>
      <c r="BH215" s="29">
        <f t="shared" si="249"/>
        <v>42.599999999999994</v>
      </c>
      <c r="BI215" s="29">
        <f t="shared" si="249"/>
        <v>55.3</v>
      </c>
      <c r="BJ215" s="29">
        <f t="shared" si="249"/>
        <v>51.4</v>
      </c>
      <c r="BK215" s="29">
        <f t="shared" si="249"/>
        <v>149.30000000000001</v>
      </c>
      <c r="BL215" s="29">
        <f t="shared" si="249"/>
        <v>53.6</v>
      </c>
      <c r="BM215" s="29">
        <f t="shared" si="249"/>
        <v>51.3</v>
      </c>
      <c r="BN215" s="29">
        <f t="shared" si="249"/>
        <v>104.9</v>
      </c>
      <c r="BO215" s="29">
        <f t="shared" ref="BO215:CL215" si="250">N(BO125)</f>
        <v>48.9</v>
      </c>
      <c r="BP215" s="29">
        <f t="shared" si="250"/>
        <v>47.9</v>
      </c>
      <c r="BQ215" s="29">
        <f t="shared" si="250"/>
        <v>201.7</v>
      </c>
      <c r="BR215" s="29">
        <f t="shared" si="250"/>
        <v>49.7</v>
      </c>
      <c r="BS215" s="29">
        <f t="shared" si="250"/>
        <v>49.3</v>
      </c>
      <c r="BT215" s="29">
        <f t="shared" si="250"/>
        <v>99</v>
      </c>
      <c r="BU215" s="29">
        <f t="shared" si="250"/>
        <v>49.1</v>
      </c>
      <c r="BV215" s="29">
        <f t="shared" si="250"/>
        <v>48.6</v>
      </c>
      <c r="BW215" s="29">
        <f t="shared" si="250"/>
        <v>196.7</v>
      </c>
      <c r="BX215" s="29">
        <f t="shared" si="250"/>
        <v>49.4</v>
      </c>
      <c r="BY215" s="29">
        <f t="shared" si="250"/>
        <v>49.1</v>
      </c>
      <c r="BZ215" s="29">
        <f t="shared" si="250"/>
        <v>98.5</v>
      </c>
      <c r="CA215" s="29">
        <f t="shared" si="250"/>
        <v>49.8</v>
      </c>
      <c r="CB215" s="29">
        <f t="shared" si="250"/>
        <v>49.7</v>
      </c>
      <c r="CC215" s="29">
        <f t="shared" si="250"/>
        <v>198</v>
      </c>
      <c r="CD215" s="29">
        <f t="shared" si="250"/>
        <v>52</v>
      </c>
      <c r="CE215" s="29">
        <f t="shared" si="250"/>
        <v>54.6</v>
      </c>
      <c r="CF215" s="29">
        <f t="shared" si="250"/>
        <v>106.6</v>
      </c>
      <c r="CG215" s="29">
        <f t="shared" si="250"/>
        <v>55.1</v>
      </c>
      <c r="CH215" s="29">
        <f t="shared" si="250"/>
        <v>54.9</v>
      </c>
      <c r="CI215" s="29">
        <f t="shared" si="250"/>
        <v>216.6</v>
      </c>
      <c r="CJ215" s="29">
        <f t="shared" si="250"/>
        <v>57.6</v>
      </c>
      <c r="CK215" s="29">
        <f t="shared" si="250"/>
        <v>56</v>
      </c>
      <c r="CL215" s="29">
        <f t="shared" si="250"/>
        <v>113.6</v>
      </c>
      <c r="CM215" s="31">
        <f>CM125</f>
        <v>56.2</v>
      </c>
      <c r="CN215" s="31">
        <f>CN125</f>
        <v>56.2</v>
      </c>
      <c r="CO215" s="31">
        <f>SUM(CJ215,CK215,CM215,CN215)</f>
        <v>226</v>
      </c>
      <c r="CP215" s="31">
        <f>CP125</f>
        <v>222.73750000000001</v>
      </c>
      <c r="CQ215" s="31">
        <f>CQ125</f>
        <v>245.35833333333335</v>
      </c>
      <c r="CR215" s="31">
        <f>CR125</f>
        <v>230.625</v>
      </c>
      <c r="CS215" s="31">
        <f>CS125</f>
        <v>233.5916666666667</v>
      </c>
      <c r="CT215" s="22"/>
      <c r="CV215" s="6"/>
      <c r="CW215" s="6"/>
      <c r="CX215" s="6"/>
      <c r="CY215" s="6"/>
    </row>
    <row r="216" spans="2:103" ht="15" hidden="1" customHeight="1" outlineLevel="1" x14ac:dyDescent="0.25">
      <c r="B216" s="33" t="s">
        <v>340</v>
      </c>
      <c r="C216" s="34">
        <f t="shared" ref="C216:AH216" si="251">IF(AND(ISNUMBER(C211),ISNUMBER(C125)),C211+C214+C215,"")</f>
        <v>137.80000000000001</v>
      </c>
      <c r="D216" s="34">
        <f t="shared" si="251"/>
        <v>171.59999999999988</v>
      </c>
      <c r="E216" s="34">
        <f t="shared" si="251"/>
        <v>214.69999999999993</v>
      </c>
      <c r="F216" s="34">
        <f t="shared" si="251"/>
        <v>183.6</v>
      </c>
      <c r="G216" s="34">
        <f t="shared" si="251"/>
        <v>194.20000000000013</v>
      </c>
      <c r="H216" s="34">
        <f t="shared" si="251"/>
        <v>252.40000000000006</v>
      </c>
      <c r="I216" s="34">
        <f t="shared" si="251"/>
        <v>275.4000000000002</v>
      </c>
      <c r="J216" s="19" t="str">
        <f t="shared" si="251"/>
        <v/>
      </c>
      <c r="K216" s="19" t="str">
        <f t="shared" si="251"/>
        <v/>
      </c>
      <c r="L216" s="19" t="str">
        <f t="shared" si="251"/>
        <v/>
      </c>
      <c r="M216" s="19" t="str">
        <f t="shared" si="251"/>
        <v/>
      </c>
      <c r="N216" s="19" t="str">
        <f t="shared" si="251"/>
        <v/>
      </c>
      <c r="O216" s="34">
        <f t="shared" si="251"/>
        <v>275.89999999999998</v>
      </c>
      <c r="P216" s="19" t="str">
        <f t="shared" si="251"/>
        <v/>
      </c>
      <c r="Q216" s="19" t="str">
        <f t="shared" si="251"/>
        <v/>
      </c>
      <c r="R216" s="19" t="str">
        <f t="shared" si="251"/>
        <v/>
      </c>
      <c r="S216" s="19" t="str">
        <f t="shared" si="251"/>
        <v/>
      </c>
      <c r="T216" s="19" t="str">
        <f t="shared" si="251"/>
        <v/>
      </c>
      <c r="U216" s="34">
        <f t="shared" si="251"/>
        <v>333.10000000000014</v>
      </c>
      <c r="V216" s="19" t="str">
        <f t="shared" si="251"/>
        <v/>
      </c>
      <c r="W216" s="19" t="str">
        <f t="shared" si="251"/>
        <v/>
      </c>
      <c r="X216" s="19" t="str">
        <f t="shared" si="251"/>
        <v/>
      </c>
      <c r="Y216" s="19" t="str">
        <f t="shared" si="251"/>
        <v/>
      </c>
      <c r="Z216" s="19" t="str">
        <f t="shared" si="251"/>
        <v/>
      </c>
      <c r="AA216" s="34">
        <f t="shared" si="251"/>
        <v>312.69999999999993</v>
      </c>
      <c r="AB216" s="19" t="str">
        <f t="shared" si="251"/>
        <v/>
      </c>
      <c r="AC216" s="19" t="str">
        <f t="shared" si="251"/>
        <v/>
      </c>
      <c r="AD216" s="19" t="str">
        <f t="shared" si="251"/>
        <v/>
      </c>
      <c r="AE216" s="19" t="str">
        <f t="shared" si="251"/>
        <v/>
      </c>
      <c r="AF216" s="19" t="str">
        <f t="shared" si="251"/>
        <v/>
      </c>
      <c r="AG216" s="34">
        <f t="shared" si="251"/>
        <v>294.70000000000005</v>
      </c>
      <c r="AH216" s="19" t="str">
        <f t="shared" si="251"/>
        <v/>
      </c>
      <c r="AI216" s="19" t="str">
        <f t="shared" ref="AI216:BN216" si="252">IF(AND(ISNUMBER(AI211),ISNUMBER(AI125)),AI211+AI214+AI215,"")</f>
        <v/>
      </c>
      <c r="AJ216" s="19" t="str">
        <f t="shared" si="252"/>
        <v/>
      </c>
      <c r="AK216" s="19" t="str">
        <f t="shared" si="252"/>
        <v/>
      </c>
      <c r="AL216" s="19" t="str">
        <f t="shared" si="252"/>
        <v/>
      </c>
      <c r="AM216" s="34">
        <f t="shared" si="252"/>
        <v>380.2000000000001</v>
      </c>
      <c r="AN216" s="19" t="str">
        <f t="shared" si="252"/>
        <v/>
      </c>
      <c r="AO216" s="19" t="str">
        <f t="shared" si="252"/>
        <v/>
      </c>
      <c r="AP216" s="19" t="str">
        <f t="shared" si="252"/>
        <v/>
      </c>
      <c r="AQ216" s="19" t="str">
        <f t="shared" si="252"/>
        <v/>
      </c>
      <c r="AR216" s="19" t="str">
        <f t="shared" si="252"/>
        <v/>
      </c>
      <c r="AS216" s="34">
        <f t="shared" si="252"/>
        <v>458.90000000000009</v>
      </c>
      <c r="AT216" s="19" t="str">
        <f t="shared" si="252"/>
        <v/>
      </c>
      <c r="AU216" s="19" t="str">
        <f t="shared" si="252"/>
        <v/>
      </c>
      <c r="AV216" s="19" t="str">
        <f t="shared" si="252"/>
        <v/>
      </c>
      <c r="AW216" s="19" t="str">
        <f t="shared" si="252"/>
        <v/>
      </c>
      <c r="AX216" s="19" t="str">
        <f t="shared" si="252"/>
        <v/>
      </c>
      <c r="AY216" s="34">
        <f t="shared" si="252"/>
        <v>531.19999999999993</v>
      </c>
      <c r="AZ216" s="19">
        <f t="shared" si="252"/>
        <v>114.7</v>
      </c>
      <c r="BA216" s="19">
        <f t="shared" si="252"/>
        <v>121.29999999999991</v>
      </c>
      <c r="BB216" s="19">
        <f t="shared" si="252"/>
        <v>236.00000000000006</v>
      </c>
      <c r="BC216" s="19">
        <f t="shared" si="252"/>
        <v>133.69999999999999</v>
      </c>
      <c r="BD216" s="19">
        <f t="shared" si="252"/>
        <v>154.09999999999991</v>
      </c>
      <c r="BE216" s="34">
        <f t="shared" si="252"/>
        <v>523.79999999999995</v>
      </c>
      <c r="BF216" s="19">
        <f t="shared" si="252"/>
        <v>139.30000000000004</v>
      </c>
      <c r="BG216" s="19">
        <f t="shared" si="252"/>
        <v>264</v>
      </c>
      <c r="BH216" s="19">
        <f t="shared" si="252"/>
        <v>403.30000000000018</v>
      </c>
      <c r="BI216" s="19">
        <f t="shared" si="252"/>
        <v>284.00000000000006</v>
      </c>
      <c r="BJ216" s="19">
        <f t="shared" si="252"/>
        <v>296</v>
      </c>
      <c r="BK216" s="34">
        <f t="shared" si="252"/>
        <v>983.30000000000041</v>
      </c>
      <c r="BL216" s="19">
        <f t="shared" si="252"/>
        <v>278.89999999999998</v>
      </c>
      <c r="BM216" s="19">
        <f t="shared" si="252"/>
        <v>295.29999999999995</v>
      </c>
      <c r="BN216" s="19">
        <f t="shared" si="252"/>
        <v>574.20000000000005</v>
      </c>
      <c r="BO216" s="19">
        <f t="shared" ref="BO216:CL216" si="253">IF(AND(ISNUMBER(BO211),ISNUMBER(BO125)),BO211+BO214+BO215,"")</f>
        <v>302.19999999999993</v>
      </c>
      <c r="BP216" s="19">
        <f t="shared" si="253"/>
        <v>318.7000000000001</v>
      </c>
      <c r="BQ216" s="34">
        <f t="shared" si="253"/>
        <v>1195.1000000000001</v>
      </c>
      <c r="BR216" s="19">
        <f t="shared" si="253"/>
        <v>294.39999999999998</v>
      </c>
      <c r="BS216" s="19">
        <f t="shared" si="253"/>
        <v>306.50000000000006</v>
      </c>
      <c r="BT216" s="19">
        <f t="shared" si="253"/>
        <v>600.9</v>
      </c>
      <c r="BU216" s="19">
        <f t="shared" si="253"/>
        <v>319.39999999999998</v>
      </c>
      <c r="BV216" s="19">
        <f t="shared" si="253"/>
        <v>321.40000000000009</v>
      </c>
      <c r="BW216" s="34">
        <f t="shared" si="253"/>
        <v>1241.7</v>
      </c>
      <c r="BX216" s="19">
        <f t="shared" si="253"/>
        <v>289.79999999999978</v>
      </c>
      <c r="BY216" s="19">
        <f t="shared" si="253"/>
        <v>297.59999999999991</v>
      </c>
      <c r="BZ216" s="19">
        <f t="shared" si="253"/>
        <v>587.39999999999986</v>
      </c>
      <c r="CA216" s="19">
        <f t="shared" si="253"/>
        <v>324.3</v>
      </c>
      <c r="CB216" s="19">
        <f t="shared" si="253"/>
        <v>342.99999999999994</v>
      </c>
      <c r="CC216" s="34">
        <f t="shared" si="253"/>
        <v>1254.6999999999998</v>
      </c>
      <c r="CD216" s="19">
        <f t="shared" si="253"/>
        <v>315.60000000000008</v>
      </c>
      <c r="CE216" s="19">
        <f t="shared" si="253"/>
        <v>335.90000000000003</v>
      </c>
      <c r="CF216" s="19">
        <f t="shared" si="253"/>
        <v>651.50000000000034</v>
      </c>
      <c r="CG216" s="19">
        <f t="shared" si="253"/>
        <v>343.59999999999997</v>
      </c>
      <c r="CH216" s="19">
        <f t="shared" si="253"/>
        <v>389.19999999999993</v>
      </c>
      <c r="CI216" s="34">
        <f t="shared" si="253"/>
        <v>1384.2999999999997</v>
      </c>
      <c r="CJ216" s="19">
        <f t="shared" si="253"/>
        <v>348.79999999999995</v>
      </c>
      <c r="CK216" s="19">
        <f t="shared" si="253"/>
        <v>391.10000000000008</v>
      </c>
      <c r="CL216" s="19">
        <f t="shared" si="253"/>
        <v>739.90000000000009</v>
      </c>
      <c r="CM216" s="34">
        <f>CM211+CM214+CM215</f>
        <v>378.04585987261157</v>
      </c>
      <c r="CN216" s="34">
        <f>CN211+CN214+CN215</f>
        <v>394.4805732484075</v>
      </c>
      <c r="CO216" s="34">
        <f>SUM(CJ216,CK216,CM216,CN216)</f>
        <v>1512.4264331210193</v>
      </c>
      <c r="CP216" s="34">
        <f>CP211+CP214+CP215</f>
        <v>1687.454727347862</v>
      </c>
      <c r="CQ216" s="34">
        <f>CQ211+CQ214+CQ215</f>
        <v>1866.8524460866104</v>
      </c>
      <c r="CR216" s="34">
        <f>CR211+CR214+CR215</f>
        <v>2057.1615762416359</v>
      </c>
      <c r="CS216" s="34">
        <f>CS211+CS214+CS215</f>
        <v>2262.5574161850618</v>
      </c>
      <c r="CT216" s="22"/>
      <c r="CV216" s="23">
        <f>IFERROR((CS216/CI216)^(1/5)-1,"n/m")</f>
        <v>0.10324985239402129</v>
      </c>
      <c r="CW216" s="23">
        <f>IFERROR((CI216/BE216)^(1/5)-1,"n/m")</f>
        <v>0.21454313891216414</v>
      </c>
      <c r="CX216" s="23">
        <f>IFERROR((CI216/AA216)^(1/10)-1,"n/m")</f>
        <v>0.16040671624971736</v>
      </c>
      <c r="CY216" s="23">
        <f>IFERROR((CI216/C216)^(1/19)-1,"n/m")</f>
        <v>0.12910892992270173</v>
      </c>
    </row>
    <row r="217" spans="2:103" ht="15" hidden="1" customHeight="1" outlineLevel="1" x14ac:dyDescent="0.25">
      <c r="B217" s="25" t="s">
        <v>341</v>
      </c>
      <c r="C217" s="39">
        <f t="shared" ref="C217:AH217" si="254">IFERROR(C216/C152,"")</f>
        <v>9.6148478928272399E-2</v>
      </c>
      <c r="D217" s="39">
        <f t="shared" si="254"/>
        <v>0.10577575047771676</v>
      </c>
      <c r="E217" s="39">
        <f t="shared" si="254"/>
        <v>0.12468060394889659</v>
      </c>
      <c r="F217" s="39">
        <f t="shared" si="254"/>
        <v>0.1111312874523334</v>
      </c>
      <c r="G217" s="39">
        <f t="shared" si="254"/>
        <v>0.11811215180634967</v>
      </c>
      <c r="H217" s="39">
        <f t="shared" si="254"/>
        <v>0.12997579689994337</v>
      </c>
      <c r="I217" s="39">
        <f t="shared" si="254"/>
        <v>0.12945987871950368</v>
      </c>
      <c r="J217" s="39" t="str">
        <f t="shared" si="254"/>
        <v/>
      </c>
      <c r="K217" s="39" t="str">
        <f t="shared" si="254"/>
        <v/>
      </c>
      <c r="L217" s="39" t="str">
        <f t="shared" si="254"/>
        <v/>
      </c>
      <c r="M217" s="39" t="str">
        <f t="shared" si="254"/>
        <v/>
      </c>
      <c r="N217" s="39" t="str">
        <f t="shared" si="254"/>
        <v/>
      </c>
      <c r="O217" s="39">
        <f t="shared" si="254"/>
        <v>0.11797656717694346</v>
      </c>
      <c r="P217" s="39" t="str">
        <f t="shared" si="254"/>
        <v/>
      </c>
      <c r="Q217" s="39" t="str">
        <f t="shared" si="254"/>
        <v/>
      </c>
      <c r="R217" s="39" t="str">
        <f t="shared" si="254"/>
        <v/>
      </c>
      <c r="S217" s="39" t="str">
        <f t="shared" si="254"/>
        <v/>
      </c>
      <c r="T217" s="39" t="str">
        <f t="shared" si="254"/>
        <v/>
      </c>
      <c r="U217" s="39">
        <f t="shared" si="254"/>
        <v>0.13913951545530498</v>
      </c>
      <c r="V217" s="39" t="str">
        <f t="shared" si="254"/>
        <v/>
      </c>
      <c r="W217" s="39" t="str">
        <f t="shared" si="254"/>
        <v/>
      </c>
      <c r="X217" s="39" t="str">
        <f t="shared" si="254"/>
        <v/>
      </c>
      <c r="Y217" s="39" t="str">
        <f t="shared" si="254"/>
        <v/>
      </c>
      <c r="Z217" s="39" t="str">
        <f t="shared" si="254"/>
        <v/>
      </c>
      <c r="AA217" s="39">
        <f t="shared" si="254"/>
        <v>0.1360689265045037</v>
      </c>
      <c r="AB217" s="39" t="str">
        <f t="shared" si="254"/>
        <v/>
      </c>
      <c r="AC217" s="39" t="str">
        <f t="shared" si="254"/>
        <v/>
      </c>
      <c r="AD217" s="39" t="str">
        <f t="shared" si="254"/>
        <v/>
      </c>
      <c r="AE217" s="39" t="str">
        <f t="shared" si="254"/>
        <v/>
      </c>
      <c r="AF217" s="39" t="str">
        <f t="shared" si="254"/>
        <v/>
      </c>
      <c r="AG217" s="39">
        <f t="shared" si="254"/>
        <v>0.13707614307642219</v>
      </c>
      <c r="AH217" s="39" t="str">
        <f t="shared" si="254"/>
        <v/>
      </c>
      <c r="AI217" s="39" t="str">
        <f t="shared" ref="AI217:BN217" si="255">IFERROR(AI216/AI152,"")</f>
        <v/>
      </c>
      <c r="AJ217" s="39" t="str">
        <f t="shared" si="255"/>
        <v/>
      </c>
      <c r="AK217" s="39" t="str">
        <f t="shared" si="255"/>
        <v/>
      </c>
      <c r="AL217" s="39" t="str">
        <f t="shared" si="255"/>
        <v/>
      </c>
      <c r="AM217" s="39">
        <f t="shared" si="255"/>
        <v>0.1460173592441816</v>
      </c>
      <c r="AN217" s="39" t="str">
        <f t="shared" si="255"/>
        <v/>
      </c>
      <c r="AO217" s="39" t="str">
        <f t="shared" si="255"/>
        <v/>
      </c>
      <c r="AP217" s="39" t="str">
        <f t="shared" si="255"/>
        <v/>
      </c>
      <c r="AQ217" s="39" t="str">
        <f t="shared" si="255"/>
        <v/>
      </c>
      <c r="AR217" s="39" t="str">
        <f t="shared" si="255"/>
        <v/>
      </c>
      <c r="AS217" s="39">
        <f t="shared" si="255"/>
        <v>0.15814322144875598</v>
      </c>
      <c r="AT217" s="39" t="str">
        <f t="shared" si="255"/>
        <v/>
      </c>
      <c r="AU217" s="39" t="str">
        <f t="shared" si="255"/>
        <v/>
      </c>
      <c r="AV217" s="39" t="str">
        <f t="shared" si="255"/>
        <v/>
      </c>
      <c r="AW217" s="39" t="str">
        <f t="shared" si="255"/>
        <v/>
      </c>
      <c r="AX217" s="39" t="str">
        <f t="shared" si="255"/>
        <v/>
      </c>
      <c r="AY217" s="39">
        <f t="shared" si="255"/>
        <v>0.16790997597673535</v>
      </c>
      <c r="AZ217" s="39">
        <f t="shared" si="255"/>
        <v>0.14618914096354829</v>
      </c>
      <c r="BA217" s="39">
        <f t="shared" si="255"/>
        <v>0.16319117449212958</v>
      </c>
      <c r="BB217" s="39">
        <f t="shared" si="255"/>
        <v>0.15446037044309185</v>
      </c>
      <c r="BC217" s="39">
        <f t="shared" si="255"/>
        <v>0.17850467289719624</v>
      </c>
      <c r="BD217" s="39">
        <f t="shared" si="255"/>
        <v>0.19041146669961684</v>
      </c>
      <c r="BE217" s="39">
        <f t="shared" si="255"/>
        <v>0.169723284297842</v>
      </c>
      <c r="BF217" s="39">
        <f t="shared" si="255"/>
        <v>0.17289313640312776</v>
      </c>
      <c r="BG217" s="39">
        <f t="shared" si="255"/>
        <v>0.23550401427297057</v>
      </c>
      <c r="BH217" s="39">
        <f t="shared" si="255"/>
        <v>0.20932163803394413</v>
      </c>
      <c r="BI217" s="39">
        <f t="shared" si="255"/>
        <v>0.21647991462763932</v>
      </c>
      <c r="BJ217" s="39">
        <f t="shared" si="255"/>
        <v>0.21516318964890602</v>
      </c>
      <c r="BK217" s="39">
        <f t="shared" si="255"/>
        <v>0.21309841146002653</v>
      </c>
      <c r="BL217" s="39">
        <f t="shared" si="255"/>
        <v>0.21112793338380012</v>
      </c>
      <c r="BM217" s="39">
        <f t="shared" si="255"/>
        <v>0.21780498598613363</v>
      </c>
      <c r="BN217" s="39">
        <f t="shared" si="255"/>
        <v>0.21450986252241483</v>
      </c>
      <c r="BO217" s="39">
        <f t="shared" ref="BO217:CS217" si="256">IFERROR(BO216/BO152,"")</f>
        <v>0.2216192431798181</v>
      </c>
      <c r="BP217" s="39">
        <f t="shared" si="256"/>
        <v>0.22472147792977021</v>
      </c>
      <c r="BQ217" s="39">
        <f t="shared" si="256"/>
        <v>0.2189389220679295</v>
      </c>
      <c r="BR217" s="39">
        <f t="shared" si="256"/>
        <v>0.2128244054073592</v>
      </c>
      <c r="BS217" s="39">
        <f t="shared" si="256"/>
        <v>0.21513301045834213</v>
      </c>
      <c r="BT217" s="39">
        <f t="shared" si="256"/>
        <v>0.21399572649572648</v>
      </c>
      <c r="BU217" s="39">
        <f t="shared" si="256"/>
        <v>0.22773618538324419</v>
      </c>
      <c r="BV217" s="39">
        <f t="shared" si="256"/>
        <v>0.22554385964912288</v>
      </c>
      <c r="BW217" s="39">
        <f t="shared" si="256"/>
        <v>0.22033537396859196</v>
      </c>
      <c r="BX217" s="39">
        <f t="shared" si="256"/>
        <v>0.21465076660988061</v>
      </c>
      <c r="BY217" s="39">
        <f t="shared" si="256"/>
        <v>0.21657812386289202</v>
      </c>
      <c r="BZ217" s="39">
        <f t="shared" si="256"/>
        <v>0.21562293517362893</v>
      </c>
      <c r="CA217" s="39">
        <f t="shared" si="256"/>
        <v>0.22466227918254245</v>
      </c>
      <c r="CB217" s="39">
        <f t="shared" si="256"/>
        <v>0.22831658124209542</v>
      </c>
      <c r="CC217" s="39">
        <f t="shared" si="256"/>
        <v>0.22128747795414458</v>
      </c>
      <c r="CD217" s="39">
        <f t="shared" si="256"/>
        <v>0.21767018415063111</v>
      </c>
      <c r="CE217" s="39">
        <f t="shared" si="256"/>
        <v>0.22190658650987649</v>
      </c>
      <c r="CF217" s="39">
        <f t="shared" si="256"/>
        <v>0.21983398569307608</v>
      </c>
      <c r="CG217" s="39">
        <f t="shared" si="256"/>
        <v>0.22318934719064629</v>
      </c>
      <c r="CH217" s="39">
        <f t="shared" si="256"/>
        <v>0.24139428146126649</v>
      </c>
      <c r="CI217" s="39">
        <f t="shared" si="256"/>
        <v>0.22636295254603131</v>
      </c>
      <c r="CJ217" s="39">
        <f t="shared" si="256"/>
        <v>0.22357541183257482</v>
      </c>
      <c r="CK217" s="39">
        <f t="shared" si="256"/>
        <v>0.23524812030075193</v>
      </c>
      <c r="CL217" s="39">
        <f t="shared" si="256"/>
        <v>0.22959721963631854</v>
      </c>
      <c r="CM217" s="27">
        <f t="shared" si="256"/>
        <v>0.22354048249413488</v>
      </c>
      <c r="CN217" s="27">
        <f t="shared" si="256"/>
        <v>0.22257944017012299</v>
      </c>
      <c r="CO217" s="27">
        <f t="shared" si="256"/>
        <v>0.22620499627763874</v>
      </c>
      <c r="CP217" s="27">
        <f t="shared" si="256"/>
        <v>0.23502172240486113</v>
      </c>
      <c r="CQ217" s="27">
        <f t="shared" si="256"/>
        <v>0.23777182333993652</v>
      </c>
      <c r="CR217" s="27">
        <f t="shared" si="256"/>
        <v>0.23981003112940324</v>
      </c>
      <c r="CS217" s="27">
        <f t="shared" si="256"/>
        <v>0.24212442862049094</v>
      </c>
      <c r="CT217" s="22"/>
      <c r="CV217" s="40">
        <f>IFERROR(AVERAGE(CO217,CP217,CQ217,CR217,CS217),"n/m")</f>
        <v>0.23618660035446609</v>
      </c>
      <c r="CW217" s="40">
        <f>IFERROR(AVERAGE(BK217,BQ217,BW217,CC217,CI217),"n/m")</f>
        <v>0.22000462759934475</v>
      </c>
      <c r="CX217" s="40">
        <f>IFERROR(AVERAGE(AG217,AM217,AS217,AY217,BE217,BK217,BQ217,BW217,CC217,CI217),"n/m")</f>
        <v>0.1878893122040661</v>
      </c>
      <c r="CY217" s="40">
        <f>IFERROR(AVERAGE(C217,D217,E217,F217,G217,H217,I217,O217,U217,AA217,AG217,AM217,AS217,AY217,BE217,BK217,BQ217,BW217,CC217,CI217),"n/m")</f>
        <v>0.15436810397052145</v>
      </c>
    </row>
    <row r="218" spans="2:103" ht="15" hidden="1" customHeight="1" outlineLevel="1" x14ac:dyDescent="0.25">
      <c r="B218" s="38" t="s">
        <v>342</v>
      </c>
      <c r="C218" s="29">
        <f t="shared" ref="C218:AH218" si="257">IF(ISNUMBER(C216),ROUND(C216-C200-N(C162)-N(C163),1),"")</f>
        <v>0</v>
      </c>
      <c r="D218" s="29">
        <f t="shared" si="257"/>
        <v>0</v>
      </c>
      <c r="E218" s="29">
        <f t="shared" si="257"/>
        <v>0</v>
      </c>
      <c r="F218" s="29">
        <f t="shared" si="257"/>
        <v>0</v>
      </c>
      <c r="G218" s="29">
        <f t="shared" si="257"/>
        <v>0</v>
      </c>
      <c r="H218" s="29">
        <f t="shared" si="257"/>
        <v>0</v>
      </c>
      <c r="I218" s="29">
        <f t="shared" si="257"/>
        <v>0</v>
      </c>
      <c r="J218" s="29" t="str">
        <f t="shared" si="257"/>
        <v/>
      </c>
      <c r="K218" s="29" t="str">
        <f t="shared" si="257"/>
        <v/>
      </c>
      <c r="L218" s="29" t="str">
        <f t="shared" si="257"/>
        <v/>
      </c>
      <c r="M218" s="29" t="str">
        <f t="shared" si="257"/>
        <v/>
      </c>
      <c r="N218" s="29" t="str">
        <f t="shared" si="257"/>
        <v/>
      </c>
      <c r="O218" s="29">
        <f t="shared" si="257"/>
        <v>0</v>
      </c>
      <c r="P218" s="29" t="str">
        <f t="shared" si="257"/>
        <v/>
      </c>
      <c r="Q218" s="29" t="str">
        <f t="shared" si="257"/>
        <v/>
      </c>
      <c r="R218" s="29" t="str">
        <f t="shared" si="257"/>
        <v/>
      </c>
      <c r="S218" s="29" t="str">
        <f t="shared" si="257"/>
        <v/>
      </c>
      <c r="T218" s="29" t="str">
        <f t="shared" si="257"/>
        <v/>
      </c>
      <c r="U218" s="29">
        <f t="shared" si="257"/>
        <v>0</v>
      </c>
      <c r="V218" s="29" t="str">
        <f t="shared" si="257"/>
        <v/>
      </c>
      <c r="W218" s="29" t="str">
        <f t="shared" si="257"/>
        <v/>
      </c>
      <c r="X218" s="29" t="str">
        <f t="shared" si="257"/>
        <v/>
      </c>
      <c r="Y218" s="29" t="str">
        <f t="shared" si="257"/>
        <v/>
      </c>
      <c r="Z218" s="29" t="str">
        <f t="shared" si="257"/>
        <v/>
      </c>
      <c r="AA218" s="29">
        <f t="shared" si="257"/>
        <v>0</v>
      </c>
      <c r="AB218" s="29" t="str">
        <f t="shared" si="257"/>
        <v/>
      </c>
      <c r="AC218" s="29" t="str">
        <f t="shared" si="257"/>
        <v/>
      </c>
      <c r="AD218" s="29" t="str">
        <f t="shared" si="257"/>
        <v/>
      </c>
      <c r="AE218" s="29" t="str">
        <f t="shared" si="257"/>
        <v/>
      </c>
      <c r="AF218" s="29" t="str">
        <f t="shared" si="257"/>
        <v/>
      </c>
      <c r="AG218" s="29">
        <f t="shared" si="257"/>
        <v>0</v>
      </c>
      <c r="AH218" s="29" t="str">
        <f t="shared" si="257"/>
        <v/>
      </c>
      <c r="AI218" s="29" t="str">
        <f t="shared" ref="AI218:BN218" si="258">IF(ISNUMBER(AI216),ROUND(AI216-AI200-N(AI162)-N(AI163),1),"")</f>
        <v/>
      </c>
      <c r="AJ218" s="29" t="str">
        <f t="shared" si="258"/>
        <v/>
      </c>
      <c r="AK218" s="29" t="str">
        <f t="shared" si="258"/>
        <v/>
      </c>
      <c r="AL218" s="29" t="str">
        <f t="shared" si="258"/>
        <v/>
      </c>
      <c r="AM218" s="29">
        <f t="shared" si="258"/>
        <v>0</v>
      </c>
      <c r="AN218" s="29" t="str">
        <f t="shared" si="258"/>
        <v/>
      </c>
      <c r="AO218" s="29" t="str">
        <f t="shared" si="258"/>
        <v/>
      </c>
      <c r="AP218" s="29" t="str">
        <f t="shared" si="258"/>
        <v/>
      </c>
      <c r="AQ218" s="29" t="str">
        <f t="shared" si="258"/>
        <v/>
      </c>
      <c r="AR218" s="29" t="str">
        <f t="shared" si="258"/>
        <v/>
      </c>
      <c r="AS218" s="29">
        <f t="shared" si="258"/>
        <v>0</v>
      </c>
      <c r="AT218" s="29" t="str">
        <f t="shared" si="258"/>
        <v/>
      </c>
      <c r="AU218" s="29" t="str">
        <f t="shared" si="258"/>
        <v/>
      </c>
      <c r="AV218" s="29" t="str">
        <f t="shared" si="258"/>
        <v/>
      </c>
      <c r="AW218" s="29" t="str">
        <f t="shared" si="258"/>
        <v/>
      </c>
      <c r="AX218" s="29" t="str">
        <f t="shared" si="258"/>
        <v/>
      </c>
      <c r="AY218" s="29">
        <f t="shared" si="258"/>
        <v>0</v>
      </c>
      <c r="AZ218" s="29">
        <f t="shared" si="258"/>
        <v>0</v>
      </c>
      <c r="BA218" s="29">
        <f t="shared" si="258"/>
        <v>0</v>
      </c>
      <c r="BB218" s="29">
        <f t="shared" si="258"/>
        <v>0</v>
      </c>
      <c r="BC218" s="29">
        <f t="shared" si="258"/>
        <v>0</v>
      </c>
      <c r="BD218" s="29">
        <f t="shared" si="258"/>
        <v>0</v>
      </c>
      <c r="BE218" s="29">
        <f t="shared" si="258"/>
        <v>0</v>
      </c>
      <c r="BF218" s="29">
        <f t="shared" si="258"/>
        <v>0</v>
      </c>
      <c r="BG218" s="29">
        <f t="shared" si="258"/>
        <v>0</v>
      </c>
      <c r="BH218" s="29">
        <f t="shared" si="258"/>
        <v>0</v>
      </c>
      <c r="BI218" s="29">
        <f t="shared" si="258"/>
        <v>0</v>
      </c>
      <c r="BJ218" s="29">
        <f t="shared" si="258"/>
        <v>0</v>
      </c>
      <c r="BK218" s="29">
        <f t="shared" si="258"/>
        <v>0</v>
      </c>
      <c r="BL218" s="29">
        <f t="shared" si="258"/>
        <v>0</v>
      </c>
      <c r="BM218" s="29">
        <f t="shared" si="258"/>
        <v>0</v>
      </c>
      <c r="BN218" s="29">
        <f t="shared" si="258"/>
        <v>0</v>
      </c>
      <c r="BO218" s="29">
        <f t="shared" ref="BO218:CL218" si="259">IF(ISNUMBER(BO216),ROUND(BO216-BO200-N(BO162)-N(BO163),1),"")</f>
        <v>0</v>
      </c>
      <c r="BP218" s="29">
        <f t="shared" si="259"/>
        <v>0</v>
      </c>
      <c r="BQ218" s="29">
        <f t="shared" si="259"/>
        <v>0</v>
      </c>
      <c r="BR218" s="29">
        <f t="shared" si="259"/>
        <v>0</v>
      </c>
      <c r="BS218" s="29">
        <f t="shared" si="259"/>
        <v>0</v>
      </c>
      <c r="BT218" s="29">
        <f t="shared" si="259"/>
        <v>0</v>
      </c>
      <c r="BU218" s="29">
        <f t="shared" si="259"/>
        <v>0</v>
      </c>
      <c r="BV218" s="29">
        <f t="shared" si="259"/>
        <v>0</v>
      </c>
      <c r="BW218" s="29">
        <f t="shared" si="259"/>
        <v>0</v>
      </c>
      <c r="BX218" s="29">
        <f t="shared" si="259"/>
        <v>0</v>
      </c>
      <c r="BY218" s="29">
        <f t="shared" si="259"/>
        <v>0</v>
      </c>
      <c r="BZ218" s="29">
        <f t="shared" si="259"/>
        <v>0</v>
      </c>
      <c r="CA218" s="29">
        <f t="shared" si="259"/>
        <v>0</v>
      </c>
      <c r="CB218" s="29">
        <f t="shared" si="259"/>
        <v>0</v>
      </c>
      <c r="CC218" s="29">
        <f t="shared" si="259"/>
        <v>0</v>
      </c>
      <c r="CD218" s="29">
        <f t="shared" si="259"/>
        <v>0</v>
      </c>
      <c r="CE218" s="29">
        <f t="shared" si="259"/>
        <v>0</v>
      </c>
      <c r="CF218" s="29">
        <f t="shared" si="259"/>
        <v>0</v>
      </c>
      <c r="CG218" s="29">
        <f t="shared" si="259"/>
        <v>0</v>
      </c>
      <c r="CH218" s="29">
        <f t="shared" si="259"/>
        <v>0</v>
      </c>
      <c r="CI218" s="29">
        <f t="shared" si="259"/>
        <v>0</v>
      </c>
      <c r="CJ218" s="29">
        <f t="shared" si="259"/>
        <v>0</v>
      </c>
      <c r="CK218" s="29">
        <f t="shared" si="259"/>
        <v>0</v>
      </c>
      <c r="CL218" s="29">
        <f t="shared" si="259"/>
        <v>0</v>
      </c>
      <c r="CM218" s="31">
        <f t="shared" ref="CM218:CS218" si="260">ROUND(CM216-CM200-CM162-CM163,1)</f>
        <v>0</v>
      </c>
      <c r="CN218" s="31">
        <f t="shared" si="260"/>
        <v>0</v>
      </c>
      <c r="CO218" s="31">
        <f t="shared" si="260"/>
        <v>0</v>
      </c>
      <c r="CP218" s="31">
        <f t="shared" si="260"/>
        <v>0</v>
      </c>
      <c r="CQ218" s="31">
        <f t="shared" si="260"/>
        <v>0</v>
      </c>
      <c r="CR218" s="31">
        <f t="shared" si="260"/>
        <v>0</v>
      </c>
      <c r="CS218" s="31">
        <f t="shared" si="260"/>
        <v>0</v>
      </c>
      <c r="CT218" s="22"/>
      <c r="CV218" s="6"/>
      <c r="CW218" s="6"/>
      <c r="CX218" s="6"/>
      <c r="CY218" s="6"/>
    </row>
    <row r="219" spans="2:103" ht="15" hidden="1" customHeight="1" outlineLevel="1" x14ac:dyDescent="0.25">
      <c r="B219" s="12"/>
      <c r="CM219" s="6"/>
      <c r="CN219" s="6"/>
      <c r="CO219" s="6"/>
      <c r="CP219" s="6"/>
      <c r="CQ219" s="6"/>
      <c r="CR219" s="6"/>
      <c r="CS219" s="6"/>
      <c r="CT219" s="6"/>
    </row>
    <row r="220" spans="2:103" ht="15" customHeight="1" collapsed="1" x14ac:dyDescent="0.25">
      <c r="B220" s="11" t="s">
        <v>343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 t="s">
        <v>344</v>
      </c>
    </row>
    <row r="221" spans="2:103" ht="15" customHeight="1" x14ac:dyDescent="0.25">
      <c r="B221" s="18" t="s">
        <v>345</v>
      </c>
      <c r="C221" s="19">
        <f t="shared" ref="C221:AH221" si="261">C171</f>
        <v>80.300000000000011</v>
      </c>
      <c r="D221" s="19">
        <f t="shared" si="261"/>
        <v>98.499999999999844</v>
      </c>
      <c r="E221" s="19">
        <f t="shared" si="261"/>
        <v>111.29999999999993</v>
      </c>
      <c r="F221" s="19">
        <f t="shared" si="261"/>
        <v>113.29999999999998</v>
      </c>
      <c r="G221" s="19">
        <f t="shared" si="261"/>
        <v>120.50000000000011</v>
      </c>
      <c r="H221" s="19">
        <f t="shared" si="261"/>
        <v>255.20000000000005</v>
      </c>
      <c r="I221" s="19">
        <f t="shared" si="261"/>
        <v>164.10000000000025</v>
      </c>
      <c r="J221" s="19">
        <f t="shared" si="261"/>
        <v>40.400000000000013</v>
      </c>
      <c r="K221" s="19">
        <f t="shared" si="261"/>
        <v>42.899999999999977</v>
      </c>
      <c r="L221" s="19">
        <f t="shared" si="261"/>
        <v>83.300000000000068</v>
      </c>
      <c r="M221" s="19">
        <f t="shared" si="261"/>
        <v>46.800000000000026</v>
      </c>
      <c r="N221" s="19">
        <f t="shared" si="261"/>
        <v>54.900000000000027</v>
      </c>
      <c r="O221" s="19">
        <f t="shared" si="261"/>
        <v>184.99999999999994</v>
      </c>
      <c r="P221" s="19">
        <f t="shared" si="261"/>
        <v>45.8</v>
      </c>
      <c r="Q221" s="19">
        <f t="shared" si="261"/>
        <v>56.100000000000044</v>
      </c>
      <c r="R221" s="19">
        <f t="shared" si="261"/>
        <v>101.89999999999995</v>
      </c>
      <c r="S221" s="19">
        <f t="shared" si="261"/>
        <v>55.600000000000051</v>
      </c>
      <c r="T221" s="19">
        <f t="shared" si="261"/>
        <v>60.199999999999918</v>
      </c>
      <c r="U221" s="19">
        <f t="shared" si="261"/>
        <v>217.70000000000013</v>
      </c>
      <c r="V221" s="19">
        <f t="shared" si="261"/>
        <v>43.70000000000001</v>
      </c>
      <c r="W221" s="19">
        <f t="shared" si="261"/>
        <v>48.300000000000068</v>
      </c>
      <c r="X221" s="19">
        <f t="shared" si="261"/>
        <v>92.000000000000142</v>
      </c>
      <c r="Y221" s="19">
        <f t="shared" si="261"/>
        <v>48.299999999999969</v>
      </c>
      <c r="Z221" s="19">
        <f t="shared" si="261"/>
        <v>55.500000000000028</v>
      </c>
      <c r="AA221" s="19">
        <f t="shared" si="261"/>
        <v>195.79999999999995</v>
      </c>
      <c r="AB221" s="19">
        <f t="shared" si="261"/>
        <v>38.999999999999979</v>
      </c>
      <c r="AC221" s="19">
        <f t="shared" si="261"/>
        <v>46.900000000000048</v>
      </c>
      <c r="AD221" s="19">
        <f t="shared" si="261"/>
        <v>85.9</v>
      </c>
      <c r="AE221" s="19">
        <f t="shared" si="261"/>
        <v>51.999999999999957</v>
      </c>
      <c r="AF221" s="19">
        <f t="shared" si="261"/>
        <v>52.999999999999972</v>
      </c>
      <c r="AG221" s="19">
        <f t="shared" si="261"/>
        <v>190.90000000000006</v>
      </c>
      <c r="AH221" s="19">
        <f t="shared" si="261"/>
        <v>30.500000000000007</v>
      </c>
      <c r="AI221" s="19">
        <f t="shared" ref="AI221:BN221" si="262">AI171</f>
        <v>60.100000000000051</v>
      </c>
      <c r="AJ221" s="19">
        <f t="shared" si="262"/>
        <v>90.600000000000023</v>
      </c>
      <c r="AK221" s="19">
        <f t="shared" si="262"/>
        <v>69.000000000000028</v>
      </c>
      <c r="AL221" s="19">
        <f t="shared" si="262"/>
        <v>67.599999999999994</v>
      </c>
      <c r="AM221" s="19">
        <f t="shared" si="262"/>
        <v>227.2000000000001</v>
      </c>
      <c r="AN221" s="19">
        <f t="shared" si="262"/>
        <v>66.500000000000043</v>
      </c>
      <c r="AO221" s="19">
        <f t="shared" si="262"/>
        <v>85.899999999999991</v>
      </c>
      <c r="AP221" s="19">
        <f t="shared" si="262"/>
        <v>152.39999999999986</v>
      </c>
      <c r="AQ221" s="19">
        <f t="shared" si="262"/>
        <v>90.299999999999969</v>
      </c>
      <c r="AR221" s="19">
        <f t="shared" si="262"/>
        <v>91.099999999999966</v>
      </c>
      <c r="AS221" s="19">
        <f t="shared" si="262"/>
        <v>333.80000000000013</v>
      </c>
      <c r="AT221" s="19">
        <f t="shared" si="262"/>
        <v>75.300000000000068</v>
      </c>
      <c r="AU221" s="19">
        <f t="shared" si="262"/>
        <v>104.59999999999998</v>
      </c>
      <c r="AV221" s="19">
        <f t="shared" si="262"/>
        <v>179.9</v>
      </c>
      <c r="AW221" s="19">
        <f t="shared" si="262"/>
        <v>106.70000000000005</v>
      </c>
      <c r="AX221" s="19">
        <f t="shared" si="262"/>
        <v>115.70000000000003</v>
      </c>
      <c r="AY221" s="19">
        <f t="shared" si="262"/>
        <v>402.29999999999995</v>
      </c>
      <c r="AZ221" s="19">
        <f t="shared" si="262"/>
        <v>82.2</v>
      </c>
      <c r="BA221" s="19">
        <f t="shared" si="262"/>
        <v>93.699999999999918</v>
      </c>
      <c r="BB221" s="19">
        <f t="shared" si="262"/>
        <v>175.90000000000003</v>
      </c>
      <c r="BC221" s="19">
        <f t="shared" si="262"/>
        <v>93.9</v>
      </c>
      <c r="BD221" s="19">
        <f t="shared" si="262"/>
        <v>132.09999999999991</v>
      </c>
      <c r="BE221" s="19">
        <f t="shared" si="262"/>
        <v>401.89999999999992</v>
      </c>
      <c r="BF221" s="19">
        <f t="shared" si="262"/>
        <v>84.700000000000045</v>
      </c>
      <c r="BG221" s="19">
        <f t="shared" si="262"/>
        <v>64.699999999999989</v>
      </c>
      <c r="BH221" s="19">
        <f t="shared" si="262"/>
        <v>149.40000000000015</v>
      </c>
      <c r="BI221" s="19">
        <f t="shared" si="262"/>
        <v>134.10000000000002</v>
      </c>
      <c r="BJ221" s="19">
        <f t="shared" si="262"/>
        <v>161.80000000000001</v>
      </c>
      <c r="BK221" s="19">
        <f t="shared" si="262"/>
        <v>445.3000000000003</v>
      </c>
      <c r="BL221" s="19">
        <f t="shared" si="262"/>
        <v>212.59999999999997</v>
      </c>
      <c r="BM221" s="19">
        <f t="shared" si="262"/>
        <v>171.29999999999995</v>
      </c>
      <c r="BN221" s="19">
        <f t="shared" si="262"/>
        <v>383.90000000000009</v>
      </c>
      <c r="BO221" s="19">
        <f t="shared" ref="BO221:CN221" si="263">BO171</f>
        <v>178.29999999999995</v>
      </c>
      <c r="BP221" s="19">
        <f t="shared" si="263"/>
        <v>226.40000000000012</v>
      </c>
      <c r="BQ221" s="19">
        <f t="shared" si="263"/>
        <v>788.60000000000025</v>
      </c>
      <c r="BR221" s="19">
        <f t="shared" si="263"/>
        <v>178.69999999999996</v>
      </c>
      <c r="BS221" s="19">
        <f t="shared" si="263"/>
        <v>185.30000000000007</v>
      </c>
      <c r="BT221" s="19">
        <f t="shared" si="263"/>
        <v>364</v>
      </c>
      <c r="BU221" s="19">
        <f t="shared" si="263"/>
        <v>198.59999999999997</v>
      </c>
      <c r="BV221" s="19">
        <f t="shared" si="263"/>
        <v>323.10000000000002</v>
      </c>
      <c r="BW221" s="19">
        <f t="shared" si="263"/>
        <v>885.70000000000016</v>
      </c>
      <c r="BX221" s="19">
        <f t="shared" si="263"/>
        <v>178.49999999999986</v>
      </c>
      <c r="BY221" s="19">
        <f t="shared" si="263"/>
        <v>180.1999999999999</v>
      </c>
      <c r="BZ221" s="19">
        <f t="shared" si="263"/>
        <v>358.6999999999997</v>
      </c>
      <c r="CA221" s="19">
        <f t="shared" si="263"/>
        <v>262.00000000000006</v>
      </c>
      <c r="CB221" s="19">
        <f t="shared" si="263"/>
        <v>198.49999999999997</v>
      </c>
      <c r="CC221" s="19">
        <f t="shared" si="263"/>
        <v>819.2</v>
      </c>
      <c r="CD221" s="19">
        <f t="shared" si="263"/>
        <v>188.60000000000014</v>
      </c>
      <c r="CE221" s="19">
        <f t="shared" si="263"/>
        <v>209.89999999999998</v>
      </c>
      <c r="CF221" s="19">
        <f t="shared" si="263"/>
        <v>398.50000000000034</v>
      </c>
      <c r="CG221" s="19">
        <f t="shared" si="263"/>
        <v>220.6999999999999</v>
      </c>
      <c r="CH221" s="19">
        <f t="shared" si="263"/>
        <v>275.59999999999991</v>
      </c>
      <c r="CI221" s="19">
        <f t="shared" si="263"/>
        <v>894.80000000000007</v>
      </c>
      <c r="CJ221" s="19">
        <f t="shared" si="263"/>
        <v>226.79999999999993</v>
      </c>
      <c r="CK221" s="19">
        <f t="shared" si="263"/>
        <v>251.70000000000007</v>
      </c>
      <c r="CL221" s="19">
        <f t="shared" si="263"/>
        <v>478.50000000000011</v>
      </c>
      <c r="CM221" s="21">
        <f t="shared" si="263"/>
        <v>241.58050000000009</v>
      </c>
      <c r="CN221" s="21">
        <f t="shared" si="263"/>
        <v>254.48174999999986</v>
      </c>
      <c r="CO221" s="21">
        <f t="shared" ref="CO221:CO233" si="264">SUM(CJ221,CK221,CM221,CN221)</f>
        <v>974.56224999999995</v>
      </c>
      <c r="CP221" s="21">
        <f>CP171</f>
        <v>1126.5489259865312</v>
      </c>
      <c r="CQ221" s="21">
        <f>CQ171</f>
        <v>1229.0766834995538</v>
      </c>
      <c r="CR221" s="21">
        <f>CR171</f>
        <v>1365.6372407546469</v>
      </c>
      <c r="CS221" s="21">
        <f>CS171</f>
        <v>1516.5181945392574</v>
      </c>
      <c r="CT221" s="22"/>
      <c r="CV221" s="6"/>
      <c r="CW221" s="6"/>
      <c r="CX221" s="6"/>
      <c r="CY221" s="6"/>
    </row>
    <row r="222" spans="2:103" ht="15" customHeight="1" x14ac:dyDescent="0.25">
      <c r="B222" s="12" t="s">
        <v>111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30">
        <v>9.6</v>
      </c>
      <c r="BA222" s="30">
        <v>9.6999999999999993</v>
      </c>
      <c r="BB222" s="29">
        <f>AZ222+BA222</f>
        <v>19.299999999999997</v>
      </c>
      <c r="BC222" s="30">
        <v>9.9</v>
      </c>
      <c r="BD222" s="30">
        <v>9.6</v>
      </c>
      <c r="BE222" s="30">
        <v>38.799999999999997</v>
      </c>
      <c r="BF222" s="30">
        <v>9.8000000000000007</v>
      </c>
      <c r="BG222" s="30">
        <v>32.799999999999997</v>
      </c>
      <c r="BH222" s="29">
        <f>BF222+BG222</f>
        <v>42.599999999999994</v>
      </c>
      <c r="BI222" s="30">
        <v>55.3</v>
      </c>
      <c r="BJ222" s="30">
        <v>51.4</v>
      </c>
      <c r="BK222" s="30">
        <v>149.30000000000001</v>
      </c>
      <c r="BL222" s="30">
        <v>53.6</v>
      </c>
      <c r="BM222" s="30">
        <v>51.3</v>
      </c>
      <c r="BN222" s="29">
        <f>BL222+BM222</f>
        <v>104.9</v>
      </c>
      <c r="BO222" s="30">
        <v>48.9</v>
      </c>
      <c r="BP222" s="30">
        <v>47.9</v>
      </c>
      <c r="BQ222" s="30">
        <v>201.7</v>
      </c>
      <c r="BR222" s="30">
        <v>49.7</v>
      </c>
      <c r="BS222" s="30">
        <v>49.3</v>
      </c>
      <c r="BT222" s="29">
        <f>BR222+BS222</f>
        <v>99</v>
      </c>
      <c r="BU222" s="30">
        <v>49.1</v>
      </c>
      <c r="BV222" s="30">
        <v>48.6</v>
      </c>
      <c r="BW222" s="30">
        <v>196.7</v>
      </c>
      <c r="BX222" s="30">
        <v>49.4</v>
      </c>
      <c r="BY222" s="30">
        <v>49.1</v>
      </c>
      <c r="BZ222" s="29">
        <f>BX222+BY222</f>
        <v>98.5</v>
      </c>
      <c r="CA222" s="30">
        <v>49.8</v>
      </c>
      <c r="CB222" s="30">
        <v>49.7</v>
      </c>
      <c r="CC222" s="30">
        <v>198</v>
      </c>
      <c r="CD222" s="30">
        <v>52</v>
      </c>
      <c r="CE222" s="30">
        <v>54.6</v>
      </c>
      <c r="CF222" s="29">
        <f>CD222+CE222</f>
        <v>106.6</v>
      </c>
      <c r="CG222" s="30">
        <v>55.1</v>
      </c>
      <c r="CH222" s="30">
        <v>54.9</v>
      </c>
      <c r="CI222" s="30">
        <v>216.6</v>
      </c>
      <c r="CJ222" s="30">
        <v>57.6</v>
      </c>
      <c r="CK222" s="30">
        <v>56</v>
      </c>
      <c r="CL222" s="29">
        <f>CJ222+CK222</f>
        <v>113.6</v>
      </c>
      <c r="CM222" s="31">
        <f>CM125</f>
        <v>56.2</v>
      </c>
      <c r="CN222" s="31">
        <f>CN125</f>
        <v>56.2</v>
      </c>
      <c r="CO222" s="31">
        <f t="shared" si="264"/>
        <v>226</v>
      </c>
      <c r="CP222" s="31">
        <f>CP125</f>
        <v>222.73750000000001</v>
      </c>
      <c r="CQ222" s="31">
        <f>CQ125</f>
        <v>245.35833333333335</v>
      </c>
      <c r="CR222" s="31">
        <f>CR125</f>
        <v>230.625</v>
      </c>
      <c r="CS222" s="31">
        <f>CS125</f>
        <v>233.5916666666667</v>
      </c>
      <c r="CT222" s="22"/>
      <c r="CV222" s="6"/>
      <c r="CW222" s="6"/>
      <c r="CX222" s="6"/>
      <c r="CY222" s="6"/>
    </row>
    <row r="223" spans="2:103" ht="15" customHeight="1" x14ac:dyDescent="0.25">
      <c r="B223" s="12" t="s">
        <v>298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30">
        <v>7.4</v>
      </c>
      <c r="AG223" s="30">
        <v>7.4</v>
      </c>
      <c r="AH223" s="30">
        <v>17.5</v>
      </c>
      <c r="AI223" s="30">
        <v>1.3</v>
      </c>
      <c r="AJ223" s="29">
        <f>AH223+AI223</f>
        <v>18.8</v>
      </c>
      <c r="AK223" s="30">
        <v>0.2</v>
      </c>
      <c r="AL223" s="29"/>
      <c r="AM223" s="30">
        <v>19</v>
      </c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30">
        <v>5.9</v>
      </c>
      <c r="BG223" s="30">
        <v>94.5</v>
      </c>
      <c r="BH223" s="29">
        <f>BF223+BG223</f>
        <v>100.4</v>
      </c>
      <c r="BI223" s="30">
        <v>1.8</v>
      </c>
      <c r="BJ223" s="30">
        <v>0.8</v>
      </c>
      <c r="BK223" s="30">
        <v>103</v>
      </c>
      <c r="BL223" s="29"/>
      <c r="BM223" s="29"/>
      <c r="BN223" s="29"/>
      <c r="BO223" s="29"/>
      <c r="BP223" s="30">
        <v>-4</v>
      </c>
      <c r="BQ223" s="30">
        <v>-4</v>
      </c>
      <c r="BR223" s="29"/>
      <c r="BS223" s="29"/>
      <c r="BT223" s="29"/>
      <c r="BU223" s="30">
        <v>5.8</v>
      </c>
      <c r="BV223" s="30">
        <v>3</v>
      </c>
      <c r="BW223" s="30">
        <v>8.8000000000000007</v>
      </c>
      <c r="BX223" s="30">
        <v>2.2000000000000002</v>
      </c>
      <c r="BY223" s="30">
        <v>1</v>
      </c>
      <c r="BZ223" s="29">
        <f>BX223+BY223</f>
        <v>3.2</v>
      </c>
      <c r="CA223" s="30">
        <v>3.7</v>
      </c>
      <c r="CB223" s="30">
        <v>1.5</v>
      </c>
      <c r="CC223" s="30">
        <v>8.4</v>
      </c>
      <c r="CD223" s="30">
        <v>6.8</v>
      </c>
      <c r="CE223" s="30">
        <v>1.9</v>
      </c>
      <c r="CF223" s="29">
        <f>CD223+CE223</f>
        <v>8.6999999999999993</v>
      </c>
      <c r="CG223" s="30">
        <v>0.7</v>
      </c>
      <c r="CH223" s="30">
        <v>0.8</v>
      </c>
      <c r="CI223" s="30">
        <v>10.199999999999999</v>
      </c>
      <c r="CJ223" s="30">
        <v>0.2</v>
      </c>
      <c r="CK223" s="30">
        <v>0.2</v>
      </c>
      <c r="CL223" s="29">
        <f>CJ223+CK223</f>
        <v>0.4</v>
      </c>
      <c r="CM223" s="31">
        <f>CM98</f>
        <v>0.5</v>
      </c>
      <c r="CN223" s="31">
        <f>CN98</f>
        <v>0.5</v>
      </c>
      <c r="CO223" s="31">
        <f t="shared" si="264"/>
        <v>1.4</v>
      </c>
      <c r="CP223" s="31">
        <f>CP98</f>
        <v>5</v>
      </c>
      <c r="CQ223" s="31">
        <f>CQ98</f>
        <v>5</v>
      </c>
      <c r="CR223" s="31">
        <f>CR98</f>
        <v>5</v>
      </c>
      <c r="CS223" s="31">
        <f>CS98</f>
        <v>5</v>
      </c>
      <c r="CT223" s="22"/>
      <c r="CV223" s="6"/>
      <c r="CW223" s="6"/>
      <c r="CX223" s="6"/>
      <c r="CY223" s="6"/>
    </row>
    <row r="224" spans="2:103" ht="15" customHeight="1" x14ac:dyDescent="0.25">
      <c r="B224" s="12" t="s">
        <v>299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30">
        <v>1.4</v>
      </c>
      <c r="AI224" s="30">
        <v>2.7</v>
      </c>
      <c r="AJ224" s="29">
        <f>AH224+AI224</f>
        <v>4.0999999999999996</v>
      </c>
      <c r="AK224" s="30">
        <v>2.7</v>
      </c>
      <c r="AL224" s="30">
        <v>-1.1000000000000001</v>
      </c>
      <c r="AM224" s="30">
        <v>5.7</v>
      </c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30">
        <v>23.4</v>
      </c>
      <c r="BH224" s="29">
        <f>N(BF224)+N(BG224)</f>
        <v>23.4</v>
      </c>
      <c r="BI224" s="30">
        <v>35.200000000000003</v>
      </c>
      <c r="BJ224" s="30">
        <v>47.8</v>
      </c>
      <c r="BK224" s="30">
        <v>106.4</v>
      </c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30">
        <v>0</v>
      </c>
      <c r="BY224" s="30">
        <v>0</v>
      </c>
      <c r="BZ224" s="29">
        <f>BX224+BY224</f>
        <v>0</v>
      </c>
      <c r="CA224" s="30">
        <v>0</v>
      </c>
      <c r="CB224" s="30">
        <v>0</v>
      </c>
      <c r="CC224" s="30">
        <v>0</v>
      </c>
      <c r="CD224" s="30">
        <v>0.6</v>
      </c>
      <c r="CE224" s="30">
        <v>1.2</v>
      </c>
      <c r="CF224" s="29">
        <f>CD224+CE224</f>
        <v>1.7999999999999998</v>
      </c>
      <c r="CG224" s="30">
        <v>1.4</v>
      </c>
      <c r="CH224" s="30">
        <v>0.2</v>
      </c>
      <c r="CI224" s="30">
        <v>3.4</v>
      </c>
      <c r="CJ224" s="30">
        <v>0</v>
      </c>
      <c r="CK224" s="30">
        <v>0</v>
      </c>
      <c r="CL224" s="29">
        <f>CJ224+CK224</f>
        <v>0</v>
      </c>
      <c r="CM224" s="31">
        <f>CM15+CM32+CM52+CM71</f>
        <v>0</v>
      </c>
      <c r="CN224" s="31">
        <f>CN15+CN32+CN52+CN71</f>
        <v>0</v>
      </c>
      <c r="CO224" s="31">
        <f t="shared" si="264"/>
        <v>0</v>
      </c>
      <c r="CP224" s="31">
        <f>CP15+CP32+CP52+CP71</f>
        <v>0</v>
      </c>
      <c r="CQ224" s="31">
        <f>CQ15+CQ32+CQ52+CQ71</f>
        <v>0</v>
      </c>
      <c r="CR224" s="31">
        <f>CR15+CR32+CR52+CR71</f>
        <v>0</v>
      </c>
      <c r="CS224" s="31">
        <f>CS15+CS32+CS52+CS71</f>
        <v>0</v>
      </c>
      <c r="CT224" s="22"/>
      <c r="CV224" s="6"/>
      <c r="CW224" s="6"/>
      <c r="CX224" s="6"/>
      <c r="CY224" s="6"/>
    </row>
    <row r="225" spans="2:103" ht="15" customHeight="1" x14ac:dyDescent="0.25">
      <c r="B225" s="12" t="s">
        <v>300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30">
        <v>52.5</v>
      </c>
      <c r="CC225" s="30">
        <v>52.5</v>
      </c>
      <c r="CD225" s="29"/>
      <c r="CE225" s="29"/>
      <c r="CF225" s="29"/>
      <c r="CG225" s="29"/>
      <c r="CH225" s="30">
        <v>0</v>
      </c>
      <c r="CI225" s="30">
        <v>0</v>
      </c>
      <c r="CJ225" s="29"/>
      <c r="CK225" s="29"/>
      <c r="CL225" s="29"/>
      <c r="CM225" s="32">
        <v>0</v>
      </c>
      <c r="CN225" s="32">
        <v>0</v>
      </c>
      <c r="CO225" s="31">
        <f t="shared" si="264"/>
        <v>0</v>
      </c>
      <c r="CP225" s="32">
        <v>0</v>
      </c>
      <c r="CQ225" s="32">
        <v>0</v>
      </c>
      <c r="CR225" s="32">
        <v>0</v>
      </c>
      <c r="CS225" s="32">
        <v>0</v>
      </c>
      <c r="CT225" s="22"/>
      <c r="CV225" s="6"/>
      <c r="CW225" s="6"/>
      <c r="CX225" s="6"/>
      <c r="CY225" s="6"/>
    </row>
    <row r="226" spans="2:103" ht="15" customHeight="1" x14ac:dyDescent="0.25">
      <c r="B226" s="12" t="s">
        <v>346</v>
      </c>
      <c r="C226" s="30">
        <v>3.1949999999999998</v>
      </c>
      <c r="D226" s="30">
        <v>1.0860000000000001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32">
        <v>0</v>
      </c>
      <c r="CN226" s="32">
        <v>0</v>
      </c>
      <c r="CO226" s="31">
        <f t="shared" si="264"/>
        <v>0</v>
      </c>
      <c r="CP226" s="32">
        <v>0</v>
      </c>
      <c r="CQ226" s="32">
        <v>0</v>
      </c>
      <c r="CR226" s="32">
        <v>0</v>
      </c>
      <c r="CS226" s="32">
        <v>0</v>
      </c>
      <c r="CT226" s="22"/>
      <c r="CV226" s="6"/>
      <c r="CW226" s="6"/>
      <c r="CX226" s="6"/>
      <c r="CY226" s="6"/>
    </row>
    <row r="227" spans="2:103" ht="15" customHeight="1" x14ac:dyDescent="0.25">
      <c r="B227" s="12" t="s">
        <v>347</v>
      </c>
      <c r="C227" s="30">
        <v>3.55</v>
      </c>
      <c r="D227" s="30">
        <v>4.3440000000000003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32">
        <v>0</v>
      </c>
      <c r="CN227" s="32">
        <v>0</v>
      </c>
      <c r="CO227" s="31">
        <f t="shared" si="264"/>
        <v>0</v>
      </c>
      <c r="CP227" s="32">
        <v>0</v>
      </c>
      <c r="CQ227" s="32">
        <v>0</v>
      </c>
      <c r="CR227" s="32">
        <v>0</v>
      </c>
      <c r="CS227" s="32">
        <v>0</v>
      </c>
      <c r="CT227" s="22"/>
      <c r="CV227" s="6"/>
      <c r="CW227" s="6"/>
      <c r="CX227" s="6"/>
      <c r="CY227" s="6"/>
    </row>
    <row r="228" spans="2:103" ht="15" customHeight="1" x14ac:dyDescent="0.25">
      <c r="B228" s="12" t="s">
        <v>348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30">
        <v>0.5</v>
      </c>
      <c r="AG228" s="30">
        <v>0.5</v>
      </c>
      <c r="AH228" s="30">
        <v>2.2999999999999998</v>
      </c>
      <c r="AI228" s="29"/>
      <c r="AJ228" s="29">
        <f>N(AH228)+N(AI228)</f>
        <v>2.2999999999999998</v>
      </c>
      <c r="AK228" s="29"/>
      <c r="AL228" s="29"/>
      <c r="AM228" s="30">
        <v>2.2999999999999998</v>
      </c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30">
        <v>30.6</v>
      </c>
      <c r="BG228" s="29"/>
      <c r="BH228" s="29">
        <f>N(BF228)+N(BG228)</f>
        <v>30.6</v>
      </c>
      <c r="BI228" s="29"/>
      <c r="BJ228" s="29"/>
      <c r="BK228" s="30">
        <v>30.6</v>
      </c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32">
        <v>0</v>
      </c>
      <c r="CN228" s="32">
        <v>0</v>
      </c>
      <c r="CO228" s="31">
        <f t="shared" si="264"/>
        <v>0</v>
      </c>
      <c r="CP228" s="32">
        <v>0</v>
      </c>
      <c r="CQ228" s="32">
        <v>0</v>
      </c>
      <c r="CR228" s="32">
        <v>0</v>
      </c>
      <c r="CS228" s="32">
        <v>0</v>
      </c>
      <c r="CT228" s="22"/>
      <c r="CV228" s="6"/>
      <c r="CW228" s="6"/>
      <c r="CX228" s="6"/>
      <c r="CY228" s="6"/>
    </row>
    <row r="229" spans="2:103" ht="15" customHeight="1" x14ac:dyDescent="0.25">
      <c r="B229" s="12" t="s">
        <v>349</v>
      </c>
      <c r="C229" s="30">
        <v>-7.0000000000000007E-2</v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30">
        <v>7.1999999999999995E-2</v>
      </c>
      <c r="AC229" s="29"/>
      <c r="AD229" s="29">
        <f>N(AB229)+N(AC229)</f>
        <v>7.1999999999999995E-2</v>
      </c>
      <c r="AE229" s="29"/>
      <c r="AF229" s="30">
        <v>2.33</v>
      </c>
      <c r="AG229" s="30">
        <v>1.845</v>
      </c>
      <c r="AH229" s="30">
        <v>-7.6999999999999999E-2</v>
      </c>
      <c r="AI229" s="29"/>
      <c r="AJ229" s="29">
        <f>N(AH229)+N(AI229)</f>
        <v>-7.6999999999999999E-2</v>
      </c>
      <c r="AK229" s="30">
        <v>0.17199999999999999</v>
      </c>
      <c r="AL229" s="29"/>
      <c r="AM229" s="30">
        <v>-8.1000000000000003E-2</v>
      </c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32">
        <v>0</v>
      </c>
      <c r="CN229" s="32">
        <v>0</v>
      </c>
      <c r="CO229" s="31">
        <f t="shared" si="264"/>
        <v>0</v>
      </c>
      <c r="CP229" s="32">
        <v>0</v>
      </c>
      <c r="CQ229" s="32">
        <v>0</v>
      </c>
      <c r="CR229" s="32">
        <v>0</v>
      </c>
      <c r="CS229" s="32">
        <v>0</v>
      </c>
      <c r="CT229" s="22"/>
      <c r="CV229" s="6"/>
      <c r="CW229" s="6"/>
      <c r="CX229" s="6"/>
      <c r="CY229" s="6"/>
    </row>
    <row r="230" spans="2:103" ht="15" customHeight="1" x14ac:dyDescent="0.25">
      <c r="B230" s="12" t="s">
        <v>350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30">
        <v>-4.3540000000000001</v>
      </c>
      <c r="AG230" s="30">
        <v>-4.33</v>
      </c>
      <c r="AH230" s="30">
        <v>-6.1369999999999996</v>
      </c>
      <c r="AI230" s="30">
        <v>-1.0860000000000001</v>
      </c>
      <c r="AJ230" s="29">
        <f>AH230+AI230</f>
        <v>-7.2229999999999999</v>
      </c>
      <c r="AK230" s="30">
        <v>-0.72799999999999998</v>
      </c>
      <c r="AL230" s="30">
        <v>0.36699999999999999</v>
      </c>
      <c r="AM230" s="30">
        <v>-7.26</v>
      </c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30">
        <v>-2.2999999999999998</v>
      </c>
      <c r="BA230" s="30">
        <v>-2.2999999999999998</v>
      </c>
      <c r="BB230" s="29">
        <f>AZ230+BA230</f>
        <v>-4.5999999999999996</v>
      </c>
      <c r="BC230" s="30">
        <v>-2.2999999999999998</v>
      </c>
      <c r="BD230" s="30">
        <v>-2.2000000000000002</v>
      </c>
      <c r="BE230" s="30">
        <v>-9.1</v>
      </c>
      <c r="BF230" s="30">
        <v>-9.6999999999999993</v>
      </c>
      <c r="BG230" s="30">
        <v>-26.8</v>
      </c>
      <c r="BH230" s="29">
        <f>BF230+BG230</f>
        <v>-36.5</v>
      </c>
      <c r="BI230" s="30">
        <v>-20.9</v>
      </c>
      <c r="BJ230" s="30">
        <v>-23</v>
      </c>
      <c r="BK230" s="30">
        <v>-80.400000000000006</v>
      </c>
      <c r="BL230" s="30">
        <v>-12.3</v>
      </c>
      <c r="BM230" s="30">
        <v>-11.9</v>
      </c>
      <c r="BN230" s="29">
        <f>BL230+BM230</f>
        <v>-24.200000000000003</v>
      </c>
      <c r="BO230" s="30">
        <v>-11.5</v>
      </c>
      <c r="BP230" s="30">
        <v>-10.1</v>
      </c>
      <c r="BQ230" s="30">
        <v>-45.8</v>
      </c>
      <c r="BR230" s="30">
        <v>-11.5</v>
      </c>
      <c r="BS230" s="30">
        <v>-11.3</v>
      </c>
      <c r="BT230" s="29">
        <f>BR230+BS230</f>
        <v>-22.8</v>
      </c>
      <c r="BU230" s="30">
        <v>-12.6</v>
      </c>
      <c r="BV230" s="30">
        <v>-12</v>
      </c>
      <c r="BW230" s="30">
        <v>-47.4</v>
      </c>
      <c r="BX230" s="30">
        <v>-12.1</v>
      </c>
      <c r="BY230" s="30">
        <v>-11.8</v>
      </c>
      <c r="BZ230" s="29">
        <f>BX230+BY230</f>
        <v>-23.9</v>
      </c>
      <c r="CA230" s="30">
        <v>-12.5</v>
      </c>
      <c r="CB230" s="30">
        <v>-24.7</v>
      </c>
      <c r="CC230" s="30">
        <v>-61.1</v>
      </c>
      <c r="CD230" s="30">
        <v>-14</v>
      </c>
      <c r="CE230" s="30">
        <v>-13.6</v>
      </c>
      <c r="CF230" s="29">
        <f>CD230+CE230</f>
        <v>-27.6</v>
      </c>
      <c r="CG230" s="30">
        <v>-13.6</v>
      </c>
      <c r="CH230" s="30">
        <v>-13.2</v>
      </c>
      <c r="CI230" s="30">
        <v>-54.4</v>
      </c>
      <c r="CJ230" s="30">
        <v>-13.7</v>
      </c>
      <c r="CK230" s="30">
        <v>-13.1</v>
      </c>
      <c r="CL230" s="29">
        <f>CJ230+CK230</f>
        <v>-26.799999999999997</v>
      </c>
      <c r="CM230" s="31">
        <f>-SUM(CM222:CM229)*CM234</f>
        <v>-12.1905</v>
      </c>
      <c r="CN230" s="31">
        <f>-SUM(CN222:CN229)*CN234</f>
        <v>-12.1905</v>
      </c>
      <c r="CO230" s="31">
        <f t="shared" si="264"/>
        <v>-51.180999999999997</v>
      </c>
      <c r="CP230" s="31">
        <f>-SUM(CP222:CP229)*CP234</f>
        <v>-53.5183125</v>
      </c>
      <c r="CQ230" s="31">
        <f>-SUM(CQ222:CQ229)*CQ234</f>
        <v>-58.834208333333336</v>
      </c>
      <c r="CR230" s="31">
        <f>-SUM(CR222:CR229)*CR234</f>
        <v>-55.371874999999996</v>
      </c>
      <c r="CS230" s="31">
        <f>-SUM(CS222:CS229)*CS234</f>
        <v>-56.069041666666671</v>
      </c>
      <c r="CT230" s="22"/>
      <c r="CV230" s="6"/>
      <c r="CW230" s="6"/>
      <c r="CX230" s="6"/>
      <c r="CY230" s="6"/>
    </row>
    <row r="231" spans="2:103" ht="15" customHeight="1" x14ac:dyDescent="0.25">
      <c r="B231" s="12" t="s">
        <v>351</v>
      </c>
      <c r="C231" s="30">
        <v>-3.1949999999999998</v>
      </c>
      <c r="D231" s="30">
        <v>-5.43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30">
        <v>4.7</v>
      </c>
      <c r="AM231" s="30">
        <v>4.7</v>
      </c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30">
        <v>12.4</v>
      </c>
      <c r="BH231" s="29">
        <f>N(BF231)+N(BG231)</f>
        <v>12.4</v>
      </c>
      <c r="BI231" s="30">
        <v>1.7</v>
      </c>
      <c r="BJ231" s="30">
        <v>-21.4</v>
      </c>
      <c r="BK231" s="30">
        <v>-7.3</v>
      </c>
      <c r="BL231" s="30">
        <v>-50</v>
      </c>
      <c r="BM231" s="30">
        <v>0.6</v>
      </c>
      <c r="BN231" s="29">
        <f>BL231+BM231</f>
        <v>-49.4</v>
      </c>
      <c r="BO231" s="30">
        <v>0.8</v>
      </c>
      <c r="BP231" s="30">
        <v>-24.1</v>
      </c>
      <c r="BQ231" s="30">
        <v>-72.7</v>
      </c>
      <c r="BR231" s="30">
        <v>0.3</v>
      </c>
      <c r="BS231" s="30">
        <v>0.4</v>
      </c>
      <c r="BT231" s="29">
        <f>BR231+BS231</f>
        <v>0.7</v>
      </c>
      <c r="BU231" s="30">
        <v>1</v>
      </c>
      <c r="BV231" s="30">
        <v>-102.2</v>
      </c>
      <c r="BW231" s="30">
        <v>-100.5</v>
      </c>
      <c r="BX231" s="30">
        <v>0.3</v>
      </c>
      <c r="BY231" s="30">
        <v>0.2</v>
      </c>
      <c r="BZ231" s="29">
        <f>BX231+BY231</f>
        <v>0.5</v>
      </c>
      <c r="CA231" s="30">
        <v>-61.7</v>
      </c>
      <c r="CB231" s="30">
        <v>-16.600000000000001</v>
      </c>
      <c r="CC231" s="30">
        <v>-77.8</v>
      </c>
      <c r="CD231" s="30">
        <v>0</v>
      </c>
      <c r="CE231" s="30">
        <v>-7.7</v>
      </c>
      <c r="CF231" s="29">
        <f>CD231+CE231</f>
        <v>-7.7</v>
      </c>
      <c r="CG231" s="30">
        <v>0.2</v>
      </c>
      <c r="CH231" s="30">
        <v>-20.8</v>
      </c>
      <c r="CI231" s="30">
        <v>-28.3</v>
      </c>
      <c r="CJ231" s="30">
        <v>0.5</v>
      </c>
      <c r="CK231" s="30">
        <v>-0.5</v>
      </c>
      <c r="CL231" s="29">
        <f>CJ231+CK231</f>
        <v>0</v>
      </c>
      <c r="CM231" s="32">
        <v>0</v>
      </c>
      <c r="CN231" s="32">
        <v>0</v>
      </c>
      <c r="CO231" s="31">
        <f t="shared" si="264"/>
        <v>0</v>
      </c>
      <c r="CP231" s="32">
        <v>0</v>
      </c>
      <c r="CQ231" s="32">
        <v>0</v>
      </c>
      <c r="CR231" s="32">
        <v>0</v>
      </c>
      <c r="CS231" s="32">
        <v>0</v>
      </c>
      <c r="CT231" s="22"/>
      <c r="CV231" s="6"/>
      <c r="CW231" s="6"/>
      <c r="CX231" s="6"/>
      <c r="CY231" s="6"/>
    </row>
    <row r="232" spans="2:103" ht="15" customHeight="1" x14ac:dyDescent="0.25">
      <c r="B232" s="12" t="s">
        <v>352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32">
        <v>0</v>
      </c>
      <c r="CN232" s="32">
        <v>0</v>
      </c>
      <c r="CO232" s="31">
        <f t="shared" si="264"/>
        <v>0</v>
      </c>
      <c r="CP232" s="32">
        <v>0</v>
      </c>
      <c r="CQ232" s="32">
        <v>0</v>
      </c>
      <c r="CR232" s="32">
        <v>0</v>
      </c>
      <c r="CS232" s="32">
        <v>0</v>
      </c>
      <c r="CT232" s="22"/>
      <c r="CV232" s="6"/>
      <c r="CW232" s="6"/>
      <c r="CX232" s="6"/>
      <c r="CY232" s="6"/>
    </row>
    <row r="233" spans="2:103" ht="15" customHeight="1" x14ac:dyDescent="0.25">
      <c r="B233" s="33" t="s">
        <v>353</v>
      </c>
      <c r="C233" s="34">
        <f t="shared" ref="C233:AH233" si="265">IF(ISNUMBER(C237),SUM(C221:C232),"")</f>
        <v>83.780000000000015</v>
      </c>
      <c r="D233" s="34">
        <f t="shared" si="265"/>
        <v>98.499999999999829</v>
      </c>
      <c r="E233" s="34" t="str">
        <f t="shared" si="265"/>
        <v/>
      </c>
      <c r="F233" s="34" t="str">
        <f t="shared" si="265"/>
        <v/>
      </c>
      <c r="G233" s="34" t="str">
        <f t="shared" si="265"/>
        <v/>
      </c>
      <c r="H233" s="34" t="str">
        <f t="shared" si="265"/>
        <v/>
      </c>
      <c r="I233" s="34" t="str">
        <f t="shared" si="265"/>
        <v/>
      </c>
      <c r="J233" s="19" t="str">
        <f t="shared" si="265"/>
        <v/>
      </c>
      <c r="K233" s="19" t="str">
        <f t="shared" si="265"/>
        <v/>
      </c>
      <c r="L233" s="19" t="str">
        <f t="shared" si="265"/>
        <v/>
      </c>
      <c r="M233" s="19" t="str">
        <f t="shared" si="265"/>
        <v/>
      </c>
      <c r="N233" s="19" t="str">
        <f t="shared" si="265"/>
        <v/>
      </c>
      <c r="O233" s="34" t="str">
        <f t="shared" si="265"/>
        <v/>
      </c>
      <c r="P233" s="19" t="str">
        <f t="shared" si="265"/>
        <v/>
      </c>
      <c r="Q233" s="19" t="str">
        <f t="shared" si="265"/>
        <v/>
      </c>
      <c r="R233" s="19" t="str">
        <f t="shared" si="265"/>
        <v/>
      </c>
      <c r="S233" s="19" t="str">
        <f t="shared" si="265"/>
        <v/>
      </c>
      <c r="T233" s="19" t="str">
        <f t="shared" si="265"/>
        <v/>
      </c>
      <c r="U233" s="34" t="str">
        <f t="shared" si="265"/>
        <v/>
      </c>
      <c r="V233" s="19" t="str">
        <f t="shared" si="265"/>
        <v/>
      </c>
      <c r="W233" s="19" t="str">
        <f t="shared" si="265"/>
        <v/>
      </c>
      <c r="X233" s="19" t="str">
        <f t="shared" si="265"/>
        <v/>
      </c>
      <c r="Y233" s="19" t="str">
        <f t="shared" si="265"/>
        <v/>
      </c>
      <c r="Z233" s="19" t="str">
        <f t="shared" si="265"/>
        <v/>
      </c>
      <c r="AA233" s="34" t="str">
        <f t="shared" si="265"/>
        <v/>
      </c>
      <c r="AB233" s="19">
        <f t="shared" si="265"/>
        <v>39.071999999999981</v>
      </c>
      <c r="AC233" s="19">
        <f t="shared" si="265"/>
        <v>46.900000000000048</v>
      </c>
      <c r="AD233" s="19">
        <f t="shared" si="265"/>
        <v>85.972000000000008</v>
      </c>
      <c r="AE233" s="19">
        <f t="shared" si="265"/>
        <v>51.999999999999957</v>
      </c>
      <c r="AF233" s="19">
        <f t="shared" si="265"/>
        <v>58.875999999999969</v>
      </c>
      <c r="AG233" s="34">
        <f t="shared" si="265"/>
        <v>196.31500000000005</v>
      </c>
      <c r="AH233" s="19">
        <f t="shared" si="265"/>
        <v>45.486000000000004</v>
      </c>
      <c r="AI233" s="19">
        <f t="shared" ref="AI233:BN233" si="266">IF(ISNUMBER(AI237),SUM(AI221:AI232),"")</f>
        <v>63.014000000000053</v>
      </c>
      <c r="AJ233" s="19">
        <f t="shared" si="266"/>
        <v>108.50000000000001</v>
      </c>
      <c r="AK233" s="19">
        <f t="shared" si="266"/>
        <v>71.344000000000037</v>
      </c>
      <c r="AL233" s="19">
        <f t="shared" si="266"/>
        <v>71.567000000000007</v>
      </c>
      <c r="AM233" s="34">
        <f t="shared" si="266"/>
        <v>251.55900000000011</v>
      </c>
      <c r="AN233" s="19" t="str">
        <f t="shared" si="266"/>
        <v/>
      </c>
      <c r="AO233" s="19" t="str">
        <f t="shared" si="266"/>
        <v/>
      </c>
      <c r="AP233" s="19" t="str">
        <f t="shared" si="266"/>
        <v/>
      </c>
      <c r="AQ233" s="19" t="str">
        <f t="shared" si="266"/>
        <v/>
      </c>
      <c r="AR233" s="19" t="str">
        <f t="shared" si="266"/>
        <v/>
      </c>
      <c r="AS233" s="34" t="str">
        <f t="shared" si="266"/>
        <v/>
      </c>
      <c r="AT233" s="19" t="str">
        <f t="shared" si="266"/>
        <v/>
      </c>
      <c r="AU233" s="19" t="str">
        <f t="shared" si="266"/>
        <v/>
      </c>
      <c r="AV233" s="19" t="str">
        <f t="shared" si="266"/>
        <v/>
      </c>
      <c r="AW233" s="19" t="str">
        <f t="shared" si="266"/>
        <v/>
      </c>
      <c r="AX233" s="19" t="str">
        <f t="shared" si="266"/>
        <v/>
      </c>
      <c r="AY233" s="34" t="str">
        <f t="shared" si="266"/>
        <v/>
      </c>
      <c r="AZ233" s="19">
        <f t="shared" si="266"/>
        <v>89.5</v>
      </c>
      <c r="BA233" s="19">
        <f t="shared" si="266"/>
        <v>101.09999999999992</v>
      </c>
      <c r="BB233" s="19">
        <f t="shared" si="266"/>
        <v>190.60000000000005</v>
      </c>
      <c r="BC233" s="19">
        <f t="shared" si="266"/>
        <v>101.50000000000001</v>
      </c>
      <c r="BD233" s="19">
        <f t="shared" si="266"/>
        <v>139.49999999999991</v>
      </c>
      <c r="BE233" s="34">
        <f t="shared" si="266"/>
        <v>431.59999999999991</v>
      </c>
      <c r="BF233" s="19">
        <f t="shared" si="266"/>
        <v>121.30000000000005</v>
      </c>
      <c r="BG233" s="19">
        <f t="shared" si="266"/>
        <v>201</v>
      </c>
      <c r="BH233" s="19">
        <f t="shared" si="266"/>
        <v>322.30000000000013</v>
      </c>
      <c r="BI233" s="19">
        <f t="shared" si="266"/>
        <v>207.20000000000002</v>
      </c>
      <c r="BJ233" s="19">
        <f t="shared" si="266"/>
        <v>217.4</v>
      </c>
      <c r="BK233" s="34">
        <f t="shared" si="266"/>
        <v>746.90000000000043</v>
      </c>
      <c r="BL233" s="19">
        <f t="shared" si="266"/>
        <v>203.89999999999998</v>
      </c>
      <c r="BM233" s="19">
        <f t="shared" si="266"/>
        <v>211.29999999999995</v>
      </c>
      <c r="BN233" s="19">
        <f t="shared" si="266"/>
        <v>415.2000000000001</v>
      </c>
      <c r="BO233" s="19">
        <f t="shared" ref="BO233:CL233" si="267">IF(ISNUMBER(BO237),SUM(BO221:BO232),"")</f>
        <v>216.49999999999997</v>
      </c>
      <c r="BP233" s="19">
        <f t="shared" si="267"/>
        <v>236.10000000000011</v>
      </c>
      <c r="BQ233" s="34">
        <f t="shared" si="267"/>
        <v>867.80000000000018</v>
      </c>
      <c r="BR233" s="19">
        <f t="shared" si="267"/>
        <v>217.2</v>
      </c>
      <c r="BS233" s="19">
        <f t="shared" si="267"/>
        <v>223.70000000000007</v>
      </c>
      <c r="BT233" s="19">
        <f t="shared" si="267"/>
        <v>440.9</v>
      </c>
      <c r="BU233" s="19">
        <f t="shared" si="267"/>
        <v>241.89999999999998</v>
      </c>
      <c r="BV233" s="19">
        <f t="shared" si="267"/>
        <v>260.50000000000006</v>
      </c>
      <c r="BW233" s="34">
        <f t="shared" si="267"/>
        <v>943.3</v>
      </c>
      <c r="BX233" s="19">
        <f t="shared" si="267"/>
        <v>218.29999999999987</v>
      </c>
      <c r="BY233" s="19">
        <f t="shared" si="267"/>
        <v>218.69999999999987</v>
      </c>
      <c r="BZ233" s="19">
        <f t="shared" si="267"/>
        <v>436.99999999999972</v>
      </c>
      <c r="CA233" s="19">
        <f t="shared" si="267"/>
        <v>241.30000000000007</v>
      </c>
      <c r="CB233" s="19">
        <f t="shared" si="267"/>
        <v>260.89999999999998</v>
      </c>
      <c r="CC233" s="34">
        <f t="shared" si="267"/>
        <v>939.20000000000016</v>
      </c>
      <c r="CD233" s="19">
        <f t="shared" si="267"/>
        <v>234.00000000000014</v>
      </c>
      <c r="CE233" s="19">
        <f t="shared" si="267"/>
        <v>246.29999999999998</v>
      </c>
      <c r="CF233" s="19">
        <f t="shared" si="267"/>
        <v>480.30000000000035</v>
      </c>
      <c r="CG233" s="19">
        <f t="shared" si="267"/>
        <v>264.49999999999983</v>
      </c>
      <c r="CH233" s="19">
        <f t="shared" si="267"/>
        <v>297.49999999999989</v>
      </c>
      <c r="CI233" s="34">
        <f t="shared" si="267"/>
        <v>1042.3000000000002</v>
      </c>
      <c r="CJ233" s="19">
        <f t="shared" si="267"/>
        <v>271.39999999999992</v>
      </c>
      <c r="CK233" s="19">
        <f t="shared" si="267"/>
        <v>294.3</v>
      </c>
      <c r="CL233" s="19">
        <f t="shared" si="267"/>
        <v>565.70000000000016</v>
      </c>
      <c r="CM233" s="34">
        <f>SUM(CM221:CM232)</f>
        <v>286.09000000000009</v>
      </c>
      <c r="CN233" s="34">
        <f>SUM(CN221:CN232)</f>
        <v>298.99124999999987</v>
      </c>
      <c r="CO233" s="34">
        <f t="shared" si="264"/>
        <v>1150.7812499999998</v>
      </c>
      <c r="CP233" s="34">
        <f>SUM(CP221:CP232)</f>
        <v>1300.7681134865311</v>
      </c>
      <c r="CQ233" s="34">
        <f>SUM(CQ221:CQ232)</f>
        <v>1420.6008084995538</v>
      </c>
      <c r="CR233" s="34">
        <f>SUM(CR221:CR232)</f>
        <v>1545.8903657546468</v>
      </c>
      <c r="CS233" s="34">
        <f>SUM(CS221:CS232)</f>
        <v>1699.0408195392574</v>
      </c>
      <c r="CT233" s="22" t="s">
        <v>354</v>
      </c>
      <c r="CV233" s="23">
        <f>IFERROR((CS233/CI233)^(1/5)-1,"n/m")</f>
        <v>0.10266150968266086</v>
      </c>
      <c r="CW233" s="23">
        <f>IFERROR((CI233/BE233)^(1/5)-1,"n/m")</f>
        <v>0.19284018205788844</v>
      </c>
      <c r="CX233" s="23" t="str">
        <f>IFERROR((CI233/AA233)^(1/10)-1,"n/m")</f>
        <v>n/m</v>
      </c>
      <c r="CY233" s="23">
        <f>IFERROR((CI233/C233)^(1/19)-1,"n/m")</f>
        <v>0.14188879022961931</v>
      </c>
    </row>
    <row r="234" spans="2:103" ht="15" customHeight="1" x14ac:dyDescent="0.25">
      <c r="B234" s="25" t="s">
        <v>355</v>
      </c>
      <c r="C234" s="39">
        <f t="shared" ref="C234:AH234" si="268">IFERROR(-C230/SUM(C222:C229),"")</f>
        <v>0</v>
      </c>
      <c r="D234" s="39">
        <f t="shared" si="268"/>
        <v>0</v>
      </c>
      <c r="E234" s="39" t="str">
        <f t="shared" si="268"/>
        <v/>
      </c>
      <c r="F234" s="39" t="str">
        <f t="shared" si="268"/>
        <v/>
      </c>
      <c r="G234" s="39" t="str">
        <f t="shared" si="268"/>
        <v/>
      </c>
      <c r="H234" s="39" t="str">
        <f t="shared" si="268"/>
        <v/>
      </c>
      <c r="I234" s="39" t="str">
        <f t="shared" si="268"/>
        <v/>
      </c>
      <c r="J234" s="39" t="str">
        <f t="shared" si="268"/>
        <v/>
      </c>
      <c r="K234" s="39" t="str">
        <f t="shared" si="268"/>
        <v/>
      </c>
      <c r="L234" s="39" t="str">
        <f t="shared" si="268"/>
        <v/>
      </c>
      <c r="M234" s="39" t="str">
        <f t="shared" si="268"/>
        <v/>
      </c>
      <c r="N234" s="39" t="str">
        <f t="shared" si="268"/>
        <v/>
      </c>
      <c r="O234" s="39" t="str">
        <f t="shared" si="268"/>
        <v/>
      </c>
      <c r="P234" s="39" t="str">
        <f t="shared" si="268"/>
        <v/>
      </c>
      <c r="Q234" s="39" t="str">
        <f t="shared" si="268"/>
        <v/>
      </c>
      <c r="R234" s="39" t="str">
        <f t="shared" si="268"/>
        <v/>
      </c>
      <c r="S234" s="39" t="str">
        <f t="shared" si="268"/>
        <v/>
      </c>
      <c r="T234" s="39" t="str">
        <f t="shared" si="268"/>
        <v/>
      </c>
      <c r="U234" s="39" t="str">
        <f t="shared" si="268"/>
        <v/>
      </c>
      <c r="V234" s="39" t="str">
        <f t="shared" si="268"/>
        <v/>
      </c>
      <c r="W234" s="39" t="str">
        <f t="shared" si="268"/>
        <v/>
      </c>
      <c r="X234" s="39" t="str">
        <f t="shared" si="268"/>
        <v/>
      </c>
      <c r="Y234" s="39" t="str">
        <f t="shared" si="268"/>
        <v/>
      </c>
      <c r="Z234" s="39" t="str">
        <f t="shared" si="268"/>
        <v/>
      </c>
      <c r="AA234" s="39" t="str">
        <f t="shared" si="268"/>
        <v/>
      </c>
      <c r="AB234" s="39">
        <f t="shared" si="268"/>
        <v>0</v>
      </c>
      <c r="AC234" s="39" t="str">
        <f t="shared" si="268"/>
        <v/>
      </c>
      <c r="AD234" s="39">
        <f t="shared" si="268"/>
        <v>0</v>
      </c>
      <c r="AE234" s="39" t="str">
        <f t="shared" si="268"/>
        <v/>
      </c>
      <c r="AF234" s="39">
        <f t="shared" si="268"/>
        <v>0.42561094819159334</v>
      </c>
      <c r="AG234" s="39">
        <f t="shared" si="268"/>
        <v>0.44433042585941507</v>
      </c>
      <c r="AH234" s="39">
        <f t="shared" si="268"/>
        <v>0.29053638214268807</v>
      </c>
      <c r="AI234" s="39">
        <f t="shared" ref="AI234:BN234" si="269">IFERROR(-AI230/SUM(AI222:AI229),"")</f>
        <v>0.27150000000000002</v>
      </c>
      <c r="AJ234" s="39">
        <f t="shared" si="269"/>
        <v>0.28750547307248342</v>
      </c>
      <c r="AK234" s="39">
        <f t="shared" si="269"/>
        <v>0.23697916666666663</v>
      </c>
      <c r="AL234" s="39">
        <f t="shared" si="269"/>
        <v>0.33363636363636362</v>
      </c>
      <c r="AM234" s="39">
        <f t="shared" si="269"/>
        <v>0.2696979828374011</v>
      </c>
      <c r="AN234" s="39" t="str">
        <f t="shared" si="269"/>
        <v/>
      </c>
      <c r="AO234" s="39" t="str">
        <f t="shared" si="269"/>
        <v/>
      </c>
      <c r="AP234" s="39" t="str">
        <f t="shared" si="269"/>
        <v/>
      </c>
      <c r="AQ234" s="39" t="str">
        <f t="shared" si="269"/>
        <v/>
      </c>
      <c r="AR234" s="39" t="str">
        <f t="shared" si="269"/>
        <v/>
      </c>
      <c r="AS234" s="39" t="str">
        <f t="shared" si="269"/>
        <v/>
      </c>
      <c r="AT234" s="39" t="str">
        <f t="shared" si="269"/>
        <v/>
      </c>
      <c r="AU234" s="39" t="str">
        <f t="shared" si="269"/>
        <v/>
      </c>
      <c r="AV234" s="39" t="str">
        <f t="shared" si="269"/>
        <v/>
      </c>
      <c r="AW234" s="39" t="str">
        <f t="shared" si="269"/>
        <v/>
      </c>
      <c r="AX234" s="39" t="str">
        <f t="shared" si="269"/>
        <v/>
      </c>
      <c r="AY234" s="39" t="str">
        <f t="shared" si="269"/>
        <v/>
      </c>
      <c r="AZ234" s="39">
        <f t="shared" si="269"/>
        <v>0.23958333333333331</v>
      </c>
      <c r="BA234" s="39">
        <f t="shared" si="269"/>
        <v>0.23711340206185566</v>
      </c>
      <c r="BB234" s="39">
        <f t="shared" si="269"/>
        <v>0.23834196891191711</v>
      </c>
      <c r="BC234" s="39">
        <f t="shared" si="269"/>
        <v>0.23232323232323229</v>
      </c>
      <c r="BD234" s="39">
        <f t="shared" si="269"/>
        <v>0.22916666666666669</v>
      </c>
      <c r="BE234" s="39">
        <f t="shared" si="269"/>
        <v>0.2345360824742268</v>
      </c>
      <c r="BF234" s="39">
        <f t="shared" si="269"/>
        <v>0.20950323974082069</v>
      </c>
      <c r="BG234" s="39">
        <f t="shared" si="269"/>
        <v>0.17783676177836763</v>
      </c>
      <c r="BH234" s="39">
        <f t="shared" si="269"/>
        <v>0.18527918781725888</v>
      </c>
      <c r="BI234" s="39">
        <f t="shared" si="269"/>
        <v>0.22643553629469121</v>
      </c>
      <c r="BJ234" s="39">
        <f t="shared" si="269"/>
        <v>0.23</v>
      </c>
      <c r="BK234" s="39">
        <f t="shared" si="269"/>
        <v>0.20652453120986383</v>
      </c>
      <c r="BL234" s="39">
        <f t="shared" si="269"/>
        <v>0.2294776119402985</v>
      </c>
      <c r="BM234" s="39">
        <f t="shared" si="269"/>
        <v>0.23196881091617935</v>
      </c>
      <c r="BN234" s="39">
        <f t="shared" si="269"/>
        <v>0.23069590085795999</v>
      </c>
      <c r="BO234" s="39">
        <f t="shared" ref="BO234:CL234" si="270">IFERROR(-BO230/SUM(BO222:BO229),"")</f>
        <v>0.23517382413087934</v>
      </c>
      <c r="BP234" s="39">
        <f t="shared" si="270"/>
        <v>0.23006833712984054</v>
      </c>
      <c r="BQ234" s="39">
        <f t="shared" si="270"/>
        <v>0.23166413758219526</v>
      </c>
      <c r="BR234" s="39">
        <f t="shared" si="270"/>
        <v>0.23138832997987926</v>
      </c>
      <c r="BS234" s="39">
        <f t="shared" si="270"/>
        <v>0.2292089249492901</v>
      </c>
      <c r="BT234" s="39">
        <f t="shared" si="270"/>
        <v>0.23030303030303031</v>
      </c>
      <c r="BU234" s="39">
        <f t="shared" si="270"/>
        <v>0.22950819672131148</v>
      </c>
      <c r="BV234" s="39">
        <f t="shared" si="270"/>
        <v>0.23255813953488372</v>
      </c>
      <c r="BW234" s="39">
        <f t="shared" si="270"/>
        <v>0.23065693430656933</v>
      </c>
      <c r="BX234" s="39">
        <f t="shared" si="270"/>
        <v>0.23449612403100775</v>
      </c>
      <c r="BY234" s="39">
        <f t="shared" si="270"/>
        <v>0.23552894211576847</v>
      </c>
      <c r="BZ234" s="39">
        <f t="shared" si="270"/>
        <v>0.23500491642084562</v>
      </c>
      <c r="CA234" s="39">
        <f t="shared" si="270"/>
        <v>0.23364485981308411</v>
      </c>
      <c r="CB234" s="39">
        <f t="shared" si="270"/>
        <v>0.23818707810993248</v>
      </c>
      <c r="CC234" s="39">
        <f t="shared" si="270"/>
        <v>0.23599845500193128</v>
      </c>
      <c r="CD234" s="39">
        <f t="shared" si="270"/>
        <v>0.2356902356902357</v>
      </c>
      <c r="CE234" s="39">
        <f t="shared" si="270"/>
        <v>0.23570190641247832</v>
      </c>
      <c r="CF234" s="39">
        <f t="shared" si="270"/>
        <v>0.23569598633646457</v>
      </c>
      <c r="CG234" s="39">
        <f t="shared" si="270"/>
        <v>0.23776223776223773</v>
      </c>
      <c r="CH234" s="39">
        <f t="shared" si="270"/>
        <v>0.23613595706618962</v>
      </c>
      <c r="CI234" s="39">
        <f t="shared" si="270"/>
        <v>0.23631624674196353</v>
      </c>
      <c r="CJ234" s="39">
        <f t="shared" si="270"/>
        <v>0.23702422145328716</v>
      </c>
      <c r="CK234" s="39">
        <f t="shared" si="270"/>
        <v>0.23309608540925264</v>
      </c>
      <c r="CL234" s="39">
        <f t="shared" si="270"/>
        <v>0.2350877192982456</v>
      </c>
      <c r="CM234" s="27">
        <f>$DD$16</f>
        <v>0.215</v>
      </c>
      <c r="CN234" s="27">
        <f>$DD$16</f>
        <v>0.215</v>
      </c>
      <c r="CO234" s="27">
        <f>$DD$16</f>
        <v>0.215</v>
      </c>
      <c r="CP234" s="45">
        <v>0.23499999999999999</v>
      </c>
      <c r="CQ234" s="45">
        <v>0.23499999999999999</v>
      </c>
      <c r="CR234" s="45">
        <v>0.23499999999999999</v>
      </c>
      <c r="CS234" s="45">
        <v>0.23499999999999999</v>
      </c>
      <c r="CT234" s="22" t="s">
        <v>356</v>
      </c>
      <c r="CV234" s="6"/>
      <c r="CW234" s="6"/>
      <c r="CX234" s="6"/>
      <c r="CY234" s="6"/>
    </row>
    <row r="235" spans="2:103" ht="15" customHeight="1" x14ac:dyDescent="0.25">
      <c r="B235" s="12" t="s">
        <v>287</v>
      </c>
      <c r="C235" s="51">
        <f t="shared" ref="C235:AH235" si="271">C179</f>
        <v>35.5</v>
      </c>
      <c r="D235" s="51">
        <f t="shared" si="271"/>
        <v>36.200000000000003</v>
      </c>
      <c r="E235" s="51">
        <f t="shared" si="271"/>
        <v>36.5</v>
      </c>
      <c r="F235" s="51">
        <f t="shared" si="271"/>
        <v>36.6</v>
      </c>
      <c r="G235" s="51">
        <f t="shared" si="271"/>
        <v>36.9</v>
      </c>
      <c r="H235" s="51">
        <f t="shared" si="271"/>
        <v>37.299999999999997</v>
      </c>
      <c r="I235" s="51">
        <f t="shared" si="271"/>
        <v>37.4</v>
      </c>
      <c r="J235" s="51">
        <f t="shared" si="271"/>
        <v>37.799999999999997</v>
      </c>
      <c r="K235" s="51">
        <f t="shared" si="271"/>
        <v>38</v>
      </c>
      <c r="L235" s="51">
        <f t="shared" si="271"/>
        <v>37.9</v>
      </c>
      <c r="M235" s="51">
        <f t="shared" si="271"/>
        <v>38.1</v>
      </c>
      <c r="N235" s="51">
        <f t="shared" si="271"/>
        <v>38.200000000000003</v>
      </c>
      <c r="O235" s="51">
        <f t="shared" si="271"/>
        <v>38</v>
      </c>
      <c r="P235" s="51">
        <f t="shared" si="271"/>
        <v>38.299999999999997</v>
      </c>
      <c r="Q235" s="51">
        <f t="shared" si="271"/>
        <v>38.1</v>
      </c>
      <c r="R235" s="51">
        <f t="shared" si="271"/>
        <v>38.200000000000003</v>
      </c>
      <c r="S235" s="51">
        <f t="shared" si="271"/>
        <v>37.799999999999997</v>
      </c>
      <c r="T235" s="51">
        <f t="shared" si="271"/>
        <v>37.200000000000003</v>
      </c>
      <c r="U235" s="51">
        <f t="shared" si="271"/>
        <v>37.9</v>
      </c>
      <c r="V235" s="51">
        <f t="shared" si="271"/>
        <v>36.5</v>
      </c>
      <c r="W235" s="51">
        <f t="shared" si="271"/>
        <v>36.1</v>
      </c>
      <c r="X235" s="51">
        <f t="shared" si="271"/>
        <v>36.299999999999997</v>
      </c>
      <c r="Y235" s="51">
        <f t="shared" si="271"/>
        <v>36.1</v>
      </c>
      <c r="Z235" s="51">
        <f t="shared" si="271"/>
        <v>35.4</v>
      </c>
      <c r="AA235" s="51">
        <f t="shared" si="271"/>
        <v>36</v>
      </c>
      <c r="AB235" s="51">
        <f t="shared" si="271"/>
        <v>35.200000000000003</v>
      </c>
      <c r="AC235" s="51">
        <f t="shared" si="271"/>
        <v>35.299999999999997</v>
      </c>
      <c r="AD235" s="51">
        <f t="shared" si="271"/>
        <v>35.25</v>
      </c>
      <c r="AE235" s="51">
        <f t="shared" si="271"/>
        <v>35.6</v>
      </c>
      <c r="AF235" s="51">
        <f t="shared" si="271"/>
        <v>35.9</v>
      </c>
      <c r="AG235" s="51">
        <f t="shared" si="271"/>
        <v>35.5</v>
      </c>
      <c r="AH235" s="51">
        <f t="shared" si="271"/>
        <v>36.1</v>
      </c>
      <c r="AI235" s="51">
        <f t="shared" ref="AI235:BN235" si="272">AI179</f>
        <v>36.200000000000003</v>
      </c>
      <c r="AJ235" s="51">
        <f t="shared" si="272"/>
        <v>36.150000000000006</v>
      </c>
      <c r="AK235" s="51">
        <f t="shared" si="272"/>
        <v>36.4</v>
      </c>
      <c r="AL235" s="51">
        <f t="shared" si="272"/>
        <v>36.700000000000003</v>
      </c>
      <c r="AM235" s="51">
        <f t="shared" si="272"/>
        <v>36.299999999999997</v>
      </c>
      <c r="AN235" s="51">
        <f t="shared" si="272"/>
        <v>36.799999999999997</v>
      </c>
      <c r="AO235" s="51">
        <f t="shared" si="272"/>
        <v>37</v>
      </c>
      <c r="AP235" s="51">
        <f t="shared" si="272"/>
        <v>36.9</v>
      </c>
      <c r="AQ235" s="51">
        <f t="shared" si="272"/>
        <v>37.200000000000003</v>
      </c>
      <c r="AR235" s="51">
        <f t="shared" si="272"/>
        <v>37.200000000000003</v>
      </c>
      <c r="AS235" s="51">
        <f t="shared" si="272"/>
        <v>37</v>
      </c>
      <c r="AT235" s="51">
        <f t="shared" si="272"/>
        <v>37.200000000000003</v>
      </c>
      <c r="AU235" s="51">
        <f t="shared" si="272"/>
        <v>37.4</v>
      </c>
      <c r="AV235" s="51">
        <f t="shared" si="272"/>
        <v>37.299999999999997</v>
      </c>
      <c r="AW235" s="51">
        <f t="shared" si="272"/>
        <v>37.6</v>
      </c>
      <c r="AX235" s="51">
        <f t="shared" si="272"/>
        <v>37.799999999999997</v>
      </c>
      <c r="AY235" s="51">
        <f t="shared" si="272"/>
        <v>37.5</v>
      </c>
      <c r="AZ235" s="51">
        <f t="shared" si="272"/>
        <v>37.799999999999997</v>
      </c>
      <c r="BA235" s="51">
        <f t="shared" si="272"/>
        <v>37.799999999999997</v>
      </c>
      <c r="BB235" s="51">
        <f t="shared" si="272"/>
        <v>37.799999999999997</v>
      </c>
      <c r="BC235" s="51">
        <f t="shared" si="272"/>
        <v>37.799999999999997</v>
      </c>
      <c r="BD235" s="51">
        <f t="shared" si="272"/>
        <v>38</v>
      </c>
      <c r="BE235" s="51">
        <f t="shared" si="272"/>
        <v>37.9</v>
      </c>
      <c r="BF235" s="51">
        <f t="shared" si="272"/>
        <v>38</v>
      </c>
      <c r="BG235" s="51">
        <f t="shared" si="272"/>
        <v>43.6</v>
      </c>
      <c r="BH235" s="51">
        <f t="shared" si="272"/>
        <v>40.799999999999997</v>
      </c>
      <c r="BI235" s="51">
        <f t="shared" si="272"/>
        <v>47.7</v>
      </c>
      <c r="BJ235" s="51">
        <f t="shared" si="272"/>
        <v>47.7</v>
      </c>
      <c r="BK235" s="51">
        <f t="shared" si="272"/>
        <v>44.3</v>
      </c>
      <c r="BL235" s="51">
        <f t="shared" si="272"/>
        <v>47.7</v>
      </c>
      <c r="BM235" s="51">
        <f t="shared" si="272"/>
        <v>47.7</v>
      </c>
      <c r="BN235" s="51">
        <f t="shared" si="272"/>
        <v>47.7</v>
      </c>
      <c r="BO235" s="51">
        <f t="shared" ref="BO235:CS235" si="273">BO179</f>
        <v>47.7</v>
      </c>
      <c r="BP235" s="51">
        <f t="shared" si="273"/>
        <v>47.8</v>
      </c>
      <c r="BQ235" s="51">
        <f t="shared" si="273"/>
        <v>47.7</v>
      </c>
      <c r="BR235" s="51">
        <f t="shared" si="273"/>
        <v>47.9</v>
      </c>
      <c r="BS235" s="51">
        <f t="shared" si="273"/>
        <v>47.9</v>
      </c>
      <c r="BT235" s="51">
        <f t="shared" si="273"/>
        <v>47.9</v>
      </c>
      <c r="BU235" s="51">
        <f t="shared" si="273"/>
        <v>47.9</v>
      </c>
      <c r="BV235" s="51">
        <f t="shared" si="273"/>
        <v>47.9</v>
      </c>
      <c r="BW235" s="51">
        <f t="shared" si="273"/>
        <v>47.9</v>
      </c>
      <c r="BX235" s="51">
        <f t="shared" si="273"/>
        <v>48</v>
      </c>
      <c r="BY235" s="51">
        <f t="shared" si="273"/>
        <v>47.8</v>
      </c>
      <c r="BZ235" s="51">
        <f t="shared" si="273"/>
        <v>47.9</v>
      </c>
      <c r="CA235" s="51">
        <f t="shared" si="273"/>
        <v>47.3</v>
      </c>
      <c r="CB235" s="51">
        <f t="shared" si="273"/>
        <v>47.3</v>
      </c>
      <c r="CC235" s="51">
        <f t="shared" si="273"/>
        <v>47.6</v>
      </c>
      <c r="CD235" s="51">
        <f t="shared" si="273"/>
        <v>47.3</v>
      </c>
      <c r="CE235" s="51">
        <f t="shared" si="273"/>
        <v>47.4</v>
      </c>
      <c r="CF235" s="51">
        <f t="shared" si="273"/>
        <v>47.349999999999994</v>
      </c>
      <c r="CG235" s="51">
        <f t="shared" si="273"/>
        <v>47.5</v>
      </c>
      <c r="CH235" s="51">
        <f t="shared" si="273"/>
        <v>47.2</v>
      </c>
      <c r="CI235" s="51">
        <f t="shared" si="273"/>
        <v>47.4</v>
      </c>
      <c r="CJ235" s="51">
        <f t="shared" si="273"/>
        <v>46.8</v>
      </c>
      <c r="CK235" s="51">
        <f t="shared" si="273"/>
        <v>46.9</v>
      </c>
      <c r="CL235" s="51">
        <f t="shared" si="273"/>
        <v>46.849999999999994</v>
      </c>
      <c r="CM235" s="52">
        <f t="shared" si="273"/>
        <v>46.9</v>
      </c>
      <c r="CN235" s="52">
        <f t="shared" si="273"/>
        <v>46.9</v>
      </c>
      <c r="CO235" s="52">
        <f t="shared" si="273"/>
        <v>46.875</v>
      </c>
      <c r="CP235" s="52">
        <f t="shared" si="273"/>
        <v>46.121231381294727</v>
      </c>
      <c r="CQ235" s="52">
        <f t="shared" si="273"/>
        <v>44.756120864872756</v>
      </c>
      <c r="CR235" s="52">
        <f t="shared" si="273"/>
        <v>43.934855369087799</v>
      </c>
      <c r="CS235" s="52">
        <f t="shared" si="273"/>
        <v>42.9897370086886</v>
      </c>
      <c r="CT235" s="22"/>
      <c r="CV235" s="6"/>
      <c r="CW235" s="6"/>
      <c r="CX235" s="6"/>
      <c r="CY235" s="6"/>
    </row>
    <row r="236" spans="2:103" ht="15" customHeight="1" x14ac:dyDescent="0.25">
      <c r="B236" s="33" t="s">
        <v>357</v>
      </c>
      <c r="C236" s="56">
        <f t="shared" ref="C236:AH236" si="274">IFERROR(C233/C235,"")</f>
        <v>2.3600000000000003</v>
      </c>
      <c r="D236" s="56">
        <f t="shared" si="274"/>
        <v>2.7209944751381165</v>
      </c>
      <c r="E236" s="56" t="str">
        <f t="shared" si="274"/>
        <v/>
      </c>
      <c r="F236" s="56" t="str">
        <f t="shared" si="274"/>
        <v/>
      </c>
      <c r="G236" s="56" t="str">
        <f t="shared" si="274"/>
        <v/>
      </c>
      <c r="H236" s="56" t="str">
        <f t="shared" si="274"/>
        <v/>
      </c>
      <c r="I236" s="56" t="str">
        <f t="shared" si="274"/>
        <v/>
      </c>
      <c r="J236" s="57" t="str">
        <f t="shared" si="274"/>
        <v/>
      </c>
      <c r="K236" s="57" t="str">
        <f t="shared" si="274"/>
        <v/>
      </c>
      <c r="L236" s="57" t="str">
        <f t="shared" si="274"/>
        <v/>
      </c>
      <c r="M236" s="57" t="str">
        <f t="shared" si="274"/>
        <v/>
      </c>
      <c r="N236" s="57" t="str">
        <f t="shared" si="274"/>
        <v/>
      </c>
      <c r="O236" s="56" t="str">
        <f t="shared" si="274"/>
        <v/>
      </c>
      <c r="P236" s="57" t="str">
        <f t="shared" si="274"/>
        <v/>
      </c>
      <c r="Q236" s="57" t="str">
        <f t="shared" si="274"/>
        <v/>
      </c>
      <c r="R236" s="57" t="str">
        <f t="shared" si="274"/>
        <v/>
      </c>
      <c r="S236" s="57" t="str">
        <f t="shared" si="274"/>
        <v/>
      </c>
      <c r="T236" s="57" t="str">
        <f t="shared" si="274"/>
        <v/>
      </c>
      <c r="U236" s="56" t="str">
        <f t="shared" si="274"/>
        <v/>
      </c>
      <c r="V236" s="57" t="str">
        <f t="shared" si="274"/>
        <v/>
      </c>
      <c r="W236" s="57" t="str">
        <f t="shared" si="274"/>
        <v/>
      </c>
      <c r="X236" s="57" t="str">
        <f t="shared" si="274"/>
        <v/>
      </c>
      <c r="Y236" s="57" t="str">
        <f t="shared" si="274"/>
        <v/>
      </c>
      <c r="Z236" s="57" t="str">
        <f t="shared" si="274"/>
        <v/>
      </c>
      <c r="AA236" s="56" t="str">
        <f t="shared" si="274"/>
        <v/>
      </c>
      <c r="AB236" s="57">
        <f t="shared" si="274"/>
        <v>1.1099999999999994</v>
      </c>
      <c r="AC236" s="57">
        <f t="shared" si="274"/>
        <v>1.3286118980169987</v>
      </c>
      <c r="AD236" s="57">
        <f t="shared" si="274"/>
        <v>2.438921985815603</v>
      </c>
      <c r="AE236" s="57">
        <f t="shared" si="274"/>
        <v>1.4606741573033695</v>
      </c>
      <c r="AF236" s="57">
        <f t="shared" si="274"/>
        <v>1.6399999999999992</v>
      </c>
      <c r="AG236" s="56">
        <f t="shared" si="274"/>
        <v>5.5300000000000011</v>
      </c>
      <c r="AH236" s="57">
        <f t="shared" si="274"/>
        <v>1.26</v>
      </c>
      <c r="AI236" s="57">
        <f t="shared" ref="AI236:BN236" si="275">IFERROR(AI233/AI235,"")</f>
        <v>1.7407182320442003</v>
      </c>
      <c r="AJ236" s="57">
        <f t="shared" si="275"/>
        <v>3.0013831258644537</v>
      </c>
      <c r="AK236" s="57">
        <f t="shared" si="275"/>
        <v>1.9600000000000011</v>
      </c>
      <c r="AL236" s="57">
        <f t="shared" si="275"/>
        <v>1.9500544959128066</v>
      </c>
      <c r="AM236" s="56">
        <f t="shared" si="275"/>
        <v>6.9300000000000033</v>
      </c>
      <c r="AN236" s="57" t="str">
        <f t="shared" si="275"/>
        <v/>
      </c>
      <c r="AO236" s="57" t="str">
        <f t="shared" si="275"/>
        <v/>
      </c>
      <c r="AP236" s="57" t="str">
        <f t="shared" si="275"/>
        <v/>
      </c>
      <c r="AQ236" s="57" t="str">
        <f t="shared" si="275"/>
        <v/>
      </c>
      <c r="AR236" s="57" t="str">
        <f t="shared" si="275"/>
        <v/>
      </c>
      <c r="AS236" s="56" t="str">
        <f t="shared" si="275"/>
        <v/>
      </c>
      <c r="AT236" s="57" t="str">
        <f t="shared" si="275"/>
        <v/>
      </c>
      <c r="AU236" s="57" t="str">
        <f t="shared" si="275"/>
        <v/>
      </c>
      <c r="AV236" s="57" t="str">
        <f t="shared" si="275"/>
        <v/>
      </c>
      <c r="AW236" s="57" t="str">
        <f t="shared" si="275"/>
        <v/>
      </c>
      <c r="AX236" s="57" t="str">
        <f t="shared" si="275"/>
        <v/>
      </c>
      <c r="AY236" s="56" t="str">
        <f t="shared" si="275"/>
        <v/>
      </c>
      <c r="AZ236" s="57">
        <f t="shared" si="275"/>
        <v>2.3677248677248679</v>
      </c>
      <c r="BA236" s="57">
        <f t="shared" si="275"/>
        <v>2.6746031746031727</v>
      </c>
      <c r="BB236" s="57">
        <f t="shared" si="275"/>
        <v>5.0423280423280437</v>
      </c>
      <c r="BC236" s="57">
        <f t="shared" si="275"/>
        <v>2.6851851851851856</v>
      </c>
      <c r="BD236" s="57">
        <f t="shared" si="275"/>
        <v>3.6710526315789451</v>
      </c>
      <c r="BE236" s="56">
        <f t="shared" si="275"/>
        <v>11.387862796833771</v>
      </c>
      <c r="BF236" s="57">
        <f t="shared" si="275"/>
        <v>3.1921052631578961</v>
      </c>
      <c r="BG236" s="57">
        <f t="shared" si="275"/>
        <v>4.6100917431192663</v>
      </c>
      <c r="BH236" s="57">
        <f t="shared" si="275"/>
        <v>7.8995098039215721</v>
      </c>
      <c r="BI236" s="57">
        <f t="shared" si="275"/>
        <v>4.3438155136268346</v>
      </c>
      <c r="BJ236" s="57">
        <f t="shared" si="275"/>
        <v>4.5576519916142555</v>
      </c>
      <c r="BK236" s="56">
        <f t="shared" si="275"/>
        <v>16.860045146726872</v>
      </c>
      <c r="BL236" s="57">
        <f t="shared" si="275"/>
        <v>4.2746331236897266</v>
      </c>
      <c r="BM236" s="57">
        <f t="shared" si="275"/>
        <v>4.4297693920335419</v>
      </c>
      <c r="BN236" s="57">
        <f t="shared" si="275"/>
        <v>8.7044025157232721</v>
      </c>
      <c r="BO236" s="57">
        <f t="shared" ref="BO236:CS236" si="276">IFERROR(BO233/BO235,"")</f>
        <v>4.5387840670859534</v>
      </c>
      <c r="BP236" s="57">
        <f t="shared" si="276"/>
        <v>4.9393305439330568</v>
      </c>
      <c r="BQ236" s="56">
        <f t="shared" si="276"/>
        <v>18.192872117400423</v>
      </c>
      <c r="BR236" s="57">
        <f t="shared" si="276"/>
        <v>4.5344467640918582</v>
      </c>
      <c r="BS236" s="57">
        <f t="shared" si="276"/>
        <v>4.6701461377870581</v>
      </c>
      <c r="BT236" s="57">
        <f t="shared" si="276"/>
        <v>9.2045929018789145</v>
      </c>
      <c r="BU236" s="57">
        <f t="shared" si="276"/>
        <v>5.0501043841336113</v>
      </c>
      <c r="BV236" s="57">
        <f t="shared" si="276"/>
        <v>5.4384133611691032</v>
      </c>
      <c r="BW236" s="56">
        <f t="shared" si="276"/>
        <v>19.693110647181626</v>
      </c>
      <c r="BX236" s="57">
        <f t="shared" si="276"/>
        <v>4.5479166666666639</v>
      </c>
      <c r="BY236" s="57">
        <f t="shared" si="276"/>
        <v>4.5753138075313782</v>
      </c>
      <c r="BZ236" s="57">
        <f t="shared" si="276"/>
        <v>9.12317327766179</v>
      </c>
      <c r="CA236" s="57">
        <f t="shared" si="276"/>
        <v>5.1014799154334058</v>
      </c>
      <c r="CB236" s="57">
        <f t="shared" si="276"/>
        <v>5.515856236786469</v>
      </c>
      <c r="CC236" s="56">
        <f t="shared" si="276"/>
        <v>19.731092436974794</v>
      </c>
      <c r="CD236" s="57">
        <f t="shared" si="276"/>
        <v>4.9471458773784391</v>
      </c>
      <c r="CE236" s="57">
        <f t="shared" si="276"/>
        <v>5.1962025316455698</v>
      </c>
      <c r="CF236" s="57">
        <f t="shared" si="276"/>
        <v>10.143611404435067</v>
      </c>
      <c r="CG236" s="57">
        <f t="shared" si="276"/>
        <v>5.5684210526315754</v>
      </c>
      <c r="CH236" s="57">
        <f t="shared" si="276"/>
        <v>6.3029661016949126</v>
      </c>
      <c r="CI236" s="56">
        <f t="shared" si="276"/>
        <v>21.989451476793253</v>
      </c>
      <c r="CJ236" s="57">
        <f t="shared" si="276"/>
        <v>5.7991452991452981</v>
      </c>
      <c r="CK236" s="57">
        <f t="shared" si="276"/>
        <v>6.275053304904052</v>
      </c>
      <c r="CL236" s="57">
        <f t="shared" si="276"/>
        <v>12.074706510138746</v>
      </c>
      <c r="CM236" s="56">
        <f t="shared" si="276"/>
        <v>6.1000000000000023</v>
      </c>
      <c r="CN236" s="56">
        <f t="shared" si="276"/>
        <v>6.3750799573560739</v>
      </c>
      <c r="CO236" s="56">
        <f t="shared" si="276"/>
        <v>24.549999999999994</v>
      </c>
      <c r="CP236" s="56">
        <f t="shared" si="276"/>
        <v>28.203239040449393</v>
      </c>
      <c r="CQ236" s="56">
        <f t="shared" si="276"/>
        <v>31.740927968011746</v>
      </c>
      <c r="CR236" s="56">
        <f t="shared" si="276"/>
        <v>35.185966876821048</v>
      </c>
      <c r="CS236" s="56">
        <f t="shared" si="276"/>
        <v>39.522010083380287</v>
      </c>
      <c r="CT236" s="22"/>
      <c r="CV236" s="23">
        <f>IFERROR((CS236/CI236)^(1/5)-1,"n/m")</f>
        <v>0.12441058598899413</v>
      </c>
      <c r="CW236" s="23">
        <f>IFERROR((CI236/BE236)^(1/5)-1,"n/m")</f>
        <v>0.14065532957750659</v>
      </c>
      <c r="CX236" s="23" t="str">
        <f>IFERROR((CI236/AA236)^(1/10)-1,"n/m")</f>
        <v>n/m</v>
      </c>
      <c r="CY236" s="23">
        <f>IFERROR((CI236/C236)^(1/19)-1,"n/m")</f>
        <v>0.12464618770006131</v>
      </c>
    </row>
    <row r="237" spans="2:103" ht="15" customHeight="1" x14ac:dyDescent="0.25">
      <c r="B237" s="36" t="s">
        <v>358</v>
      </c>
      <c r="C237" s="30">
        <v>83.78</v>
      </c>
      <c r="D237" s="30">
        <v>98.463999999999999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30">
        <v>39.072000000000003</v>
      </c>
      <c r="AC237" s="30">
        <v>46.948999999999998</v>
      </c>
      <c r="AD237" s="29">
        <f>AB237+AC237</f>
        <v>86.021000000000001</v>
      </c>
      <c r="AE237" s="30">
        <v>51.975999999999999</v>
      </c>
      <c r="AF237" s="30">
        <v>58.875999999999998</v>
      </c>
      <c r="AG237" s="30">
        <v>196.315</v>
      </c>
      <c r="AH237" s="30">
        <v>45.485999999999997</v>
      </c>
      <c r="AI237" s="30">
        <v>62.988</v>
      </c>
      <c r="AJ237" s="29">
        <f>AH237+AI237</f>
        <v>108.47399999999999</v>
      </c>
      <c r="AK237" s="30">
        <v>71.343999999999994</v>
      </c>
      <c r="AL237" s="30">
        <v>71.564999999999998</v>
      </c>
      <c r="AM237" s="30">
        <v>251.559</v>
      </c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30">
        <v>89.5</v>
      </c>
      <c r="BA237" s="30">
        <v>101.1</v>
      </c>
      <c r="BB237" s="29">
        <f>AZ237+BA237</f>
        <v>190.6</v>
      </c>
      <c r="BC237" s="30">
        <v>101.5</v>
      </c>
      <c r="BD237" s="30">
        <v>139.5</v>
      </c>
      <c r="BE237" s="30">
        <v>431.6</v>
      </c>
      <c r="BF237" s="30">
        <v>121.3</v>
      </c>
      <c r="BG237" s="30">
        <v>201</v>
      </c>
      <c r="BH237" s="29">
        <f>BF237+BG237</f>
        <v>322.3</v>
      </c>
      <c r="BI237" s="30">
        <v>207.2</v>
      </c>
      <c r="BJ237" s="30">
        <v>217.4</v>
      </c>
      <c r="BK237" s="30">
        <v>746.9</v>
      </c>
      <c r="BL237" s="30">
        <v>203.9</v>
      </c>
      <c r="BM237" s="30">
        <v>211.3</v>
      </c>
      <c r="BN237" s="29">
        <f>BL237+BM237</f>
        <v>415.20000000000005</v>
      </c>
      <c r="BO237" s="30">
        <v>216.5</v>
      </c>
      <c r="BP237" s="30">
        <v>236.1</v>
      </c>
      <c r="BQ237" s="30">
        <v>867.8</v>
      </c>
      <c r="BR237" s="30">
        <v>217.2</v>
      </c>
      <c r="BS237" s="30">
        <v>223.7</v>
      </c>
      <c r="BT237" s="29">
        <f>BR237+BS237</f>
        <v>440.9</v>
      </c>
      <c r="BU237" s="30">
        <v>241.9</v>
      </c>
      <c r="BV237" s="30">
        <v>260.5</v>
      </c>
      <c r="BW237" s="30">
        <v>943.3</v>
      </c>
      <c r="BX237" s="30">
        <v>218.3</v>
      </c>
      <c r="BY237" s="30">
        <v>218.7</v>
      </c>
      <c r="BZ237" s="29">
        <f>BX237+BY237</f>
        <v>437</v>
      </c>
      <c r="CA237" s="30">
        <v>241.3</v>
      </c>
      <c r="CB237" s="30">
        <v>260.89999999999998</v>
      </c>
      <c r="CC237" s="30">
        <v>939.2</v>
      </c>
      <c r="CD237" s="30">
        <v>234</v>
      </c>
      <c r="CE237" s="30">
        <v>246.3</v>
      </c>
      <c r="CF237" s="29">
        <f>CD237+CE237</f>
        <v>480.3</v>
      </c>
      <c r="CG237" s="30">
        <v>264.5</v>
      </c>
      <c r="CH237" s="30">
        <v>297.5</v>
      </c>
      <c r="CI237" s="30">
        <v>1042.3</v>
      </c>
      <c r="CJ237" s="30">
        <v>271.39999999999998</v>
      </c>
      <c r="CK237" s="30">
        <v>294.3</v>
      </c>
      <c r="CL237" s="29">
        <f>CJ237+CK237</f>
        <v>565.70000000000005</v>
      </c>
      <c r="CM237" s="31"/>
      <c r="CN237" s="31"/>
      <c r="CO237" s="31"/>
      <c r="CP237" s="31"/>
      <c r="CQ237" s="31"/>
      <c r="CR237" s="31"/>
      <c r="CS237" s="31"/>
      <c r="CT237" s="22"/>
      <c r="CV237" s="6"/>
      <c r="CW237" s="6"/>
      <c r="CX237" s="6"/>
      <c r="CY237" s="6"/>
    </row>
    <row r="238" spans="2:103" ht="15" customHeight="1" x14ac:dyDescent="0.25">
      <c r="B238" s="36" t="s">
        <v>359</v>
      </c>
      <c r="C238" s="58">
        <v>2.36</v>
      </c>
      <c r="D238" s="58">
        <v>2.72</v>
      </c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8">
        <v>1.1100000000000001</v>
      </c>
      <c r="AC238" s="58">
        <v>1.33</v>
      </c>
      <c r="AD238" s="59"/>
      <c r="AE238" s="58">
        <v>1.46</v>
      </c>
      <c r="AF238" s="58">
        <v>1.64</v>
      </c>
      <c r="AG238" s="58">
        <v>5.53</v>
      </c>
      <c r="AH238" s="58">
        <v>1.26</v>
      </c>
      <c r="AI238" s="58">
        <v>1.74</v>
      </c>
      <c r="AJ238" s="59"/>
      <c r="AK238" s="58">
        <v>1.96</v>
      </c>
      <c r="AL238" s="58">
        <v>1.95</v>
      </c>
      <c r="AM238" s="58">
        <v>6.93</v>
      </c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8">
        <v>2.36</v>
      </c>
      <c r="BA238" s="58">
        <v>2.68</v>
      </c>
      <c r="BB238" s="59"/>
      <c r="BC238" s="58">
        <v>2.68</v>
      </c>
      <c r="BD238" s="58">
        <v>3.68</v>
      </c>
      <c r="BE238" s="58">
        <v>11.41</v>
      </c>
      <c r="BF238" s="58">
        <v>3.19</v>
      </c>
      <c r="BG238" s="58">
        <v>4.6100000000000003</v>
      </c>
      <c r="BH238" s="59"/>
      <c r="BI238" s="58">
        <v>4.34</v>
      </c>
      <c r="BJ238" s="58">
        <v>4.5599999999999996</v>
      </c>
      <c r="BK238" s="58">
        <v>16.86</v>
      </c>
      <c r="BL238" s="58">
        <v>4.2699999999999996</v>
      </c>
      <c r="BM238" s="58">
        <v>4.43</v>
      </c>
      <c r="BN238" s="59"/>
      <c r="BO238" s="58">
        <v>4.54</v>
      </c>
      <c r="BP238" s="58">
        <v>4.9400000000000004</v>
      </c>
      <c r="BQ238" s="58">
        <v>18.190000000000001</v>
      </c>
      <c r="BR238" s="58">
        <v>4.53</v>
      </c>
      <c r="BS238" s="58">
        <v>4.67</v>
      </c>
      <c r="BT238" s="59"/>
      <c r="BU238" s="58">
        <v>5.05</v>
      </c>
      <c r="BV238" s="58">
        <v>5.44</v>
      </c>
      <c r="BW238" s="58">
        <v>19.690000000000001</v>
      </c>
      <c r="BX238" s="58">
        <v>4.55</v>
      </c>
      <c r="BY238" s="58">
        <v>4.58</v>
      </c>
      <c r="BZ238" s="59"/>
      <c r="CA238" s="58">
        <v>5.0999999999999996</v>
      </c>
      <c r="CB238" s="58">
        <v>5.52</v>
      </c>
      <c r="CC238" s="58">
        <v>19.73</v>
      </c>
      <c r="CD238" s="58">
        <v>4.95</v>
      </c>
      <c r="CE238" s="58">
        <v>5.2</v>
      </c>
      <c r="CF238" s="59"/>
      <c r="CG238" s="58">
        <v>5.57</v>
      </c>
      <c r="CH238" s="58">
        <v>6.3</v>
      </c>
      <c r="CI238" s="58">
        <v>21.99</v>
      </c>
      <c r="CJ238" s="58">
        <v>5.8</v>
      </c>
      <c r="CK238" s="58">
        <v>6.28</v>
      </c>
      <c r="CL238" s="58">
        <v>12.06</v>
      </c>
      <c r="CM238" s="60"/>
      <c r="CN238" s="60"/>
      <c r="CO238" s="60"/>
      <c r="CP238" s="60"/>
      <c r="CQ238" s="60"/>
      <c r="CR238" s="60"/>
      <c r="CS238" s="60"/>
      <c r="CT238" s="22"/>
      <c r="CV238" s="6"/>
      <c r="CW238" s="6"/>
      <c r="CX238" s="6"/>
      <c r="CY238" s="6"/>
    </row>
    <row r="239" spans="2:103" ht="15" customHeight="1" x14ac:dyDescent="0.25">
      <c r="B239" s="38" t="s">
        <v>360</v>
      </c>
      <c r="C239" s="29">
        <f t="shared" ref="C239:AH239" si="277">IF(ISNUMBER(C237),ROUND(C233-C237,1),"n/p")</f>
        <v>0</v>
      </c>
      <c r="D239" s="29">
        <f t="shared" si="277"/>
        <v>0</v>
      </c>
      <c r="E239" s="29" t="str">
        <f t="shared" si="277"/>
        <v>n/p</v>
      </c>
      <c r="F239" s="29" t="str">
        <f t="shared" si="277"/>
        <v>n/p</v>
      </c>
      <c r="G239" s="29" t="str">
        <f t="shared" si="277"/>
        <v>n/p</v>
      </c>
      <c r="H239" s="29" t="str">
        <f t="shared" si="277"/>
        <v>n/p</v>
      </c>
      <c r="I239" s="29" t="str">
        <f t="shared" si="277"/>
        <v>n/p</v>
      </c>
      <c r="J239" s="29" t="str">
        <f t="shared" si="277"/>
        <v>n/p</v>
      </c>
      <c r="K239" s="29" t="str">
        <f t="shared" si="277"/>
        <v>n/p</v>
      </c>
      <c r="L239" s="29" t="str">
        <f t="shared" si="277"/>
        <v>n/p</v>
      </c>
      <c r="M239" s="29" t="str">
        <f t="shared" si="277"/>
        <v>n/p</v>
      </c>
      <c r="N239" s="29" t="str">
        <f t="shared" si="277"/>
        <v>n/p</v>
      </c>
      <c r="O239" s="29" t="str">
        <f t="shared" si="277"/>
        <v>n/p</v>
      </c>
      <c r="P239" s="29" t="str">
        <f t="shared" si="277"/>
        <v>n/p</v>
      </c>
      <c r="Q239" s="29" t="str">
        <f t="shared" si="277"/>
        <v>n/p</v>
      </c>
      <c r="R239" s="29" t="str">
        <f t="shared" si="277"/>
        <v>n/p</v>
      </c>
      <c r="S239" s="29" t="str">
        <f t="shared" si="277"/>
        <v>n/p</v>
      </c>
      <c r="T239" s="29" t="str">
        <f t="shared" si="277"/>
        <v>n/p</v>
      </c>
      <c r="U239" s="29" t="str">
        <f t="shared" si="277"/>
        <v>n/p</v>
      </c>
      <c r="V239" s="29" t="str">
        <f t="shared" si="277"/>
        <v>n/p</v>
      </c>
      <c r="W239" s="29" t="str">
        <f t="shared" si="277"/>
        <v>n/p</v>
      </c>
      <c r="X239" s="29" t="str">
        <f t="shared" si="277"/>
        <v>n/p</v>
      </c>
      <c r="Y239" s="29" t="str">
        <f t="shared" si="277"/>
        <v>n/p</v>
      </c>
      <c r="Z239" s="29" t="str">
        <f t="shared" si="277"/>
        <v>n/p</v>
      </c>
      <c r="AA239" s="29" t="str">
        <f t="shared" si="277"/>
        <v>n/p</v>
      </c>
      <c r="AB239" s="29">
        <f t="shared" si="277"/>
        <v>0</v>
      </c>
      <c r="AC239" s="29">
        <f t="shared" si="277"/>
        <v>0</v>
      </c>
      <c r="AD239" s="29">
        <f t="shared" si="277"/>
        <v>0</v>
      </c>
      <c r="AE239" s="29">
        <f t="shared" si="277"/>
        <v>0</v>
      </c>
      <c r="AF239" s="29">
        <f t="shared" si="277"/>
        <v>0</v>
      </c>
      <c r="AG239" s="29">
        <f t="shared" si="277"/>
        <v>0</v>
      </c>
      <c r="AH239" s="29">
        <f t="shared" si="277"/>
        <v>0</v>
      </c>
      <c r="AI239" s="29">
        <f t="shared" ref="AI239:BN239" si="278">IF(ISNUMBER(AI237),ROUND(AI233-AI237,1),"n/p")</f>
        <v>0</v>
      </c>
      <c r="AJ239" s="29">
        <f t="shared" si="278"/>
        <v>0</v>
      </c>
      <c r="AK239" s="29">
        <f t="shared" si="278"/>
        <v>0</v>
      </c>
      <c r="AL239" s="29">
        <f t="shared" si="278"/>
        <v>0</v>
      </c>
      <c r="AM239" s="29">
        <f t="shared" si="278"/>
        <v>0</v>
      </c>
      <c r="AN239" s="29" t="str">
        <f t="shared" si="278"/>
        <v>n/p</v>
      </c>
      <c r="AO239" s="29" t="str">
        <f t="shared" si="278"/>
        <v>n/p</v>
      </c>
      <c r="AP239" s="29" t="str">
        <f t="shared" si="278"/>
        <v>n/p</v>
      </c>
      <c r="AQ239" s="29" t="str">
        <f t="shared" si="278"/>
        <v>n/p</v>
      </c>
      <c r="AR239" s="29" t="str">
        <f t="shared" si="278"/>
        <v>n/p</v>
      </c>
      <c r="AS239" s="29" t="str">
        <f t="shared" si="278"/>
        <v>n/p</v>
      </c>
      <c r="AT239" s="29" t="str">
        <f t="shared" si="278"/>
        <v>n/p</v>
      </c>
      <c r="AU239" s="29" t="str">
        <f t="shared" si="278"/>
        <v>n/p</v>
      </c>
      <c r="AV239" s="29" t="str">
        <f t="shared" si="278"/>
        <v>n/p</v>
      </c>
      <c r="AW239" s="29" t="str">
        <f t="shared" si="278"/>
        <v>n/p</v>
      </c>
      <c r="AX239" s="29" t="str">
        <f t="shared" si="278"/>
        <v>n/p</v>
      </c>
      <c r="AY239" s="29" t="str">
        <f t="shared" si="278"/>
        <v>n/p</v>
      </c>
      <c r="AZ239" s="29">
        <f t="shared" si="278"/>
        <v>0</v>
      </c>
      <c r="BA239" s="29">
        <f t="shared" si="278"/>
        <v>0</v>
      </c>
      <c r="BB239" s="29">
        <f t="shared" si="278"/>
        <v>0</v>
      </c>
      <c r="BC239" s="29">
        <f t="shared" si="278"/>
        <v>0</v>
      </c>
      <c r="BD239" s="29">
        <f t="shared" si="278"/>
        <v>0</v>
      </c>
      <c r="BE239" s="29">
        <f t="shared" si="278"/>
        <v>0</v>
      </c>
      <c r="BF239" s="29">
        <f t="shared" si="278"/>
        <v>0</v>
      </c>
      <c r="BG239" s="29">
        <f t="shared" si="278"/>
        <v>0</v>
      </c>
      <c r="BH239" s="29">
        <f t="shared" si="278"/>
        <v>0</v>
      </c>
      <c r="BI239" s="29">
        <f t="shared" si="278"/>
        <v>0</v>
      </c>
      <c r="BJ239" s="29">
        <f t="shared" si="278"/>
        <v>0</v>
      </c>
      <c r="BK239" s="29">
        <f t="shared" si="278"/>
        <v>0</v>
      </c>
      <c r="BL239" s="29">
        <f t="shared" si="278"/>
        <v>0</v>
      </c>
      <c r="BM239" s="29">
        <f t="shared" si="278"/>
        <v>0</v>
      </c>
      <c r="BN239" s="29">
        <f t="shared" si="278"/>
        <v>0</v>
      </c>
      <c r="BO239" s="29">
        <f t="shared" ref="BO239:CL239" si="279">IF(ISNUMBER(BO237),ROUND(BO233-BO237,1),"n/p")</f>
        <v>0</v>
      </c>
      <c r="BP239" s="29">
        <f t="shared" si="279"/>
        <v>0</v>
      </c>
      <c r="BQ239" s="29">
        <f t="shared" si="279"/>
        <v>0</v>
      </c>
      <c r="BR239" s="29">
        <f t="shared" si="279"/>
        <v>0</v>
      </c>
      <c r="BS239" s="29">
        <f t="shared" si="279"/>
        <v>0</v>
      </c>
      <c r="BT239" s="29">
        <f t="shared" si="279"/>
        <v>0</v>
      </c>
      <c r="BU239" s="29">
        <f t="shared" si="279"/>
        <v>0</v>
      </c>
      <c r="BV239" s="29">
        <f t="shared" si="279"/>
        <v>0</v>
      </c>
      <c r="BW239" s="29">
        <f t="shared" si="279"/>
        <v>0</v>
      </c>
      <c r="BX239" s="29">
        <f t="shared" si="279"/>
        <v>0</v>
      </c>
      <c r="BY239" s="29">
        <f t="shared" si="279"/>
        <v>0</v>
      </c>
      <c r="BZ239" s="29">
        <f t="shared" si="279"/>
        <v>0</v>
      </c>
      <c r="CA239" s="29">
        <f t="shared" si="279"/>
        <v>0</v>
      </c>
      <c r="CB239" s="29">
        <f t="shared" si="279"/>
        <v>0</v>
      </c>
      <c r="CC239" s="29">
        <f t="shared" si="279"/>
        <v>0</v>
      </c>
      <c r="CD239" s="29">
        <f t="shared" si="279"/>
        <v>0</v>
      </c>
      <c r="CE239" s="29">
        <f t="shared" si="279"/>
        <v>0</v>
      </c>
      <c r="CF239" s="29">
        <f t="shared" si="279"/>
        <v>0</v>
      </c>
      <c r="CG239" s="29">
        <f t="shared" si="279"/>
        <v>0</v>
      </c>
      <c r="CH239" s="29">
        <f t="shared" si="279"/>
        <v>0</v>
      </c>
      <c r="CI239" s="29">
        <f t="shared" si="279"/>
        <v>0</v>
      </c>
      <c r="CJ239" s="29">
        <f t="shared" si="279"/>
        <v>0</v>
      </c>
      <c r="CK239" s="29">
        <f t="shared" si="279"/>
        <v>0</v>
      </c>
      <c r="CL239" s="29">
        <f t="shared" si="279"/>
        <v>0</v>
      </c>
      <c r="CM239" s="31"/>
      <c r="CN239" s="31"/>
      <c r="CO239" s="31"/>
      <c r="CP239" s="31"/>
      <c r="CQ239" s="31"/>
      <c r="CR239" s="31"/>
      <c r="CS239" s="31"/>
      <c r="CT239" s="22"/>
      <c r="CV239" s="6"/>
      <c r="CW239" s="6"/>
      <c r="CX239" s="6"/>
      <c r="CY239" s="6"/>
    </row>
    <row r="240" spans="2:103" ht="15" customHeight="1" x14ac:dyDescent="0.25">
      <c r="B240" s="61" t="s">
        <v>361</v>
      </c>
      <c r="C240" s="62" t="s">
        <v>362</v>
      </c>
      <c r="E240" s="62" t="s">
        <v>363</v>
      </c>
      <c r="AF240" s="62" t="s">
        <v>364</v>
      </c>
      <c r="AG240" s="62" t="s">
        <v>365</v>
      </c>
      <c r="AL240" s="62" t="s">
        <v>366</v>
      </c>
      <c r="AS240" s="62" t="s">
        <v>367</v>
      </c>
      <c r="AZ240" s="62" t="s">
        <v>312</v>
      </c>
      <c r="BE240" s="62" t="s">
        <v>313</v>
      </c>
      <c r="BF240" s="62" t="s">
        <v>368</v>
      </c>
      <c r="BI240" s="62" t="s">
        <v>369</v>
      </c>
      <c r="BJ240" s="62" t="s">
        <v>370</v>
      </c>
      <c r="BK240" s="62" t="s">
        <v>315</v>
      </c>
      <c r="BU240" s="62" t="s">
        <v>317</v>
      </c>
      <c r="CB240" s="62" t="s">
        <v>371</v>
      </c>
      <c r="CD240" s="62" t="s">
        <v>372</v>
      </c>
      <c r="CM240" s="6"/>
      <c r="CN240" s="6"/>
      <c r="CO240" s="6"/>
      <c r="CP240" s="6"/>
      <c r="CQ240" s="6"/>
      <c r="CR240" s="6"/>
      <c r="CS240" s="6"/>
      <c r="CT240" s="22" t="s">
        <v>320</v>
      </c>
      <c r="CV240" s="6"/>
      <c r="CW240" s="6"/>
      <c r="CX240" s="6"/>
      <c r="CY240" s="6"/>
    </row>
    <row r="241" spans="2:103" ht="15" customHeight="1" x14ac:dyDescent="0.25">
      <c r="B241" s="36" t="s">
        <v>321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31"/>
      <c r="CN241" s="31"/>
      <c r="CO241" s="31"/>
      <c r="CP241" s="31"/>
      <c r="CQ241" s="31"/>
      <c r="CR241" s="31"/>
      <c r="CS241" s="31"/>
      <c r="CT241" s="22"/>
      <c r="CV241" s="6"/>
      <c r="CW241" s="6"/>
      <c r="CX241" s="6"/>
      <c r="CY241" s="6"/>
    </row>
    <row r="242" spans="2:103" ht="15" customHeight="1" x14ac:dyDescent="0.25">
      <c r="B242" s="18" t="s">
        <v>373</v>
      </c>
      <c r="C242" s="19">
        <f t="shared" ref="C242:AH242" si="280">IF(ISNUMBER(C125),C171-N(C168)+(C125+C199)*(1-MAX(0.15,MIN(0.4,N(C166)))),"")</f>
        <v>85.40195599022006</v>
      </c>
      <c r="D242" s="19">
        <f t="shared" si="280"/>
        <v>102.77085789128995</v>
      </c>
      <c r="E242" s="19">
        <f t="shared" si="280"/>
        <v>126.592659574468</v>
      </c>
      <c r="F242" s="19">
        <f t="shared" si="280"/>
        <v>124.57403846153844</v>
      </c>
      <c r="G242" s="19">
        <f t="shared" si="280"/>
        <v>129.64654377880197</v>
      </c>
      <c r="H242" s="19">
        <f t="shared" si="280"/>
        <v>158.62013232514184</v>
      </c>
      <c r="I242" s="19">
        <f t="shared" si="280"/>
        <v>182.7742331288346</v>
      </c>
      <c r="J242" s="19" t="str">
        <f t="shared" si="280"/>
        <v/>
      </c>
      <c r="K242" s="19" t="str">
        <f t="shared" si="280"/>
        <v/>
      </c>
      <c r="L242" s="19" t="str">
        <f t="shared" si="280"/>
        <v/>
      </c>
      <c r="M242" s="19" t="str">
        <f t="shared" si="280"/>
        <v/>
      </c>
      <c r="N242" s="19" t="str">
        <f t="shared" si="280"/>
        <v/>
      </c>
      <c r="O242" s="19">
        <f t="shared" si="280"/>
        <v>210.94531249999994</v>
      </c>
      <c r="P242" s="19" t="str">
        <f t="shared" si="280"/>
        <v/>
      </c>
      <c r="Q242" s="19" t="str">
        <f t="shared" si="280"/>
        <v/>
      </c>
      <c r="R242" s="19" t="str">
        <f t="shared" si="280"/>
        <v/>
      </c>
      <c r="S242" s="19" t="str">
        <f t="shared" si="280"/>
        <v/>
      </c>
      <c r="T242" s="19" t="str">
        <f t="shared" si="280"/>
        <v/>
      </c>
      <c r="U242" s="19">
        <f t="shared" si="280"/>
        <v>242.15657568238225</v>
      </c>
      <c r="V242" s="19" t="str">
        <f t="shared" si="280"/>
        <v/>
      </c>
      <c r="W242" s="19" t="str">
        <f t="shared" si="280"/>
        <v/>
      </c>
      <c r="X242" s="19" t="str">
        <f t="shared" si="280"/>
        <v/>
      </c>
      <c r="Y242" s="19" t="str">
        <f t="shared" si="280"/>
        <v/>
      </c>
      <c r="Z242" s="19" t="str">
        <f t="shared" si="280"/>
        <v/>
      </c>
      <c r="AA242" s="19">
        <f t="shared" si="280"/>
        <v>218.9692486444616</v>
      </c>
      <c r="AB242" s="19" t="str">
        <f t="shared" si="280"/>
        <v/>
      </c>
      <c r="AC242" s="19" t="str">
        <f t="shared" si="280"/>
        <v/>
      </c>
      <c r="AD242" s="19" t="str">
        <f t="shared" si="280"/>
        <v/>
      </c>
      <c r="AE242" s="19" t="str">
        <f t="shared" si="280"/>
        <v/>
      </c>
      <c r="AF242" s="19" t="str">
        <f t="shared" si="280"/>
        <v/>
      </c>
      <c r="AG242" s="19">
        <f t="shared" si="280"/>
        <v>214.79216742644019</v>
      </c>
      <c r="AH242" s="19" t="str">
        <f t="shared" si="280"/>
        <v/>
      </c>
      <c r="AI242" s="19" t="str">
        <f t="shared" ref="AI242:AY242" si="281">IF(ISNUMBER(AI125),AI171-N(AI168)+(AI125+AI199)*(1-MAX(0.15,MIN(0.4,N(AI166)))),"")</f>
        <v/>
      </c>
      <c r="AJ242" s="19" t="str">
        <f t="shared" si="281"/>
        <v/>
      </c>
      <c r="AK242" s="19" t="str">
        <f t="shared" si="281"/>
        <v/>
      </c>
      <c r="AL242" s="19" t="str">
        <f t="shared" si="281"/>
        <v/>
      </c>
      <c r="AM242" s="19">
        <f t="shared" si="281"/>
        <v>274.77742160278757</v>
      </c>
      <c r="AN242" s="19" t="str">
        <f t="shared" si="281"/>
        <v/>
      </c>
      <c r="AO242" s="19" t="str">
        <f t="shared" si="281"/>
        <v/>
      </c>
      <c r="AP242" s="19" t="str">
        <f t="shared" si="281"/>
        <v/>
      </c>
      <c r="AQ242" s="19" t="str">
        <f t="shared" si="281"/>
        <v/>
      </c>
      <c r="AR242" s="19" t="str">
        <f t="shared" si="281"/>
        <v/>
      </c>
      <c r="AS242" s="19">
        <f t="shared" si="281"/>
        <v>367.27321655242463</v>
      </c>
      <c r="AT242" s="19" t="str">
        <f t="shared" si="281"/>
        <v/>
      </c>
      <c r="AU242" s="19" t="str">
        <f t="shared" si="281"/>
        <v/>
      </c>
      <c r="AV242" s="19" t="str">
        <f t="shared" si="281"/>
        <v/>
      </c>
      <c r="AW242" s="19" t="str">
        <f t="shared" si="281"/>
        <v/>
      </c>
      <c r="AX242" s="19" t="str">
        <f t="shared" si="281"/>
        <v/>
      </c>
      <c r="AY242" s="19">
        <f t="shared" si="281"/>
        <v>433.29841671944263</v>
      </c>
      <c r="AZ242" s="19">
        <f>IF(ISNUMBER(AZ233),AZ233,"")</f>
        <v>89.5</v>
      </c>
      <c r="BA242" s="19">
        <f>IF(ISNUMBER(BA233),BA233,"")</f>
        <v>101.09999999999992</v>
      </c>
      <c r="BB242" s="19">
        <f>IF(ISNUMBER(BB125),BB171-N(BB168)+(BB125+BB199)*(1-MAX(0.15,MIN(0.4,N(BB166)))),"")</f>
        <v>192.15117280995696</v>
      </c>
      <c r="BC242" s="19">
        <f t="shared" ref="BC242:CL242" si="282">IF(ISNUMBER(BC233),BC233,"")</f>
        <v>101.50000000000001</v>
      </c>
      <c r="BD242" s="19">
        <f t="shared" si="282"/>
        <v>139.49999999999991</v>
      </c>
      <c r="BE242" s="19">
        <f t="shared" si="282"/>
        <v>431.59999999999991</v>
      </c>
      <c r="BF242" s="19">
        <f t="shared" si="282"/>
        <v>121.30000000000005</v>
      </c>
      <c r="BG242" s="19">
        <f t="shared" si="282"/>
        <v>201</v>
      </c>
      <c r="BH242" s="19">
        <f t="shared" si="282"/>
        <v>322.30000000000013</v>
      </c>
      <c r="BI242" s="19">
        <f t="shared" si="282"/>
        <v>207.20000000000002</v>
      </c>
      <c r="BJ242" s="19">
        <f t="shared" si="282"/>
        <v>217.4</v>
      </c>
      <c r="BK242" s="19">
        <f t="shared" si="282"/>
        <v>746.90000000000043</v>
      </c>
      <c r="BL242" s="19">
        <f t="shared" si="282"/>
        <v>203.89999999999998</v>
      </c>
      <c r="BM242" s="19">
        <f t="shared" si="282"/>
        <v>211.29999999999995</v>
      </c>
      <c r="BN242" s="19">
        <f t="shared" si="282"/>
        <v>415.2000000000001</v>
      </c>
      <c r="BO242" s="19">
        <f t="shared" si="282"/>
        <v>216.49999999999997</v>
      </c>
      <c r="BP242" s="19">
        <f t="shared" si="282"/>
        <v>236.10000000000011</v>
      </c>
      <c r="BQ242" s="19">
        <f t="shared" si="282"/>
        <v>867.80000000000018</v>
      </c>
      <c r="BR242" s="19">
        <f t="shared" si="282"/>
        <v>217.2</v>
      </c>
      <c r="BS242" s="19">
        <f t="shared" si="282"/>
        <v>223.70000000000007</v>
      </c>
      <c r="BT242" s="19">
        <f t="shared" si="282"/>
        <v>440.9</v>
      </c>
      <c r="BU242" s="19">
        <f t="shared" si="282"/>
        <v>241.89999999999998</v>
      </c>
      <c r="BV242" s="19">
        <f t="shared" si="282"/>
        <v>260.50000000000006</v>
      </c>
      <c r="BW242" s="19">
        <f t="shared" si="282"/>
        <v>943.3</v>
      </c>
      <c r="BX242" s="19">
        <f t="shared" si="282"/>
        <v>218.29999999999987</v>
      </c>
      <c r="BY242" s="19">
        <f t="shared" si="282"/>
        <v>218.69999999999987</v>
      </c>
      <c r="BZ242" s="19">
        <f t="shared" si="282"/>
        <v>436.99999999999972</v>
      </c>
      <c r="CA242" s="19">
        <f t="shared" si="282"/>
        <v>241.30000000000007</v>
      </c>
      <c r="CB242" s="19">
        <f t="shared" si="282"/>
        <v>260.89999999999998</v>
      </c>
      <c r="CC242" s="19">
        <f t="shared" si="282"/>
        <v>939.20000000000016</v>
      </c>
      <c r="CD242" s="19">
        <f t="shared" si="282"/>
        <v>234.00000000000014</v>
      </c>
      <c r="CE242" s="19">
        <f t="shared" si="282"/>
        <v>246.29999999999998</v>
      </c>
      <c r="CF242" s="19">
        <f t="shared" si="282"/>
        <v>480.30000000000035</v>
      </c>
      <c r="CG242" s="19">
        <f t="shared" si="282"/>
        <v>264.49999999999983</v>
      </c>
      <c r="CH242" s="19">
        <f t="shared" si="282"/>
        <v>297.49999999999989</v>
      </c>
      <c r="CI242" s="19">
        <f t="shared" si="282"/>
        <v>1042.3000000000002</v>
      </c>
      <c r="CJ242" s="19">
        <f t="shared" si="282"/>
        <v>271.39999999999992</v>
      </c>
      <c r="CK242" s="19">
        <f t="shared" si="282"/>
        <v>294.3</v>
      </c>
      <c r="CL242" s="19">
        <f t="shared" si="282"/>
        <v>565.70000000000016</v>
      </c>
      <c r="CM242" s="21">
        <f>CM233</f>
        <v>286.09000000000009</v>
      </c>
      <c r="CN242" s="21">
        <f>CN233</f>
        <v>298.99124999999987</v>
      </c>
      <c r="CO242" s="21">
        <f>SUM(CJ242,CK242,CM242,CN242)</f>
        <v>1150.7812499999998</v>
      </c>
      <c r="CP242" s="21">
        <f>CP233</f>
        <v>1300.7681134865311</v>
      </c>
      <c r="CQ242" s="21">
        <f>CQ233</f>
        <v>1420.6008084995538</v>
      </c>
      <c r="CR242" s="21">
        <f>CR233</f>
        <v>1545.8903657546468</v>
      </c>
      <c r="CS242" s="21">
        <f>CS233</f>
        <v>1699.0408195392574</v>
      </c>
      <c r="CT242" s="22" t="s">
        <v>374</v>
      </c>
      <c r="CV242" s="23">
        <f>IFERROR((CS242/CI242)^(1/5)-1,"n/m")</f>
        <v>0.10266150968266086</v>
      </c>
      <c r="CW242" s="23">
        <f>IFERROR((CI242/BE242)^(1/5)-1,"n/m")</f>
        <v>0.19284018205788844</v>
      </c>
      <c r="CX242" s="23">
        <f>IFERROR((CI242/AA242)^(1/10)-1,"n/m")</f>
        <v>0.1688558666315636</v>
      </c>
      <c r="CY242" s="23">
        <f>IFERROR((CI242/C242)^(1/19)-1,"n/m")</f>
        <v>0.14073698403655444</v>
      </c>
    </row>
    <row r="243" spans="2:103" ht="15" customHeight="1" x14ac:dyDescent="0.25">
      <c r="B243" s="18" t="s">
        <v>375</v>
      </c>
      <c r="C243" s="57">
        <f t="shared" ref="C243:AH243" si="283">IFERROR(C242/C179,"")</f>
        <v>2.4056889011329594</v>
      </c>
      <c r="D243" s="57">
        <f t="shared" si="283"/>
        <v>2.8389739748975122</v>
      </c>
      <c r="E243" s="57">
        <f t="shared" si="283"/>
        <v>3.4682920431361097</v>
      </c>
      <c r="F243" s="57">
        <f t="shared" si="283"/>
        <v>3.4036622530474983</v>
      </c>
      <c r="G243" s="57">
        <f t="shared" si="283"/>
        <v>3.5134564709702434</v>
      </c>
      <c r="H243" s="57">
        <f t="shared" si="283"/>
        <v>4.2525504644810148</v>
      </c>
      <c r="I243" s="57">
        <f t="shared" si="283"/>
        <v>4.8870115809848826</v>
      </c>
      <c r="J243" s="57" t="str">
        <f t="shared" si="283"/>
        <v/>
      </c>
      <c r="K243" s="57" t="str">
        <f t="shared" si="283"/>
        <v/>
      </c>
      <c r="L243" s="57" t="str">
        <f t="shared" si="283"/>
        <v/>
      </c>
      <c r="M243" s="57" t="str">
        <f t="shared" si="283"/>
        <v/>
      </c>
      <c r="N243" s="57" t="str">
        <f t="shared" si="283"/>
        <v/>
      </c>
      <c r="O243" s="57">
        <f t="shared" si="283"/>
        <v>5.5511924342105248</v>
      </c>
      <c r="P243" s="57" t="str">
        <f t="shared" si="283"/>
        <v/>
      </c>
      <c r="Q243" s="57" t="str">
        <f t="shared" si="283"/>
        <v/>
      </c>
      <c r="R243" s="57" t="str">
        <f t="shared" si="283"/>
        <v/>
      </c>
      <c r="S243" s="57" t="str">
        <f t="shared" si="283"/>
        <v/>
      </c>
      <c r="T243" s="57" t="str">
        <f t="shared" si="283"/>
        <v/>
      </c>
      <c r="U243" s="57">
        <f t="shared" si="283"/>
        <v>6.3893555589019071</v>
      </c>
      <c r="V243" s="57" t="str">
        <f t="shared" si="283"/>
        <v/>
      </c>
      <c r="W243" s="57" t="str">
        <f t="shared" si="283"/>
        <v/>
      </c>
      <c r="X243" s="57" t="str">
        <f t="shared" si="283"/>
        <v/>
      </c>
      <c r="Y243" s="57" t="str">
        <f t="shared" si="283"/>
        <v/>
      </c>
      <c r="Z243" s="57" t="str">
        <f t="shared" si="283"/>
        <v/>
      </c>
      <c r="AA243" s="57">
        <f t="shared" si="283"/>
        <v>6.082479129012822</v>
      </c>
      <c r="AB243" s="57" t="str">
        <f t="shared" si="283"/>
        <v/>
      </c>
      <c r="AC243" s="57" t="str">
        <f t="shared" si="283"/>
        <v/>
      </c>
      <c r="AD243" s="57" t="str">
        <f t="shared" si="283"/>
        <v/>
      </c>
      <c r="AE243" s="57" t="str">
        <f t="shared" si="283"/>
        <v/>
      </c>
      <c r="AF243" s="57" t="str">
        <f t="shared" si="283"/>
        <v/>
      </c>
      <c r="AG243" s="57">
        <f t="shared" si="283"/>
        <v>6.0504835894771887</v>
      </c>
      <c r="AH243" s="57" t="str">
        <f t="shared" si="283"/>
        <v/>
      </c>
      <c r="AI243" s="57" t="str">
        <f t="shared" ref="AI243:BN243" si="284">IFERROR(AI242/AI179,"")</f>
        <v/>
      </c>
      <c r="AJ243" s="57" t="str">
        <f t="shared" si="284"/>
        <v/>
      </c>
      <c r="AK243" s="57" t="str">
        <f t="shared" si="284"/>
        <v/>
      </c>
      <c r="AL243" s="57" t="str">
        <f t="shared" si="284"/>
        <v/>
      </c>
      <c r="AM243" s="57">
        <f t="shared" si="284"/>
        <v>7.5696259394707326</v>
      </c>
      <c r="AN243" s="57" t="str">
        <f t="shared" si="284"/>
        <v/>
      </c>
      <c r="AO243" s="57" t="str">
        <f t="shared" si="284"/>
        <v/>
      </c>
      <c r="AP243" s="57" t="str">
        <f t="shared" si="284"/>
        <v/>
      </c>
      <c r="AQ243" s="57" t="str">
        <f t="shared" si="284"/>
        <v/>
      </c>
      <c r="AR243" s="57" t="str">
        <f t="shared" si="284"/>
        <v/>
      </c>
      <c r="AS243" s="57">
        <f t="shared" si="284"/>
        <v>9.9263031500655305</v>
      </c>
      <c r="AT243" s="57" t="str">
        <f t="shared" si="284"/>
        <v/>
      </c>
      <c r="AU243" s="57" t="str">
        <f t="shared" si="284"/>
        <v/>
      </c>
      <c r="AV243" s="57" t="str">
        <f t="shared" si="284"/>
        <v/>
      </c>
      <c r="AW243" s="57" t="str">
        <f t="shared" si="284"/>
        <v/>
      </c>
      <c r="AX243" s="57" t="str">
        <f t="shared" si="284"/>
        <v/>
      </c>
      <c r="AY243" s="57">
        <f t="shared" si="284"/>
        <v>11.554624445851804</v>
      </c>
      <c r="AZ243" s="57">
        <f t="shared" si="284"/>
        <v>2.3677248677248679</v>
      </c>
      <c r="BA243" s="57">
        <f t="shared" si="284"/>
        <v>2.6746031746031727</v>
      </c>
      <c r="BB243" s="57">
        <f t="shared" si="284"/>
        <v>5.0833643600517719</v>
      </c>
      <c r="BC243" s="57">
        <f t="shared" si="284"/>
        <v>2.6851851851851856</v>
      </c>
      <c r="BD243" s="57">
        <f t="shared" si="284"/>
        <v>3.6710526315789451</v>
      </c>
      <c r="BE243" s="57">
        <f t="shared" si="284"/>
        <v>11.387862796833771</v>
      </c>
      <c r="BF243" s="57">
        <f t="shared" si="284"/>
        <v>3.1921052631578961</v>
      </c>
      <c r="BG243" s="57">
        <f t="shared" si="284"/>
        <v>4.6100917431192663</v>
      </c>
      <c r="BH243" s="57">
        <f t="shared" si="284"/>
        <v>7.8995098039215721</v>
      </c>
      <c r="BI243" s="57">
        <f t="shared" si="284"/>
        <v>4.3438155136268346</v>
      </c>
      <c r="BJ243" s="57">
        <f t="shared" si="284"/>
        <v>4.5576519916142555</v>
      </c>
      <c r="BK243" s="57">
        <f t="shared" si="284"/>
        <v>16.860045146726872</v>
      </c>
      <c r="BL243" s="57">
        <f t="shared" si="284"/>
        <v>4.2746331236897266</v>
      </c>
      <c r="BM243" s="57">
        <f t="shared" si="284"/>
        <v>4.4297693920335419</v>
      </c>
      <c r="BN243" s="57">
        <f t="shared" si="284"/>
        <v>8.7044025157232721</v>
      </c>
      <c r="BO243" s="57">
        <f t="shared" ref="BO243:CS243" si="285">IFERROR(BO242/BO179,"")</f>
        <v>4.5387840670859534</v>
      </c>
      <c r="BP243" s="57">
        <f t="shared" si="285"/>
        <v>4.9393305439330568</v>
      </c>
      <c r="BQ243" s="57">
        <f t="shared" si="285"/>
        <v>18.192872117400423</v>
      </c>
      <c r="BR243" s="57">
        <f t="shared" si="285"/>
        <v>4.5344467640918582</v>
      </c>
      <c r="BS243" s="57">
        <f t="shared" si="285"/>
        <v>4.6701461377870581</v>
      </c>
      <c r="BT243" s="57">
        <f t="shared" si="285"/>
        <v>9.2045929018789145</v>
      </c>
      <c r="BU243" s="57">
        <f t="shared" si="285"/>
        <v>5.0501043841336113</v>
      </c>
      <c r="BV243" s="57">
        <f t="shared" si="285"/>
        <v>5.4384133611691032</v>
      </c>
      <c r="BW243" s="57">
        <f t="shared" si="285"/>
        <v>19.693110647181626</v>
      </c>
      <c r="BX243" s="57">
        <f t="shared" si="285"/>
        <v>4.5479166666666639</v>
      </c>
      <c r="BY243" s="57">
        <f t="shared" si="285"/>
        <v>4.5753138075313782</v>
      </c>
      <c r="BZ243" s="57">
        <f t="shared" si="285"/>
        <v>9.12317327766179</v>
      </c>
      <c r="CA243" s="57">
        <f t="shared" si="285"/>
        <v>5.1014799154334058</v>
      </c>
      <c r="CB243" s="57">
        <f t="shared" si="285"/>
        <v>5.515856236786469</v>
      </c>
      <c r="CC243" s="57">
        <f t="shared" si="285"/>
        <v>19.731092436974794</v>
      </c>
      <c r="CD243" s="57">
        <f t="shared" si="285"/>
        <v>4.9471458773784391</v>
      </c>
      <c r="CE243" s="57">
        <f t="shared" si="285"/>
        <v>5.1962025316455698</v>
      </c>
      <c r="CF243" s="57">
        <f t="shared" si="285"/>
        <v>10.143611404435067</v>
      </c>
      <c r="CG243" s="57">
        <f t="shared" si="285"/>
        <v>5.5684210526315754</v>
      </c>
      <c r="CH243" s="57">
        <f t="shared" si="285"/>
        <v>6.3029661016949126</v>
      </c>
      <c r="CI243" s="57">
        <f t="shared" si="285"/>
        <v>21.989451476793253</v>
      </c>
      <c r="CJ243" s="57">
        <f t="shared" si="285"/>
        <v>5.7991452991452981</v>
      </c>
      <c r="CK243" s="57">
        <f t="shared" si="285"/>
        <v>6.275053304904052</v>
      </c>
      <c r="CL243" s="57">
        <f t="shared" si="285"/>
        <v>12.074706510138746</v>
      </c>
      <c r="CM243" s="63">
        <f t="shared" si="285"/>
        <v>6.1000000000000023</v>
      </c>
      <c r="CN243" s="63">
        <f t="shared" si="285"/>
        <v>6.3750799573560739</v>
      </c>
      <c r="CO243" s="63">
        <f t="shared" si="285"/>
        <v>24.549999999999994</v>
      </c>
      <c r="CP243" s="63">
        <f t="shared" si="285"/>
        <v>28.203239040449393</v>
      </c>
      <c r="CQ243" s="63">
        <f t="shared" si="285"/>
        <v>31.740927968011746</v>
      </c>
      <c r="CR243" s="63">
        <f t="shared" si="285"/>
        <v>35.185966876821048</v>
      </c>
      <c r="CS243" s="63">
        <f t="shared" si="285"/>
        <v>39.522010083380287</v>
      </c>
      <c r="CT243" s="22"/>
      <c r="CV243" s="23">
        <f>IFERROR((CS243/CI243)^(1/5)-1,"n/m")</f>
        <v>0.12441058598899413</v>
      </c>
      <c r="CW243" s="23">
        <f>IFERROR((CI243/BE243)^(1/5)-1,"n/m")</f>
        <v>0.14065532957750659</v>
      </c>
      <c r="CX243" s="23">
        <f>IFERROR((CI243/AA243)^(1/10)-1,"n/m")</f>
        <v>0.13713853460748981</v>
      </c>
      <c r="CY243" s="23">
        <f>IFERROR((CI243/C243)^(1/19)-1,"n/m")</f>
        <v>0.12351177386301915</v>
      </c>
    </row>
    <row r="244" spans="2:103" ht="15" customHeight="1" x14ac:dyDescent="0.25">
      <c r="B244" s="12"/>
      <c r="CM244" s="6"/>
      <c r="CN244" s="6"/>
      <c r="CO244" s="6"/>
      <c r="CP244" s="6"/>
      <c r="CQ244" s="6"/>
      <c r="CR244" s="6"/>
      <c r="CS244" s="6"/>
      <c r="CT244" s="6"/>
    </row>
    <row r="245" spans="2:103" ht="15" customHeight="1" x14ac:dyDescent="0.25">
      <c r="B245" s="11" t="s">
        <v>376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 t="s">
        <v>377</v>
      </c>
    </row>
    <row r="246" spans="2:103" ht="15" customHeight="1" x14ac:dyDescent="0.25">
      <c r="B246" s="25" t="s">
        <v>105</v>
      </c>
      <c r="C246" s="26"/>
      <c r="D246" s="26">
        <f t="shared" ref="D246:I246" si="286">IFERROR(D152/C152-1,"")</f>
        <v>0.13194250627965376</v>
      </c>
      <c r="E246" s="26">
        <f t="shared" si="286"/>
        <v>6.1455957591074473E-2</v>
      </c>
      <c r="F246" s="26">
        <f t="shared" si="286"/>
        <v>-4.0592334494773619E-2</v>
      </c>
      <c r="G246" s="26">
        <f t="shared" si="286"/>
        <v>-4.7817928696809453E-3</v>
      </c>
      <c r="H246" s="26">
        <f t="shared" si="286"/>
        <v>0.1810606982118963</v>
      </c>
      <c r="I246" s="26">
        <f t="shared" si="286"/>
        <v>9.5473505329831676E-2</v>
      </c>
      <c r="J246" s="26"/>
      <c r="K246" s="26"/>
      <c r="L246" s="26"/>
      <c r="M246" s="26"/>
      <c r="N246" s="26"/>
      <c r="O246" s="26">
        <f t="shared" ref="O246:AT246" si="287">IFERROR(O152/I152-1,"")</f>
        <v>9.9327786395900786E-2</v>
      </c>
      <c r="P246" s="26">
        <f t="shared" si="287"/>
        <v>7.2005619950825661E-3</v>
      </c>
      <c r="Q246" s="26">
        <f t="shared" si="287"/>
        <v>-6.4891846921796281E-3</v>
      </c>
      <c r="R246" s="26">
        <f t="shared" si="287"/>
        <v>1.7088174982893278E-4</v>
      </c>
      <c r="S246" s="26">
        <f t="shared" si="287"/>
        <v>5.1609517144856509E-2</v>
      </c>
      <c r="T246" s="26">
        <f t="shared" si="287"/>
        <v>4.3077438819979719E-2</v>
      </c>
      <c r="U246" s="26">
        <f t="shared" si="287"/>
        <v>2.3689386812622892E-2</v>
      </c>
      <c r="V246" s="26">
        <f t="shared" si="287"/>
        <v>-1.482127288578905E-2</v>
      </c>
      <c r="W246" s="26">
        <f t="shared" si="287"/>
        <v>-3.2490370122257528E-2</v>
      </c>
      <c r="X246" s="26">
        <f t="shared" si="287"/>
        <v>-2.3833931317273072E-2</v>
      </c>
      <c r="Y246" s="26">
        <f t="shared" si="287"/>
        <v>-7.6027283313924499E-2</v>
      </c>
      <c r="Z246" s="26">
        <f t="shared" si="287"/>
        <v>-3.5834806363490235E-2</v>
      </c>
      <c r="AA246" s="26">
        <f t="shared" si="287"/>
        <v>-4.0058479532163793E-2</v>
      </c>
      <c r="AB246" s="26">
        <f t="shared" si="287"/>
        <v>-6.1061946902654873E-2</v>
      </c>
      <c r="AC246" s="26">
        <f t="shared" si="287"/>
        <v>-6.5778085511511208E-2</v>
      </c>
      <c r="AD246" s="26">
        <f t="shared" si="287"/>
        <v>-6.3446223855780137E-2</v>
      </c>
      <c r="AE246" s="26">
        <f t="shared" si="287"/>
        <v>-5.1494418437162404E-2</v>
      </c>
      <c r="AF246" s="26">
        <f t="shared" si="287"/>
        <v>-7.8500000000000014E-2</v>
      </c>
      <c r="AG246" s="26">
        <f t="shared" si="287"/>
        <v>-6.4488055350071738E-2</v>
      </c>
      <c r="AH246" s="26">
        <f t="shared" si="287"/>
        <v>6.7106503298774767E-2</v>
      </c>
      <c r="AI246" s="26">
        <f t="shared" si="287"/>
        <v>0.24346859366314622</v>
      </c>
      <c r="AJ246" s="26">
        <f t="shared" si="287"/>
        <v>0.15604559895346659</v>
      </c>
      <c r="AK246" s="26">
        <f t="shared" si="287"/>
        <v>0.25702353834472302</v>
      </c>
      <c r="AL246" s="26">
        <f t="shared" si="287"/>
        <v>0.27400976668475319</v>
      </c>
      <c r="AM246" s="26">
        <f t="shared" si="287"/>
        <v>0.21112609888832035</v>
      </c>
      <c r="AN246" s="26">
        <f t="shared" si="287"/>
        <v>0.2287581699346406</v>
      </c>
      <c r="AO246" s="26">
        <f t="shared" si="287"/>
        <v>9.1491580986440058E-2</v>
      </c>
      <c r="AP246" s="26">
        <f t="shared" si="287"/>
        <v>0.15430003233107015</v>
      </c>
      <c r="AQ246" s="26">
        <f t="shared" si="287"/>
        <v>9.5288432497734776E-2</v>
      </c>
      <c r="AR246" s="26">
        <f t="shared" si="287"/>
        <v>6.2464508801817198E-2</v>
      </c>
      <c r="AS246" s="26">
        <f t="shared" si="287"/>
        <v>0.11444811429449264</v>
      </c>
      <c r="AT246" s="26">
        <f t="shared" si="287"/>
        <v>7.1305347901092553E-2</v>
      </c>
      <c r="AU246" s="26">
        <f t="shared" ref="AU246:BZ246" si="288">IFERROR(AU152/AO152-1,"")</f>
        <v>6.757679180887366E-2</v>
      </c>
      <c r="AV246" s="26">
        <f t="shared" si="288"/>
        <v>6.9392899656886886E-2</v>
      </c>
      <c r="AW246" s="26">
        <f t="shared" si="288"/>
        <v>0.10602509306493868</v>
      </c>
      <c r="AX246" s="26">
        <f t="shared" si="288"/>
        <v>0.11464457509353299</v>
      </c>
      <c r="AY246" s="26">
        <f t="shared" si="288"/>
        <v>9.0219863532979394E-2</v>
      </c>
      <c r="AZ246" s="26">
        <f t="shared" si="288"/>
        <v>5.287171229200216E-2</v>
      </c>
      <c r="BA246" s="26">
        <f t="shared" si="288"/>
        <v>-4.948849104859343E-2</v>
      </c>
      <c r="BB246" s="26">
        <f t="shared" si="288"/>
        <v>4.583551597694413E-4</v>
      </c>
      <c r="BC246" s="26">
        <f t="shared" si="288"/>
        <v>-6.6317626527050644E-2</v>
      </c>
      <c r="BD246" s="26">
        <f t="shared" si="288"/>
        <v>-2.9848957084632088E-2</v>
      </c>
      <c r="BE246" s="26">
        <f t="shared" si="288"/>
        <v>-2.4465798457453558E-2</v>
      </c>
      <c r="BF246" s="26">
        <f t="shared" si="288"/>
        <v>2.6892684170277903E-2</v>
      </c>
      <c r="BG246" s="26">
        <f t="shared" si="288"/>
        <v>0.50813937844746415</v>
      </c>
      <c r="BH246" s="26">
        <f t="shared" si="288"/>
        <v>0.26101184632502128</v>
      </c>
      <c r="BI246" s="26">
        <f t="shared" si="288"/>
        <v>0.75153538050734325</v>
      </c>
      <c r="BJ246" s="26">
        <f t="shared" si="288"/>
        <v>0.69986408006919576</v>
      </c>
      <c r="BK246" s="26">
        <f t="shared" si="288"/>
        <v>0.49513965394336101</v>
      </c>
      <c r="BL246" s="26">
        <f t="shared" si="288"/>
        <v>0.63956807744818156</v>
      </c>
      <c r="BM246" s="26">
        <f t="shared" si="288"/>
        <v>0.20945584299732367</v>
      </c>
      <c r="BN246" s="26">
        <f t="shared" si="288"/>
        <v>0.38931852390097066</v>
      </c>
      <c r="BO246" s="26">
        <f t="shared" si="288"/>
        <v>3.9408491500876552E-2</v>
      </c>
      <c r="BP246" s="26">
        <f t="shared" si="288"/>
        <v>3.0893363378643679E-2</v>
      </c>
      <c r="BQ246" s="26">
        <f t="shared" si="288"/>
        <v>0.18297466571310927</v>
      </c>
      <c r="BR246" s="26">
        <f t="shared" si="288"/>
        <v>4.7161241483724359E-2</v>
      </c>
      <c r="BS246" s="26">
        <f t="shared" si="288"/>
        <v>5.0818704823720307E-2</v>
      </c>
      <c r="BT246" s="26">
        <f t="shared" si="288"/>
        <v>4.9013747758517523E-2</v>
      </c>
      <c r="BU246" s="26">
        <f t="shared" si="288"/>
        <v>2.852742739806402E-2</v>
      </c>
      <c r="BV246" s="26">
        <f t="shared" si="288"/>
        <v>4.7948103229444872E-3</v>
      </c>
      <c r="BW246" s="26">
        <f t="shared" si="288"/>
        <v>3.2407577034404333E-2</v>
      </c>
      <c r="BX246" s="26">
        <f t="shared" si="288"/>
        <v>-2.4000578327188604E-2</v>
      </c>
      <c r="BY246" s="26">
        <f t="shared" si="288"/>
        <v>-3.5516249034884595E-2</v>
      </c>
      <c r="BZ246" s="26">
        <f t="shared" si="288"/>
        <v>-2.9843304843304885E-2</v>
      </c>
      <c r="CA246" s="26">
        <f t="shared" ref="CA246:CO246" si="289">IFERROR(CA152/BU152-1,"")</f>
        <v>2.9233511586452821E-2</v>
      </c>
      <c r="CB246" s="26">
        <f t="shared" si="289"/>
        <v>5.4245614035087764E-2</v>
      </c>
      <c r="CC246" s="26">
        <f t="shared" si="289"/>
        <v>6.121905775885006E-3</v>
      </c>
      <c r="CD246" s="26">
        <f t="shared" si="289"/>
        <v>7.3920450337012111E-2</v>
      </c>
      <c r="CE246" s="26">
        <f t="shared" si="289"/>
        <v>0.10159377046794282</v>
      </c>
      <c r="CF246" s="26">
        <f t="shared" si="289"/>
        <v>8.7879010351663123E-2</v>
      </c>
      <c r="CG246" s="26">
        <f t="shared" si="289"/>
        <v>6.6505022514721235E-2</v>
      </c>
      <c r="CH246" s="26">
        <f t="shared" si="289"/>
        <v>7.3221061039739022E-2</v>
      </c>
      <c r="CI246" s="26">
        <f t="shared" si="289"/>
        <v>7.855379188712508E-2</v>
      </c>
      <c r="CJ246" s="26">
        <f t="shared" si="289"/>
        <v>7.600524174080947E-2</v>
      </c>
      <c r="CK246" s="26">
        <f t="shared" si="289"/>
        <v>9.8302173482195832E-2</v>
      </c>
      <c r="CL246" s="26">
        <f t="shared" si="289"/>
        <v>8.7393710352274168E-2</v>
      </c>
      <c r="CM246" s="27">
        <f t="shared" si="289"/>
        <v>9.8521620967437551E-2</v>
      </c>
      <c r="CN246" s="27">
        <f t="shared" si="289"/>
        <v>9.9245561969767859E-2</v>
      </c>
      <c r="CO246" s="27">
        <f t="shared" si="289"/>
        <v>9.331975913974988E-2</v>
      </c>
      <c r="CP246" s="27">
        <f>IFERROR(CP152/CO152-1,"")</f>
        <v>7.3870863856029256E-2</v>
      </c>
      <c r="CQ246" s="27">
        <f>IFERROR(CQ152/CP152-1,"")</f>
        <v>9.3516850755687386E-2</v>
      </c>
      <c r="CR246" s="27">
        <f>IFERROR(CR152/CQ152-1,"")</f>
        <v>9.2575489591364413E-2</v>
      </c>
      <c r="CS246" s="27">
        <f>IFERROR(CS152/CR152-1,"")</f>
        <v>8.9331197470785995E-2</v>
      </c>
      <c r="CT246" s="22"/>
      <c r="CV246" s="6"/>
      <c r="CW246" s="6"/>
      <c r="CX246" s="6"/>
      <c r="CY246" s="6"/>
    </row>
    <row r="247" spans="2:103" ht="15" customHeight="1" x14ac:dyDescent="0.25">
      <c r="B247" s="25" t="s">
        <v>378</v>
      </c>
      <c r="C247" s="26"/>
      <c r="D247" s="26">
        <f t="shared" ref="D247:I247" si="290">IFERROR(D246-D248,"")</f>
        <v>1.9257605358637853E-2</v>
      </c>
      <c r="E247" s="26">
        <f t="shared" si="290"/>
        <v>-2.6628860260124454E-2</v>
      </c>
      <c r="F247" s="26">
        <f t="shared" si="290"/>
        <v>-6.3763066202090685E-2</v>
      </c>
      <c r="G247" s="26">
        <f t="shared" si="290"/>
        <v>-2.0095635857393553E-2</v>
      </c>
      <c r="H247" s="26">
        <f t="shared" si="290"/>
        <v>2.9254348619389303E-2</v>
      </c>
      <c r="I247" s="26">
        <f t="shared" si="290"/>
        <v>2.4203100056646304E-3</v>
      </c>
      <c r="J247" s="26"/>
      <c r="K247" s="26"/>
      <c r="L247" s="26"/>
      <c r="M247" s="26"/>
      <c r="N247" s="26"/>
      <c r="O247" s="26">
        <f t="shared" ref="O247:AT247" si="291">IFERROR(O246-O248,"")</f>
        <v>1.8474122126639292E-2</v>
      </c>
      <c r="P247" s="26">
        <f t="shared" si="291"/>
        <v>-2.8977871443624847E-2</v>
      </c>
      <c r="Q247" s="26">
        <f t="shared" si="291"/>
        <v>-2.4292845257903421E-2</v>
      </c>
      <c r="R247" s="26">
        <f t="shared" si="291"/>
        <v>-2.6572112098428073E-2</v>
      </c>
      <c r="S247" s="26">
        <f t="shared" si="291"/>
        <v>3.3764870538838317E-2</v>
      </c>
      <c r="T247" s="26">
        <f t="shared" si="291"/>
        <v>2.0113979215554644E-2</v>
      </c>
      <c r="U247" s="26">
        <f t="shared" si="291"/>
        <v>6.8417001624899304E-4</v>
      </c>
      <c r="V247" s="26">
        <f t="shared" si="291"/>
        <v>-3.5919790758500471E-2</v>
      </c>
      <c r="W247" s="26">
        <f t="shared" si="291"/>
        <v>-4.9237983587338753E-2</v>
      </c>
      <c r="X247" s="26">
        <f t="shared" si="291"/>
        <v>-4.2713138561421379E-2</v>
      </c>
      <c r="Y247" s="26">
        <f t="shared" si="291"/>
        <v>-9.8486108800532379E-2</v>
      </c>
      <c r="Z247" s="26">
        <f t="shared" si="291"/>
        <v>-4.0977020729551623E-2</v>
      </c>
      <c r="AA247" s="26">
        <f t="shared" si="291"/>
        <v>-5.6307435254803723E-2</v>
      </c>
      <c r="AB247" s="26">
        <f t="shared" si="291"/>
        <v>-6.5132743362831869E-2</v>
      </c>
      <c r="AC247" s="26">
        <f t="shared" si="291"/>
        <v>-7.789510126363168E-2</v>
      </c>
      <c r="AD247" s="26">
        <f t="shared" si="291"/>
        <v>-7.1584842915900906E-2</v>
      </c>
      <c r="AE247" s="26">
        <f t="shared" si="291"/>
        <v>-6.2117392870003604E-2</v>
      </c>
      <c r="AF247" s="26">
        <f t="shared" si="291"/>
        <v>-9.5166666666666677E-2</v>
      </c>
      <c r="AG247" s="26">
        <f t="shared" si="291"/>
        <v>-7.5453635612027267E-2</v>
      </c>
      <c r="AH247" s="26">
        <f t="shared" si="291"/>
        <v>3.1102733270499554E-2</v>
      </c>
      <c r="AI247" s="26">
        <f t="shared" si="291"/>
        <v>6.5036131183991153E-2</v>
      </c>
      <c r="AJ247" s="26">
        <f t="shared" si="291"/>
        <v>4.8215286862268683E-2</v>
      </c>
      <c r="AK247" s="26">
        <f t="shared" si="291"/>
        <v>8.5990888382688091E-2</v>
      </c>
      <c r="AL247" s="26">
        <f t="shared" si="291"/>
        <v>9.3687827816965136E-2</v>
      </c>
      <c r="AM247" s="26">
        <f t="shared" si="291"/>
        <v>7.2515000697706833E-2</v>
      </c>
      <c r="AN247" s="26">
        <f t="shared" si="291"/>
        <v>7.7724783607136638E-2</v>
      </c>
      <c r="AO247" s="26">
        <f t="shared" si="291"/>
        <v>8.3594099240053524E-2</v>
      </c>
      <c r="AP247" s="26">
        <f t="shared" si="291"/>
        <v>8.0908503071451657E-2</v>
      </c>
      <c r="AQ247" s="26">
        <f t="shared" si="291"/>
        <v>9.5288432497734776E-2</v>
      </c>
      <c r="AR247" s="26">
        <f t="shared" si="291"/>
        <v>6.2464508801817198E-2</v>
      </c>
      <c r="AS247" s="26">
        <f t="shared" si="291"/>
        <v>7.0243490283431881E-2</v>
      </c>
      <c r="AT247" s="26">
        <f t="shared" si="291"/>
        <v>5.1035077630822281E-2</v>
      </c>
      <c r="AU247" s="26">
        <f t="shared" ref="AU247:BZ247" si="292">IFERROR(AU246-AU248,"")</f>
        <v>3.5767918088737138E-2</v>
      </c>
      <c r="AV247" s="26">
        <f t="shared" si="292"/>
        <v>4.3204257404943741E-2</v>
      </c>
      <c r="AW247" s="26">
        <f t="shared" si="292"/>
        <v>4.9772507927754069E-2</v>
      </c>
      <c r="AX247" s="26">
        <f t="shared" si="292"/>
        <v>4.115446285408883E-2</v>
      </c>
      <c r="AY247" s="26">
        <f t="shared" si="292"/>
        <v>4.4351781652767118E-2</v>
      </c>
      <c r="AZ247" s="26">
        <f t="shared" si="292"/>
        <v>3.4889962426194535E-3</v>
      </c>
      <c r="BA247" s="26">
        <f t="shared" si="292"/>
        <v>-8.7212276214833837E-2</v>
      </c>
      <c r="BB247" s="26">
        <f t="shared" si="292"/>
        <v>-4.2954426401257274E-2</v>
      </c>
      <c r="BC247" s="26">
        <f t="shared" si="292"/>
        <v>-8.0902518075292973E-2</v>
      </c>
      <c r="BD247" s="26">
        <f t="shared" si="292"/>
        <v>-3.5602972908175601E-2</v>
      </c>
      <c r="BE247" s="26">
        <f t="shared" si="292"/>
        <v>-4.6244784422809479E-2</v>
      </c>
      <c r="BF247" s="26">
        <f t="shared" si="292"/>
        <v>2.6892684170277903E-2</v>
      </c>
      <c r="BG247" s="26">
        <f t="shared" si="292"/>
        <v>0.10265034306471155</v>
      </c>
      <c r="BH247" s="26">
        <f t="shared" si="292"/>
        <v>0.26101184632502128</v>
      </c>
      <c r="BI247" s="26">
        <f t="shared" si="292"/>
        <v>0.1192256341789053</v>
      </c>
      <c r="BJ247" s="26">
        <f t="shared" si="292"/>
        <v>8.3776102804893227E-2</v>
      </c>
      <c r="BK247" s="26">
        <f t="shared" si="292"/>
        <v>8.2463871427645885E-2</v>
      </c>
      <c r="BL247" s="26">
        <f t="shared" si="292"/>
        <v>7.7820528732778782E-2</v>
      </c>
      <c r="BM247" s="26">
        <f t="shared" si="292"/>
        <v>5.9946476360392353E-2</v>
      </c>
      <c r="BN247" s="26">
        <f t="shared" si="292"/>
        <v>6.7420978875798065E-2</v>
      </c>
      <c r="BO247" s="26">
        <f t="shared" si="292"/>
        <v>3.9408491500876552E-2</v>
      </c>
      <c r="BP247" s="26">
        <f t="shared" si="292"/>
        <v>3.0893363378643679E-2</v>
      </c>
      <c r="BQ247" s="26">
        <f t="shared" si="292"/>
        <v>5.4309429382571606E-2</v>
      </c>
      <c r="BR247" s="26">
        <f t="shared" si="292"/>
        <v>2.8236184708554032E-2</v>
      </c>
      <c r="BS247" s="26">
        <f t="shared" si="292"/>
        <v>2.9576633721787867E-2</v>
      </c>
      <c r="BT247" s="26">
        <f t="shared" si="292"/>
        <v>2.891512253436929E-2</v>
      </c>
      <c r="BU247" s="26">
        <f t="shared" si="292"/>
        <v>9.6069228512761055E-3</v>
      </c>
      <c r="BV247" s="26">
        <f t="shared" si="292"/>
        <v>-7.6152869835003027E-3</v>
      </c>
      <c r="BW247" s="26">
        <f t="shared" si="292"/>
        <v>1.4124500787747685E-2</v>
      </c>
      <c r="BX247" s="26">
        <f t="shared" si="292"/>
        <v>-2.4000578327188604E-2</v>
      </c>
      <c r="BY247" s="26">
        <f t="shared" si="292"/>
        <v>-3.5516249034884595E-2</v>
      </c>
      <c r="BZ247" s="26">
        <f t="shared" si="292"/>
        <v>-2.9843304843304885E-2</v>
      </c>
      <c r="CA247" s="26">
        <f t="shared" ref="CA247:CS247" si="293">IFERROR(CA246-CA248,"")</f>
        <v>1.6399286987522341E-2</v>
      </c>
      <c r="CB247" s="26">
        <f t="shared" si="293"/>
        <v>4.2105263157894784E-2</v>
      </c>
      <c r="CC247" s="26">
        <f t="shared" si="293"/>
        <v>-2.6439535090054204E-3</v>
      </c>
      <c r="CD247" s="26">
        <f t="shared" si="293"/>
        <v>3.2738315680320013E-2</v>
      </c>
      <c r="CE247" s="26">
        <f t="shared" si="293"/>
        <v>5.0578560512335516E-2</v>
      </c>
      <c r="CF247" s="26">
        <f t="shared" si="293"/>
        <v>4.1737023713383996E-2</v>
      </c>
      <c r="CG247" s="26">
        <f t="shared" si="293"/>
        <v>1.8704537582265396E-2</v>
      </c>
      <c r="CH247" s="26">
        <f t="shared" si="293"/>
        <v>2.4628902349730364E-2</v>
      </c>
      <c r="CI247" s="26">
        <f t="shared" si="293"/>
        <v>3.0917107583774105E-2</v>
      </c>
      <c r="CJ247" s="26">
        <f t="shared" si="293"/>
        <v>5.3038140561417792E-2</v>
      </c>
      <c r="CK247" s="26">
        <f t="shared" si="293"/>
        <v>9.0242452269273854E-2</v>
      </c>
      <c r="CL247" s="26">
        <f t="shared" si="293"/>
        <v>7.20407612363341E-2</v>
      </c>
      <c r="CM247" s="27">
        <f t="shared" si="293"/>
        <v>9.3325128599785714E-2</v>
      </c>
      <c r="CN247" s="27">
        <f t="shared" si="293"/>
        <v>9.4283706235723325E-2</v>
      </c>
      <c r="CO247" s="27">
        <f t="shared" si="293"/>
        <v>8.3263180665733461E-2</v>
      </c>
      <c r="CP247" s="27">
        <f t="shared" si="293"/>
        <v>5.5175326727419496E-2</v>
      </c>
      <c r="CQ247" s="27">
        <f t="shared" si="293"/>
        <v>5.2894722495203633E-2</v>
      </c>
      <c r="CR247" s="27">
        <f t="shared" si="293"/>
        <v>5.0120460747071674E-2</v>
      </c>
      <c r="CS247" s="27">
        <f t="shared" si="293"/>
        <v>5.0473444163349639E-2</v>
      </c>
      <c r="CT247" s="22" t="s">
        <v>379</v>
      </c>
      <c r="CV247" s="6"/>
      <c r="CW247" s="6"/>
      <c r="CX247" s="6"/>
      <c r="CY247" s="6"/>
    </row>
    <row r="248" spans="2:103" ht="15" customHeight="1" x14ac:dyDescent="0.25">
      <c r="B248" s="25" t="s">
        <v>380</v>
      </c>
      <c r="C248" s="26"/>
      <c r="D248" s="26">
        <f t="shared" ref="D248:I248" si="294">IFERROR(N(D130)/C152,"")</f>
        <v>0.11268490092101591</v>
      </c>
      <c r="E248" s="26">
        <f t="shared" si="294"/>
        <v>8.8084817851198927E-2</v>
      </c>
      <c r="F248" s="26">
        <f t="shared" si="294"/>
        <v>2.3170731707317073E-2</v>
      </c>
      <c r="G248" s="26">
        <f t="shared" si="294"/>
        <v>1.5313842987712609E-2</v>
      </c>
      <c r="H248" s="26">
        <f t="shared" si="294"/>
        <v>0.151806349592507</v>
      </c>
      <c r="I248" s="26">
        <f t="shared" si="294"/>
        <v>9.3053195324167046E-2</v>
      </c>
      <c r="J248" s="26"/>
      <c r="K248" s="26"/>
      <c r="L248" s="26"/>
      <c r="M248" s="26"/>
      <c r="N248" s="26"/>
      <c r="O248" s="26">
        <f t="shared" ref="O248:AT248" si="295">IFERROR(N(O130)/I152,"")</f>
        <v>8.0853664269261494E-2</v>
      </c>
      <c r="P248" s="26">
        <f t="shared" si="295"/>
        <v>3.6178433438707414E-2</v>
      </c>
      <c r="Q248" s="26">
        <f t="shared" si="295"/>
        <v>1.7803660565723793E-2</v>
      </c>
      <c r="R248" s="26">
        <f t="shared" si="295"/>
        <v>2.6742993848257006E-2</v>
      </c>
      <c r="S248" s="26">
        <f t="shared" si="295"/>
        <v>1.7844646606018193E-2</v>
      </c>
      <c r="T248" s="26">
        <f t="shared" si="295"/>
        <v>2.2963459604425075E-2</v>
      </c>
      <c r="U248" s="26">
        <f t="shared" si="295"/>
        <v>2.3005216796373899E-2</v>
      </c>
      <c r="V248" s="26">
        <f t="shared" si="295"/>
        <v>2.1098517872711421E-2</v>
      </c>
      <c r="W248" s="26">
        <f t="shared" si="295"/>
        <v>1.6747613465081225E-2</v>
      </c>
      <c r="X248" s="26">
        <f t="shared" si="295"/>
        <v>1.8879207244148304E-2</v>
      </c>
      <c r="Y248" s="26">
        <f t="shared" si="295"/>
        <v>2.2458825486607884E-2</v>
      </c>
      <c r="Z248" s="26">
        <f t="shared" si="295"/>
        <v>5.1422143660613861E-3</v>
      </c>
      <c r="AA248" s="26">
        <f t="shared" si="295"/>
        <v>1.6248955722639933E-2</v>
      </c>
      <c r="AB248" s="26">
        <f t="shared" si="295"/>
        <v>4.0707964601769909E-3</v>
      </c>
      <c r="AC248" s="26">
        <f t="shared" si="295"/>
        <v>1.2117015752120477E-2</v>
      </c>
      <c r="AD248" s="26">
        <f t="shared" si="295"/>
        <v>8.1386190601207675E-3</v>
      </c>
      <c r="AE248" s="26">
        <f t="shared" si="295"/>
        <v>1.0622974432841197E-2</v>
      </c>
      <c r="AF248" s="26">
        <f t="shared" si="295"/>
        <v>1.6666666666666666E-2</v>
      </c>
      <c r="AG248" s="26">
        <f t="shared" si="295"/>
        <v>1.0965580261955529E-2</v>
      </c>
      <c r="AH248" s="26">
        <f t="shared" si="295"/>
        <v>3.6003770028275213E-2</v>
      </c>
      <c r="AI248" s="26">
        <f t="shared" si="295"/>
        <v>0.17843246247915506</v>
      </c>
      <c r="AJ248" s="26">
        <f t="shared" si="295"/>
        <v>0.10783031209119791</v>
      </c>
      <c r="AK248" s="26">
        <f t="shared" si="295"/>
        <v>0.17103264996203493</v>
      </c>
      <c r="AL248" s="26">
        <f t="shared" si="295"/>
        <v>0.18032193886778805</v>
      </c>
      <c r="AM248" s="26">
        <f t="shared" si="295"/>
        <v>0.13861109819061351</v>
      </c>
      <c r="AN248" s="26">
        <f t="shared" si="295"/>
        <v>0.15103338632750396</v>
      </c>
      <c r="AO248" s="26">
        <f t="shared" si="295"/>
        <v>7.8974817463865286E-3</v>
      </c>
      <c r="AP248" s="26">
        <f t="shared" si="295"/>
        <v>7.339152925961849E-2</v>
      </c>
      <c r="AQ248" s="26">
        <f t="shared" si="295"/>
        <v>0</v>
      </c>
      <c r="AR248" s="26">
        <f t="shared" si="295"/>
        <v>0</v>
      </c>
      <c r="AS248" s="26">
        <f t="shared" si="295"/>
        <v>4.4204624011060754E-2</v>
      </c>
      <c r="AT248" s="26">
        <f t="shared" si="295"/>
        <v>2.0270270270270268E-2</v>
      </c>
      <c r="AU248" s="26">
        <f t="shared" ref="AU248:BZ248" si="296">IFERROR(N(AU130)/AO152,"")</f>
        <v>3.1808873720136521E-2</v>
      </c>
      <c r="AV248" s="26">
        <f t="shared" si="296"/>
        <v>2.6188642251943142E-2</v>
      </c>
      <c r="AW248" s="26">
        <f t="shared" si="296"/>
        <v>5.6252585137184612E-2</v>
      </c>
      <c r="AX248" s="26">
        <f t="shared" si="296"/>
        <v>7.3490112239444155E-2</v>
      </c>
      <c r="AY248" s="26">
        <f t="shared" si="296"/>
        <v>4.5868081880212276E-2</v>
      </c>
      <c r="AZ248" s="26">
        <f t="shared" si="296"/>
        <v>4.9382716049382706E-2</v>
      </c>
      <c r="BA248" s="26">
        <f t="shared" si="296"/>
        <v>3.7723785166240406E-2</v>
      </c>
      <c r="BB248" s="26">
        <f t="shared" si="296"/>
        <v>4.3412781561026716E-2</v>
      </c>
      <c r="BC248" s="26">
        <f t="shared" si="296"/>
        <v>1.4584891548242333E-2</v>
      </c>
      <c r="BD248" s="26">
        <f t="shared" si="296"/>
        <v>5.7540158235435141E-3</v>
      </c>
      <c r="BE248" s="26">
        <f t="shared" si="296"/>
        <v>2.1778985965355924E-2</v>
      </c>
      <c r="BF248" s="26">
        <f t="shared" si="296"/>
        <v>0</v>
      </c>
      <c r="BG248" s="26">
        <f t="shared" si="296"/>
        <v>0.40548903538275261</v>
      </c>
      <c r="BH248" s="26">
        <f t="shared" si="296"/>
        <v>0</v>
      </c>
      <c r="BI248" s="26">
        <f t="shared" si="296"/>
        <v>0.63230974632843795</v>
      </c>
      <c r="BJ248" s="26">
        <f t="shared" si="296"/>
        <v>0.61608797726430253</v>
      </c>
      <c r="BK248" s="26">
        <f t="shared" si="296"/>
        <v>0.41267578251571513</v>
      </c>
      <c r="BL248" s="26">
        <f t="shared" si="296"/>
        <v>0.56174754871540278</v>
      </c>
      <c r="BM248" s="26">
        <f t="shared" si="296"/>
        <v>0.14950936663693132</v>
      </c>
      <c r="BN248" s="26">
        <f t="shared" si="296"/>
        <v>0.32189754502517259</v>
      </c>
      <c r="BO248" s="26">
        <f t="shared" si="296"/>
        <v>0</v>
      </c>
      <c r="BP248" s="26">
        <f t="shared" si="296"/>
        <v>0</v>
      </c>
      <c r="BQ248" s="26">
        <f t="shared" si="296"/>
        <v>0.12866523633053767</v>
      </c>
      <c r="BR248" s="26">
        <f t="shared" si="296"/>
        <v>1.8925056775170326E-2</v>
      </c>
      <c r="BS248" s="26">
        <f t="shared" si="296"/>
        <v>2.1242071101932439E-2</v>
      </c>
      <c r="BT248" s="26">
        <f t="shared" si="296"/>
        <v>2.0098625224148233E-2</v>
      </c>
      <c r="BU248" s="26">
        <f t="shared" si="296"/>
        <v>1.8920504546787915E-2</v>
      </c>
      <c r="BV248" s="26">
        <f t="shared" si="296"/>
        <v>1.241009730644479E-2</v>
      </c>
      <c r="BW248" s="26">
        <f t="shared" si="296"/>
        <v>1.8283076246656649E-2</v>
      </c>
      <c r="BX248" s="26">
        <f t="shared" si="296"/>
        <v>0</v>
      </c>
      <c r="BY248" s="26">
        <f t="shared" si="296"/>
        <v>0</v>
      </c>
      <c r="BZ248" s="26">
        <f t="shared" si="296"/>
        <v>0</v>
      </c>
      <c r="CA248" s="26">
        <f t="shared" ref="CA248:CL248" si="297">IFERROR(N(CA130)/BU152,"")</f>
        <v>1.2834224598930482E-2</v>
      </c>
      <c r="CB248" s="26">
        <f t="shared" si="297"/>
        <v>1.2140350877192983E-2</v>
      </c>
      <c r="CC248" s="26">
        <f t="shared" si="297"/>
        <v>8.7658592848904263E-3</v>
      </c>
      <c r="CD248" s="26">
        <f t="shared" si="297"/>
        <v>4.1182134656692099E-2</v>
      </c>
      <c r="CE248" s="26">
        <f t="shared" si="297"/>
        <v>5.1015209955607307E-2</v>
      </c>
      <c r="CF248" s="26">
        <f t="shared" si="297"/>
        <v>4.6141986638279127E-2</v>
      </c>
      <c r="CG248" s="26">
        <f t="shared" si="297"/>
        <v>4.7800484932455839E-2</v>
      </c>
      <c r="CH248" s="26">
        <f t="shared" si="297"/>
        <v>4.8592158690008658E-2</v>
      </c>
      <c r="CI248" s="26">
        <f t="shared" si="297"/>
        <v>4.7636684303350975E-2</v>
      </c>
      <c r="CJ248" s="26">
        <f t="shared" si="297"/>
        <v>2.2967101179391679E-2</v>
      </c>
      <c r="CK248" s="26">
        <f t="shared" si="297"/>
        <v>8.0597212129219793E-3</v>
      </c>
      <c r="CL248" s="26">
        <f t="shared" si="297"/>
        <v>1.5352949115940071E-2</v>
      </c>
      <c r="CM248" s="27">
        <f>IFERROR(CM130/CG152,0)</f>
        <v>5.1964923676518348E-3</v>
      </c>
      <c r="CN248" s="27">
        <f>IFERROR(CN130/CH152,0)</f>
        <v>4.9618557340445329E-3</v>
      </c>
      <c r="CO248" s="27">
        <f>IFERROR(CO130/CI152,0)</f>
        <v>1.0056578474016418E-2</v>
      </c>
      <c r="CP248" s="27">
        <f>IFERROR(CP130/CO152,0)</f>
        <v>1.869553712860976E-2</v>
      </c>
      <c r="CQ248" s="27">
        <f>IFERROR(CQ130/CP152,0)</f>
        <v>4.0622128260483753E-2</v>
      </c>
      <c r="CR248" s="27">
        <f>IFERROR(CR130/CQ152,0)</f>
        <v>4.2455028844292739E-2</v>
      </c>
      <c r="CS248" s="27">
        <f>IFERROR(CS130/CR152,0)</f>
        <v>3.8857753307436356E-2</v>
      </c>
      <c r="CT248" s="22"/>
      <c r="CV248" s="6"/>
      <c r="CW248" s="6"/>
      <c r="CX248" s="6"/>
      <c r="CY248" s="6"/>
    </row>
    <row r="249" spans="2:103" ht="15" customHeight="1" x14ac:dyDescent="0.25">
      <c r="B249" s="25" t="s">
        <v>381</v>
      </c>
      <c r="C249" s="26"/>
      <c r="D249" s="26">
        <f t="shared" ref="D249:I249" si="298">IFERROR(D200/C200-1,"")</f>
        <v>0.27033132530120363</v>
      </c>
      <c r="E249" s="26">
        <f t="shared" si="298"/>
        <v>0.27089508002371132</v>
      </c>
      <c r="F249" s="26">
        <f t="shared" si="298"/>
        <v>-0.14272388059701469</v>
      </c>
      <c r="G249" s="26">
        <f t="shared" si="298"/>
        <v>4.7878128400435926E-2</v>
      </c>
      <c r="H249" s="26">
        <f t="shared" si="298"/>
        <v>0.30737279335410128</v>
      </c>
      <c r="I249" s="26">
        <f t="shared" si="298"/>
        <v>8.2208101667991196E-2</v>
      </c>
      <c r="J249" s="26"/>
      <c r="K249" s="26"/>
      <c r="L249" s="26"/>
      <c r="M249" s="26"/>
      <c r="N249" s="26"/>
      <c r="O249" s="26">
        <f t="shared" ref="O249:AT249" si="299">IFERROR(O200/I200-1,"")</f>
        <v>-2.5688073394505295E-3</v>
      </c>
      <c r="P249" s="26" t="str">
        <f t="shared" si="299"/>
        <v/>
      </c>
      <c r="Q249" s="26" t="str">
        <f t="shared" si="299"/>
        <v/>
      </c>
      <c r="R249" s="26" t="str">
        <f t="shared" si="299"/>
        <v/>
      </c>
      <c r="S249" s="26" t="str">
        <f t="shared" si="299"/>
        <v/>
      </c>
      <c r="T249" s="26" t="str">
        <f t="shared" si="299"/>
        <v/>
      </c>
      <c r="U249" s="26">
        <f t="shared" si="299"/>
        <v>0.2012509197939667</v>
      </c>
      <c r="V249" s="26" t="str">
        <f t="shared" si="299"/>
        <v/>
      </c>
      <c r="W249" s="26" t="str">
        <f t="shared" si="299"/>
        <v/>
      </c>
      <c r="X249" s="26" t="str">
        <f t="shared" si="299"/>
        <v/>
      </c>
      <c r="Y249" s="26" t="str">
        <f t="shared" si="299"/>
        <v/>
      </c>
      <c r="Z249" s="26" t="str">
        <f t="shared" si="299"/>
        <v/>
      </c>
      <c r="AA249" s="26">
        <f t="shared" si="299"/>
        <v>-4.3491577335375675E-2</v>
      </c>
      <c r="AB249" s="26" t="str">
        <f t="shared" si="299"/>
        <v/>
      </c>
      <c r="AC249" s="26" t="str">
        <f t="shared" si="299"/>
        <v/>
      </c>
      <c r="AD249" s="26" t="str">
        <f t="shared" si="299"/>
        <v/>
      </c>
      <c r="AE249" s="26" t="str">
        <f t="shared" si="299"/>
        <v/>
      </c>
      <c r="AF249" s="26" t="str">
        <f t="shared" si="299"/>
        <v/>
      </c>
      <c r="AG249" s="26">
        <f t="shared" si="299"/>
        <v>-9.0617995517130678E-2</v>
      </c>
      <c r="AH249" s="26" t="str">
        <f t="shared" si="299"/>
        <v/>
      </c>
      <c r="AI249" s="26" t="str">
        <f t="shared" si="299"/>
        <v/>
      </c>
      <c r="AJ249" s="26" t="str">
        <f t="shared" si="299"/>
        <v/>
      </c>
      <c r="AK249" s="26" t="str">
        <f t="shared" si="299"/>
        <v/>
      </c>
      <c r="AL249" s="26" t="str">
        <f t="shared" si="299"/>
        <v/>
      </c>
      <c r="AM249" s="26">
        <f t="shared" si="299"/>
        <v>0.34436619718309869</v>
      </c>
      <c r="AN249" s="26" t="str">
        <f t="shared" si="299"/>
        <v/>
      </c>
      <c r="AO249" s="26" t="str">
        <f t="shared" si="299"/>
        <v/>
      </c>
      <c r="AP249" s="26" t="str">
        <f t="shared" si="299"/>
        <v/>
      </c>
      <c r="AQ249" s="26" t="str">
        <f t="shared" si="299"/>
        <v/>
      </c>
      <c r="AR249" s="26" t="str">
        <f t="shared" si="299"/>
        <v/>
      </c>
      <c r="AS249" s="26">
        <f t="shared" si="299"/>
        <v>0.19460450497642734</v>
      </c>
      <c r="AT249" s="26" t="str">
        <f t="shared" si="299"/>
        <v/>
      </c>
      <c r="AU249" s="26" t="str">
        <f t="shared" ref="AU249:BZ249" si="300">IFERROR(AU200/AO200-1,"")</f>
        <v/>
      </c>
      <c r="AV249" s="26" t="str">
        <f t="shared" si="300"/>
        <v/>
      </c>
      <c r="AW249" s="26" t="str">
        <f t="shared" si="300"/>
        <v/>
      </c>
      <c r="AX249" s="26" t="str">
        <f t="shared" si="300"/>
        <v/>
      </c>
      <c r="AY249" s="26">
        <f t="shared" si="300"/>
        <v>0.15807936855952587</v>
      </c>
      <c r="AZ249" s="26" t="str">
        <f t="shared" si="300"/>
        <v/>
      </c>
      <c r="BA249" s="26" t="str">
        <f t="shared" si="300"/>
        <v/>
      </c>
      <c r="BB249" s="26" t="str">
        <f t="shared" si="300"/>
        <v/>
      </c>
      <c r="BC249" s="26" t="str">
        <f t="shared" si="300"/>
        <v/>
      </c>
      <c r="BD249" s="26" t="str">
        <f t="shared" si="300"/>
        <v/>
      </c>
      <c r="BE249" s="26">
        <f t="shared" si="300"/>
        <v>-1.7606967057932743E-2</v>
      </c>
      <c r="BF249" s="26">
        <f t="shared" si="300"/>
        <v>0.32834507042253591</v>
      </c>
      <c r="BG249" s="26">
        <f t="shared" si="300"/>
        <v>1.1347280334728045</v>
      </c>
      <c r="BH249" s="26">
        <f t="shared" si="300"/>
        <v>0.74174174174174179</v>
      </c>
      <c r="BI249" s="26">
        <f t="shared" si="300"/>
        <v>1.1291540785498491</v>
      </c>
      <c r="BJ249" s="26">
        <f t="shared" si="300"/>
        <v>0.92372881355932313</v>
      </c>
      <c r="BK249" s="26">
        <f t="shared" si="300"/>
        <v>0.89439198304104939</v>
      </c>
      <c r="BL249" s="26">
        <f t="shared" si="300"/>
        <v>0.83631544068919705</v>
      </c>
      <c r="BM249" s="26">
        <f t="shared" si="300"/>
        <v>0.1007448059584477</v>
      </c>
      <c r="BN249" s="26">
        <f t="shared" si="300"/>
        <v>0.37413793103448234</v>
      </c>
      <c r="BO249" s="26">
        <f t="shared" si="300"/>
        <v>4.3277758070237482E-2</v>
      </c>
      <c r="BP249" s="26">
        <f t="shared" si="300"/>
        <v>7.6584208742799253E-2</v>
      </c>
      <c r="BQ249" s="26">
        <f t="shared" si="300"/>
        <v>0.18992878942014246</v>
      </c>
      <c r="BR249" s="26">
        <f t="shared" si="300"/>
        <v>5.4492962829303382E-2</v>
      </c>
      <c r="BS249" s="26">
        <f t="shared" si="300"/>
        <v>8.7606837606838184E-2</v>
      </c>
      <c r="BT249" s="26">
        <f t="shared" si="300"/>
        <v>7.1159706040508919E-2</v>
      </c>
      <c r="BU249" s="26">
        <f t="shared" si="300"/>
        <v>8.5345120707242428E-2</v>
      </c>
      <c r="BV249" s="26">
        <f t="shared" si="300"/>
        <v>1.6997167138809832E-2</v>
      </c>
      <c r="BW249" s="26">
        <f t="shared" si="300"/>
        <v>6.0015388561169392E-2</v>
      </c>
      <c r="BX249" s="26">
        <f t="shared" si="300"/>
        <v>-2.156057494866559E-2</v>
      </c>
      <c r="BY249" s="26">
        <f t="shared" si="300"/>
        <v>-2.7177472167649541E-2</v>
      </c>
      <c r="BZ249" s="26">
        <f t="shared" si="300"/>
        <v>-2.4431057563588099E-2</v>
      </c>
      <c r="CA249" s="26">
        <f t="shared" ref="CA249:CO249" si="301">IFERROR(CA200/BU200-1,"")</f>
        <v>1.5664160401002603E-2</v>
      </c>
      <c r="CB249" s="26">
        <f t="shared" si="301"/>
        <v>5.478180129990684E-2</v>
      </c>
      <c r="CC249" s="26">
        <f t="shared" si="301"/>
        <v>6.5327849020082596E-3</v>
      </c>
      <c r="CD249" s="26">
        <f t="shared" si="301"/>
        <v>0.11472542847149447</v>
      </c>
      <c r="CE249" s="26">
        <f t="shared" si="301"/>
        <v>0.13059575900370302</v>
      </c>
      <c r="CF249" s="26">
        <f t="shared" si="301"/>
        <v>0.12281303602058435</v>
      </c>
      <c r="CG249" s="26">
        <f t="shared" si="301"/>
        <v>4.8735348550277724E-2</v>
      </c>
      <c r="CH249" s="26">
        <f t="shared" si="301"/>
        <v>0.13086854460093877</v>
      </c>
      <c r="CI249" s="26">
        <f t="shared" si="301"/>
        <v>0.10576923076923039</v>
      </c>
      <c r="CJ249" s="26">
        <f t="shared" si="301"/>
        <v>0.10448697834954457</v>
      </c>
      <c r="CK249" s="26">
        <f t="shared" si="301"/>
        <v>0.1592735933313485</v>
      </c>
      <c r="CL249" s="26">
        <f t="shared" si="301"/>
        <v>0.13260006110601852</v>
      </c>
      <c r="CM249" s="27">
        <f t="shared" si="301"/>
        <v>0.10425252903709281</v>
      </c>
      <c r="CN249" s="27">
        <f t="shared" si="301"/>
        <v>1.6815187463434134E-2</v>
      </c>
      <c r="CO249" s="27">
        <f t="shared" si="301"/>
        <v>9.3280024000738759E-2</v>
      </c>
      <c r="CP249" s="27">
        <f>IFERROR(CP200/CO200-1,"")</f>
        <v>0.11183491620664743</v>
      </c>
      <c r="CQ249" s="27">
        <f>IFERROR(CQ200/CP200-1,"")</f>
        <v>0.10694638478999963</v>
      </c>
      <c r="CR249" s="27">
        <f>IFERROR(CR200/CQ200-1,"")</f>
        <v>0.10249017392637172</v>
      </c>
      <c r="CS249" s="27">
        <f>IFERROR(CS200/CR200-1,"")</f>
        <v>0.10033201205373832</v>
      </c>
      <c r="CT249" s="22"/>
      <c r="CV249" s="6"/>
      <c r="CW249" s="6"/>
      <c r="CX249" s="6"/>
      <c r="CY249" s="6"/>
    </row>
    <row r="250" spans="2:103" ht="15" customHeight="1" x14ac:dyDescent="0.25">
      <c r="B250" s="25" t="s">
        <v>382</v>
      </c>
      <c r="C250" s="26"/>
      <c r="D250" s="26">
        <f t="shared" ref="D250:I250" si="302">IFERROR(D160/C160-1,"")</f>
        <v>0.29736211031174919</v>
      </c>
      <c r="E250" s="26">
        <f t="shared" si="302"/>
        <v>0.22365988909427048</v>
      </c>
      <c r="F250" s="26">
        <f t="shared" si="302"/>
        <v>-0.13695871097683754</v>
      </c>
      <c r="G250" s="26">
        <f t="shared" si="302"/>
        <v>4.1423570595100045E-2</v>
      </c>
      <c r="H250" s="26">
        <f t="shared" si="302"/>
        <v>0.27282913165266054</v>
      </c>
      <c r="I250" s="26">
        <f t="shared" si="302"/>
        <v>6.9982394366198131E-2</v>
      </c>
      <c r="J250" s="26"/>
      <c r="K250" s="26"/>
      <c r="L250" s="26"/>
      <c r="M250" s="26"/>
      <c r="N250" s="26"/>
      <c r="O250" s="26">
        <f t="shared" ref="O250:AT250" si="303">IFERROR(O160/I160-1,"")</f>
        <v>-1.1517893870836238E-2</v>
      </c>
      <c r="P250" s="26">
        <f t="shared" si="303"/>
        <v>0.1205432937181663</v>
      </c>
      <c r="Q250" s="26">
        <f t="shared" si="303"/>
        <v>0.14483821263482377</v>
      </c>
      <c r="R250" s="26">
        <f t="shared" si="303"/>
        <v>0.13327948303715575</v>
      </c>
      <c r="S250" s="26">
        <f t="shared" si="303"/>
        <v>0.40188679245283021</v>
      </c>
      <c r="T250" s="26">
        <f t="shared" si="303"/>
        <v>0.25826771653543124</v>
      </c>
      <c r="U250" s="26">
        <f t="shared" si="303"/>
        <v>0.22555139409072056</v>
      </c>
      <c r="V250" s="26">
        <f t="shared" si="303"/>
        <v>1.9696969696969768E-2</v>
      </c>
      <c r="W250" s="26">
        <f t="shared" si="303"/>
        <v>-7.267833109017463E-2</v>
      </c>
      <c r="X250" s="26">
        <f t="shared" si="303"/>
        <v>-2.9223093371345654E-2</v>
      </c>
      <c r="Y250" s="26">
        <f t="shared" si="303"/>
        <v>-6.4602960969045276E-2</v>
      </c>
      <c r="Z250" s="26">
        <f t="shared" si="303"/>
        <v>-4.8811013767207756E-2</v>
      </c>
      <c r="AA250" s="26">
        <f t="shared" si="303"/>
        <v>-4.3463497453311351E-2</v>
      </c>
      <c r="AB250" s="26">
        <f t="shared" si="303"/>
        <v>-9.5096582466568047E-2</v>
      </c>
      <c r="AC250" s="26">
        <f t="shared" si="303"/>
        <v>-0.22206095791001446</v>
      </c>
      <c r="AD250" s="26">
        <f t="shared" si="303"/>
        <v>-0.15932452276064712</v>
      </c>
      <c r="AE250" s="26">
        <f t="shared" si="303"/>
        <v>-1.0071942446043369E-2</v>
      </c>
      <c r="AF250" s="26">
        <f t="shared" si="303"/>
        <v>-7.2368421052632304E-2</v>
      </c>
      <c r="AG250" s="26">
        <f t="shared" si="303"/>
        <v>-9.9041533546325389E-2</v>
      </c>
      <c r="AH250" s="26">
        <f t="shared" si="303"/>
        <v>-0.10016420361247891</v>
      </c>
      <c r="AI250" s="26">
        <f t="shared" si="303"/>
        <v>0.54477611940298432</v>
      </c>
      <c r="AJ250" s="26">
        <f t="shared" si="303"/>
        <v>0.20174672489082979</v>
      </c>
      <c r="AK250" s="26">
        <f t="shared" si="303"/>
        <v>0.30087209302325713</v>
      </c>
      <c r="AL250" s="26">
        <f t="shared" si="303"/>
        <v>0.34184397163120606</v>
      </c>
      <c r="AM250" s="26">
        <f t="shared" si="303"/>
        <v>0.26753349093774648</v>
      </c>
      <c r="AN250" s="26">
        <f t="shared" si="303"/>
        <v>0.61313868613138722</v>
      </c>
      <c r="AO250" s="26">
        <f t="shared" si="303"/>
        <v>0.34661835748792202</v>
      </c>
      <c r="AP250" s="26">
        <f t="shared" si="303"/>
        <v>0.45276162790697549</v>
      </c>
      <c r="AQ250" s="26">
        <f t="shared" si="303"/>
        <v>0.17877094972066976</v>
      </c>
      <c r="AR250" s="26">
        <f t="shared" si="303"/>
        <v>0.17547568710359362</v>
      </c>
      <c r="AS250" s="26">
        <f t="shared" si="303"/>
        <v>0.294995337270749</v>
      </c>
      <c r="AT250" s="26">
        <f t="shared" si="303"/>
        <v>0.10067873303167452</v>
      </c>
      <c r="AU250" s="26">
        <f t="shared" ref="AU250:BZ250" si="304">IFERROR(AU160/AO160-1,"")</f>
        <v>0.18295964125560515</v>
      </c>
      <c r="AV250" s="26">
        <f t="shared" si="304"/>
        <v>0.1465732866433227</v>
      </c>
      <c r="AW250" s="26">
        <f t="shared" si="304"/>
        <v>0.2199052132701429</v>
      </c>
      <c r="AX250" s="26">
        <f t="shared" si="304"/>
        <v>0.20323741007194296</v>
      </c>
      <c r="AY250" s="26">
        <f t="shared" si="304"/>
        <v>0.18026884301488177</v>
      </c>
      <c r="AZ250" s="26">
        <f t="shared" si="304"/>
        <v>6.8859198355600393E-2</v>
      </c>
      <c r="BA250" s="26">
        <f t="shared" si="304"/>
        <v>-0.1675511751326767</v>
      </c>
      <c r="BB250" s="26">
        <f t="shared" si="304"/>
        <v>-6.7190226876090664E-2</v>
      </c>
      <c r="BC250" s="26">
        <f t="shared" si="304"/>
        <v>-4.8174048174048467E-2</v>
      </c>
      <c r="BD250" s="26">
        <f t="shared" si="304"/>
        <v>7.4738415545589687E-2</v>
      </c>
      <c r="BE250" s="26">
        <f t="shared" si="304"/>
        <v>-2.3591620907057242E-2</v>
      </c>
      <c r="BF250" s="26">
        <f t="shared" si="304"/>
        <v>0.30000000000000049</v>
      </c>
      <c r="BG250" s="26">
        <f t="shared" si="304"/>
        <v>-4.9180327868851847E-2</v>
      </c>
      <c r="BH250" s="26">
        <f t="shared" si="304"/>
        <v>0.12067352666043063</v>
      </c>
      <c r="BI250" s="26">
        <f t="shared" si="304"/>
        <v>0.54775510204081646</v>
      </c>
      <c r="BJ250" s="26">
        <f t="shared" si="304"/>
        <v>0.35674547983310223</v>
      </c>
      <c r="BK250" s="26">
        <f t="shared" si="304"/>
        <v>0.30035409289731363</v>
      </c>
      <c r="BL250" s="26">
        <f t="shared" si="304"/>
        <v>0.65310650887573884</v>
      </c>
      <c r="BM250" s="26">
        <f t="shared" si="304"/>
        <v>1.1982758620689653</v>
      </c>
      <c r="BN250" s="26">
        <f t="shared" si="304"/>
        <v>0.89065108514190228</v>
      </c>
      <c r="BO250" s="26">
        <f t="shared" si="304"/>
        <v>0.29324894514767896</v>
      </c>
      <c r="BP250" s="26">
        <f t="shared" si="304"/>
        <v>0.40338288057406535</v>
      </c>
      <c r="BQ250" s="26">
        <f t="shared" si="304"/>
        <v>0.55694377703027387</v>
      </c>
      <c r="BR250" s="26">
        <f t="shared" si="304"/>
        <v>8.5011185682326573E-2</v>
      </c>
      <c r="BS250" s="26">
        <f t="shared" si="304"/>
        <v>0.11590413943355182</v>
      </c>
      <c r="BT250" s="26">
        <f t="shared" si="304"/>
        <v>0.10066225165562881</v>
      </c>
      <c r="BU250" s="26">
        <f t="shared" si="304"/>
        <v>7.789559543230018E-2</v>
      </c>
      <c r="BV250" s="26">
        <f t="shared" si="304"/>
        <v>-8.4002921840764522E-3</v>
      </c>
      <c r="BW250" s="26">
        <f t="shared" si="304"/>
        <v>6.4197530864197327E-2</v>
      </c>
      <c r="BX250" s="26">
        <f t="shared" si="304"/>
        <v>-3.3814432989691001E-2</v>
      </c>
      <c r="BY250" s="26">
        <f t="shared" si="304"/>
        <v>-3.553299492385853E-2</v>
      </c>
      <c r="BZ250" s="26">
        <f t="shared" si="304"/>
        <v>-3.4697152025672473E-2</v>
      </c>
      <c r="CA250" s="26">
        <f t="shared" ref="CA250:CO250" si="305">IFERROR(CA160/BU160-1,"")</f>
        <v>2.4214907302308131E-2</v>
      </c>
      <c r="CB250" s="26">
        <f t="shared" si="305"/>
        <v>-0.12670349907918976</v>
      </c>
      <c r="CC250" s="26">
        <f t="shared" si="305"/>
        <v>-4.3793503480278329E-2</v>
      </c>
      <c r="CD250" s="26">
        <f t="shared" si="305"/>
        <v>0.10670081092616424</v>
      </c>
      <c r="CE250" s="26">
        <f t="shared" si="305"/>
        <v>0.1263157894736846</v>
      </c>
      <c r="CF250" s="26">
        <f t="shared" si="305"/>
        <v>0.1167670891335979</v>
      </c>
      <c r="CG250" s="26">
        <f t="shared" si="305"/>
        <v>4.4698928703361451E-2</v>
      </c>
      <c r="CH250" s="26">
        <f t="shared" si="305"/>
        <v>0.38970898355124417</v>
      </c>
      <c r="CI250" s="26">
        <f t="shared" si="305"/>
        <v>0.16247093317156969</v>
      </c>
      <c r="CJ250" s="26">
        <f t="shared" si="305"/>
        <v>0.13459313536444184</v>
      </c>
      <c r="CK250" s="26">
        <f t="shared" si="305"/>
        <v>0.19769949676491749</v>
      </c>
      <c r="CL250" s="26">
        <f t="shared" si="305"/>
        <v>0.16725581395348788</v>
      </c>
      <c r="CM250" s="27">
        <f t="shared" si="305"/>
        <v>0.1271070009639732</v>
      </c>
      <c r="CN250" s="27">
        <f t="shared" si="305"/>
        <v>1.7239979509582781E-2</v>
      </c>
      <c r="CO250" s="27">
        <f t="shared" si="305"/>
        <v>0.11439070544531149</v>
      </c>
      <c r="CP250" s="27">
        <f>IFERROR(CP160/CO160-1,"")</f>
        <v>0.13141912152446733</v>
      </c>
      <c r="CQ250" s="27">
        <f>IFERROR(CQ160/CP160-1,"")</f>
        <v>0.10814307952470514</v>
      </c>
      <c r="CR250" s="27">
        <f>IFERROR(CR160/CQ160-1,"")</f>
        <v>0.12763349822486969</v>
      </c>
      <c r="CS250" s="27">
        <f>IFERROR(CS160/CR160-1,"")</f>
        <v>0.1117444582304461</v>
      </c>
      <c r="CT250" s="22"/>
      <c r="CV250" s="6"/>
      <c r="CW250" s="6"/>
      <c r="CX250" s="6"/>
      <c r="CY250" s="6"/>
    </row>
    <row r="251" spans="2:103" ht="15" customHeight="1" x14ac:dyDescent="0.25">
      <c r="B251" s="25" t="s">
        <v>383</v>
      </c>
      <c r="C251" s="26"/>
      <c r="D251" s="26">
        <f t="shared" ref="D251:I251" si="306">IFERROR(D171/C171-1,"")</f>
        <v>0.22665006226649842</v>
      </c>
      <c r="E251" s="26">
        <f t="shared" si="306"/>
        <v>0.12994923857868135</v>
      </c>
      <c r="F251" s="26">
        <f t="shared" si="306"/>
        <v>1.7969451931716618E-2</v>
      </c>
      <c r="G251" s="26">
        <f t="shared" si="306"/>
        <v>6.3548102383055083E-2</v>
      </c>
      <c r="H251" s="26">
        <f t="shared" si="306"/>
        <v>1.1178423236514505</v>
      </c>
      <c r="I251" s="26">
        <f t="shared" si="306"/>
        <v>-0.35697492163009314</v>
      </c>
      <c r="J251" s="26"/>
      <c r="K251" s="26"/>
      <c r="L251" s="26"/>
      <c r="M251" s="26"/>
      <c r="N251" s="26"/>
      <c r="O251" s="26">
        <f t="shared" ref="O251:AT251" si="307">IFERROR(O171/I171-1,"")</f>
        <v>0.12736136502132633</v>
      </c>
      <c r="P251" s="26">
        <f t="shared" si="307"/>
        <v>0.13366336633663334</v>
      </c>
      <c r="Q251" s="26">
        <f t="shared" si="307"/>
        <v>0.30769230769230949</v>
      </c>
      <c r="R251" s="26">
        <f t="shared" si="307"/>
        <v>0.22328931572628896</v>
      </c>
      <c r="S251" s="26">
        <f t="shared" si="307"/>
        <v>0.18803418803418848</v>
      </c>
      <c r="T251" s="26">
        <f t="shared" si="307"/>
        <v>9.6539162112930565E-2</v>
      </c>
      <c r="U251" s="26">
        <f t="shared" si="307"/>
        <v>0.17675675675675784</v>
      </c>
      <c r="V251" s="26">
        <f t="shared" si="307"/>
        <v>-4.5851528384279194E-2</v>
      </c>
      <c r="W251" s="26">
        <f t="shared" si="307"/>
        <v>-0.13903743315507966</v>
      </c>
      <c r="X251" s="26">
        <f t="shared" si="307"/>
        <v>-9.7154072620214027E-2</v>
      </c>
      <c r="Y251" s="26">
        <f t="shared" si="307"/>
        <v>-0.13129496402877838</v>
      </c>
      <c r="Z251" s="26">
        <f t="shared" si="307"/>
        <v>-7.8073089700994913E-2</v>
      </c>
      <c r="AA251" s="26">
        <f t="shared" si="307"/>
        <v>-0.10059715204409814</v>
      </c>
      <c r="AB251" s="26">
        <f t="shared" si="307"/>
        <v>-0.1075514874141883</v>
      </c>
      <c r="AC251" s="26">
        <f t="shared" si="307"/>
        <v>-2.8985507246377162E-2</v>
      </c>
      <c r="AD251" s="26">
        <f t="shared" si="307"/>
        <v>-6.6304347826088295E-2</v>
      </c>
      <c r="AE251" s="26">
        <f t="shared" si="307"/>
        <v>7.6604554865424168E-2</v>
      </c>
      <c r="AF251" s="26">
        <f t="shared" si="307"/>
        <v>-4.5045045045046028E-2</v>
      </c>
      <c r="AG251" s="26">
        <f t="shared" si="307"/>
        <v>-2.5025536261490733E-2</v>
      </c>
      <c r="AH251" s="26">
        <f t="shared" si="307"/>
        <v>-0.21794871794871729</v>
      </c>
      <c r="AI251" s="26">
        <f t="shared" si="307"/>
        <v>0.28144989339019166</v>
      </c>
      <c r="AJ251" s="26">
        <f t="shared" si="307"/>
        <v>5.4714784633294711E-2</v>
      </c>
      <c r="AK251" s="26">
        <f t="shared" si="307"/>
        <v>0.32692307692307865</v>
      </c>
      <c r="AL251" s="26">
        <f t="shared" si="307"/>
        <v>0.27547169811320815</v>
      </c>
      <c r="AM251" s="26">
        <f t="shared" si="307"/>
        <v>0.1901519119958095</v>
      </c>
      <c r="AN251" s="26">
        <f t="shared" si="307"/>
        <v>1.1803278688524599</v>
      </c>
      <c r="AO251" s="26">
        <f t="shared" si="307"/>
        <v>0.42928452579034815</v>
      </c>
      <c r="AP251" s="26">
        <f t="shared" si="307"/>
        <v>0.6821192052980114</v>
      </c>
      <c r="AQ251" s="26">
        <f t="shared" si="307"/>
        <v>0.30869565217391215</v>
      </c>
      <c r="AR251" s="26">
        <f t="shared" si="307"/>
        <v>0.34763313609467406</v>
      </c>
      <c r="AS251" s="26">
        <f t="shared" si="307"/>
        <v>0.46919014084507027</v>
      </c>
      <c r="AT251" s="26">
        <f t="shared" si="307"/>
        <v>0.13233082706766952</v>
      </c>
      <c r="AU251" s="26">
        <f t="shared" ref="AU251:BZ251" si="308">IFERROR(AU171/AO171-1,"")</f>
        <v>0.21769499417927807</v>
      </c>
      <c r="AV251" s="26">
        <f t="shared" si="308"/>
        <v>0.18044619422572294</v>
      </c>
      <c r="AW251" s="26">
        <f t="shared" si="308"/>
        <v>0.18161683277962437</v>
      </c>
      <c r="AX251" s="26">
        <f t="shared" si="308"/>
        <v>0.27003293084522584</v>
      </c>
      <c r="AY251" s="26">
        <f t="shared" si="308"/>
        <v>0.20521270221689569</v>
      </c>
      <c r="AZ251" s="26">
        <f t="shared" si="308"/>
        <v>9.1633466135457198E-2</v>
      </c>
      <c r="BA251" s="26">
        <f t="shared" si="308"/>
        <v>-0.10420650095602357</v>
      </c>
      <c r="BB251" s="26">
        <f t="shared" si="308"/>
        <v>-2.2234574763757453E-2</v>
      </c>
      <c r="BC251" s="26">
        <f t="shared" si="308"/>
        <v>-0.11996251171508931</v>
      </c>
      <c r="BD251" s="26">
        <f t="shared" si="308"/>
        <v>0.14174589455488218</v>
      </c>
      <c r="BE251" s="26">
        <f t="shared" si="308"/>
        <v>-9.9428287347758104E-4</v>
      </c>
      <c r="BF251" s="26">
        <f t="shared" si="308"/>
        <v>3.0413625304136715E-2</v>
      </c>
      <c r="BG251" s="26">
        <f t="shared" si="308"/>
        <v>-0.3094983991462108</v>
      </c>
      <c r="BH251" s="26">
        <f t="shared" si="308"/>
        <v>-0.15065378055713408</v>
      </c>
      <c r="BI251" s="26">
        <f t="shared" si="308"/>
        <v>0.42811501597444113</v>
      </c>
      <c r="BJ251" s="26">
        <f t="shared" si="308"/>
        <v>0.22482967448902436</v>
      </c>
      <c r="BK251" s="26">
        <f t="shared" si="308"/>
        <v>0.10798706145807513</v>
      </c>
      <c r="BL251" s="26">
        <f t="shared" si="308"/>
        <v>1.5100354191263263</v>
      </c>
      <c r="BM251" s="26">
        <f t="shared" si="308"/>
        <v>1.6476043276661514</v>
      </c>
      <c r="BN251" s="26">
        <f t="shared" si="308"/>
        <v>1.5696117804551522</v>
      </c>
      <c r="BO251" s="26">
        <f t="shared" si="308"/>
        <v>0.32960477255779219</v>
      </c>
      <c r="BP251" s="26">
        <f t="shared" si="308"/>
        <v>0.39925834363411683</v>
      </c>
      <c r="BQ251" s="26">
        <f t="shared" si="308"/>
        <v>0.77094093869301528</v>
      </c>
      <c r="BR251" s="26">
        <f t="shared" si="308"/>
        <v>-0.15945437441204147</v>
      </c>
      <c r="BS251" s="26">
        <f t="shared" si="308"/>
        <v>8.1727962638646234E-2</v>
      </c>
      <c r="BT251" s="26">
        <f t="shared" si="308"/>
        <v>-5.1836415733264141E-2</v>
      </c>
      <c r="BU251" s="26">
        <f t="shared" si="308"/>
        <v>0.11385305664610224</v>
      </c>
      <c r="BV251" s="26">
        <f t="shared" si="308"/>
        <v>0.42712014134275544</v>
      </c>
      <c r="BW251" s="26">
        <f t="shared" si="308"/>
        <v>0.12312959675374069</v>
      </c>
      <c r="BX251" s="26">
        <f t="shared" si="308"/>
        <v>-1.1191941801907968E-3</v>
      </c>
      <c r="BY251" s="26">
        <f t="shared" si="308"/>
        <v>-2.7522935779817348E-2</v>
      </c>
      <c r="BZ251" s="26">
        <f t="shared" si="308"/>
        <v>-1.4560439560440397E-2</v>
      </c>
      <c r="CA251" s="26">
        <f t="shared" ref="CA251:CO251" si="309">IFERROR(CA171/BU171-1,"")</f>
        <v>0.31923464249748279</v>
      </c>
      <c r="CB251" s="26">
        <f t="shared" si="309"/>
        <v>-0.38563912101516573</v>
      </c>
      <c r="CC251" s="26">
        <f t="shared" si="309"/>
        <v>-7.508185615897045E-2</v>
      </c>
      <c r="CD251" s="26">
        <f t="shared" si="309"/>
        <v>5.6582633053222864E-2</v>
      </c>
      <c r="CE251" s="26">
        <f t="shared" si="309"/>
        <v>0.1648168701442847</v>
      </c>
      <c r="CF251" s="26">
        <f t="shared" si="309"/>
        <v>0.11095623083356743</v>
      </c>
      <c r="CG251" s="26">
        <f t="shared" si="309"/>
        <v>-0.15763358778626013</v>
      </c>
      <c r="CH251" s="26">
        <f t="shared" si="309"/>
        <v>0.3884130982367755</v>
      </c>
      <c r="CI251" s="26">
        <f t="shared" si="309"/>
        <v>9.228515625E-2</v>
      </c>
      <c r="CJ251" s="26">
        <f t="shared" si="309"/>
        <v>0.20254506892894897</v>
      </c>
      <c r="CK251" s="26">
        <f t="shared" si="309"/>
        <v>0.19914244878513632</v>
      </c>
      <c r="CL251" s="26">
        <f t="shared" si="309"/>
        <v>0.20075282308657383</v>
      </c>
      <c r="CM251" s="27">
        <f t="shared" si="309"/>
        <v>9.4610330765746209E-2</v>
      </c>
      <c r="CN251" s="27">
        <f t="shared" si="309"/>
        <v>-7.6626451378810079E-2</v>
      </c>
      <c r="CO251" s="27">
        <f t="shared" si="309"/>
        <v>8.9139751899865782E-2</v>
      </c>
      <c r="CP251" s="27">
        <f>IFERROR(CP171/CO171-1,"")</f>
        <v>0.15595378949526451</v>
      </c>
      <c r="CQ251" s="27">
        <f>IFERROR(CQ171/CP171-1,"")</f>
        <v>9.10104791260955E-2</v>
      </c>
      <c r="CR251" s="27">
        <f>IFERROR(CR171/CQ171-1,"")</f>
        <v>0.11110824823904708</v>
      </c>
      <c r="CS251" s="27">
        <f>IFERROR(CS171/CR171-1,"")</f>
        <v>0.11048391862925033</v>
      </c>
      <c r="CT251" s="22"/>
      <c r="CV251" s="6"/>
      <c r="CW251" s="6"/>
      <c r="CX251" s="6"/>
      <c r="CY251" s="6"/>
    </row>
    <row r="252" spans="2:103" ht="15" customHeight="1" x14ac:dyDescent="0.25">
      <c r="B252" s="25" t="s">
        <v>384</v>
      </c>
      <c r="C252" s="26"/>
      <c r="D252" s="26">
        <f t="shared" ref="D252:I252" si="310">IFERROR(D243/C243-1,"")</f>
        <v>0.18010852257766885</v>
      </c>
      <c r="E252" s="26">
        <f t="shared" si="310"/>
        <v>0.22167095359206868</v>
      </c>
      <c r="F252" s="26">
        <f t="shared" si="310"/>
        <v>-1.8634471747128845E-2</v>
      </c>
      <c r="G252" s="26">
        <f t="shared" si="310"/>
        <v>3.2257671225880191E-2</v>
      </c>
      <c r="H252" s="26">
        <f t="shared" si="310"/>
        <v>0.21036093647879173</v>
      </c>
      <c r="I252" s="26">
        <f t="shared" si="310"/>
        <v>0.14919543502261479</v>
      </c>
      <c r="J252" s="26"/>
      <c r="K252" s="26"/>
      <c r="L252" s="26"/>
      <c r="M252" s="26"/>
      <c r="N252" s="26"/>
      <c r="O252" s="26">
        <f t="shared" ref="O252:AT252" si="311">IFERROR(O243/I243-1,"")</f>
        <v>0.13590736224361266</v>
      </c>
      <c r="P252" s="26" t="str">
        <f t="shared" si="311"/>
        <v/>
      </c>
      <c r="Q252" s="26" t="str">
        <f t="shared" si="311"/>
        <v/>
      </c>
      <c r="R252" s="26" t="str">
        <f t="shared" si="311"/>
        <v/>
      </c>
      <c r="S252" s="26" t="str">
        <f t="shared" si="311"/>
        <v/>
      </c>
      <c r="T252" s="26" t="str">
        <f t="shared" si="311"/>
        <v/>
      </c>
      <c r="U252" s="26">
        <f t="shared" si="311"/>
        <v>0.15098794261319526</v>
      </c>
      <c r="V252" s="26" t="str">
        <f t="shared" si="311"/>
        <v/>
      </c>
      <c r="W252" s="26" t="str">
        <f t="shared" si="311"/>
        <v/>
      </c>
      <c r="X252" s="26" t="str">
        <f t="shared" si="311"/>
        <v/>
      </c>
      <c r="Y252" s="26" t="str">
        <f t="shared" si="311"/>
        <v/>
      </c>
      <c r="Z252" s="26" t="str">
        <f t="shared" si="311"/>
        <v/>
      </c>
      <c r="AA252" s="26">
        <f t="shared" si="311"/>
        <v>-4.8029324250320138E-2</v>
      </c>
      <c r="AB252" s="26" t="str">
        <f t="shared" si="311"/>
        <v/>
      </c>
      <c r="AC252" s="26" t="str">
        <f t="shared" si="311"/>
        <v/>
      </c>
      <c r="AD252" s="26" t="str">
        <f t="shared" si="311"/>
        <v/>
      </c>
      <c r="AE252" s="26" t="str">
        <f t="shared" si="311"/>
        <v/>
      </c>
      <c r="AF252" s="26" t="str">
        <f t="shared" si="311"/>
        <v/>
      </c>
      <c r="AG252" s="26">
        <f t="shared" si="311"/>
        <v>-5.2602793790146318E-3</v>
      </c>
      <c r="AH252" s="26" t="str">
        <f t="shared" si="311"/>
        <v/>
      </c>
      <c r="AI252" s="26" t="str">
        <f t="shared" si="311"/>
        <v/>
      </c>
      <c r="AJ252" s="26" t="str">
        <f t="shared" si="311"/>
        <v/>
      </c>
      <c r="AK252" s="26" t="str">
        <f t="shared" si="311"/>
        <v/>
      </c>
      <c r="AL252" s="26" t="str">
        <f t="shared" si="311"/>
        <v/>
      </c>
      <c r="AM252" s="26">
        <f t="shared" si="311"/>
        <v>0.25107783989953947</v>
      </c>
      <c r="AN252" s="26" t="str">
        <f t="shared" si="311"/>
        <v/>
      </c>
      <c r="AO252" s="26" t="str">
        <f t="shared" si="311"/>
        <v/>
      </c>
      <c r="AP252" s="26" t="str">
        <f t="shared" si="311"/>
        <v/>
      </c>
      <c r="AQ252" s="26" t="str">
        <f t="shared" si="311"/>
        <v/>
      </c>
      <c r="AR252" s="26" t="str">
        <f t="shared" si="311"/>
        <v/>
      </c>
      <c r="AS252" s="26">
        <f t="shared" si="311"/>
        <v>0.31133337755915269</v>
      </c>
      <c r="AT252" s="26" t="str">
        <f t="shared" si="311"/>
        <v/>
      </c>
      <c r="AU252" s="26" t="str">
        <f t="shared" ref="AU252:BZ252" si="312">IFERROR(AU243/AO243-1,"")</f>
        <v/>
      </c>
      <c r="AV252" s="26" t="str">
        <f t="shared" si="312"/>
        <v/>
      </c>
      <c r="AW252" s="26" t="str">
        <f t="shared" si="312"/>
        <v/>
      </c>
      <c r="AX252" s="26" t="str">
        <f t="shared" si="312"/>
        <v/>
      </c>
      <c r="AY252" s="26">
        <f t="shared" si="312"/>
        <v>0.16404106052065548</v>
      </c>
      <c r="AZ252" s="26" t="str">
        <f t="shared" si="312"/>
        <v/>
      </c>
      <c r="BA252" s="26" t="str">
        <f t="shared" si="312"/>
        <v/>
      </c>
      <c r="BB252" s="26" t="str">
        <f t="shared" si="312"/>
        <v/>
      </c>
      <c r="BC252" s="26" t="str">
        <f t="shared" si="312"/>
        <v/>
      </c>
      <c r="BD252" s="26" t="str">
        <f t="shared" si="312"/>
        <v/>
      </c>
      <c r="BE252" s="26">
        <f t="shared" si="312"/>
        <v>-1.4432459471056314E-2</v>
      </c>
      <c r="BF252" s="26">
        <f t="shared" si="312"/>
        <v>0.34817406645104421</v>
      </c>
      <c r="BG252" s="26">
        <f t="shared" si="312"/>
        <v>0.72365447962322849</v>
      </c>
      <c r="BH252" s="26">
        <f t="shared" si="312"/>
        <v>0.55399244366601308</v>
      </c>
      <c r="BI252" s="26">
        <f t="shared" si="312"/>
        <v>0.61769681197137261</v>
      </c>
      <c r="BJ252" s="26">
        <f t="shared" si="312"/>
        <v>0.24151093678381219</v>
      </c>
      <c r="BK252" s="26">
        <f t="shared" si="312"/>
        <v>0.48052759745354168</v>
      </c>
      <c r="BL252" s="26">
        <f t="shared" si="312"/>
        <v>0.33912661747905637</v>
      </c>
      <c r="BM252" s="26">
        <f t="shared" si="312"/>
        <v>-3.9114699041480461E-2</v>
      </c>
      <c r="BN252" s="26">
        <f t="shared" si="312"/>
        <v>0.10189147577260105</v>
      </c>
      <c r="BO252" s="26">
        <f t="shared" si="312"/>
        <v>4.4884169884169767E-2</v>
      </c>
      <c r="BP252" s="26">
        <f t="shared" si="312"/>
        <v>8.3744558167464733E-2</v>
      </c>
      <c r="BQ252" s="26">
        <f t="shared" si="312"/>
        <v>7.9052396305848482E-2</v>
      </c>
      <c r="BR252" s="26">
        <f t="shared" si="312"/>
        <v>6.0780336670827273E-2</v>
      </c>
      <c r="BS252" s="26">
        <f t="shared" si="312"/>
        <v>5.4263941185247244E-2</v>
      </c>
      <c r="BT252" s="26">
        <f t="shared" si="312"/>
        <v>5.746406892973055E-2</v>
      </c>
      <c r="BU252" s="26">
        <f t="shared" si="312"/>
        <v>0.11265579271673576</v>
      </c>
      <c r="BV252" s="26">
        <f t="shared" si="312"/>
        <v>0.10104260340484128</v>
      </c>
      <c r="BW252" s="26">
        <f t="shared" si="312"/>
        <v>8.2462984409499285E-2</v>
      </c>
      <c r="BX252" s="26">
        <f t="shared" si="312"/>
        <v>2.9705724370774345E-3</v>
      </c>
      <c r="BY252" s="26">
        <f t="shared" si="312"/>
        <v>-2.0306073398511648E-2</v>
      </c>
      <c r="BZ252" s="26">
        <f t="shared" si="312"/>
        <v>-8.845543207077089E-3</v>
      </c>
      <c r="CA252" s="26">
        <f t="shared" ref="CA252:CO252" si="313">IFERROR(CA243/BU243-1,"")</f>
        <v>1.017316225407261E-2</v>
      </c>
      <c r="CB252" s="26">
        <f t="shared" si="313"/>
        <v>1.4239975977243136E-2</v>
      </c>
      <c r="CC252" s="26">
        <f t="shared" si="313"/>
        <v>1.9286841207386551E-3</v>
      </c>
      <c r="CD252" s="26">
        <f t="shared" si="313"/>
        <v>8.7782877298054229E-2</v>
      </c>
      <c r="CE252" s="26">
        <f t="shared" si="313"/>
        <v>0.13570407413195418</v>
      </c>
      <c r="CF252" s="26">
        <f t="shared" si="313"/>
        <v>0.11185122716805496</v>
      </c>
      <c r="CG252" s="26">
        <f t="shared" si="313"/>
        <v>9.1530525443321187E-2</v>
      </c>
      <c r="CH252" s="26">
        <f t="shared" si="313"/>
        <v>0.14269948873196392</v>
      </c>
      <c r="CI252" s="26">
        <f t="shared" si="313"/>
        <v>0.11445686786132736</v>
      </c>
      <c r="CJ252" s="26">
        <f t="shared" si="313"/>
        <v>0.17222039593834348</v>
      </c>
      <c r="CK252" s="26">
        <f t="shared" si="313"/>
        <v>0.20762292591332554</v>
      </c>
      <c r="CL252" s="26">
        <f t="shared" si="313"/>
        <v>0.19037550125977343</v>
      </c>
      <c r="CM252" s="27">
        <f t="shared" si="313"/>
        <v>9.5463137996220304E-2</v>
      </c>
      <c r="CN252" s="27">
        <f t="shared" si="313"/>
        <v>1.1441257099854774E-2</v>
      </c>
      <c r="CO252" s="27">
        <f t="shared" si="313"/>
        <v>0.11644440180370297</v>
      </c>
      <c r="CP252" s="27">
        <f>IFERROR(CP243/CO243-1,"")</f>
        <v>0.14880810755394713</v>
      </c>
      <c r="CQ252" s="27">
        <f>IFERROR(CQ243/CP243-1,"")</f>
        <v>0.12543555449388499</v>
      </c>
      <c r="CR252" s="27">
        <f>IFERROR(CR243/CQ243-1,"")</f>
        <v>0.10853617488062062</v>
      </c>
      <c r="CS252" s="27">
        <f>IFERROR(CS243/CR243-1,"")</f>
        <v>0.12323217439892575</v>
      </c>
      <c r="CT252" s="22"/>
      <c r="CV252" s="6"/>
      <c r="CW252" s="6"/>
      <c r="CX252" s="6"/>
      <c r="CY252" s="6"/>
    </row>
    <row r="253" spans="2:103" ht="15" customHeight="1" x14ac:dyDescent="0.25">
      <c r="B253" s="25" t="s">
        <v>385</v>
      </c>
      <c r="C253" s="39">
        <f t="shared" ref="C253:AH253" si="314">IFERROR(C156/C152,"")</f>
        <v>0.28816634105498184</v>
      </c>
      <c r="D253" s="39">
        <f t="shared" si="314"/>
        <v>0.29951303704616894</v>
      </c>
      <c r="E253" s="39">
        <f t="shared" si="314"/>
        <v>0.29970963995354233</v>
      </c>
      <c r="F253" s="39">
        <f t="shared" si="314"/>
        <v>0.28739180437019551</v>
      </c>
      <c r="G253" s="39">
        <f t="shared" si="314"/>
        <v>0.30172728378542762</v>
      </c>
      <c r="H253" s="39">
        <f t="shared" si="314"/>
        <v>0.33534167567845924</v>
      </c>
      <c r="I253" s="39">
        <f t="shared" si="314"/>
        <v>0.35171343957128764</v>
      </c>
      <c r="J253" s="39">
        <f t="shared" si="314"/>
        <v>0.3582718651211802</v>
      </c>
      <c r="K253" s="39">
        <f t="shared" si="314"/>
        <v>0.36173044925124787</v>
      </c>
      <c r="L253" s="39">
        <f t="shared" si="314"/>
        <v>0.36004784688995223</v>
      </c>
      <c r="M253" s="39">
        <f t="shared" si="314"/>
        <v>0.35444366689993007</v>
      </c>
      <c r="N253" s="39">
        <f t="shared" si="314"/>
        <v>0.35970499497150521</v>
      </c>
      <c r="O253" s="39">
        <f t="shared" si="314"/>
        <v>0.35859060976652696</v>
      </c>
      <c r="P253" s="39">
        <f t="shared" si="314"/>
        <v>0.38674803836094163</v>
      </c>
      <c r="Q253" s="39">
        <f t="shared" si="314"/>
        <v>0.38301791994640771</v>
      </c>
      <c r="R253" s="39">
        <f t="shared" si="314"/>
        <v>0.38484537843840766</v>
      </c>
      <c r="S253" s="39">
        <f t="shared" si="314"/>
        <v>0.37547828980202969</v>
      </c>
      <c r="T253" s="39">
        <f t="shared" si="314"/>
        <v>0.37072151695323791</v>
      </c>
      <c r="U253" s="39">
        <f t="shared" si="314"/>
        <v>0.37882205513784467</v>
      </c>
      <c r="V253" s="39">
        <f t="shared" si="314"/>
        <v>0.38778761061946909</v>
      </c>
      <c r="W253" s="39">
        <f t="shared" si="314"/>
        <v>0.38082049506664367</v>
      </c>
      <c r="X253" s="39">
        <f t="shared" si="314"/>
        <v>0.3842653364837666</v>
      </c>
      <c r="Y253" s="39">
        <f t="shared" si="314"/>
        <v>0.37738566798703632</v>
      </c>
      <c r="Z253" s="39">
        <f t="shared" si="314"/>
        <v>0.36933333333333335</v>
      </c>
      <c r="AA253" s="39">
        <f t="shared" si="314"/>
        <v>0.37870414690396415</v>
      </c>
      <c r="AB253" s="39">
        <f t="shared" si="314"/>
        <v>0.3877474081055608</v>
      </c>
      <c r="AC253" s="39">
        <f t="shared" si="314"/>
        <v>0.37706133036872341</v>
      </c>
      <c r="AD253" s="39">
        <f t="shared" si="314"/>
        <v>0.38235843767520095</v>
      </c>
      <c r="AE253" s="39">
        <f t="shared" si="314"/>
        <v>0.39825360668185267</v>
      </c>
      <c r="AF253" s="39">
        <f t="shared" si="314"/>
        <v>0.3850605896183758</v>
      </c>
      <c r="AG253" s="39">
        <f t="shared" si="314"/>
        <v>0.38694823015023955</v>
      </c>
      <c r="AH253" s="39">
        <f t="shared" si="314"/>
        <v>0.36936936936936937</v>
      </c>
      <c r="AI253" s="39">
        <f t="shared" ref="AI253:BN253" si="315">IFERROR(AI156/AI152,"")</f>
        <v>0.37237371479660264</v>
      </c>
      <c r="AJ253" s="39">
        <f t="shared" si="315"/>
        <v>0.37099903006789525</v>
      </c>
      <c r="AK253" s="39">
        <f t="shared" si="315"/>
        <v>0.38296587133796439</v>
      </c>
      <c r="AL253" s="39">
        <f t="shared" si="315"/>
        <v>0.3793299261783078</v>
      </c>
      <c r="AM253" s="39">
        <f t="shared" si="315"/>
        <v>0.37629618250249641</v>
      </c>
      <c r="AN253" s="39">
        <f t="shared" si="315"/>
        <v>0.37004025301897647</v>
      </c>
      <c r="AO253" s="39">
        <f t="shared" si="315"/>
        <v>0.38976109215017063</v>
      </c>
      <c r="AP253" s="39">
        <f t="shared" si="315"/>
        <v>0.38015545129892858</v>
      </c>
      <c r="AQ253" s="39">
        <f t="shared" si="315"/>
        <v>0.38480628705363296</v>
      </c>
      <c r="AR253" s="39">
        <f t="shared" si="315"/>
        <v>0.38588989845002669</v>
      </c>
      <c r="AS253" s="39">
        <f t="shared" si="315"/>
        <v>0.38279688469226003</v>
      </c>
      <c r="AT253" s="39">
        <f t="shared" si="315"/>
        <v>0.37748255501878697</v>
      </c>
      <c r="AU253" s="39">
        <f t="shared" si="315"/>
        <v>0.40716112531969306</v>
      </c>
      <c r="AV253" s="39">
        <f t="shared" si="315"/>
        <v>0.39267941330539552</v>
      </c>
      <c r="AW253" s="39">
        <f t="shared" si="315"/>
        <v>0.39204687110446279</v>
      </c>
      <c r="AX253" s="39">
        <f t="shared" si="315"/>
        <v>0.39450970990170225</v>
      </c>
      <c r="AY253" s="39">
        <f t="shared" si="315"/>
        <v>0.39300164369705398</v>
      </c>
      <c r="AZ253" s="39">
        <f t="shared" si="315"/>
        <v>0.37216416008157022</v>
      </c>
      <c r="BA253" s="39">
        <f t="shared" si="315"/>
        <v>0.38033095654513649</v>
      </c>
      <c r="BB253" s="39">
        <f t="shared" si="315"/>
        <v>0.37613718175273253</v>
      </c>
      <c r="BC253" s="39">
        <f t="shared" si="315"/>
        <v>0.38785046728971961</v>
      </c>
      <c r="BD253" s="39">
        <f t="shared" si="315"/>
        <v>0.39009020140862466</v>
      </c>
      <c r="BE253" s="39">
        <f t="shared" si="315"/>
        <v>0.38263884388568464</v>
      </c>
      <c r="BF253" s="39">
        <f t="shared" si="315"/>
        <v>0.38873029663646524</v>
      </c>
      <c r="BG253" s="39">
        <f t="shared" si="315"/>
        <v>0.40847457627118644</v>
      </c>
      <c r="BH253" s="39">
        <f t="shared" si="315"/>
        <v>0.40021798930814351</v>
      </c>
      <c r="BI253" s="39">
        <f t="shared" si="315"/>
        <v>0.39957313819650891</v>
      </c>
      <c r="BJ253" s="39">
        <f t="shared" si="315"/>
        <v>0.39696154684887691</v>
      </c>
      <c r="BK253" s="39">
        <f t="shared" si="315"/>
        <v>0.39906377998829723</v>
      </c>
      <c r="BL253" s="39">
        <f t="shared" si="315"/>
        <v>0.43028009084027252</v>
      </c>
      <c r="BM253" s="39">
        <f t="shared" si="315"/>
        <v>0.41835078920194713</v>
      </c>
      <c r="BN253" s="39">
        <f t="shared" si="315"/>
        <v>0.42423789599521822</v>
      </c>
      <c r="BO253" s="39">
        <f t="shared" ref="BO253:CS253" si="316">IFERROR(BO156/BO152,"")</f>
        <v>0.42373129950132005</v>
      </c>
      <c r="BP253" s="39">
        <f t="shared" si="316"/>
        <v>0.43498801297419271</v>
      </c>
      <c r="BQ253" s="39">
        <f t="shared" si="316"/>
        <v>0.42690433444472942</v>
      </c>
      <c r="BR253" s="39">
        <f t="shared" si="316"/>
        <v>0.42839586496060139</v>
      </c>
      <c r="BS253" s="39">
        <f t="shared" si="316"/>
        <v>0.43405629255281819</v>
      </c>
      <c r="BT253" s="39">
        <f t="shared" si="316"/>
        <v>0.43126780626780625</v>
      </c>
      <c r="BU253" s="39">
        <f t="shared" si="316"/>
        <v>0.43158645276292334</v>
      </c>
      <c r="BV253" s="39">
        <f t="shared" si="316"/>
        <v>0.43726315789473685</v>
      </c>
      <c r="BW253" s="39">
        <f t="shared" si="316"/>
        <v>0.43286309999112771</v>
      </c>
      <c r="BX253" s="39">
        <f t="shared" si="316"/>
        <v>0.42952373898229751</v>
      </c>
      <c r="BY253" s="39">
        <f t="shared" si="316"/>
        <v>0.43126410013827227</v>
      </c>
      <c r="BZ253" s="39">
        <f t="shared" si="316"/>
        <v>0.43040158578665288</v>
      </c>
      <c r="CA253" s="39">
        <f t="shared" si="316"/>
        <v>0.42923449948042952</v>
      </c>
      <c r="CB253" s="39">
        <f t="shared" si="316"/>
        <v>0.42781069027491175</v>
      </c>
      <c r="CC253" s="39">
        <f t="shared" si="316"/>
        <v>0.42941798941798948</v>
      </c>
      <c r="CD253" s="39">
        <f t="shared" si="316"/>
        <v>0.42727084626525974</v>
      </c>
      <c r="CE253" s="39">
        <f t="shared" si="316"/>
        <v>0.42584395851225476</v>
      </c>
      <c r="CF253" s="39">
        <f t="shared" si="316"/>
        <v>0.42654204346065605</v>
      </c>
      <c r="CG253" s="39">
        <f t="shared" si="316"/>
        <v>0.42838583955829818</v>
      </c>
      <c r="CH253" s="39">
        <f t="shared" si="316"/>
        <v>0.42870433542144759</v>
      </c>
      <c r="CI253" s="39">
        <f t="shared" si="316"/>
        <v>0.42757628282696142</v>
      </c>
      <c r="CJ253" s="39">
        <f t="shared" si="316"/>
        <v>0.43189539132106913</v>
      </c>
      <c r="CK253" s="39">
        <f t="shared" si="316"/>
        <v>0.44396992481203007</v>
      </c>
      <c r="CL253" s="39">
        <f t="shared" si="316"/>
        <v>0.43812449574877432</v>
      </c>
      <c r="CM253" s="27">
        <f t="shared" si="316"/>
        <v>0.43996829184641639</v>
      </c>
      <c r="CN253" s="27">
        <f t="shared" si="316"/>
        <v>0.44028678770956581</v>
      </c>
      <c r="CO253" s="27">
        <f t="shared" si="316"/>
        <v>0.4391640333583946</v>
      </c>
      <c r="CP253" s="27">
        <f t="shared" si="316"/>
        <v>0.43600000000000005</v>
      </c>
      <c r="CQ253" s="27">
        <f t="shared" si="316"/>
        <v>0.43799999999999994</v>
      </c>
      <c r="CR253" s="27">
        <f t="shared" si="316"/>
        <v>0.43999999999999995</v>
      </c>
      <c r="CS253" s="27">
        <f t="shared" si="316"/>
        <v>0.442</v>
      </c>
      <c r="CT253" s="22"/>
      <c r="CV253" s="40">
        <f t="shared" ref="CV253:CV259" si="317">IFERROR(AVERAGE(CO253,CP253,CQ253,CR253,CS253),"n/m")</f>
        <v>0.43903280667167899</v>
      </c>
      <c r="CW253" s="40">
        <f t="shared" ref="CW253:CW259" si="318">IFERROR(AVERAGE(BK253,BQ253,BW253,CC253,CI253),"n/m")</f>
        <v>0.42316509733382102</v>
      </c>
      <c r="CX253" s="40">
        <f t="shared" ref="CX253:CX259" si="319">IFERROR(AVERAGE(AG253,AM253,AS253,AY253,BE253,BK253,BQ253,BW253,CC253,CI253),"n/m")</f>
        <v>0.40375072715968391</v>
      </c>
      <c r="CY253" s="40">
        <f t="shared" ref="CY253:CY259" si="320">IFERROR(AVERAGE(C253,D253,E253,F253,G253,H253,I253,O253,U253,AA253,AG253,AM253,AS253,AY253,BE253,BK253,BQ253,BW253,CC253,CI253),"n/m")</f>
        <v>0.3658593652432619</v>
      </c>
    </row>
    <row r="254" spans="2:103" ht="15" customHeight="1" x14ac:dyDescent="0.25">
      <c r="B254" s="25" t="s">
        <v>386</v>
      </c>
      <c r="C254" s="39">
        <f t="shared" ref="C254:AH254" si="321">IFERROR(C200/C152,"")</f>
        <v>9.2659782305330729E-2</v>
      </c>
      <c r="D254" s="39">
        <f t="shared" si="321"/>
        <v>0.10398816495099542</v>
      </c>
      <c r="E254" s="39">
        <f t="shared" si="321"/>
        <v>0.12450638792102202</v>
      </c>
      <c r="F254" s="39">
        <f t="shared" si="321"/>
        <v>0.11125234549966709</v>
      </c>
      <c r="G254" s="39">
        <f t="shared" si="321"/>
        <v>0.11713903418075666</v>
      </c>
      <c r="H254" s="39">
        <f t="shared" si="321"/>
        <v>0.1296668211545394</v>
      </c>
      <c r="I254" s="39">
        <f t="shared" si="321"/>
        <v>0.12809664833356846</v>
      </c>
      <c r="J254" s="39" t="str">
        <f t="shared" si="321"/>
        <v/>
      </c>
      <c r="K254" s="39" t="str">
        <f t="shared" si="321"/>
        <v/>
      </c>
      <c r="L254" s="39" t="str">
        <f t="shared" si="321"/>
        <v/>
      </c>
      <c r="M254" s="39" t="str">
        <f t="shared" si="321"/>
        <v/>
      </c>
      <c r="N254" s="39" t="str">
        <f t="shared" si="321"/>
        <v/>
      </c>
      <c r="O254" s="39">
        <f t="shared" si="321"/>
        <v>0.1162233815103053</v>
      </c>
      <c r="P254" s="39" t="str">
        <f t="shared" si="321"/>
        <v/>
      </c>
      <c r="Q254" s="39" t="str">
        <f t="shared" si="321"/>
        <v/>
      </c>
      <c r="R254" s="39" t="str">
        <f t="shared" si="321"/>
        <v/>
      </c>
      <c r="S254" s="39" t="str">
        <f t="shared" si="321"/>
        <v/>
      </c>
      <c r="T254" s="39" t="str">
        <f t="shared" si="321"/>
        <v/>
      </c>
      <c r="U254" s="39">
        <f t="shared" si="321"/>
        <v>0.13638262322472852</v>
      </c>
      <c r="V254" s="39" t="str">
        <f t="shared" si="321"/>
        <v/>
      </c>
      <c r="W254" s="39" t="str">
        <f t="shared" si="321"/>
        <v/>
      </c>
      <c r="X254" s="39" t="str">
        <f t="shared" si="321"/>
        <v/>
      </c>
      <c r="Y254" s="39" t="str">
        <f t="shared" si="321"/>
        <v/>
      </c>
      <c r="Z254" s="39" t="str">
        <f t="shared" si="321"/>
        <v/>
      </c>
      <c r="AA254" s="39">
        <f t="shared" si="321"/>
        <v>0.13589486967494885</v>
      </c>
      <c r="AB254" s="39" t="str">
        <f t="shared" si="321"/>
        <v/>
      </c>
      <c r="AC254" s="39" t="str">
        <f t="shared" si="321"/>
        <v/>
      </c>
      <c r="AD254" s="39" t="str">
        <f t="shared" si="321"/>
        <v/>
      </c>
      <c r="AE254" s="39" t="str">
        <f t="shared" si="321"/>
        <v/>
      </c>
      <c r="AF254" s="39" t="str">
        <f t="shared" si="321"/>
        <v/>
      </c>
      <c r="AG254" s="39">
        <f t="shared" si="321"/>
        <v>0.13209916740313504</v>
      </c>
      <c r="AH254" s="39" t="str">
        <f t="shared" si="321"/>
        <v/>
      </c>
      <c r="AI254" s="39" t="str">
        <f t="shared" ref="AI254:BN254" si="322">IFERROR(AI200/AI152,"")</f>
        <v/>
      </c>
      <c r="AJ254" s="39" t="str">
        <f t="shared" si="322"/>
        <v/>
      </c>
      <c r="AK254" s="39" t="str">
        <f t="shared" si="322"/>
        <v/>
      </c>
      <c r="AL254" s="39" t="str">
        <f t="shared" si="322"/>
        <v/>
      </c>
      <c r="AM254" s="39">
        <f t="shared" si="322"/>
        <v>0.14663184576388361</v>
      </c>
      <c r="AN254" s="39" t="str">
        <f t="shared" si="322"/>
        <v/>
      </c>
      <c r="AO254" s="39" t="str">
        <f t="shared" si="322"/>
        <v/>
      </c>
      <c r="AP254" s="39" t="str">
        <f t="shared" si="322"/>
        <v/>
      </c>
      <c r="AQ254" s="39" t="str">
        <f t="shared" si="322"/>
        <v/>
      </c>
      <c r="AR254" s="39" t="str">
        <f t="shared" si="322"/>
        <v/>
      </c>
      <c r="AS254" s="39">
        <f t="shared" si="322"/>
        <v>0.15717830312220005</v>
      </c>
      <c r="AT254" s="39" t="str">
        <f t="shared" si="322"/>
        <v/>
      </c>
      <c r="AU254" s="39" t="str">
        <f t="shared" si="322"/>
        <v/>
      </c>
      <c r="AV254" s="39" t="str">
        <f t="shared" si="322"/>
        <v/>
      </c>
      <c r="AW254" s="39" t="str">
        <f t="shared" si="322"/>
        <v/>
      </c>
      <c r="AX254" s="39" t="str">
        <f t="shared" si="322"/>
        <v/>
      </c>
      <c r="AY254" s="39">
        <f t="shared" si="322"/>
        <v>0.16696168921481855</v>
      </c>
      <c r="AZ254" s="39">
        <f t="shared" si="322"/>
        <v>0.14478715268926839</v>
      </c>
      <c r="BA254" s="39">
        <f t="shared" si="322"/>
        <v>0.16076954123503287</v>
      </c>
      <c r="BB254" s="39">
        <f t="shared" si="322"/>
        <v>0.1525623404673081</v>
      </c>
      <c r="BC254" s="39">
        <f t="shared" si="322"/>
        <v>0.17676902536715622</v>
      </c>
      <c r="BD254" s="39">
        <f t="shared" si="322"/>
        <v>0.18954652168540706</v>
      </c>
      <c r="BE254" s="39">
        <f t="shared" si="322"/>
        <v>0.16813557125267314</v>
      </c>
      <c r="BF254" s="39">
        <f t="shared" si="322"/>
        <v>0.18729055479707094</v>
      </c>
      <c r="BG254" s="39">
        <f t="shared" si="322"/>
        <v>0.22756467439785902</v>
      </c>
      <c r="BH254" s="39">
        <f t="shared" si="322"/>
        <v>0.21072299787200921</v>
      </c>
      <c r="BI254" s="39">
        <f t="shared" si="322"/>
        <v>0.2148791828645476</v>
      </c>
      <c r="BJ254" s="39">
        <f t="shared" si="322"/>
        <v>0.21450897724794651</v>
      </c>
      <c r="BK254" s="39">
        <f t="shared" si="322"/>
        <v>0.21303339618143602</v>
      </c>
      <c r="BL254" s="39">
        <f t="shared" si="322"/>
        <v>0.20976532929598787</v>
      </c>
      <c r="BM254" s="39">
        <f t="shared" si="322"/>
        <v>0.20711019324384125</v>
      </c>
      <c r="BN254" s="39">
        <f t="shared" si="322"/>
        <v>0.20842050209205024</v>
      </c>
      <c r="BO254" s="39">
        <f t="shared" ref="BO254:CS254" si="323">IFERROR(BO200/BO152,"")</f>
        <v>0.215679084775594</v>
      </c>
      <c r="BP254" s="39">
        <f t="shared" si="323"/>
        <v>0.2240163587646313</v>
      </c>
      <c r="BQ254" s="39">
        <f t="shared" si="323"/>
        <v>0.21428571428571433</v>
      </c>
      <c r="BR254" s="39">
        <f t="shared" si="323"/>
        <v>0.21123400563869005</v>
      </c>
      <c r="BS254" s="39">
        <f t="shared" si="323"/>
        <v>0.21436091808801858</v>
      </c>
      <c r="BT254" s="39">
        <f t="shared" si="323"/>
        <v>0.21282051282051284</v>
      </c>
      <c r="BU254" s="39">
        <f t="shared" si="323"/>
        <v>0.22759358288770051</v>
      </c>
      <c r="BV254" s="39">
        <f t="shared" si="323"/>
        <v>0.22673684210526318</v>
      </c>
      <c r="BW254" s="39">
        <f t="shared" si="323"/>
        <v>0.22001597018898059</v>
      </c>
      <c r="BX254" s="39">
        <f t="shared" si="323"/>
        <v>0.21176209169691126</v>
      </c>
      <c r="BY254" s="39">
        <f t="shared" si="323"/>
        <v>0.21621424932683206</v>
      </c>
      <c r="BZ254" s="39">
        <f t="shared" si="323"/>
        <v>0.21400778210116725</v>
      </c>
      <c r="CA254" s="39">
        <f t="shared" si="323"/>
        <v>0.22459300311742292</v>
      </c>
      <c r="CB254" s="39">
        <f t="shared" si="323"/>
        <v>0.22685216002130065</v>
      </c>
      <c r="CC254" s="39">
        <f t="shared" si="323"/>
        <v>0.22010582010582011</v>
      </c>
      <c r="CD254" s="39">
        <f t="shared" si="323"/>
        <v>0.21980826263880274</v>
      </c>
      <c r="CE254" s="39">
        <f t="shared" si="323"/>
        <v>0.22190658650987649</v>
      </c>
      <c r="CF254" s="39">
        <f t="shared" si="323"/>
        <v>0.22088001079767861</v>
      </c>
      <c r="CG254" s="39">
        <f t="shared" si="323"/>
        <v>0.22085092562520298</v>
      </c>
      <c r="CH254" s="39">
        <f t="shared" si="323"/>
        <v>0.23903739998759532</v>
      </c>
      <c r="CI254" s="39">
        <f t="shared" si="323"/>
        <v>0.22565980966085614</v>
      </c>
      <c r="CJ254" s="39">
        <f t="shared" si="323"/>
        <v>0.22562656239984613</v>
      </c>
      <c r="CK254" s="39">
        <f t="shared" si="323"/>
        <v>0.23422556390977445</v>
      </c>
      <c r="CL254" s="39">
        <f t="shared" si="323"/>
        <v>0.23006268230621241</v>
      </c>
      <c r="CM254" s="27">
        <f t="shared" si="323"/>
        <v>0.22200308897610879</v>
      </c>
      <c r="CN254" s="27">
        <f t="shared" si="323"/>
        <v>0.2211124311874578</v>
      </c>
      <c r="CO254" s="27">
        <f t="shared" si="323"/>
        <v>0.22565160837863185</v>
      </c>
      <c r="CP254" s="27">
        <f t="shared" si="323"/>
        <v>0.23362896372164457</v>
      </c>
      <c r="CQ254" s="27">
        <f t="shared" si="323"/>
        <v>0.23649817247460775</v>
      </c>
      <c r="CR254" s="27">
        <f t="shared" si="323"/>
        <v>0.23864429853018018</v>
      </c>
      <c r="CS254" s="27">
        <f t="shared" si="323"/>
        <v>0.24105429255725352</v>
      </c>
      <c r="CT254" s="22"/>
      <c r="CV254" s="40">
        <f t="shared" si="317"/>
        <v>0.23509546713246357</v>
      </c>
      <c r="CW254" s="40">
        <f t="shared" si="318"/>
        <v>0.21862014208456143</v>
      </c>
      <c r="CX254" s="40">
        <f t="shared" si="319"/>
        <v>0.18641072871795178</v>
      </c>
      <c r="CY254" s="40">
        <f t="shared" si="320"/>
        <v>0.15299586729676901</v>
      </c>
    </row>
    <row r="255" spans="2:103" ht="15" customHeight="1" x14ac:dyDescent="0.25">
      <c r="B255" s="25" t="s">
        <v>389</v>
      </c>
      <c r="C255" s="39"/>
      <c r="D255" s="39">
        <f>IFERROR((D200-C200)/(D152-C152),"")</f>
        <v>0.18984664198836515</v>
      </c>
      <c r="E255" s="39">
        <f>IFERROR((E200-D200)/(E152-D152),"")</f>
        <v>0.4583751253761289</v>
      </c>
      <c r="F255" s="39">
        <f>IFERROR((F200-E200)/(F152-E152),"")</f>
        <v>0.43776824034334616</v>
      </c>
      <c r="G255" s="39">
        <f>IFERROR((G200-F200)/(G152-F152),"")</f>
        <v>-1.1139240506329464</v>
      </c>
      <c r="H255" s="39">
        <f>IFERROR((H200-G200)/(H152-G152),"")</f>
        <v>0.19885791064830341</v>
      </c>
      <c r="I255" s="39">
        <f>IFERROR((I200-H200)/(I152-H152),"")</f>
        <v>0.11165048543689417</v>
      </c>
      <c r="J255" s="39"/>
      <c r="K255" s="39"/>
      <c r="L255" s="39"/>
      <c r="M255" s="39"/>
      <c r="N255" s="39"/>
      <c r="O255" s="39">
        <f>IFERROR((O200-I200)/(O152-I152),"")</f>
        <v>-3.3128253667783899E-3</v>
      </c>
      <c r="P255" s="39" t="str">
        <f>IFERROR((P200-J200)/(P152-J152),"")</f>
        <v/>
      </c>
      <c r="Q255" s="39" t="str">
        <f>IFERROR((Q200-K200)/(Q152-K152),"")</f>
        <v/>
      </c>
      <c r="R255" s="39" t="str">
        <f>IFERROR((R200-L200)/(R152-L152),"")</f>
        <v/>
      </c>
      <c r="S255" s="39" t="str">
        <f>IFERROR((S200-M200)/(S152-M152),"")</f>
        <v/>
      </c>
      <c r="T255" s="39" t="str">
        <f>IFERROR((T200-N200)/(T152-N152),"")</f>
        <v/>
      </c>
      <c r="U255" s="39">
        <f>IFERROR((U200-O200)/(U152-O152),"")</f>
        <v>0.98736462093862942</v>
      </c>
      <c r="V255" s="39" t="str">
        <f>IFERROR((V200-P200)/(V152-P152),"")</f>
        <v/>
      </c>
      <c r="W255" s="39" t="str">
        <f>IFERROR((W200-Q200)/(W152-Q152),"")</f>
        <v/>
      </c>
      <c r="X255" s="39" t="str">
        <f>IFERROR((X200-R200)/(X152-R152),"")</f>
        <v/>
      </c>
      <c r="Y255" s="39" t="str">
        <f>IFERROR((Y200-S200)/(Y152-S152),"")</f>
        <v/>
      </c>
      <c r="Z255" s="39" t="str">
        <f>IFERROR((Z200-T200)/(Z152-T152),"")</f>
        <v/>
      </c>
      <c r="AA255" s="39">
        <f>IFERROR((AA200-U200)/(AA152-U152),"")</f>
        <v>0.1480709071949963</v>
      </c>
      <c r="AB255" s="39" t="str">
        <f>IFERROR((AB200-V200)/(AB152-V152),"")</f>
        <v/>
      </c>
      <c r="AC255" s="39" t="str">
        <f>IFERROR((AC200-W200)/(AC152-W152),"")</f>
        <v/>
      </c>
      <c r="AD255" s="39" t="str">
        <f>IFERROR((AD200-X200)/(AD152-X152),"")</f>
        <v/>
      </c>
      <c r="AE255" s="39" t="str">
        <f>IFERROR((AE200-Y200)/(AE152-Y152),"")</f>
        <v/>
      </c>
      <c r="AF255" s="39" t="str">
        <f>IFERROR((AF200-Z200)/(AF152-Z152),"")</f>
        <v/>
      </c>
      <c r="AG255" s="39">
        <f>IFERROR((AG200-AA200)/(AG152-AA152),"")</f>
        <v>0.19095816464237472</v>
      </c>
      <c r="AH255" s="39" t="str">
        <f>IFERROR((AH200-AB200)/(AH152-AB152),"")</f>
        <v/>
      </c>
      <c r="AI255" s="39" t="str">
        <f>IFERROR((AI200-AC200)/(AI152-AC152),"")</f>
        <v/>
      </c>
      <c r="AJ255" s="39" t="str">
        <f>IFERROR((AJ200-AD200)/(AJ152-AD152),"")</f>
        <v/>
      </c>
      <c r="AK255" s="39" t="str">
        <f>IFERROR((AK200-AE200)/(AK152-AE152),"")</f>
        <v/>
      </c>
      <c r="AL255" s="39" t="str">
        <f>IFERROR((AL200-AF200)/(AL152-AF152),"")</f>
        <v/>
      </c>
      <c r="AM255" s="39">
        <f>IFERROR((AM200-AG200)/(AM152-AG152),"")</f>
        <v>0.2154659616655652</v>
      </c>
      <c r="AN255" s="39" t="str">
        <f>IFERROR((AN200-AH200)/(AN152-AH152),"")</f>
        <v/>
      </c>
      <c r="AO255" s="39" t="str">
        <f>IFERROR((AO200-AI200)/(AO152-AI152),"")</f>
        <v/>
      </c>
      <c r="AP255" s="39" t="str">
        <f>IFERROR((AP200-AJ200)/(AP152-AJ152),"")</f>
        <v/>
      </c>
      <c r="AQ255" s="39" t="str">
        <f>IFERROR((AQ200-AK200)/(AQ152-AK152),"")</f>
        <v/>
      </c>
      <c r="AR255" s="39" t="str">
        <f>IFERROR((AR200-AL200)/(AR152-AL152),"")</f>
        <v/>
      </c>
      <c r="AS255" s="39">
        <f>IFERROR((AS200-AM200)/(AS152-AM152),"")</f>
        <v>0.24932885906040272</v>
      </c>
      <c r="AT255" s="39" t="str">
        <f>IFERROR((AT200-AN200)/(AT152-AN152),"")</f>
        <v/>
      </c>
      <c r="AU255" s="39" t="str">
        <f>IFERROR((AU200-AO200)/(AU152-AO152),"")</f>
        <v/>
      </c>
      <c r="AV255" s="39" t="str">
        <f>IFERROR((AV200-AP200)/(AV152-AP152),"")</f>
        <v/>
      </c>
      <c r="AW255" s="39" t="str">
        <f>IFERROR((AW200-AQ200)/(AW152-AQ152),"")</f>
        <v/>
      </c>
      <c r="AX255" s="39" t="str">
        <f>IFERROR((AX200-AR200)/(AX152-AR152),"")</f>
        <v/>
      </c>
      <c r="AY255" s="39">
        <f>IFERROR((AY200-AS200)/(AY152-AS152),"")</f>
        <v>0.27540106951871607</v>
      </c>
      <c r="AZ255" s="39" t="str">
        <f>IFERROR((AZ200-AT200)/(AZ152-AT152),"")</f>
        <v/>
      </c>
      <c r="BA255" s="39" t="str">
        <f>IFERROR((BA200-AU200)/(BA152-AU152),"")</f>
        <v/>
      </c>
      <c r="BB255" s="39" t="str">
        <f>IFERROR((BB200-AV200)/(BB152-AV152),"")</f>
        <v/>
      </c>
      <c r="BC255" s="39" t="str">
        <f>IFERROR((BC200-AW200)/(BC152-AW152),"")</f>
        <v/>
      </c>
      <c r="BD255" s="39" t="str">
        <f>IFERROR((BD200-AX200)/(BD152-AX152),"")</f>
        <v/>
      </c>
      <c r="BE255" s="39">
        <f>IFERROR((BE200-AY200)/(BE152-AY152),"")</f>
        <v>0.12015503875969066</v>
      </c>
      <c r="BF255" s="39">
        <f>IFERROR((BF200-AZ200)/(BF152-AZ152),"")</f>
        <v>1.7677725118483425</v>
      </c>
      <c r="BG255" s="39">
        <f>IFERROR((BG200-BA200)/(BG152-BA152),"")</f>
        <v>0.35901509134233522</v>
      </c>
      <c r="BH255" s="39">
        <f>IFERROR((BH200-BB200)/(BH152-BB152),"")</f>
        <v>0.43355065195586789</v>
      </c>
      <c r="BI255" s="39">
        <f>IFERROR((BI200-BC200)/(BI152-BC152),"")</f>
        <v>0.26558891454965361</v>
      </c>
      <c r="BJ255" s="39">
        <f>IFERROR((BJ200-BD200)/(BJ152-BD152),"")</f>
        <v>0.2501765536723165</v>
      </c>
      <c r="BK255" s="39">
        <f>IFERROR((BK200-BE200)/(BK152-BE152),"")</f>
        <v>0.3037104901511683</v>
      </c>
      <c r="BL255" s="39">
        <f>IFERROR((BL200-BF200)/(BL152-BF152),"")</f>
        <v>0.24490588006986205</v>
      </c>
      <c r="BM255" s="39">
        <f>IFERROR((BM200-BG200)/(BM152-BG152),"")</f>
        <v>0.10945485519591139</v>
      </c>
      <c r="BN255" s="39">
        <f>IFERROR((BN200-BH200)/(BN152-BH152),"")</f>
        <v>0.20250633248900132</v>
      </c>
      <c r="BO255" s="39">
        <f>IFERROR((BO200-BI200)/(BO152-BI152),"")</f>
        <v>0.23597678916827805</v>
      </c>
      <c r="BP255" s="39">
        <f>IFERROR((BP200-BJ200)/(BP152-BJ152),"")</f>
        <v>0.5317647058823548</v>
      </c>
      <c r="BQ255" s="39">
        <f>IFERROR((BQ200-BK200)/(BQ152-BK152),"")</f>
        <v>0.22112993011962573</v>
      </c>
      <c r="BR255" s="39">
        <f>IFERROR((BR200-BL200)/(BR152-BL152),"")</f>
        <v>0.24237560192616336</v>
      </c>
      <c r="BS255" s="39">
        <f>IFERROR((BS200-BM200)/(BS152-BM152),"")</f>
        <v>0.35703918722786798</v>
      </c>
      <c r="BT255" s="39">
        <f>IFERROR((BT200-BN200)/(BT152-BN152),"")</f>
        <v>0.30259146341463405</v>
      </c>
      <c r="BU255" s="39">
        <f>IFERROR((BU200-BO200)/(BU152-BO152),"")</f>
        <v>0.64524421593830239</v>
      </c>
      <c r="BV255" s="39">
        <f>IFERROR((BV200-BP200)/(BV152-BP152),"")</f>
        <v>0.79411764705881716</v>
      </c>
      <c r="BW255" s="39">
        <f>IFERROR((BW200-BQ200)/(BW152-BQ152),"")</f>
        <v>0.39683436970039548</v>
      </c>
      <c r="BX255" s="39">
        <f>IFERROR((BX200-BR200)/(BX152-BR152),"")</f>
        <v>0.18975903614458012</v>
      </c>
      <c r="BY255" s="39">
        <f>IFERROR((BY200-BS200)/(BY152-BS152),"")</f>
        <v>0.16403162055336284</v>
      </c>
      <c r="BZ255" s="39">
        <f>IFERROR((BZ200-BT200)/(BZ152-BT152),"")</f>
        <v>0.17422434367542028</v>
      </c>
      <c r="CA255" s="39">
        <f>IFERROR((CA200-BU200)/(CA152-BU152),"")</f>
        <v>0.12195121951219512</v>
      </c>
      <c r="CB255" s="39">
        <f>IFERROR((CB200-BV200)/(CB152-BV152),"")</f>
        <v>0.22897800776196561</v>
      </c>
      <c r="CC255" s="39">
        <f>IFERROR((CC200-BW200)/(CC152-BW152),"")</f>
        <v>0.23478260869564954</v>
      </c>
      <c r="CD255" s="39">
        <f>IFERROR((CD200-BX200)/(CD152-BX152),"")</f>
        <v>0.32865731462926029</v>
      </c>
      <c r="CE255" s="39">
        <f>IFERROR((CE200-BY200)/(CE152-BY152),"")</f>
        <v>0.27793696275071694</v>
      </c>
      <c r="CF255" s="39">
        <f>IFERROR((CF200-BZ200)/(CF152-BZ152),"")</f>
        <v>0.299081035923143</v>
      </c>
      <c r="CG255" s="39">
        <f>IFERROR((CG200-CA200)/(CG152-CA152),"")</f>
        <v>0.16458333333333344</v>
      </c>
      <c r="CH255" s="39">
        <f>IFERROR((CH200-CB200)/(CH152-CB152),"")</f>
        <v>0.40545454545454512</v>
      </c>
      <c r="CI255" s="39">
        <f>IFERROR((CI200-CC200)/(CI152-CC152),"")</f>
        <v>0.29636281993713437</v>
      </c>
      <c r="CJ255" s="39">
        <f>IFERROR((CJ200-CD200)/(CJ152-CD152),"")</f>
        <v>0.30217785843920053</v>
      </c>
      <c r="CK255" s="39">
        <f>IFERROR((CK200-CE200)/(CK152-CE152),"")</f>
        <v>0.3595430107526883</v>
      </c>
      <c r="CL255" s="39">
        <f>IFERROR((CL200-CF200)/(CL152-CF152),"")</f>
        <v>0.33513513513513465</v>
      </c>
      <c r="CM255" s="27">
        <f>IFERROR((CM200-CG200)/(CM152-CG152),"")</f>
        <v>0.23369761185943197</v>
      </c>
      <c r="CN255" s="27">
        <f>IFERROR((CN200-CH200)/(CN152-CH152),"")</f>
        <v>4.0500135338925658E-2</v>
      </c>
      <c r="CO255" s="27">
        <f>IFERROR((CO200-CI200)/(CO152-CI152),"")</f>
        <v>0.22556372471605188</v>
      </c>
      <c r="CP255" s="27">
        <f>IFERROR((CP200-CO200)/(CP152-CO152),"")</f>
        <v>0.34161951543036972</v>
      </c>
      <c r="CQ255" s="27">
        <f>IFERROR((CQ200-CP200)/(CQ152-CP152),"")</f>
        <v>0.26717936767929856</v>
      </c>
      <c r="CR255" s="27">
        <f>IFERROR((CR200-CQ200)/(CR152-CQ152),"")</f>
        <v>0.26182674201544404</v>
      </c>
      <c r="CS255" s="27">
        <f>IFERROR((CS200-CR200)/(CS152-CR152),"")</f>
        <v>0.26803248265552765</v>
      </c>
      <c r="CT255" s="22"/>
      <c r="CV255" s="40">
        <f>IFERROR(AVERAGE(CO255,CP255,CQ255,CR255,CS255),"n/m")</f>
        <v>0.27284436649933841</v>
      </c>
      <c r="CW255" s="40">
        <f>IFERROR(AVERAGE(BK255,BQ255,BW255,CC255,CI255),"n/m")</f>
        <v>0.2905640437207947</v>
      </c>
      <c r="CX255" s="40">
        <f>IFERROR(AVERAGE(AG255,AM255,AS255,AY255,BE255,BK255,BQ255,BW255,CC255,CI255),"n/m")</f>
        <v>0.2504129312250723</v>
      </c>
      <c r="CY255" s="40">
        <f>IFERROR(AVERAGE(C255,D255,E255,F255,G255,H255,I255,O255,U255,AA255,AG255,AM255,AS255,AY255,BE255,BK255,BQ255,BW255,CC255,CI255),"n/m")</f>
        <v>0.20625401937777166</v>
      </c>
    </row>
    <row r="256" spans="2:103" ht="15" customHeight="1" x14ac:dyDescent="0.25">
      <c r="B256" s="25" t="s">
        <v>228</v>
      </c>
      <c r="C256" s="39">
        <f t="shared" ref="C256:AH256" si="324">IFERROR(C160/C152,"")</f>
        <v>8.7287189506000576E-2</v>
      </c>
      <c r="D256" s="39">
        <f t="shared" si="324"/>
        <v>0.10004314861616215</v>
      </c>
      <c r="E256" s="39">
        <f t="shared" si="324"/>
        <v>0.11533101045296162</v>
      </c>
      <c r="F256" s="39">
        <f t="shared" si="324"/>
        <v>0.1037467465649779</v>
      </c>
      <c r="G256" s="39">
        <f t="shared" si="324"/>
        <v>0.1085634351052184</v>
      </c>
      <c r="H256" s="39">
        <f t="shared" si="324"/>
        <v>0.11699881559297597</v>
      </c>
      <c r="I256" s="39">
        <f t="shared" si="324"/>
        <v>0.11427631269684588</v>
      </c>
      <c r="J256" s="39">
        <f t="shared" si="324"/>
        <v>0.10344221988057606</v>
      </c>
      <c r="K256" s="39">
        <f t="shared" si="324"/>
        <v>0.10798668885191344</v>
      </c>
      <c r="L256" s="39">
        <f t="shared" si="324"/>
        <v>0.10577580314422425</v>
      </c>
      <c r="M256" s="39">
        <f t="shared" si="324"/>
        <v>9.2722183344996545E-2</v>
      </c>
      <c r="N256" s="39">
        <f t="shared" si="324"/>
        <v>0.10643647334897759</v>
      </c>
      <c r="O256" s="39">
        <f t="shared" si="324"/>
        <v>0.10275378431540236</v>
      </c>
      <c r="P256" s="39">
        <f t="shared" si="324"/>
        <v>0.11508282476024412</v>
      </c>
      <c r="Q256" s="39">
        <f t="shared" si="324"/>
        <v>0.12443476804555358</v>
      </c>
      <c r="R256" s="39">
        <f t="shared" si="324"/>
        <v>0.11985306680334869</v>
      </c>
      <c r="S256" s="39">
        <f t="shared" si="324"/>
        <v>0.12360672101147901</v>
      </c>
      <c r="T256" s="39">
        <f t="shared" si="324"/>
        <v>0.12839466495259511</v>
      </c>
      <c r="U256" s="39">
        <f t="shared" si="324"/>
        <v>0.12301587301587306</v>
      </c>
      <c r="V256" s="39">
        <f t="shared" si="324"/>
        <v>0.11911504424778763</v>
      </c>
      <c r="W256" s="39">
        <f t="shared" si="324"/>
        <v>0.11926605504587166</v>
      </c>
      <c r="X256" s="39">
        <f t="shared" si="324"/>
        <v>0.11919138881596233</v>
      </c>
      <c r="Y256" s="39">
        <f t="shared" si="324"/>
        <v>0.12513503781058691</v>
      </c>
      <c r="Z256" s="39">
        <f t="shared" si="324"/>
        <v>0.12666666666666671</v>
      </c>
      <c r="AA256" s="39">
        <f t="shared" si="324"/>
        <v>0.12257952221400285</v>
      </c>
      <c r="AB256" s="39">
        <f t="shared" si="324"/>
        <v>0.11479736098020731</v>
      </c>
      <c r="AC256" s="39">
        <f t="shared" si="324"/>
        <v>9.9314433944784231E-2</v>
      </c>
      <c r="AD256" s="39">
        <f t="shared" si="324"/>
        <v>0.10698934778546065</v>
      </c>
      <c r="AE256" s="39">
        <f t="shared" si="324"/>
        <v>0.1305998481397114</v>
      </c>
      <c r="AF256" s="39">
        <f t="shared" si="324"/>
        <v>0.12750949538795436</v>
      </c>
      <c r="AG256" s="39">
        <f t="shared" si="324"/>
        <v>0.11805200241871718</v>
      </c>
      <c r="AH256" s="39">
        <f t="shared" si="324"/>
        <v>9.6802685037979175E-2</v>
      </c>
      <c r="AI256" s="39">
        <f t="shared" ref="AI256:BN256" si="325">IFERROR(AI160/AI152,"")</f>
        <v>0.12337952615109528</v>
      </c>
      <c r="AJ256" s="39">
        <f t="shared" si="325"/>
        <v>0.11121888134497253</v>
      </c>
      <c r="AK256" s="39">
        <f t="shared" si="325"/>
        <v>0.13515554213228634</v>
      </c>
      <c r="AL256" s="39">
        <f t="shared" si="325"/>
        <v>0.13429869392390686</v>
      </c>
      <c r="AM256" s="39">
        <f t="shared" si="325"/>
        <v>0.12355019586757821</v>
      </c>
      <c r="AN256" s="39">
        <f t="shared" si="325"/>
        <v>0.12708453133985054</v>
      </c>
      <c r="AO256" s="39">
        <f t="shared" si="325"/>
        <v>0.15221843003412969</v>
      </c>
      <c r="AP256" s="39">
        <f t="shared" si="325"/>
        <v>0.13997619214340723</v>
      </c>
      <c r="AQ256" s="39">
        <f t="shared" si="325"/>
        <v>0.1454570522542396</v>
      </c>
      <c r="AR256" s="39">
        <f t="shared" si="325"/>
        <v>0.14858364510956704</v>
      </c>
      <c r="AS256" s="39">
        <f t="shared" si="325"/>
        <v>0.1435660624440003</v>
      </c>
      <c r="AT256" s="39">
        <f t="shared" si="325"/>
        <v>0.1305689747718734</v>
      </c>
      <c r="AU256" s="39">
        <f t="shared" si="325"/>
        <v>0.16867007672634268</v>
      </c>
      <c r="AV256" s="39">
        <f t="shared" si="325"/>
        <v>0.15007857517024623</v>
      </c>
      <c r="AW256" s="39">
        <f t="shared" si="325"/>
        <v>0.1604338070306657</v>
      </c>
      <c r="AX256" s="39">
        <f t="shared" si="325"/>
        <v>0.16039319108127548</v>
      </c>
      <c r="AY256" s="39">
        <f t="shared" si="325"/>
        <v>0.15542420027816409</v>
      </c>
      <c r="AZ256" s="39">
        <f t="shared" si="325"/>
        <v>0.13255161865918938</v>
      </c>
      <c r="BA256" s="39">
        <f t="shared" si="325"/>
        <v>0.14771962868290048</v>
      </c>
      <c r="BB256" s="39">
        <f t="shared" si="325"/>
        <v>0.13993062373191967</v>
      </c>
      <c r="BC256" s="39">
        <f t="shared" si="325"/>
        <v>0.16355140186915887</v>
      </c>
      <c r="BD256" s="39">
        <f t="shared" si="325"/>
        <v>0.1776844186333868</v>
      </c>
      <c r="BE256" s="39">
        <f t="shared" si="325"/>
        <v>0.15556347611949969</v>
      </c>
      <c r="BF256" s="39">
        <f t="shared" si="325"/>
        <v>0.16780439369492373</v>
      </c>
      <c r="BG256" s="39">
        <f t="shared" si="325"/>
        <v>9.3131132917038353E-2</v>
      </c>
      <c r="BH256" s="39">
        <f t="shared" si="325"/>
        <v>0.12435771007422025</v>
      </c>
      <c r="BI256" s="39">
        <f t="shared" si="325"/>
        <v>0.14452321061056483</v>
      </c>
      <c r="BJ256" s="39">
        <f t="shared" si="325"/>
        <v>0.14181871047466743</v>
      </c>
      <c r="BK256" s="39">
        <f t="shared" si="325"/>
        <v>0.13529679474676554</v>
      </c>
      <c r="BL256" s="39">
        <f t="shared" si="325"/>
        <v>0.1691900075700227</v>
      </c>
      <c r="BM256" s="39">
        <f t="shared" si="325"/>
        <v>0.16927275409352407</v>
      </c>
      <c r="BN256" s="39">
        <f t="shared" si="325"/>
        <v>0.16923191870890619</v>
      </c>
      <c r="BO256" s="39">
        <f t="shared" ref="BO256:CS256" si="326">IFERROR(BO160/BO152,"")</f>
        <v>0.17981812848342621</v>
      </c>
      <c r="BP256" s="39">
        <f t="shared" si="326"/>
        <v>0.19306162741503322</v>
      </c>
      <c r="BQ256" s="39">
        <f t="shared" si="326"/>
        <v>0.17806763639028325</v>
      </c>
      <c r="BR256" s="39">
        <f t="shared" si="326"/>
        <v>0.17530542904648302</v>
      </c>
      <c r="BS256" s="39">
        <f t="shared" si="326"/>
        <v>0.17975714185442554</v>
      </c>
      <c r="BT256" s="39">
        <f t="shared" si="326"/>
        <v>0.17756410256410257</v>
      </c>
      <c r="BU256" s="39">
        <f t="shared" si="326"/>
        <v>0.18844919786096254</v>
      </c>
      <c r="BV256" s="39">
        <f t="shared" si="326"/>
        <v>0.19052631578947368</v>
      </c>
      <c r="BW256" s="39">
        <f t="shared" si="326"/>
        <v>0.18355070535001333</v>
      </c>
      <c r="BX256" s="39">
        <f t="shared" si="326"/>
        <v>0.17354270054070062</v>
      </c>
      <c r="BY256" s="39">
        <f t="shared" si="326"/>
        <v>0.17975402081362341</v>
      </c>
      <c r="BZ256" s="39">
        <f t="shared" si="326"/>
        <v>0.17667572131267886</v>
      </c>
      <c r="CA256" s="39">
        <f t="shared" si="326"/>
        <v>0.18753030827848977</v>
      </c>
      <c r="CB256" s="39">
        <f t="shared" si="326"/>
        <v>0.15782466884111027</v>
      </c>
      <c r="CC256" s="39">
        <f t="shared" si="326"/>
        <v>0.17444444444444446</v>
      </c>
      <c r="CD256" s="39">
        <f t="shared" si="326"/>
        <v>0.17883991999448245</v>
      </c>
      <c r="CE256" s="39">
        <f t="shared" si="326"/>
        <v>0.18378806897007333</v>
      </c>
      <c r="CF256" s="39">
        <f t="shared" si="326"/>
        <v>0.18136725603995149</v>
      </c>
      <c r="CG256" s="39">
        <f t="shared" si="326"/>
        <v>0.18369600519649235</v>
      </c>
      <c r="CH256" s="39">
        <f t="shared" si="326"/>
        <v>0.20436643304595917</v>
      </c>
      <c r="CI256" s="39">
        <f t="shared" si="326"/>
        <v>0.1880171370638061</v>
      </c>
      <c r="CJ256" s="39">
        <f t="shared" si="326"/>
        <v>0.18857765527850776</v>
      </c>
      <c r="CK256" s="39">
        <f t="shared" si="326"/>
        <v>0.20042105263157897</v>
      </c>
      <c r="CL256" s="39">
        <f t="shared" si="326"/>
        <v>0.19468751939427795</v>
      </c>
      <c r="CM256" s="27">
        <f t="shared" si="326"/>
        <v>0.18847608417915532</v>
      </c>
      <c r="CN256" s="27">
        <f t="shared" si="326"/>
        <v>0.18912035068087504</v>
      </c>
      <c r="CO256" s="27">
        <f t="shared" si="326"/>
        <v>0.19164068723426497</v>
      </c>
      <c r="CP256" s="27">
        <f t="shared" si="326"/>
        <v>0.20191062565974086</v>
      </c>
      <c r="CQ256" s="27">
        <f t="shared" si="326"/>
        <v>0.20461126168538057</v>
      </c>
      <c r="CR256" s="27">
        <f t="shared" si="326"/>
        <v>0.21117672416098612</v>
      </c>
      <c r="CS256" s="27">
        <f t="shared" si="326"/>
        <v>0.21552173786846138</v>
      </c>
      <c r="CT256" s="22"/>
      <c r="CV256" s="40">
        <f t="shared" si="317"/>
        <v>0.20497220732176674</v>
      </c>
      <c r="CW256" s="40">
        <f t="shared" si="318"/>
        <v>0.17187534359906254</v>
      </c>
      <c r="CX256" s="40">
        <f t="shared" si="319"/>
        <v>0.15555326551232723</v>
      </c>
      <c r="CY256" s="40">
        <f t="shared" si="320"/>
        <v>0.13250642466018464</v>
      </c>
    </row>
    <row r="257" spans="2:103" ht="15" customHeight="1" x14ac:dyDescent="0.25">
      <c r="B257" s="25" t="s">
        <v>387</v>
      </c>
      <c r="C257" s="39">
        <f t="shared" ref="C257:AH257" si="327">IFERROR(C211/C152,"")</f>
        <v>0.11310354451576893</v>
      </c>
      <c r="D257" s="39">
        <f t="shared" si="327"/>
        <v>0.12322011958330757</v>
      </c>
      <c r="E257" s="39">
        <f t="shared" si="327"/>
        <v>0.14163763066202087</v>
      </c>
      <c r="F257" s="39">
        <f t="shared" si="327"/>
        <v>0.12935052357605473</v>
      </c>
      <c r="G257" s="39">
        <f t="shared" si="327"/>
        <v>0.13702712565381348</v>
      </c>
      <c r="H257" s="39">
        <f t="shared" si="327"/>
        <v>0.15036819609660643</v>
      </c>
      <c r="I257" s="39">
        <f t="shared" si="327"/>
        <v>0.1524467635030321</v>
      </c>
      <c r="J257" s="39">
        <f t="shared" si="327"/>
        <v>0.14102564102564105</v>
      </c>
      <c r="K257" s="39">
        <f t="shared" si="327"/>
        <v>0.14475873544093174</v>
      </c>
      <c r="L257" s="39">
        <f t="shared" si="327"/>
        <v>0.14294258373205745</v>
      </c>
      <c r="M257" s="39">
        <f t="shared" si="327"/>
        <v>0.13191042687193846</v>
      </c>
      <c r="N257" s="39">
        <f t="shared" si="327"/>
        <v>0.15554810593362389</v>
      </c>
      <c r="O257" s="39">
        <f t="shared" si="327"/>
        <v>0.14346190028222011</v>
      </c>
      <c r="P257" s="39">
        <f t="shared" si="327"/>
        <v>0.15658238884045336</v>
      </c>
      <c r="Q257" s="39">
        <f t="shared" si="327"/>
        <v>0.17735722659521022</v>
      </c>
      <c r="R257" s="39">
        <f t="shared" si="327"/>
        <v>0.16717922432940371</v>
      </c>
      <c r="S257" s="39">
        <f t="shared" si="327"/>
        <v>0.1597072034603228</v>
      </c>
      <c r="T257" s="39">
        <f t="shared" si="327"/>
        <v>0.16663988430017665</v>
      </c>
      <c r="U257" s="39">
        <f t="shared" si="327"/>
        <v>0.16516290726817048</v>
      </c>
      <c r="V257" s="39">
        <f t="shared" si="327"/>
        <v>0.16159292035398232</v>
      </c>
      <c r="W257" s="39">
        <f t="shared" si="327"/>
        <v>0.1646183140038083</v>
      </c>
      <c r="X257" s="39">
        <f t="shared" si="327"/>
        <v>0.16312242933403356</v>
      </c>
      <c r="Y257" s="39">
        <f t="shared" si="327"/>
        <v>0.16078501980554552</v>
      </c>
      <c r="Z257" s="39">
        <f t="shared" si="327"/>
        <v>0.16116666666666671</v>
      </c>
      <c r="AA257" s="39">
        <f t="shared" si="327"/>
        <v>0.16204690831556501</v>
      </c>
      <c r="AB257" s="39">
        <f t="shared" si="327"/>
        <v>0.15212064090480676</v>
      </c>
      <c r="AC257" s="39">
        <f t="shared" si="327"/>
        <v>0.17139151380396525</v>
      </c>
      <c r="AD257" s="39">
        <f t="shared" si="327"/>
        <v>0.16183890861521208</v>
      </c>
      <c r="AE257" s="39">
        <f t="shared" si="327"/>
        <v>0.17236142748671215</v>
      </c>
      <c r="AF257" s="39">
        <f t="shared" si="327"/>
        <v>0.16223548562126963</v>
      </c>
      <c r="AG257" s="39">
        <f t="shared" si="327"/>
        <v>0.16451927996651008</v>
      </c>
      <c r="AH257" s="39">
        <f t="shared" si="327"/>
        <v>0.14926691397279632</v>
      </c>
      <c r="AI257" s="39">
        <f t="shared" ref="AI257:BN257" si="328">IFERROR(AI211/AI152,"")</f>
        <v>0.18283415288332594</v>
      </c>
      <c r="AJ257" s="39">
        <f t="shared" si="328"/>
        <v>0.16747494342062724</v>
      </c>
      <c r="AK257" s="39">
        <f t="shared" si="328"/>
        <v>0.18755662941709458</v>
      </c>
      <c r="AL257" s="39">
        <f t="shared" si="328"/>
        <v>0.17092561044860877</v>
      </c>
      <c r="AM257" s="39">
        <f t="shared" si="328"/>
        <v>0.17351563100084497</v>
      </c>
      <c r="AN257" s="39">
        <f t="shared" si="328"/>
        <v>0.16978148361127091</v>
      </c>
      <c r="AO257" s="39">
        <f t="shared" si="328"/>
        <v>0.18935153583617745</v>
      </c>
      <c r="AP257" s="39">
        <f t="shared" si="328"/>
        <v>0.17981934038232605</v>
      </c>
      <c r="AQ257" s="39">
        <f t="shared" si="328"/>
        <v>0.18406176754446432</v>
      </c>
      <c r="AR257" s="39">
        <f t="shared" si="328"/>
        <v>0.18987172634954566</v>
      </c>
      <c r="AS257" s="39">
        <f t="shared" si="328"/>
        <v>0.18347232752084916</v>
      </c>
      <c r="AT257" s="39">
        <f t="shared" si="328"/>
        <v>0.16894793344068715</v>
      </c>
      <c r="AU257" s="39">
        <f t="shared" si="328"/>
        <v>0.20511508951406646</v>
      </c>
      <c r="AV257" s="39">
        <f t="shared" si="328"/>
        <v>0.18746726034573075</v>
      </c>
      <c r="AW257" s="39">
        <f t="shared" si="328"/>
        <v>0.19546247818499132</v>
      </c>
      <c r="AX257" s="39">
        <f t="shared" si="328"/>
        <v>0.19599616398945099</v>
      </c>
      <c r="AY257" s="39">
        <f t="shared" si="328"/>
        <v>0.19174358325957766</v>
      </c>
      <c r="AZ257" s="39">
        <f t="shared" si="328"/>
        <v>0.17129747642110629</v>
      </c>
      <c r="BA257" s="39">
        <f t="shared" si="328"/>
        <v>0.18915646441544454</v>
      </c>
      <c r="BB257" s="39">
        <f t="shared" si="328"/>
        <v>0.17998560115190787</v>
      </c>
      <c r="BC257" s="39">
        <f t="shared" si="328"/>
        <v>0.20427236315086783</v>
      </c>
      <c r="BD257" s="39">
        <f t="shared" si="328"/>
        <v>0.21401210923019884</v>
      </c>
      <c r="BE257" s="39">
        <f t="shared" si="328"/>
        <v>0.19480266995010043</v>
      </c>
      <c r="BF257" s="39">
        <f t="shared" si="328"/>
        <v>0.19709569318604944</v>
      </c>
      <c r="BG257" s="39">
        <f t="shared" si="328"/>
        <v>0.25950044603033007</v>
      </c>
      <c r="BH257" s="39">
        <f t="shared" si="328"/>
        <v>0.23340426636217373</v>
      </c>
      <c r="BI257" s="39">
        <f t="shared" si="328"/>
        <v>0.24308255202378232</v>
      </c>
      <c r="BJ257" s="39">
        <f t="shared" si="328"/>
        <v>0.24045940248600711</v>
      </c>
      <c r="BK257" s="39">
        <f t="shared" si="328"/>
        <v>0.23825932427453791</v>
      </c>
      <c r="BL257" s="39">
        <f t="shared" si="328"/>
        <v>0.23633610900832702</v>
      </c>
      <c r="BM257" s="39">
        <f t="shared" si="328"/>
        <v>0.24096474406254606</v>
      </c>
      <c r="BN257" s="39">
        <f t="shared" si="328"/>
        <v>0.23868051404662285</v>
      </c>
      <c r="BO257" s="39">
        <f t="shared" ref="BO257:CS257" si="329">IFERROR(BO211/BO152,"")</f>
        <v>0.24501320035200938</v>
      </c>
      <c r="BP257" s="39">
        <f t="shared" si="329"/>
        <v>0.24862501762797923</v>
      </c>
      <c r="BQ257" s="39">
        <f t="shared" si="329"/>
        <v>0.24284615102773605</v>
      </c>
      <c r="BR257" s="39">
        <f t="shared" si="329"/>
        <v>0.23624665654594085</v>
      </c>
      <c r="BS257" s="39">
        <f t="shared" si="329"/>
        <v>0.23668140661191833</v>
      </c>
      <c r="BT257" s="39">
        <f t="shared" si="329"/>
        <v>0.23646723646723647</v>
      </c>
      <c r="BU257" s="39">
        <f t="shared" si="329"/>
        <v>0.24755793226381462</v>
      </c>
      <c r="BV257" s="39">
        <f t="shared" si="329"/>
        <v>0.24575438596491231</v>
      </c>
      <c r="BW257" s="39">
        <f t="shared" si="329"/>
        <v>0.24157572531274951</v>
      </c>
      <c r="BX257" s="39">
        <f t="shared" si="329"/>
        <v>0.23583438263832296</v>
      </c>
      <c r="BY257" s="39">
        <f t="shared" si="329"/>
        <v>0.23746452223273409</v>
      </c>
      <c r="BZ257" s="39">
        <f t="shared" si="329"/>
        <v>0.23665663314000435</v>
      </c>
      <c r="CA257" s="39">
        <f t="shared" si="329"/>
        <v>0.24343609282992729</v>
      </c>
      <c r="CB257" s="39">
        <f t="shared" si="329"/>
        <v>0.2466218465020302</v>
      </c>
      <c r="CC257" s="39">
        <f t="shared" si="329"/>
        <v>0.24102292768959435</v>
      </c>
      <c r="CD257" s="39">
        <f t="shared" si="329"/>
        <v>0.23746465273467138</v>
      </c>
      <c r="CE257" s="39">
        <f t="shared" si="329"/>
        <v>0.24298077558300851</v>
      </c>
      <c r="CF257" s="39">
        <f t="shared" si="329"/>
        <v>0.24028208935078968</v>
      </c>
      <c r="CG257" s="39">
        <f t="shared" si="329"/>
        <v>0.24228645664176676</v>
      </c>
      <c r="CH257" s="39">
        <f t="shared" si="329"/>
        <v>0.25981517087390682</v>
      </c>
      <c r="CI257" s="39">
        <f t="shared" si="329"/>
        <v>0.24593648821009254</v>
      </c>
      <c r="CJ257" s="39">
        <f t="shared" si="329"/>
        <v>0.2425485545798346</v>
      </c>
      <c r="CK257" s="39">
        <f t="shared" si="329"/>
        <v>0.25311278195488723</v>
      </c>
      <c r="CL257" s="39">
        <f t="shared" si="329"/>
        <v>0.24799851051945637</v>
      </c>
      <c r="CM257" s="27">
        <f t="shared" si="329"/>
        <v>0.24194177337727274</v>
      </c>
      <c r="CN257" s="27">
        <f t="shared" si="329"/>
        <v>0.24098073105326084</v>
      </c>
      <c r="CO257" s="27">
        <f t="shared" si="329"/>
        <v>0.24460628716077656</v>
      </c>
      <c r="CP257" s="27">
        <f t="shared" si="329"/>
        <v>0.25452172240486115</v>
      </c>
      <c r="CQ257" s="27">
        <f t="shared" si="329"/>
        <v>0.25727182333993648</v>
      </c>
      <c r="CR257" s="27">
        <f t="shared" si="329"/>
        <v>0.25931003112940326</v>
      </c>
      <c r="CS257" s="27">
        <f t="shared" si="329"/>
        <v>0.26162442862049096</v>
      </c>
      <c r="CT257" s="22"/>
      <c r="CV257" s="40">
        <f t="shared" si="317"/>
        <v>0.25546685853109369</v>
      </c>
      <c r="CW257" s="40">
        <f t="shared" si="318"/>
        <v>0.24192812330294208</v>
      </c>
      <c r="CX257" s="40">
        <f t="shared" si="319"/>
        <v>0.21176941082125927</v>
      </c>
      <c r="CY257" s="40">
        <f t="shared" si="320"/>
        <v>0.17677598638345765</v>
      </c>
    </row>
    <row r="258" spans="2:103" ht="15" customHeight="1" x14ac:dyDescent="0.25">
      <c r="B258" s="25" t="s">
        <v>388</v>
      </c>
      <c r="C258" s="39">
        <f t="shared" ref="C258:AH258" si="330">IFERROR(C171/C152,"")</f>
        <v>5.6028467764443209E-2</v>
      </c>
      <c r="D258" s="39">
        <f t="shared" si="330"/>
        <v>6.0716267028293067E-2</v>
      </c>
      <c r="E258" s="39">
        <f t="shared" si="330"/>
        <v>6.4634146341463375E-2</v>
      </c>
      <c r="F258" s="39">
        <f t="shared" si="330"/>
        <v>6.8579383814539069E-2</v>
      </c>
      <c r="G258" s="39">
        <f t="shared" si="330"/>
        <v>7.328792117747239E-2</v>
      </c>
      <c r="H258" s="39">
        <f t="shared" si="330"/>
        <v>0.13141768371182863</v>
      </c>
      <c r="I258" s="39">
        <f t="shared" si="330"/>
        <v>7.7140036666196704E-2</v>
      </c>
      <c r="J258" s="39">
        <f t="shared" si="330"/>
        <v>7.0951879171057275E-2</v>
      </c>
      <c r="K258" s="39">
        <f t="shared" si="330"/>
        <v>7.1381031613976673E-2</v>
      </c>
      <c r="L258" s="39">
        <f t="shared" si="330"/>
        <v>7.1172248803827803E-2</v>
      </c>
      <c r="M258" s="39">
        <f t="shared" si="330"/>
        <v>8.1875437368789411E-2</v>
      </c>
      <c r="N258" s="39">
        <f t="shared" si="330"/>
        <v>9.20214549111633E-2</v>
      </c>
      <c r="O258" s="39">
        <f t="shared" si="330"/>
        <v>7.9107158128794985E-2</v>
      </c>
      <c r="P258" s="39">
        <f t="shared" si="330"/>
        <v>7.9860505666957279E-2</v>
      </c>
      <c r="Q258" s="39">
        <f t="shared" si="330"/>
        <v>9.3954111539105753E-2</v>
      </c>
      <c r="R258" s="39">
        <f t="shared" si="330"/>
        <v>8.7049376388176961E-2</v>
      </c>
      <c r="S258" s="39">
        <f t="shared" si="330"/>
        <v>9.2497088670770333E-2</v>
      </c>
      <c r="T258" s="39">
        <f t="shared" si="330"/>
        <v>9.6737907761529685E-2</v>
      </c>
      <c r="U258" s="39">
        <f t="shared" si="330"/>
        <v>9.0935672514619939E-2</v>
      </c>
      <c r="V258" s="39">
        <f t="shared" si="330"/>
        <v>7.7345132743362854E-2</v>
      </c>
      <c r="W258" s="39">
        <f t="shared" si="330"/>
        <v>8.3607408689631402E-2</v>
      </c>
      <c r="X258" s="39">
        <f t="shared" si="330"/>
        <v>8.0511070272162547E-2</v>
      </c>
      <c r="Y258" s="39">
        <f t="shared" si="330"/>
        <v>8.6964350018004982E-2</v>
      </c>
      <c r="Z258" s="39">
        <f t="shared" si="330"/>
        <v>9.2500000000000041E-2</v>
      </c>
      <c r="AA258" s="39">
        <f t="shared" si="330"/>
        <v>8.5200818067098893E-2</v>
      </c>
      <c r="AB258" s="39">
        <f t="shared" si="330"/>
        <v>7.3515551366635207E-2</v>
      </c>
      <c r="AC258" s="39">
        <f t="shared" si="330"/>
        <v>8.6900129701686202E-2</v>
      </c>
      <c r="AD258" s="39">
        <f t="shared" si="330"/>
        <v>8.0265370958699317E-2</v>
      </c>
      <c r="AE258" s="39">
        <f t="shared" si="330"/>
        <v>9.8709187547456265E-2</v>
      </c>
      <c r="AF258" s="39">
        <f t="shared" si="330"/>
        <v>9.5858202206547255E-2</v>
      </c>
      <c r="AG258" s="39">
        <f t="shared" si="330"/>
        <v>8.879482766640312E-2</v>
      </c>
      <c r="AH258" s="39">
        <f t="shared" si="330"/>
        <v>5.3877406818583301E-2</v>
      </c>
      <c r="AI258" s="39">
        <f t="shared" ref="AI258:BN258" si="331">IFERROR(AI171/AI152,"")</f>
        <v>8.9554462822232228E-2</v>
      </c>
      <c r="AJ258" s="39">
        <f t="shared" si="331"/>
        <v>7.3229873908826404E-2</v>
      </c>
      <c r="AK258" s="39">
        <f t="shared" si="331"/>
        <v>0.10419812745394144</v>
      </c>
      <c r="AL258" s="39">
        <f t="shared" si="331"/>
        <v>9.5968199886428157E-2</v>
      </c>
      <c r="AM258" s="39">
        <f t="shared" si="331"/>
        <v>8.725708579768035E-2</v>
      </c>
      <c r="AN258" s="39">
        <f t="shared" si="331"/>
        <v>9.5600920069005238E-2</v>
      </c>
      <c r="AO258" s="39">
        <f t="shared" si="331"/>
        <v>0.11726962457337883</v>
      </c>
      <c r="AP258" s="39">
        <f t="shared" si="331"/>
        <v>0.10671521602128693</v>
      </c>
      <c r="AQ258" s="39">
        <f t="shared" si="331"/>
        <v>0.12450020681097473</v>
      </c>
      <c r="AR258" s="39">
        <f t="shared" si="331"/>
        <v>0.12172634954569744</v>
      </c>
      <c r="AS258" s="39">
        <f t="shared" si="331"/>
        <v>0.11503204907298921</v>
      </c>
      <c r="AT258" s="39">
        <f t="shared" si="331"/>
        <v>0.10104669887278592</v>
      </c>
      <c r="AU258" s="39">
        <f t="shared" si="331"/>
        <v>0.13375959079283886</v>
      </c>
      <c r="AV258" s="39">
        <f t="shared" si="331"/>
        <v>0.1177972760607648</v>
      </c>
      <c r="AW258" s="39">
        <f t="shared" si="331"/>
        <v>0.13300922463226134</v>
      </c>
      <c r="AX258" s="39">
        <f t="shared" si="331"/>
        <v>0.13869575641333018</v>
      </c>
      <c r="AY258" s="39">
        <f t="shared" si="331"/>
        <v>0.12716525477304336</v>
      </c>
      <c r="AZ258" s="39">
        <f t="shared" si="331"/>
        <v>0.10476676013255162</v>
      </c>
      <c r="BA258" s="39">
        <f t="shared" si="331"/>
        <v>0.12605946454997971</v>
      </c>
      <c r="BB258" s="39">
        <f t="shared" si="331"/>
        <v>0.11512533542771125</v>
      </c>
      <c r="BC258" s="39">
        <f t="shared" si="331"/>
        <v>0.12536715620827771</v>
      </c>
      <c r="BD258" s="39">
        <f t="shared" si="331"/>
        <v>0.16322748053873709</v>
      </c>
      <c r="BE258" s="39">
        <f t="shared" si="331"/>
        <v>0.13022487201088714</v>
      </c>
      <c r="BF258" s="39">
        <f t="shared" si="331"/>
        <v>0.10512597741094705</v>
      </c>
      <c r="BG258" s="39">
        <f t="shared" si="331"/>
        <v>5.7716324710080279E-2</v>
      </c>
      <c r="BH258" s="39">
        <f t="shared" si="331"/>
        <v>7.7541911039601466E-2</v>
      </c>
      <c r="BI258" s="39">
        <f t="shared" si="331"/>
        <v>0.10221815687171279</v>
      </c>
      <c r="BJ258" s="39">
        <f t="shared" si="331"/>
        <v>0.11761285163916552</v>
      </c>
      <c r="BK258" s="39">
        <f t="shared" si="331"/>
        <v>9.6504345187785862E-2</v>
      </c>
      <c r="BL258" s="39">
        <f t="shared" si="331"/>
        <v>0.16093868281604842</v>
      </c>
      <c r="BM258" s="39">
        <f t="shared" si="331"/>
        <v>0.12634606874170229</v>
      </c>
      <c r="BN258" s="39">
        <f t="shared" si="331"/>
        <v>0.14341751344889422</v>
      </c>
      <c r="BO258" s="39">
        <f t="shared" ref="BO258:CS258" si="332">IFERROR(BO171/BO152,"")</f>
        <v>0.13075682018187149</v>
      </c>
      <c r="BP258" s="39">
        <f t="shared" si="332"/>
        <v>0.15963897898744897</v>
      </c>
      <c r="BQ258" s="39">
        <f t="shared" si="332"/>
        <v>0.14446927783680802</v>
      </c>
      <c r="BR258" s="39">
        <f t="shared" si="332"/>
        <v>0.12918383575507841</v>
      </c>
      <c r="BS258" s="39">
        <f t="shared" si="332"/>
        <v>0.13006246929178078</v>
      </c>
      <c r="BT258" s="39">
        <f t="shared" si="332"/>
        <v>0.12962962962962962</v>
      </c>
      <c r="BU258" s="39">
        <f t="shared" si="332"/>
        <v>0.14160427807486628</v>
      </c>
      <c r="BV258" s="39">
        <f t="shared" si="332"/>
        <v>0.22673684210526318</v>
      </c>
      <c r="BW258" s="39">
        <f t="shared" si="332"/>
        <v>0.15716440422322778</v>
      </c>
      <c r="BX258" s="39">
        <f t="shared" si="332"/>
        <v>0.13221242870898442</v>
      </c>
      <c r="BY258" s="39">
        <f t="shared" si="332"/>
        <v>0.13114038279601187</v>
      </c>
      <c r="BZ258" s="39">
        <f t="shared" si="332"/>
        <v>0.13167168342999769</v>
      </c>
      <c r="CA258" s="39">
        <f t="shared" si="332"/>
        <v>0.18150329061309323</v>
      </c>
      <c r="CB258" s="39">
        <f t="shared" si="332"/>
        <v>0.1321307328762564</v>
      </c>
      <c r="CC258" s="39">
        <f t="shared" si="332"/>
        <v>0.14447971781305116</v>
      </c>
      <c r="CD258" s="39">
        <f t="shared" si="332"/>
        <v>0.13007793640940762</v>
      </c>
      <c r="CE258" s="39">
        <f t="shared" si="332"/>
        <v>0.13866684283543632</v>
      </c>
      <c r="CF258" s="39">
        <f t="shared" si="332"/>
        <v>0.13446484005938733</v>
      </c>
      <c r="CG258" s="39">
        <f t="shared" si="332"/>
        <v>0.14335823319259494</v>
      </c>
      <c r="CH258" s="39">
        <f t="shared" si="332"/>
        <v>0.17093593003783411</v>
      </c>
      <c r="CI258" s="39">
        <f t="shared" si="332"/>
        <v>0.14631912875690881</v>
      </c>
      <c r="CJ258" s="39">
        <f t="shared" si="332"/>
        <v>0.14537529645535538</v>
      </c>
      <c r="CK258" s="39">
        <f t="shared" si="332"/>
        <v>0.15139849624060156</v>
      </c>
      <c r="CL258" s="39">
        <f t="shared" si="332"/>
        <v>0.148482591696146</v>
      </c>
      <c r="CM258" s="27">
        <f t="shared" si="332"/>
        <v>0.14284780568519262</v>
      </c>
      <c r="CN258" s="27">
        <f t="shared" si="332"/>
        <v>0.14358731275936623</v>
      </c>
      <c r="CO258" s="27">
        <f t="shared" si="332"/>
        <v>0.14575971783213174</v>
      </c>
      <c r="CP258" s="27">
        <f t="shared" si="332"/>
        <v>0.15690107987360605</v>
      </c>
      <c r="CQ258" s="27">
        <f t="shared" si="332"/>
        <v>0.15654145814946366</v>
      </c>
      <c r="CR258" s="27">
        <f t="shared" si="332"/>
        <v>0.15919678502607643</v>
      </c>
      <c r="CS258" s="27">
        <f t="shared" si="332"/>
        <v>0.16228808105321596</v>
      </c>
      <c r="CT258" s="22"/>
      <c r="CV258" s="40">
        <f t="shared" si="317"/>
        <v>0.15613742438689876</v>
      </c>
      <c r="CW258" s="40">
        <f t="shared" si="318"/>
        <v>0.13778737476355632</v>
      </c>
      <c r="CX258" s="40">
        <f t="shared" si="319"/>
        <v>0.12374109631387846</v>
      </c>
      <c r="CY258" s="40">
        <f t="shared" si="320"/>
        <v>0.10122292591767676</v>
      </c>
    </row>
    <row r="259" spans="2:103" ht="15" customHeight="1" x14ac:dyDescent="0.25">
      <c r="B259" s="25" t="s">
        <v>390</v>
      </c>
      <c r="C259" s="39">
        <f>IFERROR(C157/C152,"")</f>
        <v>0.20087915154898128</v>
      </c>
      <c r="D259" s="39">
        <f>IFERROR(D157/D152,"")</f>
        <v>0.19946988843000679</v>
      </c>
      <c r="E259" s="39">
        <f>IFERROR(E157/E152,"")</f>
        <v>0.18437862950058073</v>
      </c>
      <c r="F259" s="39">
        <f>IFERROR(F157/F152,"")</f>
        <v>0.18364505780521759</v>
      </c>
      <c r="G259" s="39">
        <f>IFERROR(G157/G152,"")</f>
        <v>0.19316384868020922</v>
      </c>
      <c r="H259" s="39">
        <f>IFERROR(H157/H152,"")</f>
        <v>0.21834286008548329</v>
      </c>
      <c r="I259" s="39">
        <f>IFERROR(I157/I152,"")</f>
        <v>0.23743712687444177</v>
      </c>
      <c r="J259" s="39">
        <f>IFERROR(J157/J152,"")</f>
        <v>0.25482964524060414</v>
      </c>
      <c r="K259" s="39">
        <f>IFERROR(K157/K152,"")</f>
        <v>0.25374376039933444</v>
      </c>
      <c r="L259" s="39">
        <f>IFERROR(L157/L152,"")</f>
        <v>0.25427204374572798</v>
      </c>
      <c r="M259" s="39">
        <f>IFERROR(M157/M152,"")</f>
        <v>0.26172148355493352</v>
      </c>
      <c r="N259" s="39">
        <f>IFERROR(N157/N152,"")</f>
        <v>0.25326852162252766</v>
      </c>
      <c r="O259" s="39">
        <f>IFERROR(O157/O152,"")</f>
        <v>0.25583682545112457</v>
      </c>
      <c r="P259" s="39">
        <f>IFERROR(P157/P152,"")</f>
        <v>0.27166521360069751</v>
      </c>
      <c r="Q259" s="39">
        <f>IFERROR(Q157/Q152,"")</f>
        <v>0.25858315190085412</v>
      </c>
      <c r="R259" s="39">
        <f>IFERROR(R157/R152,"")</f>
        <v>0.26499231163505899</v>
      </c>
      <c r="S259" s="39">
        <f>IFERROR(S157/S152,"")</f>
        <v>0.25187156879055067</v>
      </c>
      <c r="T259" s="39">
        <f>IFERROR(T157/T152,"")</f>
        <v>0.2423268520006428</v>
      </c>
      <c r="U259" s="39">
        <f>IFERROR(U157/U152,"")</f>
        <v>0.25580618212197159</v>
      </c>
      <c r="V259" s="39">
        <f>IFERROR(V157/V152,"")</f>
        <v>0.26867256637168141</v>
      </c>
      <c r="W259" s="39">
        <f>IFERROR(W157/W152,"")</f>
        <v>0.26155444002077199</v>
      </c>
      <c r="X259" s="39">
        <f>IFERROR(X157/X152,"")</f>
        <v>0.26507394766780429</v>
      </c>
      <c r="Y259" s="39">
        <f>IFERROR(Y157/Y152,"")</f>
        <v>0.25225063017644939</v>
      </c>
      <c r="Z259" s="39">
        <f>IFERROR(Z157/Z152,"")</f>
        <v>0.24266666666666667</v>
      </c>
      <c r="AA259" s="39">
        <f>IFERROR(AA157/AA152,"")</f>
        <v>0.25612462468996128</v>
      </c>
      <c r="AB259" s="39">
        <f>IFERROR(AB157/AB152,"")</f>
        <v>0.27295004712535348</v>
      </c>
      <c r="AC259" s="39">
        <f>IFERROR(AC157/AC152,"")</f>
        <v>0.27774689642393924</v>
      </c>
      <c r="AD259" s="39">
        <f>IFERROR(AD157/AD152,"")</f>
        <v>0.27536908988974029</v>
      </c>
      <c r="AE259" s="39">
        <f>IFERROR(AE157/AE152,"")</f>
        <v>0.26765375854214124</v>
      </c>
      <c r="AF259" s="39">
        <f>IFERROR(AF157/AF152,"")</f>
        <v>0.25755109423042144</v>
      </c>
      <c r="AG259" s="39">
        <f>IFERROR(AG157/AG152,"")</f>
        <v>0.26889622773152239</v>
      </c>
      <c r="AH259" s="39">
        <f>IFERROR(AH157/AH152,"")</f>
        <v>0.2725666843313902</v>
      </c>
      <c r="AI259" s="39">
        <f>IFERROR(AI157/AI152,"")</f>
        <v>0.24899418864550735</v>
      </c>
      <c r="AJ259" s="39">
        <f>IFERROR(AJ157/AJ152,"")</f>
        <v>0.25978014872292271</v>
      </c>
      <c r="AK259" s="39">
        <f>IFERROR(AK157/AK152,"")</f>
        <v>0.24781032920567803</v>
      </c>
      <c r="AL259" s="39">
        <f>IFERROR(AL157/AL152,"")</f>
        <v>0.2450312322544009</v>
      </c>
      <c r="AM259" s="39">
        <f>IFERROR(AM157/AM152,"")</f>
        <v>0.25274598663491821</v>
      </c>
      <c r="AN259" s="39">
        <f>IFERROR(AN157/AN152,"")</f>
        <v>0.24295572167912594</v>
      </c>
      <c r="AO259" s="39">
        <f>IFERROR(AO157/AO152,"")</f>
        <v>0.23754266211604094</v>
      </c>
      <c r="AP259" s="39">
        <f>IFERROR(AP157/AP152,"")</f>
        <v>0.24017925915552132</v>
      </c>
      <c r="AQ259" s="39">
        <f>IFERROR(AQ157/AQ152,"")</f>
        <v>0.23934923479939335</v>
      </c>
      <c r="AR259" s="39">
        <f>IFERROR(AR157/AR152,"")</f>
        <v>0.23730625334045966</v>
      </c>
      <c r="AS259" s="39">
        <f>IFERROR(AS157/AS152,"")</f>
        <v>0.2392308222482597</v>
      </c>
      <c r="AT259" s="39">
        <f>IFERROR(AT157/AT152,"")</f>
        <v>0.24691358024691357</v>
      </c>
      <c r="AU259" s="39">
        <f>IFERROR(AU157/AU152,"")</f>
        <v>0.23849104859335038</v>
      </c>
      <c r="AV259" s="39">
        <f>IFERROR(AV157/AV152,"")</f>
        <v>0.24260083813514929</v>
      </c>
      <c r="AW259" s="39">
        <f>IFERROR(AW157/AW152,"")</f>
        <v>0.23161306407379706</v>
      </c>
      <c r="AX259" s="39">
        <f>IFERROR(AX157/AX152,"")</f>
        <v>0.23411651882042675</v>
      </c>
      <c r="AY259" s="39">
        <f>IFERROR(AY157/AY152,"")</f>
        <v>0.23757744341888989</v>
      </c>
      <c r="AZ259" s="39">
        <f>IFERROR(AZ157/AZ152,"")</f>
        <v>0.23961254142238084</v>
      </c>
      <c r="BA259" s="39">
        <f>IFERROR(BA157/BA152,"")</f>
        <v>0.23261132786223598</v>
      </c>
      <c r="BB259" s="39">
        <f>IFERROR(BB157/BB152,"")</f>
        <v>0.23620655802081286</v>
      </c>
      <c r="BC259" s="39">
        <f>IFERROR(BC157/BC152,"")</f>
        <v>0.22429906542056074</v>
      </c>
      <c r="BD259" s="39">
        <f>IFERROR(BD157/BD152,"")</f>
        <v>0.21240578277523789</v>
      </c>
      <c r="BE259" s="39">
        <f>IFERROR(BE157/BE152,"")</f>
        <v>0.22707536776618495</v>
      </c>
      <c r="BF259" s="39">
        <f>IFERROR(BF157/BF152,"")</f>
        <v>0.20876256671217572</v>
      </c>
      <c r="BG259" s="39">
        <f>IFERROR(BG157/BG152,"")</f>
        <v>0.28608385370205175</v>
      </c>
      <c r="BH259" s="39">
        <f>IFERROR(BH157/BH152,"")</f>
        <v>0.25374993512222971</v>
      </c>
      <c r="BI259" s="39">
        <f>IFERROR(BI157/BI152,"")</f>
        <v>0.21289732449119597</v>
      </c>
      <c r="BJ259" s="39">
        <f>IFERROR(BJ157/BJ152,"")</f>
        <v>0.21778003925274406</v>
      </c>
      <c r="BK259" s="39">
        <f>IFERROR(BK157/BK152,"")</f>
        <v>0.23141104826300846</v>
      </c>
      <c r="BL259" s="39">
        <f>IFERROR(BL157/BL152,"")</f>
        <v>0.22051476154428465</v>
      </c>
      <c r="BM259" s="39">
        <f>IFERROR(BM157/BM152,"")</f>
        <v>0.2112405959581059</v>
      </c>
      <c r="BN259" s="39">
        <f>IFERROR(BN157/BN152,"")</f>
        <v>0.21581739390316795</v>
      </c>
      <c r="BO259" s="39">
        <f>IFERROR(BO157/BO152,"")</f>
        <v>0.20805221472572602</v>
      </c>
      <c r="BP259" s="39">
        <f>IFERROR(BP157/BP152,"")</f>
        <v>0.20815117754900578</v>
      </c>
      <c r="BQ259" s="39">
        <f>IFERROR(BQ157/BQ152,"")</f>
        <v>0.21188583153189458</v>
      </c>
      <c r="BR259" s="39">
        <f>IFERROR(BR157/BR152,"")</f>
        <v>0.21716185932191137</v>
      </c>
      <c r="BS259" s="39">
        <f>IFERROR(BS157/BS152,"")</f>
        <v>0.21969537446479959</v>
      </c>
      <c r="BT259" s="39">
        <f>IFERROR(BT157/BT152,"")</f>
        <v>0.21844729344729344</v>
      </c>
      <c r="BU259" s="39">
        <f>IFERROR(BU157/BU152,"")</f>
        <v>0.20812834224598928</v>
      </c>
      <c r="BV259" s="39">
        <f>IFERROR(BV157/BV152,"")</f>
        <v>0.21263157894736842</v>
      </c>
      <c r="BW259" s="39">
        <f>IFERROR(BW157/BW152,"")</f>
        <v>0.21440865939135834</v>
      </c>
      <c r="BX259" s="39">
        <f>IFERROR(BX157/BX152,"")</f>
        <v>0.21939115621065106</v>
      </c>
      <c r="BY259" s="39">
        <f>IFERROR(BY157/BY152,"")</f>
        <v>0.21577759988356016</v>
      </c>
      <c r="BZ259" s="39">
        <f>IFERROR(BZ157/BZ152,"")</f>
        <v>0.21756846046545777</v>
      </c>
      <c r="CA259" s="39">
        <f>IFERROR(CA157/CA152,"")</f>
        <v>0.20720471077242814</v>
      </c>
      <c r="CB259" s="39">
        <f>IFERROR(CB157/CB152,"")</f>
        <v>0.20195699926778937</v>
      </c>
      <c r="CC259" s="39">
        <f>IFERROR(CC157/CC152,"")</f>
        <v>0.21079365079365081</v>
      </c>
      <c r="CD259" s="39">
        <f>IFERROR(CD157/CD152,"")</f>
        <v>0.21256638388854401</v>
      </c>
      <c r="CE259" s="39">
        <f>IFERROR(CE157/CE152,"")</f>
        <v>0.20598533394992402</v>
      </c>
      <c r="CF259" s="39">
        <f>IFERROR(CF157/CF152,"")</f>
        <v>0.20920502092050206</v>
      </c>
      <c r="CG259" s="39">
        <f>IFERROR(CG157/CG152,"")</f>
        <v>0.20889899317960378</v>
      </c>
      <c r="CH259" s="39">
        <f>IFERROR(CH157/CH152,"")</f>
        <v>0.19028716740060783</v>
      </c>
      <c r="CI259" s="39">
        <f>IFERROR(CI157/CI152,"")</f>
        <v>0.20414036694247312</v>
      </c>
      <c r="CJ259" s="39">
        <f>IFERROR(CJ157/CJ152,"")</f>
        <v>0.20639702583167746</v>
      </c>
      <c r="CK259" s="39">
        <f>IFERROR(CK157/CK152,"")</f>
        <v>0.20986466165413534</v>
      </c>
      <c r="CL259" s="39">
        <f>IFERROR(CL157/CL152,"")</f>
        <v>0.20818593682120026</v>
      </c>
      <c r="CM259" s="27">
        <f>IFERROR(CM157/CM152,"")</f>
        <v>0.21826085546992799</v>
      </c>
      <c r="CN259" s="27">
        <f>IFERROR(CN157/CN152,"")</f>
        <v>0.21945647363415904</v>
      </c>
      <c r="CO259" s="27">
        <f>IFERROR(CO157/CO152,"")</f>
        <v>0.21372181499560308</v>
      </c>
      <c r="CP259" s="27">
        <f>IFERROR(CP157/CP152,"")</f>
        <v>0.2030674156199638</v>
      </c>
      <c r="CQ259" s="27">
        <f>IFERROR(CQ157/CQ152,"")</f>
        <v>0.20213865295805661</v>
      </c>
      <c r="CR259" s="27">
        <f>IFERROR(CR157/CR152,"")</f>
        <v>0.20193856776943131</v>
      </c>
      <c r="CS259" s="27">
        <f>IFERROR(CS157/CS152,"")</f>
        <v>0.20148077547436519</v>
      </c>
      <c r="CT259" s="22"/>
      <c r="CV259" s="40">
        <f t="shared" si="317"/>
        <v>0.20446944536348402</v>
      </c>
      <c r="CW259" s="40">
        <f t="shared" si="318"/>
        <v>0.21452791138447705</v>
      </c>
      <c r="CX259" s="40">
        <f t="shared" si="319"/>
        <v>0.22981654047221603</v>
      </c>
      <c r="CY259" s="40">
        <f t="shared" si="320"/>
        <v>0.22416247999550692</v>
      </c>
    </row>
    <row r="260" spans="2:103" ht="15" customHeight="1" x14ac:dyDescent="0.25">
      <c r="B260" s="12"/>
      <c r="CM260" s="6"/>
      <c r="CN260" s="6"/>
      <c r="CO260" s="6"/>
      <c r="CP260" s="6"/>
      <c r="CQ260" s="6"/>
      <c r="CR260" s="6"/>
      <c r="CS260" s="6"/>
      <c r="CT260" s="6"/>
    </row>
    <row r="261" spans="2:103" ht="15" customHeight="1" x14ac:dyDescent="0.25">
      <c r="B261" s="11" t="s">
        <v>391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 t="s">
        <v>392</v>
      </c>
    </row>
    <row r="262" spans="2:103" ht="15" customHeight="1" x14ac:dyDescent="0.25">
      <c r="B262" s="12"/>
      <c r="CM262" s="6"/>
      <c r="CN262" s="6"/>
      <c r="CO262" s="6"/>
      <c r="CP262" s="6"/>
      <c r="CQ262" s="6"/>
      <c r="CR262" s="6"/>
      <c r="CS262" s="6"/>
      <c r="CT262" s="6"/>
    </row>
    <row r="263" spans="2:103" ht="15" customHeight="1" x14ac:dyDescent="0.25">
      <c r="B263" s="12" t="s">
        <v>393</v>
      </c>
      <c r="C263" s="30">
        <v>80.3</v>
      </c>
      <c r="D263" s="30">
        <v>98.5</v>
      </c>
      <c r="E263" s="30">
        <v>113.6</v>
      </c>
      <c r="F263" s="30">
        <v>113.8</v>
      </c>
      <c r="G263" s="30">
        <v>120.6</v>
      </c>
      <c r="H263" s="30">
        <v>255.2</v>
      </c>
      <c r="I263" s="30">
        <v>165.1</v>
      </c>
      <c r="J263" s="29"/>
      <c r="K263" s="29"/>
      <c r="L263" s="29"/>
      <c r="M263" s="29"/>
      <c r="N263" s="29"/>
      <c r="O263" s="30">
        <v>184.5</v>
      </c>
      <c r="P263" s="29"/>
      <c r="Q263" s="29"/>
      <c r="R263" s="29"/>
      <c r="S263" s="29"/>
      <c r="T263" s="29"/>
      <c r="U263" s="30">
        <v>215.6</v>
      </c>
      <c r="V263" s="29"/>
      <c r="W263" s="29"/>
      <c r="X263" s="29"/>
      <c r="Y263" s="29"/>
      <c r="Z263" s="29"/>
      <c r="AA263" s="30">
        <v>195.5</v>
      </c>
      <c r="AB263" s="29"/>
      <c r="AC263" s="29"/>
      <c r="AD263" s="29"/>
      <c r="AE263" s="29"/>
      <c r="AF263" s="29"/>
      <c r="AG263" s="30">
        <v>190.9</v>
      </c>
      <c r="AH263" s="29"/>
      <c r="AI263" s="29"/>
      <c r="AJ263" s="29"/>
      <c r="AK263" s="29"/>
      <c r="AL263" s="29"/>
      <c r="AM263" s="30">
        <v>227.2</v>
      </c>
      <c r="AN263" s="29"/>
      <c r="AO263" s="29"/>
      <c r="AP263" s="29"/>
      <c r="AQ263" s="29"/>
      <c r="AR263" s="29"/>
      <c r="AS263" s="30">
        <v>333.8</v>
      </c>
      <c r="AT263" s="29"/>
      <c r="AU263" s="29"/>
      <c r="AV263" s="29"/>
      <c r="AW263" s="29"/>
      <c r="AX263" s="29"/>
      <c r="AY263" s="30">
        <v>402.3</v>
      </c>
      <c r="AZ263" s="29"/>
      <c r="BA263" s="29"/>
      <c r="BB263" s="29"/>
      <c r="BC263" s="29"/>
      <c r="BD263" s="29"/>
      <c r="BE263" s="30">
        <v>401.9</v>
      </c>
      <c r="BF263" s="29"/>
      <c r="BG263" s="29"/>
      <c r="BH263" s="29"/>
      <c r="BI263" s="29"/>
      <c r="BJ263" s="29"/>
      <c r="BK263" s="30">
        <v>445.3</v>
      </c>
      <c r="BL263" s="29"/>
      <c r="BM263" s="29"/>
      <c r="BN263" s="29"/>
      <c r="BO263" s="29"/>
      <c r="BP263" s="29"/>
      <c r="BQ263" s="30">
        <v>788.9</v>
      </c>
      <c r="BR263" s="29"/>
      <c r="BS263" s="29"/>
      <c r="BT263" s="29"/>
      <c r="BU263" s="29"/>
      <c r="BV263" s="29"/>
      <c r="BW263" s="30">
        <v>886.6</v>
      </c>
      <c r="BX263" s="29"/>
      <c r="BY263" s="29"/>
      <c r="BZ263" s="29"/>
      <c r="CA263" s="29"/>
      <c r="CB263" s="29"/>
      <c r="CC263" s="30">
        <v>820.7</v>
      </c>
      <c r="CD263" s="29"/>
      <c r="CE263" s="29"/>
      <c r="CF263" s="29"/>
      <c r="CG263" s="29"/>
      <c r="CH263" s="29"/>
      <c r="CI263" s="30">
        <v>895.7</v>
      </c>
      <c r="CJ263" s="29"/>
      <c r="CK263" s="29"/>
      <c r="CL263" s="30">
        <v>478.5</v>
      </c>
      <c r="CM263" s="31"/>
      <c r="CN263" s="31"/>
      <c r="CO263" s="31">
        <f>CO169</f>
        <v>974.56224999999995</v>
      </c>
      <c r="CP263" s="31">
        <f>CP169</f>
        <v>1126.5489259865312</v>
      </c>
      <c r="CQ263" s="31">
        <f>CQ169</f>
        <v>1229.0766834995538</v>
      </c>
      <c r="CR263" s="31">
        <f>CR169</f>
        <v>1365.6372407546469</v>
      </c>
      <c r="CS263" s="31">
        <f>CS169</f>
        <v>1516.5181945392574</v>
      </c>
      <c r="CT263" s="22"/>
      <c r="CV263" s="6"/>
      <c r="CW263" s="6"/>
      <c r="CX263" s="6"/>
      <c r="CY263" s="6"/>
    </row>
    <row r="264" spans="2:103" ht="15" customHeight="1" x14ac:dyDescent="0.25">
      <c r="B264" s="12" t="s">
        <v>394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31"/>
      <c r="CN264" s="31"/>
      <c r="CO264" s="31"/>
      <c r="CP264" s="31"/>
      <c r="CQ264" s="31"/>
      <c r="CR264" s="31"/>
      <c r="CS264" s="31"/>
      <c r="CT264" s="22"/>
      <c r="CV264" s="6"/>
      <c r="CW264" s="6"/>
      <c r="CX264" s="6"/>
      <c r="CY264" s="6"/>
    </row>
    <row r="265" spans="2:103" ht="15" customHeight="1" x14ac:dyDescent="0.25">
      <c r="B265" s="12" t="s">
        <v>395</v>
      </c>
      <c r="C265" s="30">
        <v>32</v>
      </c>
      <c r="D265" s="30">
        <v>34.700000000000003</v>
      </c>
      <c r="E265" s="30">
        <v>45</v>
      </c>
      <c r="F265" s="30">
        <v>42.5</v>
      </c>
      <c r="G265" s="30">
        <v>45.2</v>
      </c>
      <c r="H265" s="30">
        <v>64.2</v>
      </c>
      <c r="I265" s="30">
        <v>78.3</v>
      </c>
      <c r="J265" s="29"/>
      <c r="K265" s="29"/>
      <c r="L265" s="29"/>
      <c r="M265" s="29"/>
      <c r="N265" s="29"/>
      <c r="O265" s="30">
        <v>91.1</v>
      </c>
      <c r="P265" s="29"/>
      <c r="Q265" s="29"/>
      <c r="R265" s="29"/>
      <c r="S265" s="29"/>
      <c r="T265" s="29"/>
      <c r="U265" s="30">
        <v>94.3</v>
      </c>
      <c r="V265" s="29"/>
      <c r="W265" s="29"/>
      <c r="X265" s="29"/>
      <c r="Y265" s="29"/>
      <c r="Z265" s="29"/>
      <c r="AA265" s="30">
        <v>90.3</v>
      </c>
      <c r="AB265" s="29"/>
      <c r="AC265" s="29"/>
      <c r="AD265" s="29"/>
      <c r="AE265" s="29"/>
      <c r="AF265" s="29"/>
      <c r="AG265" s="30">
        <v>87.3</v>
      </c>
      <c r="AH265" s="29"/>
      <c r="AI265" s="29"/>
      <c r="AJ265" s="29"/>
      <c r="AK265" s="29"/>
      <c r="AL265" s="29"/>
      <c r="AM265" s="30">
        <v>113</v>
      </c>
      <c r="AN265" s="29"/>
      <c r="AO265" s="29"/>
      <c r="AP265" s="29"/>
      <c r="AQ265" s="29"/>
      <c r="AR265" s="29"/>
      <c r="AS265" s="30">
        <v>113</v>
      </c>
      <c r="AT265" s="29"/>
      <c r="AU265" s="29"/>
      <c r="AV265" s="29"/>
      <c r="AW265" s="29"/>
      <c r="AX265" s="29"/>
      <c r="AY265" s="30">
        <v>111.9</v>
      </c>
      <c r="AZ265" s="29"/>
      <c r="BA265" s="29"/>
      <c r="BB265" s="29"/>
      <c r="BC265" s="29"/>
      <c r="BD265" s="29"/>
      <c r="BE265" s="30">
        <v>116.2</v>
      </c>
      <c r="BF265" s="29"/>
      <c r="BG265" s="29"/>
      <c r="BH265" s="29"/>
      <c r="BI265" s="29"/>
      <c r="BJ265" s="29"/>
      <c r="BK265" s="30">
        <v>371.8</v>
      </c>
      <c r="BL265" s="29"/>
      <c r="BM265" s="29"/>
      <c r="BN265" s="29"/>
      <c r="BO265" s="29"/>
      <c r="BP265" s="29"/>
      <c r="BQ265" s="30">
        <v>332.2</v>
      </c>
      <c r="BR265" s="29"/>
      <c r="BS265" s="29"/>
      <c r="BT265" s="29"/>
      <c r="BU265" s="29"/>
      <c r="BV265" s="29"/>
      <c r="BW265" s="30">
        <v>316.39999999999998</v>
      </c>
      <c r="BX265" s="29"/>
      <c r="BY265" s="29"/>
      <c r="BZ265" s="29"/>
      <c r="CA265" s="29"/>
      <c r="CB265" s="29"/>
      <c r="CC265" s="30">
        <v>309.89999999999998</v>
      </c>
      <c r="CD265" s="29"/>
      <c r="CE265" s="29"/>
      <c r="CF265" s="29"/>
      <c r="CG265" s="29"/>
      <c r="CH265" s="29"/>
      <c r="CI265" s="30">
        <v>336.3</v>
      </c>
      <c r="CJ265" s="29"/>
      <c r="CK265" s="29"/>
      <c r="CL265" s="30">
        <v>172.9</v>
      </c>
      <c r="CM265" s="31"/>
      <c r="CN265" s="31"/>
      <c r="CO265" s="31">
        <f>CO174</f>
        <v>349.0326438106074</v>
      </c>
      <c r="CP265" s="31">
        <f>CP174</f>
        <v>362.74739715579881</v>
      </c>
      <c r="CQ265" s="31">
        <f>CQ174</f>
        <v>398.46151514577014</v>
      </c>
      <c r="CR265" s="31">
        <f>CR174</f>
        <v>397.90178382671883</v>
      </c>
      <c r="CS265" s="31">
        <f>CS174</f>
        <v>415.81148590168812</v>
      </c>
      <c r="CT265" s="22"/>
      <c r="CV265" s="6"/>
      <c r="CW265" s="6"/>
      <c r="CX265" s="6"/>
      <c r="CY265" s="6"/>
    </row>
    <row r="266" spans="2:103" ht="15" customHeight="1" x14ac:dyDescent="0.25">
      <c r="B266" s="12" t="s">
        <v>396</v>
      </c>
      <c r="C266" s="30">
        <v>5.9</v>
      </c>
      <c r="D266" s="30">
        <v>6.8</v>
      </c>
      <c r="E266" s="30">
        <v>7.5</v>
      </c>
      <c r="F266" s="30">
        <v>5.4</v>
      </c>
      <c r="G266" s="30">
        <v>4.9000000000000004</v>
      </c>
      <c r="H266" s="30">
        <v>5.8</v>
      </c>
      <c r="I266" s="30">
        <v>8</v>
      </c>
      <c r="J266" s="29"/>
      <c r="K266" s="29"/>
      <c r="L266" s="29"/>
      <c r="M266" s="29"/>
      <c r="N266" s="29"/>
      <c r="O266" s="30">
        <v>10.7</v>
      </c>
      <c r="P266" s="29"/>
      <c r="Q266" s="29"/>
      <c r="R266" s="29"/>
      <c r="S266" s="29"/>
      <c r="T266" s="29"/>
      <c r="U266" s="30">
        <v>14</v>
      </c>
      <c r="V266" s="29"/>
      <c r="W266" s="29"/>
      <c r="X266" s="29"/>
      <c r="Y266" s="29"/>
      <c r="Z266" s="29"/>
      <c r="AA266" s="30">
        <v>12.2</v>
      </c>
      <c r="AB266" s="29"/>
      <c r="AC266" s="29"/>
      <c r="AD266" s="29"/>
      <c r="AE266" s="29"/>
      <c r="AF266" s="29"/>
      <c r="AG266" s="30">
        <v>16.2</v>
      </c>
      <c r="AH266" s="29"/>
      <c r="AI266" s="29"/>
      <c r="AJ266" s="29"/>
      <c r="AK266" s="29"/>
      <c r="AL266" s="29"/>
      <c r="AM266" s="30">
        <v>18.8</v>
      </c>
      <c r="AN266" s="29"/>
      <c r="AO266" s="29"/>
      <c r="AP266" s="29"/>
      <c r="AQ266" s="29"/>
      <c r="AR266" s="29"/>
      <c r="AS266" s="30">
        <v>25.1</v>
      </c>
      <c r="AT266" s="29"/>
      <c r="AU266" s="29"/>
      <c r="AV266" s="29"/>
      <c r="AW266" s="29"/>
      <c r="AX266" s="29"/>
      <c r="AY266" s="30">
        <v>30.7</v>
      </c>
      <c r="AZ266" s="29"/>
      <c r="BA266" s="29"/>
      <c r="BB266" s="29"/>
      <c r="BC266" s="29"/>
      <c r="BD266" s="29"/>
      <c r="BE266" s="30">
        <v>30</v>
      </c>
      <c r="BF266" s="29"/>
      <c r="BG266" s="29"/>
      <c r="BH266" s="29"/>
      <c r="BI266" s="29"/>
      <c r="BJ266" s="29"/>
      <c r="BK266" s="30">
        <v>33.9</v>
      </c>
      <c r="BL266" s="29"/>
      <c r="BM266" s="29"/>
      <c r="BN266" s="29"/>
      <c r="BO266" s="29"/>
      <c r="BP266" s="29"/>
      <c r="BQ266" s="30">
        <v>31.5</v>
      </c>
      <c r="BR266" s="29"/>
      <c r="BS266" s="29"/>
      <c r="BT266" s="29"/>
      <c r="BU266" s="29"/>
      <c r="BV266" s="29"/>
      <c r="BW266" s="30">
        <v>32.299999999999997</v>
      </c>
      <c r="BX266" s="29"/>
      <c r="BY266" s="29"/>
      <c r="BZ266" s="29"/>
      <c r="CA266" s="29"/>
      <c r="CB266" s="29"/>
      <c r="CC266" s="30">
        <v>37.700000000000003</v>
      </c>
      <c r="CD266" s="29"/>
      <c r="CE266" s="29"/>
      <c r="CF266" s="29"/>
      <c r="CG266" s="29"/>
      <c r="CH266" s="29"/>
      <c r="CI266" s="30">
        <v>39.6</v>
      </c>
      <c r="CJ266" s="29"/>
      <c r="CK266" s="29"/>
      <c r="CL266" s="30">
        <v>19.5</v>
      </c>
      <c r="CM266" s="31"/>
      <c r="CN266" s="31"/>
      <c r="CO266" s="31">
        <f>CO175</f>
        <v>40.457614743791638</v>
      </c>
      <c r="CP266" s="31">
        <f>CP175</f>
        <v>46.669965718599606</v>
      </c>
      <c r="CQ266" s="31">
        <f>CQ175</f>
        <v>51.034393937478931</v>
      </c>
      <c r="CR266" s="31">
        <f>CR175</f>
        <v>55.758927942239602</v>
      </c>
      <c r="CS266" s="31">
        <f>CS175</f>
        <v>60.739939745007135</v>
      </c>
      <c r="CT266" s="22"/>
      <c r="CV266" s="6"/>
      <c r="CW266" s="6"/>
      <c r="CX266" s="6"/>
      <c r="CY266" s="6"/>
    </row>
    <row r="267" spans="2:103" ht="15" customHeight="1" x14ac:dyDescent="0.25">
      <c r="B267" s="12" t="s">
        <v>397</v>
      </c>
      <c r="C267" s="30">
        <v>-12.1</v>
      </c>
      <c r="D267" s="30">
        <v>-21.3</v>
      </c>
      <c r="E267" s="30">
        <v>-40.700000000000003</v>
      </c>
      <c r="F267" s="30">
        <v>59.5</v>
      </c>
      <c r="G267" s="30">
        <v>17.100000000000001</v>
      </c>
      <c r="H267" s="30">
        <v>28.1</v>
      </c>
      <c r="I267" s="30">
        <v>-17.899999999999999</v>
      </c>
      <c r="J267" s="29"/>
      <c r="K267" s="29"/>
      <c r="L267" s="29"/>
      <c r="M267" s="29"/>
      <c r="N267" s="29"/>
      <c r="O267" s="30">
        <v>17.399999999999999</v>
      </c>
      <c r="P267" s="29"/>
      <c r="Q267" s="29"/>
      <c r="R267" s="29"/>
      <c r="S267" s="29"/>
      <c r="T267" s="29"/>
      <c r="U267" s="30">
        <v>-57</v>
      </c>
      <c r="V267" s="29"/>
      <c r="W267" s="29"/>
      <c r="X267" s="29"/>
      <c r="Y267" s="29"/>
      <c r="Z267" s="29"/>
      <c r="AA267" s="30">
        <v>-7.9</v>
      </c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31"/>
      <c r="CN267" s="31"/>
      <c r="CO267" s="32">
        <v>-20</v>
      </c>
      <c r="CP267" s="32">
        <v>-20</v>
      </c>
      <c r="CQ267" s="32">
        <v>-20</v>
      </c>
      <c r="CR267" s="32">
        <v>-20</v>
      </c>
      <c r="CS267" s="32">
        <v>-20</v>
      </c>
      <c r="CT267" s="22" t="s">
        <v>398</v>
      </c>
      <c r="CV267" s="6"/>
      <c r="CW267" s="6"/>
      <c r="CX267" s="6"/>
      <c r="CY267" s="6"/>
    </row>
    <row r="268" spans="2:103" ht="15" customHeight="1" x14ac:dyDescent="0.25">
      <c r="B268" s="12" t="s">
        <v>399</v>
      </c>
      <c r="C268" s="30">
        <v>-1.6</v>
      </c>
      <c r="D268" s="30">
        <v>17</v>
      </c>
      <c r="E268" s="30">
        <v>32.4</v>
      </c>
      <c r="F268" s="30">
        <v>-117.4</v>
      </c>
      <c r="G268" s="30">
        <v>-39.9</v>
      </c>
      <c r="H268" s="30">
        <v>-64.5</v>
      </c>
      <c r="I268" s="30">
        <v>-58.6</v>
      </c>
      <c r="J268" s="29"/>
      <c r="K268" s="29"/>
      <c r="L268" s="29"/>
      <c r="M268" s="29"/>
      <c r="N268" s="29"/>
      <c r="O268" s="30">
        <v>-78.2</v>
      </c>
      <c r="P268" s="29"/>
      <c r="Q268" s="29"/>
      <c r="R268" s="29"/>
      <c r="S268" s="29"/>
      <c r="T268" s="29"/>
      <c r="U268" s="30">
        <v>45.6</v>
      </c>
      <c r="V268" s="29"/>
      <c r="W268" s="29"/>
      <c r="X268" s="29"/>
      <c r="Y268" s="29"/>
      <c r="Z268" s="29"/>
      <c r="AA268" s="30">
        <v>1.3</v>
      </c>
      <c r="AB268" s="29"/>
      <c r="AC268" s="29"/>
      <c r="AD268" s="29"/>
      <c r="AE268" s="29"/>
      <c r="AF268" s="29"/>
      <c r="AG268" s="30">
        <v>3.1</v>
      </c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31"/>
      <c r="CN268" s="31"/>
      <c r="CO268" s="31">
        <f>-CO162</f>
        <v>-10.5</v>
      </c>
      <c r="CP268" s="31">
        <f>-CP162</f>
        <v>-10</v>
      </c>
      <c r="CQ268" s="31">
        <f>-CQ162</f>
        <v>-10</v>
      </c>
      <c r="CR268" s="31">
        <f>-CR162</f>
        <v>-10</v>
      </c>
      <c r="CS268" s="31">
        <f>-CS162</f>
        <v>-10</v>
      </c>
      <c r="CT268" s="22" t="s">
        <v>400</v>
      </c>
      <c r="CV268" s="6"/>
      <c r="CW268" s="6"/>
      <c r="CX268" s="6"/>
      <c r="CY268" s="6"/>
    </row>
    <row r="269" spans="2:103" ht="15" customHeight="1" x14ac:dyDescent="0.25">
      <c r="B269" s="12" t="s">
        <v>401</v>
      </c>
      <c r="C269" s="30">
        <v>-7.4</v>
      </c>
      <c r="D269" s="30">
        <v>0.3</v>
      </c>
      <c r="E269" s="30">
        <v>-9.1</v>
      </c>
      <c r="F269" s="30">
        <v>3.5</v>
      </c>
      <c r="G269" s="30">
        <v>1</v>
      </c>
      <c r="H269" s="30">
        <v>-114.7</v>
      </c>
      <c r="I269" s="30">
        <v>-6.9</v>
      </c>
      <c r="J269" s="29"/>
      <c r="K269" s="29"/>
      <c r="L269" s="29"/>
      <c r="M269" s="29"/>
      <c r="N269" s="29"/>
      <c r="O269" s="30">
        <v>-5.4</v>
      </c>
      <c r="P269" s="29"/>
      <c r="Q269" s="29"/>
      <c r="R269" s="29"/>
      <c r="S269" s="29"/>
      <c r="T269" s="29"/>
      <c r="U269" s="30">
        <v>-8.3000000000000007</v>
      </c>
      <c r="V269" s="29"/>
      <c r="W269" s="29"/>
      <c r="X269" s="29"/>
      <c r="Y269" s="29"/>
      <c r="Z269" s="29"/>
      <c r="AA269" s="30">
        <v>0</v>
      </c>
      <c r="AB269" s="29"/>
      <c r="AC269" s="29"/>
      <c r="AD269" s="29"/>
      <c r="AE269" s="29"/>
      <c r="AF269" s="29"/>
      <c r="AG269" s="30">
        <v>-12.4</v>
      </c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30">
        <v>0</v>
      </c>
      <c r="AZ269" s="29"/>
      <c r="BA269" s="29"/>
      <c r="BB269" s="29"/>
      <c r="BC269" s="29"/>
      <c r="BD269" s="29"/>
      <c r="BE269" s="30">
        <v>0</v>
      </c>
      <c r="BF269" s="29"/>
      <c r="BG269" s="29"/>
      <c r="BH269" s="29"/>
      <c r="BI269" s="29"/>
      <c r="BJ269" s="29"/>
      <c r="BK269" s="30">
        <v>30.5</v>
      </c>
      <c r="BL269" s="29"/>
      <c r="BM269" s="29"/>
      <c r="BN269" s="29"/>
      <c r="BO269" s="29"/>
      <c r="BP269" s="29"/>
      <c r="BQ269" s="30">
        <v>-10.199999999999999</v>
      </c>
      <c r="BR269" s="29"/>
      <c r="BS269" s="29"/>
      <c r="BT269" s="29"/>
      <c r="BU269" s="29"/>
      <c r="BV269" s="29"/>
      <c r="BW269" s="30">
        <v>-1.6</v>
      </c>
      <c r="BX269" s="29"/>
      <c r="BY269" s="29"/>
      <c r="BZ269" s="29"/>
      <c r="CA269" s="29"/>
      <c r="CB269" s="29"/>
      <c r="CC269" s="30">
        <v>52.5</v>
      </c>
      <c r="CD269" s="29"/>
      <c r="CE269" s="29"/>
      <c r="CF269" s="29"/>
      <c r="CG269" s="29"/>
      <c r="CH269" s="29"/>
      <c r="CI269" s="30">
        <v>-15</v>
      </c>
      <c r="CJ269" s="29"/>
      <c r="CK269" s="29"/>
      <c r="CL269" s="29"/>
      <c r="CM269" s="31"/>
      <c r="CN269" s="31"/>
      <c r="CO269" s="32">
        <v>0</v>
      </c>
      <c r="CP269" s="31"/>
      <c r="CQ269" s="31"/>
      <c r="CR269" s="31"/>
      <c r="CS269" s="31"/>
      <c r="CT269" s="22"/>
      <c r="CV269" s="6"/>
      <c r="CW269" s="6"/>
      <c r="CX269" s="6"/>
      <c r="CY269" s="6"/>
    </row>
    <row r="270" spans="2:103" ht="15" customHeight="1" x14ac:dyDescent="0.25">
      <c r="B270" s="12" t="s">
        <v>402</v>
      </c>
      <c r="C270" s="30">
        <v>-18.7</v>
      </c>
      <c r="D270" s="30">
        <v>30.7</v>
      </c>
      <c r="E270" s="30">
        <v>-28.5</v>
      </c>
      <c r="F270" s="30">
        <v>53.1</v>
      </c>
      <c r="G270" s="30">
        <v>-21.8</v>
      </c>
      <c r="H270" s="30">
        <v>45.4</v>
      </c>
      <c r="I270" s="30">
        <v>21.2</v>
      </c>
      <c r="J270" s="29"/>
      <c r="K270" s="29"/>
      <c r="L270" s="29"/>
      <c r="M270" s="29"/>
      <c r="N270" s="29"/>
      <c r="O270" s="30">
        <v>-16.8</v>
      </c>
      <c r="P270" s="29"/>
      <c r="Q270" s="29"/>
      <c r="R270" s="29"/>
      <c r="S270" s="29"/>
      <c r="T270" s="29"/>
      <c r="U270" s="30">
        <v>-16.3</v>
      </c>
      <c r="V270" s="29"/>
      <c r="W270" s="29"/>
      <c r="X270" s="29"/>
      <c r="Y270" s="29"/>
      <c r="Z270" s="29"/>
      <c r="AA270" s="30">
        <v>-81.2</v>
      </c>
      <c r="AB270" s="29"/>
      <c r="AC270" s="29"/>
      <c r="AD270" s="29"/>
      <c r="AE270" s="29"/>
      <c r="AF270" s="29"/>
      <c r="AG270" s="30">
        <v>31.9</v>
      </c>
      <c r="AH270" s="29"/>
      <c r="AI270" s="29"/>
      <c r="AJ270" s="29"/>
      <c r="AK270" s="29"/>
      <c r="AL270" s="29"/>
      <c r="AM270" s="30">
        <v>15.7</v>
      </c>
      <c r="AN270" s="29"/>
      <c r="AO270" s="29"/>
      <c r="AP270" s="29"/>
      <c r="AQ270" s="29"/>
      <c r="AR270" s="29"/>
      <c r="AS270" s="30">
        <v>-25</v>
      </c>
      <c r="AT270" s="29"/>
      <c r="AU270" s="29"/>
      <c r="AV270" s="29"/>
      <c r="AW270" s="29"/>
      <c r="AX270" s="29"/>
      <c r="AY270" s="30">
        <v>-62.8</v>
      </c>
      <c r="AZ270" s="29"/>
      <c r="BA270" s="29"/>
      <c r="BB270" s="29"/>
      <c r="BC270" s="29"/>
      <c r="BD270" s="29"/>
      <c r="BE270" s="30">
        <v>70.8</v>
      </c>
      <c r="BF270" s="29"/>
      <c r="BG270" s="29"/>
      <c r="BH270" s="29"/>
      <c r="BI270" s="29"/>
      <c r="BJ270" s="29"/>
      <c r="BK270" s="30">
        <v>-56.9</v>
      </c>
      <c r="BL270" s="29"/>
      <c r="BM270" s="29"/>
      <c r="BN270" s="29"/>
      <c r="BO270" s="29"/>
      <c r="BP270" s="29"/>
      <c r="BQ270" s="30">
        <v>-655.6</v>
      </c>
      <c r="BR270" s="29"/>
      <c r="BS270" s="29"/>
      <c r="BT270" s="29"/>
      <c r="BU270" s="29"/>
      <c r="BV270" s="29"/>
      <c r="BW270" s="30">
        <v>-397.6</v>
      </c>
      <c r="BX270" s="29"/>
      <c r="BY270" s="29"/>
      <c r="BZ270" s="29"/>
      <c r="CA270" s="29"/>
      <c r="CB270" s="29"/>
      <c r="CC270" s="30">
        <v>-28.9</v>
      </c>
      <c r="CD270" s="29"/>
      <c r="CE270" s="29"/>
      <c r="CF270" s="29"/>
      <c r="CG270" s="29"/>
      <c r="CH270" s="29"/>
      <c r="CI270" s="30">
        <v>-65.3</v>
      </c>
      <c r="CJ270" s="29"/>
      <c r="CK270" s="29"/>
      <c r="CL270" s="30">
        <v>-121.7</v>
      </c>
      <c r="CM270" s="31"/>
      <c r="CN270" s="31"/>
      <c r="CO270" s="31">
        <f>-(CO316-CI316)-(CO317-CI317)-(CO318-CI318)-(CO319-CI319)+(CO330-CI330)+(CO331-CI331)+(CO332-CI332)+(CO334-CI334)+(CO338-CI338)+(CO340-CI340)</f>
        <v>-97.350979108139541</v>
      </c>
      <c r="CP270" s="31">
        <f>-(CP316-CO316)-(CP317-CO317)-(CP318-CO318)-(CP319-CO319)+(CP330-CO330)+(CP331-CO331)+(CP332-CO332)+(CP334-CO334)+(CP338-CO338)+(CP340-CO340)</f>
        <v>-62.754195914069442</v>
      </c>
      <c r="CQ270" s="31">
        <f>-(CQ316-CP316)-(CQ317-CP317)-(CQ318-CP318)-(CQ319-CP319)+(CQ330-CP330)+(CQ331-CP331)+(CQ332-CP332)+(CQ334-CP334)+(CQ338-CP338)+(CQ340-CP340)</f>
        <v>-81.757991390292091</v>
      </c>
      <c r="CR270" s="31">
        <f>-(CR316-CQ316)-(CR317-CQ317)-(CR318-CQ318)-(CR319-CQ319)+(CR330-CQ330)+(CR331-CQ331)+(CR332-CQ332)+(CR334-CQ334)+(CR338-CQ338)+(CR340-CQ340)</f>
        <v>-85.945165733320209</v>
      </c>
      <c r="CS270" s="31">
        <f>-(CS316-CR316)-(CS317-CR317)-(CS318-CR318)-(CS319-CR319)+(CS330-CR330)+(CS331-CR331)+(CS332-CR332)+(CS334-CR334)+(CS338-CR338)+(CS340-CR340)</f>
        <v>-101.48839508756089</v>
      </c>
      <c r="CT270" s="22" t="s">
        <v>403</v>
      </c>
      <c r="CV270" s="6"/>
      <c r="CW270" s="6"/>
      <c r="CX270" s="6"/>
      <c r="CY270" s="6"/>
    </row>
    <row r="271" spans="2:103" ht="15" customHeight="1" x14ac:dyDescent="0.25">
      <c r="B271" s="18" t="s">
        <v>404</v>
      </c>
      <c r="C271" s="20">
        <v>78.400000000000006</v>
      </c>
      <c r="D271" s="20">
        <v>166.7</v>
      </c>
      <c r="E271" s="20">
        <v>120.4</v>
      </c>
      <c r="F271" s="20">
        <v>154.9</v>
      </c>
      <c r="G271" s="20">
        <v>141.80000000000001</v>
      </c>
      <c r="H271" s="20">
        <v>216.6</v>
      </c>
      <c r="I271" s="20">
        <v>189.2</v>
      </c>
      <c r="J271" s="19"/>
      <c r="K271" s="19"/>
      <c r="L271" s="19"/>
      <c r="M271" s="19"/>
      <c r="N271" s="19"/>
      <c r="O271" s="20">
        <v>203.3</v>
      </c>
      <c r="P271" s="19"/>
      <c r="Q271" s="19"/>
      <c r="R271" s="19"/>
      <c r="S271" s="19"/>
      <c r="T271" s="19"/>
      <c r="U271" s="20">
        <v>287.89999999999998</v>
      </c>
      <c r="V271" s="19"/>
      <c r="W271" s="19"/>
      <c r="X271" s="19"/>
      <c r="Y271" s="19"/>
      <c r="Z271" s="19"/>
      <c r="AA271" s="20">
        <v>210.2</v>
      </c>
      <c r="AB271" s="19"/>
      <c r="AC271" s="19"/>
      <c r="AD271" s="19"/>
      <c r="AE271" s="19"/>
      <c r="AF271" s="19"/>
      <c r="AG271" s="20">
        <v>317</v>
      </c>
      <c r="AH271" s="19"/>
      <c r="AI271" s="19"/>
      <c r="AJ271" s="19"/>
      <c r="AK271" s="19"/>
      <c r="AL271" s="19"/>
      <c r="AM271" s="20">
        <v>374.7</v>
      </c>
      <c r="AN271" s="19"/>
      <c r="AO271" s="19"/>
      <c r="AP271" s="19"/>
      <c r="AQ271" s="19"/>
      <c r="AR271" s="19"/>
      <c r="AS271" s="20">
        <v>446.9</v>
      </c>
      <c r="AT271" s="19"/>
      <c r="AU271" s="19"/>
      <c r="AV271" s="19"/>
      <c r="AW271" s="19"/>
      <c r="AX271" s="19"/>
      <c r="AY271" s="20">
        <v>482.1</v>
      </c>
      <c r="AZ271" s="19"/>
      <c r="BA271" s="19"/>
      <c r="BB271" s="19"/>
      <c r="BC271" s="19"/>
      <c r="BD271" s="19"/>
      <c r="BE271" s="20">
        <v>618.9</v>
      </c>
      <c r="BF271" s="19"/>
      <c r="BG271" s="19"/>
      <c r="BH271" s="19"/>
      <c r="BI271" s="19"/>
      <c r="BJ271" s="19"/>
      <c r="BK271" s="20">
        <v>824.6</v>
      </c>
      <c r="BL271" s="19"/>
      <c r="BM271" s="19"/>
      <c r="BN271" s="19"/>
      <c r="BO271" s="19"/>
      <c r="BP271" s="19"/>
      <c r="BQ271" s="20">
        <v>486.8</v>
      </c>
      <c r="BR271" s="19"/>
      <c r="BS271" s="19"/>
      <c r="BT271" s="19"/>
      <c r="BU271" s="19"/>
      <c r="BV271" s="19"/>
      <c r="BW271" s="20">
        <v>836.1</v>
      </c>
      <c r="BX271" s="19"/>
      <c r="BY271" s="19"/>
      <c r="BZ271" s="19"/>
      <c r="CA271" s="19"/>
      <c r="CB271" s="19"/>
      <c r="CC271" s="20">
        <v>1191.9000000000001</v>
      </c>
      <c r="CD271" s="19"/>
      <c r="CE271" s="19"/>
      <c r="CF271" s="19"/>
      <c r="CG271" s="19"/>
      <c r="CH271" s="19"/>
      <c r="CI271" s="20">
        <v>1191.3</v>
      </c>
      <c r="CJ271" s="19"/>
      <c r="CK271" s="19"/>
      <c r="CL271" s="20">
        <v>549.20000000000005</v>
      </c>
      <c r="CM271" s="21"/>
      <c r="CN271" s="21"/>
      <c r="CO271" s="21">
        <f>SUM(CO263:CO270)</f>
        <v>1236.2015294462594</v>
      </c>
      <c r="CP271" s="21">
        <f>SUM(CP263:CP270)</f>
        <v>1443.2120929468601</v>
      </c>
      <c r="CQ271" s="21">
        <f>SUM(CQ263:CQ270)</f>
        <v>1566.8146011925107</v>
      </c>
      <c r="CR271" s="21">
        <f>SUM(CR263:CR270)</f>
        <v>1703.3527867902851</v>
      </c>
      <c r="CS271" s="21">
        <f>SUM(CS263:CS270)</f>
        <v>1861.5812250983918</v>
      </c>
      <c r="CT271" s="22"/>
      <c r="CV271" s="23">
        <f>IFERROR((CS271/CI271)^(1/5)-1,"n/m")</f>
        <v>9.3382628719373084E-2</v>
      </c>
      <c r="CW271" s="23">
        <f>IFERROR((CI271/BE271)^(1/5)-1,"n/m")</f>
        <v>0.13993511442100126</v>
      </c>
      <c r="CX271" s="23">
        <f>IFERROR((CI271/AA271)^(1/10)-1,"n/m")</f>
        <v>0.1894298763737059</v>
      </c>
      <c r="CY271" s="23">
        <f>IFERROR((CI271/C271)^(1/19)-1,"n/m")</f>
        <v>0.15397129040515445</v>
      </c>
    </row>
    <row r="272" spans="2:103" ht="15" customHeight="1" x14ac:dyDescent="0.25">
      <c r="B272" s="12" t="s">
        <v>405</v>
      </c>
      <c r="C272" s="30">
        <v>-26.4</v>
      </c>
      <c r="D272" s="30">
        <v>-40.299999999999997</v>
      </c>
      <c r="E272" s="30">
        <v>-38.200000000000003</v>
      </c>
      <c r="F272" s="30">
        <v>-33.5</v>
      </c>
      <c r="G272" s="30">
        <v>-31</v>
      </c>
      <c r="H272" s="30">
        <v>-41.7</v>
      </c>
      <c r="I272" s="30">
        <v>-65.3</v>
      </c>
      <c r="J272" s="29"/>
      <c r="K272" s="29"/>
      <c r="L272" s="29"/>
      <c r="M272" s="29"/>
      <c r="N272" s="29"/>
      <c r="O272" s="30">
        <v>-72.599999999999994</v>
      </c>
      <c r="P272" s="29"/>
      <c r="Q272" s="29"/>
      <c r="R272" s="29"/>
      <c r="S272" s="29"/>
      <c r="T272" s="29"/>
      <c r="U272" s="30">
        <v>-43.5</v>
      </c>
      <c r="V272" s="29"/>
      <c r="W272" s="29"/>
      <c r="X272" s="29"/>
      <c r="Y272" s="29"/>
      <c r="Z272" s="29"/>
      <c r="AA272" s="30">
        <v>-47</v>
      </c>
      <c r="AB272" s="29"/>
      <c r="AC272" s="29"/>
      <c r="AD272" s="29"/>
      <c r="AE272" s="29"/>
      <c r="AF272" s="29"/>
      <c r="AG272" s="30">
        <v>-87.6</v>
      </c>
      <c r="AH272" s="29"/>
      <c r="AI272" s="29"/>
      <c r="AJ272" s="29"/>
      <c r="AK272" s="29"/>
      <c r="AL272" s="29"/>
      <c r="AM272" s="30">
        <v>-58.5</v>
      </c>
      <c r="AN272" s="29"/>
      <c r="AO272" s="29"/>
      <c r="AP272" s="29"/>
      <c r="AQ272" s="29"/>
      <c r="AR272" s="29"/>
      <c r="AS272" s="30">
        <v>-86.8</v>
      </c>
      <c r="AT272" s="29"/>
      <c r="AU272" s="29"/>
      <c r="AV272" s="29"/>
      <c r="AW272" s="29"/>
      <c r="AX272" s="29"/>
      <c r="AY272" s="30">
        <v>-88.4</v>
      </c>
      <c r="AZ272" s="29"/>
      <c r="BA272" s="29"/>
      <c r="BB272" s="29"/>
      <c r="BC272" s="29"/>
      <c r="BD272" s="29"/>
      <c r="BE272" s="30">
        <v>-71.400000000000006</v>
      </c>
      <c r="BF272" s="29"/>
      <c r="BG272" s="29"/>
      <c r="BH272" s="29"/>
      <c r="BI272" s="29"/>
      <c r="BJ272" s="29"/>
      <c r="BK272" s="30">
        <v>-101.6</v>
      </c>
      <c r="BL272" s="29"/>
      <c r="BM272" s="29"/>
      <c r="BN272" s="29"/>
      <c r="BO272" s="29"/>
      <c r="BP272" s="29"/>
      <c r="BQ272" s="30">
        <v>-92.6</v>
      </c>
      <c r="BR272" s="29"/>
      <c r="BS272" s="29"/>
      <c r="BT272" s="29"/>
      <c r="BU272" s="29"/>
      <c r="BV272" s="29"/>
      <c r="BW272" s="30">
        <v>-114.9</v>
      </c>
      <c r="BX272" s="29"/>
      <c r="BY272" s="29"/>
      <c r="BZ272" s="29"/>
      <c r="CA272" s="29"/>
      <c r="CB272" s="29"/>
      <c r="CC272" s="30">
        <v>-83.7</v>
      </c>
      <c r="CD272" s="29"/>
      <c r="CE272" s="29"/>
      <c r="CF272" s="29"/>
      <c r="CG272" s="29"/>
      <c r="CH272" s="29"/>
      <c r="CI272" s="30">
        <v>-117.3</v>
      </c>
      <c r="CJ272" s="29"/>
      <c r="CK272" s="29"/>
      <c r="CL272" s="30">
        <v>-60.2</v>
      </c>
      <c r="CM272" s="31"/>
      <c r="CN272" s="31"/>
      <c r="CO272" s="31">
        <f>-$DD$17</f>
        <v>-125</v>
      </c>
      <c r="CP272" s="31">
        <f>-CP152*CP298</f>
        <v>-143.59989451876802</v>
      </c>
      <c r="CQ272" s="31">
        <f>-CQ152*CQ298</f>
        <v>-157.02890442301211</v>
      </c>
      <c r="CR272" s="31">
        <f>-CR152*CR298</f>
        <v>-171.56593212996802</v>
      </c>
      <c r="CS272" s="31">
        <f>-CS152*CS298</f>
        <v>-186.89212229232967</v>
      </c>
      <c r="CT272" s="22" t="s">
        <v>406</v>
      </c>
      <c r="CV272" s="6"/>
      <c r="CW272" s="6"/>
      <c r="CX272" s="6"/>
      <c r="CY272" s="6"/>
    </row>
    <row r="273" spans="2:103" ht="15" customHeight="1" x14ac:dyDescent="0.25">
      <c r="B273" s="12" t="s">
        <v>407</v>
      </c>
      <c r="C273" s="30">
        <v>-252</v>
      </c>
      <c r="D273" s="30">
        <v>-48.1</v>
      </c>
      <c r="E273" s="30">
        <v>-284.89999999999998</v>
      </c>
      <c r="F273" s="30">
        <v>-27.1</v>
      </c>
      <c r="G273" s="30">
        <v>-67.900000000000006</v>
      </c>
      <c r="H273" s="30">
        <v>-366.7</v>
      </c>
      <c r="I273" s="30">
        <v>-389.2</v>
      </c>
      <c r="J273" s="29"/>
      <c r="K273" s="29"/>
      <c r="L273" s="29"/>
      <c r="M273" s="29"/>
      <c r="N273" s="29"/>
      <c r="O273" s="30">
        <v>-128.19999999999999</v>
      </c>
      <c r="P273" s="29"/>
      <c r="Q273" s="29"/>
      <c r="R273" s="29"/>
      <c r="S273" s="29"/>
      <c r="T273" s="29"/>
      <c r="U273" s="30">
        <v>-195.8</v>
      </c>
      <c r="V273" s="29"/>
      <c r="W273" s="29"/>
      <c r="X273" s="29"/>
      <c r="Y273" s="29"/>
      <c r="Z273" s="29"/>
      <c r="AA273" s="30">
        <v>-66.7</v>
      </c>
      <c r="AB273" s="29"/>
      <c r="AC273" s="29"/>
      <c r="AD273" s="29"/>
      <c r="AE273" s="29"/>
      <c r="AF273" s="29"/>
      <c r="AG273" s="30">
        <v>-93.4</v>
      </c>
      <c r="AH273" s="29"/>
      <c r="AI273" s="29"/>
      <c r="AJ273" s="29"/>
      <c r="AK273" s="29"/>
      <c r="AL273" s="29"/>
      <c r="AM273" s="30">
        <v>-774.1</v>
      </c>
      <c r="AN273" s="29"/>
      <c r="AO273" s="29"/>
      <c r="AP273" s="29"/>
      <c r="AQ273" s="29"/>
      <c r="AR273" s="29"/>
      <c r="AS273" s="30">
        <v>-3.1</v>
      </c>
      <c r="AT273" s="29"/>
      <c r="AU273" s="29"/>
      <c r="AV273" s="29"/>
      <c r="AW273" s="29"/>
      <c r="AX273" s="29"/>
      <c r="AY273" s="30">
        <v>-484</v>
      </c>
      <c r="AZ273" s="29"/>
      <c r="BA273" s="29"/>
      <c r="BB273" s="29"/>
      <c r="BC273" s="29"/>
      <c r="BD273" s="29"/>
      <c r="BE273" s="30">
        <v>-29</v>
      </c>
      <c r="BF273" s="29"/>
      <c r="BG273" s="29"/>
      <c r="BH273" s="29"/>
      <c r="BI273" s="29"/>
      <c r="BJ273" s="29"/>
      <c r="BK273" s="30">
        <v>-3723.3</v>
      </c>
      <c r="BL273" s="29"/>
      <c r="BM273" s="29"/>
      <c r="BN273" s="29"/>
      <c r="BO273" s="29"/>
      <c r="BP273" s="29"/>
      <c r="BQ273" s="30">
        <v>-99.6</v>
      </c>
      <c r="BR273" s="29"/>
      <c r="BS273" s="29"/>
      <c r="BT273" s="29"/>
      <c r="BU273" s="29"/>
      <c r="BV273" s="29"/>
      <c r="BW273" s="30">
        <v>-77.7</v>
      </c>
      <c r="BX273" s="29"/>
      <c r="BY273" s="29"/>
      <c r="BZ273" s="29"/>
      <c r="CA273" s="29"/>
      <c r="CB273" s="29"/>
      <c r="CC273" s="30">
        <v>-123.7</v>
      </c>
      <c r="CD273" s="29"/>
      <c r="CE273" s="29"/>
      <c r="CF273" s="29"/>
      <c r="CG273" s="29"/>
      <c r="CH273" s="29"/>
      <c r="CI273" s="30">
        <v>-821.4</v>
      </c>
      <c r="CJ273" s="29"/>
      <c r="CK273" s="29"/>
      <c r="CL273" s="30">
        <v>-53.4</v>
      </c>
      <c r="CM273" s="31"/>
      <c r="CN273" s="31"/>
      <c r="CO273" s="31">
        <f>CL273</f>
        <v>-53.4</v>
      </c>
      <c r="CP273" s="31">
        <f>-CP106</f>
        <v>-750</v>
      </c>
      <c r="CQ273" s="31">
        <f>-CQ106</f>
        <v>-1000</v>
      </c>
      <c r="CR273" s="31">
        <f>-CR106</f>
        <v>-1000</v>
      </c>
      <c r="CS273" s="31">
        <f>-CS106</f>
        <v>-1000</v>
      </c>
      <c r="CT273" s="22" t="s">
        <v>408</v>
      </c>
      <c r="CV273" s="6"/>
      <c r="CW273" s="6"/>
      <c r="CX273" s="6"/>
      <c r="CY273" s="6"/>
    </row>
    <row r="274" spans="2:103" ht="15" customHeight="1" x14ac:dyDescent="0.25">
      <c r="B274" s="12" t="s">
        <v>409</v>
      </c>
      <c r="C274" s="30">
        <v>0.7</v>
      </c>
      <c r="D274" s="30">
        <v>0.8</v>
      </c>
      <c r="E274" s="30">
        <v>0.4</v>
      </c>
      <c r="F274" s="29"/>
      <c r="G274" s="30">
        <v>0</v>
      </c>
      <c r="H274" s="30">
        <v>137</v>
      </c>
      <c r="I274" s="30">
        <v>1.1000000000000001</v>
      </c>
      <c r="J274" s="29"/>
      <c r="K274" s="29"/>
      <c r="L274" s="29"/>
      <c r="M274" s="29"/>
      <c r="N274" s="29"/>
      <c r="O274" s="30">
        <v>5.8</v>
      </c>
      <c r="P274" s="29"/>
      <c r="Q274" s="29"/>
      <c r="R274" s="29"/>
      <c r="S274" s="29"/>
      <c r="T274" s="29"/>
      <c r="U274" s="30">
        <v>0.6</v>
      </c>
      <c r="V274" s="29"/>
      <c r="W274" s="29"/>
      <c r="X274" s="29"/>
      <c r="Y274" s="29"/>
      <c r="Z274" s="29"/>
      <c r="AA274" s="30">
        <v>3.8</v>
      </c>
      <c r="AB274" s="29"/>
      <c r="AC274" s="29"/>
      <c r="AD274" s="29"/>
      <c r="AE274" s="29"/>
      <c r="AF274" s="29"/>
      <c r="AG274" s="30">
        <v>30</v>
      </c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31"/>
      <c r="CN274" s="31"/>
      <c r="CO274" s="31">
        <f>CL274</f>
        <v>0</v>
      </c>
      <c r="CP274" s="31"/>
      <c r="CQ274" s="31"/>
      <c r="CR274" s="31"/>
      <c r="CS274" s="31"/>
      <c r="CT274" s="22"/>
      <c r="CV274" s="6"/>
      <c r="CW274" s="6"/>
      <c r="CX274" s="6"/>
      <c r="CY274" s="6"/>
    </row>
    <row r="275" spans="2:103" ht="15" customHeight="1" x14ac:dyDescent="0.25">
      <c r="B275" s="12" t="s">
        <v>410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30">
        <v>0</v>
      </c>
      <c r="V275" s="29"/>
      <c r="W275" s="29"/>
      <c r="X275" s="29"/>
      <c r="Y275" s="29"/>
      <c r="Z275" s="29"/>
      <c r="AA275" s="30">
        <v>0</v>
      </c>
      <c r="AB275" s="29"/>
      <c r="AC275" s="29"/>
      <c r="AD275" s="29"/>
      <c r="AE275" s="29"/>
      <c r="AF275" s="29"/>
      <c r="AG275" s="30">
        <v>0</v>
      </c>
      <c r="AH275" s="29"/>
      <c r="AI275" s="29"/>
      <c r="AJ275" s="29"/>
      <c r="AK275" s="29"/>
      <c r="AL275" s="29"/>
      <c r="AM275" s="30">
        <v>1.4</v>
      </c>
      <c r="AN275" s="29"/>
      <c r="AO275" s="29"/>
      <c r="AP275" s="29"/>
      <c r="AQ275" s="29"/>
      <c r="AR275" s="29"/>
      <c r="AS275" s="30">
        <v>1.3</v>
      </c>
      <c r="AT275" s="29"/>
      <c r="AU275" s="29"/>
      <c r="AV275" s="29"/>
      <c r="AW275" s="29"/>
      <c r="AX275" s="29"/>
      <c r="AY275" s="30">
        <v>0.5</v>
      </c>
      <c r="AZ275" s="29"/>
      <c r="BA275" s="29"/>
      <c r="BB275" s="29"/>
      <c r="BC275" s="29"/>
      <c r="BD275" s="29"/>
      <c r="BE275" s="30">
        <v>1</v>
      </c>
      <c r="BF275" s="29"/>
      <c r="BG275" s="29"/>
      <c r="BH275" s="29"/>
      <c r="BI275" s="29"/>
      <c r="BJ275" s="29"/>
      <c r="BK275" s="30">
        <v>0.6</v>
      </c>
      <c r="BL275" s="29"/>
      <c r="BM275" s="29"/>
      <c r="BN275" s="29"/>
      <c r="BO275" s="29"/>
      <c r="BP275" s="29"/>
      <c r="BQ275" s="30">
        <v>16.8</v>
      </c>
      <c r="BR275" s="29"/>
      <c r="BS275" s="29"/>
      <c r="BT275" s="29"/>
      <c r="BU275" s="29"/>
      <c r="BV275" s="29"/>
      <c r="BW275" s="30">
        <v>2.2999999999999998</v>
      </c>
      <c r="BX275" s="29"/>
      <c r="BY275" s="29"/>
      <c r="BZ275" s="29"/>
      <c r="CA275" s="29"/>
      <c r="CB275" s="29"/>
      <c r="CC275" s="30">
        <v>0.2</v>
      </c>
      <c r="CD275" s="29"/>
      <c r="CE275" s="29"/>
      <c r="CF275" s="29"/>
      <c r="CG275" s="29"/>
      <c r="CH275" s="29"/>
      <c r="CI275" s="30">
        <v>0.8</v>
      </c>
      <c r="CJ275" s="29"/>
      <c r="CK275" s="29"/>
      <c r="CL275" s="30">
        <v>-5.2</v>
      </c>
      <c r="CM275" s="31"/>
      <c r="CN275" s="31"/>
      <c r="CO275" s="31">
        <f>CL275</f>
        <v>-5.2</v>
      </c>
      <c r="CP275" s="31"/>
      <c r="CQ275" s="31"/>
      <c r="CR275" s="31"/>
      <c r="CS275" s="31"/>
      <c r="CT275" s="22"/>
      <c r="CV275" s="6"/>
      <c r="CW275" s="6"/>
      <c r="CX275" s="6"/>
      <c r="CY275" s="6"/>
    </row>
    <row r="276" spans="2:103" ht="15" customHeight="1" x14ac:dyDescent="0.25">
      <c r="B276" s="18" t="s">
        <v>411</v>
      </c>
      <c r="C276" s="20">
        <v>-277.7</v>
      </c>
      <c r="D276" s="20">
        <v>-87.6</v>
      </c>
      <c r="E276" s="20">
        <v>-326.60000000000002</v>
      </c>
      <c r="F276" s="20">
        <v>-68.7</v>
      </c>
      <c r="G276" s="20">
        <v>-101.2</v>
      </c>
      <c r="H276" s="20">
        <v>-271.89999999999998</v>
      </c>
      <c r="I276" s="20">
        <v>-453.4</v>
      </c>
      <c r="J276" s="19"/>
      <c r="K276" s="19"/>
      <c r="L276" s="19"/>
      <c r="M276" s="19"/>
      <c r="N276" s="19"/>
      <c r="O276" s="20">
        <v>-195</v>
      </c>
      <c r="P276" s="19"/>
      <c r="Q276" s="19"/>
      <c r="R276" s="19"/>
      <c r="S276" s="19"/>
      <c r="T276" s="19"/>
      <c r="U276" s="20">
        <v>-238.7</v>
      </c>
      <c r="V276" s="19"/>
      <c r="W276" s="19"/>
      <c r="X276" s="19"/>
      <c r="Y276" s="19"/>
      <c r="Z276" s="19"/>
      <c r="AA276" s="20">
        <v>-109.9</v>
      </c>
      <c r="AB276" s="19"/>
      <c r="AC276" s="19"/>
      <c r="AD276" s="19"/>
      <c r="AE276" s="19"/>
      <c r="AF276" s="19"/>
      <c r="AG276" s="20">
        <v>-151</v>
      </c>
      <c r="AH276" s="19"/>
      <c r="AI276" s="19"/>
      <c r="AJ276" s="19"/>
      <c r="AK276" s="19"/>
      <c r="AL276" s="19"/>
      <c r="AM276" s="20">
        <v>-831.2</v>
      </c>
      <c r="AN276" s="19"/>
      <c r="AO276" s="19"/>
      <c r="AP276" s="19"/>
      <c r="AQ276" s="19"/>
      <c r="AR276" s="19"/>
      <c r="AS276" s="20">
        <v>-88.6</v>
      </c>
      <c r="AT276" s="19"/>
      <c r="AU276" s="19"/>
      <c r="AV276" s="19"/>
      <c r="AW276" s="19"/>
      <c r="AX276" s="19"/>
      <c r="AY276" s="20">
        <v>-571.9</v>
      </c>
      <c r="AZ276" s="19"/>
      <c r="BA276" s="19"/>
      <c r="BB276" s="19"/>
      <c r="BC276" s="19"/>
      <c r="BD276" s="19"/>
      <c r="BE276" s="20">
        <v>-99.4</v>
      </c>
      <c r="BF276" s="19"/>
      <c r="BG276" s="19"/>
      <c r="BH276" s="19"/>
      <c r="BI276" s="19"/>
      <c r="BJ276" s="19"/>
      <c r="BK276" s="20">
        <v>-3824.3</v>
      </c>
      <c r="BL276" s="19"/>
      <c r="BM276" s="19"/>
      <c r="BN276" s="19"/>
      <c r="BO276" s="19"/>
      <c r="BP276" s="19"/>
      <c r="BQ276" s="20">
        <v>-175.4</v>
      </c>
      <c r="BR276" s="19"/>
      <c r="BS276" s="19"/>
      <c r="BT276" s="19"/>
      <c r="BU276" s="19"/>
      <c r="BV276" s="19"/>
      <c r="BW276" s="20">
        <v>-190.3</v>
      </c>
      <c r="BX276" s="19"/>
      <c r="BY276" s="19"/>
      <c r="BZ276" s="19"/>
      <c r="CA276" s="19"/>
      <c r="CB276" s="19"/>
      <c r="CC276" s="20">
        <v>-207.2</v>
      </c>
      <c r="CD276" s="19"/>
      <c r="CE276" s="19"/>
      <c r="CF276" s="19"/>
      <c r="CG276" s="19"/>
      <c r="CH276" s="19"/>
      <c r="CI276" s="20">
        <v>-937.9</v>
      </c>
      <c r="CJ276" s="19"/>
      <c r="CK276" s="19"/>
      <c r="CL276" s="20">
        <v>-118.8</v>
      </c>
      <c r="CM276" s="21"/>
      <c r="CN276" s="21"/>
      <c r="CO276" s="21">
        <f>SUM(CO272:CO275)</f>
        <v>-183.6</v>
      </c>
      <c r="CP276" s="21">
        <f>SUM(CP272:CP275)</f>
        <v>-893.599894518768</v>
      </c>
      <c r="CQ276" s="21">
        <f>SUM(CQ272:CQ275)</f>
        <v>-1157.0289044230121</v>
      </c>
      <c r="CR276" s="21">
        <f>SUM(CR272:CR275)</f>
        <v>-1171.5659321299681</v>
      </c>
      <c r="CS276" s="21">
        <f>SUM(CS272:CS275)</f>
        <v>-1186.8921222923298</v>
      </c>
      <c r="CT276" s="22"/>
      <c r="CV276" s="6"/>
      <c r="CW276" s="6"/>
      <c r="CX276" s="6"/>
      <c r="CY276" s="6"/>
    </row>
    <row r="277" spans="2:103" ht="15" customHeight="1" x14ac:dyDescent="0.25">
      <c r="B277" s="12"/>
      <c r="CM277" s="6"/>
      <c r="CN277" s="6"/>
      <c r="CO277" s="6"/>
      <c r="CP277" s="6"/>
      <c r="CQ277" s="6"/>
      <c r="CR277" s="6"/>
      <c r="CS277" s="6"/>
      <c r="CT277" s="6"/>
    </row>
    <row r="278" spans="2:103" ht="15" customHeight="1" x14ac:dyDescent="0.25">
      <c r="B278" s="12" t="s">
        <v>412</v>
      </c>
      <c r="C278" s="30">
        <v>182.1</v>
      </c>
      <c r="D278" s="30">
        <v>-88.8</v>
      </c>
      <c r="E278" s="30">
        <v>189.9</v>
      </c>
      <c r="F278" s="30">
        <v>-81.599999999999994</v>
      </c>
      <c r="G278" s="30">
        <v>3.6</v>
      </c>
      <c r="H278" s="30">
        <v>46.6</v>
      </c>
      <c r="I278" s="30">
        <v>229.2</v>
      </c>
      <c r="J278" s="29"/>
      <c r="K278" s="29"/>
      <c r="L278" s="29"/>
      <c r="M278" s="29"/>
      <c r="N278" s="29"/>
      <c r="O278" s="30">
        <v>0</v>
      </c>
      <c r="P278" s="29"/>
      <c r="Q278" s="29"/>
      <c r="R278" s="29"/>
      <c r="S278" s="29"/>
      <c r="T278" s="29"/>
      <c r="U278" s="30">
        <v>154.5</v>
      </c>
      <c r="V278" s="29"/>
      <c r="W278" s="29"/>
      <c r="X278" s="29"/>
      <c r="Y278" s="29"/>
      <c r="Z278" s="29"/>
      <c r="AA278" s="30">
        <v>180.2</v>
      </c>
      <c r="AB278" s="29"/>
      <c r="AC278" s="29"/>
      <c r="AD278" s="29"/>
      <c r="AE278" s="29"/>
      <c r="AF278" s="29"/>
      <c r="AG278" s="30">
        <v>-140.9</v>
      </c>
      <c r="AH278" s="29"/>
      <c r="AI278" s="29"/>
      <c r="AJ278" s="29"/>
      <c r="AK278" s="29"/>
      <c r="AL278" s="29"/>
      <c r="AM278" s="30">
        <v>533</v>
      </c>
      <c r="AN278" s="29"/>
      <c r="AO278" s="29"/>
      <c r="AP278" s="29"/>
      <c r="AQ278" s="29"/>
      <c r="AR278" s="29"/>
      <c r="AS278" s="30">
        <v>-124.5</v>
      </c>
      <c r="AT278" s="29"/>
      <c r="AU278" s="29"/>
      <c r="AV278" s="29"/>
      <c r="AW278" s="29"/>
      <c r="AX278" s="29"/>
      <c r="AY278" s="30">
        <v>246</v>
      </c>
      <c r="AZ278" s="29"/>
      <c r="BA278" s="29"/>
      <c r="BB278" s="29"/>
      <c r="BC278" s="29"/>
      <c r="BD278" s="29"/>
      <c r="BE278" s="30">
        <v>2.7</v>
      </c>
      <c r="BF278" s="29"/>
      <c r="BG278" s="29"/>
      <c r="BH278" s="29"/>
      <c r="BI278" s="29"/>
      <c r="BJ278" s="29"/>
      <c r="BK278" s="30">
        <v>3975.9</v>
      </c>
      <c r="BL278" s="29"/>
      <c r="BM278" s="29"/>
      <c r="BN278" s="29"/>
      <c r="BO278" s="29"/>
      <c r="BP278" s="29"/>
      <c r="BQ278" s="30">
        <v>0</v>
      </c>
      <c r="BR278" s="29"/>
      <c r="BS278" s="29"/>
      <c r="BT278" s="29"/>
      <c r="BU278" s="29"/>
      <c r="BV278" s="29"/>
      <c r="BW278" s="30">
        <v>-125</v>
      </c>
      <c r="BX278" s="29"/>
      <c r="BY278" s="29"/>
      <c r="BZ278" s="29"/>
      <c r="CA278" s="29"/>
      <c r="CB278" s="29"/>
      <c r="CC278" s="30">
        <v>0</v>
      </c>
      <c r="CD278" s="29"/>
      <c r="CE278" s="29"/>
      <c r="CF278" s="29"/>
      <c r="CG278" s="29"/>
      <c r="CH278" s="29"/>
      <c r="CI278" s="30">
        <v>0</v>
      </c>
      <c r="CJ278" s="29"/>
      <c r="CK278" s="29"/>
      <c r="CL278" s="29"/>
      <c r="CM278" s="31"/>
      <c r="CN278" s="31"/>
      <c r="CO278" s="31">
        <f>MAX(0,CO376-CI376)</f>
        <v>0</v>
      </c>
      <c r="CP278" s="31">
        <f>CP379+MAX(0,CP383-CO383)</f>
        <v>102.16462450366066</v>
      </c>
      <c r="CQ278" s="31">
        <f>CQ379+MAX(0,CQ383-CP383)</f>
        <v>892.49100339538609</v>
      </c>
      <c r="CR278" s="31">
        <f>CR379+MAX(0,CR383-CQ383)</f>
        <v>204.48273216930829</v>
      </c>
      <c r="CS278" s="31">
        <f>CS379+MAX(0,CS383-CR383)</f>
        <v>647.6388753517283</v>
      </c>
      <c r="CT278" s="22"/>
      <c r="CV278" s="6"/>
      <c r="CW278" s="6"/>
      <c r="CX278" s="6"/>
      <c r="CY278" s="6"/>
    </row>
    <row r="279" spans="2:103" ht="15" customHeight="1" x14ac:dyDescent="0.25">
      <c r="B279" s="12" t="s">
        <v>413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30">
        <v>-5</v>
      </c>
      <c r="P279" s="29"/>
      <c r="Q279" s="29"/>
      <c r="R279" s="29"/>
      <c r="S279" s="29"/>
      <c r="T279" s="29"/>
      <c r="U279" s="30">
        <v>0</v>
      </c>
      <c r="V279" s="29"/>
      <c r="W279" s="29"/>
      <c r="X279" s="29"/>
      <c r="Y279" s="29"/>
      <c r="Z279" s="29"/>
      <c r="AA279" s="30">
        <v>-102.8</v>
      </c>
      <c r="AB279" s="29"/>
      <c r="AC279" s="29"/>
      <c r="AD279" s="29"/>
      <c r="AE279" s="29"/>
      <c r="AF279" s="29"/>
      <c r="AG279" s="30">
        <v>-22.2</v>
      </c>
      <c r="AH279" s="29"/>
      <c r="AI279" s="29"/>
      <c r="AJ279" s="29"/>
      <c r="AK279" s="29"/>
      <c r="AL279" s="29"/>
      <c r="AM279" s="30">
        <v>-139.30000000000001</v>
      </c>
      <c r="AN279" s="29"/>
      <c r="AO279" s="29"/>
      <c r="AP279" s="29"/>
      <c r="AQ279" s="29"/>
      <c r="AR279" s="29"/>
      <c r="AS279" s="30">
        <v>-182</v>
      </c>
      <c r="AT279" s="29"/>
      <c r="AU279" s="29"/>
      <c r="AV279" s="29"/>
      <c r="AW279" s="29"/>
      <c r="AX279" s="29"/>
      <c r="AY279" s="30">
        <v>-137.19999999999999</v>
      </c>
      <c r="AZ279" s="29"/>
      <c r="BA279" s="29"/>
      <c r="BB279" s="29"/>
      <c r="BC279" s="29"/>
      <c r="BD279" s="29"/>
      <c r="BE279" s="30">
        <v>-100.8</v>
      </c>
      <c r="BF279" s="29"/>
      <c r="BG279" s="29"/>
      <c r="BH279" s="29"/>
      <c r="BI279" s="29"/>
      <c r="BJ279" s="29"/>
      <c r="BK279" s="30">
        <v>-1141.7</v>
      </c>
      <c r="BL279" s="29"/>
      <c r="BM279" s="29"/>
      <c r="BN279" s="29"/>
      <c r="BO279" s="29"/>
      <c r="BP279" s="29"/>
      <c r="BQ279" s="30">
        <v>-174.8</v>
      </c>
      <c r="BR279" s="29"/>
      <c r="BS279" s="29"/>
      <c r="BT279" s="29"/>
      <c r="BU279" s="29"/>
      <c r="BV279" s="29"/>
      <c r="BW279" s="30">
        <v>-553.9</v>
      </c>
      <c r="BX279" s="29"/>
      <c r="BY279" s="29"/>
      <c r="BZ279" s="29"/>
      <c r="CA279" s="29"/>
      <c r="CB279" s="29"/>
      <c r="CC279" s="30">
        <v>-600.6</v>
      </c>
      <c r="CD279" s="29"/>
      <c r="CE279" s="29"/>
      <c r="CF279" s="29"/>
      <c r="CG279" s="29"/>
      <c r="CH279" s="29"/>
      <c r="CI279" s="30">
        <v>-163.80000000000001</v>
      </c>
      <c r="CJ279" s="29"/>
      <c r="CK279" s="29"/>
      <c r="CL279" s="30">
        <v>-450.6</v>
      </c>
      <c r="CM279" s="31"/>
      <c r="CN279" s="31"/>
      <c r="CO279" s="31">
        <f>MIN(0,CO376-CI376)</f>
        <v>-450.09999999999991</v>
      </c>
      <c r="CP279" s="31">
        <f>CP377+MIN(0,CP383-CO383)</f>
        <v>0</v>
      </c>
      <c r="CQ279" s="31">
        <f>CQ377+MIN(0,CQ383-CP383)</f>
        <v>-700</v>
      </c>
      <c r="CR279" s="31">
        <f>CR377+MIN(0,CR383-CQ383)</f>
        <v>0</v>
      </c>
      <c r="CS279" s="31">
        <f>CS377+MIN(0,CS383-CR383)</f>
        <v>-427.3</v>
      </c>
      <c r="CT279" s="22" t="s">
        <v>414</v>
      </c>
      <c r="CV279" s="6"/>
      <c r="CW279" s="6"/>
      <c r="CX279" s="6"/>
      <c r="CY279" s="6"/>
    </row>
    <row r="280" spans="2:103" ht="15" customHeight="1" x14ac:dyDescent="0.25">
      <c r="B280" s="12" t="s">
        <v>415</v>
      </c>
      <c r="C280" s="29"/>
      <c r="D280" s="29"/>
      <c r="E280" s="29"/>
      <c r="F280" s="30">
        <v>-0.8</v>
      </c>
      <c r="G280" s="29"/>
      <c r="H280" s="30">
        <v>-34.9</v>
      </c>
      <c r="I280" s="29"/>
      <c r="J280" s="29"/>
      <c r="K280" s="29"/>
      <c r="L280" s="29"/>
      <c r="M280" s="29"/>
      <c r="N280" s="29"/>
      <c r="O280" s="30">
        <v>0</v>
      </c>
      <c r="P280" s="29"/>
      <c r="Q280" s="29"/>
      <c r="R280" s="29"/>
      <c r="S280" s="29"/>
      <c r="T280" s="29"/>
      <c r="U280" s="30">
        <v>-146.6</v>
      </c>
      <c r="V280" s="29"/>
      <c r="W280" s="29"/>
      <c r="X280" s="29"/>
      <c r="Y280" s="29"/>
      <c r="Z280" s="29"/>
      <c r="AA280" s="30">
        <v>-243.8</v>
      </c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30">
        <v>0</v>
      </c>
      <c r="BR280" s="29"/>
      <c r="BS280" s="29"/>
      <c r="BT280" s="29"/>
      <c r="BU280" s="29"/>
      <c r="BV280" s="29"/>
      <c r="BW280" s="30">
        <v>0</v>
      </c>
      <c r="BX280" s="29"/>
      <c r="BY280" s="29"/>
      <c r="BZ280" s="29"/>
      <c r="CA280" s="29"/>
      <c r="CB280" s="29"/>
      <c r="CC280" s="30">
        <v>-354</v>
      </c>
      <c r="CD280" s="29"/>
      <c r="CE280" s="29"/>
      <c r="CF280" s="29"/>
      <c r="CG280" s="29"/>
      <c r="CH280" s="29"/>
      <c r="CI280" s="30">
        <v>-402.9</v>
      </c>
      <c r="CJ280" s="29"/>
      <c r="CK280" s="29"/>
      <c r="CL280" s="30">
        <v>-2.9</v>
      </c>
      <c r="CM280" s="31"/>
      <c r="CN280" s="31"/>
      <c r="CO280" s="31">
        <f>CL280-CHOOSE(MATCH($CT$2,{"Bull","Base","Bear"},0),$DC$75,$DD$75,$DE$75)</f>
        <v>-2.9</v>
      </c>
      <c r="CP280" s="31">
        <f>-CP393</f>
        <v>-1393.7783523780124</v>
      </c>
      <c r="CQ280" s="31">
        <f>-CQ393</f>
        <v>-642.27670016488469</v>
      </c>
      <c r="CR280" s="31">
        <f>-CR393</f>
        <v>-776.26958682962527</v>
      </c>
      <c r="CS280" s="31">
        <f>-CS393</f>
        <v>-935.02797815779036</v>
      </c>
      <c r="CT280" s="22" t="s">
        <v>741</v>
      </c>
      <c r="CV280" s="6"/>
      <c r="CW280" s="6"/>
      <c r="CX280" s="6"/>
      <c r="CY280" s="6"/>
    </row>
    <row r="281" spans="2:103" ht="15" customHeight="1" x14ac:dyDescent="0.25">
      <c r="B281" s="12" t="s">
        <v>416</v>
      </c>
      <c r="C281" s="30">
        <v>12.3</v>
      </c>
      <c r="D281" s="30">
        <v>6.5</v>
      </c>
      <c r="E281" s="30">
        <v>13</v>
      </c>
      <c r="F281" s="30">
        <v>1.1000000000000001</v>
      </c>
      <c r="G281" s="30">
        <v>3.9</v>
      </c>
      <c r="H281" s="30">
        <v>14.8</v>
      </c>
      <c r="I281" s="30">
        <v>19.899999999999999</v>
      </c>
      <c r="J281" s="29"/>
      <c r="K281" s="29"/>
      <c r="L281" s="29"/>
      <c r="M281" s="29"/>
      <c r="N281" s="29"/>
      <c r="O281" s="30">
        <v>12.1</v>
      </c>
      <c r="P281" s="29"/>
      <c r="Q281" s="29"/>
      <c r="R281" s="29"/>
      <c r="S281" s="29"/>
      <c r="T281" s="29"/>
      <c r="U281" s="30">
        <v>18.3</v>
      </c>
      <c r="V281" s="29"/>
      <c r="W281" s="29"/>
      <c r="X281" s="29"/>
      <c r="Y281" s="29"/>
      <c r="Z281" s="29"/>
      <c r="AA281" s="30">
        <v>19</v>
      </c>
      <c r="AB281" s="29"/>
      <c r="AC281" s="29"/>
      <c r="AD281" s="29"/>
      <c r="AE281" s="29"/>
      <c r="AF281" s="29"/>
      <c r="AG281" s="30">
        <v>36.1</v>
      </c>
      <c r="AH281" s="29"/>
      <c r="AI281" s="29"/>
      <c r="AJ281" s="29"/>
      <c r="AK281" s="29"/>
      <c r="AL281" s="29"/>
      <c r="AM281" s="30">
        <v>24.9</v>
      </c>
      <c r="AN281" s="29"/>
      <c r="AO281" s="29"/>
      <c r="AP281" s="29"/>
      <c r="AQ281" s="29"/>
      <c r="AR281" s="29"/>
      <c r="AS281" s="30">
        <v>37.200000000000003</v>
      </c>
      <c r="AT281" s="29"/>
      <c r="AU281" s="29"/>
      <c r="AV281" s="29"/>
      <c r="AW281" s="29"/>
      <c r="AX281" s="29"/>
      <c r="AY281" s="30">
        <v>34.6</v>
      </c>
      <c r="AZ281" s="29"/>
      <c r="BA281" s="29"/>
      <c r="BB281" s="29"/>
      <c r="BC281" s="29"/>
      <c r="BD281" s="29"/>
      <c r="BE281" s="30">
        <v>36.299999999999997</v>
      </c>
      <c r="BF281" s="29"/>
      <c r="BG281" s="29"/>
      <c r="BH281" s="29"/>
      <c r="BI281" s="29"/>
      <c r="BJ281" s="29"/>
      <c r="BK281" s="30">
        <v>25.4</v>
      </c>
      <c r="BL281" s="29"/>
      <c r="BM281" s="29"/>
      <c r="BN281" s="29"/>
      <c r="BO281" s="29"/>
      <c r="BP281" s="29"/>
      <c r="BQ281" s="30">
        <v>23.6</v>
      </c>
      <c r="BR281" s="29"/>
      <c r="BS281" s="29"/>
      <c r="BT281" s="29"/>
      <c r="BU281" s="29"/>
      <c r="BV281" s="29"/>
      <c r="BW281" s="30">
        <v>45.4</v>
      </c>
      <c r="BX281" s="29"/>
      <c r="BY281" s="29"/>
      <c r="BZ281" s="29"/>
      <c r="CA281" s="29"/>
      <c r="CB281" s="29"/>
      <c r="CC281" s="30">
        <v>37.9</v>
      </c>
      <c r="CD281" s="29"/>
      <c r="CE281" s="29"/>
      <c r="CF281" s="29"/>
      <c r="CG281" s="29"/>
      <c r="CH281" s="29"/>
      <c r="CI281" s="30">
        <v>48.8</v>
      </c>
      <c r="CJ281" s="29"/>
      <c r="CK281" s="29"/>
      <c r="CL281" s="30">
        <v>32.200000000000003</v>
      </c>
      <c r="CM281" s="31"/>
      <c r="CN281" s="31"/>
      <c r="CO281" s="32">
        <v>50</v>
      </c>
      <c r="CP281" s="32">
        <v>40</v>
      </c>
      <c r="CQ281" s="32">
        <v>40</v>
      </c>
      <c r="CR281" s="32">
        <v>40</v>
      </c>
      <c r="CS281" s="32">
        <v>40</v>
      </c>
      <c r="CT281" s="22"/>
      <c r="CV281" s="6"/>
      <c r="CW281" s="6"/>
      <c r="CX281" s="6"/>
      <c r="CY281" s="6"/>
    </row>
    <row r="282" spans="2:103" ht="15" customHeight="1" x14ac:dyDescent="0.25">
      <c r="B282" s="12" t="s">
        <v>417</v>
      </c>
      <c r="C282" s="30">
        <v>8.6</v>
      </c>
      <c r="D282" s="30">
        <v>3.6</v>
      </c>
      <c r="E282" s="30">
        <v>10.3</v>
      </c>
      <c r="F282" s="30">
        <v>0.8</v>
      </c>
      <c r="G282" s="30">
        <v>0.9</v>
      </c>
      <c r="H282" s="30">
        <v>3.1</v>
      </c>
      <c r="I282" s="30">
        <v>11.2</v>
      </c>
      <c r="J282" s="29"/>
      <c r="K282" s="29"/>
      <c r="L282" s="29"/>
      <c r="M282" s="29"/>
      <c r="N282" s="29"/>
      <c r="O282" s="30">
        <v>4</v>
      </c>
      <c r="P282" s="29"/>
      <c r="Q282" s="29"/>
      <c r="R282" s="29"/>
      <c r="S282" s="29"/>
      <c r="T282" s="29"/>
      <c r="U282" s="30">
        <v>4.2</v>
      </c>
      <c r="V282" s="29"/>
      <c r="W282" s="29"/>
      <c r="X282" s="29"/>
      <c r="Y282" s="29"/>
      <c r="Z282" s="29"/>
      <c r="AA282" s="30">
        <v>2.4</v>
      </c>
      <c r="AB282" s="29"/>
      <c r="AC282" s="29"/>
      <c r="AD282" s="29"/>
      <c r="AE282" s="29"/>
      <c r="AF282" s="29"/>
      <c r="AG282" s="30">
        <v>-18</v>
      </c>
      <c r="AH282" s="29"/>
      <c r="AI282" s="29"/>
      <c r="AJ282" s="29"/>
      <c r="AK282" s="29"/>
      <c r="AL282" s="29"/>
      <c r="AM282" s="30">
        <v>-4.5</v>
      </c>
      <c r="AN282" s="29"/>
      <c r="AO282" s="29"/>
      <c r="AP282" s="29"/>
      <c r="AQ282" s="29"/>
      <c r="AR282" s="29"/>
      <c r="AS282" s="30">
        <v>-2</v>
      </c>
      <c r="AT282" s="29"/>
      <c r="AU282" s="29"/>
      <c r="AV282" s="29"/>
      <c r="AW282" s="29"/>
      <c r="AX282" s="29"/>
      <c r="AY282" s="30">
        <v>-1.7</v>
      </c>
      <c r="AZ282" s="29"/>
      <c r="BA282" s="29"/>
      <c r="BB282" s="29"/>
      <c r="BC282" s="29"/>
      <c r="BD282" s="29"/>
      <c r="BE282" s="30">
        <v>0</v>
      </c>
      <c r="BF282" s="29"/>
      <c r="BG282" s="29"/>
      <c r="BH282" s="29"/>
      <c r="BI282" s="29"/>
      <c r="BJ282" s="29"/>
      <c r="BK282" s="30">
        <v>-52.5</v>
      </c>
      <c r="BL282" s="29"/>
      <c r="BM282" s="29"/>
      <c r="BN282" s="29"/>
      <c r="BO282" s="29"/>
      <c r="BP282" s="29"/>
      <c r="BQ282" s="30">
        <v>41.2</v>
      </c>
      <c r="BR282" s="29"/>
      <c r="BS282" s="29"/>
      <c r="BT282" s="29"/>
      <c r="BU282" s="29"/>
      <c r="BV282" s="29"/>
      <c r="BW282" s="30">
        <v>-18</v>
      </c>
      <c r="BX282" s="29"/>
      <c r="BY282" s="29"/>
      <c r="BZ282" s="29"/>
      <c r="CA282" s="29"/>
      <c r="CB282" s="29"/>
      <c r="CC282" s="30">
        <v>-29.1</v>
      </c>
      <c r="CD282" s="29"/>
      <c r="CE282" s="29"/>
      <c r="CF282" s="29"/>
      <c r="CG282" s="29"/>
      <c r="CH282" s="29"/>
      <c r="CI282" s="30">
        <v>-37.299999999999997</v>
      </c>
      <c r="CJ282" s="29"/>
      <c r="CK282" s="29"/>
      <c r="CL282" s="30">
        <v>-15.4</v>
      </c>
      <c r="CM282" s="31"/>
      <c r="CN282" s="31"/>
      <c r="CO282" s="32">
        <v>0</v>
      </c>
      <c r="CP282" s="31"/>
      <c r="CQ282" s="31"/>
      <c r="CR282" s="31"/>
      <c r="CS282" s="31"/>
      <c r="CT282" s="22"/>
      <c r="CV282" s="6"/>
      <c r="CW282" s="6"/>
      <c r="CX282" s="6"/>
      <c r="CY282" s="6"/>
    </row>
    <row r="283" spans="2:103" ht="15" customHeight="1" x14ac:dyDescent="0.25">
      <c r="B283" s="18" t="s">
        <v>418</v>
      </c>
      <c r="C283" s="20">
        <v>203</v>
      </c>
      <c r="D283" s="20">
        <v>-78.7</v>
      </c>
      <c r="E283" s="20">
        <v>213.2</v>
      </c>
      <c r="F283" s="20">
        <v>-80.5</v>
      </c>
      <c r="G283" s="20">
        <v>8.4</v>
      </c>
      <c r="H283" s="20">
        <v>29.6</v>
      </c>
      <c r="I283" s="20">
        <v>260.3</v>
      </c>
      <c r="J283" s="19"/>
      <c r="K283" s="19"/>
      <c r="L283" s="19"/>
      <c r="M283" s="19"/>
      <c r="N283" s="19"/>
      <c r="O283" s="20">
        <v>11.1</v>
      </c>
      <c r="P283" s="19"/>
      <c r="Q283" s="19"/>
      <c r="R283" s="19"/>
      <c r="S283" s="19"/>
      <c r="T283" s="19"/>
      <c r="U283" s="20">
        <v>30.4</v>
      </c>
      <c r="V283" s="19"/>
      <c r="W283" s="19"/>
      <c r="X283" s="19"/>
      <c r="Y283" s="19"/>
      <c r="Z283" s="19"/>
      <c r="AA283" s="20">
        <v>-145</v>
      </c>
      <c r="AB283" s="19"/>
      <c r="AC283" s="19"/>
      <c r="AD283" s="19"/>
      <c r="AE283" s="19"/>
      <c r="AF283" s="19"/>
      <c r="AG283" s="20">
        <v>-145</v>
      </c>
      <c r="AH283" s="19"/>
      <c r="AI283" s="19"/>
      <c r="AJ283" s="19"/>
      <c r="AK283" s="19"/>
      <c r="AL283" s="19"/>
      <c r="AM283" s="20">
        <v>414.1</v>
      </c>
      <c r="AN283" s="19"/>
      <c r="AO283" s="19"/>
      <c r="AP283" s="19"/>
      <c r="AQ283" s="19"/>
      <c r="AR283" s="19"/>
      <c r="AS283" s="20">
        <v>-271.3</v>
      </c>
      <c r="AT283" s="19"/>
      <c r="AU283" s="19"/>
      <c r="AV283" s="19"/>
      <c r="AW283" s="19"/>
      <c r="AX283" s="19"/>
      <c r="AY283" s="20">
        <v>141.69999999999999</v>
      </c>
      <c r="AZ283" s="19"/>
      <c r="BA283" s="19"/>
      <c r="BB283" s="19"/>
      <c r="BC283" s="19"/>
      <c r="BD283" s="19"/>
      <c r="BE283" s="20">
        <v>-61.8</v>
      </c>
      <c r="BF283" s="19"/>
      <c r="BG283" s="19"/>
      <c r="BH283" s="19"/>
      <c r="BI283" s="19"/>
      <c r="BJ283" s="19"/>
      <c r="BK283" s="20">
        <v>2807.1</v>
      </c>
      <c r="BL283" s="19"/>
      <c r="BM283" s="19"/>
      <c r="BN283" s="19"/>
      <c r="BO283" s="19"/>
      <c r="BP283" s="19"/>
      <c r="BQ283" s="20">
        <v>-110</v>
      </c>
      <c r="BR283" s="19"/>
      <c r="BS283" s="19"/>
      <c r="BT283" s="19"/>
      <c r="BU283" s="19"/>
      <c r="BV283" s="19"/>
      <c r="BW283" s="20">
        <v>-651.5</v>
      </c>
      <c r="BX283" s="19"/>
      <c r="BY283" s="19"/>
      <c r="BZ283" s="19"/>
      <c r="CA283" s="19"/>
      <c r="CB283" s="19"/>
      <c r="CC283" s="20">
        <v>-945.8</v>
      </c>
      <c r="CD283" s="19"/>
      <c r="CE283" s="19"/>
      <c r="CF283" s="19"/>
      <c r="CG283" s="19"/>
      <c r="CH283" s="19"/>
      <c r="CI283" s="20">
        <v>-555.20000000000005</v>
      </c>
      <c r="CJ283" s="19"/>
      <c r="CK283" s="19"/>
      <c r="CL283" s="20">
        <v>-436.7</v>
      </c>
      <c r="CM283" s="21"/>
      <c r="CN283" s="21"/>
      <c r="CO283" s="21">
        <f>SUM(CO278:CO282)</f>
        <v>-402.99999999999989</v>
      </c>
      <c r="CP283" s="21">
        <f>SUM(CP278:CP282)</f>
        <v>-1251.6137278743518</v>
      </c>
      <c r="CQ283" s="21">
        <f>SUM(CQ278:CQ282)</f>
        <v>-409.7856967694986</v>
      </c>
      <c r="CR283" s="21">
        <f>SUM(CR278:CR282)</f>
        <v>-531.78685466031698</v>
      </c>
      <c r="CS283" s="21">
        <f>SUM(CS278:CS282)</f>
        <v>-674.68910280606201</v>
      </c>
      <c r="CT283" s="22"/>
      <c r="CV283" s="6"/>
      <c r="CW283" s="6"/>
      <c r="CX283" s="6"/>
      <c r="CY283" s="6"/>
    </row>
    <row r="284" spans="2:103" ht="15" customHeight="1" x14ac:dyDescent="0.25">
      <c r="B284" s="12" t="s">
        <v>419</v>
      </c>
      <c r="C284" s="29"/>
      <c r="D284" s="29"/>
      <c r="E284" s="29"/>
      <c r="F284" s="29"/>
      <c r="G284" s="29"/>
      <c r="H284" s="29"/>
      <c r="I284" s="30">
        <v>0.3</v>
      </c>
      <c r="J284" s="29"/>
      <c r="K284" s="29"/>
      <c r="L284" s="29"/>
      <c r="M284" s="29"/>
      <c r="N284" s="29"/>
      <c r="O284" s="30">
        <v>0.8</v>
      </c>
      <c r="P284" s="29"/>
      <c r="Q284" s="29"/>
      <c r="R284" s="29"/>
      <c r="S284" s="29"/>
      <c r="T284" s="29"/>
      <c r="U284" s="30">
        <v>-4.2</v>
      </c>
      <c r="V284" s="29"/>
      <c r="W284" s="29"/>
      <c r="X284" s="29"/>
      <c r="Y284" s="29"/>
      <c r="Z284" s="29"/>
      <c r="AA284" s="30">
        <v>-11.6</v>
      </c>
      <c r="AB284" s="29"/>
      <c r="AC284" s="29"/>
      <c r="AD284" s="29"/>
      <c r="AE284" s="29"/>
      <c r="AF284" s="29"/>
      <c r="AG284" s="30">
        <v>-7.5</v>
      </c>
      <c r="AH284" s="29"/>
      <c r="AI284" s="29"/>
      <c r="AJ284" s="29"/>
      <c r="AK284" s="29"/>
      <c r="AL284" s="29"/>
      <c r="AM284" s="30">
        <v>14.7</v>
      </c>
      <c r="AN284" s="29"/>
      <c r="AO284" s="29"/>
      <c r="AP284" s="29"/>
      <c r="AQ284" s="29"/>
      <c r="AR284" s="29"/>
      <c r="AS284" s="30">
        <v>-15.4</v>
      </c>
      <c r="AT284" s="29"/>
      <c r="AU284" s="29"/>
      <c r="AV284" s="29"/>
      <c r="AW284" s="29"/>
      <c r="AX284" s="29"/>
      <c r="AY284" s="30">
        <v>5.0999999999999996</v>
      </c>
      <c r="AZ284" s="29"/>
      <c r="BA284" s="29"/>
      <c r="BB284" s="29"/>
      <c r="BC284" s="29"/>
      <c r="BD284" s="29"/>
      <c r="BE284" s="30">
        <v>15.9</v>
      </c>
      <c r="BF284" s="29"/>
      <c r="BG284" s="29"/>
      <c r="BH284" s="29"/>
      <c r="BI284" s="29"/>
      <c r="BJ284" s="29"/>
      <c r="BK284" s="30">
        <v>-5.8</v>
      </c>
      <c r="BL284" s="29"/>
      <c r="BM284" s="29"/>
      <c r="BN284" s="29"/>
      <c r="BO284" s="29"/>
      <c r="BP284" s="29"/>
      <c r="BQ284" s="30">
        <v>-38</v>
      </c>
      <c r="BR284" s="29"/>
      <c r="BS284" s="29"/>
      <c r="BT284" s="29"/>
      <c r="BU284" s="29"/>
      <c r="BV284" s="29"/>
      <c r="BW284" s="30">
        <v>15.9</v>
      </c>
      <c r="BX284" s="29"/>
      <c r="BY284" s="29"/>
      <c r="BZ284" s="29"/>
      <c r="CA284" s="29"/>
      <c r="CB284" s="29"/>
      <c r="CC284" s="30">
        <v>-37.4</v>
      </c>
      <c r="CD284" s="29"/>
      <c r="CE284" s="29"/>
      <c r="CF284" s="29"/>
      <c r="CG284" s="29"/>
      <c r="CH284" s="29"/>
      <c r="CI284" s="30">
        <v>4.4000000000000004</v>
      </c>
      <c r="CJ284" s="29"/>
      <c r="CK284" s="29"/>
      <c r="CL284" s="30">
        <v>-6</v>
      </c>
      <c r="CM284" s="31"/>
      <c r="CN284" s="31"/>
      <c r="CO284" s="32">
        <v>0</v>
      </c>
      <c r="CP284" s="31"/>
      <c r="CQ284" s="31"/>
      <c r="CR284" s="31"/>
      <c r="CS284" s="31"/>
      <c r="CT284" s="22"/>
      <c r="CV284" s="6"/>
      <c r="CW284" s="6"/>
      <c r="CX284" s="6"/>
      <c r="CY284" s="6"/>
    </row>
    <row r="285" spans="2:103" ht="15" customHeight="1" x14ac:dyDescent="0.25">
      <c r="B285" s="18" t="s">
        <v>420</v>
      </c>
      <c r="C285" s="20">
        <v>3.7</v>
      </c>
      <c r="D285" s="20">
        <v>0.4</v>
      </c>
      <c r="E285" s="20">
        <v>7</v>
      </c>
      <c r="F285" s="20">
        <v>5.7</v>
      </c>
      <c r="G285" s="20">
        <v>49</v>
      </c>
      <c r="H285" s="20">
        <v>-25.7</v>
      </c>
      <c r="I285" s="20">
        <v>-3.6</v>
      </c>
      <c r="J285" s="19"/>
      <c r="K285" s="19"/>
      <c r="L285" s="19"/>
      <c r="M285" s="19"/>
      <c r="N285" s="19"/>
      <c r="O285" s="20">
        <v>20.2</v>
      </c>
      <c r="P285" s="19"/>
      <c r="Q285" s="19"/>
      <c r="R285" s="19"/>
      <c r="S285" s="19"/>
      <c r="T285" s="19"/>
      <c r="U285" s="20">
        <v>75.400000000000006</v>
      </c>
      <c r="V285" s="19"/>
      <c r="W285" s="19"/>
      <c r="X285" s="19"/>
      <c r="Y285" s="19"/>
      <c r="Z285" s="19"/>
      <c r="AA285" s="20">
        <v>-56.3</v>
      </c>
      <c r="AB285" s="19"/>
      <c r="AC285" s="19"/>
      <c r="AD285" s="19"/>
      <c r="AE285" s="19"/>
      <c r="AF285" s="19"/>
      <c r="AG285" s="20">
        <v>13.5</v>
      </c>
      <c r="AH285" s="19"/>
      <c r="AI285" s="19"/>
      <c r="AJ285" s="19"/>
      <c r="AK285" s="19"/>
      <c r="AL285" s="19"/>
      <c r="AM285" s="20">
        <v>-27.7</v>
      </c>
      <c r="AN285" s="19"/>
      <c r="AO285" s="19"/>
      <c r="AP285" s="19"/>
      <c r="AQ285" s="19"/>
      <c r="AR285" s="19"/>
      <c r="AS285" s="20">
        <v>71.599999999999994</v>
      </c>
      <c r="AT285" s="19"/>
      <c r="AU285" s="19"/>
      <c r="AV285" s="19"/>
      <c r="AW285" s="19"/>
      <c r="AX285" s="19"/>
      <c r="AY285" s="20">
        <v>57</v>
      </c>
      <c r="AZ285" s="19"/>
      <c r="BA285" s="19"/>
      <c r="BB285" s="19"/>
      <c r="BC285" s="19"/>
      <c r="BD285" s="19"/>
      <c r="BE285" s="20">
        <v>473.6</v>
      </c>
      <c r="BF285" s="19"/>
      <c r="BG285" s="19"/>
      <c r="BH285" s="19"/>
      <c r="BI285" s="19"/>
      <c r="BJ285" s="19"/>
      <c r="BK285" s="20">
        <v>-198.4</v>
      </c>
      <c r="BL285" s="19"/>
      <c r="BM285" s="19"/>
      <c r="BN285" s="19"/>
      <c r="BO285" s="19"/>
      <c r="BP285" s="19"/>
      <c r="BQ285" s="20">
        <v>163.4</v>
      </c>
      <c r="BR285" s="19"/>
      <c r="BS285" s="19"/>
      <c r="BT285" s="19"/>
      <c r="BU285" s="19"/>
      <c r="BV285" s="19"/>
      <c r="BW285" s="20">
        <v>10.199999999999999</v>
      </c>
      <c r="BX285" s="19"/>
      <c r="BY285" s="19"/>
      <c r="BZ285" s="19"/>
      <c r="CA285" s="19"/>
      <c r="CB285" s="19"/>
      <c r="CC285" s="20">
        <v>1.5</v>
      </c>
      <c r="CD285" s="19"/>
      <c r="CE285" s="19"/>
      <c r="CF285" s="19"/>
      <c r="CG285" s="19"/>
      <c r="CH285" s="19"/>
      <c r="CI285" s="20">
        <v>-297.39999999999998</v>
      </c>
      <c r="CJ285" s="19"/>
      <c r="CK285" s="19"/>
      <c r="CL285" s="20">
        <v>-12.3</v>
      </c>
      <c r="CM285" s="21"/>
      <c r="CN285" s="21"/>
      <c r="CO285" s="21">
        <f>CO271+CO276+CO283+CO284</f>
        <v>649.60152944625963</v>
      </c>
      <c r="CP285" s="21">
        <f>CP271+CP276+CP283+CP284</f>
        <v>-702.00152944625961</v>
      </c>
      <c r="CQ285" s="21">
        <f>CQ271+CQ276+CQ283+CQ284</f>
        <v>0</v>
      </c>
      <c r="CR285" s="21">
        <f>CR271+CR276+CR283+CR284</f>
        <v>0</v>
      </c>
      <c r="CS285" s="21">
        <f>CS271+CS276+CS283+CS284</f>
        <v>0</v>
      </c>
      <c r="CT285" s="22"/>
      <c r="CV285" s="6"/>
      <c r="CW285" s="6"/>
      <c r="CX285" s="6"/>
      <c r="CY285" s="6"/>
    </row>
    <row r="286" spans="2:103" ht="15" customHeight="1" x14ac:dyDescent="0.25">
      <c r="B286" s="12" t="s">
        <v>421</v>
      </c>
      <c r="C286" s="30">
        <v>9.3000000000000007</v>
      </c>
      <c r="D286" s="30">
        <v>13</v>
      </c>
      <c r="E286" s="30">
        <v>13.4</v>
      </c>
      <c r="F286" s="30">
        <v>20.399999999999999</v>
      </c>
      <c r="G286" s="30">
        <v>26.1</v>
      </c>
      <c r="H286" s="30">
        <v>75.099999999999994</v>
      </c>
      <c r="I286" s="30">
        <v>49.4</v>
      </c>
      <c r="J286" s="29"/>
      <c r="K286" s="29"/>
      <c r="L286" s="29"/>
      <c r="M286" s="29"/>
      <c r="N286" s="29"/>
      <c r="O286" s="30">
        <v>45.8</v>
      </c>
      <c r="P286" s="29"/>
      <c r="Q286" s="29"/>
      <c r="R286" s="29"/>
      <c r="S286" s="29"/>
      <c r="T286" s="29"/>
      <c r="U286" s="30">
        <v>66</v>
      </c>
      <c r="V286" s="29"/>
      <c r="W286" s="29"/>
      <c r="X286" s="29"/>
      <c r="Y286" s="29"/>
      <c r="Z286" s="29"/>
      <c r="AA286" s="30">
        <v>141.4</v>
      </c>
      <c r="AB286" s="29"/>
      <c r="AC286" s="29"/>
      <c r="AD286" s="29"/>
      <c r="AE286" s="29"/>
      <c r="AF286" s="29"/>
      <c r="AG286" s="30">
        <v>85.1</v>
      </c>
      <c r="AH286" s="29"/>
      <c r="AI286" s="29"/>
      <c r="AJ286" s="29"/>
      <c r="AK286" s="29"/>
      <c r="AL286" s="29"/>
      <c r="AM286" s="30">
        <v>98.6</v>
      </c>
      <c r="AN286" s="29"/>
      <c r="AO286" s="29"/>
      <c r="AP286" s="29"/>
      <c r="AQ286" s="29"/>
      <c r="AR286" s="29"/>
      <c r="AS286" s="30">
        <v>70.900000000000006</v>
      </c>
      <c r="AT286" s="29"/>
      <c r="AU286" s="29"/>
      <c r="AV286" s="29"/>
      <c r="AW286" s="29"/>
      <c r="AX286" s="29"/>
      <c r="AY286" s="30">
        <v>142.5</v>
      </c>
      <c r="AZ286" s="29"/>
      <c r="BA286" s="29"/>
      <c r="BB286" s="29"/>
      <c r="BC286" s="29"/>
      <c r="BD286" s="29"/>
      <c r="BE286" s="30">
        <v>199.5</v>
      </c>
      <c r="BF286" s="29"/>
      <c r="BG286" s="29"/>
      <c r="BH286" s="29"/>
      <c r="BI286" s="29"/>
      <c r="BJ286" s="29"/>
      <c r="BK286" s="30">
        <v>673.1</v>
      </c>
      <c r="BL286" s="29"/>
      <c r="BM286" s="29"/>
      <c r="BN286" s="29"/>
      <c r="BO286" s="29"/>
      <c r="BP286" s="29"/>
      <c r="BQ286" s="30">
        <v>474.7</v>
      </c>
      <c r="BR286" s="29"/>
      <c r="BS286" s="29"/>
      <c r="BT286" s="29"/>
      <c r="BU286" s="29"/>
      <c r="BV286" s="29"/>
      <c r="BW286" s="30">
        <v>638.1</v>
      </c>
      <c r="BX286" s="29"/>
      <c r="BY286" s="29"/>
      <c r="BZ286" s="29"/>
      <c r="CA286" s="29"/>
      <c r="CB286" s="29"/>
      <c r="CC286" s="30">
        <v>648.29999999999995</v>
      </c>
      <c r="CD286" s="29"/>
      <c r="CE286" s="29"/>
      <c r="CF286" s="29"/>
      <c r="CG286" s="29"/>
      <c r="CH286" s="29"/>
      <c r="CI286" s="30">
        <v>649.79999999999995</v>
      </c>
      <c r="CJ286" s="29"/>
      <c r="CK286" s="29"/>
      <c r="CL286" s="30">
        <v>352.4</v>
      </c>
      <c r="CM286" s="31"/>
      <c r="CN286" s="31"/>
      <c r="CO286" s="31">
        <f>CI287</f>
        <v>352.4</v>
      </c>
      <c r="CP286" s="31">
        <f>CO287</f>
        <v>1002.0015294462596</v>
      </c>
      <c r="CQ286" s="31">
        <f>CP287</f>
        <v>300</v>
      </c>
      <c r="CR286" s="31">
        <f>CQ287</f>
        <v>300</v>
      </c>
      <c r="CS286" s="31">
        <f>CR287</f>
        <v>300</v>
      </c>
      <c r="CT286" s="22"/>
      <c r="CV286" s="6"/>
      <c r="CW286" s="6"/>
      <c r="CX286" s="6"/>
      <c r="CY286" s="6"/>
    </row>
    <row r="287" spans="2:103" ht="15" customHeight="1" x14ac:dyDescent="0.25">
      <c r="B287" s="18" t="s">
        <v>422</v>
      </c>
      <c r="C287" s="20">
        <v>13</v>
      </c>
      <c r="D287" s="20">
        <v>13.4</v>
      </c>
      <c r="E287" s="20">
        <v>20.399999999999999</v>
      </c>
      <c r="F287" s="20">
        <v>26.1</v>
      </c>
      <c r="G287" s="20">
        <v>75.099999999999994</v>
      </c>
      <c r="H287" s="20">
        <v>49.4</v>
      </c>
      <c r="I287" s="20">
        <v>45.8</v>
      </c>
      <c r="J287" s="19"/>
      <c r="K287" s="19"/>
      <c r="L287" s="19"/>
      <c r="M287" s="19"/>
      <c r="N287" s="19"/>
      <c r="O287" s="20">
        <v>66</v>
      </c>
      <c r="P287" s="19"/>
      <c r="Q287" s="19"/>
      <c r="R287" s="19"/>
      <c r="S287" s="19"/>
      <c r="T287" s="19"/>
      <c r="U287" s="20">
        <v>141.4</v>
      </c>
      <c r="V287" s="19"/>
      <c r="W287" s="19"/>
      <c r="X287" s="19"/>
      <c r="Y287" s="19"/>
      <c r="Z287" s="19"/>
      <c r="AA287" s="20">
        <v>85.1</v>
      </c>
      <c r="AB287" s="19"/>
      <c r="AC287" s="19"/>
      <c r="AD287" s="19"/>
      <c r="AE287" s="19"/>
      <c r="AF287" s="19"/>
      <c r="AG287" s="20">
        <v>98.6</v>
      </c>
      <c r="AH287" s="19"/>
      <c r="AI287" s="19"/>
      <c r="AJ287" s="19"/>
      <c r="AK287" s="19"/>
      <c r="AL287" s="19"/>
      <c r="AM287" s="20">
        <v>70.900000000000006</v>
      </c>
      <c r="AN287" s="19"/>
      <c r="AO287" s="19"/>
      <c r="AP287" s="19"/>
      <c r="AQ287" s="19"/>
      <c r="AR287" s="19"/>
      <c r="AS287" s="20">
        <v>142.5</v>
      </c>
      <c r="AT287" s="19"/>
      <c r="AU287" s="19"/>
      <c r="AV287" s="19"/>
      <c r="AW287" s="19"/>
      <c r="AX287" s="19"/>
      <c r="AY287" s="20">
        <v>199.5</v>
      </c>
      <c r="AZ287" s="19"/>
      <c r="BA287" s="19"/>
      <c r="BB287" s="19"/>
      <c r="BC287" s="19"/>
      <c r="BD287" s="19"/>
      <c r="BE287" s="20">
        <v>673.1</v>
      </c>
      <c r="BF287" s="19"/>
      <c r="BG287" s="19"/>
      <c r="BH287" s="19"/>
      <c r="BI287" s="19"/>
      <c r="BJ287" s="19"/>
      <c r="BK287" s="20">
        <v>474.7</v>
      </c>
      <c r="BL287" s="19"/>
      <c r="BM287" s="19"/>
      <c r="BN287" s="19"/>
      <c r="BO287" s="19"/>
      <c r="BP287" s="19"/>
      <c r="BQ287" s="20">
        <v>638.1</v>
      </c>
      <c r="BR287" s="19"/>
      <c r="BS287" s="19"/>
      <c r="BT287" s="19"/>
      <c r="BU287" s="19"/>
      <c r="BV287" s="19"/>
      <c r="BW287" s="20">
        <v>648.29999999999995</v>
      </c>
      <c r="BX287" s="19"/>
      <c r="BY287" s="19"/>
      <c r="BZ287" s="19"/>
      <c r="CA287" s="19"/>
      <c r="CB287" s="19"/>
      <c r="CC287" s="20">
        <v>649.79999999999995</v>
      </c>
      <c r="CD287" s="19"/>
      <c r="CE287" s="19"/>
      <c r="CF287" s="19"/>
      <c r="CG287" s="19"/>
      <c r="CH287" s="19"/>
      <c r="CI287" s="20">
        <v>352.4</v>
      </c>
      <c r="CJ287" s="19"/>
      <c r="CK287" s="19"/>
      <c r="CL287" s="20">
        <v>340.1</v>
      </c>
      <c r="CM287" s="21"/>
      <c r="CN287" s="21"/>
      <c r="CO287" s="21">
        <f>CO286+CO285</f>
        <v>1002.0015294462596</v>
      </c>
      <c r="CP287" s="21">
        <f>CP286+CP285</f>
        <v>300</v>
      </c>
      <c r="CQ287" s="21">
        <f>CQ286+CQ285</f>
        <v>300</v>
      </c>
      <c r="CR287" s="21">
        <f>CR286+CR285</f>
        <v>300</v>
      </c>
      <c r="CS287" s="21">
        <f>CS286+CS285</f>
        <v>300</v>
      </c>
      <c r="CT287" s="22"/>
      <c r="CV287" s="6"/>
      <c r="CW287" s="6"/>
      <c r="CX287" s="6"/>
      <c r="CY287" s="6"/>
    </row>
    <row r="288" spans="2:103" ht="15" customHeight="1" x14ac:dyDescent="0.25">
      <c r="B288" s="38" t="s">
        <v>423</v>
      </c>
      <c r="C288" s="29">
        <f t="shared" ref="C288:I288" si="333">IF(ISNUMBER(C271),ROUND(C271+C276+C283+N(C284)+N(C289)-C285,1),"")</f>
        <v>0</v>
      </c>
      <c r="D288" s="29">
        <f t="shared" si="333"/>
        <v>0</v>
      </c>
      <c r="E288" s="29">
        <f t="shared" si="333"/>
        <v>0</v>
      </c>
      <c r="F288" s="29">
        <f t="shared" si="333"/>
        <v>0</v>
      </c>
      <c r="G288" s="29">
        <f t="shared" si="333"/>
        <v>0</v>
      </c>
      <c r="H288" s="29">
        <f t="shared" si="333"/>
        <v>0</v>
      </c>
      <c r="I288" s="29">
        <f t="shared" si="333"/>
        <v>0</v>
      </c>
      <c r="J288" s="29"/>
      <c r="K288" s="29"/>
      <c r="L288" s="29"/>
      <c r="M288" s="29"/>
      <c r="N288" s="29"/>
      <c r="O288" s="29">
        <f>IF(ISNUMBER(O271),ROUND(O271+O276+O283+N(O284)+N(O289)-O285,1),"")</f>
        <v>0</v>
      </c>
      <c r="P288" s="29"/>
      <c r="Q288" s="29"/>
      <c r="R288" s="29"/>
      <c r="S288" s="29"/>
      <c r="T288" s="29"/>
      <c r="U288" s="29">
        <f>IF(ISNUMBER(U271),ROUND(U271+U276+U283+N(U284)+N(U289)-U285,1),"")</f>
        <v>0</v>
      </c>
      <c r="V288" s="29"/>
      <c r="W288" s="29"/>
      <c r="X288" s="29"/>
      <c r="Y288" s="29"/>
      <c r="Z288" s="29"/>
      <c r="AA288" s="29">
        <f>IF(ISNUMBER(AA271),ROUND(AA271+AA276+AA283+N(AA284)+N(AA289)-AA285,1),"")</f>
        <v>0</v>
      </c>
      <c r="AB288" s="29"/>
      <c r="AC288" s="29"/>
      <c r="AD288" s="29"/>
      <c r="AE288" s="29"/>
      <c r="AF288" s="29"/>
      <c r="AG288" s="29">
        <f>IF(ISNUMBER(AG271),ROUND(AG271+AG276+AG283+N(AG284)+N(AG289)-AG285,1),"")</f>
        <v>0</v>
      </c>
      <c r="AH288" s="29"/>
      <c r="AI288" s="29"/>
      <c r="AJ288" s="29"/>
      <c r="AK288" s="29"/>
      <c r="AL288" s="29"/>
      <c r="AM288" s="29">
        <f>IF(ISNUMBER(AM271),ROUND(AM271+AM276+AM283+N(AM284)+N(AM289)-AM285,1),"")</f>
        <v>0</v>
      </c>
      <c r="AN288" s="29"/>
      <c r="AO288" s="29"/>
      <c r="AP288" s="29"/>
      <c r="AQ288" s="29"/>
      <c r="AR288" s="29"/>
      <c r="AS288" s="29">
        <f>IF(ISNUMBER(AS271),ROUND(AS271+AS276+AS283+N(AS284)+N(AS289)-AS285,1),"")</f>
        <v>0</v>
      </c>
      <c r="AT288" s="29"/>
      <c r="AU288" s="29"/>
      <c r="AV288" s="29"/>
      <c r="AW288" s="29"/>
      <c r="AX288" s="29"/>
      <c r="AY288" s="29">
        <f>IF(ISNUMBER(AY271),ROUND(AY271+AY276+AY283+N(AY284)+N(AY289)-AY285,1),"")</f>
        <v>0</v>
      </c>
      <c r="AZ288" s="29"/>
      <c r="BA288" s="29"/>
      <c r="BB288" s="29"/>
      <c r="BC288" s="29"/>
      <c r="BD288" s="29"/>
      <c r="BE288" s="29">
        <f>IF(ISNUMBER(BE271),ROUND(BE271+BE276+BE283+N(BE284)+N(BE289)-BE285,1),"")</f>
        <v>0</v>
      </c>
      <c r="BF288" s="29"/>
      <c r="BG288" s="29"/>
      <c r="BH288" s="29"/>
      <c r="BI288" s="29"/>
      <c r="BJ288" s="29"/>
      <c r="BK288" s="29">
        <f>IF(ISNUMBER(BK271),ROUND(BK271+BK276+BK283+N(BK284)+N(BK289)-BK285,1),"")</f>
        <v>0</v>
      </c>
      <c r="BL288" s="29"/>
      <c r="BM288" s="29"/>
      <c r="BN288" s="29"/>
      <c r="BO288" s="29"/>
      <c r="BP288" s="29"/>
      <c r="BQ288" s="29">
        <f>IF(ISNUMBER(BQ271),ROUND(BQ271+BQ276+BQ283+N(BQ284)+N(BQ289)-BQ285,1),"")</f>
        <v>0</v>
      </c>
      <c r="BR288" s="29"/>
      <c r="BS288" s="29"/>
      <c r="BT288" s="29"/>
      <c r="BU288" s="29"/>
      <c r="BV288" s="29"/>
      <c r="BW288" s="29">
        <f>IF(ISNUMBER(BW271),ROUND(BW271+BW276+BW283+N(BW284)+N(BW289)-BW285,1),"")</f>
        <v>0</v>
      </c>
      <c r="BX288" s="29"/>
      <c r="BY288" s="29"/>
      <c r="BZ288" s="29"/>
      <c r="CA288" s="29"/>
      <c r="CB288" s="29"/>
      <c r="CC288" s="29">
        <f>IF(ISNUMBER(CC271),ROUND(CC271+CC276+CC283+N(CC284)+N(CC289)-CC285,1),"")</f>
        <v>0</v>
      </c>
      <c r="CD288" s="29"/>
      <c r="CE288" s="29"/>
      <c r="CF288" s="29"/>
      <c r="CG288" s="29"/>
      <c r="CH288" s="29"/>
      <c r="CI288" s="29">
        <f>IF(ISNUMBER(CI271),ROUND(CI271+CI276+CI283+N(CI284)+N(CI289)-CI285,1),"")</f>
        <v>0</v>
      </c>
      <c r="CJ288" s="29"/>
      <c r="CK288" s="29"/>
      <c r="CL288" s="29">
        <f>IF(ISNUMBER(CL271),ROUND(CL271+CL276+CL283+N(CL284)+N(CL289)-CL285,1),"")</f>
        <v>0</v>
      </c>
      <c r="CM288" s="31"/>
      <c r="CN288" s="31"/>
      <c r="CO288" s="31"/>
      <c r="CP288" s="31"/>
      <c r="CQ288" s="31"/>
      <c r="CR288" s="31"/>
      <c r="CS288" s="31"/>
      <c r="CT288" s="22"/>
      <c r="CV288" s="6"/>
      <c r="CW288" s="6"/>
      <c r="CX288" s="6"/>
      <c r="CY288" s="6"/>
    </row>
    <row r="289" spans="2:103" ht="15" customHeight="1" x14ac:dyDescent="0.25">
      <c r="B289" s="36" t="s">
        <v>424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31"/>
      <c r="CN289" s="31"/>
      <c r="CO289" s="31"/>
      <c r="CP289" s="31"/>
      <c r="CQ289" s="31"/>
      <c r="CR289" s="31"/>
      <c r="CS289" s="31"/>
      <c r="CT289" s="22"/>
      <c r="CV289" s="6"/>
      <c r="CW289" s="6"/>
      <c r="CX289" s="6"/>
      <c r="CY289" s="6"/>
    </row>
    <row r="290" spans="2:103" ht="15" customHeight="1" x14ac:dyDescent="0.25">
      <c r="B290" s="12" t="s">
        <v>425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31"/>
      <c r="CN290" s="31"/>
      <c r="CO290" s="31"/>
      <c r="CP290" s="31"/>
      <c r="CQ290" s="31"/>
      <c r="CR290" s="31"/>
      <c r="CS290" s="31"/>
      <c r="CT290" s="22"/>
      <c r="CV290" s="6"/>
      <c r="CW290" s="6"/>
      <c r="CX290" s="6"/>
      <c r="CY290" s="6"/>
    </row>
    <row r="291" spans="2:103" ht="15" customHeight="1" x14ac:dyDescent="0.25">
      <c r="B291" s="33" t="s">
        <v>426</v>
      </c>
      <c r="C291" s="34">
        <f t="shared" ref="C291:I291" si="334">IF(ISNUMBER(C271),C271+N(C272),"")</f>
        <v>52.000000000000007</v>
      </c>
      <c r="D291" s="34">
        <f t="shared" si="334"/>
        <v>126.39999999999999</v>
      </c>
      <c r="E291" s="34">
        <f t="shared" si="334"/>
        <v>82.2</v>
      </c>
      <c r="F291" s="34">
        <f t="shared" si="334"/>
        <v>121.4</v>
      </c>
      <c r="G291" s="34">
        <f t="shared" si="334"/>
        <v>110.80000000000001</v>
      </c>
      <c r="H291" s="34">
        <f t="shared" si="334"/>
        <v>174.89999999999998</v>
      </c>
      <c r="I291" s="34">
        <f t="shared" si="334"/>
        <v>123.89999999999999</v>
      </c>
      <c r="J291" s="19"/>
      <c r="K291" s="19"/>
      <c r="L291" s="19"/>
      <c r="M291" s="19"/>
      <c r="N291" s="19"/>
      <c r="O291" s="34">
        <f>IF(ISNUMBER(O271),O271+N(O272),"")</f>
        <v>130.70000000000002</v>
      </c>
      <c r="P291" s="19"/>
      <c r="Q291" s="19"/>
      <c r="R291" s="19"/>
      <c r="S291" s="19"/>
      <c r="T291" s="19"/>
      <c r="U291" s="34">
        <f>IF(ISNUMBER(U271),U271+N(U272),"")</f>
        <v>244.39999999999998</v>
      </c>
      <c r="V291" s="19"/>
      <c r="W291" s="19"/>
      <c r="X291" s="19"/>
      <c r="Y291" s="19"/>
      <c r="Z291" s="19"/>
      <c r="AA291" s="34">
        <f>IF(ISNUMBER(AA271),AA271+N(AA272),"")</f>
        <v>163.19999999999999</v>
      </c>
      <c r="AB291" s="19"/>
      <c r="AC291" s="19"/>
      <c r="AD291" s="19"/>
      <c r="AE291" s="19"/>
      <c r="AF291" s="19"/>
      <c r="AG291" s="34">
        <f>IF(ISNUMBER(AG271),AG271+N(AG272),"")</f>
        <v>229.4</v>
      </c>
      <c r="AH291" s="19"/>
      <c r="AI291" s="19"/>
      <c r="AJ291" s="19"/>
      <c r="AK291" s="19"/>
      <c r="AL291" s="19"/>
      <c r="AM291" s="34">
        <f>IF(ISNUMBER(AM271),AM271+N(AM272),"")</f>
        <v>316.2</v>
      </c>
      <c r="AN291" s="19"/>
      <c r="AO291" s="19"/>
      <c r="AP291" s="19"/>
      <c r="AQ291" s="19"/>
      <c r="AR291" s="19"/>
      <c r="AS291" s="34">
        <f>IF(ISNUMBER(AS271),AS271+N(AS272),"")</f>
        <v>360.09999999999997</v>
      </c>
      <c r="AT291" s="19"/>
      <c r="AU291" s="19"/>
      <c r="AV291" s="19"/>
      <c r="AW291" s="19"/>
      <c r="AX291" s="19"/>
      <c r="AY291" s="34">
        <f>IF(ISNUMBER(AY271),AY271+N(AY272),"")</f>
        <v>393.70000000000005</v>
      </c>
      <c r="AZ291" s="19"/>
      <c r="BA291" s="19"/>
      <c r="BB291" s="19"/>
      <c r="BC291" s="19"/>
      <c r="BD291" s="19"/>
      <c r="BE291" s="34">
        <f>IF(ISNUMBER(BE271),BE271+N(BE272),"")</f>
        <v>547.5</v>
      </c>
      <c r="BF291" s="19"/>
      <c r="BG291" s="19"/>
      <c r="BH291" s="19"/>
      <c r="BI291" s="19"/>
      <c r="BJ291" s="19"/>
      <c r="BK291" s="34">
        <f>IF(ISNUMBER(BK271),BK271+N(BK272),"")</f>
        <v>723</v>
      </c>
      <c r="BL291" s="19"/>
      <c r="BM291" s="19"/>
      <c r="BN291" s="19"/>
      <c r="BO291" s="19"/>
      <c r="BP291" s="19"/>
      <c r="BQ291" s="34">
        <f>IF(ISNUMBER(BQ271),BQ271+N(BQ272),"")</f>
        <v>394.20000000000005</v>
      </c>
      <c r="BR291" s="19"/>
      <c r="BS291" s="19"/>
      <c r="BT291" s="19"/>
      <c r="BU291" s="19"/>
      <c r="BV291" s="19"/>
      <c r="BW291" s="34">
        <f>IF(ISNUMBER(BW271),BW271+N(BW272),"")</f>
        <v>721.2</v>
      </c>
      <c r="BX291" s="19"/>
      <c r="BY291" s="19"/>
      <c r="BZ291" s="19"/>
      <c r="CA291" s="19"/>
      <c r="CB291" s="19"/>
      <c r="CC291" s="34">
        <f>IF(ISNUMBER(CC271),CC271+N(CC272),"")</f>
        <v>1108.2</v>
      </c>
      <c r="CD291" s="19"/>
      <c r="CE291" s="19"/>
      <c r="CF291" s="19"/>
      <c r="CG291" s="19"/>
      <c r="CH291" s="19"/>
      <c r="CI291" s="34">
        <f>IF(ISNUMBER(CI271),CI271+N(CI272),"")</f>
        <v>1074</v>
      </c>
      <c r="CJ291" s="19"/>
      <c r="CK291" s="19"/>
      <c r="CL291" s="19">
        <f>IF(ISNUMBER(CL271),CL271+N(CL272),"")</f>
        <v>489.00000000000006</v>
      </c>
      <c r="CM291" s="34"/>
      <c r="CN291" s="34"/>
      <c r="CO291" s="34">
        <f>CO271+CO272</f>
        <v>1111.2015294462594</v>
      </c>
      <c r="CP291" s="34">
        <f>CP271+CP272</f>
        <v>1299.6121984280921</v>
      </c>
      <c r="CQ291" s="34">
        <f>CQ271+CQ272</f>
        <v>1409.7856967694986</v>
      </c>
      <c r="CR291" s="34">
        <f>CR271+CR272</f>
        <v>1531.7868546603172</v>
      </c>
      <c r="CS291" s="34">
        <f>CS271+CS272</f>
        <v>1674.689102806062</v>
      </c>
      <c r="CT291" s="22" t="s">
        <v>427</v>
      </c>
      <c r="CV291" s="23">
        <f>IFERROR((CS291/CI291)^(1/5)-1,"n/m")</f>
        <v>9.2913983350451312E-2</v>
      </c>
      <c r="CW291" s="23">
        <f>IFERROR((CI291/BE291)^(1/5)-1,"n/m")</f>
        <v>0.14425819528975348</v>
      </c>
      <c r="CX291" s="23">
        <f>IFERROR((CI291/AA291)^(1/10)-1,"n/m")</f>
        <v>0.20733672891574262</v>
      </c>
      <c r="CY291" s="23">
        <f>IFERROR((CI291/C291)^(1/19)-1,"n/m")</f>
        <v>0.17276386385008835</v>
      </c>
    </row>
    <row r="292" spans="2:103" ht="15" customHeight="1" x14ac:dyDescent="0.25">
      <c r="B292" s="36" t="s">
        <v>428</v>
      </c>
      <c r="C292" s="30">
        <v>52</v>
      </c>
      <c r="D292" s="30">
        <v>126.4</v>
      </c>
      <c r="E292" s="30">
        <v>78.5</v>
      </c>
      <c r="F292" s="30">
        <v>118.7</v>
      </c>
      <c r="G292" s="30">
        <v>96.1</v>
      </c>
      <c r="H292" s="30">
        <v>177.8</v>
      </c>
      <c r="I292" s="30">
        <v>124.2</v>
      </c>
      <c r="J292" s="29"/>
      <c r="K292" s="29"/>
      <c r="L292" s="29"/>
      <c r="M292" s="29"/>
      <c r="N292" s="29"/>
      <c r="O292" s="30">
        <v>131.5</v>
      </c>
      <c r="P292" s="29"/>
      <c r="Q292" s="29"/>
      <c r="R292" s="29"/>
      <c r="S292" s="29"/>
      <c r="T292" s="29"/>
      <c r="U292" s="30">
        <v>244.4</v>
      </c>
      <c r="V292" s="29"/>
      <c r="W292" s="29"/>
      <c r="X292" s="29"/>
      <c r="Y292" s="29"/>
      <c r="Z292" s="29"/>
      <c r="AA292" s="30">
        <v>163.19999999999999</v>
      </c>
      <c r="AB292" s="29"/>
      <c r="AC292" s="29"/>
      <c r="AD292" s="29"/>
      <c r="AE292" s="29"/>
      <c r="AF292" s="29"/>
      <c r="AG292" s="30">
        <v>229.4</v>
      </c>
      <c r="AH292" s="29"/>
      <c r="AI292" s="29"/>
      <c r="AJ292" s="29"/>
      <c r="AK292" s="29"/>
      <c r="AL292" s="29"/>
      <c r="AM292" s="30">
        <v>316.2</v>
      </c>
      <c r="AN292" s="29"/>
      <c r="AO292" s="29"/>
      <c r="AP292" s="29"/>
      <c r="AQ292" s="29"/>
      <c r="AR292" s="29"/>
      <c r="AS292" s="30">
        <v>360.1</v>
      </c>
      <c r="AT292" s="29"/>
      <c r="AU292" s="29"/>
      <c r="AV292" s="29"/>
      <c r="AW292" s="29"/>
      <c r="AX292" s="29"/>
      <c r="AY292" s="30">
        <v>393.7</v>
      </c>
      <c r="AZ292" s="29"/>
      <c r="BA292" s="29"/>
      <c r="BB292" s="29"/>
      <c r="BC292" s="29"/>
      <c r="BD292" s="29"/>
      <c r="BE292" s="30">
        <v>547.5</v>
      </c>
      <c r="BF292" s="29"/>
      <c r="BG292" s="29"/>
      <c r="BH292" s="29"/>
      <c r="BI292" s="29"/>
      <c r="BJ292" s="29"/>
      <c r="BK292" s="30">
        <v>723</v>
      </c>
      <c r="BL292" s="29"/>
      <c r="BM292" s="29"/>
      <c r="BN292" s="29"/>
      <c r="BO292" s="29"/>
      <c r="BP292" s="29"/>
      <c r="BQ292" s="30">
        <v>394.2</v>
      </c>
      <c r="BR292" s="29"/>
      <c r="BS292" s="29"/>
      <c r="BT292" s="29"/>
      <c r="BU292" s="29"/>
      <c r="BV292" s="29"/>
      <c r="BW292" s="30">
        <v>721.2</v>
      </c>
      <c r="BX292" s="29"/>
      <c r="BY292" s="29"/>
      <c r="BZ292" s="29"/>
      <c r="CA292" s="29"/>
      <c r="CB292" s="29"/>
      <c r="CC292" s="30">
        <v>1108.2</v>
      </c>
      <c r="CD292" s="29"/>
      <c r="CE292" s="29"/>
      <c r="CF292" s="29"/>
      <c r="CG292" s="29"/>
      <c r="CH292" s="29"/>
      <c r="CI292" s="30">
        <v>1074</v>
      </c>
      <c r="CJ292" s="29"/>
      <c r="CK292" s="29"/>
      <c r="CL292" s="29"/>
      <c r="CM292" s="31"/>
      <c r="CN292" s="31"/>
      <c r="CO292" s="31"/>
      <c r="CP292" s="31"/>
      <c r="CQ292" s="31"/>
      <c r="CR292" s="31"/>
      <c r="CS292" s="31"/>
      <c r="CT292" s="22"/>
      <c r="CV292" s="6"/>
      <c r="CW292" s="6"/>
      <c r="CX292" s="6"/>
      <c r="CY292" s="6"/>
    </row>
    <row r="293" spans="2:103" ht="15" customHeight="1" x14ac:dyDescent="0.25">
      <c r="B293" s="25" t="s">
        <v>429</v>
      </c>
      <c r="C293" s="26"/>
      <c r="D293" s="26">
        <f t="shared" ref="D293:I293" si="335">IFERROR(D291/C291-1,"")</f>
        <v>1.4307692307692301</v>
      </c>
      <c r="E293" s="26">
        <f t="shared" si="335"/>
        <v>-0.34968354430379744</v>
      </c>
      <c r="F293" s="26">
        <f t="shared" si="335"/>
        <v>0.47688564476885653</v>
      </c>
      <c r="G293" s="26">
        <f t="shared" si="335"/>
        <v>-8.7314662273476062E-2</v>
      </c>
      <c r="H293" s="26">
        <f t="shared" si="335"/>
        <v>0.57851985559566743</v>
      </c>
      <c r="I293" s="26">
        <f t="shared" si="335"/>
        <v>-0.29159519725557459</v>
      </c>
      <c r="J293" s="26"/>
      <c r="K293" s="26"/>
      <c r="L293" s="26"/>
      <c r="M293" s="26"/>
      <c r="N293" s="26"/>
      <c r="O293" s="26">
        <f>IFERROR(O291/I291-1,"")</f>
        <v>5.4882970137207554E-2</v>
      </c>
      <c r="P293" s="26"/>
      <c r="Q293" s="26"/>
      <c r="R293" s="26"/>
      <c r="S293" s="26"/>
      <c r="T293" s="26"/>
      <c r="U293" s="26">
        <f>IFERROR(U291/O291-1,"")</f>
        <v>0.86993114001530181</v>
      </c>
      <c r="V293" s="26"/>
      <c r="W293" s="26"/>
      <c r="X293" s="26"/>
      <c r="Y293" s="26"/>
      <c r="Z293" s="26"/>
      <c r="AA293" s="26">
        <f>IFERROR(AA291/U291-1,"")</f>
        <v>-0.33224222585924712</v>
      </c>
      <c r="AB293" s="26"/>
      <c r="AC293" s="26"/>
      <c r="AD293" s="26"/>
      <c r="AE293" s="26"/>
      <c r="AF293" s="26"/>
      <c r="AG293" s="26">
        <f>IFERROR(AG291/AA291-1,"")</f>
        <v>0.4056372549019609</v>
      </c>
      <c r="AH293" s="26"/>
      <c r="AI293" s="26"/>
      <c r="AJ293" s="26"/>
      <c r="AK293" s="26"/>
      <c r="AL293" s="26"/>
      <c r="AM293" s="26">
        <f>IFERROR(AM291/AG291-1,"")</f>
        <v>0.37837837837837829</v>
      </c>
      <c r="AN293" s="26"/>
      <c r="AO293" s="26"/>
      <c r="AP293" s="26"/>
      <c r="AQ293" s="26"/>
      <c r="AR293" s="26"/>
      <c r="AS293" s="26">
        <f>IFERROR(AS291/AM291-1,"")</f>
        <v>0.13883617963314343</v>
      </c>
      <c r="AT293" s="26"/>
      <c r="AU293" s="26"/>
      <c r="AV293" s="26"/>
      <c r="AW293" s="26"/>
      <c r="AX293" s="26"/>
      <c r="AY293" s="26">
        <f>IFERROR(AY291/AS291-1,"")</f>
        <v>9.3307414607053829E-2</v>
      </c>
      <c r="AZ293" s="26"/>
      <c r="BA293" s="26"/>
      <c r="BB293" s="26"/>
      <c r="BC293" s="26"/>
      <c r="BD293" s="26"/>
      <c r="BE293" s="26">
        <f>IFERROR(BE291/AY291-1,"")</f>
        <v>0.39065278130556247</v>
      </c>
      <c r="BF293" s="26"/>
      <c r="BG293" s="26"/>
      <c r="BH293" s="26"/>
      <c r="BI293" s="26"/>
      <c r="BJ293" s="26"/>
      <c r="BK293" s="26">
        <f>IFERROR(BK291/BE291-1,"")</f>
        <v>0.32054794520547936</v>
      </c>
      <c r="BL293" s="26"/>
      <c r="BM293" s="26"/>
      <c r="BN293" s="26"/>
      <c r="BO293" s="26"/>
      <c r="BP293" s="26"/>
      <c r="BQ293" s="26">
        <f>IFERROR(BQ291/BK291-1,"")</f>
        <v>-0.45477178423236508</v>
      </c>
      <c r="BR293" s="26"/>
      <c r="BS293" s="26"/>
      <c r="BT293" s="26"/>
      <c r="BU293" s="26"/>
      <c r="BV293" s="26"/>
      <c r="BW293" s="26">
        <f>IFERROR(BW291/BQ291-1,"")</f>
        <v>0.82952815829528159</v>
      </c>
      <c r="BX293" s="26"/>
      <c r="BY293" s="26"/>
      <c r="BZ293" s="26"/>
      <c r="CA293" s="26"/>
      <c r="CB293" s="26"/>
      <c r="CC293" s="26">
        <f>IFERROR(CC291/BW291-1,"")</f>
        <v>0.53660565723793674</v>
      </c>
      <c r="CD293" s="26"/>
      <c r="CE293" s="26"/>
      <c r="CF293" s="26"/>
      <c r="CG293" s="26"/>
      <c r="CH293" s="26"/>
      <c r="CI293" s="26">
        <f>IFERROR(CI291/CC291-1,"")</f>
        <v>-3.0860855441256163E-2</v>
      </c>
      <c r="CJ293" s="26"/>
      <c r="CK293" s="26"/>
      <c r="CL293" s="26"/>
      <c r="CM293" s="27"/>
      <c r="CN293" s="27"/>
      <c r="CO293" s="27">
        <f>IFERROR(CO291/CI291-1,"")</f>
        <v>3.4638295573798272E-2</v>
      </c>
      <c r="CP293" s="27">
        <f>IFERROR(CP291/CO291-1,"")</f>
        <v>0.1695558042254699</v>
      </c>
      <c r="CQ293" s="27">
        <f>IFERROR(CQ291/CP291-1,"")</f>
        <v>8.4774133756718717E-2</v>
      </c>
      <c r="CR293" s="27">
        <f>IFERROR(CR291/CQ291-1,"")</f>
        <v>8.6538796762076986E-2</v>
      </c>
      <c r="CS293" s="27">
        <f>IFERROR(CS291/CR291-1,"")</f>
        <v>9.3291209355256033E-2</v>
      </c>
      <c r="CT293" s="22"/>
      <c r="CV293" s="6"/>
      <c r="CW293" s="6"/>
      <c r="CX293" s="6"/>
      <c r="CY293" s="6"/>
    </row>
    <row r="294" spans="2:103" ht="15" customHeight="1" x14ac:dyDescent="0.25">
      <c r="B294" s="25" t="s">
        <v>430</v>
      </c>
      <c r="C294" s="39">
        <f>IFERROR(C291/C152,"")</f>
        <v>3.6282444878593362E-2</v>
      </c>
      <c r="D294" s="39">
        <f>IFERROR(D291/D152,"")</f>
        <v>7.7914072612956908E-2</v>
      </c>
      <c r="E294" s="39">
        <f>IFERROR(E291/E152,"")</f>
        <v>4.7735191637630667E-2</v>
      </c>
      <c r="F294" s="39">
        <f>IFERROR(F291/F152,"")</f>
        <v>7.3482234731553783E-2</v>
      </c>
      <c r="G294" s="39">
        <f>IFERROR(G291/G152,"")</f>
        <v>6.738839557231481E-2</v>
      </c>
      <c r="H294" s="39">
        <f>IFERROR(H291/H152,"")</f>
        <v>9.0066429785261845E-2</v>
      </c>
      <c r="I294" s="39">
        <f>IFERROR(I291/I152,"")</f>
        <v>5.8242843040473828E-2</v>
      </c>
      <c r="J294" s="39"/>
      <c r="K294" s="39"/>
      <c r="L294" s="39"/>
      <c r="M294" s="39"/>
      <c r="N294" s="39"/>
      <c r="O294" s="39">
        <f>IFERROR(O291/O152,"")</f>
        <v>5.5888138202343292E-2</v>
      </c>
      <c r="P294" s="39"/>
      <c r="Q294" s="39"/>
      <c r="R294" s="39"/>
      <c r="S294" s="39"/>
      <c r="T294" s="39"/>
      <c r="U294" s="39">
        <f>IFERROR(U291/U152,"")</f>
        <v>0.10208855472013366</v>
      </c>
      <c r="V294" s="39"/>
      <c r="W294" s="39"/>
      <c r="X294" s="39"/>
      <c r="Y294" s="39"/>
      <c r="Z294" s="39"/>
      <c r="AA294" s="39">
        <f>IFERROR(AA291/AA152,"")</f>
        <v>7.1015186458378662E-2</v>
      </c>
      <c r="AB294" s="39"/>
      <c r="AC294" s="39"/>
      <c r="AD294" s="39"/>
      <c r="AE294" s="39"/>
      <c r="AF294" s="39"/>
      <c r="AG294" s="39">
        <f>IFERROR(AG291/AG152,"")</f>
        <v>0.10670263733196893</v>
      </c>
      <c r="AH294" s="39"/>
      <c r="AI294" s="39"/>
      <c r="AJ294" s="39"/>
      <c r="AK294" s="39"/>
      <c r="AL294" s="39"/>
      <c r="AM294" s="39">
        <f>IFERROR(AM291/AM152,"")</f>
        <v>0.1214378984561026</v>
      </c>
      <c r="AN294" s="39"/>
      <c r="AO294" s="39"/>
      <c r="AP294" s="39"/>
      <c r="AQ294" s="39"/>
      <c r="AR294" s="39"/>
      <c r="AS294" s="39">
        <f>IFERROR(AS291/AS152,"")</f>
        <v>0.1240953890688538</v>
      </c>
      <c r="AT294" s="39"/>
      <c r="AU294" s="39"/>
      <c r="AV294" s="39"/>
      <c r="AW294" s="39"/>
      <c r="AX294" s="39"/>
      <c r="AY294" s="39">
        <f>IFERROR(AY291/AY152,"")</f>
        <v>0.12444683272221521</v>
      </c>
      <c r="AZ294" s="39"/>
      <c r="BA294" s="39"/>
      <c r="BB294" s="39"/>
      <c r="BC294" s="39"/>
      <c r="BD294" s="39"/>
      <c r="BE294" s="39">
        <f>IFERROR(BE291/BE152,"")</f>
        <v>0.17740263106733201</v>
      </c>
      <c r="BF294" s="39"/>
      <c r="BG294" s="39"/>
      <c r="BH294" s="39"/>
      <c r="BI294" s="39"/>
      <c r="BJ294" s="39"/>
      <c r="BK294" s="39">
        <f>IFERROR(BK291/BK152,"")</f>
        <v>0.1566868214030297</v>
      </c>
      <c r="BL294" s="39"/>
      <c r="BM294" s="39"/>
      <c r="BN294" s="39"/>
      <c r="BO294" s="39"/>
      <c r="BP294" s="39"/>
      <c r="BQ294" s="39">
        <f>IFERROR(BQ291/BQ152,"")</f>
        <v>7.2216319202725976E-2</v>
      </c>
      <c r="BR294" s="39"/>
      <c r="BS294" s="39"/>
      <c r="BT294" s="39"/>
      <c r="BU294" s="39"/>
      <c r="BV294" s="39"/>
      <c r="BW294" s="39">
        <f>IFERROR(BW291/BW152,"")</f>
        <v>0.12797444769763108</v>
      </c>
      <c r="BX294" s="39"/>
      <c r="BY294" s="39"/>
      <c r="BZ294" s="39"/>
      <c r="CA294" s="39"/>
      <c r="CB294" s="39"/>
      <c r="CC294" s="39">
        <f>IFERROR(CC291/CC152,"")</f>
        <v>0.19544973544973546</v>
      </c>
      <c r="CD294" s="39"/>
      <c r="CE294" s="39"/>
      <c r="CF294" s="39"/>
      <c r="CG294" s="39"/>
      <c r="CH294" s="39"/>
      <c r="CI294" s="39">
        <f>IFERROR(CI291/CI152,"")</f>
        <v>0.17562219969257939</v>
      </c>
      <c r="CJ294" s="39"/>
      <c r="CK294" s="39"/>
      <c r="CL294" s="39"/>
      <c r="CM294" s="27"/>
      <c r="CN294" s="27"/>
      <c r="CO294" s="27">
        <f>IFERROR(CO291/CO152,"")</f>
        <v>0.16619607560904395</v>
      </c>
      <c r="CP294" s="27">
        <f>IFERROR(CP291/CP152,"")</f>
        <v>0.18100461741749219</v>
      </c>
      <c r="CQ294" s="27">
        <f>IFERROR(CQ291/CQ152,"")</f>
        <v>0.17955747726186122</v>
      </c>
      <c r="CR294" s="27">
        <f>IFERROR(CR291/CR152,"")</f>
        <v>0.17856538715389342</v>
      </c>
      <c r="CS294" s="27">
        <f>IFERROR(CS291/CS152,"")</f>
        <v>0.1792145203623485</v>
      </c>
      <c r="CT294" s="22"/>
      <c r="CV294" s="40">
        <f>IFERROR(AVERAGE(CO294,CP294,CQ294,CR294,CS294),"n/m")</f>
        <v>0.17690761556092785</v>
      </c>
      <c r="CW294" s="40">
        <f>IFERROR(AVERAGE(BK294,BQ294,BW294,CC294,CI294),"n/m")</f>
        <v>0.14558990468914032</v>
      </c>
      <c r="CX294" s="40">
        <f>IFERROR(AVERAGE(AG294,AM294,AS294,AY294,BE294,BK294,BQ294,BW294,CC294,CI294),"n/m")</f>
        <v>0.13820349120921743</v>
      </c>
      <c r="CY294" s="40">
        <f>IFERROR(AVERAGE(C294,D294,E294,F294,G294,H294,I294,O294,U294,AA294,AG294,AM294,AS294,AY294,BE294,BK294,BQ294,BW294,CC294,CI294),"n/m")</f>
        <v>0.10310692018659076</v>
      </c>
    </row>
    <row r="295" spans="2:103" ht="15" customHeight="1" x14ac:dyDescent="0.25">
      <c r="B295" s="25" t="s">
        <v>431</v>
      </c>
      <c r="C295" s="39">
        <f>IFERROR(C291/C242,"")</f>
        <v>0.60888535159493151</v>
      </c>
      <c r="D295" s="39">
        <f>IFERROR(D291/D242,"")</f>
        <v>1.2299206467041923</v>
      </c>
      <c r="E295" s="39">
        <f>IFERROR(E291/E242,"")</f>
        <v>0.64932674829890857</v>
      </c>
      <c r="F295" s="39">
        <f>IFERROR(F291/F242,"")</f>
        <v>0.9745208672630582</v>
      </c>
      <c r="G295" s="39">
        <f>IFERROR(G291/G242,"")</f>
        <v>0.85463134434993326</v>
      </c>
      <c r="H295" s="39">
        <f>IFERROR(H291/H242,"")</f>
        <v>1.1026343090011261</v>
      </c>
      <c r="I295" s="39">
        <f>IFERROR(I291/I242,"")</f>
        <v>0.67788548680527028</v>
      </c>
      <c r="J295" s="39"/>
      <c r="K295" s="39"/>
      <c r="L295" s="39"/>
      <c r="M295" s="39"/>
      <c r="N295" s="39"/>
      <c r="O295" s="39">
        <f>IFERROR(O291/O242,"")</f>
        <v>0.61959186696789037</v>
      </c>
      <c r="P295" s="39"/>
      <c r="Q295" s="39"/>
      <c r="R295" s="39"/>
      <c r="S295" s="39"/>
      <c r="T295" s="39"/>
      <c r="U295" s="39">
        <f>IFERROR(U291/U242,"")</f>
        <v>1.0092643543182582</v>
      </c>
      <c r="V295" s="39"/>
      <c r="W295" s="39"/>
      <c r="X295" s="39"/>
      <c r="Y295" s="39"/>
      <c r="Z295" s="39"/>
      <c r="AA295" s="39">
        <f>IFERROR(AA291/AA242,"")</f>
        <v>0.74531013377584521</v>
      </c>
      <c r="AB295" s="39"/>
      <c r="AC295" s="39"/>
      <c r="AD295" s="39"/>
      <c r="AE295" s="39"/>
      <c r="AF295" s="39"/>
      <c r="AG295" s="39">
        <f>IFERROR(AG291/AG242,"")</f>
        <v>1.0680091492561643</v>
      </c>
      <c r="AH295" s="39"/>
      <c r="AI295" s="39"/>
      <c r="AJ295" s="39"/>
      <c r="AK295" s="39"/>
      <c r="AL295" s="39"/>
      <c r="AM295" s="39">
        <f>IFERROR(AM291/AM242,"")</f>
        <v>1.1507495708912068</v>
      </c>
      <c r="AN295" s="39"/>
      <c r="AO295" s="39"/>
      <c r="AP295" s="39"/>
      <c r="AQ295" s="39"/>
      <c r="AR295" s="39"/>
      <c r="AS295" s="39">
        <f>IFERROR(AS291/AS242,"")</f>
        <v>0.98046899085166273</v>
      </c>
      <c r="AT295" s="39"/>
      <c r="AU295" s="39"/>
      <c r="AV295" s="39"/>
      <c r="AW295" s="39"/>
      <c r="AX295" s="39"/>
      <c r="AY295" s="39">
        <f>IFERROR(AY291/AY242,"")</f>
        <v>0.90861167456080905</v>
      </c>
      <c r="AZ295" s="39"/>
      <c r="BA295" s="39"/>
      <c r="BB295" s="39"/>
      <c r="BC295" s="39"/>
      <c r="BD295" s="39"/>
      <c r="BE295" s="39">
        <f>IFERROR(BE291/BE242,"")</f>
        <v>1.2685356811862838</v>
      </c>
      <c r="BF295" s="39"/>
      <c r="BG295" s="39"/>
      <c r="BH295" s="39"/>
      <c r="BI295" s="39"/>
      <c r="BJ295" s="39"/>
      <c r="BK295" s="39">
        <f>IFERROR(BK291/BK242,"")</f>
        <v>0.96800107109385403</v>
      </c>
      <c r="BL295" s="39"/>
      <c r="BM295" s="39"/>
      <c r="BN295" s="39"/>
      <c r="BO295" s="39"/>
      <c r="BP295" s="39"/>
      <c r="BQ295" s="39">
        <f>IFERROR(BQ291/BQ242,"")</f>
        <v>0.45425213182760998</v>
      </c>
      <c r="BR295" s="39"/>
      <c r="BS295" s="39"/>
      <c r="BT295" s="39"/>
      <c r="BU295" s="39"/>
      <c r="BV295" s="39"/>
      <c r="BW295" s="39">
        <f>IFERROR(BW291/BW242,"")</f>
        <v>0.76454998409837815</v>
      </c>
      <c r="BX295" s="39"/>
      <c r="BY295" s="39"/>
      <c r="BZ295" s="39"/>
      <c r="CA295" s="39"/>
      <c r="CB295" s="39"/>
      <c r="CC295" s="39">
        <f>IFERROR(CC291/CC242,"")</f>
        <v>1.1799403747870527</v>
      </c>
      <c r="CD295" s="39"/>
      <c r="CE295" s="39"/>
      <c r="CF295" s="39"/>
      <c r="CG295" s="39"/>
      <c r="CH295" s="39"/>
      <c r="CI295" s="39">
        <f>IFERROR(CI291/CI242,"")</f>
        <v>1.0304135085867792</v>
      </c>
      <c r="CJ295" s="39"/>
      <c r="CK295" s="39"/>
      <c r="CL295" s="39"/>
      <c r="CM295" s="27"/>
      <c r="CN295" s="27"/>
      <c r="CO295" s="27">
        <f>IFERROR(CO291/CO242,"")</f>
        <v>0.96560621703408844</v>
      </c>
      <c r="CP295" s="27">
        <f>IFERROR(CP291/CP242,"")</f>
        <v>0.99911135962939568</v>
      </c>
      <c r="CQ295" s="27">
        <f>IFERROR(CQ291/CQ242,"")</f>
        <v>0.99238694525207394</v>
      </c>
      <c r="CR295" s="27">
        <f>IFERROR(CR291/CR242,"")</f>
        <v>0.99087677146662023</v>
      </c>
      <c r="CS295" s="27">
        <f>IFERROR(CS291/CS242,"")</f>
        <v>0.98566737393643133</v>
      </c>
      <c r="CT295" s="22"/>
      <c r="CV295" s="40">
        <f>IFERROR(AVERAGE(CO295,CP295,CQ295,CR295,CS295),"n/m")</f>
        <v>0.98672973346372195</v>
      </c>
      <c r="CW295" s="40">
        <f>IFERROR(AVERAGE(BK295,BQ295,BW295,CC295,CI295),"n/m")</f>
        <v>0.87943141407873482</v>
      </c>
      <c r="CX295" s="40">
        <f>IFERROR(AVERAGE(AG295,AM295,AS295,AY295,BE295,BK295,BQ295,BW295,CC295,CI295),"n/m")</f>
        <v>0.97735321371397998</v>
      </c>
      <c r="CY295" s="40">
        <f>IFERROR(AVERAGE(C295,D295,E295,F295,G295,H295,I295,O295,U295,AA295,AG295,AM295,AS295,AY295,BE295,BK295,BQ295,BW295,CC295,CI295),"n/m")</f>
        <v>0.91227516231096073</v>
      </c>
    </row>
    <row r="296" spans="2:103" ht="15" customHeight="1" x14ac:dyDescent="0.25">
      <c r="B296" s="25" t="s">
        <v>432</v>
      </c>
      <c r="C296" s="59">
        <f>IFERROR(C291/C179,"")</f>
        <v>1.4647887323943665</v>
      </c>
      <c r="D296" s="59">
        <f>IFERROR(D291/D179,"")</f>
        <v>3.49171270718232</v>
      </c>
      <c r="E296" s="59">
        <f>IFERROR(E291/E179,"")</f>
        <v>2.2520547945205482</v>
      </c>
      <c r="F296" s="59">
        <f>IFERROR(F291/F179,"")</f>
        <v>3.3169398907103824</v>
      </c>
      <c r="G296" s="59">
        <f>IFERROR(G291/G179,"")</f>
        <v>3.0027100271002714</v>
      </c>
      <c r="H296" s="59">
        <f>IFERROR(H291/H179,"")</f>
        <v>4.6890080428954422</v>
      </c>
      <c r="I296" s="59">
        <f>IFERROR(I291/I179,"")</f>
        <v>3.3128342245989302</v>
      </c>
      <c r="J296" s="59"/>
      <c r="K296" s="59"/>
      <c r="L296" s="59"/>
      <c r="M296" s="59"/>
      <c r="N296" s="59"/>
      <c r="O296" s="59">
        <f>IFERROR(O291/O179,"")</f>
        <v>3.4394736842105269</v>
      </c>
      <c r="P296" s="59"/>
      <c r="Q296" s="59"/>
      <c r="R296" s="59"/>
      <c r="S296" s="59"/>
      <c r="T296" s="59"/>
      <c r="U296" s="59">
        <f>IFERROR(U291/U179,"")</f>
        <v>6.4485488126649075</v>
      </c>
      <c r="V296" s="59"/>
      <c r="W296" s="59"/>
      <c r="X296" s="59"/>
      <c r="Y296" s="59"/>
      <c r="Z296" s="59"/>
      <c r="AA296" s="59">
        <f>IFERROR(AA291/AA179,"")</f>
        <v>4.5333333333333332</v>
      </c>
      <c r="AB296" s="59"/>
      <c r="AC296" s="59"/>
      <c r="AD296" s="59"/>
      <c r="AE296" s="59"/>
      <c r="AF296" s="59"/>
      <c r="AG296" s="59">
        <f>IFERROR(AG291/AG179,"")</f>
        <v>6.4619718309859158</v>
      </c>
      <c r="AH296" s="59"/>
      <c r="AI296" s="59"/>
      <c r="AJ296" s="59"/>
      <c r="AK296" s="59"/>
      <c r="AL296" s="59"/>
      <c r="AM296" s="59">
        <f>IFERROR(AM291/AM179,"")</f>
        <v>8.7107438016528924</v>
      </c>
      <c r="AN296" s="59"/>
      <c r="AO296" s="59"/>
      <c r="AP296" s="59"/>
      <c r="AQ296" s="59"/>
      <c r="AR296" s="59"/>
      <c r="AS296" s="59">
        <f>IFERROR(AS291/AS179,"")</f>
        <v>9.7324324324324323</v>
      </c>
      <c r="AT296" s="59"/>
      <c r="AU296" s="59"/>
      <c r="AV296" s="59"/>
      <c r="AW296" s="59"/>
      <c r="AX296" s="59"/>
      <c r="AY296" s="59">
        <f>IFERROR(AY291/AY179,"")</f>
        <v>10.498666666666669</v>
      </c>
      <c r="AZ296" s="59"/>
      <c r="BA296" s="59"/>
      <c r="BB296" s="59"/>
      <c r="BC296" s="59"/>
      <c r="BD296" s="59"/>
      <c r="BE296" s="59">
        <f>IFERROR(BE291/BE179,"")</f>
        <v>14.445910290237467</v>
      </c>
      <c r="BF296" s="59"/>
      <c r="BG296" s="59"/>
      <c r="BH296" s="59"/>
      <c r="BI296" s="59"/>
      <c r="BJ296" s="59"/>
      <c r="BK296" s="59">
        <f>IFERROR(BK291/BK179,"")</f>
        <v>16.32054176072235</v>
      </c>
      <c r="BL296" s="59"/>
      <c r="BM296" s="59"/>
      <c r="BN296" s="59"/>
      <c r="BO296" s="59"/>
      <c r="BP296" s="59"/>
      <c r="BQ296" s="59">
        <f>IFERROR(BQ291/BQ179,"")</f>
        <v>8.2641509433962277</v>
      </c>
      <c r="BR296" s="59"/>
      <c r="BS296" s="59"/>
      <c r="BT296" s="59"/>
      <c r="BU296" s="59"/>
      <c r="BV296" s="59"/>
      <c r="BW296" s="59">
        <f>IFERROR(BW291/BW179,"")</f>
        <v>15.056367432150315</v>
      </c>
      <c r="BX296" s="59"/>
      <c r="BY296" s="59"/>
      <c r="BZ296" s="59"/>
      <c r="CA296" s="59"/>
      <c r="CB296" s="59"/>
      <c r="CC296" s="59">
        <f>IFERROR(CC291/CC179,"")</f>
        <v>23.281512605042018</v>
      </c>
      <c r="CD296" s="59"/>
      <c r="CE296" s="59"/>
      <c r="CF296" s="59"/>
      <c r="CG296" s="59"/>
      <c r="CH296" s="59"/>
      <c r="CI296" s="59">
        <f>IFERROR(CI291/CI179,"")</f>
        <v>22.658227848101266</v>
      </c>
      <c r="CJ296" s="59"/>
      <c r="CK296" s="59"/>
      <c r="CL296" s="59"/>
      <c r="CM296" s="60"/>
      <c r="CN296" s="60"/>
      <c r="CO296" s="60">
        <f>IFERROR(CO291/CO179,"")</f>
        <v>23.705632628186869</v>
      </c>
      <c r="CP296" s="60">
        <f>IFERROR(CP291/CP179,"")</f>
        <v>28.178176503656246</v>
      </c>
      <c r="CQ296" s="60">
        <f>IFERROR(CQ291/CQ179,"")</f>
        <v>31.499282545641297</v>
      </c>
      <c r="CR296" s="60">
        <f>IFERROR(CR291/CR179,"")</f>
        <v>34.864957259835883</v>
      </c>
      <c r="CS296" s="60">
        <f>IFERROR(CS291/CS179,"")</f>
        <v>38.955555891574605</v>
      </c>
      <c r="CT296" s="22"/>
      <c r="CV296" s="23">
        <f>IFERROR((CS296/CI296)^(1/5)-1,"n/m")</f>
        <v>0.11447079785011427</v>
      </c>
      <c r="CW296" s="23">
        <f>IFERROR((CI296/BE296)^(1/5)-1,"n/m")</f>
        <v>9.4198727123911974E-2</v>
      </c>
      <c r="CX296" s="23">
        <f>IFERROR((CI296/AA296)^(1/10)-1,"n/m")</f>
        <v>0.1745752046003155</v>
      </c>
      <c r="CY296" s="23">
        <f>IFERROR((CI296/C296)^(1/19)-1,"n/m")</f>
        <v>0.15505504549718241</v>
      </c>
    </row>
    <row r="297" spans="2:103" ht="15" customHeight="1" x14ac:dyDescent="0.25">
      <c r="B297" s="12" t="s">
        <v>433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31"/>
      <c r="CN297" s="31"/>
      <c r="CO297" s="31"/>
      <c r="CP297" s="31"/>
      <c r="CQ297" s="31"/>
      <c r="CR297" s="31"/>
      <c r="CS297" s="31"/>
      <c r="CT297" s="22"/>
      <c r="CV297" s="6"/>
      <c r="CW297" s="6"/>
      <c r="CX297" s="6"/>
      <c r="CY297" s="6"/>
    </row>
    <row r="298" spans="2:103" ht="15" customHeight="1" x14ac:dyDescent="0.25">
      <c r="B298" s="25" t="s">
        <v>434</v>
      </c>
      <c r="C298" s="39">
        <f>IFERROR(-N(C272)/C152,"")</f>
        <v>1.8420318169132012E-2</v>
      </c>
      <c r="D298" s="39">
        <f>IFERROR(-N(D272)/D152,"")</f>
        <v>2.4841274733403192E-2</v>
      </c>
      <c r="E298" s="39">
        <f>IFERROR(-N(E272)/E152,"")</f>
        <v>2.2183507549361211E-2</v>
      </c>
      <c r="F298" s="39">
        <f>IFERROR(-N(F272)/F152,"")</f>
        <v>2.0277222928394165E-2</v>
      </c>
      <c r="G298" s="39">
        <f>IFERROR(-N(G272)/G152,"")</f>
        <v>1.8854153995864251E-2</v>
      </c>
      <c r="H298" s="39">
        <f>IFERROR(-N(H272)/H152,"")</f>
        <v>2.1473814305577012E-2</v>
      </c>
      <c r="I298" s="39">
        <f>IFERROR(-N(I272)/I152,"")</f>
        <v>3.0696187655713813E-2</v>
      </c>
      <c r="J298" s="39"/>
      <c r="K298" s="39"/>
      <c r="L298" s="39"/>
      <c r="M298" s="39"/>
      <c r="N298" s="39"/>
      <c r="O298" s="39">
        <f>IFERROR(-N(O272)/O152,"")</f>
        <v>3.1044214487300093E-2</v>
      </c>
      <c r="P298" s="39"/>
      <c r="Q298" s="39"/>
      <c r="R298" s="39"/>
      <c r="S298" s="39"/>
      <c r="T298" s="39"/>
      <c r="U298" s="39">
        <f>IFERROR(-N(U272)/U152,"")</f>
        <v>1.8170426065162906E-2</v>
      </c>
      <c r="V298" s="39"/>
      <c r="W298" s="39"/>
      <c r="X298" s="39"/>
      <c r="Y298" s="39"/>
      <c r="Z298" s="39"/>
      <c r="AA298" s="39">
        <f>IFERROR(-N(AA272)/AA152,"")</f>
        <v>2.0451677472694836E-2</v>
      </c>
      <c r="AB298" s="39"/>
      <c r="AC298" s="39"/>
      <c r="AD298" s="39"/>
      <c r="AE298" s="39"/>
      <c r="AF298" s="39"/>
      <c r="AG298" s="39">
        <f>IFERROR(-N(AG272)/AG152,"")</f>
        <v>4.0746081213079675E-2</v>
      </c>
      <c r="AH298" s="39"/>
      <c r="AI298" s="39"/>
      <c r="AJ298" s="39"/>
      <c r="AK298" s="39"/>
      <c r="AL298" s="39"/>
      <c r="AM298" s="39">
        <f>IFERROR(-N(AM272)/AM152,"")</f>
        <v>2.2467163376603424E-2</v>
      </c>
      <c r="AN298" s="39"/>
      <c r="AO298" s="39"/>
      <c r="AP298" s="39"/>
      <c r="AQ298" s="39"/>
      <c r="AR298" s="39"/>
      <c r="AS298" s="39">
        <f>IFERROR(-N(AS272)/AS152,"")</f>
        <v>2.9912468123233851E-2</v>
      </c>
      <c r="AT298" s="39"/>
      <c r="AU298" s="39"/>
      <c r="AV298" s="39"/>
      <c r="AW298" s="39"/>
      <c r="AX298" s="39"/>
      <c r="AY298" s="39">
        <f>IFERROR(-N(AY272)/AY152,"")</f>
        <v>2.7942849917815149E-2</v>
      </c>
      <c r="AZ298" s="39"/>
      <c r="BA298" s="39"/>
      <c r="BB298" s="39"/>
      <c r="BC298" s="39"/>
      <c r="BD298" s="39"/>
      <c r="BE298" s="39">
        <f>IFERROR(-N(BE272)/BE152,"")</f>
        <v>2.3135247229602751E-2</v>
      </c>
      <c r="BF298" s="39"/>
      <c r="BG298" s="39"/>
      <c r="BH298" s="39"/>
      <c r="BI298" s="39"/>
      <c r="BJ298" s="39"/>
      <c r="BK298" s="39">
        <f>IFERROR(-N(BK272)/BK152,"")</f>
        <v>2.2018507682638751E-2</v>
      </c>
      <c r="BL298" s="39"/>
      <c r="BM298" s="39"/>
      <c r="BN298" s="39"/>
      <c r="BO298" s="39"/>
      <c r="BP298" s="39"/>
      <c r="BQ298" s="39">
        <f>IFERROR(-N(BQ272)/BQ152,"")</f>
        <v>1.6964056717839737E-2</v>
      </c>
      <c r="BR298" s="39"/>
      <c r="BS298" s="39"/>
      <c r="BT298" s="39"/>
      <c r="BU298" s="39"/>
      <c r="BV298" s="39"/>
      <c r="BW298" s="39">
        <f>IFERROR(-N(BW272)/BW152,"")</f>
        <v>2.0388607931860529E-2</v>
      </c>
      <c r="BX298" s="39"/>
      <c r="BY298" s="39"/>
      <c r="BZ298" s="39"/>
      <c r="CA298" s="39"/>
      <c r="CB298" s="39"/>
      <c r="CC298" s="39">
        <f>IFERROR(-N(CC272)/CC152,"")</f>
        <v>1.4761904761904763E-2</v>
      </c>
      <c r="CD298" s="39"/>
      <c r="CE298" s="39"/>
      <c r="CF298" s="39"/>
      <c r="CG298" s="39"/>
      <c r="CH298" s="39"/>
      <c r="CI298" s="39">
        <f>IFERROR(-N(CI272)/CI152,"")</f>
        <v>1.9181083821172777E-2</v>
      </c>
      <c r="CJ298" s="39"/>
      <c r="CK298" s="39"/>
      <c r="CL298" s="39">
        <f>IFERROR(-N(CL272)/CL152,"")</f>
        <v>1.8680568485074166E-2</v>
      </c>
      <c r="CM298" s="27"/>
      <c r="CN298" s="27"/>
      <c r="CO298" s="27">
        <f>IFERROR(-CO272/CO152,"")</f>
        <v>1.869553712860976E-2</v>
      </c>
      <c r="CP298" s="45">
        <v>0.02</v>
      </c>
      <c r="CQ298" s="45">
        <v>0.02</v>
      </c>
      <c r="CR298" s="45">
        <v>0.02</v>
      </c>
      <c r="CS298" s="45">
        <v>0.02</v>
      </c>
      <c r="CT298" s="22"/>
      <c r="CV298" s="40">
        <f>IFERROR(AVERAGE(CO298,CP298,CQ298,CR298,CS298),"n/m")</f>
        <v>1.9739107425721956E-2</v>
      </c>
      <c r="CW298" s="40">
        <f>IFERROR(AVERAGE(BK298,BQ298,BW298,CC298,CI298),"n/m")</f>
        <v>1.866283218308331E-2</v>
      </c>
      <c r="CX298" s="40">
        <f>IFERROR(AVERAGE(AG298,AM298,AS298,AY298,BE298,BK298,BQ298,BW298,CC298,CI298),"n/m")</f>
        <v>2.3751797077575139E-2</v>
      </c>
      <c r="CY298" s="40">
        <f>IFERROR(AVERAGE(C298,D298,E298,F298,G298,H298,I298,O298,U298,AA298,AG298,AM298,AS298,AY298,BE298,BK298,BQ298,BW298,CC298,CI298),"n/m")</f>
        <v>2.3196538406917745E-2</v>
      </c>
    </row>
    <row r="299" spans="2:103" ht="15" customHeight="1" x14ac:dyDescent="0.25">
      <c r="B299" s="25" t="s">
        <v>435</v>
      </c>
      <c r="C299" s="47">
        <f>IFERROR(-N(C272)/C140,"")</f>
        <v>1.0864197530864197</v>
      </c>
      <c r="D299" s="47">
        <f>IFERROR(-N(D272)/D140,"")</f>
        <v>1.4240282685512364</v>
      </c>
      <c r="E299" s="47">
        <f>IFERROR(-N(E272)/E140,"")</f>
        <v>1.3082191780821919</v>
      </c>
      <c r="F299" s="47">
        <f>IFERROR(-N(F272)/F140,"")</f>
        <v>1.1129568106312291</v>
      </c>
      <c r="G299" s="47">
        <f>IFERROR(-N(G272)/G140,"")</f>
        <v>0.99678456591639863</v>
      </c>
      <c r="H299" s="47">
        <f>IFERROR(-N(H272)/H140,"")</f>
        <v>1.053030303030303</v>
      </c>
      <c r="I299" s="47">
        <f>IFERROR(-N(I272)/I140,"")</f>
        <v>1.3353783231083844</v>
      </c>
      <c r="J299" s="47"/>
      <c r="K299" s="47"/>
      <c r="L299" s="47"/>
      <c r="M299" s="47"/>
      <c r="N299" s="47"/>
      <c r="O299" s="47">
        <f>IFERROR(-N(O272)/O140,"")</f>
        <v>1.2181208053691275</v>
      </c>
      <c r="P299" s="47"/>
      <c r="Q299" s="47"/>
      <c r="R299" s="47"/>
      <c r="S299" s="47"/>
      <c r="T299" s="47"/>
      <c r="U299" s="47">
        <f>IFERROR(-N(U272)/U140,"")</f>
        <v>0.6982343499197432</v>
      </c>
      <c r="V299" s="47"/>
      <c r="W299" s="47"/>
      <c r="X299" s="47"/>
      <c r="Y299" s="47"/>
      <c r="Z299" s="47"/>
      <c r="AA299" s="47">
        <f>IFERROR(-N(AA272)/AA140,"")</f>
        <v>0.78726968174204359</v>
      </c>
      <c r="AB299" s="47"/>
      <c r="AC299" s="47"/>
      <c r="AD299" s="47"/>
      <c r="AE299" s="47"/>
      <c r="AF299" s="47"/>
      <c r="AG299" s="47">
        <f>IFERROR(-N(AG272)/AG140,"")</f>
        <v>1.4847457627118643</v>
      </c>
      <c r="AH299" s="47"/>
      <c r="AI299" s="47"/>
      <c r="AJ299" s="47"/>
      <c r="AK299" s="47"/>
      <c r="AL299" s="47"/>
      <c r="AM299" s="47">
        <f>IFERROR(-N(AM272)/AM140,"")</f>
        <v>0.81703910614525144</v>
      </c>
      <c r="AN299" s="47"/>
      <c r="AO299" s="47"/>
      <c r="AP299" s="47"/>
      <c r="AQ299" s="47"/>
      <c r="AR299" s="47"/>
      <c r="AS299" s="47">
        <f>IFERROR(-N(AS272)/AS140,"")</f>
        <v>1.180952380952381</v>
      </c>
      <c r="AT299" s="47"/>
      <c r="AU299" s="47"/>
      <c r="AV299" s="47"/>
      <c r="AW299" s="47"/>
      <c r="AX299" s="47"/>
      <c r="AY299" s="47">
        <f>IFERROR(-N(AY272)/AY140,"")</f>
        <v>1.1724137931034482</v>
      </c>
      <c r="AZ299" s="47"/>
      <c r="BA299" s="47"/>
      <c r="BB299" s="47"/>
      <c r="BC299" s="47"/>
      <c r="BD299" s="47"/>
      <c r="BE299" s="47">
        <f>IFERROR(-N(BE272)/BE140,"")</f>
        <v>0.92248062015503873</v>
      </c>
      <c r="BF299" s="47"/>
      <c r="BG299" s="47"/>
      <c r="BH299" s="47"/>
      <c r="BI299" s="47"/>
      <c r="BJ299" s="47"/>
      <c r="BK299" s="47">
        <f>IFERROR(-N(BK272)/BK140,"")</f>
        <v>0.87510766580534038</v>
      </c>
      <c r="BL299" s="47"/>
      <c r="BM299" s="47"/>
      <c r="BN299" s="47"/>
      <c r="BO299" s="47"/>
      <c r="BP299" s="47"/>
      <c r="BQ299" s="47">
        <f>IFERROR(-N(BQ272)/BQ140,"")</f>
        <v>0.70957854406130261</v>
      </c>
      <c r="BR299" s="47"/>
      <c r="BS299" s="47"/>
      <c r="BT299" s="47"/>
      <c r="BU299" s="47"/>
      <c r="BV299" s="47"/>
      <c r="BW299" s="47">
        <f>IFERROR(-N(BW272)/BW140,"")</f>
        <v>0.9598997493734337</v>
      </c>
      <c r="BX299" s="47"/>
      <c r="BY299" s="47"/>
      <c r="BZ299" s="47"/>
      <c r="CA299" s="47"/>
      <c r="CB299" s="47"/>
      <c r="CC299" s="47">
        <f>IFERROR(-N(CC272)/CC140,"")</f>
        <v>0.74798927613941035</v>
      </c>
      <c r="CD299" s="47"/>
      <c r="CE299" s="47"/>
      <c r="CF299" s="47"/>
      <c r="CG299" s="47"/>
      <c r="CH299" s="47"/>
      <c r="CI299" s="47">
        <f>IFERROR(-N(CI272)/CI140,"")</f>
        <v>0.97994987468671668</v>
      </c>
      <c r="CJ299" s="47"/>
      <c r="CK299" s="47"/>
      <c r="CL299" s="47">
        <f>IFERROR(-N(CL272)/CL140,"")</f>
        <v>1.0151770657672849</v>
      </c>
      <c r="CM299" s="48"/>
      <c r="CN299" s="48"/>
      <c r="CO299" s="48">
        <f>IFERROR(-CO272/CO140,"")</f>
        <v>1.015990521933521</v>
      </c>
      <c r="CP299" s="48">
        <f>IFERROR(-CP272/CP140,"")</f>
        <v>1.0256410256410255</v>
      </c>
      <c r="CQ299" s="48">
        <f>IFERROR(-CQ272/CQ140,"")</f>
        <v>1.0256410256410258</v>
      </c>
      <c r="CR299" s="48">
        <f>IFERROR(-CR272/CR140,"")</f>
        <v>1.0256410256410255</v>
      </c>
      <c r="CS299" s="48">
        <f>IFERROR(-CS272/CS140,"")</f>
        <v>1.0256410256410258</v>
      </c>
      <c r="CT299" s="22"/>
      <c r="CV299" s="6"/>
      <c r="CW299" s="6"/>
      <c r="CX299" s="6"/>
      <c r="CY299" s="6"/>
    </row>
    <row r="300" spans="2:103" ht="15" customHeight="1" x14ac:dyDescent="0.25">
      <c r="B300" s="12"/>
      <c r="CM300" s="6"/>
      <c r="CN300" s="6"/>
      <c r="CO300" s="6"/>
      <c r="CP300" s="6"/>
      <c r="CQ300" s="6"/>
      <c r="CR300" s="6"/>
      <c r="CS300" s="6"/>
      <c r="CT300" s="6"/>
    </row>
    <row r="301" spans="2:103" ht="15" customHeight="1" x14ac:dyDescent="0.25">
      <c r="B301" s="11" t="s">
        <v>436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</row>
    <row r="302" spans="2:103" ht="15" customHeight="1" x14ac:dyDescent="0.25">
      <c r="B302" s="12" t="s">
        <v>437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60"/>
      <c r="CN302" s="60"/>
      <c r="CO302" s="60">
        <f>CO432</f>
        <v>615</v>
      </c>
      <c r="CP302" s="60">
        <f>CO302*(1+CP374)</f>
        <v>658.05000000000007</v>
      </c>
      <c r="CQ302" s="60">
        <f>CP302*(1+CQ374)</f>
        <v>704.11350000000016</v>
      </c>
      <c r="CR302" s="60">
        <f>CQ302*(1+CR374)</f>
        <v>753.40144500000019</v>
      </c>
      <c r="CS302" s="60">
        <f>CR302*(1+CS374)</f>
        <v>806.13954615000023</v>
      </c>
      <c r="CT302" s="22" t="s">
        <v>438</v>
      </c>
      <c r="CV302" s="6"/>
      <c r="CW302" s="6"/>
      <c r="CX302" s="6"/>
      <c r="CY302" s="6"/>
    </row>
    <row r="303" spans="2:103" ht="15" customHeight="1" x14ac:dyDescent="0.25">
      <c r="B303" s="12" t="s">
        <v>439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31"/>
      <c r="CN303" s="31"/>
      <c r="CO303" s="31">
        <f>-(CO280-CL280)</f>
        <v>0</v>
      </c>
      <c r="CP303" s="31">
        <f>-CP280</f>
        <v>1393.7783523780124</v>
      </c>
      <c r="CQ303" s="31">
        <f>-CQ280</f>
        <v>642.27670016488469</v>
      </c>
      <c r="CR303" s="31">
        <f>-CR280</f>
        <v>776.26958682962527</v>
      </c>
      <c r="CS303" s="31">
        <f>-CS280</f>
        <v>935.02797815779036</v>
      </c>
      <c r="CT303" s="22" t="s">
        <v>440</v>
      </c>
      <c r="CV303" s="6"/>
      <c r="CW303" s="6"/>
      <c r="CX303" s="6"/>
      <c r="CY303" s="6"/>
    </row>
    <row r="304" spans="2:103" ht="15" customHeight="1" x14ac:dyDescent="0.25">
      <c r="B304" s="12" t="s">
        <v>441</v>
      </c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2"/>
      <c r="CN304" s="52"/>
      <c r="CO304" s="52">
        <f>IFERROR(CO303/CO302,0)</f>
        <v>0</v>
      </c>
      <c r="CP304" s="52">
        <f>IFERROR(CP303/CP302,0)</f>
        <v>2.1180432374105496</v>
      </c>
      <c r="CQ304" s="52">
        <f>IFERROR(CQ303/CQ302,0)</f>
        <v>0.91217779543338473</v>
      </c>
      <c r="CR304" s="52">
        <f>IFERROR(CR303/CR302,0)</f>
        <v>1.0303531961365233</v>
      </c>
      <c r="CS304" s="52">
        <f>IFERROR(CS303/CS302,0)</f>
        <v>1.1598835246618797</v>
      </c>
      <c r="CT304" s="22"/>
      <c r="CV304" s="6"/>
      <c r="CW304" s="6"/>
      <c r="CX304" s="6"/>
      <c r="CY304" s="6"/>
    </row>
    <row r="305" spans="2:103" ht="15" customHeight="1" x14ac:dyDescent="0.25">
      <c r="B305" s="12" t="s">
        <v>442</v>
      </c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2"/>
      <c r="CN305" s="52"/>
      <c r="CO305" s="53">
        <v>0.15</v>
      </c>
      <c r="CP305" s="53">
        <v>0.15</v>
      </c>
      <c r="CQ305" s="53">
        <v>0.15</v>
      </c>
      <c r="CR305" s="53">
        <v>0.15</v>
      </c>
      <c r="CS305" s="53">
        <v>0.15</v>
      </c>
      <c r="CT305" s="22"/>
      <c r="CV305" s="6"/>
      <c r="CW305" s="6"/>
      <c r="CX305" s="6"/>
      <c r="CY305" s="6"/>
    </row>
    <row r="306" spans="2:103" ht="15" customHeight="1" x14ac:dyDescent="0.25">
      <c r="B306" s="12" t="s">
        <v>443</v>
      </c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2"/>
      <c r="CN306" s="52"/>
      <c r="CO306" s="52">
        <f>CL357</f>
        <v>46.355252999999998</v>
      </c>
      <c r="CP306" s="52">
        <f>CO307</f>
        <v>46.505252999999996</v>
      </c>
      <c r="CQ306" s="52">
        <f>CP307</f>
        <v>44.537209762589448</v>
      </c>
      <c r="CR306" s="52">
        <f>CQ307</f>
        <v>43.77503196715606</v>
      </c>
      <c r="CS306" s="52">
        <f>CR307</f>
        <v>42.894678771019535</v>
      </c>
      <c r="CT306" s="22"/>
      <c r="CV306" s="6"/>
      <c r="CW306" s="6"/>
      <c r="CX306" s="6"/>
      <c r="CY306" s="6"/>
    </row>
    <row r="307" spans="2:103" ht="15" customHeight="1" x14ac:dyDescent="0.25">
      <c r="B307" s="12" t="s">
        <v>444</v>
      </c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2"/>
      <c r="CN307" s="52"/>
      <c r="CO307" s="52">
        <f>CO306-CO304+CO305</f>
        <v>46.505252999999996</v>
      </c>
      <c r="CP307" s="52">
        <f>CP306-CP304+CP305</f>
        <v>44.537209762589448</v>
      </c>
      <c r="CQ307" s="52">
        <f>CQ306-CQ304+CQ305</f>
        <v>43.77503196715606</v>
      </c>
      <c r="CR307" s="52">
        <f>CR306-CR304+CR305</f>
        <v>42.894678771019535</v>
      </c>
      <c r="CS307" s="52">
        <f>CS306-CS304+CS305</f>
        <v>41.884795246357655</v>
      </c>
      <c r="CT307" s="22"/>
      <c r="CV307" s="6"/>
      <c r="CW307" s="6"/>
      <c r="CX307" s="6"/>
      <c r="CY307" s="6"/>
    </row>
    <row r="308" spans="2:103" ht="15" customHeight="1" x14ac:dyDescent="0.25">
      <c r="B308" s="25" t="s">
        <v>445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27"/>
      <c r="CN308" s="27"/>
      <c r="CO308" s="27">
        <f>IFERROR(CO304/CO306,"")</f>
        <v>0</v>
      </c>
      <c r="CP308" s="27">
        <f>IFERROR(CP304/CP306,"")</f>
        <v>4.5544171911301071E-2</v>
      </c>
      <c r="CQ308" s="27">
        <f>IFERROR(CQ304/CQ306,"")</f>
        <v>2.0481251526439353E-2</v>
      </c>
      <c r="CR308" s="27">
        <f>IFERROR(CR304/CR306,"")</f>
        <v>2.35374630202346E-2</v>
      </c>
      <c r="CS308" s="27">
        <f>IFERROR(CS304/CS306,"")</f>
        <v>2.7040266016527887E-2</v>
      </c>
      <c r="CT308" s="22"/>
      <c r="CV308" s="6"/>
      <c r="CW308" s="6"/>
      <c r="CX308" s="6"/>
      <c r="CY308" s="6"/>
    </row>
    <row r="309" spans="2:103" ht="15" customHeight="1" x14ac:dyDescent="0.25">
      <c r="B309" s="36" t="s">
        <v>446</v>
      </c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2"/>
      <c r="CN309" s="52"/>
      <c r="CO309" s="52">
        <f>CO304</f>
        <v>0</v>
      </c>
      <c r="CP309" s="52">
        <f>CO309+CP304</f>
        <v>2.1180432374105496</v>
      </c>
      <c r="CQ309" s="52">
        <f>CP309+CQ304</f>
        <v>3.0302210328439343</v>
      </c>
      <c r="CR309" s="52">
        <f>CQ309+CR304</f>
        <v>4.0605742289804576</v>
      </c>
      <c r="CS309" s="52">
        <f>CR309+CS304</f>
        <v>5.2204577536423376</v>
      </c>
      <c r="CT309" s="22"/>
      <c r="CV309" s="6"/>
      <c r="CW309" s="6"/>
      <c r="CX309" s="6"/>
      <c r="CY309" s="6"/>
    </row>
    <row r="310" spans="2:103" ht="15" customHeight="1" x14ac:dyDescent="0.25">
      <c r="B310" s="12"/>
      <c r="CM310" s="6"/>
      <c r="CN310" s="6"/>
      <c r="CO310" s="6"/>
      <c r="CP310" s="6"/>
      <c r="CQ310" s="6"/>
      <c r="CR310" s="6"/>
      <c r="CS310" s="6"/>
      <c r="CT310" s="6"/>
    </row>
    <row r="311" spans="2:103" ht="15" customHeight="1" x14ac:dyDescent="0.25">
      <c r="B311" s="11" t="s">
        <v>447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 t="s">
        <v>448</v>
      </c>
    </row>
    <row r="312" spans="2:103" ht="15" customHeight="1" x14ac:dyDescent="0.25">
      <c r="B312" s="12"/>
      <c r="CM312" s="6"/>
      <c r="CN312" s="6"/>
      <c r="CO312" s="6"/>
      <c r="CP312" s="6"/>
      <c r="CQ312" s="6"/>
      <c r="CR312" s="6"/>
      <c r="CS312" s="6"/>
      <c r="CT312" s="6"/>
    </row>
    <row r="313" spans="2:103" ht="15" customHeight="1" x14ac:dyDescent="0.25">
      <c r="B313" s="12" t="s">
        <v>449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31"/>
      <c r="CN313" s="31"/>
      <c r="CO313" s="31"/>
      <c r="CP313" s="31"/>
      <c r="CQ313" s="31"/>
      <c r="CR313" s="31"/>
      <c r="CS313" s="31"/>
      <c r="CT313" s="22"/>
      <c r="CV313" s="6"/>
      <c r="CW313" s="6"/>
      <c r="CX313" s="6"/>
      <c r="CY313" s="6"/>
    </row>
    <row r="314" spans="2:103" ht="15" customHeight="1" x14ac:dyDescent="0.25">
      <c r="B314" s="12" t="s">
        <v>450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31"/>
      <c r="CN314" s="31"/>
      <c r="CO314" s="31"/>
      <c r="CP314" s="31"/>
      <c r="CQ314" s="31"/>
      <c r="CR314" s="31"/>
      <c r="CS314" s="31"/>
      <c r="CT314" s="22"/>
      <c r="CV314" s="6"/>
      <c r="CW314" s="6"/>
      <c r="CX314" s="6"/>
      <c r="CY314" s="6"/>
    </row>
    <row r="315" spans="2:103" ht="15" customHeight="1" x14ac:dyDescent="0.25">
      <c r="B315" s="12" t="s">
        <v>451</v>
      </c>
      <c r="C315" s="30">
        <v>13</v>
      </c>
      <c r="D315" s="30">
        <v>13.4</v>
      </c>
      <c r="E315" s="30">
        <v>20.399999999999999</v>
      </c>
      <c r="F315" s="30">
        <v>26.1</v>
      </c>
      <c r="G315" s="30">
        <v>75.099999999999994</v>
      </c>
      <c r="H315" s="30">
        <v>49.4</v>
      </c>
      <c r="I315" s="30">
        <v>45.8</v>
      </c>
      <c r="J315" s="29"/>
      <c r="K315" s="29"/>
      <c r="L315" s="29"/>
      <c r="M315" s="29"/>
      <c r="N315" s="29"/>
      <c r="O315" s="30">
        <v>66</v>
      </c>
      <c r="P315" s="29"/>
      <c r="Q315" s="29"/>
      <c r="R315" s="29"/>
      <c r="S315" s="29"/>
      <c r="T315" s="29"/>
      <c r="U315" s="30">
        <v>141.4</v>
      </c>
      <c r="V315" s="29"/>
      <c r="W315" s="29"/>
      <c r="X315" s="29"/>
      <c r="Y315" s="29"/>
      <c r="Z315" s="29"/>
      <c r="AA315" s="30">
        <v>85.1</v>
      </c>
      <c r="AB315" s="29"/>
      <c r="AC315" s="29"/>
      <c r="AD315" s="29"/>
      <c r="AE315" s="29"/>
      <c r="AF315" s="29"/>
      <c r="AG315" s="30">
        <v>98.6</v>
      </c>
      <c r="AH315" s="29"/>
      <c r="AI315" s="29"/>
      <c r="AJ315" s="29"/>
      <c r="AK315" s="29"/>
      <c r="AL315" s="29"/>
      <c r="AM315" s="30">
        <v>70.900000000000006</v>
      </c>
      <c r="AN315" s="29"/>
      <c r="AO315" s="29"/>
      <c r="AP315" s="29"/>
      <c r="AQ315" s="29"/>
      <c r="AR315" s="29"/>
      <c r="AS315" s="30">
        <v>142.5</v>
      </c>
      <c r="AT315" s="29"/>
      <c r="AU315" s="29"/>
      <c r="AV315" s="29"/>
      <c r="AW315" s="29"/>
      <c r="AX315" s="29"/>
      <c r="AY315" s="30">
        <v>199.5</v>
      </c>
      <c r="AZ315" s="29"/>
      <c r="BA315" s="29"/>
      <c r="BB315" s="29"/>
      <c r="BC315" s="29"/>
      <c r="BD315" s="29"/>
      <c r="BE315" s="30">
        <v>673.1</v>
      </c>
      <c r="BF315" s="29"/>
      <c r="BG315" s="29"/>
      <c r="BH315" s="29"/>
      <c r="BI315" s="29"/>
      <c r="BJ315" s="29"/>
      <c r="BK315" s="30">
        <v>474.7</v>
      </c>
      <c r="BL315" s="29"/>
      <c r="BM315" s="29"/>
      <c r="BN315" s="29"/>
      <c r="BO315" s="29"/>
      <c r="BP315" s="29"/>
      <c r="BQ315" s="30">
        <v>638.1</v>
      </c>
      <c r="BR315" s="29"/>
      <c r="BS315" s="29"/>
      <c r="BT315" s="29"/>
      <c r="BU315" s="29"/>
      <c r="BV315" s="29"/>
      <c r="BW315" s="30">
        <v>648.29999999999995</v>
      </c>
      <c r="BX315" s="29"/>
      <c r="BY315" s="29"/>
      <c r="BZ315" s="29"/>
      <c r="CA315" s="29"/>
      <c r="CB315" s="29"/>
      <c r="CC315" s="30">
        <v>649.79999999999995</v>
      </c>
      <c r="CD315" s="29"/>
      <c r="CE315" s="29"/>
      <c r="CF315" s="29"/>
      <c r="CG315" s="29"/>
      <c r="CH315" s="29"/>
      <c r="CI315" s="30">
        <v>352.4</v>
      </c>
      <c r="CJ315" s="29"/>
      <c r="CK315" s="29"/>
      <c r="CL315" s="30">
        <v>340.1</v>
      </c>
      <c r="CM315" s="31"/>
      <c r="CN315" s="31"/>
      <c r="CO315" s="31">
        <f>CO287</f>
        <v>1002.0015294462596</v>
      </c>
      <c r="CP315" s="31">
        <f>CP287</f>
        <v>300</v>
      </c>
      <c r="CQ315" s="31">
        <f>CQ287</f>
        <v>300</v>
      </c>
      <c r="CR315" s="31">
        <f>CR287</f>
        <v>300</v>
      </c>
      <c r="CS315" s="31">
        <f>CS287</f>
        <v>300</v>
      </c>
      <c r="CT315" s="22"/>
      <c r="CV315" s="6"/>
      <c r="CW315" s="6"/>
      <c r="CX315" s="6"/>
      <c r="CY315" s="6"/>
    </row>
    <row r="316" spans="2:103" ht="15" customHeight="1" x14ac:dyDescent="0.25">
      <c r="B316" s="12" t="s">
        <v>452</v>
      </c>
      <c r="C316" s="30">
        <v>226.1</v>
      </c>
      <c r="D316" s="30">
        <v>241.1</v>
      </c>
      <c r="E316" s="30">
        <v>281.39999999999998</v>
      </c>
      <c r="F316" s="30">
        <v>228.7</v>
      </c>
      <c r="G316" s="30">
        <v>254.8</v>
      </c>
      <c r="H316" s="30">
        <v>270</v>
      </c>
      <c r="I316" s="30">
        <v>350.3</v>
      </c>
      <c r="J316" s="29"/>
      <c r="K316" s="29"/>
      <c r="L316" s="29"/>
      <c r="M316" s="29"/>
      <c r="N316" s="29"/>
      <c r="O316" s="30">
        <v>378</v>
      </c>
      <c r="P316" s="29"/>
      <c r="Q316" s="29"/>
      <c r="R316" s="29"/>
      <c r="S316" s="29"/>
      <c r="T316" s="29"/>
      <c r="U316" s="30">
        <v>400.7</v>
      </c>
      <c r="V316" s="29"/>
      <c r="W316" s="29"/>
      <c r="X316" s="29"/>
      <c r="Y316" s="29"/>
      <c r="Z316" s="29"/>
      <c r="AA316" s="30">
        <v>373</v>
      </c>
      <c r="AB316" s="29"/>
      <c r="AC316" s="29"/>
      <c r="AD316" s="29"/>
      <c r="AE316" s="29"/>
      <c r="AF316" s="29"/>
      <c r="AG316" s="30">
        <v>383.7</v>
      </c>
      <c r="AH316" s="29"/>
      <c r="AI316" s="29"/>
      <c r="AJ316" s="29"/>
      <c r="AK316" s="29"/>
      <c r="AL316" s="29"/>
      <c r="AM316" s="30">
        <v>388.3</v>
      </c>
      <c r="AN316" s="29"/>
      <c r="AO316" s="29"/>
      <c r="AP316" s="29"/>
      <c r="AQ316" s="29"/>
      <c r="AR316" s="29"/>
      <c r="AS316" s="30">
        <v>416.5</v>
      </c>
      <c r="AT316" s="29"/>
      <c r="AU316" s="29"/>
      <c r="AV316" s="29"/>
      <c r="AW316" s="29"/>
      <c r="AX316" s="29"/>
      <c r="AY316" s="30">
        <v>460.4</v>
      </c>
      <c r="AZ316" s="29"/>
      <c r="BA316" s="29"/>
      <c r="BB316" s="29"/>
      <c r="BC316" s="29"/>
      <c r="BD316" s="29"/>
      <c r="BE316" s="30">
        <v>402</v>
      </c>
      <c r="BF316" s="29"/>
      <c r="BG316" s="29"/>
      <c r="BH316" s="29"/>
      <c r="BI316" s="29"/>
      <c r="BJ316" s="29"/>
      <c r="BK316" s="30">
        <v>767.7</v>
      </c>
      <c r="BL316" s="29"/>
      <c r="BM316" s="29"/>
      <c r="BN316" s="29"/>
      <c r="BO316" s="29"/>
      <c r="BP316" s="29"/>
      <c r="BQ316" s="30">
        <v>883.7</v>
      </c>
      <c r="BR316" s="29"/>
      <c r="BS316" s="29"/>
      <c r="BT316" s="29"/>
      <c r="BU316" s="29"/>
      <c r="BV316" s="29"/>
      <c r="BW316" s="30">
        <v>899.7</v>
      </c>
      <c r="BX316" s="29"/>
      <c r="BY316" s="29"/>
      <c r="BZ316" s="29"/>
      <c r="CA316" s="29"/>
      <c r="CB316" s="29"/>
      <c r="CC316" s="30">
        <v>901.1</v>
      </c>
      <c r="CD316" s="29"/>
      <c r="CE316" s="29"/>
      <c r="CF316" s="29"/>
      <c r="CG316" s="29"/>
      <c r="CH316" s="29"/>
      <c r="CI316" s="30">
        <v>992.4</v>
      </c>
      <c r="CJ316" s="29"/>
      <c r="CK316" s="29"/>
      <c r="CL316" s="30">
        <v>937.7</v>
      </c>
      <c r="CM316" s="31"/>
      <c r="CN316" s="31"/>
      <c r="CO316" s="31">
        <f>CO152*CO359/365</f>
        <v>1062.4468054589236</v>
      </c>
      <c r="CP316" s="31">
        <f>CP152*CP359/365</f>
        <v>1140.9306687792528</v>
      </c>
      <c r="CQ316" s="31">
        <f>CQ152*CQ359/365</f>
        <v>1247.6269118540688</v>
      </c>
      <c r="CR316" s="31">
        <f>CR152*CR359/365</f>
        <v>1363.1265840463213</v>
      </c>
      <c r="CS316" s="31">
        <f>CS152*CS359/365</f>
        <v>1484.8963141034412</v>
      </c>
      <c r="CT316" s="22" t="s">
        <v>453</v>
      </c>
      <c r="CV316" s="6"/>
      <c r="CW316" s="6"/>
      <c r="CX316" s="6"/>
      <c r="CY316" s="6"/>
    </row>
    <row r="317" spans="2:103" ht="15" customHeight="1" x14ac:dyDescent="0.25">
      <c r="B317" s="12" t="s">
        <v>454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30">
        <v>89.8</v>
      </c>
      <c r="AN317" s="29"/>
      <c r="AO317" s="29"/>
      <c r="AP317" s="29"/>
      <c r="AQ317" s="29"/>
      <c r="AR317" s="29"/>
      <c r="AS317" s="30">
        <v>145.30000000000001</v>
      </c>
      <c r="AT317" s="29"/>
      <c r="AU317" s="29"/>
      <c r="AV317" s="29"/>
      <c r="AW317" s="29"/>
      <c r="AX317" s="29"/>
      <c r="AY317" s="30">
        <v>200.5</v>
      </c>
      <c r="AZ317" s="29"/>
      <c r="BA317" s="29"/>
      <c r="BB317" s="29"/>
      <c r="BC317" s="29"/>
      <c r="BD317" s="29"/>
      <c r="BE317" s="30">
        <v>222.1</v>
      </c>
      <c r="BF317" s="29"/>
      <c r="BG317" s="29"/>
      <c r="BH317" s="29"/>
      <c r="BI317" s="29"/>
      <c r="BJ317" s="29"/>
      <c r="BK317" s="30">
        <v>316.10000000000002</v>
      </c>
      <c r="BL317" s="29"/>
      <c r="BM317" s="29"/>
      <c r="BN317" s="29"/>
      <c r="BO317" s="29"/>
      <c r="BP317" s="29"/>
      <c r="BQ317" s="30">
        <v>274.7</v>
      </c>
      <c r="BR317" s="29"/>
      <c r="BS317" s="29"/>
      <c r="BT317" s="29"/>
      <c r="BU317" s="29"/>
      <c r="BV317" s="29"/>
      <c r="BW317" s="30">
        <v>302.39999999999998</v>
      </c>
      <c r="BX317" s="29"/>
      <c r="BY317" s="29"/>
      <c r="BZ317" s="29"/>
      <c r="CA317" s="29"/>
      <c r="CB317" s="29"/>
      <c r="CC317" s="30">
        <v>312.10000000000002</v>
      </c>
      <c r="CD317" s="29"/>
      <c r="CE317" s="29"/>
      <c r="CF317" s="29"/>
      <c r="CG317" s="29"/>
      <c r="CH317" s="29"/>
      <c r="CI317" s="30">
        <v>374.6</v>
      </c>
      <c r="CJ317" s="29"/>
      <c r="CK317" s="29"/>
      <c r="CL317" s="30">
        <v>425.8</v>
      </c>
      <c r="CM317" s="31"/>
      <c r="CN317" s="31"/>
      <c r="CO317" s="31">
        <f>CO152*CO360</f>
        <v>434.59569757780969</v>
      </c>
      <c r="CP317" s="31">
        <f>CP152*CP360</f>
        <v>466.6996571859961</v>
      </c>
      <c r="CQ317" s="31">
        <f>CQ152*CQ360</f>
        <v>510.34393937478933</v>
      </c>
      <c r="CR317" s="31">
        <f>CR152*CR360</f>
        <v>557.58927942239609</v>
      </c>
      <c r="CS317" s="31">
        <f>CS152*CS360</f>
        <v>607.39939745007143</v>
      </c>
      <c r="CT317" s="22"/>
      <c r="CV317" s="6"/>
      <c r="CW317" s="6"/>
      <c r="CX317" s="6"/>
      <c r="CY317" s="6"/>
    </row>
    <row r="318" spans="2:103" ht="15" customHeight="1" x14ac:dyDescent="0.25">
      <c r="B318" s="12" t="s">
        <v>455</v>
      </c>
      <c r="C318" s="30">
        <v>155.80000000000001</v>
      </c>
      <c r="D318" s="30">
        <v>174.6</v>
      </c>
      <c r="E318" s="30">
        <v>207</v>
      </c>
      <c r="F318" s="30">
        <v>164.8</v>
      </c>
      <c r="G318" s="30">
        <v>172.3</v>
      </c>
      <c r="H318" s="30">
        <v>219.4</v>
      </c>
      <c r="I318" s="30">
        <v>281.2</v>
      </c>
      <c r="J318" s="29"/>
      <c r="K318" s="29"/>
      <c r="L318" s="29"/>
      <c r="M318" s="29"/>
      <c r="N318" s="29"/>
      <c r="O318" s="30">
        <v>294.3</v>
      </c>
      <c r="P318" s="29"/>
      <c r="Q318" s="29"/>
      <c r="R318" s="29"/>
      <c r="S318" s="29"/>
      <c r="T318" s="29"/>
      <c r="U318" s="30">
        <v>311.8</v>
      </c>
      <c r="V318" s="29"/>
      <c r="W318" s="29"/>
      <c r="X318" s="29"/>
      <c r="Y318" s="29"/>
      <c r="Z318" s="29"/>
      <c r="AA318" s="30">
        <v>309.2</v>
      </c>
      <c r="AB318" s="29"/>
      <c r="AC318" s="29"/>
      <c r="AD318" s="29"/>
      <c r="AE318" s="29"/>
      <c r="AF318" s="29"/>
      <c r="AG318" s="30">
        <v>314.2</v>
      </c>
      <c r="AH318" s="29"/>
      <c r="AI318" s="29"/>
      <c r="AJ318" s="29"/>
      <c r="AK318" s="29"/>
      <c r="AL318" s="29"/>
      <c r="AM318" s="30">
        <v>400.2</v>
      </c>
      <c r="AN318" s="29"/>
      <c r="AO318" s="29"/>
      <c r="AP318" s="29"/>
      <c r="AQ318" s="29"/>
      <c r="AR318" s="29"/>
      <c r="AS318" s="30">
        <v>364.3</v>
      </c>
      <c r="AT318" s="29"/>
      <c r="AU318" s="29"/>
      <c r="AV318" s="29"/>
      <c r="AW318" s="29"/>
      <c r="AX318" s="29"/>
      <c r="AY318" s="30">
        <v>393.4</v>
      </c>
      <c r="AZ318" s="29"/>
      <c r="BA318" s="29"/>
      <c r="BB318" s="29"/>
      <c r="BC318" s="29"/>
      <c r="BD318" s="29"/>
      <c r="BE318" s="30">
        <v>347.3</v>
      </c>
      <c r="BF318" s="29"/>
      <c r="BG318" s="29"/>
      <c r="BH318" s="29"/>
      <c r="BI318" s="29"/>
      <c r="BJ318" s="29"/>
      <c r="BK318" s="30">
        <v>752.9</v>
      </c>
      <c r="BL318" s="29"/>
      <c r="BM318" s="29"/>
      <c r="BN318" s="29"/>
      <c r="BO318" s="29"/>
      <c r="BP318" s="29"/>
      <c r="BQ318" s="30">
        <v>890.7</v>
      </c>
      <c r="BR318" s="29"/>
      <c r="BS318" s="29"/>
      <c r="BT318" s="29"/>
      <c r="BU318" s="29"/>
      <c r="BV318" s="29"/>
      <c r="BW318" s="30">
        <v>917.7</v>
      </c>
      <c r="BX318" s="29"/>
      <c r="BY318" s="29"/>
      <c r="BZ318" s="29"/>
      <c r="CA318" s="29"/>
      <c r="CB318" s="29"/>
      <c r="CC318" s="30">
        <v>914.4</v>
      </c>
      <c r="CD318" s="29"/>
      <c r="CE318" s="29"/>
      <c r="CF318" s="29"/>
      <c r="CG318" s="29"/>
      <c r="CH318" s="29"/>
      <c r="CI318" s="30">
        <v>1043.3</v>
      </c>
      <c r="CJ318" s="29"/>
      <c r="CK318" s="29"/>
      <c r="CL318" s="30">
        <v>1166.4000000000001</v>
      </c>
      <c r="CM318" s="31"/>
      <c r="CN318" s="31"/>
      <c r="CO318" s="31">
        <f>CO155*CO361/365</f>
        <v>1150.6230808314176</v>
      </c>
      <c r="CP318" s="31">
        <f>CP155*CP361/365</f>
        <v>1220.4023912252558</v>
      </c>
      <c r="CQ318" s="31">
        <f>CQ155*CQ361/365</f>
        <v>1305.620052446458</v>
      </c>
      <c r="CR318" s="31">
        <f>CR155*CR361/365</f>
        <v>1395.0895522239593</v>
      </c>
      <c r="CS318" s="31">
        <f>CS155*CS361/365</f>
        <v>1500.0012938503555</v>
      </c>
      <c r="CT318" s="22"/>
      <c r="CV318" s="6"/>
      <c r="CW318" s="6"/>
      <c r="CX318" s="6"/>
      <c r="CY318" s="6"/>
    </row>
    <row r="319" spans="2:103" ht="15" customHeight="1" x14ac:dyDescent="0.25">
      <c r="B319" s="12" t="s">
        <v>456</v>
      </c>
      <c r="C319" s="30">
        <v>51.9</v>
      </c>
      <c r="D319" s="30">
        <v>47.6</v>
      </c>
      <c r="E319" s="30">
        <v>84.2</v>
      </c>
      <c r="F319" s="30">
        <v>149</v>
      </c>
      <c r="G319" s="30">
        <v>145.80000000000001</v>
      </c>
      <c r="H319" s="30">
        <v>63.9</v>
      </c>
      <c r="I319" s="30">
        <v>67.5</v>
      </c>
      <c r="J319" s="29"/>
      <c r="K319" s="29"/>
      <c r="L319" s="29"/>
      <c r="M319" s="29"/>
      <c r="N319" s="29"/>
      <c r="O319" s="30">
        <v>28.9</v>
      </c>
      <c r="P319" s="29"/>
      <c r="Q319" s="29"/>
      <c r="R319" s="29"/>
      <c r="S319" s="29"/>
      <c r="T319" s="29"/>
      <c r="U319" s="30">
        <v>45</v>
      </c>
      <c r="V319" s="29"/>
      <c r="W319" s="29"/>
      <c r="X319" s="29"/>
      <c r="Y319" s="29"/>
      <c r="Z319" s="29"/>
      <c r="AA319" s="30">
        <v>59.5</v>
      </c>
      <c r="AB319" s="29"/>
      <c r="AC319" s="29"/>
      <c r="AD319" s="29"/>
      <c r="AE319" s="29"/>
      <c r="AF319" s="29"/>
      <c r="AG319" s="30">
        <v>49.7</v>
      </c>
      <c r="AH319" s="29"/>
      <c r="AI319" s="29"/>
      <c r="AJ319" s="29"/>
      <c r="AK319" s="29"/>
      <c r="AL319" s="29"/>
      <c r="AM319" s="30">
        <v>62.7</v>
      </c>
      <c r="AN319" s="29"/>
      <c r="AO319" s="29"/>
      <c r="AP319" s="29"/>
      <c r="AQ319" s="29"/>
      <c r="AR319" s="29"/>
      <c r="AS319" s="30">
        <v>45.8</v>
      </c>
      <c r="AT319" s="29"/>
      <c r="AU319" s="29"/>
      <c r="AV319" s="29"/>
      <c r="AW319" s="29"/>
      <c r="AX319" s="29"/>
      <c r="AY319" s="30">
        <v>59.9</v>
      </c>
      <c r="AZ319" s="29"/>
      <c r="BA319" s="29"/>
      <c r="BB319" s="29"/>
      <c r="BC319" s="29"/>
      <c r="BD319" s="29"/>
      <c r="BE319" s="30">
        <v>78.099999999999994</v>
      </c>
      <c r="BF319" s="29"/>
      <c r="BG319" s="29"/>
      <c r="BH319" s="29"/>
      <c r="BI319" s="29"/>
      <c r="BJ319" s="29"/>
      <c r="BK319" s="30">
        <v>118</v>
      </c>
      <c r="BL319" s="29"/>
      <c r="BM319" s="29"/>
      <c r="BN319" s="29"/>
      <c r="BO319" s="29"/>
      <c r="BP319" s="29"/>
      <c r="BQ319" s="30">
        <v>130.69999999999999</v>
      </c>
      <c r="BR319" s="29"/>
      <c r="BS319" s="29"/>
      <c r="BT319" s="29"/>
      <c r="BU319" s="29"/>
      <c r="BV319" s="29"/>
      <c r="BW319" s="30">
        <v>213.3</v>
      </c>
      <c r="BX319" s="29"/>
      <c r="BY319" s="29"/>
      <c r="BZ319" s="29"/>
      <c r="CA319" s="29"/>
      <c r="CB319" s="29"/>
      <c r="CC319" s="30">
        <v>167.2</v>
      </c>
      <c r="CD319" s="29"/>
      <c r="CE319" s="29"/>
      <c r="CF319" s="29"/>
      <c r="CG319" s="29"/>
      <c r="CH319" s="29"/>
      <c r="CI319" s="30">
        <v>292.89999999999998</v>
      </c>
      <c r="CJ319" s="29"/>
      <c r="CK319" s="29"/>
      <c r="CL319" s="30">
        <v>330.6</v>
      </c>
      <c r="CM319" s="31"/>
      <c r="CN319" s="31"/>
      <c r="CO319" s="31">
        <f>CI319</f>
        <v>292.89999999999998</v>
      </c>
      <c r="CP319" s="31">
        <f>CO319</f>
        <v>292.89999999999998</v>
      </c>
      <c r="CQ319" s="31">
        <f>CP319</f>
        <v>292.89999999999998</v>
      </c>
      <c r="CR319" s="31">
        <f>CQ319</f>
        <v>292.89999999999998</v>
      </c>
      <c r="CS319" s="31">
        <f>CR319</f>
        <v>292.89999999999998</v>
      </c>
      <c r="CT319" s="22"/>
      <c r="CV319" s="6"/>
      <c r="CW319" s="6"/>
      <c r="CX319" s="6"/>
      <c r="CY319" s="6"/>
    </row>
    <row r="320" spans="2:103" ht="15" customHeight="1" x14ac:dyDescent="0.25">
      <c r="B320" s="18" t="s">
        <v>457</v>
      </c>
      <c r="C320" s="19">
        <f t="shared" ref="C320:I320" si="336">IF(ISNUMBER(C315),SUM(C315:C319),"")</f>
        <v>446.79999999999995</v>
      </c>
      <c r="D320" s="19">
        <f t="shared" si="336"/>
        <v>476.70000000000005</v>
      </c>
      <c r="E320" s="19">
        <f t="shared" si="336"/>
        <v>593</v>
      </c>
      <c r="F320" s="19">
        <f t="shared" si="336"/>
        <v>568.6</v>
      </c>
      <c r="G320" s="19">
        <f t="shared" si="336"/>
        <v>648</v>
      </c>
      <c r="H320" s="19">
        <f t="shared" si="336"/>
        <v>602.69999999999993</v>
      </c>
      <c r="I320" s="19">
        <f t="shared" si="336"/>
        <v>744.8</v>
      </c>
      <c r="J320" s="19"/>
      <c r="K320" s="19"/>
      <c r="L320" s="19"/>
      <c r="M320" s="19"/>
      <c r="N320" s="19"/>
      <c r="O320" s="19">
        <f>IF(ISNUMBER(O315),SUM(O315:O319),"")</f>
        <v>767.19999999999993</v>
      </c>
      <c r="P320" s="19"/>
      <c r="Q320" s="19"/>
      <c r="R320" s="19"/>
      <c r="S320" s="19"/>
      <c r="T320" s="19"/>
      <c r="U320" s="19">
        <f>IF(ISNUMBER(U315),SUM(U315:U319),"")</f>
        <v>898.90000000000009</v>
      </c>
      <c r="V320" s="19"/>
      <c r="W320" s="19"/>
      <c r="X320" s="19"/>
      <c r="Y320" s="19"/>
      <c r="Z320" s="19"/>
      <c r="AA320" s="19">
        <f>IF(ISNUMBER(AA315),SUM(AA315:AA319),"")</f>
        <v>826.8</v>
      </c>
      <c r="AB320" s="19"/>
      <c r="AC320" s="19"/>
      <c r="AD320" s="19"/>
      <c r="AE320" s="19"/>
      <c r="AF320" s="19"/>
      <c r="AG320" s="19">
        <f>IF(ISNUMBER(AG315),SUM(AG315:AG319),"")</f>
        <v>846.2</v>
      </c>
      <c r="AH320" s="19"/>
      <c r="AI320" s="19"/>
      <c r="AJ320" s="19"/>
      <c r="AK320" s="19"/>
      <c r="AL320" s="19"/>
      <c r="AM320" s="19">
        <f>IF(ISNUMBER(AM315),SUM(AM315:AM319),"")</f>
        <v>1011.9000000000001</v>
      </c>
      <c r="AN320" s="19"/>
      <c r="AO320" s="19"/>
      <c r="AP320" s="19"/>
      <c r="AQ320" s="19"/>
      <c r="AR320" s="19"/>
      <c r="AS320" s="19">
        <f>IF(ISNUMBER(AS315),SUM(AS315:AS319),"")</f>
        <v>1114.3999999999999</v>
      </c>
      <c r="AT320" s="19"/>
      <c r="AU320" s="19"/>
      <c r="AV320" s="19"/>
      <c r="AW320" s="19"/>
      <c r="AX320" s="19"/>
      <c r="AY320" s="19">
        <f>IF(ISNUMBER(AY315),SUM(AY315:AY319),"")</f>
        <v>1313.7</v>
      </c>
      <c r="AZ320" s="19"/>
      <c r="BA320" s="19"/>
      <c r="BB320" s="19"/>
      <c r="BC320" s="19"/>
      <c r="BD320" s="19"/>
      <c r="BE320" s="19">
        <f>IF(ISNUMBER(BE315),SUM(BE315:BE319),"")</f>
        <v>1722.5999999999997</v>
      </c>
      <c r="BF320" s="19"/>
      <c r="BG320" s="19"/>
      <c r="BH320" s="19"/>
      <c r="BI320" s="19"/>
      <c r="BJ320" s="19"/>
      <c r="BK320" s="19">
        <f>IF(ISNUMBER(BK315),SUM(BK315:BK319),"")</f>
        <v>2429.4</v>
      </c>
      <c r="BL320" s="19"/>
      <c r="BM320" s="19"/>
      <c r="BN320" s="19"/>
      <c r="BO320" s="19"/>
      <c r="BP320" s="19"/>
      <c r="BQ320" s="19">
        <f>IF(ISNUMBER(BQ315),SUM(BQ315:BQ319),"")</f>
        <v>2817.9</v>
      </c>
      <c r="BR320" s="19"/>
      <c r="BS320" s="19"/>
      <c r="BT320" s="19"/>
      <c r="BU320" s="19"/>
      <c r="BV320" s="19"/>
      <c r="BW320" s="19">
        <f>IF(ISNUMBER(BW315),SUM(BW315:BW319),"")</f>
        <v>2981.4000000000005</v>
      </c>
      <c r="BX320" s="19"/>
      <c r="BY320" s="19"/>
      <c r="BZ320" s="19"/>
      <c r="CA320" s="19"/>
      <c r="CB320" s="19"/>
      <c r="CC320" s="19">
        <f>IF(ISNUMBER(CC315),SUM(CC315:CC319),"")</f>
        <v>2944.6</v>
      </c>
      <c r="CD320" s="19"/>
      <c r="CE320" s="19"/>
      <c r="CF320" s="19"/>
      <c r="CG320" s="19"/>
      <c r="CH320" s="19"/>
      <c r="CI320" s="19">
        <f>IF(ISNUMBER(CI315),SUM(CI315:CI319),"")</f>
        <v>3055.6</v>
      </c>
      <c r="CJ320" s="19"/>
      <c r="CK320" s="19"/>
      <c r="CL320" s="19">
        <f>IF(ISNUMBER(CL315),SUM(CL315:CL319),"")</f>
        <v>3200.6</v>
      </c>
      <c r="CM320" s="21"/>
      <c r="CN320" s="21"/>
      <c r="CO320" s="21">
        <f>SUM(CO315:CO319)</f>
        <v>3942.567113314411</v>
      </c>
      <c r="CP320" s="21">
        <f>SUM(CP315:CP319)</f>
        <v>3420.9327171905047</v>
      </c>
      <c r="CQ320" s="21">
        <f>SUM(CQ315:CQ319)</f>
        <v>3656.4909036753161</v>
      </c>
      <c r="CR320" s="21">
        <f>SUM(CR315:CR319)</f>
        <v>3908.705415692677</v>
      </c>
      <c r="CS320" s="21">
        <f>SUM(CS315:CS319)</f>
        <v>4185.1970054038684</v>
      </c>
      <c r="CT320" s="22"/>
      <c r="CV320" s="6"/>
      <c r="CW320" s="6"/>
      <c r="CX320" s="6"/>
      <c r="CY320" s="6"/>
    </row>
    <row r="321" spans="2:103" ht="15" customHeight="1" x14ac:dyDescent="0.25">
      <c r="B321" s="12" t="s">
        <v>458</v>
      </c>
      <c r="C321" s="30">
        <v>164.8</v>
      </c>
      <c r="D321" s="30">
        <v>177.2</v>
      </c>
      <c r="E321" s="30">
        <v>202.6</v>
      </c>
      <c r="F321" s="30">
        <v>187.9</v>
      </c>
      <c r="G321" s="30">
        <v>203.4</v>
      </c>
      <c r="H321" s="30">
        <v>254.6</v>
      </c>
      <c r="I321" s="30">
        <v>349.5</v>
      </c>
      <c r="J321" s="29"/>
      <c r="K321" s="29"/>
      <c r="L321" s="29"/>
      <c r="M321" s="29"/>
      <c r="N321" s="29"/>
      <c r="O321" s="30">
        <v>357.7</v>
      </c>
      <c r="P321" s="29"/>
      <c r="Q321" s="29"/>
      <c r="R321" s="29"/>
      <c r="S321" s="29"/>
      <c r="T321" s="29"/>
      <c r="U321" s="30">
        <v>336.5</v>
      </c>
      <c r="V321" s="29"/>
      <c r="W321" s="29"/>
      <c r="X321" s="29"/>
      <c r="Y321" s="29"/>
      <c r="Z321" s="29"/>
      <c r="AA321" s="30">
        <v>321.3</v>
      </c>
      <c r="AB321" s="29"/>
      <c r="AC321" s="29"/>
      <c r="AD321" s="29"/>
      <c r="AE321" s="29"/>
      <c r="AF321" s="29"/>
      <c r="AG321" s="30">
        <v>340.8</v>
      </c>
      <c r="AH321" s="29"/>
      <c r="AI321" s="29"/>
      <c r="AJ321" s="29"/>
      <c r="AK321" s="29"/>
      <c r="AL321" s="29"/>
      <c r="AM321" s="30">
        <v>442.8</v>
      </c>
      <c r="AN321" s="29"/>
      <c r="AO321" s="29"/>
      <c r="AP321" s="29"/>
      <c r="AQ321" s="29"/>
      <c r="AR321" s="29"/>
      <c r="AS321" s="30">
        <v>442.6</v>
      </c>
      <c r="AT321" s="29"/>
      <c r="AU321" s="29"/>
      <c r="AV321" s="29"/>
      <c r="AW321" s="29"/>
      <c r="AX321" s="29"/>
      <c r="AY321" s="30">
        <v>487.9</v>
      </c>
      <c r="AZ321" s="29"/>
      <c r="BA321" s="29"/>
      <c r="BB321" s="29"/>
      <c r="BC321" s="29"/>
      <c r="BD321" s="29"/>
      <c r="BE321" s="30">
        <v>489.3</v>
      </c>
      <c r="BF321" s="29"/>
      <c r="BG321" s="29"/>
      <c r="BH321" s="29"/>
      <c r="BI321" s="29"/>
      <c r="BJ321" s="29"/>
      <c r="BK321" s="30">
        <v>827.5</v>
      </c>
      <c r="BL321" s="29"/>
      <c r="BM321" s="29"/>
      <c r="BN321" s="29"/>
      <c r="BO321" s="29"/>
      <c r="BP321" s="29"/>
      <c r="BQ321" s="30">
        <v>769.8</v>
      </c>
      <c r="BR321" s="29"/>
      <c r="BS321" s="29"/>
      <c r="BT321" s="29"/>
      <c r="BU321" s="29"/>
      <c r="BV321" s="29"/>
      <c r="BW321" s="30">
        <v>777</v>
      </c>
      <c r="BX321" s="29"/>
      <c r="BY321" s="29"/>
      <c r="BZ321" s="29"/>
      <c r="CA321" s="29"/>
      <c r="CB321" s="29"/>
      <c r="CC321" s="30">
        <v>745.2</v>
      </c>
      <c r="CD321" s="29"/>
      <c r="CE321" s="29"/>
      <c r="CF321" s="29"/>
      <c r="CG321" s="29"/>
      <c r="CH321" s="29"/>
      <c r="CI321" s="30">
        <v>839.1</v>
      </c>
      <c r="CJ321" s="29"/>
      <c r="CK321" s="29"/>
      <c r="CL321" s="30">
        <v>833.8</v>
      </c>
      <c r="CM321" s="31"/>
      <c r="CN321" s="31"/>
      <c r="CO321" s="31">
        <f>CI321-CO272-CO140-CO274-CO275</f>
        <v>846.26735618939267</v>
      </c>
      <c r="CP321" s="31">
        <f>CO321-CP272-CP140-CP274-CP275</f>
        <v>849.85735355236181</v>
      </c>
      <c r="CQ321" s="31">
        <f>CP321-CQ272-CQ140-CQ274-CQ275</f>
        <v>853.78307616293716</v>
      </c>
      <c r="CR321" s="31">
        <f>CQ321-CR272-CR140-CR274-CR275</f>
        <v>858.0722244661863</v>
      </c>
      <c r="CS321" s="31">
        <f>CR321-CS272-CS140-CS274-CS275</f>
        <v>862.74452752349464</v>
      </c>
      <c r="CT321" s="22" t="s">
        <v>459</v>
      </c>
      <c r="CV321" s="6"/>
      <c r="CW321" s="6"/>
      <c r="CX321" s="6"/>
      <c r="CY321" s="6"/>
    </row>
    <row r="322" spans="2:103" ht="15" customHeight="1" x14ac:dyDescent="0.25">
      <c r="B322" s="12" t="s">
        <v>460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30">
        <v>0</v>
      </c>
      <c r="AT322" s="29"/>
      <c r="AU322" s="29"/>
      <c r="AV322" s="29"/>
      <c r="AW322" s="29"/>
      <c r="AX322" s="29"/>
      <c r="AY322" s="30">
        <v>127.1</v>
      </c>
      <c r="AZ322" s="29"/>
      <c r="BA322" s="29"/>
      <c r="BB322" s="29"/>
      <c r="BC322" s="29"/>
      <c r="BD322" s="29"/>
      <c r="BE322" s="30">
        <v>123.4</v>
      </c>
      <c r="BF322" s="29"/>
      <c r="BG322" s="29"/>
      <c r="BH322" s="29"/>
      <c r="BI322" s="29"/>
      <c r="BJ322" s="29"/>
      <c r="BK322" s="30">
        <v>144.5</v>
      </c>
      <c r="BL322" s="29"/>
      <c r="BM322" s="29"/>
      <c r="BN322" s="29"/>
      <c r="BO322" s="29"/>
      <c r="BP322" s="29"/>
      <c r="BQ322" s="30">
        <v>142.1</v>
      </c>
      <c r="BR322" s="29"/>
      <c r="BS322" s="29"/>
      <c r="BT322" s="29"/>
      <c r="BU322" s="29"/>
      <c r="BV322" s="29"/>
      <c r="BW322" s="30">
        <v>141.69999999999999</v>
      </c>
      <c r="BX322" s="29"/>
      <c r="BY322" s="29"/>
      <c r="BZ322" s="29"/>
      <c r="CA322" s="29"/>
      <c r="CB322" s="29"/>
      <c r="CC322" s="30">
        <v>128.6</v>
      </c>
      <c r="CD322" s="29"/>
      <c r="CE322" s="29"/>
      <c r="CF322" s="29"/>
      <c r="CG322" s="29"/>
      <c r="CH322" s="29"/>
      <c r="CI322" s="30">
        <v>156.1</v>
      </c>
      <c r="CJ322" s="29"/>
      <c r="CK322" s="29"/>
      <c r="CL322" s="29"/>
      <c r="CM322" s="31"/>
      <c r="CN322" s="31"/>
      <c r="CO322" s="31">
        <f>CI322</f>
        <v>156.1</v>
      </c>
      <c r="CP322" s="31">
        <f>CO322</f>
        <v>156.1</v>
      </c>
      <c r="CQ322" s="31">
        <f>CP322</f>
        <v>156.1</v>
      </c>
      <c r="CR322" s="31">
        <f>CQ322</f>
        <v>156.1</v>
      </c>
      <c r="CS322" s="31">
        <f>CR322</f>
        <v>156.1</v>
      </c>
      <c r="CT322" s="22"/>
      <c r="CV322" s="6"/>
      <c r="CW322" s="6"/>
      <c r="CX322" s="6"/>
      <c r="CY322" s="6"/>
    </row>
    <row r="323" spans="2:103" ht="15" customHeight="1" x14ac:dyDescent="0.25">
      <c r="B323" s="12" t="s">
        <v>461</v>
      </c>
      <c r="C323" s="30">
        <v>313.60000000000002</v>
      </c>
      <c r="D323" s="30">
        <v>351.6</v>
      </c>
      <c r="E323" s="30">
        <v>502.5</v>
      </c>
      <c r="F323" s="30">
        <v>501.5</v>
      </c>
      <c r="G323" s="30">
        <v>546.29999999999995</v>
      </c>
      <c r="H323" s="30">
        <v>717.8</v>
      </c>
      <c r="I323" s="30">
        <v>990.2</v>
      </c>
      <c r="J323" s="29"/>
      <c r="K323" s="29"/>
      <c r="L323" s="29"/>
      <c r="M323" s="29"/>
      <c r="N323" s="29"/>
      <c r="O323" s="30">
        <v>1037.8</v>
      </c>
      <c r="P323" s="29"/>
      <c r="Q323" s="29"/>
      <c r="R323" s="29"/>
      <c r="S323" s="29"/>
      <c r="T323" s="29"/>
      <c r="U323" s="30">
        <v>1150.5999999999999</v>
      </c>
      <c r="V323" s="29"/>
      <c r="W323" s="29"/>
      <c r="X323" s="29"/>
      <c r="Y323" s="29"/>
      <c r="Z323" s="29"/>
      <c r="AA323" s="30">
        <v>1140.2</v>
      </c>
      <c r="AB323" s="29"/>
      <c r="AC323" s="29"/>
      <c r="AD323" s="29"/>
      <c r="AE323" s="29"/>
      <c r="AF323" s="29"/>
      <c r="AG323" s="30">
        <v>1193.5</v>
      </c>
      <c r="AH323" s="29"/>
      <c r="AI323" s="29"/>
      <c r="AJ323" s="29"/>
      <c r="AK323" s="29"/>
      <c r="AL323" s="29"/>
      <c r="AM323" s="30">
        <v>1776.7</v>
      </c>
      <c r="AN323" s="29"/>
      <c r="AO323" s="29"/>
      <c r="AP323" s="29"/>
      <c r="AQ323" s="29"/>
      <c r="AR323" s="29"/>
      <c r="AS323" s="30">
        <v>1735.2</v>
      </c>
      <c r="AT323" s="29"/>
      <c r="AU323" s="29"/>
      <c r="AV323" s="29"/>
      <c r="AW323" s="29"/>
      <c r="AX323" s="29"/>
      <c r="AY323" s="30">
        <v>2050.5</v>
      </c>
      <c r="AZ323" s="29"/>
      <c r="BA323" s="29"/>
      <c r="BB323" s="29"/>
      <c r="BC323" s="29"/>
      <c r="BD323" s="29"/>
      <c r="BE323" s="30">
        <v>2150</v>
      </c>
      <c r="BF323" s="29"/>
      <c r="BG323" s="29"/>
      <c r="BH323" s="29"/>
      <c r="BI323" s="29"/>
      <c r="BJ323" s="29"/>
      <c r="BK323" s="30">
        <v>7986.7</v>
      </c>
      <c r="BL323" s="29"/>
      <c r="BM323" s="29"/>
      <c r="BN323" s="29"/>
      <c r="BO323" s="29"/>
      <c r="BP323" s="29"/>
      <c r="BQ323" s="30">
        <v>7873</v>
      </c>
      <c r="BR323" s="29"/>
      <c r="BS323" s="29"/>
      <c r="BT323" s="29"/>
      <c r="BU323" s="29"/>
      <c r="BV323" s="29"/>
      <c r="BW323" s="30">
        <v>8002.8</v>
      </c>
      <c r="BX323" s="29"/>
      <c r="BY323" s="29"/>
      <c r="BZ323" s="29"/>
      <c r="CA323" s="29"/>
      <c r="CB323" s="29"/>
      <c r="CC323" s="30">
        <v>7990.5</v>
      </c>
      <c r="CD323" s="29"/>
      <c r="CE323" s="29"/>
      <c r="CF323" s="29"/>
      <c r="CG323" s="29"/>
      <c r="CH323" s="29"/>
      <c r="CI323" s="30">
        <v>8687.6</v>
      </c>
      <c r="CJ323" s="29"/>
      <c r="CK323" s="29"/>
      <c r="CL323" s="30">
        <v>8661.9</v>
      </c>
      <c r="CM323" s="31"/>
      <c r="CN323" s="31"/>
      <c r="CO323" s="31">
        <f>CI323-CO273*(1-CO372)</f>
        <v>8724.98</v>
      </c>
      <c r="CP323" s="31">
        <f>CO323+CP106*(1-CP114)</f>
        <v>9212.48</v>
      </c>
      <c r="CQ323" s="31">
        <f>CP323+CQ106*(1-CQ114)</f>
        <v>9862.48</v>
      </c>
      <c r="CR323" s="31">
        <f>CQ323+CR106*(1-CR114)</f>
        <v>10512.48</v>
      </c>
      <c r="CS323" s="31">
        <f>CR323+CS106*(1-CS114)</f>
        <v>11162.48</v>
      </c>
      <c r="CT323" s="22" t="s">
        <v>462</v>
      </c>
      <c r="CV323" s="6"/>
      <c r="CW323" s="6"/>
      <c r="CX323" s="6"/>
      <c r="CY323" s="6"/>
    </row>
    <row r="324" spans="2:103" ht="15" customHeight="1" x14ac:dyDescent="0.25">
      <c r="B324" s="12" t="s">
        <v>463</v>
      </c>
      <c r="C324" s="30">
        <v>69.400000000000006</v>
      </c>
      <c r="D324" s="30">
        <v>61.7</v>
      </c>
      <c r="E324" s="30">
        <v>117</v>
      </c>
      <c r="F324" s="30">
        <v>109.6</v>
      </c>
      <c r="G324" s="30">
        <v>113.9</v>
      </c>
      <c r="H324" s="30">
        <v>181.4</v>
      </c>
      <c r="I324" s="30">
        <v>265.7</v>
      </c>
      <c r="J324" s="29"/>
      <c r="K324" s="29"/>
      <c r="L324" s="29"/>
      <c r="M324" s="29"/>
      <c r="N324" s="29"/>
      <c r="O324" s="30">
        <v>270.89999999999998</v>
      </c>
      <c r="P324" s="29"/>
      <c r="Q324" s="29"/>
      <c r="R324" s="29"/>
      <c r="S324" s="29"/>
      <c r="T324" s="29"/>
      <c r="U324" s="30">
        <v>277.60000000000002</v>
      </c>
      <c r="V324" s="29"/>
      <c r="W324" s="29"/>
      <c r="X324" s="29"/>
      <c r="Y324" s="29"/>
      <c r="Z324" s="29"/>
      <c r="AA324" s="30">
        <v>243.3</v>
      </c>
      <c r="AB324" s="29"/>
      <c r="AC324" s="29"/>
      <c r="AD324" s="29"/>
      <c r="AE324" s="29"/>
      <c r="AF324" s="29"/>
      <c r="AG324" s="30">
        <v>234.6</v>
      </c>
      <c r="AH324" s="29"/>
      <c r="AI324" s="29"/>
      <c r="AJ324" s="29"/>
      <c r="AK324" s="29"/>
      <c r="AL324" s="29"/>
      <c r="AM324" s="30">
        <v>398.9</v>
      </c>
      <c r="AN324" s="29"/>
      <c r="AO324" s="29"/>
      <c r="AP324" s="29"/>
      <c r="AQ324" s="29"/>
      <c r="AR324" s="29"/>
      <c r="AS324" s="30">
        <v>344.3</v>
      </c>
      <c r="AT324" s="29"/>
      <c r="AU324" s="29"/>
      <c r="AV324" s="29"/>
      <c r="AW324" s="29"/>
      <c r="AX324" s="29"/>
      <c r="AY324" s="30">
        <v>430.8</v>
      </c>
      <c r="AZ324" s="29"/>
      <c r="BA324" s="29"/>
      <c r="BB324" s="29"/>
      <c r="BC324" s="29"/>
      <c r="BD324" s="29"/>
      <c r="BE324" s="30">
        <v>409.7</v>
      </c>
      <c r="BF324" s="29"/>
      <c r="BG324" s="29"/>
      <c r="BH324" s="29"/>
      <c r="BI324" s="29"/>
      <c r="BJ324" s="29"/>
      <c r="BK324" s="30">
        <v>2741.6</v>
      </c>
      <c r="BL324" s="29"/>
      <c r="BM324" s="29"/>
      <c r="BN324" s="29"/>
      <c r="BO324" s="29"/>
      <c r="BP324" s="29"/>
      <c r="BQ324" s="30">
        <v>2440.6</v>
      </c>
      <c r="BR324" s="29"/>
      <c r="BS324" s="29"/>
      <c r="BT324" s="29"/>
      <c r="BU324" s="29"/>
      <c r="BV324" s="29"/>
      <c r="BW324" s="30">
        <v>2278.1</v>
      </c>
      <c r="BX324" s="29"/>
      <c r="BY324" s="29"/>
      <c r="BZ324" s="29"/>
      <c r="CA324" s="29"/>
      <c r="CB324" s="29"/>
      <c r="CC324" s="30">
        <v>2012.9</v>
      </c>
      <c r="CD324" s="29"/>
      <c r="CE324" s="29"/>
      <c r="CF324" s="29"/>
      <c r="CG324" s="29"/>
      <c r="CH324" s="29"/>
      <c r="CI324" s="30">
        <v>2100.1</v>
      </c>
      <c r="CJ324" s="29"/>
      <c r="CK324" s="29"/>
      <c r="CL324" s="30">
        <v>1984.2</v>
      </c>
      <c r="CM324" s="31"/>
      <c r="CN324" s="31"/>
      <c r="CO324" s="31">
        <f>CI324-CO273*CO372-CO125</f>
        <v>1890.12</v>
      </c>
      <c r="CP324" s="31">
        <f>CO324+CP106*CP114-CP125</f>
        <v>1929.8824999999999</v>
      </c>
      <c r="CQ324" s="31">
        <f>CP324+CQ106*CQ114-CQ125</f>
        <v>2034.5241666666664</v>
      </c>
      <c r="CR324" s="31">
        <f>CQ324+CR106*CR114-CR125</f>
        <v>2153.8991666666661</v>
      </c>
      <c r="CS324" s="31">
        <f>CR324+CS106*CS114-CS125</f>
        <v>2270.3074999999994</v>
      </c>
      <c r="CT324" s="22" t="s">
        <v>464</v>
      </c>
      <c r="CV324" s="6"/>
      <c r="CW324" s="6"/>
      <c r="CX324" s="6"/>
      <c r="CY324" s="6"/>
    </row>
    <row r="325" spans="2:103" ht="15" customHeight="1" x14ac:dyDescent="0.25">
      <c r="B325" s="12" t="s">
        <v>465</v>
      </c>
      <c r="C325" s="30">
        <v>66.8</v>
      </c>
      <c r="D325" s="30">
        <v>92.2</v>
      </c>
      <c r="E325" s="30">
        <v>119.4</v>
      </c>
      <c r="F325" s="30">
        <v>53.9</v>
      </c>
      <c r="G325" s="30">
        <v>46.2</v>
      </c>
      <c r="H325" s="30">
        <v>69.599999999999994</v>
      </c>
      <c r="I325" s="30">
        <v>56.2</v>
      </c>
      <c r="J325" s="29"/>
      <c r="K325" s="29"/>
      <c r="L325" s="29"/>
      <c r="M325" s="29"/>
      <c r="N325" s="29"/>
      <c r="O325" s="30">
        <v>317.5</v>
      </c>
      <c r="P325" s="29"/>
      <c r="Q325" s="29"/>
      <c r="R325" s="29"/>
      <c r="S325" s="29"/>
      <c r="T325" s="29"/>
      <c r="U325" s="30">
        <v>198.6</v>
      </c>
      <c r="V325" s="29"/>
      <c r="W325" s="29"/>
      <c r="X325" s="29"/>
      <c r="Y325" s="29"/>
      <c r="Z325" s="29"/>
      <c r="AA325" s="30">
        <v>185.5</v>
      </c>
      <c r="AB325" s="29"/>
      <c r="AC325" s="29"/>
      <c r="AD325" s="29"/>
      <c r="AE325" s="29"/>
      <c r="AF325" s="29"/>
      <c r="AG325" s="30">
        <v>159.30000000000001</v>
      </c>
      <c r="AH325" s="29"/>
      <c r="AI325" s="29"/>
      <c r="AJ325" s="29"/>
      <c r="AK325" s="29"/>
      <c r="AL325" s="29"/>
      <c r="AM325" s="30">
        <v>216.1</v>
      </c>
      <c r="AN325" s="29"/>
      <c r="AO325" s="29"/>
      <c r="AP325" s="29"/>
      <c r="AQ325" s="29"/>
      <c r="AR325" s="29"/>
      <c r="AS325" s="30">
        <v>172.8</v>
      </c>
      <c r="AT325" s="29"/>
      <c r="AU325" s="29"/>
      <c r="AV325" s="29"/>
      <c r="AW325" s="29"/>
      <c r="AX325" s="29"/>
      <c r="AY325" s="30">
        <v>169.8</v>
      </c>
      <c r="AZ325" s="29"/>
      <c r="BA325" s="29"/>
      <c r="BB325" s="29"/>
      <c r="BC325" s="29"/>
      <c r="BD325" s="29"/>
      <c r="BE325" s="30">
        <v>189.8</v>
      </c>
      <c r="BF325" s="29"/>
      <c r="BG325" s="29"/>
      <c r="BH325" s="29"/>
      <c r="BI325" s="29"/>
      <c r="BJ325" s="29"/>
      <c r="BK325" s="30">
        <v>300.60000000000002</v>
      </c>
      <c r="BL325" s="29"/>
      <c r="BM325" s="29"/>
      <c r="BN325" s="29"/>
      <c r="BO325" s="29"/>
      <c r="BP325" s="29"/>
      <c r="BQ325" s="30">
        <v>310.60000000000002</v>
      </c>
      <c r="BR325" s="29"/>
      <c r="BS325" s="29"/>
      <c r="BT325" s="29"/>
      <c r="BU325" s="29"/>
      <c r="BV325" s="29"/>
      <c r="BW325" s="30">
        <v>346.9</v>
      </c>
      <c r="BX325" s="29"/>
      <c r="BY325" s="29"/>
      <c r="BZ325" s="29"/>
      <c r="CA325" s="29"/>
      <c r="CB325" s="29"/>
      <c r="CC325" s="30">
        <v>378.7</v>
      </c>
      <c r="CD325" s="29"/>
      <c r="CE325" s="29"/>
      <c r="CF325" s="29"/>
      <c r="CG325" s="29"/>
      <c r="CH325" s="29"/>
      <c r="CI325" s="30">
        <v>446.8</v>
      </c>
      <c r="CJ325" s="29"/>
      <c r="CK325" s="29"/>
      <c r="CL325" s="30">
        <v>599.9</v>
      </c>
      <c r="CM325" s="31"/>
      <c r="CN325" s="31"/>
      <c r="CO325" s="31">
        <f>CI325-CO268</f>
        <v>457.3</v>
      </c>
      <c r="CP325" s="31">
        <f>CO325-CP268</f>
        <v>467.3</v>
      </c>
      <c r="CQ325" s="31">
        <f>CP325-CQ268</f>
        <v>477.3</v>
      </c>
      <c r="CR325" s="31">
        <f>CQ325-CR268</f>
        <v>487.3</v>
      </c>
      <c r="CS325" s="31">
        <f>CR325-CS268</f>
        <v>497.3</v>
      </c>
      <c r="CT325" s="22" t="s">
        <v>466</v>
      </c>
      <c r="CV325" s="6"/>
      <c r="CW325" s="6"/>
      <c r="CX325" s="6"/>
      <c r="CY325" s="6"/>
    </row>
    <row r="326" spans="2:103" ht="15" customHeight="1" x14ac:dyDescent="0.25">
      <c r="B326" s="33" t="s">
        <v>467</v>
      </c>
      <c r="C326" s="34">
        <f t="shared" ref="C326:I326" si="337">IF(ISNUMBER(C315),C320+SUM(C321:C325),"")</f>
        <v>1061.4000000000001</v>
      </c>
      <c r="D326" s="34">
        <f t="shared" si="337"/>
        <v>1159.4000000000001</v>
      </c>
      <c r="E326" s="34">
        <f t="shared" si="337"/>
        <v>1534.5</v>
      </c>
      <c r="F326" s="34">
        <f t="shared" si="337"/>
        <v>1421.5</v>
      </c>
      <c r="G326" s="34">
        <f t="shared" si="337"/>
        <v>1557.8</v>
      </c>
      <c r="H326" s="34">
        <f t="shared" si="337"/>
        <v>1826.1</v>
      </c>
      <c r="I326" s="34">
        <f t="shared" si="337"/>
        <v>2406.4</v>
      </c>
      <c r="J326" s="19"/>
      <c r="K326" s="19"/>
      <c r="L326" s="19"/>
      <c r="M326" s="19"/>
      <c r="N326" s="19"/>
      <c r="O326" s="34">
        <f>IF(ISNUMBER(O315),O320+SUM(O321:O325),"")</f>
        <v>2751.1</v>
      </c>
      <c r="P326" s="19"/>
      <c r="Q326" s="19"/>
      <c r="R326" s="19"/>
      <c r="S326" s="19"/>
      <c r="T326" s="19"/>
      <c r="U326" s="34">
        <f>IF(ISNUMBER(U315),U320+SUM(U321:U325),"")</f>
        <v>2862.2</v>
      </c>
      <c r="V326" s="19"/>
      <c r="W326" s="19"/>
      <c r="X326" s="19"/>
      <c r="Y326" s="19"/>
      <c r="Z326" s="19"/>
      <c r="AA326" s="34">
        <f>IF(ISNUMBER(AA315),AA320+SUM(AA321:AA325),"")</f>
        <v>2717.1</v>
      </c>
      <c r="AB326" s="19"/>
      <c r="AC326" s="19"/>
      <c r="AD326" s="19"/>
      <c r="AE326" s="19"/>
      <c r="AF326" s="19"/>
      <c r="AG326" s="34">
        <f>IF(ISNUMBER(AG315),AG320+SUM(AG321:AG325),"")</f>
        <v>2774.3999999999996</v>
      </c>
      <c r="AH326" s="19"/>
      <c r="AI326" s="19"/>
      <c r="AJ326" s="19"/>
      <c r="AK326" s="19"/>
      <c r="AL326" s="19"/>
      <c r="AM326" s="34">
        <f>IF(ISNUMBER(AM315),AM320+SUM(AM321:AM325),"")</f>
        <v>3846.4</v>
      </c>
      <c r="AN326" s="19"/>
      <c r="AO326" s="19"/>
      <c r="AP326" s="19"/>
      <c r="AQ326" s="19"/>
      <c r="AR326" s="19"/>
      <c r="AS326" s="34">
        <f>IF(ISNUMBER(AS315),AS320+SUM(AS321:AS325),"")</f>
        <v>3809.3</v>
      </c>
      <c r="AT326" s="19"/>
      <c r="AU326" s="19"/>
      <c r="AV326" s="19"/>
      <c r="AW326" s="19"/>
      <c r="AX326" s="19"/>
      <c r="AY326" s="34">
        <f>IF(ISNUMBER(AY315),AY320+SUM(AY321:AY325),"")</f>
        <v>4579.8</v>
      </c>
      <c r="AZ326" s="19"/>
      <c r="BA326" s="19"/>
      <c r="BB326" s="19"/>
      <c r="BC326" s="19"/>
      <c r="BD326" s="19"/>
      <c r="BE326" s="34">
        <f>IF(ISNUMBER(BE315),BE320+SUM(BE321:BE325),"")</f>
        <v>5084.7999999999993</v>
      </c>
      <c r="BF326" s="19"/>
      <c r="BG326" s="19"/>
      <c r="BH326" s="19"/>
      <c r="BI326" s="19"/>
      <c r="BJ326" s="19"/>
      <c r="BK326" s="34">
        <f>IF(ISNUMBER(BK315),BK320+SUM(BK321:BK325),"")</f>
        <v>14430.300000000001</v>
      </c>
      <c r="BL326" s="19"/>
      <c r="BM326" s="19"/>
      <c r="BN326" s="19"/>
      <c r="BO326" s="19"/>
      <c r="BP326" s="19"/>
      <c r="BQ326" s="34">
        <f>IF(ISNUMBER(BQ315),BQ320+SUM(BQ321:BQ325),"")</f>
        <v>14354</v>
      </c>
      <c r="BR326" s="19"/>
      <c r="BS326" s="19"/>
      <c r="BT326" s="19"/>
      <c r="BU326" s="19"/>
      <c r="BV326" s="19"/>
      <c r="BW326" s="34">
        <f>IF(ISNUMBER(BW315),BW320+SUM(BW321:BW325),"")</f>
        <v>14527.900000000001</v>
      </c>
      <c r="BX326" s="19"/>
      <c r="BY326" s="19"/>
      <c r="BZ326" s="19"/>
      <c r="CA326" s="19"/>
      <c r="CB326" s="19"/>
      <c r="CC326" s="34">
        <f>IF(ISNUMBER(CC315),CC320+SUM(CC321:CC325),"")</f>
        <v>14200.5</v>
      </c>
      <c r="CD326" s="19"/>
      <c r="CE326" s="19"/>
      <c r="CF326" s="19"/>
      <c r="CG326" s="19"/>
      <c r="CH326" s="19"/>
      <c r="CI326" s="34">
        <f>IF(ISNUMBER(CI315),CI320+SUM(CI321:CI325),"")</f>
        <v>15285.300000000001</v>
      </c>
      <c r="CJ326" s="19"/>
      <c r="CK326" s="19"/>
      <c r="CL326" s="19">
        <f>IF(ISNUMBER(CL315),CL320+SUM(CL321:CL325),"")</f>
        <v>15280.4</v>
      </c>
      <c r="CM326" s="34"/>
      <c r="CN326" s="34"/>
      <c r="CO326" s="34">
        <f>CO320+SUM(CO321:CO325)</f>
        <v>16017.334469503801</v>
      </c>
      <c r="CP326" s="34">
        <f>CP320+SUM(CP321:CP325)</f>
        <v>16036.552570742864</v>
      </c>
      <c r="CQ326" s="34">
        <f>CQ320+SUM(CQ321:CQ325)</f>
        <v>17040.678146504921</v>
      </c>
      <c r="CR326" s="34">
        <f>CR320+SUM(CR321:CR325)</f>
        <v>18076.556806825531</v>
      </c>
      <c r="CS326" s="34">
        <f>CS320+SUM(CS321:CS325)</f>
        <v>19134.129032927362</v>
      </c>
      <c r="CT326" s="22"/>
      <c r="CV326" s="6"/>
      <c r="CW326" s="6"/>
      <c r="CX326" s="6"/>
      <c r="CY326" s="6"/>
    </row>
    <row r="327" spans="2:103" ht="15" customHeight="1" x14ac:dyDescent="0.25">
      <c r="B327" s="12"/>
      <c r="CM327" s="6"/>
      <c r="CN327" s="6"/>
      <c r="CO327" s="6"/>
      <c r="CP327" s="6"/>
      <c r="CQ327" s="6"/>
      <c r="CR327" s="6"/>
      <c r="CS327" s="6"/>
      <c r="CT327" s="6"/>
    </row>
    <row r="328" spans="2:103" ht="15" customHeight="1" x14ac:dyDescent="0.25">
      <c r="B328" s="12" t="s">
        <v>468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31"/>
      <c r="CN328" s="31"/>
      <c r="CO328" s="31"/>
      <c r="CP328" s="31"/>
      <c r="CQ328" s="31"/>
      <c r="CR328" s="31"/>
      <c r="CS328" s="31"/>
      <c r="CT328" s="22"/>
      <c r="CV328" s="6"/>
      <c r="CW328" s="6"/>
      <c r="CX328" s="6"/>
      <c r="CY328" s="6"/>
    </row>
    <row r="329" spans="2:103" ht="15" customHeight="1" x14ac:dyDescent="0.25">
      <c r="B329" s="12" t="s">
        <v>469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31"/>
      <c r="CN329" s="31"/>
      <c r="CO329" s="31"/>
      <c r="CP329" s="31"/>
      <c r="CQ329" s="31"/>
      <c r="CR329" s="31"/>
      <c r="CS329" s="31"/>
      <c r="CT329" s="22"/>
      <c r="CV329" s="6"/>
      <c r="CW329" s="6"/>
      <c r="CX329" s="6"/>
      <c r="CY329" s="6"/>
    </row>
    <row r="330" spans="2:103" ht="15" customHeight="1" x14ac:dyDescent="0.25">
      <c r="B330" s="12" t="s">
        <v>470</v>
      </c>
      <c r="C330" s="30">
        <v>94.1</v>
      </c>
      <c r="D330" s="30">
        <v>105.1</v>
      </c>
      <c r="E330" s="30">
        <v>108.2</v>
      </c>
      <c r="F330" s="30">
        <v>96.7</v>
      </c>
      <c r="G330" s="30">
        <v>100.6</v>
      </c>
      <c r="H330" s="30">
        <v>102</v>
      </c>
      <c r="I330" s="30">
        <v>148.6</v>
      </c>
      <c r="J330" s="29"/>
      <c r="K330" s="29"/>
      <c r="L330" s="29"/>
      <c r="M330" s="29"/>
      <c r="N330" s="29"/>
      <c r="O330" s="30">
        <v>147.5</v>
      </c>
      <c r="P330" s="29"/>
      <c r="Q330" s="29"/>
      <c r="R330" s="29"/>
      <c r="S330" s="29"/>
      <c r="T330" s="29"/>
      <c r="U330" s="30">
        <v>162.5</v>
      </c>
      <c r="V330" s="29"/>
      <c r="W330" s="29"/>
      <c r="X330" s="29"/>
      <c r="Y330" s="29"/>
      <c r="Z330" s="29"/>
      <c r="AA330" s="30">
        <v>136.5</v>
      </c>
      <c r="AB330" s="29"/>
      <c r="AC330" s="29"/>
      <c r="AD330" s="29"/>
      <c r="AE330" s="29"/>
      <c r="AF330" s="29"/>
      <c r="AG330" s="30">
        <v>138.80000000000001</v>
      </c>
      <c r="AH330" s="29"/>
      <c r="AI330" s="29"/>
      <c r="AJ330" s="29"/>
      <c r="AK330" s="29"/>
      <c r="AL330" s="29"/>
      <c r="AM330" s="30">
        <v>191.7</v>
      </c>
      <c r="AN330" s="29"/>
      <c r="AO330" s="29"/>
      <c r="AP330" s="29"/>
      <c r="AQ330" s="29"/>
      <c r="AR330" s="29"/>
      <c r="AS330" s="30">
        <v>227.8</v>
      </c>
      <c r="AT330" s="29"/>
      <c r="AU330" s="29"/>
      <c r="AV330" s="29"/>
      <c r="AW330" s="29"/>
      <c r="AX330" s="29"/>
      <c r="AY330" s="30">
        <v>271.10000000000002</v>
      </c>
      <c r="AZ330" s="29"/>
      <c r="BA330" s="29"/>
      <c r="BB330" s="29"/>
      <c r="BC330" s="29"/>
      <c r="BD330" s="29"/>
      <c r="BE330" s="30">
        <v>229.1</v>
      </c>
      <c r="BF330" s="29"/>
      <c r="BG330" s="29"/>
      <c r="BH330" s="29"/>
      <c r="BI330" s="29"/>
      <c r="BJ330" s="29"/>
      <c r="BK330" s="30">
        <v>469.5</v>
      </c>
      <c r="BL330" s="29"/>
      <c r="BM330" s="29"/>
      <c r="BN330" s="29"/>
      <c r="BO330" s="29"/>
      <c r="BP330" s="29"/>
      <c r="BQ330" s="30">
        <v>505.7</v>
      </c>
      <c r="BR330" s="29"/>
      <c r="BS330" s="29"/>
      <c r="BT330" s="29"/>
      <c r="BU330" s="29"/>
      <c r="BV330" s="29"/>
      <c r="BW330" s="30">
        <v>384.7</v>
      </c>
      <c r="BX330" s="29"/>
      <c r="BY330" s="29"/>
      <c r="BZ330" s="29"/>
      <c r="CA330" s="29"/>
      <c r="CB330" s="29"/>
      <c r="CC330" s="30">
        <v>416.4</v>
      </c>
      <c r="CD330" s="29"/>
      <c r="CE330" s="29"/>
      <c r="CF330" s="29"/>
      <c r="CG330" s="29"/>
      <c r="CH330" s="29"/>
      <c r="CI330" s="30">
        <v>486.6</v>
      </c>
      <c r="CJ330" s="29"/>
      <c r="CK330" s="29"/>
      <c r="CL330" s="30">
        <v>492.3</v>
      </c>
      <c r="CM330" s="31"/>
      <c r="CN330" s="31"/>
      <c r="CO330" s="31">
        <f>CO155*CO362/365</f>
        <v>513.67101822831137</v>
      </c>
      <c r="CP330" s="31">
        <f>CP155*CP362/365</f>
        <v>554.72835964784349</v>
      </c>
      <c r="CQ330" s="31">
        <f>CQ155*CQ362/365</f>
        <v>604.45372798447136</v>
      </c>
      <c r="CR330" s="31">
        <f>CR155*CR362/365</f>
        <v>658.06110953960342</v>
      </c>
      <c r="CS330" s="31">
        <f>CS155*CS362/365</f>
        <v>714.28633040493116</v>
      </c>
      <c r="CT330" s="22"/>
      <c r="CV330" s="6"/>
      <c r="CW330" s="6"/>
      <c r="CX330" s="6"/>
      <c r="CY330" s="6"/>
    </row>
    <row r="331" spans="2:103" ht="15" customHeight="1" x14ac:dyDescent="0.25">
      <c r="B331" s="12" t="s">
        <v>471</v>
      </c>
      <c r="C331" s="30">
        <v>135.1</v>
      </c>
      <c r="D331" s="30">
        <v>157.1</v>
      </c>
      <c r="E331" s="30">
        <v>202.4</v>
      </c>
      <c r="F331" s="30">
        <v>164.3</v>
      </c>
      <c r="G331" s="30">
        <v>177.3</v>
      </c>
      <c r="H331" s="30">
        <v>230.8</v>
      </c>
      <c r="I331" s="30">
        <v>256.7</v>
      </c>
      <c r="J331" s="29"/>
      <c r="K331" s="29"/>
      <c r="L331" s="29"/>
      <c r="M331" s="29"/>
      <c r="N331" s="29"/>
      <c r="O331" s="30">
        <v>211.5</v>
      </c>
      <c r="P331" s="29"/>
      <c r="Q331" s="29"/>
      <c r="R331" s="29"/>
      <c r="S331" s="29"/>
      <c r="T331" s="29"/>
      <c r="U331" s="30">
        <v>242.4</v>
      </c>
      <c r="V331" s="29"/>
      <c r="W331" s="29"/>
      <c r="X331" s="29"/>
      <c r="Y331" s="29"/>
      <c r="Z331" s="29"/>
      <c r="AA331" s="30">
        <v>200.4</v>
      </c>
      <c r="AB331" s="29"/>
      <c r="AC331" s="29"/>
      <c r="AD331" s="29"/>
      <c r="AE331" s="29"/>
      <c r="AF331" s="29"/>
      <c r="AG331" s="30">
        <v>261</v>
      </c>
      <c r="AH331" s="29"/>
      <c r="AI331" s="29"/>
      <c r="AJ331" s="29"/>
      <c r="AK331" s="29"/>
      <c r="AL331" s="29"/>
      <c r="AM331" s="30">
        <v>345.3</v>
      </c>
      <c r="AN331" s="29"/>
      <c r="AO331" s="29"/>
      <c r="AP331" s="29"/>
      <c r="AQ331" s="29"/>
      <c r="AR331" s="29"/>
      <c r="AS331" s="30">
        <v>244.1</v>
      </c>
      <c r="AT331" s="29"/>
      <c r="AU331" s="29"/>
      <c r="AV331" s="29"/>
      <c r="AW331" s="29"/>
      <c r="AX331" s="29"/>
      <c r="AY331" s="30">
        <v>264.7</v>
      </c>
      <c r="AZ331" s="29"/>
      <c r="BA331" s="29"/>
      <c r="BB331" s="29"/>
      <c r="BC331" s="29"/>
      <c r="BD331" s="29"/>
      <c r="BE331" s="30">
        <v>274.10000000000002</v>
      </c>
      <c r="BF331" s="29"/>
      <c r="BG331" s="29"/>
      <c r="BH331" s="29"/>
      <c r="BI331" s="29"/>
      <c r="BJ331" s="29"/>
      <c r="BK331" s="30">
        <v>842.9</v>
      </c>
      <c r="BL331" s="29"/>
      <c r="BM331" s="29"/>
      <c r="BN331" s="29"/>
      <c r="BO331" s="29"/>
      <c r="BP331" s="29"/>
      <c r="BQ331" s="30">
        <v>530</v>
      </c>
      <c r="BR331" s="29"/>
      <c r="BS331" s="29"/>
      <c r="BT331" s="29"/>
      <c r="BU331" s="29"/>
      <c r="BV331" s="29"/>
      <c r="BW331" s="30">
        <v>540.20000000000005</v>
      </c>
      <c r="BX331" s="29"/>
      <c r="BY331" s="29"/>
      <c r="BZ331" s="29"/>
      <c r="CA331" s="29"/>
      <c r="CB331" s="29"/>
      <c r="CC331" s="30">
        <v>532.29999999999995</v>
      </c>
      <c r="CD331" s="29"/>
      <c r="CE331" s="29"/>
      <c r="CF331" s="29"/>
      <c r="CG331" s="29"/>
      <c r="CH331" s="29"/>
      <c r="CI331" s="30">
        <v>553.79999999999995</v>
      </c>
      <c r="CJ331" s="29"/>
      <c r="CK331" s="29"/>
      <c r="CL331" s="30">
        <v>546.1</v>
      </c>
      <c r="CM331" s="31"/>
      <c r="CN331" s="31"/>
      <c r="CO331" s="31">
        <f>CO152*CO363</f>
        <v>601.74788895389031</v>
      </c>
      <c r="CP331" s="31">
        <f>CP152*CP363</f>
        <v>646.1995253344561</v>
      </c>
      <c r="CQ331" s="31">
        <f>CQ152*CQ363</f>
        <v>706.63006990355439</v>
      </c>
      <c r="CR331" s="31">
        <f>CR152*CR363</f>
        <v>772.04669458485603</v>
      </c>
      <c r="CS331" s="31">
        <f>CS152*CS363</f>
        <v>841.01455031548346</v>
      </c>
      <c r="CT331" s="22"/>
      <c r="CV331" s="6"/>
      <c r="CW331" s="6"/>
      <c r="CX331" s="6"/>
      <c r="CY331" s="6"/>
    </row>
    <row r="332" spans="2:103" ht="15" customHeight="1" x14ac:dyDescent="0.25">
      <c r="B332" s="12" t="s">
        <v>472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30">
        <v>55.6</v>
      </c>
      <c r="P332" s="29"/>
      <c r="Q332" s="29"/>
      <c r="R332" s="29"/>
      <c r="S332" s="29"/>
      <c r="T332" s="29"/>
      <c r="U332" s="30">
        <v>47.9</v>
      </c>
      <c r="V332" s="29"/>
      <c r="W332" s="29"/>
      <c r="X332" s="29"/>
      <c r="Y332" s="29"/>
      <c r="Z332" s="29"/>
      <c r="AA332" s="30">
        <v>37.6</v>
      </c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30">
        <v>111.5</v>
      </c>
      <c r="AT332" s="29"/>
      <c r="AU332" s="29"/>
      <c r="AV332" s="29"/>
      <c r="AW332" s="29"/>
      <c r="AX332" s="29"/>
      <c r="AY332" s="30">
        <v>126.8</v>
      </c>
      <c r="AZ332" s="29"/>
      <c r="BA332" s="29"/>
      <c r="BB332" s="29"/>
      <c r="BC332" s="29"/>
      <c r="BD332" s="29"/>
      <c r="BE332" s="30">
        <v>160.1</v>
      </c>
      <c r="BF332" s="29"/>
      <c r="BG332" s="29"/>
      <c r="BH332" s="29"/>
      <c r="BI332" s="29"/>
      <c r="BJ332" s="29"/>
      <c r="BK332" s="30">
        <v>186</v>
      </c>
      <c r="BL332" s="29"/>
      <c r="BM332" s="29"/>
      <c r="BN332" s="29"/>
      <c r="BO332" s="29"/>
      <c r="BP332" s="29"/>
      <c r="BQ332" s="30">
        <v>187.6</v>
      </c>
      <c r="BR332" s="29"/>
      <c r="BS332" s="29"/>
      <c r="BT332" s="29"/>
      <c r="BU332" s="29"/>
      <c r="BV332" s="29"/>
      <c r="BW332" s="30">
        <v>241.1</v>
      </c>
      <c r="BX332" s="29"/>
      <c r="BY332" s="29"/>
      <c r="BZ332" s="29"/>
      <c r="CA332" s="29"/>
      <c r="CB332" s="29"/>
      <c r="CC332" s="30">
        <v>312.60000000000002</v>
      </c>
      <c r="CD332" s="29"/>
      <c r="CE332" s="29"/>
      <c r="CF332" s="29"/>
      <c r="CG332" s="29"/>
      <c r="CH332" s="29"/>
      <c r="CI332" s="30">
        <v>369.6</v>
      </c>
      <c r="CJ332" s="29"/>
      <c r="CK332" s="29"/>
      <c r="CL332" s="30">
        <v>428.9</v>
      </c>
      <c r="CM332" s="31"/>
      <c r="CN332" s="31"/>
      <c r="CO332" s="31">
        <f>CO152*CO364</f>
        <v>434.59569757780969</v>
      </c>
      <c r="CP332" s="31">
        <f>CP152*CP364</f>
        <v>466.6996571859961</v>
      </c>
      <c r="CQ332" s="31">
        <f>CQ152*CQ364</f>
        <v>510.34393937478933</v>
      </c>
      <c r="CR332" s="31">
        <f>CR152*CR364</f>
        <v>557.58927942239609</v>
      </c>
      <c r="CS332" s="31">
        <f>CS152*CS364</f>
        <v>607.39939745007143</v>
      </c>
      <c r="CT332" s="22"/>
      <c r="CV332" s="6"/>
      <c r="CW332" s="6"/>
      <c r="CX332" s="6"/>
      <c r="CY332" s="6"/>
    </row>
    <row r="333" spans="2:103" ht="15" customHeight="1" x14ac:dyDescent="0.25">
      <c r="B333" s="12" t="s">
        <v>473</v>
      </c>
      <c r="C333" s="30">
        <v>1.2</v>
      </c>
      <c r="D333" s="30">
        <v>0.8</v>
      </c>
      <c r="E333" s="30">
        <v>1.1000000000000001</v>
      </c>
      <c r="F333" s="30">
        <v>0.5</v>
      </c>
      <c r="G333" s="30">
        <v>2</v>
      </c>
      <c r="H333" s="30">
        <v>1.4</v>
      </c>
      <c r="I333" s="30">
        <v>2</v>
      </c>
      <c r="J333" s="29"/>
      <c r="K333" s="29"/>
      <c r="L333" s="29"/>
      <c r="M333" s="29"/>
      <c r="N333" s="29"/>
      <c r="O333" s="30">
        <v>3.5</v>
      </c>
      <c r="P333" s="29"/>
      <c r="Q333" s="29"/>
      <c r="R333" s="29"/>
      <c r="S333" s="29"/>
      <c r="T333" s="29"/>
      <c r="U333" s="30">
        <v>86.2</v>
      </c>
      <c r="V333" s="29"/>
      <c r="W333" s="29"/>
      <c r="X333" s="29"/>
      <c r="Y333" s="29"/>
      <c r="Z333" s="29"/>
      <c r="AA333" s="30">
        <v>19.100000000000001</v>
      </c>
      <c r="AB333" s="29"/>
      <c r="AC333" s="29"/>
      <c r="AD333" s="29"/>
      <c r="AE333" s="29"/>
      <c r="AF333" s="29"/>
      <c r="AG333" s="30">
        <v>102</v>
      </c>
      <c r="AH333" s="29"/>
      <c r="AI333" s="29"/>
      <c r="AJ333" s="29"/>
      <c r="AK333" s="29"/>
      <c r="AL333" s="29"/>
      <c r="AM333" s="30">
        <v>3.6</v>
      </c>
      <c r="AN333" s="29"/>
      <c r="AO333" s="29"/>
      <c r="AP333" s="29"/>
      <c r="AQ333" s="29"/>
      <c r="AR333" s="29"/>
      <c r="AS333" s="30">
        <v>137.4</v>
      </c>
      <c r="AT333" s="29"/>
      <c r="AU333" s="29"/>
      <c r="AV333" s="29"/>
      <c r="AW333" s="29"/>
      <c r="AX333" s="29"/>
      <c r="AY333" s="30">
        <v>100.6</v>
      </c>
      <c r="AZ333" s="29"/>
      <c r="BA333" s="29"/>
      <c r="BB333" s="29"/>
      <c r="BC333" s="29"/>
      <c r="BD333" s="29"/>
      <c r="BE333" s="30">
        <v>97.6</v>
      </c>
      <c r="BF333" s="29"/>
      <c r="BG333" s="29"/>
      <c r="BH333" s="29"/>
      <c r="BI333" s="29"/>
      <c r="BJ333" s="29"/>
      <c r="BK333" s="30">
        <v>0</v>
      </c>
      <c r="BL333" s="29"/>
      <c r="BM333" s="29"/>
      <c r="BN333" s="29"/>
      <c r="BO333" s="29"/>
      <c r="BP333" s="29"/>
      <c r="BQ333" s="30">
        <v>300.10000000000002</v>
      </c>
      <c r="BR333" s="29"/>
      <c r="BS333" s="29"/>
      <c r="BT333" s="29"/>
      <c r="BU333" s="29"/>
      <c r="BV333" s="29"/>
      <c r="BW333" s="30">
        <v>600.1</v>
      </c>
      <c r="BX333" s="29"/>
      <c r="BY333" s="29"/>
      <c r="BZ333" s="29"/>
      <c r="CA333" s="29"/>
      <c r="CB333" s="29"/>
      <c r="CC333" s="30">
        <v>0.3</v>
      </c>
      <c r="CD333" s="29"/>
      <c r="CE333" s="29"/>
      <c r="CF333" s="29"/>
      <c r="CG333" s="29"/>
      <c r="CH333" s="29"/>
      <c r="CI333" s="30">
        <v>450.1</v>
      </c>
      <c r="CJ333" s="29"/>
      <c r="CK333" s="29"/>
      <c r="CL333" s="30">
        <v>0.1</v>
      </c>
      <c r="CM333" s="31"/>
      <c r="CN333" s="31"/>
      <c r="CO333" s="31">
        <f>MIN(CI333,CO376)</f>
        <v>450.1</v>
      </c>
      <c r="CP333" s="31">
        <f>MIN(CO333,CP376)</f>
        <v>450.1</v>
      </c>
      <c r="CQ333" s="31">
        <f>MIN(CP333,CQ376)</f>
        <v>450.1</v>
      </c>
      <c r="CR333" s="31">
        <f>MIN(CQ333,CR376)</f>
        <v>450.1</v>
      </c>
      <c r="CS333" s="31">
        <f>MIN(CR333,CS376)</f>
        <v>450.1</v>
      </c>
      <c r="CT333" s="22"/>
      <c r="CV333" s="6"/>
      <c r="CW333" s="6"/>
      <c r="CX333" s="6"/>
      <c r="CY333" s="6"/>
    </row>
    <row r="334" spans="2:103" ht="15" customHeight="1" x14ac:dyDescent="0.25">
      <c r="B334" s="12" t="s">
        <v>474</v>
      </c>
      <c r="C334" s="29"/>
      <c r="D334" s="29"/>
      <c r="E334" s="29"/>
      <c r="F334" s="30">
        <v>64.5</v>
      </c>
      <c r="G334" s="30">
        <v>61.3</v>
      </c>
      <c r="H334" s="30">
        <v>0</v>
      </c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31"/>
      <c r="CN334" s="31"/>
      <c r="CO334" s="31">
        <f>CI334</f>
        <v>0</v>
      </c>
      <c r="CP334" s="31">
        <f>CO334</f>
        <v>0</v>
      </c>
      <c r="CQ334" s="31">
        <f>CP334</f>
        <v>0</v>
      </c>
      <c r="CR334" s="31">
        <f>CQ334</f>
        <v>0</v>
      </c>
      <c r="CS334" s="31">
        <f>CR334</f>
        <v>0</v>
      </c>
      <c r="CT334" s="22"/>
      <c r="CV334" s="6"/>
      <c r="CW334" s="6"/>
      <c r="CX334" s="6"/>
      <c r="CY334" s="6"/>
    </row>
    <row r="335" spans="2:103" ht="15" customHeight="1" x14ac:dyDescent="0.25">
      <c r="B335" s="18" t="s">
        <v>475</v>
      </c>
      <c r="C335" s="19">
        <f t="shared" ref="C335:I335" si="338">IF(ISNUMBER(C330),SUM(C330:C334),"")</f>
        <v>230.39999999999998</v>
      </c>
      <c r="D335" s="19">
        <f t="shared" si="338"/>
        <v>263</v>
      </c>
      <c r="E335" s="19">
        <f t="shared" si="338"/>
        <v>311.70000000000005</v>
      </c>
      <c r="F335" s="19">
        <f t="shared" si="338"/>
        <v>326</v>
      </c>
      <c r="G335" s="19">
        <f t="shared" si="338"/>
        <v>341.2</v>
      </c>
      <c r="H335" s="19">
        <f t="shared" si="338"/>
        <v>334.2</v>
      </c>
      <c r="I335" s="19">
        <f t="shared" si="338"/>
        <v>407.29999999999995</v>
      </c>
      <c r="J335" s="19"/>
      <c r="K335" s="19"/>
      <c r="L335" s="19"/>
      <c r="M335" s="19"/>
      <c r="N335" s="19"/>
      <c r="O335" s="19">
        <f>IF(ISNUMBER(O330),SUM(O330:O334),"")</f>
        <v>418.1</v>
      </c>
      <c r="P335" s="19"/>
      <c r="Q335" s="19"/>
      <c r="R335" s="19"/>
      <c r="S335" s="19"/>
      <c r="T335" s="19"/>
      <c r="U335" s="19">
        <f>IF(ISNUMBER(U330),SUM(U330:U334),"")</f>
        <v>539</v>
      </c>
      <c r="V335" s="19"/>
      <c r="W335" s="19"/>
      <c r="X335" s="19"/>
      <c r="Y335" s="19"/>
      <c r="Z335" s="19"/>
      <c r="AA335" s="19">
        <f>IF(ISNUMBER(AA330),SUM(AA330:AA334),"")</f>
        <v>393.6</v>
      </c>
      <c r="AB335" s="19"/>
      <c r="AC335" s="19"/>
      <c r="AD335" s="19"/>
      <c r="AE335" s="19"/>
      <c r="AF335" s="19"/>
      <c r="AG335" s="19">
        <f>IF(ISNUMBER(AG330),SUM(AG330:AG334),"")</f>
        <v>501.8</v>
      </c>
      <c r="AH335" s="19"/>
      <c r="AI335" s="19"/>
      <c r="AJ335" s="19"/>
      <c r="AK335" s="19"/>
      <c r="AL335" s="19"/>
      <c r="AM335" s="19">
        <f>IF(ISNUMBER(AM330),SUM(AM330:AM334),"")</f>
        <v>540.6</v>
      </c>
      <c r="AN335" s="19"/>
      <c r="AO335" s="19"/>
      <c r="AP335" s="19"/>
      <c r="AQ335" s="19"/>
      <c r="AR335" s="19"/>
      <c r="AS335" s="19">
        <f>IF(ISNUMBER(AS330),SUM(AS330:AS334),"")</f>
        <v>720.8</v>
      </c>
      <c r="AT335" s="19"/>
      <c r="AU335" s="19"/>
      <c r="AV335" s="19"/>
      <c r="AW335" s="19"/>
      <c r="AX335" s="19"/>
      <c r="AY335" s="19">
        <f>IF(ISNUMBER(AY330),SUM(AY330:AY334),"")</f>
        <v>763.19999999999993</v>
      </c>
      <c r="AZ335" s="19"/>
      <c r="BA335" s="19"/>
      <c r="BB335" s="19"/>
      <c r="BC335" s="19"/>
      <c r="BD335" s="19"/>
      <c r="BE335" s="19">
        <f>IF(ISNUMBER(BE330),SUM(BE330:BE334),"")</f>
        <v>760.90000000000009</v>
      </c>
      <c r="BF335" s="19"/>
      <c r="BG335" s="19"/>
      <c r="BH335" s="19"/>
      <c r="BI335" s="19"/>
      <c r="BJ335" s="19"/>
      <c r="BK335" s="19">
        <f>IF(ISNUMBER(BK330),SUM(BK330:BK334),"")</f>
        <v>1498.4</v>
      </c>
      <c r="BL335" s="19"/>
      <c r="BM335" s="19"/>
      <c r="BN335" s="19"/>
      <c r="BO335" s="19"/>
      <c r="BP335" s="19"/>
      <c r="BQ335" s="19">
        <f>IF(ISNUMBER(BQ330),SUM(BQ330:BQ334),"")</f>
        <v>1523.4</v>
      </c>
      <c r="BR335" s="19"/>
      <c r="BS335" s="19"/>
      <c r="BT335" s="19"/>
      <c r="BU335" s="19"/>
      <c r="BV335" s="19"/>
      <c r="BW335" s="19">
        <f>IF(ISNUMBER(BW330),SUM(BW330:BW334),"")</f>
        <v>1766.1</v>
      </c>
      <c r="BX335" s="19"/>
      <c r="BY335" s="19"/>
      <c r="BZ335" s="19"/>
      <c r="CA335" s="19"/>
      <c r="CB335" s="19"/>
      <c r="CC335" s="19">
        <f>IF(ISNUMBER(CC330),SUM(CC330:CC334),"")</f>
        <v>1261.5999999999999</v>
      </c>
      <c r="CD335" s="19"/>
      <c r="CE335" s="19"/>
      <c r="CF335" s="19"/>
      <c r="CG335" s="19"/>
      <c r="CH335" s="19"/>
      <c r="CI335" s="19">
        <f>IF(ISNUMBER(CI330),SUM(CI330:CI334),"")</f>
        <v>1860.1</v>
      </c>
      <c r="CJ335" s="19"/>
      <c r="CK335" s="19"/>
      <c r="CL335" s="19">
        <f>IF(ISNUMBER(CL330),SUM(CL330:CL334),"")</f>
        <v>1467.4</v>
      </c>
      <c r="CM335" s="21"/>
      <c r="CN335" s="21"/>
      <c r="CO335" s="21">
        <f>SUM(CO330:CO334)</f>
        <v>2000.1146047600114</v>
      </c>
      <c r="CP335" s="21">
        <f>SUM(CP330:CP334)</f>
        <v>2117.7275421682957</v>
      </c>
      <c r="CQ335" s="21">
        <f>SUM(CQ330:CQ334)</f>
        <v>2271.5277372628152</v>
      </c>
      <c r="CR335" s="21">
        <f>SUM(CR330:CR334)</f>
        <v>2437.7970835468554</v>
      </c>
      <c r="CS335" s="21">
        <f>SUM(CS330:CS334)</f>
        <v>2612.8002781704859</v>
      </c>
      <c r="CT335" s="22"/>
      <c r="CV335" s="6"/>
      <c r="CW335" s="6"/>
      <c r="CX335" s="6"/>
      <c r="CY335" s="6"/>
    </row>
    <row r="336" spans="2:103" ht="15" customHeight="1" x14ac:dyDescent="0.25">
      <c r="B336" s="12" t="s">
        <v>476</v>
      </c>
      <c r="C336" s="30">
        <v>230.7</v>
      </c>
      <c r="D336" s="30">
        <v>142.4</v>
      </c>
      <c r="E336" s="30">
        <v>332.1</v>
      </c>
      <c r="F336" s="30">
        <v>251.6</v>
      </c>
      <c r="G336" s="30">
        <v>265.3</v>
      </c>
      <c r="H336" s="30">
        <v>311.39999999999998</v>
      </c>
      <c r="I336" s="30">
        <v>556.20000000000005</v>
      </c>
      <c r="J336" s="29"/>
      <c r="K336" s="29"/>
      <c r="L336" s="29"/>
      <c r="M336" s="29"/>
      <c r="N336" s="29"/>
      <c r="O336" s="30">
        <v>549</v>
      </c>
      <c r="P336" s="29"/>
      <c r="Q336" s="29"/>
      <c r="R336" s="29"/>
      <c r="S336" s="29"/>
      <c r="T336" s="29"/>
      <c r="U336" s="30">
        <v>618.9</v>
      </c>
      <c r="V336" s="29"/>
      <c r="W336" s="29"/>
      <c r="X336" s="29"/>
      <c r="Y336" s="29"/>
      <c r="Z336" s="29"/>
      <c r="AA336" s="30">
        <v>761.5</v>
      </c>
      <c r="AB336" s="29"/>
      <c r="AC336" s="29"/>
      <c r="AD336" s="29"/>
      <c r="AE336" s="29"/>
      <c r="AF336" s="29"/>
      <c r="AG336" s="30">
        <v>515.79999999999995</v>
      </c>
      <c r="AH336" s="29"/>
      <c r="AI336" s="29"/>
      <c r="AJ336" s="29"/>
      <c r="AK336" s="29"/>
      <c r="AL336" s="29"/>
      <c r="AM336" s="30">
        <v>1069.3</v>
      </c>
      <c r="AN336" s="29"/>
      <c r="AO336" s="29"/>
      <c r="AP336" s="29"/>
      <c r="AQ336" s="29"/>
      <c r="AR336" s="29"/>
      <c r="AS336" s="30">
        <v>610.1</v>
      </c>
      <c r="AT336" s="29"/>
      <c r="AU336" s="29"/>
      <c r="AV336" s="29"/>
      <c r="AW336" s="29"/>
      <c r="AX336" s="29"/>
      <c r="AY336" s="30">
        <v>750</v>
      </c>
      <c r="AZ336" s="29"/>
      <c r="BA336" s="29"/>
      <c r="BB336" s="29"/>
      <c r="BC336" s="29"/>
      <c r="BD336" s="29"/>
      <c r="BE336" s="30">
        <v>680.9</v>
      </c>
      <c r="BF336" s="29"/>
      <c r="BG336" s="29"/>
      <c r="BH336" s="29"/>
      <c r="BI336" s="29"/>
      <c r="BJ336" s="29"/>
      <c r="BK336" s="30">
        <v>4099.3999999999996</v>
      </c>
      <c r="BL336" s="29"/>
      <c r="BM336" s="29"/>
      <c r="BN336" s="29"/>
      <c r="BO336" s="29"/>
      <c r="BP336" s="29"/>
      <c r="BQ336" s="30">
        <v>3620.5</v>
      </c>
      <c r="BR336" s="29"/>
      <c r="BS336" s="29"/>
      <c r="BT336" s="29"/>
      <c r="BU336" s="29"/>
      <c r="BV336" s="29"/>
      <c r="BW336" s="30">
        <v>2644.8</v>
      </c>
      <c r="BX336" s="29"/>
      <c r="BY336" s="29"/>
      <c r="BZ336" s="29"/>
      <c r="CA336" s="29"/>
      <c r="CB336" s="29"/>
      <c r="CC336" s="30">
        <v>2648.7</v>
      </c>
      <c r="CD336" s="29"/>
      <c r="CE336" s="29"/>
      <c r="CF336" s="29"/>
      <c r="CG336" s="29"/>
      <c r="CH336" s="29"/>
      <c r="CI336" s="30">
        <v>2025.3</v>
      </c>
      <c r="CJ336" s="29"/>
      <c r="CK336" s="29"/>
      <c r="CL336" s="30">
        <v>2026.9</v>
      </c>
      <c r="CM336" s="31"/>
      <c r="CN336" s="31"/>
      <c r="CO336" s="31">
        <f>CO376-CO333</f>
        <v>1575.2000000000003</v>
      </c>
      <c r="CP336" s="31">
        <f>CP376-CP333</f>
        <v>1677.3646245036612</v>
      </c>
      <c r="CQ336" s="31">
        <f>CQ376-CQ333</f>
        <v>1869.8556278990468</v>
      </c>
      <c r="CR336" s="31">
        <f>CR376-CR333</f>
        <v>2074.3383600683551</v>
      </c>
      <c r="CS336" s="31">
        <f>CS376-CS333</f>
        <v>2294.6772354200834</v>
      </c>
      <c r="CT336" s="22"/>
      <c r="CV336" s="6"/>
      <c r="CW336" s="6"/>
      <c r="CX336" s="6"/>
      <c r="CY336" s="6"/>
    </row>
    <row r="337" spans="2:103" ht="15" customHeight="1" x14ac:dyDescent="0.25">
      <c r="B337" s="12" t="s">
        <v>477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30">
        <v>0</v>
      </c>
      <c r="AT337" s="29"/>
      <c r="AU337" s="29"/>
      <c r="AV337" s="29"/>
      <c r="AW337" s="29"/>
      <c r="AX337" s="29"/>
      <c r="AY337" s="30">
        <v>119.3</v>
      </c>
      <c r="AZ337" s="29"/>
      <c r="BA337" s="29"/>
      <c r="BB337" s="29"/>
      <c r="BC337" s="29"/>
      <c r="BD337" s="29"/>
      <c r="BE337" s="30">
        <v>116.5</v>
      </c>
      <c r="BF337" s="29"/>
      <c r="BG337" s="29"/>
      <c r="BH337" s="29"/>
      <c r="BI337" s="29"/>
      <c r="BJ337" s="29"/>
      <c r="BK337" s="30">
        <v>138</v>
      </c>
      <c r="BL337" s="29"/>
      <c r="BM337" s="29"/>
      <c r="BN337" s="29"/>
      <c r="BO337" s="29"/>
      <c r="BP337" s="29"/>
      <c r="BQ337" s="30">
        <v>125.9</v>
      </c>
      <c r="BR337" s="29"/>
      <c r="BS337" s="29"/>
      <c r="BT337" s="29"/>
      <c r="BU337" s="29"/>
      <c r="BV337" s="29"/>
      <c r="BW337" s="30">
        <v>123.4</v>
      </c>
      <c r="BX337" s="29"/>
      <c r="BY337" s="29"/>
      <c r="BZ337" s="29"/>
      <c r="CA337" s="29"/>
      <c r="CB337" s="29"/>
      <c r="CC337" s="30">
        <v>109.6</v>
      </c>
      <c r="CD337" s="29"/>
      <c r="CE337" s="29"/>
      <c r="CF337" s="29"/>
      <c r="CG337" s="29"/>
      <c r="CH337" s="29"/>
      <c r="CI337" s="30">
        <v>134.69999999999999</v>
      </c>
      <c r="CJ337" s="29"/>
      <c r="CK337" s="29"/>
      <c r="CL337" s="29"/>
      <c r="CM337" s="31"/>
      <c r="CN337" s="31"/>
      <c r="CO337" s="31">
        <f>CI337</f>
        <v>134.69999999999999</v>
      </c>
      <c r="CP337" s="31">
        <f t="shared" ref="CP337:CS338" si="339">CO337</f>
        <v>134.69999999999999</v>
      </c>
      <c r="CQ337" s="31">
        <f t="shared" si="339"/>
        <v>134.69999999999999</v>
      </c>
      <c r="CR337" s="31">
        <f t="shared" si="339"/>
        <v>134.69999999999999</v>
      </c>
      <c r="CS337" s="31">
        <f t="shared" si="339"/>
        <v>134.69999999999999</v>
      </c>
      <c r="CT337" s="22"/>
      <c r="CV337" s="6"/>
      <c r="CW337" s="6"/>
      <c r="CX337" s="6"/>
      <c r="CY337" s="6"/>
    </row>
    <row r="338" spans="2:103" ht="15" customHeight="1" x14ac:dyDescent="0.25">
      <c r="B338" s="12" t="s">
        <v>478</v>
      </c>
      <c r="C338" s="30">
        <v>62.8</v>
      </c>
      <c r="D338" s="30">
        <v>97.2</v>
      </c>
      <c r="E338" s="30">
        <v>244.6</v>
      </c>
      <c r="F338" s="30">
        <v>95.5</v>
      </c>
      <c r="G338" s="30">
        <v>78.599999999999994</v>
      </c>
      <c r="H338" s="30">
        <v>79.2</v>
      </c>
      <c r="I338" s="30">
        <v>69.8</v>
      </c>
      <c r="J338" s="29"/>
      <c r="K338" s="29"/>
      <c r="L338" s="29"/>
      <c r="M338" s="29"/>
      <c r="N338" s="29"/>
      <c r="O338" s="30">
        <v>21.9</v>
      </c>
      <c r="P338" s="29"/>
      <c r="Q338" s="29"/>
      <c r="R338" s="29"/>
      <c r="S338" s="29"/>
      <c r="T338" s="29"/>
      <c r="U338" s="30">
        <v>31</v>
      </c>
      <c r="V338" s="29"/>
      <c r="W338" s="29"/>
      <c r="X338" s="29"/>
      <c r="Y338" s="29"/>
      <c r="Z338" s="29"/>
      <c r="AA338" s="30">
        <v>61.2</v>
      </c>
      <c r="AB338" s="29"/>
      <c r="AC338" s="29"/>
      <c r="AD338" s="29"/>
      <c r="AE338" s="29"/>
      <c r="AF338" s="29"/>
      <c r="AG338" s="30">
        <v>57.7</v>
      </c>
      <c r="AH338" s="29"/>
      <c r="AI338" s="29"/>
      <c r="AJ338" s="29"/>
      <c r="AK338" s="29"/>
      <c r="AL338" s="29"/>
      <c r="AM338" s="30">
        <v>60.7</v>
      </c>
      <c r="AN338" s="29"/>
      <c r="AO338" s="29"/>
      <c r="AP338" s="29"/>
      <c r="AQ338" s="29"/>
      <c r="AR338" s="29"/>
      <c r="AS338" s="30">
        <v>53.3</v>
      </c>
      <c r="AT338" s="29"/>
      <c r="AU338" s="29"/>
      <c r="AV338" s="29"/>
      <c r="AW338" s="29"/>
      <c r="AX338" s="29"/>
      <c r="AY338" s="30">
        <v>58</v>
      </c>
      <c r="AZ338" s="29"/>
      <c r="BA338" s="29"/>
      <c r="BB338" s="29"/>
      <c r="BC338" s="29"/>
      <c r="BD338" s="29"/>
      <c r="BE338" s="30">
        <v>80.2</v>
      </c>
      <c r="BF338" s="29"/>
      <c r="BG338" s="29"/>
      <c r="BH338" s="29"/>
      <c r="BI338" s="29"/>
      <c r="BJ338" s="29"/>
      <c r="BK338" s="30">
        <v>67.2</v>
      </c>
      <c r="BL338" s="29"/>
      <c r="BM338" s="29"/>
      <c r="BN338" s="29"/>
      <c r="BO338" s="29"/>
      <c r="BP338" s="29"/>
      <c r="BQ338" s="30">
        <v>50.2</v>
      </c>
      <c r="BR338" s="29"/>
      <c r="BS338" s="29"/>
      <c r="BT338" s="29"/>
      <c r="BU338" s="29"/>
      <c r="BV338" s="29"/>
      <c r="BW338" s="30">
        <v>57.8</v>
      </c>
      <c r="BX338" s="29"/>
      <c r="BY338" s="29"/>
      <c r="BZ338" s="29"/>
      <c r="CA338" s="29"/>
      <c r="CB338" s="29"/>
      <c r="CC338" s="30">
        <v>58.8</v>
      </c>
      <c r="CD338" s="29"/>
      <c r="CE338" s="29"/>
      <c r="CF338" s="29"/>
      <c r="CG338" s="29"/>
      <c r="CH338" s="29"/>
      <c r="CI338" s="30">
        <v>60</v>
      </c>
      <c r="CJ338" s="29"/>
      <c r="CK338" s="29"/>
      <c r="CL338" s="29"/>
      <c r="CM338" s="31"/>
      <c r="CN338" s="31"/>
      <c r="CO338" s="31">
        <f>CI338</f>
        <v>60</v>
      </c>
      <c r="CP338" s="31">
        <f t="shared" si="339"/>
        <v>60</v>
      </c>
      <c r="CQ338" s="31">
        <f t="shared" si="339"/>
        <v>60</v>
      </c>
      <c r="CR338" s="31">
        <f t="shared" si="339"/>
        <v>60</v>
      </c>
      <c r="CS338" s="31">
        <f t="shared" si="339"/>
        <v>60</v>
      </c>
      <c r="CT338" s="22"/>
      <c r="CV338" s="6"/>
      <c r="CW338" s="6"/>
      <c r="CX338" s="6"/>
      <c r="CY338" s="6"/>
    </row>
    <row r="339" spans="2:103" ht="15" customHeight="1" x14ac:dyDescent="0.25">
      <c r="B339" s="12" t="s">
        <v>397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30">
        <v>112.3</v>
      </c>
      <c r="P339" s="29"/>
      <c r="Q339" s="29"/>
      <c r="R339" s="29"/>
      <c r="S339" s="29"/>
      <c r="T339" s="29"/>
      <c r="U339" s="30">
        <v>77.3</v>
      </c>
      <c r="V339" s="29"/>
      <c r="W339" s="29"/>
      <c r="X339" s="29"/>
      <c r="Y339" s="29"/>
      <c r="Z339" s="29"/>
      <c r="AA339" s="30">
        <v>37.9</v>
      </c>
      <c r="AB339" s="29"/>
      <c r="AC339" s="29"/>
      <c r="AD339" s="29"/>
      <c r="AE339" s="29"/>
      <c r="AF339" s="29"/>
      <c r="AG339" s="30">
        <v>26.8</v>
      </c>
      <c r="AH339" s="29"/>
      <c r="AI339" s="29"/>
      <c r="AJ339" s="29"/>
      <c r="AK339" s="29"/>
      <c r="AL339" s="29"/>
      <c r="AM339" s="30">
        <v>61.8</v>
      </c>
      <c r="AN339" s="29"/>
      <c r="AO339" s="29"/>
      <c r="AP339" s="29"/>
      <c r="AQ339" s="29"/>
      <c r="AR339" s="29"/>
      <c r="AS339" s="30">
        <v>51.2</v>
      </c>
      <c r="AT339" s="29"/>
      <c r="AU339" s="29"/>
      <c r="AV339" s="29"/>
      <c r="AW339" s="29"/>
      <c r="AX339" s="29"/>
      <c r="AY339" s="30">
        <v>34</v>
      </c>
      <c r="AZ339" s="29"/>
      <c r="BA339" s="29"/>
      <c r="BB339" s="29"/>
      <c r="BC339" s="29"/>
      <c r="BD339" s="29"/>
      <c r="BE339" s="30">
        <v>39</v>
      </c>
      <c r="BF339" s="29"/>
      <c r="BG339" s="29"/>
      <c r="BH339" s="29"/>
      <c r="BI339" s="29"/>
      <c r="BJ339" s="29"/>
      <c r="BK339" s="30">
        <v>625.5</v>
      </c>
      <c r="BL339" s="29"/>
      <c r="BM339" s="29"/>
      <c r="BN339" s="29"/>
      <c r="BO339" s="29"/>
      <c r="BP339" s="29"/>
      <c r="BQ339" s="30">
        <v>490</v>
      </c>
      <c r="BR339" s="29"/>
      <c r="BS339" s="29"/>
      <c r="BT339" s="29"/>
      <c r="BU339" s="29"/>
      <c r="BV339" s="29"/>
      <c r="BW339" s="30">
        <v>415.4</v>
      </c>
      <c r="BX339" s="29"/>
      <c r="BY339" s="29"/>
      <c r="BZ339" s="29"/>
      <c r="CA339" s="29"/>
      <c r="CB339" s="29"/>
      <c r="CC339" s="30">
        <v>354</v>
      </c>
      <c r="CD339" s="29"/>
      <c r="CE339" s="29"/>
      <c r="CF339" s="29"/>
      <c r="CG339" s="29"/>
      <c r="CH339" s="29"/>
      <c r="CI339" s="30">
        <v>369.6</v>
      </c>
      <c r="CJ339" s="29"/>
      <c r="CK339" s="29"/>
      <c r="CL339" s="30">
        <v>378.2</v>
      </c>
      <c r="CM339" s="31"/>
      <c r="CN339" s="31"/>
      <c r="CO339" s="31">
        <f>CI339+CO267</f>
        <v>349.6</v>
      </c>
      <c r="CP339" s="31">
        <f>CO339+CP267</f>
        <v>329.6</v>
      </c>
      <c r="CQ339" s="31">
        <f>CP339+CQ267</f>
        <v>309.60000000000002</v>
      </c>
      <c r="CR339" s="31">
        <f>CQ339+CR267</f>
        <v>289.60000000000002</v>
      </c>
      <c r="CS339" s="31">
        <f>CR339+CS267</f>
        <v>269.60000000000002</v>
      </c>
      <c r="CT339" s="22"/>
      <c r="CV339" s="6"/>
      <c r="CW339" s="6"/>
      <c r="CX339" s="6"/>
      <c r="CY339" s="6"/>
    </row>
    <row r="340" spans="2:103" ht="15" customHeight="1" x14ac:dyDescent="0.25">
      <c r="B340" s="12" t="s">
        <v>479</v>
      </c>
      <c r="C340" s="30">
        <v>105.7</v>
      </c>
      <c r="D340" s="30">
        <v>126.6</v>
      </c>
      <c r="E340" s="30">
        <v>110.9</v>
      </c>
      <c r="F340" s="30">
        <v>81</v>
      </c>
      <c r="G340" s="30">
        <v>85.7</v>
      </c>
      <c r="H340" s="30">
        <v>117.2</v>
      </c>
      <c r="I340" s="30">
        <v>169.7</v>
      </c>
      <c r="J340" s="29"/>
      <c r="K340" s="29"/>
      <c r="L340" s="29"/>
      <c r="M340" s="29"/>
      <c r="N340" s="29"/>
      <c r="O340" s="30">
        <v>131.1</v>
      </c>
      <c r="P340" s="29"/>
      <c r="Q340" s="29"/>
      <c r="R340" s="29"/>
      <c r="S340" s="29"/>
      <c r="T340" s="29"/>
      <c r="U340" s="30">
        <v>127.5</v>
      </c>
      <c r="V340" s="29"/>
      <c r="W340" s="29"/>
      <c r="X340" s="29"/>
      <c r="Y340" s="29"/>
      <c r="Z340" s="29"/>
      <c r="AA340" s="30">
        <v>118.8</v>
      </c>
      <c r="AB340" s="29"/>
      <c r="AC340" s="29"/>
      <c r="AD340" s="29"/>
      <c r="AE340" s="29"/>
      <c r="AF340" s="29"/>
      <c r="AG340" s="30">
        <v>117.9</v>
      </c>
      <c r="AH340" s="29"/>
      <c r="AI340" s="29"/>
      <c r="AJ340" s="29"/>
      <c r="AK340" s="29"/>
      <c r="AL340" s="29"/>
      <c r="AM340" s="30">
        <v>166.7</v>
      </c>
      <c r="AN340" s="29"/>
      <c r="AO340" s="29"/>
      <c r="AP340" s="29"/>
      <c r="AQ340" s="29"/>
      <c r="AR340" s="29"/>
      <c r="AS340" s="30">
        <v>144.19999999999999</v>
      </c>
      <c r="AT340" s="29"/>
      <c r="AU340" s="29"/>
      <c r="AV340" s="29"/>
      <c r="AW340" s="29"/>
      <c r="AX340" s="29"/>
      <c r="AY340" s="30">
        <v>140.6</v>
      </c>
      <c r="AZ340" s="29"/>
      <c r="BA340" s="29"/>
      <c r="BB340" s="29"/>
      <c r="BC340" s="29"/>
      <c r="BD340" s="29"/>
      <c r="BE340" s="30">
        <v>178.7</v>
      </c>
      <c r="BF340" s="29"/>
      <c r="BG340" s="29"/>
      <c r="BH340" s="29"/>
      <c r="BI340" s="29"/>
      <c r="BJ340" s="29"/>
      <c r="BK340" s="30">
        <v>379.8</v>
      </c>
      <c r="BL340" s="29"/>
      <c r="BM340" s="29"/>
      <c r="BN340" s="29"/>
      <c r="BO340" s="29"/>
      <c r="BP340" s="29"/>
      <c r="BQ340" s="30">
        <v>371.1</v>
      </c>
      <c r="BR340" s="29"/>
      <c r="BS340" s="29"/>
      <c r="BT340" s="29"/>
      <c r="BU340" s="29"/>
      <c r="BV340" s="29"/>
      <c r="BW340" s="30">
        <v>294.60000000000002</v>
      </c>
      <c r="BX340" s="29"/>
      <c r="BY340" s="29"/>
      <c r="BZ340" s="29"/>
      <c r="CA340" s="29"/>
      <c r="CB340" s="29"/>
      <c r="CC340" s="30">
        <v>212.4</v>
      </c>
      <c r="CD340" s="29"/>
      <c r="CE340" s="29"/>
      <c r="CF340" s="29"/>
      <c r="CG340" s="29"/>
      <c r="CH340" s="29"/>
      <c r="CI340" s="30">
        <v>321.7</v>
      </c>
      <c r="CJ340" s="29"/>
      <c r="CK340" s="29"/>
      <c r="CL340" s="30">
        <v>489.4</v>
      </c>
      <c r="CM340" s="31"/>
      <c r="CN340" s="31"/>
      <c r="CO340" s="31">
        <f>CI340</f>
        <v>321.7</v>
      </c>
      <c r="CP340" s="31">
        <f>CO340</f>
        <v>321.7</v>
      </c>
      <c r="CQ340" s="31">
        <f>CP340</f>
        <v>321.7</v>
      </c>
      <c r="CR340" s="31">
        <f>CQ340</f>
        <v>321.7</v>
      </c>
      <c r="CS340" s="31">
        <f>CR340</f>
        <v>321.7</v>
      </c>
      <c r="CT340" s="22"/>
      <c r="CV340" s="6"/>
      <c r="CW340" s="6"/>
      <c r="CX340" s="6"/>
      <c r="CY340" s="6"/>
    </row>
    <row r="341" spans="2:103" ht="15" customHeight="1" x14ac:dyDescent="0.25">
      <c r="B341" s="33" t="s">
        <v>480</v>
      </c>
      <c r="C341" s="34">
        <f t="shared" ref="C341:I341" si="340">IF(ISNUMBER(C330),C335+SUM(C336:C340),"")</f>
        <v>629.59999999999991</v>
      </c>
      <c r="D341" s="34">
        <f t="shared" si="340"/>
        <v>629.20000000000005</v>
      </c>
      <c r="E341" s="34">
        <f t="shared" si="340"/>
        <v>999.30000000000007</v>
      </c>
      <c r="F341" s="34">
        <f t="shared" si="340"/>
        <v>754.1</v>
      </c>
      <c r="G341" s="34">
        <f t="shared" si="340"/>
        <v>770.8</v>
      </c>
      <c r="H341" s="34">
        <f t="shared" si="340"/>
        <v>842</v>
      </c>
      <c r="I341" s="34">
        <f t="shared" si="340"/>
        <v>1203</v>
      </c>
      <c r="J341" s="19"/>
      <c r="K341" s="19"/>
      <c r="L341" s="19"/>
      <c r="M341" s="19"/>
      <c r="N341" s="19"/>
      <c r="O341" s="34">
        <f>IF(ISNUMBER(O330),O335+SUM(O336:O340),"")</f>
        <v>1232.4000000000001</v>
      </c>
      <c r="P341" s="19"/>
      <c r="Q341" s="19"/>
      <c r="R341" s="19"/>
      <c r="S341" s="19"/>
      <c r="T341" s="19"/>
      <c r="U341" s="34">
        <f>IF(ISNUMBER(U330),U335+SUM(U336:U340),"")</f>
        <v>1393.6999999999998</v>
      </c>
      <c r="V341" s="19"/>
      <c r="W341" s="19"/>
      <c r="X341" s="19"/>
      <c r="Y341" s="19"/>
      <c r="Z341" s="19"/>
      <c r="AA341" s="34">
        <f>IF(ISNUMBER(AA330),AA335+SUM(AA336:AA340),"")</f>
        <v>1373</v>
      </c>
      <c r="AB341" s="19"/>
      <c r="AC341" s="19"/>
      <c r="AD341" s="19"/>
      <c r="AE341" s="19"/>
      <c r="AF341" s="19"/>
      <c r="AG341" s="34">
        <f>IF(ISNUMBER(AG330),AG335+SUM(AG336:AG340),"")</f>
        <v>1220</v>
      </c>
      <c r="AH341" s="19"/>
      <c r="AI341" s="19"/>
      <c r="AJ341" s="19"/>
      <c r="AK341" s="19"/>
      <c r="AL341" s="19"/>
      <c r="AM341" s="34">
        <f>IF(ISNUMBER(AM330),AM335+SUM(AM336:AM340),"")</f>
        <v>1899.1</v>
      </c>
      <c r="AN341" s="19"/>
      <c r="AO341" s="19"/>
      <c r="AP341" s="19"/>
      <c r="AQ341" s="19"/>
      <c r="AR341" s="19"/>
      <c r="AS341" s="34">
        <f>IF(ISNUMBER(AS330),AS335+SUM(AS336:AS340),"")</f>
        <v>1579.6</v>
      </c>
      <c r="AT341" s="19"/>
      <c r="AU341" s="19"/>
      <c r="AV341" s="19"/>
      <c r="AW341" s="19"/>
      <c r="AX341" s="19"/>
      <c r="AY341" s="34">
        <f>IF(ISNUMBER(AY330),AY335+SUM(AY336:AY340),"")</f>
        <v>1865.1</v>
      </c>
      <c r="AZ341" s="19"/>
      <c r="BA341" s="19"/>
      <c r="BB341" s="19"/>
      <c r="BC341" s="19"/>
      <c r="BD341" s="19"/>
      <c r="BE341" s="34">
        <f>IF(ISNUMBER(BE330),BE335+SUM(BE336:BE340),"")</f>
        <v>1856.2</v>
      </c>
      <c r="BF341" s="19"/>
      <c r="BG341" s="19"/>
      <c r="BH341" s="19"/>
      <c r="BI341" s="19"/>
      <c r="BJ341" s="19"/>
      <c r="BK341" s="34">
        <f>IF(ISNUMBER(BK330),BK335+SUM(BK336:BK340),"")</f>
        <v>6808.2999999999993</v>
      </c>
      <c r="BL341" s="19"/>
      <c r="BM341" s="19"/>
      <c r="BN341" s="19"/>
      <c r="BO341" s="19"/>
      <c r="BP341" s="19"/>
      <c r="BQ341" s="34">
        <f>IF(ISNUMBER(BQ330),BQ335+SUM(BQ336:BQ340),"")</f>
        <v>6181.1</v>
      </c>
      <c r="BR341" s="19"/>
      <c r="BS341" s="19"/>
      <c r="BT341" s="19"/>
      <c r="BU341" s="19"/>
      <c r="BV341" s="19"/>
      <c r="BW341" s="34">
        <f>IF(ISNUMBER(BW330),BW335+SUM(BW336:BW340),"")</f>
        <v>5302.1</v>
      </c>
      <c r="BX341" s="19"/>
      <c r="BY341" s="19"/>
      <c r="BZ341" s="19"/>
      <c r="CA341" s="19"/>
      <c r="CB341" s="19"/>
      <c r="CC341" s="34">
        <f>IF(ISNUMBER(CC330),CC335+SUM(CC336:CC340),"")</f>
        <v>4645.1000000000004</v>
      </c>
      <c r="CD341" s="19"/>
      <c r="CE341" s="19"/>
      <c r="CF341" s="19"/>
      <c r="CG341" s="19"/>
      <c r="CH341" s="19"/>
      <c r="CI341" s="34">
        <f>IF(ISNUMBER(CI330),CI335+SUM(CI336:CI340),"")</f>
        <v>4771.3999999999996</v>
      </c>
      <c r="CJ341" s="19"/>
      <c r="CK341" s="19"/>
      <c r="CL341" s="19">
        <f>IF(ISNUMBER(CL330),CL335+SUM(CL336:CL340),"")</f>
        <v>4361.8999999999996</v>
      </c>
      <c r="CM341" s="34"/>
      <c r="CN341" s="34"/>
      <c r="CO341" s="34">
        <f>CO335+SUM(CO336:CO340)</f>
        <v>4441.3146047600112</v>
      </c>
      <c r="CP341" s="34">
        <f>CP335+SUM(CP336:CP340)</f>
        <v>4641.0921666719569</v>
      </c>
      <c r="CQ341" s="34">
        <f>CQ335+SUM(CQ336:CQ340)</f>
        <v>4967.3833651618625</v>
      </c>
      <c r="CR341" s="34">
        <f>CR335+SUM(CR336:CR340)</f>
        <v>5318.1354436152105</v>
      </c>
      <c r="CS341" s="34">
        <f>CS335+SUM(CS336:CS340)</f>
        <v>5693.4775135905693</v>
      </c>
      <c r="CT341" s="22"/>
      <c r="CV341" s="6"/>
      <c r="CW341" s="6"/>
      <c r="CX341" s="6"/>
      <c r="CY341" s="6"/>
    </row>
    <row r="342" spans="2:103" ht="15" customHeight="1" x14ac:dyDescent="0.25">
      <c r="B342" s="12" t="s">
        <v>481</v>
      </c>
      <c r="C342" s="29"/>
      <c r="D342" s="29"/>
      <c r="E342" s="30">
        <v>28.3</v>
      </c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30">
        <v>0</v>
      </c>
      <c r="BL342" s="29"/>
      <c r="BM342" s="29"/>
      <c r="BN342" s="29"/>
      <c r="BO342" s="29"/>
      <c r="BP342" s="29"/>
      <c r="BQ342" s="30">
        <v>3.7</v>
      </c>
      <c r="BR342" s="29"/>
      <c r="BS342" s="29"/>
      <c r="BT342" s="29"/>
      <c r="BU342" s="29"/>
      <c r="BV342" s="29"/>
      <c r="BW342" s="30">
        <v>4.5999999999999996</v>
      </c>
      <c r="BX342" s="29"/>
      <c r="BY342" s="29"/>
      <c r="BZ342" s="29"/>
      <c r="CA342" s="29"/>
      <c r="CB342" s="29"/>
      <c r="CC342" s="30">
        <v>6</v>
      </c>
      <c r="CD342" s="29"/>
      <c r="CE342" s="29"/>
      <c r="CF342" s="29"/>
      <c r="CG342" s="29"/>
      <c r="CH342" s="29"/>
      <c r="CI342" s="30">
        <v>0</v>
      </c>
      <c r="CJ342" s="29"/>
      <c r="CK342" s="29"/>
      <c r="CL342" s="30">
        <v>0</v>
      </c>
      <c r="CM342" s="31"/>
      <c r="CN342" s="31"/>
      <c r="CO342" s="31">
        <f>CI342</f>
        <v>0</v>
      </c>
      <c r="CP342" s="31">
        <f>CO342</f>
        <v>0</v>
      </c>
      <c r="CQ342" s="31">
        <f>CP342</f>
        <v>0</v>
      </c>
      <c r="CR342" s="31">
        <f>CQ342</f>
        <v>0</v>
      </c>
      <c r="CS342" s="31">
        <f>CR342</f>
        <v>0</v>
      </c>
      <c r="CT342" s="22"/>
      <c r="CV342" s="6"/>
      <c r="CW342" s="6"/>
      <c r="CX342" s="6"/>
      <c r="CY342" s="6"/>
    </row>
    <row r="343" spans="2:103" ht="15" customHeight="1" x14ac:dyDescent="0.25">
      <c r="B343" s="12" t="s">
        <v>482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31"/>
      <c r="CN343" s="31"/>
      <c r="CO343" s="31"/>
      <c r="CP343" s="31"/>
      <c r="CQ343" s="31"/>
      <c r="CR343" s="31"/>
      <c r="CS343" s="31"/>
      <c r="CT343" s="22"/>
      <c r="CV343" s="6"/>
      <c r="CW343" s="6"/>
      <c r="CX343" s="6"/>
      <c r="CY343" s="6"/>
    </row>
    <row r="344" spans="2:103" ht="15" customHeight="1" x14ac:dyDescent="0.25">
      <c r="B344" s="12" t="s">
        <v>483</v>
      </c>
      <c r="C344" s="30">
        <v>188.3</v>
      </c>
      <c r="D344" s="30">
        <v>207.3</v>
      </c>
      <c r="E344" s="30">
        <v>240.4</v>
      </c>
      <c r="F344" s="30">
        <v>255.1</v>
      </c>
      <c r="G344" s="30">
        <v>267.89999999999998</v>
      </c>
      <c r="H344" s="30">
        <v>292.10000000000002</v>
      </c>
      <c r="I344" s="30">
        <v>298.2</v>
      </c>
      <c r="J344" s="29"/>
      <c r="K344" s="29"/>
      <c r="L344" s="29"/>
      <c r="M344" s="29"/>
      <c r="N344" s="29"/>
      <c r="O344" s="30">
        <v>329.2</v>
      </c>
      <c r="P344" s="29"/>
      <c r="Q344" s="29"/>
      <c r="R344" s="29"/>
      <c r="S344" s="29"/>
      <c r="T344" s="29"/>
      <c r="U344" s="30">
        <v>326.89999999999998</v>
      </c>
      <c r="V344" s="29"/>
      <c r="W344" s="29"/>
      <c r="X344" s="29"/>
      <c r="Y344" s="29"/>
      <c r="Z344" s="29"/>
      <c r="AA344" s="30">
        <v>345.7</v>
      </c>
      <c r="AB344" s="29"/>
      <c r="AC344" s="29"/>
      <c r="AD344" s="29"/>
      <c r="AE344" s="29"/>
      <c r="AF344" s="29"/>
      <c r="AG344" s="30">
        <v>336.1</v>
      </c>
      <c r="AH344" s="29"/>
      <c r="AI344" s="29"/>
      <c r="AJ344" s="29"/>
      <c r="AK344" s="29"/>
      <c r="AL344" s="29"/>
      <c r="AM344" s="30">
        <v>337.7</v>
      </c>
      <c r="AN344" s="29"/>
      <c r="AO344" s="29"/>
      <c r="AP344" s="29"/>
      <c r="AQ344" s="29"/>
      <c r="AR344" s="29"/>
      <c r="AS344" s="30">
        <v>344.1</v>
      </c>
      <c r="AT344" s="29"/>
      <c r="AU344" s="29"/>
      <c r="AV344" s="29"/>
      <c r="AW344" s="29"/>
      <c r="AX344" s="29"/>
      <c r="AY344" s="30">
        <v>360.9</v>
      </c>
      <c r="AZ344" s="29"/>
      <c r="BA344" s="29"/>
      <c r="BB344" s="29"/>
      <c r="BC344" s="29"/>
      <c r="BD344" s="29"/>
      <c r="BE344" s="30">
        <v>390.3</v>
      </c>
      <c r="BF344" s="29"/>
      <c r="BG344" s="29"/>
      <c r="BH344" s="29"/>
      <c r="BI344" s="29"/>
      <c r="BJ344" s="29"/>
      <c r="BK344" s="30">
        <v>4317.6000000000004</v>
      </c>
      <c r="BL344" s="29"/>
      <c r="BM344" s="29"/>
      <c r="BN344" s="29"/>
      <c r="BO344" s="29"/>
      <c r="BP344" s="29"/>
      <c r="BQ344" s="30">
        <v>4353.8999999999996</v>
      </c>
      <c r="BR344" s="29"/>
      <c r="BS344" s="29"/>
      <c r="BT344" s="29"/>
      <c r="BU344" s="29"/>
      <c r="BV344" s="29"/>
      <c r="BW344" s="30">
        <v>4407.8</v>
      </c>
      <c r="BX344" s="29"/>
      <c r="BY344" s="29"/>
      <c r="BZ344" s="29"/>
      <c r="CA344" s="29"/>
      <c r="CB344" s="29"/>
      <c r="CC344" s="30">
        <v>4415</v>
      </c>
      <c r="CD344" s="29"/>
      <c r="CE344" s="29"/>
      <c r="CF344" s="29"/>
      <c r="CG344" s="29"/>
      <c r="CH344" s="29"/>
      <c r="CI344" s="30">
        <v>4383.7</v>
      </c>
      <c r="CJ344" s="29"/>
      <c r="CK344" s="29"/>
      <c r="CL344" s="30">
        <v>4353.3999999999996</v>
      </c>
      <c r="CM344" s="31"/>
      <c r="CN344" s="31"/>
      <c r="CO344" s="31">
        <f>CI344+CO266+CO281</f>
        <v>4474.1576147437918</v>
      </c>
      <c r="CP344" s="31">
        <f>CO344+CP266+CP281</f>
        <v>4560.8275804623918</v>
      </c>
      <c r="CQ344" s="31">
        <f>CP344+CQ266+CQ281</f>
        <v>4651.8619743998706</v>
      </c>
      <c r="CR344" s="31">
        <f>CQ344+CR266+CR281</f>
        <v>4747.6209023421106</v>
      </c>
      <c r="CS344" s="31">
        <f>CR344+CS266+CS281</f>
        <v>4848.3608420871178</v>
      </c>
      <c r="CT344" s="22" t="s">
        <v>484</v>
      </c>
      <c r="CV344" s="6"/>
      <c r="CW344" s="6"/>
      <c r="CX344" s="6"/>
      <c r="CY344" s="6"/>
    </row>
    <row r="345" spans="2:103" ht="15" customHeight="1" x14ac:dyDescent="0.25">
      <c r="B345" s="12" t="s">
        <v>485</v>
      </c>
      <c r="C345" s="30">
        <v>285.8</v>
      </c>
      <c r="D345" s="30">
        <v>384.1</v>
      </c>
      <c r="E345" s="30">
        <v>471.2</v>
      </c>
      <c r="F345" s="30">
        <v>583.20000000000005</v>
      </c>
      <c r="G345" s="30">
        <v>703.7</v>
      </c>
      <c r="H345" s="30">
        <v>958.9</v>
      </c>
      <c r="I345" s="30">
        <v>1123</v>
      </c>
      <c r="J345" s="29"/>
      <c r="K345" s="29"/>
      <c r="L345" s="29"/>
      <c r="M345" s="29"/>
      <c r="N345" s="29"/>
      <c r="O345" s="30">
        <v>1308</v>
      </c>
      <c r="P345" s="29"/>
      <c r="Q345" s="29"/>
      <c r="R345" s="29"/>
      <c r="S345" s="29"/>
      <c r="T345" s="29"/>
      <c r="U345" s="30">
        <v>1525.7</v>
      </c>
      <c r="V345" s="29"/>
      <c r="W345" s="29"/>
      <c r="X345" s="29"/>
      <c r="Y345" s="29"/>
      <c r="Z345" s="29"/>
      <c r="AA345" s="30">
        <v>1721.5</v>
      </c>
      <c r="AB345" s="29"/>
      <c r="AC345" s="29"/>
      <c r="AD345" s="29"/>
      <c r="AE345" s="29"/>
      <c r="AF345" s="29"/>
      <c r="AG345" s="30">
        <v>1912.4</v>
      </c>
      <c r="AH345" s="29"/>
      <c r="AI345" s="29"/>
      <c r="AJ345" s="29"/>
      <c r="AK345" s="29"/>
      <c r="AL345" s="29"/>
      <c r="AM345" s="30">
        <v>2139.6</v>
      </c>
      <c r="AN345" s="29"/>
      <c r="AO345" s="29"/>
      <c r="AP345" s="29"/>
      <c r="AQ345" s="29"/>
      <c r="AR345" s="29"/>
      <c r="AS345" s="30">
        <v>2523.6999999999998</v>
      </c>
      <c r="AT345" s="29"/>
      <c r="AU345" s="29"/>
      <c r="AV345" s="29"/>
      <c r="AW345" s="29"/>
      <c r="AX345" s="29"/>
      <c r="AY345" s="30">
        <v>2926</v>
      </c>
      <c r="AZ345" s="29"/>
      <c r="BA345" s="29"/>
      <c r="BB345" s="29"/>
      <c r="BC345" s="29"/>
      <c r="BD345" s="29"/>
      <c r="BE345" s="30">
        <v>3327.9</v>
      </c>
      <c r="BF345" s="29"/>
      <c r="BG345" s="29"/>
      <c r="BH345" s="29"/>
      <c r="BI345" s="29"/>
      <c r="BJ345" s="29"/>
      <c r="BK345" s="30">
        <v>3773.2</v>
      </c>
      <c r="BL345" s="29"/>
      <c r="BM345" s="29"/>
      <c r="BN345" s="29"/>
      <c r="BO345" s="29"/>
      <c r="BP345" s="29"/>
      <c r="BQ345" s="30">
        <v>4561.8</v>
      </c>
      <c r="BR345" s="29"/>
      <c r="BS345" s="29"/>
      <c r="BT345" s="29"/>
      <c r="BU345" s="29"/>
      <c r="BV345" s="29"/>
      <c r="BW345" s="30">
        <v>5447.5</v>
      </c>
      <c r="BX345" s="29"/>
      <c r="BY345" s="29"/>
      <c r="BZ345" s="29"/>
      <c r="CA345" s="29"/>
      <c r="CB345" s="29"/>
      <c r="CC345" s="30">
        <v>6266.7</v>
      </c>
      <c r="CD345" s="29"/>
      <c r="CE345" s="29"/>
      <c r="CF345" s="29"/>
      <c r="CG345" s="29"/>
      <c r="CH345" s="29"/>
      <c r="CI345" s="30">
        <v>7140.8</v>
      </c>
      <c r="CJ345" s="29"/>
      <c r="CK345" s="29"/>
      <c r="CL345" s="30">
        <v>7619.3</v>
      </c>
      <c r="CM345" s="31"/>
      <c r="CN345" s="31"/>
      <c r="CO345" s="31">
        <f>CI345+CO171</f>
        <v>8115.3622500000001</v>
      </c>
      <c r="CP345" s="31">
        <f>CO345+CP171</f>
        <v>9241.9111759865318</v>
      </c>
      <c r="CQ345" s="31">
        <f>CP345+CQ171</f>
        <v>10470.987859486086</v>
      </c>
      <c r="CR345" s="31">
        <f>CQ345+CR171</f>
        <v>11836.625100240733</v>
      </c>
      <c r="CS345" s="31">
        <f>CR345+CS171</f>
        <v>13353.143294779991</v>
      </c>
      <c r="CT345" s="22" t="s">
        <v>486</v>
      </c>
      <c r="CV345" s="6"/>
      <c r="CW345" s="6"/>
      <c r="CX345" s="6"/>
      <c r="CY345" s="6"/>
    </row>
    <row r="346" spans="2:103" ht="15" customHeight="1" x14ac:dyDescent="0.25">
      <c r="B346" s="12" t="s">
        <v>487</v>
      </c>
      <c r="C346" s="29"/>
      <c r="D346" s="29"/>
      <c r="E346" s="30">
        <v>0</v>
      </c>
      <c r="F346" s="29"/>
      <c r="G346" s="30">
        <v>0</v>
      </c>
      <c r="H346" s="30">
        <v>-30.6</v>
      </c>
      <c r="I346" s="30">
        <v>0</v>
      </c>
      <c r="J346" s="29"/>
      <c r="K346" s="29"/>
      <c r="L346" s="29"/>
      <c r="M346" s="29"/>
      <c r="N346" s="29"/>
      <c r="O346" s="30">
        <v>0</v>
      </c>
      <c r="P346" s="29"/>
      <c r="Q346" s="29"/>
      <c r="R346" s="29"/>
      <c r="S346" s="29"/>
      <c r="T346" s="29"/>
      <c r="U346" s="30">
        <v>-102.1</v>
      </c>
      <c r="V346" s="29"/>
      <c r="W346" s="29"/>
      <c r="X346" s="29"/>
      <c r="Y346" s="29"/>
      <c r="Z346" s="29"/>
      <c r="AA346" s="30">
        <v>-309.89999999999998</v>
      </c>
      <c r="AB346" s="29"/>
      <c r="AC346" s="29"/>
      <c r="AD346" s="29"/>
      <c r="AE346" s="29"/>
      <c r="AF346" s="29"/>
      <c r="AG346" s="30">
        <v>-242.9</v>
      </c>
      <c r="AH346" s="29"/>
      <c r="AI346" s="29"/>
      <c r="AJ346" s="29"/>
      <c r="AK346" s="29"/>
      <c r="AL346" s="29"/>
      <c r="AM346" s="30">
        <v>-200.7</v>
      </c>
      <c r="AN346" s="29"/>
      <c r="AO346" s="29"/>
      <c r="AP346" s="29"/>
      <c r="AQ346" s="29"/>
      <c r="AR346" s="29"/>
      <c r="AS346" s="30">
        <v>-144.9</v>
      </c>
      <c r="AT346" s="29"/>
      <c r="AU346" s="29"/>
      <c r="AV346" s="29"/>
      <c r="AW346" s="29"/>
      <c r="AX346" s="29"/>
      <c r="AY346" s="30">
        <v>-96.4</v>
      </c>
      <c r="AZ346" s="29"/>
      <c r="BA346" s="29"/>
      <c r="BB346" s="29"/>
      <c r="BC346" s="29"/>
      <c r="BD346" s="29"/>
      <c r="BE346" s="30">
        <v>-59.5</v>
      </c>
      <c r="BF346" s="29"/>
      <c r="BG346" s="29"/>
      <c r="BH346" s="29"/>
      <c r="BI346" s="29"/>
      <c r="BJ346" s="29"/>
      <c r="BK346" s="30">
        <v>-38.799999999999997</v>
      </c>
      <c r="BL346" s="29"/>
      <c r="BM346" s="29"/>
      <c r="BN346" s="29"/>
      <c r="BO346" s="29"/>
      <c r="BP346" s="29"/>
      <c r="BQ346" s="30">
        <v>-20</v>
      </c>
      <c r="BR346" s="29"/>
      <c r="BS346" s="29"/>
      <c r="BT346" s="29"/>
      <c r="BU346" s="29"/>
      <c r="BV346" s="29"/>
      <c r="BW346" s="30">
        <v>0</v>
      </c>
      <c r="BX346" s="29"/>
      <c r="BY346" s="29"/>
      <c r="BZ346" s="29"/>
      <c r="CA346" s="29"/>
      <c r="CB346" s="29"/>
      <c r="CC346" s="30">
        <v>-292.39999999999998</v>
      </c>
      <c r="CD346" s="29"/>
      <c r="CE346" s="29"/>
      <c r="CF346" s="29"/>
      <c r="CG346" s="29"/>
      <c r="CH346" s="29"/>
      <c r="CI346" s="30">
        <v>-585.20000000000005</v>
      </c>
      <c r="CJ346" s="29"/>
      <c r="CK346" s="29"/>
      <c r="CL346" s="30">
        <v>-519.1</v>
      </c>
      <c r="CM346" s="31"/>
      <c r="CN346" s="31"/>
      <c r="CO346" s="31">
        <f>CI346+CO280</f>
        <v>-588.1</v>
      </c>
      <c r="CP346" s="31">
        <f>CO346+CP280</f>
        <v>-1981.8783523780126</v>
      </c>
      <c r="CQ346" s="31">
        <f>CP346+CQ280</f>
        <v>-2624.1550525428975</v>
      </c>
      <c r="CR346" s="31">
        <f>CQ346+CR280</f>
        <v>-3400.4246393725225</v>
      </c>
      <c r="CS346" s="31">
        <f>CR346+CS280</f>
        <v>-4335.4526175303126</v>
      </c>
      <c r="CT346" s="22" t="s">
        <v>488</v>
      </c>
      <c r="CV346" s="6"/>
      <c r="CW346" s="6"/>
      <c r="CX346" s="6"/>
      <c r="CY346" s="6"/>
    </row>
    <row r="347" spans="2:103" ht="15" customHeight="1" x14ac:dyDescent="0.25">
      <c r="B347" s="12" t="s">
        <v>489</v>
      </c>
      <c r="C347" s="30">
        <v>-42.3</v>
      </c>
      <c r="D347" s="30">
        <v>-61.2</v>
      </c>
      <c r="E347" s="30">
        <v>-205.8</v>
      </c>
      <c r="F347" s="30">
        <v>-171.8</v>
      </c>
      <c r="G347" s="30">
        <v>-185.6</v>
      </c>
      <c r="H347" s="30">
        <v>-241.1</v>
      </c>
      <c r="I347" s="30">
        <v>-273.39999999999998</v>
      </c>
      <c r="J347" s="29"/>
      <c r="K347" s="29"/>
      <c r="L347" s="29"/>
      <c r="M347" s="29"/>
      <c r="N347" s="29"/>
      <c r="O347" s="30">
        <v>-165.5</v>
      </c>
      <c r="P347" s="29"/>
      <c r="Q347" s="29"/>
      <c r="R347" s="29"/>
      <c r="S347" s="29"/>
      <c r="T347" s="29"/>
      <c r="U347" s="30">
        <v>-323.2</v>
      </c>
      <c r="V347" s="29"/>
      <c r="W347" s="29"/>
      <c r="X347" s="29"/>
      <c r="Y347" s="29"/>
      <c r="Z347" s="29"/>
      <c r="AA347" s="30">
        <v>-413.2</v>
      </c>
      <c r="AB347" s="29"/>
      <c r="AC347" s="29"/>
      <c r="AD347" s="29"/>
      <c r="AE347" s="29"/>
      <c r="AF347" s="29"/>
      <c r="AG347" s="30">
        <v>-451.2</v>
      </c>
      <c r="AH347" s="29"/>
      <c r="AI347" s="29"/>
      <c r="AJ347" s="29"/>
      <c r="AK347" s="29"/>
      <c r="AL347" s="29"/>
      <c r="AM347" s="30">
        <v>-329.3</v>
      </c>
      <c r="AN347" s="29"/>
      <c r="AO347" s="29"/>
      <c r="AP347" s="29"/>
      <c r="AQ347" s="29"/>
      <c r="AR347" s="29"/>
      <c r="AS347" s="30">
        <v>-493.2</v>
      </c>
      <c r="AT347" s="29"/>
      <c r="AU347" s="29"/>
      <c r="AV347" s="29"/>
      <c r="AW347" s="29"/>
      <c r="AX347" s="29"/>
      <c r="AY347" s="30">
        <v>-475.8</v>
      </c>
      <c r="AZ347" s="29"/>
      <c r="BA347" s="29"/>
      <c r="BB347" s="29"/>
      <c r="BC347" s="29"/>
      <c r="BD347" s="29"/>
      <c r="BE347" s="30">
        <v>-430.1</v>
      </c>
      <c r="BF347" s="29"/>
      <c r="BG347" s="29"/>
      <c r="BH347" s="29"/>
      <c r="BI347" s="29"/>
      <c r="BJ347" s="29"/>
      <c r="BK347" s="30">
        <v>-430</v>
      </c>
      <c r="BL347" s="29"/>
      <c r="BM347" s="29"/>
      <c r="BN347" s="29"/>
      <c r="BO347" s="29"/>
      <c r="BP347" s="29"/>
      <c r="BQ347" s="30">
        <v>-726.5</v>
      </c>
      <c r="BR347" s="29"/>
      <c r="BS347" s="29"/>
      <c r="BT347" s="29"/>
      <c r="BU347" s="29"/>
      <c r="BV347" s="29"/>
      <c r="BW347" s="30">
        <v>-634.1</v>
      </c>
      <c r="BX347" s="29"/>
      <c r="BY347" s="29"/>
      <c r="BZ347" s="29"/>
      <c r="CA347" s="29"/>
      <c r="CB347" s="29"/>
      <c r="CC347" s="30">
        <v>-839.9</v>
      </c>
      <c r="CD347" s="29"/>
      <c r="CE347" s="29"/>
      <c r="CF347" s="29"/>
      <c r="CG347" s="29"/>
      <c r="CH347" s="29"/>
      <c r="CI347" s="30">
        <v>-425.4</v>
      </c>
      <c r="CJ347" s="29"/>
      <c r="CK347" s="29"/>
      <c r="CL347" s="30">
        <v>-535.1</v>
      </c>
      <c r="CM347" s="31"/>
      <c r="CN347" s="31"/>
      <c r="CO347" s="31">
        <f>CI347</f>
        <v>-425.4</v>
      </c>
      <c r="CP347" s="31">
        <f>CO347</f>
        <v>-425.4</v>
      </c>
      <c r="CQ347" s="31">
        <f>CP347</f>
        <v>-425.4</v>
      </c>
      <c r="CR347" s="31">
        <f>CQ347</f>
        <v>-425.4</v>
      </c>
      <c r="CS347" s="31">
        <f>CR347</f>
        <v>-425.4</v>
      </c>
      <c r="CT347" s="22"/>
      <c r="CV347" s="6"/>
      <c r="CW347" s="6"/>
      <c r="CX347" s="6"/>
      <c r="CY347" s="6"/>
    </row>
    <row r="348" spans="2:103" ht="15" customHeight="1" x14ac:dyDescent="0.25">
      <c r="B348" s="18" t="s">
        <v>490</v>
      </c>
      <c r="C348" s="19">
        <f t="shared" ref="C348:I348" si="341">IF(ISNUMBER(C344),SUM(C344:C347),"")</f>
        <v>431.8</v>
      </c>
      <c r="D348" s="19">
        <f t="shared" si="341"/>
        <v>530.20000000000005</v>
      </c>
      <c r="E348" s="19">
        <f t="shared" si="341"/>
        <v>505.8</v>
      </c>
      <c r="F348" s="19">
        <f t="shared" si="341"/>
        <v>666.5</v>
      </c>
      <c r="G348" s="19">
        <f t="shared" si="341"/>
        <v>786</v>
      </c>
      <c r="H348" s="19">
        <f t="shared" si="341"/>
        <v>979.30000000000007</v>
      </c>
      <c r="I348" s="19">
        <f t="shared" si="341"/>
        <v>1147.8000000000002</v>
      </c>
      <c r="J348" s="19"/>
      <c r="K348" s="19"/>
      <c r="L348" s="19"/>
      <c r="M348" s="19"/>
      <c r="N348" s="19"/>
      <c r="O348" s="19">
        <f>IF(ISNUMBER(O344),SUM(O344:O347),"")</f>
        <v>1471.7</v>
      </c>
      <c r="P348" s="19"/>
      <c r="Q348" s="19"/>
      <c r="R348" s="19"/>
      <c r="S348" s="19"/>
      <c r="T348" s="19"/>
      <c r="U348" s="19">
        <f>IF(ISNUMBER(U344),SUM(U344:U347),"")</f>
        <v>1427.3</v>
      </c>
      <c r="V348" s="19"/>
      <c r="W348" s="19"/>
      <c r="X348" s="19"/>
      <c r="Y348" s="19"/>
      <c r="Z348" s="19"/>
      <c r="AA348" s="19">
        <f>IF(ISNUMBER(AA344),SUM(AA344:AA347),"")</f>
        <v>1344.0999999999997</v>
      </c>
      <c r="AB348" s="19"/>
      <c r="AC348" s="19"/>
      <c r="AD348" s="19"/>
      <c r="AE348" s="19"/>
      <c r="AF348" s="19"/>
      <c r="AG348" s="19">
        <f>IF(ISNUMBER(AG344),SUM(AG344:AG347),"")</f>
        <v>1554.3999999999999</v>
      </c>
      <c r="AH348" s="19"/>
      <c r="AI348" s="19"/>
      <c r="AJ348" s="19"/>
      <c r="AK348" s="19"/>
      <c r="AL348" s="19"/>
      <c r="AM348" s="19">
        <f>IF(ISNUMBER(AM344),SUM(AM344:AM347),"")</f>
        <v>1947.3</v>
      </c>
      <c r="AN348" s="19"/>
      <c r="AO348" s="19"/>
      <c r="AP348" s="19"/>
      <c r="AQ348" s="19"/>
      <c r="AR348" s="19"/>
      <c r="AS348" s="19">
        <f>IF(ISNUMBER(AS344),SUM(AS344:AS347),"")</f>
        <v>2229.6999999999998</v>
      </c>
      <c r="AT348" s="19"/>
      <c r="AU348" s="19"/>
      <c r="AV348" s="19"/>
      <c r="AW348" s="19"/>
      <c r="AX348" s="19"/>
      <c r="AY348" s="19">
        <f>IF(ISNUMBER(AY344),SUM(AY344:AY347),"")</f>
        <v>2714.7</v>
      </c>
      <c r="AZ348" s="19"/>
      <c r="BA348" s="19"/>
      <c r="BB348" s="19"/>
      <c r="BC348" s="19"/>
      <c r="BD348" s="19"/>
      <c r="BE348" s="19">
        <f>IF(ISNUMBER(BE344),SUM(BE344:BE347),"")</f>
        <v>3228.6000000000004</v>
      </c>
      <c r="BF348" s="19"/>
      <c r="BG348" s="19"/>
      <c r="BH348" s="19"/>
      <c r="BI348" s="19"/>
      <c r="BJ348" s="19"/>
      <c r="BK348" s="19">
        <f>IF(ISNUMBER(BK344),SUM(BK344:BK347),"")</f>
        <v>7622</v>
      </c>
      <c r="BL348" s="19"/>
      <c r="BM348" s="19"/>
      <c r="BN348" s="19"/>
      <c r="BO348" s="19"/>
      <c r="BP348" s="19"/>
      <c r="BQ348" s="19">
        <f>IF(ISNUMBER(BQ344),SUM(BQ344:BQ347),"")</f>
        <v>8169.2000000000007</v>
      </c>
      <c r="BR348" s="19"/>
      <c r="BS348" s="19"/>
      <c r="BT348" s="19"/>
      <c r="BU348" s="19"/>
      <c r="BV348" s="19"/>
      <c r="BW348" s="19">
        <f>IF(ISNUMBER(BW344),SUM(BW344:BW347),"")</f>
        <v>9221.1999999999989</v>
      </c>
      <c r="BX348" s="19"/>
      <c r="BY348" s="19"/>
      <c r="BZ348" s="19"/>
      <c r="CA348" s="19"/>
      <c r="CB348" s="19"/>
      <c r="CC348" s="19">
        <f>IF(ISNUMBER(CC344),SUM(CC344:CC347),"")</f>
        <v>9549.4000000000015</v>
      </c>
      <c r="CD348" s="19"/>
      <c r="CE348" s="19"/>
      <c r="CF348" s="19"/>
      <c r="CG348" s="19"/>
      <c r="CH348" s="19"/>
      <c r="CI348" s="19">
        <f>IF(ISNUMBER(CI344),SUM(CI344:CI347),"")</f>
        <v>10513.9</v>
      </c>
      <c r="CJ348" s="19"/>
      <c r="CK348" s="19"/>
      <c r="CL348" s="19">
        <f>IF(ISNUMBER(CL344),SUM(CL344:CL347),"")</f>
        <v>10918.5</v>
      </c>
      <c r="CM348" s="21"/>
      <c r="CN348" s="21"/>
      <c r="CO348" s="21">
        <f>SUM(CO344:CO347)</f>
        <v>11576.019864743792</v>
      </c>
      <c r="CP348" s="21">
        <f>SUM(CP344:CP347)</f>
        <v>11395.460404070911</v>
      </c>
      <c r="CQ348" s="21">
        <f>SUM(CQ344:CQ347)</f>
        <v>12073.29478134306</v>
      </c>
      <c r="CR348" s="21">
        <f>SUM(CR344:CR347)</f>
        <v>12758.421363210322</v>
      </c>
      <c r="CS348" s="21">
        <f>SUM(CS344:CS347)</f>
        <v>13440.651519336796</v>
      </c>
      <c r="CT348" s="22"/>
      <c r="CV348" s="6"/>
      <c r="CW348" s="6"/>
      <c r="CX348" s="6"/>
      <c r="CY348" s="6"/>
    </row>
    <row r="349" spans="2:103" ht="15" customHeight="1" x14ac:dyDescent="0.25">
      <c r="B349" s="12" t="s">
        <v>491</v>
      </c>
      <c r="C349" s="29"/>
      <c r="D349" s="29"/>
      <c r="E349" s="30">
        <v>1.1000000000000001</v>
      </c>
      <c r="F349" s="30">
        <v>0.9</v>
      </c>
      <c r="G349" s="30">
        <v>1</v>
      </c>
      <c r="H349" s="30">
        <v>4.8</v>
      </c>
      <c r="I349" s="30">
        <v>55.6</v>
      </c>
      <c r="J349" s="29"/>
      <c r="K349" s="29"/>
      <c r="L349" s="29"/>
      <c r="M349" s="29"/>
      <c r="N349" s="29"/>
      <c r="O349" s="30">
        <v>47</v>
      </c>
      <c r="P349" s="29"/>
      <c r="Q349" s="29"/>
      <c r="R349" s="29"/>
      <c r="S349" s="29"/>
      <c r="T349" s="29"/>
      <c r="U349" s="30">
        <v>41.2</v>
      </c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31"/>
      <c r="CN349" s="31"/>
      <c r="CO349" s="31">
        <f>CI349+CO170</f>
        <v>0</v>
      </c>
      <c r="CP349" s="31">
        <f>CO349+CP170</f>
        <v>0</v>
      </c>
      <c r="CQ349" s="31">
        <f>CP349+CQ170</f>
        <v>0</v>
      </c>
      <c r="CR349" s="31">
        <f>CQ349+CR170</f>
        <v>0</v>
      </c>
      <c r="CS349" s="31">
        <f>CR349+CS170</f>
        <v>0</v>
      </c>
      <c r="CT349" s="22"/>
      <c r="CV349" s="6"/>
      <c r="CW349" s="6"/>
      <c r="CX349" s="6"/>
      <c r="CY349" s="6"/>
    </row>
    <row r="350" spans="2:103" ht="15" customHeight="1" x14ac:dyDescent="0.25">
      <c r="B350" s="33" t="s">
        <v>492</v>
      </c>
      <c r="C350" s="34">
        <f t="shared" ref="C350:I350" si="342">IF(ISNUMBER(C348),C348+N(C349),"")</f>
        <v>431.8</v>
      </c>
      <c r="D350" s="34">
        <f t="shared" si="342"/>
        <v>530.20000000000005</v>
      </c>
      <c r="E350" s="34">
        <f t="shared" si="342"/>
        <v>506.90000000000003</v>
      </c>
      <c r="F350" s="34">
        <f t="shared" si="342"/>
        <v>667.4</v>
      </c>
      <c r="G350" s="34">
        <f t="shared" si="342"/>
        <v>787</v>
      </c>
      <c r="H350" s="34">
        <f t="shared" si="342"/>
        <v>984.1</v>
      </c>
      <c r="I350" s="34">
        <f t="shared" si="342"/>
        <v>1203.4000000000001</v>
      </c>
      <c r="J350" s="19"/>
      <c r="K350" s="19"/>
      <c r="L350" s="19"/>
      <c r="M350" s="19"/>
      <c r="N350" s="19"/>
      <c r="O350" s="34">
        <f>IF(ISNUMBER(O348),O348+N(O349),"")</f>
        <v>1518.7</v>
      </c>
      <c r="P350" s="19"/>
      <c r="Q350" s="19"/>
      <c r="R350" s="19"/>
      <c r="S350" s="19"/>
      <c r="T350" s="19"/>
      <c r="U350" s="34">
        <f>IF(ISNUMBER(U348),U348+N(U349),"")</f>
        <v>1468.5</v>
      </c>
      <c r="V350" s="19"/>
      <c r="W350" s="19"/>
      <c r="X350" s="19"/>
      <c r="Y350" s="19"/>
      <c r="Z350" s="19"/>
      <c r="AA350" s="34">
        <f>IF(ISNUMBER(AA348),AA348+N(AA349),"")</f>
        <v>1344.0999999999997</v>
      </c>
      <c r="AB350" s="19"/>
      <c r="AC350" s="19"/>
      <c r="AD350" s="19"/>
      <c r="AE350" s="19"/>
      <c r="AF350" s="19"/>
      <c r="AG350" s="34">
        <f>IF(ISNUMBER(AG348),AG348+N(AG349),"")</f>
        <v>1554.3999999999999</v>
      </c>
      <c r="AH350" s="19"/>
      <c r="AI350" s="19"/>
      <c r="AJ350" s="19"/>
      <c r="AK350" s="19"/>
      <c r="AL350" s="19"/>
      <c r="AM350" s="34">
        <f>IF(ISNUMBER(AM348),AM348+N(AM349),"")</f>
        <v>1947.3</v>
      </c>
      <c r="AN350" s="19"/>
      <c r="AO350" s="19"/>
      <c r="AP350" s="19"/>
      <c r="AQ350" s="19"/>
      <c r="AR350" s="19"/>
      <c r="AS350" s="34">
        <f>IF(ISNUMBER(AS348),AS348+N(AS349),"")</f>
        <v>2229.6999999999998</v>
      </c>
      <c r="AT350" s="19"/>
      <c r="AU350" s="19"/>
      <c r="AV350" s="19"/>
      <c r="AW350" s="19"/>
      <c r="AX350" s="19"/>
      <c r="AY350" s="34">
        <f>IF(ISNUMBER(AY348),AY348+N(AY349),"")</f>
        <v>2714.7</v>
      </c>
      <c r="AZ350" s="19"/>
      <c r="BA350" s="19"/>
      <c r="BB350" s="19"/>
      <c r="BC350" s="19"/>
      <c r="BD350" s="19"/>
      <c r="BE350" s="34">
        <f>IF(ISNUMBER(BE348),BE348+N(BE349),"")</f>
        <v>3228.6000000000004</v>
      </c>
      <c r="BF350" s="19"/>
      <c r="BG350" s="19"/>
      <c r="BH350" s="19"/>
      <c r="BI350" s="19"/>
      <c r="BJ350" s="19"/>
      <c r="BK350" s="34">
        <f>IF(ISNUMBER(BK348),BK348+N(BK349),"")</f>
        <v>7622</v>
      </c>
      <c r="BL350" s="19"/>
      <c r="BM350" s="19"/>
      <c r="BN350" s="19"/>
      <c r="BO350" s="19"/>
      <c r="BP350" s="19"/>
      <c r="BQ350" s="34">
        <f>IF(ISNUMBER(BQ348),BQ348+N(BQ349),"")</f>
        <v>8169.2000000000007</v>
      </c>
      <c r="BR350" s="19"/>
      <c r="BS350" s="19"/>
      <c r="BT350" s="19"/>
      <c r="BU350" s="19"/>
      <c r="BV350" s="19"/>
      <c r="BW350" s="34">
        <f>IF(ISNUMBER(BW348),BW348+N(BW349),"")</f>
        <v>9221.1999999999989</v>
      </c>
      <c r="BX350" s="19"/>
      <c r="BY350" s="19"/>
      <c r="BZ350" s="19"/>
      <c r="CA350" s="19"/>
      <c r="CB350" s="19"/>
      <c r="CC350" s="34">
        <f>IF(ISNUMBER(CC348),CC348+N(CC349),"")</f>
        <v>9549.4000000000015</v>
      </c>
      <c r="CD350" s="19"/>
      <c r="CE350" s="19"/>
      <c r="CF350" s="19"/>
      <c r="CG350" s="19"/>
      <c r="CH350" s="19"/>
      <c r="CI350" s="34">
        <f>IF(ISNUMBER(CI348),CI348+N(CI349),"")</f>
        <v>10513.9</v>
      </c>
      <c r="CJ350" s="19"/>
      <c r="CK350" s="19"/>
      <c r="CL350" s="19">
        <f>IF(ISNUMBER(CL348),CL348+N(CL349),"")</f>
        <v>10918.5</v>
      </c>
      <c r="CM350" s="34"/>
      <c r="CN350" s="34"/>
      <c r="CO350" s="34">
        <f>CO348+CO349</f>
        <v>11576.019864743792</v>
      </c>
      <c r="CP350" s="34">
        <f>CP348+CP349</f>
        <v>11395.460404070911</v>
      </c>
      <c r="CQ350" s="34">
        <f>CQ348+CQ349</f>
        <v>12073.29478134306</v>
      </c>
      <c r="CR350" s="34">
        <f>CR348+CR349</f>
        <v>12758.421363210322</v>
      </c>
      <c r="CS350" s="34">
        <f>CS348+CS349</f>
        <v>13440.651519336796</v>
      </c>
      <c r="CT350" s="22"/>
      <c r="CV350" s="6"/>
      <c r="CW350" s="6"/>
      <c r="CX350" s="6"/>
      <c r="CY350" s="6"/>
    </row>
    <row r="351" spans="2:103" ht="15" customHeight="1" x14ac:dyDescent="0.25">
      <c r="B351" s="33" t="s">
        <v>493</v>
      </c>
      <c r="C351" s="34">
        <f t="shared" ref="C351:I351" si="343">IF(ISNUMBER(C341),C341+N(C342)+C350,"")</f>
        <v>1061.3999999999999</v>
      </c>
      <c r="D351" s="34">
        <f t="shared" si="343"/>
        <v>1159.4000000000001</v>
      </c>
      <c r="E351" s="34">
        <f t="shared" si="343"/>
        <v>1534.5000000000002</v>
      </c>
      <c r="F351" s="34">
        <f t="shared" si="343"/>
        <v>1421.5</v>
      </c>
      <c r="G351" s="34">
        <f t="shared" si="343"/>
        <v>1557.8</v>
      </c>
      <c r="H351" s="34">
        <f t="shared" si="343"/>
        <v>1826.1</v>
      </c>
      <c r="I351" s="34">
        <f t="shared" si="343"/>
        <v>2406.4</v>
      </c>
      <c r="J351" s="19"/>
      <c r="K351" s="19"/>
      <c r="L351" s="19"/>
      <c r="M351" s="19"/>
      <c r="N351" s="19"/>
      <c r="O351" s="34">
        <f>IF(ISNUMBER(O341),O341+N(O342)+O350,"")</f>
        <v>2751.1000000000004</v>
      </c>
      <c r="P351" s="19"/>
      <c r="Q351" s="19"/>
      <c r="R351" s="19"/>
      <c r="S351" s="19"/>
      <c r="T351" s="19"/>
      <c r="U351" s="34">
        <f>IF(ISNUMBER(U341),U341+N(U342)+U350,"")</f>
        <v>2862.2</v>
      </c>
      <c r="V351" s="19"/>
      <c r="W351" s="19"/>
      <c r="X351" s="19"/>
      <c r="Y351" s="19"/>
      <c r="Z351" s="19"/>
      <c r="AA351" s="34">
        <f>IF(ISNUMBER(AA341),AA341+N(AA342)+AA350,"")</f>
        <v>2717.0999999999995</v>
      </c>
      <c r="AB351" s="19"/>
      <c r="AC351" s="19"/>
      <c r="AD351" s="19"/>
      <c r="AE351" s="19"/>
      <c r="AF351" s="19"/>
      <c r="AG351" s="34">
        <f>IF(ISNUMBER(AG341),AG341+N(AG342)+AG350,"")</f>
        <v>2774.3999999999996</v>
      </c>
      <c r="AH351" s="19"/>
      <c r="AI351" s="19"/>
      <c r="AJ351" s="19"/>
      <c r="AK351" s="19"/>
      <c r="AL351" s="19"/>
      <c r="AM351" s="34">
        <f>IF(ISNUMBER(AM341),AM341+N(AM342)+AM350,"")</f>
        <v>3846.3999999999996</v>
      </c>
      <c r="AN351" s="19"/>
      <c r="AO351" s="19"/>
      <c r="AP351" s="19"/>
      <c r="AQ351" s="19"/>
      <c r="AR351" s="19"/>
      <c r="AS351" s="34">
        <f>IF(ISNUMBER(AS341),AS341+N(AS342)+AS350,"")</f>
        <v>3809.2999999999997</v>
      </c>
      <c r="AT351" s="19"/>
      <c r="AU351" s="19"/>
      <c r="AV351" s="19"/>
      <c r="AW351" s="19"/>
      <c r="AX351" s="19"/>
      <c r="AY351" s="34">
        <f>IF(ISNUMBER(AY341),AY341+N(AY342)+AY350,"")</f>
        <v>4579.7999999999993</v>
      </c>
      <c r="AZ351" s="19"/>
      <c r="BA351" s="19"/>
      <c r="BB351" s="19"/>
      <c r="BC351" s="19"/>
      <c r="BD351" s="19"/>
      <c r="BE351" s="34">
        <f>IF(ISNUMBER(BE341),BE341+N(BE342)+BE350,"")</f>
        <v>5084.8</v>
      </c>
      <c r="BF351" s="19"/>
      <c r="BG351" s="19"/>
      <c r="BH351" s="19"/>
      <c r="BI351" s="19"/>
      <c r="BJ351" s="19"/>
      <c r="BK351" s="34">
        <f>IF(ISNUMBER(BK341),BK341+N(BK342)+BK350,"")</f>
        <v>14430.3</v>
      </c>
      <c r="BL351" s="19"/>
      <c r="BM351" s="19"/>
      <c r="BN351" s="19"/>
      <c r="BO351" s="19"/>
      <c r="BP351" s="19"/>
      <c r="BQ351" s="34">
        <f>IF(ISNUMBER(BQ341),BQ341+N(BQ342)+BQ350,"")</f>
        <v>14354</v>
      </c>
      <c r="BR351" s="19"/>
      <c r="BS351" s="19"/>
      <c r="BT351" s="19"/>
      <c r="BU351" s="19"/>
      <c r="BV351" s="19"/>
      <c r="BW351" s="34">
        <f>IF(ISNUMBER(BW341),BW341+N(BW342)+BW350,"")</f>
        <v>14527.9</v>
      </c>
      <c r="BX351" s="19"/>
      <c r="BY351" s="19"/>
      <c r="BZ351" s="19"/>
      <c r="CA351" s="19"/>
      <c r="CB351" s="19"/>
      <c r="CC351" s="34">
        <f>IF(ISNUMBER(CC341),CC341+N(CC342)+CC350,"")</f>
        <v>14200.500000000002</v>
      </c>
      <c r="CD351" s="19"/>
      <c r="CE351" s="19"/>
      <c r="CF351" s="19"/>
      <c r="CG351" s="19"/>
      <c r="CH351" s="19"/>
      <c r="CI351" s="34">
        <f>IF(ISNUMBER(CI341),CI341+N(CI342)+CI350,"")</f>
        <v>15285.3</v>
      </c>
      <c r="CJ351" s="19"/>
      <c r="CK351" s="19"/>
      <c r="CL351" s="19">
        <f>IF(ISNUMBER(CL341),CL341+N(CL342)+CL350,"")</f>
        <v>15280.4</v>
      </c>
      <c r="CM351" s="34"/>
      <c r="CN351" s="34"/>
      <c r="CO351" s="34">
        <f>CO341+CO342+CO350</f>
        <v>16017.334469503803</v>
      </c>
      <c r="CP351" s="34">
        <f>CP341+CP342+CP350</f>
        <v>16036.552570742868</v>
      </c>
      <c r="CQ351" s="34">
        <f>CQ341+CQ342+CQ350</f>
        <v>17040.678146504921</v>
      </c>
      <c r="CR351" s="34">
        <f>CR341+CR342+CR350</f>
        <v>18076.556806825531</v>
      </c>
      <c r="CS351" s="34">
        <f>CS341+CS342+CS350</f>
        <v>19134.129032927365</v>
      </c>
      <c r="CT351" s="22"/>
      <c r="CV351" s="6"/>
      <c r="CW351" s="6"/>
      <c r="CX351" s="6"/>
      <c r="CY351" s="6"/>
    </row>
    <row r="352" spans="2:103" ht="15" hidden="1" customHeight="1" outlineLevel="1" x14ac:dyDescent="0.25">
      <c r="B352" s="12"/>
      <c r="CM352" s="6"/>
      <c r="CN352" s="6"/>
      <c r="CO352" s="6"/>
      <c r="CP352" s="6"/>
      <c r="CQ352" s="6"/>
      <c r="CR352" s="6"/>
      <c r="CS352" s="6"/>
      <c r="CT352" s="6"/>
    </row>
    <row r="353" spans="2:103" ht="15" hidden="1" customHeight="1" outlineLevel="1" x14ac:dyDescent="0.25">
      <c r="B353" s="38" t="s">
        <v>494</v>
      </c>
      <c r="C353" s="29">
        <f t="shared" ref="C353:I353" si="344">IF(ISNUMBER(C326),ROUND(C326-C351,1),"")</f>
        <v>0</v>
      </c>
      <c r="D353" s="29">
        <f t="shared" si="344"/>
        <v>0</v>
      </c>
      <c r="E353" s="29">
        <f t="shared" si="344"/>
        <v>0</v>
      </c>
      <c r="F353" s="29">
        <f t="shared" si="344"/>
        <v>0</v>
      </c>
      <c r="G353" s="29">
        <f t="shared" si="344"/>
        <v>0</v>
      </c>
      <c r="H353" s="29">
        <f t="shared" si="344"/>
        <v>0</v>
      </c>
      <c r="I353" s="29">
        <f t="shared" si="344"/>
        <v>0</v>
      </c>
      <c r="J353" s="29"/>
      <c r="K353" s="29"/>
      <c r="L353" s="29"/>
      <c r="M353" s="29"/>
      <c r="N353" s="29"/>
      <c r="O353" s="29">
        <f>IF(ISNUMBER(O326),ROUND(O326-O351,1),"")</f>
        <v>0</v>
      </c>
      <c r="P353" s="29"/>
      <c r="Q353" s="29"/>
      <c r="R353" s="29"/>
      <c r="S353" s="29"/>
      <c r="T353" s="29"/>
      <c r="U353" s="29">
        <f>IF(ISNUMBER(U326),ROUND(U326-U351,1),"")</f>
        <v>0</v>
      </c>
      <c r="V353" s="29"/>
      <c r="W353" s="29"/>
      <c r="X353" s="29"/>
      <c r="Y353" s="29"/>
      <c r="Z353" s="29"/>
      <c r="AA353" s="29">
        <f>IF(ISNUMBER(AA326),ROUND(AA326-AA351,1),"")</f>
        <v>0</v>
      </c>
      <c r="AB353" s="29"/>
      <c r="AC353" s="29"/>
      <c r="AD353" s="29"/>
      <c r="AE353" s="29"/>
      <c r="AF353" s="29"/>
      <c r="AG353" s="29">
        <f>IF(ISNUMBER(AG326),ROUND(AG326-AG351,1),"")</f>
        <v>0</v>
      </c>
      <c r="AH353" s="29"/>
      <c r="AI353" s="29"/>
      <c r="AJ353" s="29"/>
      <c r="AK353" s="29"/>
      <c r="AL353" s="29"/>
      <c r="AM353" s="29">
        <f>IF(ISNUMBER(AM326),ROUND(AM326-AM351,1),"")</f>
        <v>0</v>
      </c>
      <c r="AN353" s="29"/>
      <c r="AO353" s="29"/>
      <c r="AP353" s="29"/>
      <c r="AQ353" s="29"/>
      <c r="AR353" s="29"/>
      <c r="AS353" s="29">
        <f>IF(ISNUMBER(AS326),ROUND(AS326-AS351,1),"")</f>
        <v>0</v>
      </c>
      <c r="AT353" s="29"/>
      <c r="AU353" s="29"/>
      <c r="AV353" s="29"/>
      <c r="AW353" s="29"/>
      <c r="AX353" s="29"/>
      <c r="AY353" s="29">
        <f>IF(ISNUMBER(AY326),ROUND(AY326-AY351,1),"")</f>
        <v>0</v>
      </c>
      <c r="AZ353" s="29"/>
      <c r="BA353" s="29"/>
      <c r="BB353" s="29"/>
      <c r="BC353" s="29"/>
      <c r="BD353" s="29"/>
      <c r="BE353" s="29">
        <f>IF(ISNUMBER(BE326),ROUND(BE326-BE351,1),"")</f>
        <v>0</v>
      </c>
      <c r="BF353" s="29"/>
      <c r="BG353" s="29"/>
      <c r="BH353" s="29"/>
      <c r="BI353" s="29"/>
      <c r="BJ353" s="29"/>
      <c r="BK353" s="29">
        <f>IF(ISNUMBER(BK326),ROUND(BK326-BK351,1),"")</f>
        <v>0</v>
      </c>
      <c r="BL353" s="29"/>
      <c r="BM353" s="29"/>
      <c r="BN353" s="29"/>
      <c r="BO353" s="29"/>
      <c r="BP353" s="29"/>
      <c r="BQ353" s="29">
        <f>IF(ISNUMBER(BQ326),ROUND(BQ326-BQ351,1),"")</f>
        <v>0</v>
      </c>
      <c r="BR353" s="29"/>
      <c r="BS353" s="29"/>
      <c r="BT353" s="29"/>
      <c r="BU353" s="29"/>
      <c r="BV353" s="29"/>
      <c r="BW353" s="29">
        <f>IF(ISNUMBER(BW326),ROUND(BW326-BW351,1),"")</f>
        <v>0</v>
      </c>
      <c r="BX353" s="29"/>
      <c r="BY353" s="29"/>
      <c r="BZ353" s="29"/>
      <c r="CA353" s="29"/>
      <c r="CB353" s="29"/>
      <c r="CC353" s="29">
        <f>IF(ISNUMBER(CC326),ROUND(CC326-CC351,1),"")</f>
        <v>0</v>
      </c>
      <c r="CD353" s="29"/>
      <c r="CE353" s="29"/>
      <c r="CF353" s="29"/>
      <c r="CG353" s="29"/>
      <c r="CH353" s="29"/>
      <c r="CI353" s="29">
        <f>IF(ISNUMBER(CI326),ROUND(CI326-CI351,1),"")</f>
        <v>0</v>
      </c>
      <c r="CJ353" s="29"/>
      <c r="CK353" s="29"/>
      <c r="CL353" s="29">
        <f>IF(ISNUMBER(CL326),ROUND(CL326-CL351,1),"")</f>
        <v>0</v>
      </c>
      <c r="CM353" s="31"/>
      <c r="CN353" s="31"/>
      <c r="CO353" s="31">
        <f>ROUND(CO326-CO351,1)</f>
        <v>0</v>
      </c>
      <c r="CP353" s="31">
        <f>ROUND(CP326-CP351,1)</f>
        <v>0</v>
      </c>
      <c r="CQ353" s="31">
        <f>ROUND(CQ326-CQ351,1)</f>
        <v>0</v>
      </c>
      <c r="CR353" s="31">
        <f>ROUND(CR326-CR351,1)</f>
        <v>0</v>
      </c>
      <c r="CS353" s="31">
        <f>ROUND(CS326-CS351,1)</f>
        <v>0</v>
      </c>
      <c r="CT353" s="22"/>
      <c r="CV353" s="6"/>
      <c r="CW353" s="6"/>
      <c r="CX353" s="6"/>
      <c r="CY353" s="6"/>
    </row>
    <row r="354" spans="2:103" ht="15" hidden="1" customHeight="1" outlineLevel="1" x14ac:dyDescent="0.25">
      <c r="B354" s="38" t="s">
        <v>495</v>
      </c>
      <c r="C354" s="29">
        <f t="shared" ref="C354:I354" si="345">IF(ISNUMBER(C355),ROUND(C326-C355,1),"")</f>
        <v>0</v>
      </c>
      <c r="D354" s="29">
        <f t="shared" si="345"/>
        <v>0</v>
      </c>
      <c r="E354" s="29">
        <f t="shared" si="345"/>
        <v>0</v>
      </c>
      <c r="F354" s="29">
        <f t="shared" si="345"/>
        <v>0</v>
      </c>
      <c r="G354" s="29">
        <f t="shared" si="345"/>
        <v>0</v>
      </c>
      <c r="H354" s="29">
        <f t="shared" si="345"/>
        <v>0</v>
      </c>
      <c r="I354" s="29">
        <f t="shared" si="345"/>
        <v>0</v>
      </c>
      <c r="J354" s="29"/>
      <c r="K354" s="29"/>
      <c r="L354" s="29"/>
      <c r="M354" s="29"/>
      <c r="N354" s="29"/>
      <c r="O354" s="29">
        <f>IF(ISNUMBER(O355),ROUND(O326-O355,1),"")</f>
        <v>0</v>
      </c>
      <c r="P354" s="29"/>
      <c r="Q354" s="29"/>
      <c r="R354" s="29"/>
      <c r="S354" s="29"/>
      <c r="T354" s="29"/>
      <c r="U354" s="29">
        <f>IF(ISNUMBER(U355),ROUND(U326-U355,1),"")</f>
        <v>0</v>
      </c>
      <c r="V354" s="29"/>
      <c r="W354" s="29"/>
      <c r="X354" s="29"/>
      <c r="Y354" s="29"/>
      <c r="Z354" s="29"/>
      <c r="AA354" s="29">
        <f>IF(ISNUMBER(AA355),ROUND(AA326-AA355,1),"")</f>
        <v>0</v>
      </c>
      <c r="AB354" s="29"/>
      <c r="AC354" s="29"/>
      <c r="AD354" s="29"/>
      <c r="AE354" s="29"/>
      <c r="AF354" s="29"/>
      <c r="AG354" s="29">
        <f>IF(ISNUMBER(AG355),ROUND(AG326-AG355,1),"")</f>
        <v>0</v>
      </c>
      <c r="AH354" s="29"/>
      <c r="AI354" s="29"/>
      <c r="AJ354" s="29"/>
      <c r="AK354" s="29"/>
      <c r="AL354" s="29"/>
      <c r="AM354" s="29">
        <f>IF(ISNUMBER(AM355),ROUND(AM326-AM355,1),"")</f>
        <v>0</v>
      </c>
      <c r="AN354" s="29"/>
      <c r="AO354" s="29"/>
      <c r="AP354" s="29"/>
      <c r="AQ354" s="29"/>
      <c r="AR354" s="29"/>
      <c r="AS354" s="29">
        <f>IF(ISNUMBER(AS355),ROUND(AS326-AS355,1),"")</f>
        <v>0</v>
      </c>
      <c r="AT354" s="29"/>
      <c r="AU354" s="29"/>
      <c r="AV354" s="29"/>
      <c r="AW354" s="29"/>
      <c r="AX354" s="29"/>
      <c r="AY354" s="29">
        <f>IF(ISNUMBER(AY355),ROUND(AY326-AY355,1),"")</f>
        <v>0</v>
      </c>
      <c r="AZ354" s="29"/>
      <c r="BA354" s="29"/>
      <c r="BB354" s="29"/>
      <c r="BC354" s="29"/>
      <c r="BD354" s="29"/>
      <c r="BE354" s="29">
        <f>IF(ISNUMBER(BE355),ROUND(BE326-BE355,1),"")</f>
        <v>0</v>
      </c>
      <c r="BF354" s="29"/>
      <c r="BG354" s="29"/>
      <c r="BH354" s="29"/>
      <c r="BI354" s="29"/>
      <c r="BJ354" s="29"/>
      <c r="BK354" s="29">
        <f>IF(ISNUMBER(BK355),ROUND(BK326-BK355,1),"")</f>
        <v>0</v>
      </c>
      <c r="BL354" s="29"/>
      <c r="BM354" s="29"/>
      <c r="BN354" s="29"/>
      <c r="BO354" s="29"/>
      <c r="BP354" s="29"/>
      <c r="BQ354" s="29">
        <f>IF(ISNUMBER(BQ355),ROUND(BQ326-BQ355,1),"")</f>
        <v>0</v>
      </c>
      <c r="BR354" s="29"/>
      <c r="BS354" s="29"/>
      <c r="BT354" s="29"/>
      <c r="BU354" s="29"/>
      <c r="BV354" s="29"/>
      <c r="BW354" s="29">
        <f>IF(ISNUMBER(BW355),ROUND(BW326-BW355,1),"")</f>
        <v>0</v>
      </c>
      <c r="BX354" s="29"/>
      <c r="BY354" s="29"/>
      <c r="BZ354" s="29"/>
      <c r="CA354" s="29"/>
      <c r="CB354" s="29"/>
      <c r="CC354" s="29">
        <f>IF(ISNUMBER(CC355),ROUND(CC326-CC355,1),"")</f>
        <v>0</v>
      </c>
      <c r="CD354" s="29"/>
      <c r="CE354" s="29"/>
      <c r="CF354" s="29"/>
      <c r="CG354" s="29"/>
      <c r="CH354" s="29"/>
      <c r="CI354" s="29">
        <f>IF(ISNUMBER(CI355),ROUND(CI326-CI355,1),"")</f>
        <v>0</v>
      </c>
      <c r="CJ354" s="29"/>
      <c r="CK354" s="29"/>
      <c r="CL354" s="29">
        <f>IF(ISNUMBER(CL355),ROUND(CL326-CL355,1),"")</f>
        <v>0</v>
      </c>
      <c r="CM354" s="31"/>
      <c r="CN354" s="31"/>
      <c r="CO354" s="31"/>
      <c r="CP354" s="31"/>
      <c r="CQ354" s="31"/>
      <c r="CR354" s="31"/>
      <c r="CS354" s="31"/>
      <c r="CT354" s="22"/>
      <c r="CV354" s="6"/>
      <c r="CW354" s="6"/>
      <c r="CX354" s="6"/>
      <c r="CY354" s="6"/>
    </row>
    <row r="355" spans="2:103" ht="15" hidden="1" customHeight="1" outlineLevel="1" x14ac:dyDescent="0.25">
      <c r="B355" s="36" t="s">
        <v>496</v>
      </c>
      <c r="C355" s="30">
        <v>1061.4000000000001</v>
      </c>
      <c r="D355" s="30">
        <v>1159.4000000000001</v>
      </c>
      <c r="E355" s="30">
        <v>1534.5</v>
      </c>
      <c r="F355" s="30">
        <v>1421.5</v>
      </c>
      <c r="G355" s="30">
        <v>1557.8</v>
      </c>
      <c r="H355" s="30">
        <v>1826.1</v>
      </c>
      <c r="I355" s="30">
        <v>2406.4</v>
      </c>
      <c r="J355" s="29"/>
      <c r="K355" s="29"/>
      <c r="L355" s="29"/>
      <c r="M355" s="29"/>
      <c r="N355" s="29"/>
      <c r="O355" s="30">
        <v>2751.1</v>
      </c>
      <c r="P355" s="29"/>
      <c r="Q355" s="29"/>
      <c r="R355" s="29"/>
      <c r="S355" s="29"/>
      <c r="T355" s="29"/>
      <c r="U355" s="30">
        <v>2862.2</v>
      </c>
      <c r="V355" s="29"/>
      <c r="W355" s="29"/>
      <c r="X355" s="29"/>
      <c r="Y355" s="29"/>
      <c r="Z355" s="29"/>
      <c r="AA355" s="30">
        <v>2717.1</v>
      </c>
      <c r="AB355" s="29"/>
      <c r="AC355" s="29"/>
      <c r="AD355" s="29"/>
      <c r="AE355" s="29"/>
      <c r="AF355" s="29"/>
      <c r="AG355" s="30">
        <v>2774.4</v>
      </c>
      <c r="AH355" s="29"/>
      <c r="AI355" s="29"/>
      <c r="AJ355" s="29"/>
      <c r="AK355" s="29"/>
      <c r="AL355" s="29"/>
      <c r="AM355" s="30">
        <v>3846.4</v>
      </c>
      <c r="AN355" s="29"/>
      <c r="AO355" s="29"/>
      <c r="AP355" s="29"/>
      <c r="AQ355" s="29"/>
      <c r="AR355" s="29"/>
      <c r="AS355" s="30">
        <v>3809.3</v>
      </c>
      <c r="AT355" s="29"/>
      <c r="AU355" s="29"/>
      <c r="AV355" s="29"/>
      <c r="AW355" s="29"/>
      <c r="AX355" s="29"/>
      <c r="AY355" s="30">
        <v>4579.8</v>
      </c>
      <c r="AZ355" s="29"/>
      <c r="BA355" s="29"/>
      <c r="BB355" s="29"/>
      <c r="BC355" s="29"/>
      <c r="BD355" s="29"/>
      <c r="BE355" s="30">
        <v>5084.8</v>
      </c>
      <c r="BF355" s="29"/>
      <c r="BG355" s="29"/>
      <c r="BH355" s="29"/>
      <c r="BI355" s="29"/>
      <c r="BJ355" s="29"/>
      <c r="BK355" s="30">
        <v>14430.3</v>
      </c>
      <c r="BL355" s="29"/>
      <c r="BM355" s="29"/>
      <c r="BN355" s="29"/>
      <c r="BO355" s="29"/>
      <c r="BP355" s="29"/>
      <c r="BQ355" s="30">
        <v>14354</v>
      </c>
      <c r="BR355" s="29"/>
      <c r="BS355" s="29"/>
      <c r="BT355" s="29"/>
      <c r="BU355" s="29"/>
      <c r="BV355" s="29"/>
      <c r="BW355" s="30">
        <v>14527.9</v>
      </c>
      <c r="BX355" s="29"/>
      <c r="BY355" s="29"/>
      <c r="BZ355" s="29"/>
      <c r="CA355" s="29"/>
      <c r="CB355" s="29"/>
      <c r="CC355" s="30">
        <v>14200.5</v>
      </c>
      <c r="CD355" s="29"/>
      <c r="CE355" s="29"/>
      <c r="CF355" s="29"/>
      <c r="CG355" s="29"/>
      <c r="CH355" s="29"/>
      <c r="CI355" s="30">
        <v>15285.3</v>
      </c>
      <c r="CJ355" s="29"/>
      <c r="CK355" s="29"/>
      <c r="CL355" s="30">
        <v>15280.4</v>
      </c>
      <c r="CM355" s="31"/>
      <c r="CN355" s="31"/>
      <c r="CO355" s="31"/>
      <c r="CP355" s="31"/>
      <c r="CQ355" s="31"/>
      <c r="CR355" s="31"/>
      <c r="CS355" s="31"/>
      <c r="CT355" s="22"/>
      <c r="CV355" s="6"/>
      <c r="CW355" s="6"/>
      <c r="CX355" s="6"/>
      <c r="CY355" s="6"/>
    </row>
    <row r="356" spans="2:103" ht="15" hidden="1" customHeight="1" outlineLevel="1" x14ac:dyDescent="0.25">
      <c r="B356" s="38" t="s">
        <v>497</v>
      </c>
      <c r="C356" s="29">
        <f t="shared" ref="C356:I356" si="346">IF(AND(ISNUMBER(C315),ISNUMBER(C287)),ROUND(C315-C287,1),"")</f>
        <v>0</v>
      </c>
      <c r="D356" s="29">
        <f t="shared" si="346"/>
        <v>0</v>
      </c>
      <c r="E356" s="29">
        <f t="shared" si="346"/>
        <v>0</v>
      </c>
      <c r="F356" s="29">
        <f t="shared" si="346"/>
        <v>0</v>
      </c>
      <c r="G356" s="29">
        <f t="shared" si="346"/>
        <v>0</v>
      </c>
      <c r="H356" s="29">
        <f t="shared" si="346"/>
        <v>0</v>
      </c>
      <c r="I356" s="29">
        <f t="shared" si="346"/>
        <v>0</v>
      </c>
      <c r="J356" s="29"/>
      <c r="K356" s="29"/>
      <c r="L356" s="29"/>
      <c r="M356" s="29"/>
      <c r="N356" s="29"/>
      <c r="O356" s="29">
        <f>IF(AND(ISNUMBER(O315),ISNUMBER(O287)),ROUND(O315-O287,1),"")</f>
        <v>0</v>
      </c>
      <c r="P356" s="29"/>
      <c r="Q356" s="29"/>
      <c r="R356" s="29"/>
      <c r="S356" s="29"/>
      <c r="T356" s="29"/>
      <c r="U356" s="29">
        <f>IF(AND(ISNUMBER(U315),ISNUMBER(U287)),ROUND(U315-U287,1),"")</f>
        <v>0</v>
      </c>
      <c r="V356" s="29"/>
      <c r="W356" s="29"/>
      <c r="X356" s="29"/>
      <c r="Y356" s="29"/>
      <c r="Z356" s="29"/>
      <c r="AA356" s="29">
        <f>IF(AND(ISNUMBER(AA315),ISNUMBER(AA287)),ROUND(AA315-AA287,1),"")</f>
        <v>0</v>
      </c>
      <c r="AB356" s="29"/>
      <c r="AC356" s="29"/>
      <c r="AD356" s="29"/>
      <c r="AE356" s="29"/>
      <c r="AF356" s="29"/>
      <c r="AG356" s="29">
        <f>IF(AND(ISNUMBER(AG315),ISNUMBER(AG287)),ROUND(AG315-AG287,1),"")</f>
        <v>0</v>
      </c>
      <c r="AH356" s="29"/>
      <c r="AI356" s="29"/>
      <c r="AJ356" s="29"/>
      <c r="AK356" s="29"/>
      <c r="AL356" s="29"/>
      <c r="AM356" s="29">
        <f>IF(AND(ISNUMBER(AM315),ISNUMBER(AM287)),ROUND(AM315-AM287,1),"")</f>
        <v>0</v>
      </c>
      <c r="AN356" s="29"/>
      <c r="AO356" s="29"/>
      <c r="AP356" s="29"/>
      <c r="AQ356" s="29"/>
      <c r="AR356" s="29"/>
      <c r="AS356" s="29">
        <f>IF(AND(ISNUMBER(AS315),ISNUMBER(AS287)),ROUND(AS315-AS287,1),"")</f>
        <v>0</v>
      </c>
      <c r="AT356" s="29"/>
      <c r="AU356" s="29"/>
      <c r="AV356" s="29"/>
      <c r="AW356" s="29"/>
      <c r="AX356" s="29"/>
      <c r="AY356" s="29">
        <f>IF(AND(ISNUMBER(AY315),ISNUMBER(AY287)),ROUND(AY315-AY287,1),"")</f>
        <v>0</v>
      </c>
      <c r="AZ356" s="29"/>
      <c r="BA356" s="29"/>
      <c r="BB356" s="29"/>
      <c r="BC356" s="29"/>
      <c r="BD356" s="29"/>
      <c r="BE356" s="29">
        <f>IF(AND(ISNUMBER(BE315),ISNUMBER(BE287)),ROUND(BE315-BE287,1),"")</f>
        <v>0</v>
      </c>
      <c r="BF356" s="29"/>
      <c r="BG356" s="29"/>
      <c r="BH356" s="29"/>
      <c r="BI356" s="29"/>
      <c r="BJ356" s="29"/>
      <c r="BK356" s="29">
        <f>IF(AND(ISNUMBER(BK315),ISNUMBER(BK287)),ROUND(BK315-BK287,1),"")</f>
        <v>0</v>
      </c>
      <c r="BL356" s="29"/>
      <c r="BM356" s="29"/>
      <c r="BN356" s="29"/>
      <c r="BO356" s="29"/>
      <c r="BP356" s="29"/>
      <c r="BQ356" s="29">
        <f>IF(AND(ISNUMBER(BQ315),ISNUMBER(BQ287)),ROUND(BQ315-BQ287,1),"")</f>
        <v>0</v>
      </c>
      <c r="BR356" s="29"/>
      <c r="BS356" s="29"/>
      <c r="BT356" s="29"/>
      <c r="BU356" s="29"/>
      <c r="BV356" s="29"/>
      <c r="BW356" s="29">
        <f>IF(AND(ISNUMBER(BW315),ISNUMBER(BW287)),ROUND(BW315-BW287,1),"")</f>
        <v>0</v>
      </c>
      <c r="BX356" s="29"/>
      <c r="BY356" s="29"/>
      <c r="BZ356" s="29"/>
      <c r="CA356" s="29"/>
      <c r="CB356" s="29"/>
      <c r="CC356" s="29">
        <f>IF(AND(ISNUMBER(CC315),ISNUMBER(CC287)),ROUND(CC315-CC287,1),"")</f>
        <v>0</v>
      </c>
      <c r="CD356" s="29"/>
      <c r="CE356" s="29"/>
      <c r="CF356" s="29"/>
      <c r="CG356" s="29"/>
      <c r="CH356" s="29"/>
      <c r="CI356" s="29">
        <f>IF(AND(ISNUMBER(CI315),ISNUMBER(CI287)),ROUND(CI315-CI287,1),"")</f>
        <v>0</v>
      </c>
      <c r="CJ356" s="29"/>
      <c r="CK356" s="29"/>
      <c r="CL356" s="29">
        <f>IF(AND(ISNUMBER(CL315),ISNUMBER(CL287)),ROUND(CL315-CL287,1),"")</f>
        <v>0</v>
      </c>
      <c r="CM356" s="31"/>
      <c r="CN356" s="31"/>
      <c r="CO356" s="31"/>
      <c r="CP356" s="31"/>
      <c r="CQ356" s="31"/>
      <c r="CR356" s="31"/>
      <c r="CS356" s="31"/>
      <c r="CT356" s="22"/>
      <c r="CV356" s="6"/>
      <c r="CW356" s="6"/>
      <c r="CX356" s="6"/>
      <c r="CY356" s="6"/>
    </row>
    <row r="357" spans="2:103" ht="15" hidden="1" customHeight="1" outlineLevel="1" x14ac:dyDescent="0.25">
      <c r="B357" s="36" t="s">
        <v>498</v>
      </c>
      <c r="C357" s="55">
        <v>34.719700000000003</v>
      </c>
      <c r="D357" s="55">
        <v>35.150117000000002</v>
      </c>
      <c r="E357" s="55">
        <v>35.926223999999998</v>
      </c>
      <c r="F357" s="55">
        <v>36.078268999999999</v>
      </c>
      <c r="G357" s="55">
        <v>36.363371999999998</v>
      </c>
      <c r="H357" s="55">
        <v>36.449092</v>
      </c>
      <c r="I357" s="55">
        <v>37.162697000000001</v>
      </c>
      <c r="J357" s="51"/>
      <c r="K357" s="51"/>
      <c r="L357" s="51"/>
      <c r="M357" s="51"/>
      <c r="N357" s="51"/>
      <c r="O357" s="55">
        <v>37.571182</v>
      </c>
      <c r="P357" s="51"/>
      <c r="Q357" s="51"/>
      <c r="R357" s="51"/>
      <c r="S357" s="51"/>
      <c r="T357" s="51"/>
      <c r="U357" s="55">
        <v>36.655583999999998</v>
      </c>
      <c r="V357" s="51"/>
      <c r="W357" s="51"/>
      <c r="X357" s="51"/>
      <c r="Y357" s="51"/>
      <c r="Z357" s="51"/>
      <c r="AA357" s="55">
        <v>34.514598999999997</v>
      </c>
      <c r="AB357" s="51"/>
      <c r="AC357" s="51"/>
      <c r="AD357" s="51"/>
      <c r="AE357" s="51"/>
      <c r="AF357" s="51"/>
      <c r="AG357" s="55">
        <v>35.110762000000001</v>
      </c>
      <c r="AH357" s="51"/>
      <c r="AI357" s="51"/>
      <c r="AJ357" s="51"/>
      <c r="AK357" s="51"/>
      <c r="AL357" s="51"/>
      <c r="AM357" s="55">
        <v>35.540233000000001</v>
      </c>
      <c r="AN357" s="51"/>
      <c r="AO357" s="51"/>
      <c r="AP357" s="51"/>
      <c r="AQ357" s="51"/>
      <c r="AR357" s="51"/>
      <c r="AS357" s="55">
        <v>36.087297</v>
      </c>
      <c r="AT357" s="51"/>
      <c r="AU357" s="51"/>
      <c r="AV357" s="51"/>
      <c r="AW357" s="51"/>
      <c r="AX357" s="51"/>
      <c r="AY357" s="55">
        <v>36.547966000000002</v>
      </c>
      <c r="AZ357" s="51"/>
      <c r="BA357" s="51"/>
      <c r="BB357" s="51"/>
      <c r="BC357" s="51"/>
      <c r="BD357" s="51"/>
      <c r="BE357" s="55">
        <v>36.951607000000003</v>
      </c>
      <c r="BF357" s="51"/>
      <c r="BG357" s="51"/>
      <c r="BH357" s="51"/>
      <c r="BI357" s="51"/>
      <c r="BJ357" s="51"/>
      <c r="BK357" s="55">
        <v>46.692295999999999</v>
      </c>
      <c r="BL357" s="51"/>
      <c r="BM357" s="51"/>
      <c r="BN357" s="51"/>
      <c r="BO357" s="51"/>
      <c r="BP357" s="51"/>
      <c r="BQ357" s="55">
        <v>46.912635000000002</v>
      </c>
      <c r="BR357" s="51"/>
      <c r="BS357" s="51"/>
      <c r="BT357" s="51"/>
      <c r="BU357" s="51"/>
      <c r="BV357" s="51"/>
      <c r="BW357" s="55">
        <v>47.331845000000001</v>
      </c>
      <c r="BX357" s="51"/>
      <c r="BY357" s="51"/>
      <c r="BZ357" s="51"/>
      <c r="CA357" s="51"/>
      <c r="CB357" s="51"/>
      <c r="CC357" s="55">
        <v>46.706612</v>
      </c>
      <c r="CD357" s="51"/>
      <c r="CE357" s="51"/>
      <c r="CF357" s="51"/>
      <c r="CG357" s="51"/>
      <c r="CH357" s="51"/>
      <c r="CI357" s="55">
        <v>46.185578</v>
      </c>
      <c r="CJ357" s="51"/>
      <c r="CK357" s="51"/>
      <c r="CL357" s="55">
        <v>46.355252999999998</v>
      </c>
      <c r="CM357" s="52"/>
      <c r="CN357" s="52"/>
      <c r="CO357" s="52">
        <f>CO307</f>
        <v>46.505252999999996</v>
      </c>
      <c r="CP357" s="52">
        <f>CP307</f>
        <v>44.537209762589448</v>
      </c>
      <c r="CQ357" s="52">
        <f>CQ307</f>
        <v>43.77503196715606</v>
      </c>
      <c r="CR357" s="52">
        <f>CR307</f>
        <v>42.894678771019535</v>
      </c>
      <c r="CS357" s="52">
        <f>CS307</f>
        <v>41.884795246357655</v>
      </c>
      <c r="CT357" s="22"/>
      <c r="CV357" s="6"/>
      <c r="CW357" s="6"/>
      <c r="CX357" s="6"/>
      <c r="CY357" s="6"/>
    </row>
    <row r="358" spans="2:103" ht="15" hidden="1" customHeight="1" outlineLevel="1" x14ac:dyDescent="0.25">
      <c r="B358" s="11" t="s">
        <v>499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 t="s">
        <v>500</v>
      </c>
    </row>
    <row r="359" spans="2:103" ht="15" hidden="1" customHeight="1" outlineLevel="1" x14ac:dyDescent="0.25">
      <c r="B359" s="25" t="s">
        <v>501</v>
      </c>
      <c r="C359" s="64">
        <f>IFERROR(C316/C152*365*IF(LEFT("2006",2)="1H",0.5,1),"n/a")</f>
        <v>57.581984370639127</v>
      </c>
      <c r="D359" s="64">
        <f>IFERROR(D316/D152*365*IF(LEFT("2007",2)="1H",0.5,1),"n/a")</f>
        <v>54.244899217160828</v>
      </c>
      <c r="E359" s="64">
        <f>IFERROR(E316/E152*365*IF(LEFT("2008",2)="1H",0.5,1),"n/a")</f>
        <v>59.646341463414629</v>
      </c>
      <c r="F359" s="64">
        <f>IFERROR(F316/F152*365*IF(LEFT("2009",2)="1H",0.5,1),"n/a")</f>
        <v>50.526905151019918</v>
      </c>
      <c r="G359" s="64">
        <f>IFERROR(G316/G152*365*IF(LEFT("2010",2)="1H",0.5,1),"n/a")</f>
        <v>56.563678384624744</v>
      </c>
      <c r="H359" s="64">
        <f>IFERROR(H316/H152*365*IF(LEFT("2011",2)="1H",0.5,1),"n/a")</f>
        <v>50.749266182604664</v>
      </c>
      <c r="I359" s="64">
        <f>IFERROR(I316/I152*365*IF(LEFT("2012",2)="1H",0.5,1),"n/a")</f>
        <v>60.104122596718845</v>
      </c>
      <c r="J359" s="64"/>
      <c r="K359" s="64"/>
      <c r="L359" s="64"/>
      <c r="M359" s="64"/>
      <c r="N359" s="64"/>
      <c r="O359" s="64">
        <f>IFERROR(O316/O152*365*IF(LEFT("2013",2)="1H",0.5,1),"n/a")</f>
        <v>58.996835713674848</v>
      </c>
      <c r="P359" s="64"/>
      <c r="Q359" s="64"/>
      <c r="R359" s="64"/>
      <c r="S359" s="64"/>
      <c r="T359" s="64"/>
      <c r="U359" s="64">
        <f>IFERROR(U316/U152*365*IF(LEFT("2014",2)="1H",0.5,1),"n/a")</f>
        <v>61.092522974101918</v>
      </c>
      <c r="V359" s="64"/>
      <c r="W359" s="64"/>
      <c r="X359" s="64"/>
      <c r="Y359" s="64"/>
      <c r="Z359" s="64"/>
      <c r="AA359" s="64">
        <f>IFERROR(AA316/AA152*365*IF(LEFT("2015",2)="1H",0.5,1),"n/a")</f>
        <v>59.242417649362515</v>
      </c>
      <c r="AB359" s="64"/>
      <c r="AC359" s="64"/>
      <c r="AD359" s="64"/>
      <c r="AE359" s="64"/>
      <c r="AF359" s="64"/>
      <c r="AG359" s="64">
        <f>IFERROR(AG316/AG152*365*IF(LEFT("2016",2)="1H",0.5,1),"n/a")</f>
        <v>65.142797339411132</v>
      </c>
      <c r="AH359" s="64"/>
      <c r="AI359" s="64"/>
      <c r="AJ359" s="64"/>
      <c r="AK359" s="64"/>
      <c r="AL359" s="64"/>
      <c r="AM359" s="64">
        <f>IFERROR(AM316/AM152*365*IF(LEFT("2017",2)="1H",0.5,1),"n/a")</f>
        <v>54.431791996313081</v>
      </c>
      <c r="AN359" s="64"/>
      <c r="AO359" s="64"/>
      <c r="AP359" s="64"/>
      <c r="AQ359" s="64"/>
      <c r="AR359" s="64"/>
      <c r="AS359" s="64">
        <f>IFERROR(AS316/AS152*365*IF(LEFT("2018",2)="1H",0.5,1),"n/a")</f>
        <v>52.389034392446064</v>
      </c>
      <c r="AT359" s="64"/>
      <c r="AU359" s="64"/>
      <c r="AV359" s="64"/>
      <c r="AW359" s="64"/>
      <c r="AX359" s="64"/>
      <c r="AY359" s="64">
        <f>IFERROR(AY316/AY152*365*IF(LEFT("2019",2)="1H",0.5,1),"n/a")</f>
        <v>53.118599064357063</v>
      </c>
      <c r="AZ359" s="64"/>
      <c r="BA359" s="64"/>
      <c r="BB359" s="64"/>
      <c r="BC359" s="64"/>
      <c r="BD359" s="64"/>
      <c r="BE359" s="64">
        <f>IFERROR(BE316/BE152*365*IF(LEFT("2020",2)="1H",0.5,1),"n/a")</f>
        <v>47.543905126044976</v>
      </c>
      <c r="BF359" s="64"/>
      <c r="BG359" s="64"/>
      <c r="BH359" s="64"/>
      <c r="BI359" s="64"/>
      <c r="BJ359" s="64"/>
      <c r="BK359" s="64">
        <f>IFERROR(BK316/BK152*365*IF(LEFT("2021",2)="1H",0.5,1),"n/a")</f>
        <v>60.72654573824849</v>
      </c>
      <c r="BL359" s="64"/>
      <c r="BM359" s="64"/>
      <c r="BN359" s="64"/>
      <c r="BO359" s="64"/>
      <c r="BP359" s="64"/>
      <c r="BQ359" s="64">
        <f>IFERROR(BQ316/BQ152*365*IF(LEFT("2022",2)="1H",0.5,1),"n/a")</f>
        <v>59.090334518008284</v>
      </c>
      <c r="BR359" s="64"/>
      <c r="BS359" s="64"/>
      <c r="BT359" s="64"/>
      <c r="BU359" s="64"/>
      <c r="BV359" s="64"/>
      <c r="BW359" s="64">
        <f>IFERROR(BW316/BW152*365*IF(LEFT("2023",2)="1H",0.5,1),"n/a")</f>
        <v>58.271759382486032</v>
      </c>
      <c r="BX359" s="64"/>
      <c r="BY359" s="64"/>
      <c r="BZ359" s="64"/>
      <c r="CA359" s="64"/>
      <c r="CB359" s="64"/>
      <c r="CC359" s="64">
        <f>IFERROR(CC316/CC152*365*IF(LEFT("2024",2)="1H",0.5,1),"n/a")</f>
        <v>58.007319223985888</v>
      </c>
      <c r="CD359" s="64"/>
      <c r="CE359" s="64"/>
      <c r="CF359" s="64"/>
      <c r="CG359" s="64"/>
      <c r="CH359" s="64"/>
      <c r="CI359" s="64">
        <f>IFERROR(CI316/CI152*365*IF(LEFT("2025",2)="1H",0.5,1),"n/a")</f>
        <v>59.231775517545863</v>
      </c>
      <c r="CJ359" s="64"/>
      <c r="CK359" s="64"/>
      <c r="CL359" s="64">
        <f>IFERROR(CL316/CL152*365*IF(LEFT("1H/26",2)="1H",0.5,1),"n/a")</f>
        <v>53.10316204307081</v>
      </c>
      <c r="CM359" s="65"/>
      <c r="CN359" s="65"/>
      <c r="CO359" s="66">
        <v>58</v>
      </c>
      <c r="CP359" s="66">
        <v>58</v>
      </c>
      <c r="CQ359" s="66">
        <v>58</v>
      </c>
      <c r="CR359" s="66">
        <v>58</v>
      </c>
      <c r="CS359" s="66">
        <v>58</v>
      </c>
      <c r="CT359" s="22"/>
      <c r="CV359" s="6"/>
      <c r="CW359" s="6"/>
      <c r="CX359" s="6"/>
      <c r="CY359" s="6"/>
    </row>
    <row r="360" spans="2:103" ht="15" hidden="1" customHeight="1" outlineLevel="1" x14ac:dyDescent="0.25">
      <c r="B360" s="25" t="s">
        <v>502</v>
      </c>
      <c r="C360" s="39">
        <f>IFERROR(C317/C152*IF(LEFT("2006",2)="1H",0.5,1),"n/a")</f>
        <v>0</v>
      </c>
      <c r="D360" s="39">
        <f>IFERROR(D317/D152*IF(LEFT("2007",2)="1H",0.5,1),"n/a")</f>
        <v>0</v>
      </c>
      <c r="E360" s="39">
        <f>IFERROR(E317/E152*IF(LEFT("2008",2)="1H",0.5,1),"n/a")</f>
        <v>0</v>
      </c>
      <c r="F360" s="39">
        <f>IFERROR(F317/F152*IF(LEFT("2009",2)="1H",0.5,1),"n/a")</f>
        <v>0</v>
      </c>
      <c r="G360" s="39">
        <f>IFERROR(G317/G152*IF(LEFT("2010",2)="1H",0.5,1),"n/a")</f>
        <v>0</v>
      </c>
      <c r="H360" s="39">
        <f>IFERROR(H317/H152*IF(LEFT("2011",2)="1H",0.5,1),"n/a")</f>
        <v>0</v>
      </c>
      <c r="I360" s="39">
        <f>IFERROR(I317/I152*IF(LEFT("2012",2)="1H",0.5,1),"n/a")</f>
        <v>0</v>
      </c>
      <c r="J360" s="39"/>
      <c r="K360" s="39"/>
      <c r="L360" s="39"/>
      <c r="M360" s="39"/>
      <c r="N360" s="39"/>
      <c r="O360" s="39">
        <f>IFERROR(O317/O152*IF(LEFT("2013",2)="1H",0.5,1),"n/a")</f>
        <v>0</v>
      </c>
      <c r="P360" s="39"/>
      <c r="Q360" s="39"/>
      <c r="R360" s="39"/>
      <c r="S360" s="39"/>
      <c r="T360" s="39"/>
      <c r="U360" s="39">
        <f>IFERROR(U317/U152*IF(LEFT("2014",2)="1H",0.5,1),"n/a")</f>
        <v>0</v>
      </c>
      <c r="V360" s="39"/>
      <c r="W360" s="39"/>
      <c r="X360" s="39"/>
      <c r="Y360" s="39"/>
      <c r="Z360" s="39"/>
      <c r="AA360" s="39">
        <f>IFERROR(AA317/AA152*IF(LEFT("2015",2)="1H",0.5,1),"n/a")</f>
        <v>0</v>
      </c>
      <c r="AB360" s="39"/>
      <c r="AC360" s="39"/>
      <c r="AD360" s="39"/>
      <c r="AE360" s="39"/>
      <c r="AF360" s="39"/>
      <c r="AG360" s="39">
        <f>IFERROR(AG317/AG152*IF(LEFT("2016",2)="1H",0.5,1),"n/a")</f>
        <v>0</v>
      </c>
      <c r="AH360" s="39"/>
      <c r="AI360" s="39"/>
      <c r="AJ360" s="39"/>
      <c r="AK360" s="39"/>
      <c r="AL360" s="39"/>
      <c r="AM360" s="39">
        <f>IFERROR(AM317/AM152*IF(LEFT("2017",2)="1H",0.5,1),"n/a")</f>
        <v>3.4488055918273287E-2</v>
      </c>
      <c r="AN360" s="39"/>
      <c r="AO360" s="39"/>
      <c r="AP360" s="39"/>
      <c r="AQ360" s="39"/>
      <c r="AR360" s="39"/>
      <c r="AS360" s="39">
        <f>IFERROR(AS317/AS152*IF(LEFT("2018",2)="1H",0.5,1),"n/a")</f>
        <v>5.0072368874491693E-2</v>
      </c>
      <c r="AT360" s="39"/>
      <c r="AU360" s="39"/>
      <c r="AV360" s="39"/>
      <c r="AW360" s="39"/>
      <c r="AX360" s="39"/>
      <c r="AY360" s="39">
        <f>IFERROR(AY317/AY152*IF(LEFT("2019",2)="1H",0.5,1),"n/a")</f>
        <v>6.3377165254773049E-2</v>
      </c>
      <c r="AZ360" s="39"/>
      <c r="BA360" s="39"/>
      <c r="BB360" s="39"/>
      <c r="BC360" s="39"/>
      <c r="BD360" s="39"/>
      <c r="BE360" s="39">
        <f>IFERROR(BE317/BE152*IF(LEFT("2020",2)="1H",0.5,1),"n/a")</f>
        <v>7.1965523945304907E-2</v>
      </c>
      <c r="BF360" s="39"/>
      <c r="BG360" s="39"/>
      <c r="BH360" s="39"/>
      <c r="BI360" s="39"/>
      <c r="BJ360" s="39"/>
      <c r="BK360" s="39">
        <f>IFERROR(BK317/BK152*IF(LEFT("2021",2)="1H",0.5,1),"n/a")</f>
        <v>6.8504431874823912E-2</v>
      </c>
      <c r="BL360" s="39"/>
      <c r="BM360" s="39"/>
      <c r="BN360" s="39"/>
      <c r="BO360" s="39"/>
      <c r="BP360" s="39"/>
      <c r="BQ360" s="39">
        <f>IFERROR(BQ317/BQ152*IF(LEFT("2022",2)="1H",0.5,1),"n/a")</f>
        <v>5.0324258967500819E-2</v>
      </c>
      <c r="BR360" s="39"/>
      <c r="BS360" s="39"/>
      <c r="BT360" s="39"/>
      <c r="BU360" s="39"/>
      <c r="BV360" s="39"/>
      <c r="BW360" s="39">
        <f>IFERROR(BW317/BW152*IF(LEFT("2023",2)="1H",0.5,1),"n/a")</f>
        <v>5.3659834974713862E-2</v>
      </c>
      <c r="BX360" s="39"/>
      <c r="BY360" s="39"/>
      <c r="BZ360" s="39"/>
      <c r="CA360" s="39"/>
      <c r="CB360" s="39"/>
      <c r="CC360" s="39">
        <f>IFERROR(CC317/CC152*IF(LEFT("2024",2)="1H",0.5,1),"n/a")</f>
        <v>5.5044091710758379E-2</v>
      </c>
      <c r="CD360" s="39"/>
      <c r="CE360" s="39"/>
      <c r="CF360" s="39"/>
      <c r="CG360" s="39"/>
      <c r="CH360" s="39"/>
      <c r="CI360" s="39">
        <f>IFERROR(CI317/CI152*IF(LEFT("2025",2)="1H",0.5,1),"n/a")</f>
        <v>6.1255191810838217E-2</v>
      </c>
      <c r="CJ360" s="39"/>
      <c r="CK360" s="39"/>
      <c r="CL360" s="39">
        <f>IFERROR(CL317/CL152*IF(LEFT("1H/26",2)="1H",0.5,1),"n/a")</f>
        <v>6.6064668280270591E-2</v>
      </c>
      <c r="CM360" s="27"/>
      <c r="CN360" s="27"/>
      <c r="CO360" s="45">
        <v>6.5000000000000002E-2</v>
      </c>
      <c r="CP360" s="45">
        <v>6.5000000000000002E-2</v>
      </c>
      <c r="CQ360" s="45">
        <v>6.5000000000000002E-2</v>
      </c>
      <c r="CR360" s="45">
        <v>6.5000000000000002E-2</v>
      </c>
      <c r="CS360" s="45">
        <v>6.5000000000000002E-2</v>
      </c>
      <c r="CT360" s="22"/>
      <c r="CV360" s="6"/>
      <c r="CW360" s="6"/>
      <c r="CX360" s="6"/>
      <c r="CY360" s="6"/>
    </row>
    <row r="361" spans="2:103" ht="15" hidden="1" customHeight="1" outlineLevel="1" x14ac:dyDescent="0.25">
      <c r="B361" s="25" t="s">
        <v>503</v>
      </c>
      <c r="C361" s="64">
        <f>IFERROR(C318/C155*365*IF(LEFT("2006",2)="1H",0.5,1),"n/a")</f>
        <v>55.741031170358752</v>
      </c>
      <c r="D361" s="64">
        <f>IFERROR(D318/D155*365*IF(LEFT("2007",2)="1H",0.5,1),"n/a")</f>
        <v>56.079725448785638</v>
      </c>
      <c r="E361" s="64">
        <f>IFERROR(E318/E155*365*IF(LEFT("2008",2)="1H",0.5,1),"n/a")</f>
        <v>62.654448959283521</v>
      </c>
      <c r="F361" s="64">
        <f>IFERROR(F318/F155*365*IF(LEFT("2009",2)="1H",0.5,1),"n/a")</f>
        <v>51.093179308587452</v>
      </c>
      <c r="G361" s="64">
        <f>IFERROR(G318/G155*365*IF(LEFT("2010",2)="1H",0.5,1),"n/a")</f>
        <v>54.77702290741226</v>
      </c>
      <c r="H361" s="64">
        <f>IFERROR(H318/H155*365*IF(LEFT("2011",2)="1H",0.5,1),"n/a")</f>
        <v>62.044626946618109</v>
      </c>
      <c r="I361" s="64">
        <f>IFERROR(I318/I155*365*IF(LEFT("2012",2)="1H",0.5,1),"n/a")</f>
        <v>74.423899644695808</v>
      </c>
      <c r="J361" s="64"/>
      <c r="K361" s="64"/>
      <c r="L361" s="64"/>
      <c r="M361" s="64"/>
      <c r="N361" s="64"/>
      <c r="O361" s="64">
        <f>IFERROR(O318/O155*365*IF(LEFT("2013",2)="1H",0.5,1),"n/a")</f>
        <v>71.613</v>
      </c>
      <c r="P361" s="64"/>
      <c r="Q361" s="64"/>
      <c r="R361" s="64"/>
      <c r="S361" s="64"/>
      <c r="T361" s="64"/>
      <c r="U361" s="64">
        <f>IFERROR(U318/U155*365*IF(LEFT("2014",2)="1H",0.5,1),"n/a")</f>
        <v>76.529486920852676</v>
      </c>
      <c r="V361" s="64"/>
      <c r="W361" s="64"/>
      <c r="X361" s="64"/>
      <c r="Y361" s="64"/>
      <c r="Z361" s="64"/>
      <c r="AA361" s="64">
        <f>IFERROR(AA318/AA155*365*IF(LEFT("2015",2)="1H",0.5,1),"n/a")</f>
        <v>79.043283373021424</v>
      </c>
      <c r="AB361" s="64"/>
      <c r="AC361" s="64"/>
      <c r="AD361" s="64"/>
      <c r="AE361" s="64"/>
      <c r="AF361" s="64"/>
      <c r="AG361" s="64">
        <f>IFERROR(AG318/AG155*365*IF(LEFT("2016",2)="1H",0.5,1),"n/a")</f>
        <v>87.012898330804248</v>
      </c>
      <c r="AH361" s="64"/>
      <c r="AI361" s="64"/>
      <c r="AJ361" s="64"/>
      <c r="AK361" s="64"/>
      <c r="AL361" s="64"/>
      <c r="AM361" s="64">
        <f>IFERROR(AM318/AM155*365*IF(LEFT("2017",2)="1H",0.5,1),"n/a")</f>
        <v>89.946428571428569</v>
      </c>
      <c r="AN361" s="64"/>
      <c r="AO361" s="64"/>
      <c r="AP361" s="64"/>
      <c r="AQ361" s="64"/>
      <c r="AR361" s="64"/>
      <c r="AS361" s="64">
        <f>IFERROR(AS318/AS155*365*IF(LEFT("2018",2)="1H",0.5,1),"n/a")</f>
        <v>74.243160245672811</v>
      </c>
      <c r="AT361" s="64"/>
      <c r="AU361" s="64"/>
      <c r="AV361" s="64"/>
      <c r="AW361" s="64"/>
      <c r="AX361" s="64"/>
      <c r="AY361" s="64">
        <f>IFERROR(AY318/AY155*365*IF(LEFT("2019",2)="1H",0.5,1),"n/a")</f>
        <v>74.775295526740607</v>
      </c>
      <c r="AZ361" s="64"/>
      <c r="BA361" s="64"/>
      <c r="BB361" s="64"/>
      <c r="BC361" s="64"/>
      <c r="BD361" s="64"/>
      <c r="BE361" s="64">
        <f>IFERROR(BE318/BE155*365*IF(LEFT("2020",2)="1H",0.5,1),"n/a")</f>
        <v>66.532567049808435</v>
      </c>
      <c r="BF361" s="64"/>
      <c r="BG361" s="64"/>
      <c r="BH361" s="64"/>
      <c r="BI361" s="64"/>
      <c r="BJ361" s="64"/>
      <c r="BK361" s="64">
        <f>IFERROR(BK318/BK155*365*IF(LEFT("2021",2)="1H",0.5,1),"n/a")</f>
        <v>99.105088535468283</v>
      </c>
      <c r="BL361" s="64"/>
      <c r="BM361" s="64"/>
      <c r="BN361" s="64"/>
      <c r="BO361" s="64"/>
      <c r="BP361" s="64"/>
      <c r="BQ361" s="64">
        <f>IFERROR(BQ318/BQ155*365*IF(LEFT("2022",2)="1H",0.5,1),"n/a")</f>
        <v>103.92401623885178</v>
      </c>
      <c r="BR361" s="64"/>
      <c r="BS361" s="64"/>
      <c r="BT361" s="64"/>
      <c r="BU361" s="64"/>
      <c r="BV361" s="64"/>
      <c r="BW361" s="64">
        <f>IFERROR(BW318/BW155*365*IF(LEFT("2023",2)="1H",0.5,1),"n/a")</f>
        <v>104.80288476580834</v>
      </c>
      <c r="BX361" s="64"/>
      <c r="BY361" s="64"/>
      <c r="BZ361" s="64"/>
      <c r="CA361" s="64"/>
      <c r="CB361" s="64"/>
      <c r="CC361" s="64">
        <f>IFERROR(CC318/CC155*365*IF(LEFT("2024",2)="1H",0.5,1),"n/a")</f>
        <v>103.1639465875371</v>
      </c>
      <c r="CD361" s="64"/>
      <c r="CE361" s="64"/>
      <c r="CF361" s="64"/>
      <c r="CG361" s="64"/>
      <c r="CH361" s="64"/>
      <c r="CI361" s="64">
        <f>IFERROR(CI318/CI155*365*IF(LEFT("2025",2)="1H",0.5,1),"n/a")</f>
        <v>108.78263726218363</v>
      </c>
      <c r="CJ361" s="64"/>
      <c r="CK361" s="64"/>
      <c r="CL361" s="64">
        <f>IFERROR(CL318/CL155*365*IF(LEFT("1H/26",2)="1H",0.5,1),"n/a")</f>
        <v>117.56116419064453</v>
      </c>
      <c r="CM361" s="65"/>
      <c r="CN361" s="65"/>
      <c r="CO361" s="66">
        <v>112</v>
      </c>
      <c r="CP361" s="66">
        <v>110</v>
      </c>
      <c r="CQ361" s="66">
        <v>108</v>
      </c>
      <c r="CR361" s="66">
        <v>106</v>
      </c>
      <c r="CS361" s="66">
        <v>105</v>
      </c>
      <c r="CT361" s="22"/>
      <c r="CV361" s="6"/>
      <c r="CW361" s="6"/>
      <c r="CX361" s="6"/>
      <c r="CY361" s="6"/>
    </row>
    <row r="362" spans="2:103" ht="15" hidden="1" customHeight="1" outlineLevel="1" x14ac:dyDescent="0.25">
      <c r="B362" s="25" t="s">
        <v>504</v>
      </c>
      <c r="C362" s="64">
        <f>IFERROR(C330/C155*365*IF(LEFT("2006",2)="1H",0.5,1),"n/a")</f>
        <v>33.666437953342481</v>
      </c>
      <c r="D362" s="64">
        <f>IFERROR(D330/D155*365*IF(LEFT("2007",2)="1H",0.5,1),"n/a")</f>
        <v>33.757039774727204</v>
      </c>
      <c r="E362" s="64">
        <f>IFERROR(E330/E155*365*IF(LEFT("2008",2)="1H",0.5,1),"n/a")</f>
        <v>32.749813417364621</v>
      </c>
      <c r="F362" s="64">
        <f>IFERROR(F330/F155*365*IF(LEFT("2009",2)="1H",0.5,1),"n/a")</f>
        <v>29.98003907245392</v>
      </c>
      <c r="G362" s="64">
        <f>IFERROR(G330/G155*365*IF(LEFT("2010",2)="1H",0.5,1),"n/a")</f>
        <v>31.982405713787998</v>
      </c>
      <c r="H362" s="64">
        <f>IFERROR(H330/H155*365*IF(LEFT("2011",2)="1H",0.5,1),"n/a")</f>
        <v>28.844812892229022</v>
      </c>
      <c r="I362" s="64">
        <f>IFERROR(I330/I155*365*IF(LEFT("2012",2)="1H",0.5,1),"n/a")</f>
        <v>39.329272714088901</v>
      </c>
      <c r="J362" s="64"/>
      <c r="K362" s="64"/>
      <c r="L362" s="64"/>
      <c r="M362" s="64"/>
      <c r="N362" s="64"/>
      <c r="O362" s="64">
        <f>IFERROR(O330/O155*365*IF(LEFT("2013",2)="1H",0.5,1),"n/a")</f>
        <v>35.891666666666666</v>
      </c>
      <c r="P362" s="64"/>
      <c r="Q362" s="64"/>
      <c r="R362" s="64"/>
      <c r="S362" s="64"/>
      <c r="T362" s="64"/>
      <c r="U362" s="64">
        <f>IFERROR(U330/U155*365*IF(LEFT("2014",2)="1H",0.5,1),"n/a")</f>
        <v>39.884674870553425</v>
      </c>
      <c r="V362" s="64"/>
      <c r="W362" s="64"/>
      <c r="X362" s="64"/>
      <c r="Y362" s="64"/>
      <c r="Z362" s="64"/>
      <c r="AA362" s="64">
        <f>IFERROR(AA330/AA155*365*IF(LEFT("2015",2)="1H",0.5,1),"n/a")</f>
        <v>34.894593080263341</v>
      </c>
      <c r="AB362" s="64"/>
      <c r="AC362" s="64"/>
      <c r="AD362" s="64"/>
      <c r="AE362" s="64"/>
      <c r="AF362" s="64"/>
      <c r="AG362" s="64">
        <f>IFERROR(AG330/AG155*365*IF(LEFT("2016",2)="1H",0.5,1),"n/a")</f>
        <v>38.438543247344469</v>
      </c>
      <c r="AH362" s="64"/>
      <c r="AI362" s="64"/>
      <c r="AJ362" s="64"/>
      <c r="AK362" s="64"/>
      <c r="AL362" s="64"/>
      <c r="AM362" s="64">
        <f>IFERROR(AM330/AM155*365*IF(LEFT("2017",2)="1H",0.5,1),"n/a")</f>
        <v>43.085283251231523</v>
      </c>
      <c r="AN362" s="64"/>
      <c r="AO362" s="64"/>
      <c r="AP362" s="64"/>
      <c r="AQ362" s="64"/>
      <c r="AR362" s="64"/>
      <c r="AS362" s="64">
        <f>IFERROR(AS330/AS155*365*IF(LEFT("2018",2)="1H",0.5,1),"n/a")</f>
        <v>46.424902289223901</v>
      </c>
      <c r="AT362" s="64"/>
      <c r="AU362" s="64"/>
      <c r="AV362" s="64"/>
      <c r="AW362" s="64"/>
      <c r="AX362" s="64"/>
      <c r="AY362" s="64">
        <f>IFERROR(AY330/AY155*365*IF(LEFT("2019",2)="1H",0.5,1),"n/a")</f>
        <v>51.529188147685261</v>
      </c>
      <c r="AZ362" s="64"/>
      <c r="BA362" s="64"/>
      <c r="BB362" s="64"/>
      <c r="BC362" s="64"/>
      <c r="BD362" s="64"/>
      <c r="BE362" s="64">
        <f>IFERROR(BE330/BE155*365*IF(LEFT("2020",2)="1H",0.5,1),"n/a")</f>
        <v>43.888888888888886</v>
      </c>
      <c r="BF362" s="64"/>
      <c r="BG362" s="64"/>
      <c r="BH362" s="64"/>
      <c r="BI362" s="64"/>
      <c r="BJ362" s="64"/>
      <c r="BK362" s="64">
        <f>IFERROR(BK330/BK155*365*IF(LEFT("2021",2)="1H",0.5,1),"n/a")</f>
        <v>61.800822243860217</v>
      </c>
      <c r="BL362" s="64"/>
      <c r="BM362" s="64"/>
      <c r="BN362" s="64"/>
      <c r="BO362" s="64"/>
      <c r="BP362" s="64"/>
      <c r="BQ362" s="64">
        <f>IFERROR(BQ330/BQ155*365*IF(LEFT("2022",2)="1H",0.5,1),"n/a")</f>
        <v>59.003452354313836</v>
      </c>
      <c r="BR362" s="64"/>
      <c r="BS362" s="64"/>
      <c r="BT362" s="64"/>
      <c r="BU362" s="64"/>
      <c r="BV362" s="64"/>
      <c r="BW362" s="64">
        <f>IFERROR(BW330/BW155*365*IF(LEFT("2023",2)="1H",0.5,1),"n/a")</f>
        <v>43.933387566096179</v>
      </c>
      <c r="BX362" s="64"/>
      <c r="BY362" s="64"/>
      <c r="BZ362" s="64"/>
      <c r="CA362" s="64"/>
      <c r="CB362" s="64"/>
      <c r="CC362" s="64">
        <f>IFERROR(CC330/CC155*365*IF(LEFT("2024",2)="1H",0.5,1),"n/a")</f>
        <v>46.978857566765576</v>
      </c>
      <c r="CD362" s="64"/>
      <c r="CE362" s="64"/>
      <c r="CF362" s="64"/>
      <c r="CG362" s="64"/>
      <c r="CH362" s="64"/>
      <c r="CI362" s="64">
        <f>IFERROR(CI330/CI155*365*IF(LEFT("2025",2)="1H",0.5,1),"n/a")</f>
        <v>50.736730846140667</v>
      </c>
      <c r="CJ362" s="64"/>
      <c r="CK362" s="64"/>
      <c r="CL362" s="64">
        <f>IFERROR(CL330/CL155*365*IF(LEFT("1H/26",2)="1H",0.5,1),"n/a")</f>
        <v>49.618793836637778</v>
      </c>
      <c r="CM362" s="65"/>
      <c r="CN362" s="65"/>
      <c r="CO362" s="66">
        <v>50</v>
      </c>
      <c r="CP362" s="66">
        <v>50</v>
      </c>
      <c r="CQ362" s="66">
        <v>50</v>
      </c>
      <c r="CR362" s="66">
        <v>50</v>
      </c>
      <c r="CS362" s="66">
        <v>50</v>
      </c>
      <c r="CT362" s="22"/>
      <c r="CV362" s="6"/>
      <c r="CW362" s="6"/>
      <c r="CX362" s="6"/>
      <c r="CY362" s="6"/>
    </row>
    <row r="363" spans="2:103" ht="15" hidden="1" customHeight="1" outlineLevel="1" x14ac:dyDescent="0.25">
      <c r="B363" s="25" t="s">
        <v>505</v>
      </c>
      <c r="C363" s="39">
        <f>IFERROR(C331/C152*IF(LEFT("2006",2)="1H",0.5,1),"n/a")</f>
        <v>9.4264582751883888E-2</v>
      </c>
      <c r="D363" s="39">
        <f>IFERROR(D331/D152*IF(LEFT("2007",2)="1H",0.5,1),"n/a")</f>
        <v>9.6837822844110216E-2</v>
      </c>
      <c r="E363" s="39">
        <f>IFERROR(E331/E152*IF(LEFT("2008",2)="1H",0.5,1),"n/a")</f>
        <v>0.1175377468060395</v>
      </c>
      <c r="F363" s="39">
        <f>IFERROR(F331/F152*IF(LEFT("2009",2)="1H",0.5,1),"n/a")</f>
        <v>9.9449185884631697E-2</v>
      </c>
      <c r="G363" s="39">
        <f>IFERROR(G331/G152*IF(LEFT("2010",2)="1H",0.5,1),"n/a")</f>
        <v>0.10783359688602361</v>
      </c>
      <c r="H363" s="39">
        <f>IFERROR(H331/H152*IF(LEFT("2011",2)="1H",0.5,1),"n/a")</f>
        <v>0.11885267006539986</v>
      </c>
      <c r="I363" s="39">
        <f>IFERROR(I331/I152*IF(LEFT("2012",2)="1H",0.5,1),"n/a")</f>
        <v>0.12066939312743852</v>
      </c>
      <c r="J363" s="39"/>
      <c r="K363" s="39"/>
      <c r="L363" s="39"/>
      <c r="M363" s="39"/>
      <c r="N363" s="39"/>
      <c r="O363" s="39">
        <f>IFERROR(O331/O152*IF(LEFT("2013",2)="1H",0.5,1),"n/a")</f>
        <v>9.0438724022919706E-2</v>
      </c>
      <c r="P363" s="39"/>
      <c r="Q363" s="39"/>
      <c r="R363" s="39"/>
      <c r="S363" s="39"/>
      <c r="T363" s="39"/>
      <c r="U363" s="39">
        <f>IFERROR(U331/U152*IF(LEFT("2014",2)="1H",0.5,1),"n/a")</f>
        <v>0.10125313283208021</v>
      </c>
      <c r="V363" s="39"/>
      <c r="W363" s="39"/>
      <c r="X363" s="39"/>
      <c r="Y363" s="39"/>
      <c r="Z363" s="39"/>
      <c r="AA363" s="39">
        <f>IFERROR(AA331/AA152*IF(LEFT("2015",2)="1H",0.5,1),"n/a")</f>
        <v>8.7202471606979678E-2</v>
      </c>
      <c r="AB363" s="39"/>
      <c r="AC363" s="39"/>
      <c r="AD363" s="39"/>
      <c r="AE363" s="39"/>
      <c r="AF363" s="39"/>
      <c r="AG363" s="39">
        <f>IFERROR(AG331/AG152*IF(LEFT("2016",2)="1H",0.5,1),"n/a")</f>
        <v>0.12140099539513466</v>
      </c>
      <c r="AH363" s="39"/>
      <c r="AI363" s="39"/>
      <c r="AJ363" s="39"/>
      <c r="AK363" s="39"/>
      <c r="AL363" s="39"/>
      <c r="AM363" s="39">
        <f>IFERROR(AM331/AM152*IF(LEFT("2017",2)="1H",0.5,1),"n/a")</f>
        <v>0.13261387203318226</v>
      </c>
      <c r="AN363" s="39"/>
      <c r="AO363" s="39"/>
      <c r="AP363" s="39"/>
      <c r="AQ363" s="39"/>
      <c r="AR363" s="39"/>
      <c r="AS363" s="39">
        <f>IFERROR(AS331/AS152*IF(LEFT("2018",2)="1H",0.5,1),"n/a")</f>
        <v>8.4120201254393817E-2</v>
      </c>
      <c r="AT363" s="39"/>
      <c r="AU363" s="39"/>
      <c r="AV363" s="39"/>
      <c r="AW363" s="39"/>
      <c r="AX363" s="39"/>
      <c r="AY363" s="39">
        <f>IFERROR(AY331/AY152*IF(LEFT("2019",2)="1H",0.5,1),"n/a")</f>
        <v>8.3670501959792642E-2</v>
      </c>
      <c r="AZ363" s="39"/>
      <c r="BA363" s="39"/>
      <c r="BB363" s="39"/>
      <c r="BC363" s="39"/>
      <c r="BD363" s="39"/>
      <c r="BE363" s="39">
        <f>IFERROR(BE331/BE152*IF(LEFT("2020",2)="1H",0.5,1),"n/a")</f>
        <v>8.881472360832092E-2</v>
      </c>
      <c r="BF363" s="39"/>
      <c r="BG363" s="39"/>
      <c r="BH363" s="39"/>
      <c r="BI363" s="39"/>
      <c r="BJ363" s="39"/>
      <c r="BK363" s="39">
        <f>IFERROR(BK331/BK152*IF(LEFT("2021",2)="1H",0.5,1),"n/a")</f>
        <v>0.18267126107968704</v>
      </c>
      <c r="BL363" s="39"/>
      <c r="BM363" s="39"/>
      <c r="BN363" s="39"/>
      <c r="BO363" s="39"/>
      <c r="BP363" s="39"/>
      <c r="BQ363" s="39">
        <f>IFERROR(BQ331/BQ152*IF(LEFT("2022",2)="1H",0.5,1),"n/a")</f>
        <v>9.7094493093467182E-2</v>
      </c>
      <c r="BR363" s="39"/>
      <c r="BS363" s="39"/>
      <c r="BT363" s="39"/>
      <c r="BU363" s="39"/>
      <c r="BV363" s="39"/>
      <c r="BW363" s="39">
        <f>IFERROR(BW331/BW152*IF(LEFT("2023",2)="1H",0.5,1),"n/a")</f>
        <v>9.5856623192263332E-2</v>
      </c>
      <c r="BX363" s="39"/>
      <c r="BY363" s="39"/>
      <c r="BZ363" s="39"/>
      <c r="CA363" s="39"/>
      <c r="CB363" s="39"/>
      <c r="CC363" s="39">
        <f>IFERROR(CC331/CC152*IF(LEFT("2024",2)="1H",0.5,1),"n/a")</f>
        <v>9.3880070546737207E-2</v>
      </c>
      <c r="CD363" s="39"/>
      <c r="CE363" s="39"/>
      <c r="CF363" s="39"/>
      <c r="CG363" s="39"/>
      <c r="CH363" s="39"/>
      <c r="CI363" s="39">
        <f>IFERROR(CI331/CI152*IF(LEFT("2025",2)="1H",0.5,1),"n/a")</f>
        <v>9.0558262746508814E-2</v>
      </c>
      <c r="CJ363" s="39"/>
      <c r="CK363" s="39"/>
      <c r="CL363" s="39">
        <f>IFERROR(CL331/CL152*IF(LEFT("1H/26",2)="1H",0.5,1),"n/a")</f>
        <v>8.4729721343014958E-2</v>
      </c>
      <c r="CM363" s="27"/>
      <c r="CN363" s="27"/>
      <c r="CO363" s="45">
        <v>0.09</v>
      </c>
      <c r="CP363" s="45">
        <v>0.09</v>
      </c>
      <c r="CQ363" s="45">
        <v>0.09</v>
      </c>
      <c r="CR363" s="45">
        <v>0.09</v>
      </c>
      <c r="CS363" s="45">
        <v>0.09</v>
      </c>
      <c r="CT363" s="22"/>
      <c r="CV363" s="6"/>
      <c r="CW363" s="6"/>
      <c r="CX363" s="6"/>
      <c r="CY363" s="6"/>
    </row>
    <row r="364" spans="2:103" ht="15" hidden="1" customHeight="1" outlineLevel="1" x14ac:dyDescent="0.25">
      <c r="B364" s="25" t="s">
        <v>506</v>
      </c>
      <c r="C364" s="39">
        <f>IFERROR(N(C332)/C152*IF(LEFT("2006",2)="1H",0.5,1),"n/a")</f>
        <v>0</v>
      </c>
      <c r="D364" s="39">
        <f>IFERROR(N(D332)/D152*IF(LEFT("2007",2)="1H",0.5,1),"n/a")</f>
        <v>0</v>
      </c>
      <c r="E364" s="39">
        <f>IFERROR(N(E332)/E152*IF(LEFT("2008",2)="1H",0.5,1),"n/a")</f>
        <v>0</v>
      </c>
      <c r="F364" s="39">
        <f>IFERROR(N(F332)/F152*IF(LEFT("2009",2)="1H",0.5,1),"n/a")</f>
        <v>0</v>
      </c>
      <c r="G364" s="39">
        <f>IFERROR(N(G332)/G152*IF(LEFT("2010",2)="1H",0.5,1),"n/a")</f>
        <v>0</v>
      </c>
      <c r="H364" s="39">
        <f>IFERROR(N(H332)/H152*IF(LEFT("2011",2)="1H",0.5,1),"n/a")</f>
        <v>0</v>
      </c>
      <c r="I364" s="39">
        <f>IFERROR(N(I332)/I152*IF(LEFT("2012",2)="1H",0.5,1),"n/a")</f>
        <v>0</v>
      </c>
      <c r="J364" s="39"/>
      <c r="K364" s="39"/>
      <c r="L364" s="39"/>
      <c r="M364" s="39"/>
      <c r="N364" s="39"/>
      <c r="O364" s="39">
        <f>IFERROR(N(O332)/O152*IF(LEFT("2013",2)="1H",0.5,1),"n/a")</f>
        <v>2.3774908064654068E-2</v>
      </c>
      <c r="P364" s="39"/>
      <c r="Q364" s="39"/>
      <c r="R364" s="39"/>
      <c r="S364" s="39"/>
      <c r="T364" s="39"/>
      <c r="U364" s="39">
        <f>IFERROR(N(U332)/U152*IF(LEFT("2014",2)="1H",0.5,1),"n/a")</f>
        <v>2.0008354218880534E-2</v>
      </c>
      <c r="V364" s="39"/>
      <c r="W364" s="39"/>
      <c r="X364" s="39"/>
      <c r="Y364" s="39"/>
      <c r="Z364" s="39"/>
      <c r="AA364" s="39">
        <f>IFERROR(N(AA332)/AA152*IF(LEFT("2015",2)="1H",0.5,1),"n/a")</f>
        <v>1.636134197815587E-2</v>
      </c>
      <c r="AB364" s="39"/>
      <c r="AC364" s="39"/>
      <c r="AD364" s="39"/>
      <c r="AE364" s="39"/>
      <c r="AF364" s="39"/>
      <c r="AG364" s="39">
        <f>IFERROR(N(AG332)/AG152*IF(LEFT("2016",2)="1H",0.5,1),"n/a")</f>
        <v>0</v>
      </c>
      <c r="AH364" s="39"/>
      <c r="AI364" s="39"/>
      <c r="AJ364" s="39"/>
      <c r="AK364" s="39"/>
      <c r="AL364" s="39"/>
      <c r="AM364" s="39">
        <f>IFERROR(N(AM332)/AM152*IF(LEFT("2017",2)="1H",0.5,1),"n/a")</f>
        <v>0</v>
      </c>
      <c r="AN364" s="39"/>
      <c r="AO364" s="39"/>
      <c r="AP364" s="39"/>
      <c r="AQ364" s="39"/>
      <c r="AR364" s="39"/>
      <c r="AS364" s="39">
        <f>IFERROR(N(AS332)/AS152*IF(LEFT("2018",2)="1H",0.5,1),"n/a")</f>
        <v>3.8424426218209386E-2</v>
      </c>
      <c r="AT364" s="39"/>
      <c r="AU364" s="39"/>
      <c r="AV364" s="39"/>
      <c r="AW364" s="39"/>
      <c r="AX364" s="39"/>
      <c r="AY364" s="39">
        <f>IFERROR(N(AY332)/AY152*IF(LEFT("2019",2)="1H",0.5,1),"n/a")</f>
        <v>4.0080920470350237E-2</v>
      </c>
      <c r="AZ364" s="39"/>
      <c r="BA364" s="39"/>
      <c r="BB364" s="39"/>
      <c r="BC364" s="39"/>
      <c r="BD364" s="39"/>
      <c r="BE364" s="39">
        <f>IFERROR(N(BE332)/BE152*IF(LEFT("2020",2)="1H",0.5,1),"n/a")</f>
        <v>5.1876093577862742E-2</v>
      </c>
      <c r="BF364" s="39"/>
      <c r="BG364" s="39"/>
      <c r="BH364" s="39"/>
      <c r="BI364" s="39"/>
      <c r="BJ364" s="39"/>
      <c r="BK364" s="39">
        <f>IFERROR(N(BK332)/BK152*IF(LEFT("2021",2)="1H",0.5,1),"n/a")</f>
        <v>4.0309472726090631E-2</v>
      </c>
      <c r="BL364" s="39"/>
      <c r="BM364" s="39"/>
      <c r="BN364" s="39"/>
      <c r="BO364" s="39"/>
      <c r="BP364" s="39"/>
      <c r="BQ364" s="39">
        <f>IFERROR(N(BQ332)/BQ152*IF(LEFT("2022",2)="1H",0.5,1),"n/a")</f>
        <v>3.4367786611951778E-2</v>
      </c>
      <c r="BR364" s="39"/>
      <c r="BS364" s="39"/>
      <c r="BT364" s="39"/>
      <c r="BU364" s="39"/>
      <c r="BV364" s="39"/>
      <c r="BW364" s="39">
        <f>IFERROR(N(BW332)/BW152*IF(LEFT("2023",2)="1H",0.5,1),"n/a")</f>
        <v>4.2782361813503679E-2</v>
      </c>
      <c r="BX364" s="39"/>
      <c r="BY364" s="39"/>
      <c r="BZ364" s="39"/>
      <c r="CA364" s="39"/>
      <c r="CB364" s="39"/>
      <c r="CC364" s="39">
        <f>IFERROR(N(CC332)/CC152*IF(LEFT("2024",2)="1H",0.5,1),"n/a")</f>
        <v>5.5132275132275137E-2</v>
      </c>
      <c r="CD364" s="39"/>
      <c r="CE364" s="39"/>
      <c r="CF364" s="39"/>
      <c r="CG364" s="39"/>
      <c r="CH364" s="39"/>
      <c r="CI364" s="39">
        <f>IFERROR(N(CI332)/CI152*IF(LEFT("2025",2)="1H",0.5,1),"n/a")</f>
        <v>6.0437583804820623E-2</v>
      </c>
      <c r="CJ364" s="39"/>
      <c r="CK364" s="39"/>
      <c r="CL364" s="39">
        <f>IFERROR(N(CL332)/CL152*IF(LEFT("1H/26",2)="1H",0.5,1),"n/a")</f>
        <v>6.6545646372494258E-2</v>
      </c>
      <c r="CM364" s="27"/>
      <c r="CN364" s="27"/>
      <c r="CO364" s="45">
        <v>6.5000000000000002E-2</v>
      </c>
      <c r="CP364" s="45">
        <v>6.5000000000000002E-2</v>
      </c>
      <c r="CQ364" s="45">
        <v>6.5000000000000002E-2</v>
      </c>
      <c r="CR364" s="45">
        <v>6.5000000000000002E-2</v>
      </c>
      <c r="CS364" s="45">
        <v>6.5000000000000002E-2</v>
      </c>
      <c r="CT364" s="22"/>
      <c r="CV364" s="6"/>
      <c r="CW364" s="6"/>
      <c r="CX364" s="6"/>
      <c r="CY364" s="6"/>
    </row>
    <row r="365" spans="2:103" ht="15" hidden="1" customHeight="1" outlineLevel="1" x14ac:dyDescent="0.25">
      <c r="B365" s="12" t="s">
        <v>507</v>
      </c>
      <c r="C365" s="29">
        <f t="shared" ref="C365:I365" si="347">IF(ISNUMBER(C316),C316+N(C317)+C318-C330-C331-N(C332),"n/a")</f>
        <v>152.69999999999996</v>
      </c>
      <c r="D365" s="29">
        <f t="shared" si="347"/>
        <v>153.50000000000003</v>
      </c>
      <c r="E365" s="29">
        <f t="shared" si="347"/>
        <v>177.79999999999998</v>
      </c>
      <c r="F365" s="29">
        <f t="shared" si="347"/>
        <v>132.5</v>
      </c>
      <c r="G365" s="29">
        <f t="shared" si="347"/>
        <v>149.19999999999999</v>
      </c>
      <c r="H365" s="29">
        <f t="shared" si="347"/>
        <v>156.59999999999997</v>
      </c>
      <c r="I365" s="29">
        <f t="shared" si="347"/>
        <v>226.2</v>
      </c>
      <c r="J365" s="29"/>
      <c r="K365" s="29"/>
      <c r="L365" s="29"/>
      <c r="M365" s="29"/>
      <c r="N365" s="29"/>
      <c r="O365" s="29">
        <f>IF(ISNUMBER(O316),O316+N(O317)+O318-O330-O331-N(O332),"n/a")</f>
        <v>257.69999999999993</v>
      </c>
      <c r="P365" s="29"/>
      <c r="Q365" s="29"/>
      <c r="R365" s="29"/>
      <c r="S365" s="29"/>
      <c r="T365" s="29"/>
      <c r="U365" s="29">
        <f>IF(ISNUMBER(U316),U316+N(U317)+U318-U330-U331-N(U332),"n/a")</f>
        <v>259.70000000000005</v>
      </c>
      <c r="V365" s="29"/>
      <c r="W365" s="29"/>
      <c r="X365" s="29"/>
      <c r="Y365" s="29"/>
      <c r="Z365" s="29"/>
      <c r="AA365" s="29">
        <f>IF(ISNUMBER(AA316),AA316+N(AA317)+AA318-AA330-AA331-N(AA332),"n/a")</f>
        <v>307.70000000000005</v>
      </c>
      <c r="AB365" s="29"/>
      <c r="AC365" s="29"/>
      <c r="AD365" s="29"/>
      <c r="AE365" s="29"/>
      <c r="AF365" s="29"/>
      <c r="AG365" s="29">
        <f>IF(ISNUMBER(AG316),AG316+N(AG317)+AG318-AG330-AG331-N(AG332),"n/a")</f>
        <v>298.09999999999991</v>
      </c>
      <c r="AH365" s="29"/>
      <c r="AI365" s="29"/>
      <c r="AJ365" s="29"/>
      <c r="AK365" s="29"/>
      <c r="AL365" s="29"/>
      <c r="AM365" s="29">
        <f>IF(ISNUMBER(AM316),AM316+N(AM317)+AM318-AM330-AM331-N(AM332),"n/a")</f>
        <v>341.2999999999999</v>
      </c>
      <c r="AN365" s="29"/>
      <c r="AO365" s="29"/>
      <c r="AP365" s="29"/>
      <c r="AQ365" s="29"/>
      <c r="AR365" s="29"/>
      <c r="AS365" s="29">
        <f>IF(ISNUMBER(AS316),AS316+N(AS317)+AS318-AS330-AS331-N(AS332),"n/a")</f>
        <v>342.69999999999993</v>
      </c>
      <c r="AT365" s="29"/>
      <c r="AU365" s="29"/>
      <c r="AV365" s="29"/>
      <c r="AW365" s="29"/>
      <c r="AX365" s="29"/>
      <c r="AY365" s="29">
        <f>IF(ISNUMBER(AY316),AY316+N(AY317)+AY318-AY330-AY331-N(AY332),"n/a")</f>
        <v>391.7</v>
      </c>
      <c r="AZ365" s="29"/>
      <c r="BA365" s="29"/>
      <c r="BB365" s="29"/>
      <c r="BC365" s="29"/>
      <c r="BD365" s="29"/>
      <c r="BE365" s="29">
        <f>IF(ISNUMBER(BE316),BE316+N(BE317)+BE318-BE330-BE331-N(BE332),"n/a")</f>
        <v>308.10000000000002</v>
      </c>
      <c r="BF365" s="29"/>
      <c r="BG365" s="29"/>
      <c r="BH365" s="29"/>
      <c r="BI365" s="29"/>
      <c r="BJ365" s="29"/>
      <c r="BK365" s="29">
        <f>IF(ISNUMBER(BK316),BK316+N(BK317)+BK318-BK330-BK331-N(BK332),"n/a")</f>
        <v>338.3000000000003</v>
      </c>
      <c r="BL365" s="29"/>
      <c r="BM365" s="29"/>
      <c r="BN365" s="29"/>
      <c r="BO365" s="29"/>
      <c r="BP365" s="29"/>
      <c r="BQ365" s="29">
        <f>IF(ISNUMBER(BQ316),BQ316+N(BQ317)+BQ318-BQ330-BQ331-N(BQ332),"n/a")</f>
        <v>825.8000000000003</v>
      </c>
      <c r="BR365" s="29"/>
      <c r="BS365" s="29"/>
      <c r="BT365" s="29"/>
      <c r="BU365" s="29"/>
      <c r="BV365" s="29"/>
      <c r="BW365" s="29">
        <f>IF(ISNUMBER(BW316),BW316+N(BW317)+BW318-BW330-BW331-N(BW332),"n/a")</f>
        <v>953.80000000000007</v>
      </c>
      <c r="BX365" s="29"/>
      <c r="BY365" s="29"/>
      <c r="BZ365" s="29"/>
      <c r="CA365" s="29"/>
      <c r="CB365" s="29"/>
      <c r="CC365" s="29">
        <f>IF(ISNUMBER(CC316),CC316+N(CC317)+CC318-CC330-CC331-N(CC332),"n/a")</f>
        <v>866.29999999999984</v>
      </c>
      <c r="CD365" s="29"/>
      <c r="CE365" s="29"/>
      <c r="CF365" s="29"/>
      <c r="CG365" s="29"/>
      <c r="CH365" s="29"/>
      <c r="CI365" s="29">
        <f>IF(ISNUMBER(CI316),CI316+N(CI317)+CI318-CI330-CI331-N(CI332),"n/a")</f>
        <v>1000.3000000000003</v>
      </c>
      <c r="CJ365" s="29"/>
      <c r="CK365" s="29"/>
      <c r="CL365" s="29">
        <f>IF(ISNUMBER(CL316),CL316+N(CL317)+CL318-CL330-CL331-N(CL332),"n/a")</f>
        <v>1062.5999999999999</v>
      </c>
      <c r="CM365" s="31"/>
      <c r="CN365" s="31"/>
      <c r="CO365" s="31">
        <f>CO316+N(CO317)+CO318-CO330-CO331-N(CO332)</f>
        <v>1097.6509791081396</v>
      </c>
      <c r="CP365" s="31">
        <f>CP316+N(CP317)+CP318-CP330-CP331-N(CP332)</f>
        <v>1160.4051750222086</v>
      </c>
      <c r="CQ365" s="31">
        <f>CQ316+N(CQ317)+CQ318-CQ330-CQ331-N(CQ332)</f>
        <v>1242.1631664125011</v>
      </c>
      <c r="CR365" s="31">
        <f>CR316+N(CR317)+CR318-CR330-CR331-N(CR332)</f>
        <v>1328.1083321458214</v>
      </c>
      <c r="CS365" s="31">
        <f>CS316+N(CS317)+CS318-CS330-CS331-N(CS332)</f>
        <v>1429.5967272333824</v>
      </c>
      <c r="CT365" s="22"/>
      <c r="CV365" s="6"/>
      <c r="CW365" s="6"/>
      <c r="CX365" s="6"/>
      <c r="CY365" s="6"/>
    </row>
    <row r="366" spans="2:103" ht="15" hidden="1" customHeight="1" outlineLevel="1" x14ac:dyDescent="0.25">
      <c r="B366" s="25" t="s">
        <v>508</v>
      </c>
      <c r="C366" s="39">
        <f>IFERROR(C365/C152,"n/a")</f>
        <v>0.10654479486463854</v>
      </c>
      <c r="D366" s="39">
        <f>IFERROR(D365/D152,"n/a")</f>
        <v>9.4618751155766526E-2</v>
      </c>
      <c r="E366" s="39">
        <f>IFERROR(E365/E152,"n/a")</f>
        <v>0.10325203252032519</v>
      </c>
      <c r="F366" s="39">
        <f>IFERROR(F365/F152,"n/a")</f>
        <v>8.0200956358573938E-2</v>
      </c>
      <c r="G366" s="39">
        <f>IFERROR(G365/G152,"n/a")</f>
        <v>9.0743218586546645E-2</v>
      </c>
      <c r="H366" s="39">
        <f>IFERROR(H365/H152,"n/a")</f>
        <v>8.0642669550440263E-2</v>
      </c>
      <c r="I366" s="39">
        <f>IFERROR(I365/I152,"n/a")</f>
        <v>0.10633197010294738</v>
      </c>
      <c r="J366" s="39"/>
      <c r="K366" s="39"/>
      <c r="L366" s="39"/>
      <c r="M366" s="39"/>
      <c r="N366" s="39"/>
      <c r="O366" s="39">
        <f>IFERROR(O365/O152,"n/a")</f>
        <v>0.11019413324211064</v>
      </c>
      <c r="P366" s="39"/>
      <c r="Q366" s="39"/>
      <c r="R366" s="39"/>
      <c r="S366" s="39"/>
      <c r="T366" s="39"/>
      <c r="U366" s="39">
        <f>IFERROR(U365/U152,"n/a")</f>
        <v>0.1084795321637427</v>
      </c>
      <c r="V366" s="39"/>
      <c r="W366" s="39"/>
      <c r="X366" s="39"/>
      <c r="Y366" s="39"/>
      <c r="Z366" s="39"/>
      <c r="AA366" s="39">
        <f>IFERROR(AA365/AA152,"n/a")</f>
        <v>0.13389321613506813</v>
      </c>
      <c r="AB366" s="39"/>
      <c r="AC366" s="39"/>
      <c r="AD366" s="39"/>
      <c r="AE366" s="39"/>
      <c r="AF366" s="39"/>
      <c r="AG366" s="39">
        <f>IFERROR(AG365/AG152,"n/a")</f>
        <v>0.13865761198195259</v>
      </c>
      <c r="AH366" s="39"/>
      <c r="AI366" s="39"/>
      <c r="AJ366" s="39"/>
      <c r="AK366" s="39"/>
      <c r="AL366" s="39"/>
      <c r="AM366" s="39">
        <f>IFERROR(AM365/AM152,"n/a")</f>
        <v>0.1310776557339273</v>
      </c>
      <c r="AN366" s="39"/>
      <c r="AO366" s="39"/>
      <c r="AP366" s="39"/>
      <c r="AQ366" s="39"/>
      <c r="AR366" s="39"/>
      <c r="AS366" s="39">
        <f>IFERROR(AS365/AS152,"n/a")</f>
        <v>0.11809911089668479</v>
      </c>
      <c r="AT366" s="39"/>
      <c r="AU366" s="39"/>
      <c r="AV366" s="39"/>
      <c r="AW366" s="39"/>
      <c r="AX366" s="39"/>
      <c r="AY366" s="39">
        <f>IFERROR(AY365/AY152,"n/a")</f>
        <v>0.12381464154760399</v>
      </c>
      <c r="AZ366" s="39"/>
      <c r="BA366" s="39"/>
      <c r="BB366" s="39"/>
      <c r="BC366" s="39"/>
      <c r="BD366" s="39"/>
      <c r="BE366" s="39">
        <f>IFERROR(BE365/BE152,"n/a")</f>
        <v>9.9831508003369859E-2</v>
      </c>
      <c r="BF366" s="39"/>
      <c r="BG366" s="39"/>
      <c r="BH366" s="39"/>
      <c r="BI366" s="39"/>
      <c r="BJ366" s="39"/>
      <c r="BK366" s="39">
        <f>IFERROR(BK365/BK152,"n/a")</f>
        <v>7.3315562490518668E-2</v>
      </c>
      <c r="BL366" s="39"/>
      <c r="BM366" s="39"/>
      <c r="BN366" s="39"/>
      <c r="BO366" s="39"/>
      <c r="BP366" s="39"/>
      <c r="BQ366" s="39">
        <f>IFERROR(BQ365/BQ152,"n/a")</f>
        <v>0.15128421206902873</v>
      </c>
      <c r="BR366" s="39"/>
      <c r="BS366" s="39"/>
      <c r="BT366" s="39"/>
      <c r="BU366" s="39"/>
      <c r="BV366" s="39"/>
      <c r="BW366" s="39">
        <f>IFERROR(BW365/BW152,"n/a")</f>
        <v>0.1692485138851921</v>
      </c>
      <c r="BX366" s="39"/>
      <c r="BY366" s="39"/>
      <c r="BZ366" s="39"/>
      <c r="CA366" s="39"/>
      <c r="CB366" s="39"/>
      <c r="CC366" s="39">
        <f>IFERROR(CC365/CC152,"n/a")</f>
        <v>0.15278659611992942</v>
      </c>
      <c r="CD366" s="39"/>
      <c r="CE366" s="39"/>
      <c r="CF366" s="39"/>
      <c r="CG366" s="39"/>
      <c r="CH366" s="39"/>
      <c r="CI366" s="39">
        <f>IFERROR(CI365/CI152,"n/a")</f>
        <v>0.1635706576838801</v>
      </c>
      <c r="CJ366" s="39"/>
      <c r="CK366" s="39"/>
      <c r="CL366" s="39"/>
      <c r="CM366" s="27"/>
      <c r="CN366" s="27"/>
      <c r="CO366" s="27">
        <f>IFERROR(CO365/CO152,"n/a")</f>
        <v>0.16416939707336864</v>
      </c>
      <c r="CP366" s="27">
        <f>IFERROR(CP365/CP152,"n/a")</f>
        <v>0.16161643835616432</v>
      </c>
      <c r="CQ366" s="27">
        <f>IFERROR(CQ365/CQ152,"n/a")</f>
        <v>0.15820821917808223</v>
      </c>
      <c r="CR366" s="27">
        <f>IFERROR(CR365/CR152,"n/a")</f>
        <v>0.15482191780821922</v>
      </c>
      <c r="CS366" s="27">
        <f>IFERROR(CS365/CS152,"n/a")</f>
        <v>0.15298630136986305</v>
      </c>
      <c r="CT366" s="22"/>
      <c r="CV366" s="40">
        <f>IFERROR(AVERAGE(CO366,CP366,CQ366,CR366,CS366),"n/m")</f>
        <v>0.1583604547571395</v>
      </c>
      <c r="CW366" s="40">
        <f>IFERROR(AVERAGE(BK366,BQ366,BW366,CC366,CI366),"n/m")</f>
        <v>0.1420411084497098</v>
      </c>
      <c r="CX366" s="40">
        <f>IFERROR(AVERAGE(AG366,AM366,AS366,AY366,BE366,BK366,BQ366,BW366,CC366,CI366),"n/m")</f>
        <v>0.13216860704120875</v>
      </c>
      <c r="CY366" s="40">
        <f>IFERROR(AVERAGE(C366,D366,E366,F366,G366,H366,I366,O366,U366,AA366,AG366,AM366,AS366,AY366,BE366,BK366,BQ366,BW366,CC366,CI366),"n/m")</f>
        <v>0.11682936725461238</v>
      </c>
    </row>
    <row r="367" spans="2:103" ht="15" hidden="1" customHeight="1" outlineLevel="1" x14ac:dyDescent="0.25">
      <c r="B367" s="12" t="s">
        <v>509</v>
      </c>
      <c r="C367" s="29"/>
      <c r="D367" s="29">
        <f t="shared" ref="D367:I367" si="348">IFERROR(D365-C365,"n/a")</f>
        <v>0.80000000000006821</v>
      </c>
      <c r="E367" s="29">
        <f t="shared" si="348"/>
        <v>24.299999999999955</v>
      </c>
      <c r="F367" s="29">
        <f t="shared" si="348"/>
        <v>-45.299999999999983</v>
      </c>
      <c r="G367" s="29">
        <f t="shared" si="348"/>
        <v>16.699999999999989</v>
      </c>
      <c r="H367" s="29">
        <f t="shared" si="348"/>
        <v>7.3999999999999773</v>
      </c>
      <c r="I367" s="29">
        <f t="shared" si="348"/>
        <v>69.600000000000023</v>
      </c>
      <c r="J367" s="29"/>
      <c r="K367" s="29"/>
      <c r="L367" s="29"/>
      <c r="M367" s="29"/>
      <c r="N367" s="29"/>
      <c r="O367" s="29">
        <f>IFERROR(O365-I365,"n/a")</f>
        <v>31.499999999999943</v>
      </c>
      <c r="P367" s="29"/>
      <c r="Q367" s="29"/>
      <c r="R367" s="29"/>
      <c r="S367" s="29"/>
      <c r="T367" s="29"/>
      <c r="U367" s="29">
        <f>IFERROR(U365-O365,"n/a")</f>
        <v>2.0000000000001137</v>
      </c>
      <c r="V367" s="29"/>
      <c r="W367" s="29"/>
      <c r="X367" s="29"/>
      <c r="Y367" s="29"/>
      <c r="Z367" s="29"/>
      <c r="AA367" s="29">
        <f>IFERROR(AA365-U365,"n/a")</f>
        <v>48</v>
      </c>
      <c r="AB367" s="29"/>
      <c r="AC367" s="29"/>
      <c r="AD367" s="29"/>
      <c r="AE367" s="29"/>
      <c r="AF367" s="29"/>
      <c r="AG367" s="29">
        <f>IFERROR(AG365-AA365,"n/a")</f>
        <v>-9.6000000000001364</v>
      </c>
      <c r="AH367" s="29"/>
      <c r="AI367" s="29"/>
      <c r="AJ367" s="29"/>
      <c r="AK367" s="29"/>
      <c r="AL367" s="29"/>
      <c r="AM367" s="29">
        <f>IFERROR(AM365-AG365,"n/a")</f>
        <v>43.199999999999989</v>
      </c>
      <c r="AN367" s="29"/>
      <c r="AO367" s="29"/>
      <c r="AP367" s="29"/>
      <c r="AQ367" s="29"/>
      <c r="AR367" s="29"/>
      <c r="AS367" s="29">
        <f>IFERROR(AS365-AM365,"n/a")</f>
        <v>1.4000000000000341</v>
      </c>
      <c r="AT367" s="29"/>
      <c r="AU367" s="29"/>
      <c r="AV367" s="29"/>
      <c r="AW367" s="29"/>
      <c r="AX367" s="29"/>
      <c r="AY367" s="29">
        <f>IFERROR(AY365-AS365,"n/a")</f>
        <v>49.000000000000057</v>
      </c>
      <c r="AZ367" s="29"/>
      <c r="BA367" s="29"/>
      <c r="BB367" s="29"/>
      <c r="BC367" s="29"/>
      <c r="BD367" s="29"/>
      <c r="BE367" s="29">
        <f>IFERROR(BE365-AY365,"n/a")</f>
        <v>-83.599999999999966</v>
      </c>
      <c r="BF367" s="29"/>
      <c r="BG367" s="29"/>
      <c r="BH367" s="29"/>
      <c r="BI367" s="29"/>
      <c r="BJ367" s="29"/>
      <c r="BK367" s="29">
        <f>IFERROR(BK365-BE365,"n/a")</f>
        <v>30.200000000000273</v>
      </c>
      <c r="BL367" s="29"/>
      <c r="BM367" s="29"/>
      <c r="BN367" s="29"/>
      <c r="BO367" s="29"/>
      <c r="BP367" s="29"/>
      <c r="BQ367" s="29">
        <f>IFERROR(BQ365-BK365,"n/a")</f>
        <v>487.5</v>
      </c>
      <c r="BR367" s="29"/>
      <c r="BS367" s="29"/>
      <c r="BT367" s="29"/>
      <c r="BU367" s="29"/>
      <c r="BV367" s="29"/>
      <c r="BW367" s="29">
        <f>IFERROR(BW365-BQ365,"n/a")</f>
        <v>127.99999999999977</v>
      </c>
      <c r="BX367" s="29"/>
      <c r="BY367" s="29"/>
      <c r="BZ367" s="29"/>
      <c r="CA367" s="29"/>
      <c r="CB367" s="29"/>
      <c r="CC367" s="29">
        <f>IFERROR(CC365-BW365,"n/a")</f>
        <v>-87.500000000000227</v>
      </c>
      <c r="CD367" s="29"/>
      <c r="CE367" s="29"/>
      <c r="CF367" s="29"/>
      <c r="CG367" s="29"/>
      <c r="CH367" s="29"/>
      <c r="CI367" s="29">
        <f>IFERROR(CI365-CC365,"n/a")</f>
        <v>134.00000000000045</v>
      </c>
      <c r="CJ367" s="29"/>
      <c r="CK367" s="29"/>
      <c r="CL367" s="29"/>
      <c r="CM367" s="31"/>
      <c r="CN367" s="31"/>
      <c r="CO367" s="31">
        <f>IFERROR(CO365-CI365,"n/a")</f>
        <v>97.350979108139313</v>
      </c>
      <c r="CP367" s="31">
        <f>IFERROR(CP365-CO365,"n/a")</f>
        <v>62.754195914068987</v>
      </c>
      <c r="CQ367" s="31">
        <f>IFERROR(CQ365-CP365,"n/a")</f>
        <v>81.757991390292545</v>
      </c>
      <c r="CR367" s="31">
        <f>IFERROR(CR365-CQ365,"n/a")</f>
        <v>85.945165733320209</v>
      </c>
      <c r="CS367" s="31">
        <f>IFERROR(CS365-CR365,"n/a")</f>
        <v>101.488395087561</v>
      </c>
      <c r="CT367" s="22"/>
      <c r="CV367" s="6"/>
      <c r="CW367" s="6"/>
      <c r="CX367" s="6"/>
      <c r="CY367" s="6"/>
    </row>
    <row r="368" spans="2:103" ht="15" hidden="1" customHeight="1" outlineLevel="1" x14ac:dyDescent="0.25">
      <c r="B368" s="12"/>
      <c r="CM368" s="6"/>
      <c r="CN368" s="6"/>
      <c r="CO368" s="6"/>
      <c r="CP368" s="6"/>
      <c r="CQ368" s="6"/>
      <c r="CR368" s="6"/>
      <c r="CS368" s="6"/>
      <c r="CT368" s="6"/>
    </row>
    <row r="369" spans="2:103" ht="15" hidden="1" customHeight="1" outlineLevel="1" x14ac:dyDescent="0.25">
      <c r="B369" s="11" t="s">
        <v>510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 t="s">
        <v>511</v>
      </c>
    </row>
    <row r="370" spans="2:103" ht="15" hidden="1" customHeight="1" outlineLevel="1" x14ac:dyDescent="0.25">
      <c r="B370" s="16" t="s">
        <v>512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</row>
    <row r="371" spans="2:103" ht="15" hidden="1" customHeight="1" outlineLevel="1" x14ac:dyDescent="0.25">
      <c r="B371" s="46" t="s">
        <v>513</v>
      </c>
      <c r="C371" s="29">
        <f>N(C125)</f>
        <v>7.7</v>
      </c>
      <c r="D371" s="29">
        <f>N(D125)</f>
        <v>6.4</v>
      </c>
      <c r="E371" s="29">
        <f>N(E125)</f>
        <v>15.8</v>
      </c>
      <c r="F371" s="29">
        <f>N(F125)</f>
        <v>12.4</v>
      </c>
      <c r="G371" s="29">
        <f>N(G125)</f>
        <v>14.1</v>
      </c>
      <c r="H371" s="29">
        <f>N(H125)</f>
        <v>24.6</v>
      </c>
      <c r="I371" s="29">
        <f>N(I125)</f>
        <v>29.4</v>
      </c>
      <c r="J371" s="29"/>
      <c r="K371" s="29"/>
      <c r="L371" s="29"/>
      <c r="M371" s="29"/>
      <c r="N371" s="29"/>
      <c r="O371" s="29">
        <f>N(O125)</f>
        <v>31.5</v>
      </c>
      <c r="P371" s="29"/>
      <c r="Q371" s="29"/>
      <c r="R371" s="29"/>
      <c r="S371" s="29"/>
      <c r="T371" s="29"/>
      <c r="U371" s="29">
        <f>N(U125)</f>
        <v>32</v>
      </c>
      <c r="V371" s="29"/>
      <c r="W371" s="29"/>
      <c r="X371" s="29"/>
      <c r="Y371" s="29"/>
      <c r="Z371" s="29"/>
      <c r="AA371" s="29">
        <f>N(AA125)</f>
        <v>30.6</v>
      </c>
      <c r="AB371" s="29"/>
      <c r="AC371" s="29"/>
      <c r="AD371" s="29"/>
      <c r="AE371" s="29"/>
      <c r="AF371" s="29"/>
      <c r="AG371" s="29">
        <f>N(AG125)</f>
        <v>28.3</v>
      </c>
      <c r="AH371" s="29"/>
      <c r="AI371" s="29"/>
      <c r="AJ371" s="29"/>
      <c r="AK371" s="29"/>
      <c r="AL371" s="29"/>
      <c r="AM371" s="29">
        <f>N(AM125)</f>
        <v>41.4</v>
      </c>
      <c r="AN371" s="29"/>
      <c r="AO371" s="29"/>
      <c r="AP371" s="29"/>
      <c r="AQ371" s="29"/>
      <c r="AR371" s="29"/>
      <c r="AS371" s="29">
        <f>N(AS125)</f>
        <v>39.5</v>
      </c>
      <c r="AT371" s="29"/>
      <c r="AU371" s="29"/>
      <c r="AV371" s="29"/>
      <c r="AW371" s="29"/>
      <c r="AX371" s="29"/>
      <c r="AY371" s="29">
        <f>N(AY125)</f>
        <v>36.5</v>
      </c>
      <c r="AZ371" s="29"/>
      <c r="BA371" s="29"/>
      <c r="BB371" s="29"/>
      <c r="BC371" s="29"/>
      <c r="BD371" s="29"/>
      <c r="BE371" s="29">
        <f>N(BE125)</f>
        <v>38.799999999999997</v>
      </c>
      <c r="BF371" s="29"/>
      <c r="BG371" s="29"/>
      <c r="BH371" s="29"/>
      <c r="BI371" s="29"/>
      <c r="BJ371" s="29"/>
      <c r="BK371" s="29">
        <f>N(BK125)</f>
        <v>149.30000000000001</v>
      </c>
      <c r="BL371" s="29"/>
      <c r="BM371" s="29"/>
      <c r="BN371" s="29"/>
      <c r="BO371" s="29"/>
      <c r="BP371" s="29"/>
      <c r="BQ371" s="29">
        <f>N(BQ125)</f>
        <v>201.7</v>
      </c>
      <c r="BR371" s="29"/>
      <c r="BS371" s="29"/>
      <c r="BT371" s="29"/>
      <c r="BU371" s="29"/>
      <c r="BV371" s="29"/>
      <c r="BW371" s="29">
        <f>N(BW125)</f>
        <v>196.7</v>
      </c>
      <c r="BX371" s="29"/>
      <c r="BY371" s="29"/>
      <c r="BZ371" s="29"/>
      <c r="CA371" s="29"/>
      <c r="CB371" s="29"/>
      <c r="CC371" s="29">
        <f>N(CC125)</f>
        <v>198</v>
      </c>
      <c r="CD371" s="29"/>
      <c r="CE371" s="29"/>
      <c r="CF371" s="29"/>
      <c r="CG371" s="29"/>
      <c r="CH371" s="29"/>
      <c r="CI371" s="29">
        <f>N(CI125)</f>
        <v>216.6</v>
      </c>
      <c r="CJ371" s="29"/>
      <c r="CK371" s="29"/>
      <c r="CL371" s="29">
        <f>N(CL125)</f>
        <v>113.6</v>
      </c>
      <c r="CM371" s="31"/>
      <c r="CN371" s="31"/>
      <c r="CO371" s="32">
        <v>226</v>
      </c>
      <c r="CP371" s="32">
        <v>211.8</v>
      </c>
      <c r="CQ371" s="32">
        <v>208.9</v>
      </c>
      <c r="CR371" s="32">
        <v>165</v>
      </c>
      <c r="CS371" s="32">
        <v>138.80000000000001</v>
      </c>
      <c r="CT371" s="22" t="s">
        <v>514</v>
      </c>
      <c r="CV371" s="6"/>
      <c r="CW371" s="6"/>
      <c r="CX371" s="6"/>
      <c r="CY371" s="6"/>
    </row>
    <row r="372" spans="2:103" ht="15" hidden="1" customHeight="1" outlineLevel="1" x14ac:dyDescent="0.25">
      <c r="B372" s="46" t="s">
        <v>515</v>
      </c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27"/>
      <c r="CN372" s="27"/>
      <c r="CO372" s="45">
        <v>0.3</v>
      </c>
      <c r="CP372" s="27"/>
      <c r="CQ372" s="27"/>
      <c r="CR372" s="27"/>
      <c r="CS372" s="27"/>
      <c r="CT372" s="22" t="s">
        <v>516</v>
      </c>
      <c r="CV372" s="6"/>
      <c r="CW372" s="6"/>
      <c r="CX372" s="6"/>
      <c r="CY372" s="6"/>
    </row>
    <row r="373" spans="2:103" ht="15" hidden="1" customHeight="1" outlineLevel="1" x14ac:dyDescent="0.25">
      <c r="B373" s="46" t="s">
        <v>517</v>
      </c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2"/>
      <c r="CN373" s="52"/>
      <c r="CO373" s="53">
        <v>0.6</v>
      </c>
      <c r="CP373" s="53">
        <v>0.6</v>
      </c>
      <c r="CQ373" s="53">
        <v>0.6</v>
      </c>
      <c r="CR373" s="53">
        <v>0.6</v>
      </c>
      <c r="CS373" s="53">
        <v>0.6</v>
      </c>
      <c r="CT373" s="22"/>
      <c r="CV373" s="6"/>
      <c r="CW373" s="6"/>
      <c r="CX373" s="6"/>
      <c r="CY373" s="6"/>
    </row>
    <row r="374" spans="2:103" ht="15" hidden="1" customHeight="1" outlineLevel="1" x14ac:dyDescent="0.25">
      <c r="B374" s="46" t="s">
        <v>518</v>
      </c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27"/>
      <c r="CN374" s="27"/>
      <c r="CO374" s="27"/>
      <c r="CP374" s="45">
        <v>7.0000000000000007E-2</v>
      </c>
      <c r="CQ374" s="45">
        <v>7.0000000000000007E-2</v>
      </c>
      <c r="CR374" s="45">
        <v>7.0000000000000007E-2</v>
      </c>
      <c r="CS374" s="45">
        <v>7.0000000000000007E-2</v>
      </c>
      <c r="CT374" s="22"/>
      <c r="CV374" s="6"/>
      <c r="CW374" s="6"/>
      <c r="CX374" s="6"/>
      <c r="CY374" s="6"/>
    </row>
    <row r="375" spans="2:103" ht="15" hidden="1" customHeight="1" outlineLevel="1" x14ac:dyDescent="0.25">
      <c r="B375" s="16" t="s">
        <v>519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</row>
    <row r="376" spans="2:103" ht="15" hidden="1" customHeight="1" outlineLevel="1" x14ac:dyDescent="0.25">
      <c r="B376" s="46" t="s">
        <v>520</v>
      </c>
      <c r="C376" s="29">
        <f t="shared" ref="C376:I376" si="349">IF(ISNUMBER(C336),N(C333)+C336,"")</f>
        <v>231.89999999999998</v>
      </c>
      <c r="D376" s="29">
        <f t="shared" si="349"/>
        <v>143.20000000000002</v>
      </c>
      <c r="E376" s="29">
        <f t="shared" si="349"/>
        <v>333.20000000000005</v>
      </c>
      <c r="F376" s="29">
        <f t="shared" si="349"/>
        <v>252.1</v>
      </c>
      <c r="G376" s="29">
        <f t="shared" si="349"/>
        <v>267.3</v>
      </c>
      <c r="H376" s="29">
        <f t="shared" si="349"/>
        <v>312.79999999999995</v>
      </c>
      <c r="I376" s="29">
        <f t="shared" si="349"/>
        <v>558.20000000000005</v>
      </c>
      <c r="J376" s="29"/>
      <c r="K376" s="29"/>
      <c r="L376" s="29"/>
      <c r="M376" s="29"/>
      <c r="N376" s="29"/>
      <c r="O376" s="29">
        <f>IF(ISNUMBER(O336),N(O333)+O336,"")</f>
        <v>552.5</v>
      </c>
      <c r="P376" s="29"/>
      <c r="Q376" s="29"/>
      <c r="R376" s="29"/>
      <c r="S376" s="29"/>
      <c r="T376" s="29"/>
      <c r="U376" s="29">
        <f>IF(ISNUMBER(U336),N(U333)+U336,"")</f>
        <v>705.1</v>
      </c>
      <c r="V376" s="29"/>
      <c r="W376" s="29"/>
      <c r="X376" s="29"/>
      <c r="Y376" s="29"/>
      <c r="Z376" s="29"/>
      <c r="AA376" s="29">
        <f>IF(ISNUMBER(AA336),N(AA333)+AA336,"")</f>
        <v>780.6</v>
      </c>
      <c r="AB376" s="29"/>
      <c r="AC376" s="29"/>
      <c r="AD376" s="29"/>
      <c r="AE376" s="29"/>
      <c r="AF376" s="29"/>
      <c r="AG376" s="29">
        <f>IF(ISNUMBER(AG336),N(AG333)+AG336,"")</f>
        <v>617.79999999999995</v>
      </c>
      <c r="AH376" s="29"/>
      <c r="AI376" s="29"/>
      <c r="AJ376" s="29"/>
      <c r="AK376" s="29"/>
      <c r="AL376" s="29"/>
      <c r="AM376" s="29">
        <f>IF(ISNUMBER(AM336),N(AM333)+AM336,"")</f>
        <v>1072.8999999999999</v>
      </c>
      <c r="AN376" s="29"/>
      <c r="AO376" s="29"/>
      <c r="AP376" s="29"/>
      <c r="AQ376" s="29"/>
      <c r="AR376" s="29"/>
      <c r="AS376" s="29">
        <f>IF(ISNUMBER(AS336),N(AS333)+AS336,"")</f>
        <v>747.5</v>
      </c>
      <c r="AT376" s="29"/>
      <c r="AU376" s="29"/>
      <c r="AV376" s="29"/>
      <c r="AW376" s="29"/>
      <c r="AX376" s="29"/>
      <c r="AY376" s="29">
        <f>IF(ISNUMBER(AY336),N(AY333)+AY336,"")</f>
        <v>850.6</v>
      </c>
      <c r="AZ376" s="29"/>
      <c r="BA376" s="29"/>
      <c r="BB376" s="29"/>
      <c r="BC376" s="29"/>
      <c r="BD376" s="29"/>
      <c r="BE376" s="29">
        <f>IF(ISNUMBER(BE336),N(BE333)+BE336,"")</f>
        <v>778.5</v>
      </c>
      <c r="BF376" s="29"/>
      <c r="BG376" s="29"/>
      <c r="BH376" s="29"/>
      <c r="BI376" s="29"/>
      <c r="BJ376" s="29"/>
      <c r="BK376" s="29">
        <f>IF(ISNUMBER(BK336),N(BK333)+BK336,"")</f>
        <v>4099.3999999999996</v>
      </c>
      <c r="BL376" s="29"/>
      <c r="BM376" s="29"/>
      <c r="BN376" s="29"/>
      <c r="BO376" s="29"/>
      <c r="BP376" s="29"/>
      <c r="BQ376" s="29">
        <f>IF(ISNUMBER(BQ336),N(BQ333)+BQ336,"")</f>
        <v>3920.6</v>
      </c>
      <c r="BR376" s="29"/>
      <c r="BS376" s="29"/>
      <c r="BT376" s="29"/>
      <c r="BU376" s="29"/>
      <c r="BV376" s="29"/>
      <c r="BW376" s="29">
        <f>IF(ISNUMBER(BW336),N(BW333)+BW336,"")</f>
        <v>3244.9</v>
      </c>
      <c r="BX376" s="29"/>
      <c r="BY376" s="29"/>
      <c r="BZ376" s="29"/>
      <c r="CA376" s="29"/>
      <c r="CB376" s="29"/>
      <c r="CC376" s="29">
        <f>IF(ISNUMBER(CC336),N(CC333)+CC336,"")</f>
        <v>2649</v>
      </c>
      <c r="CD376" s="29"/>
      <c r="CE376" s="29"/>
      <c r="CF376" s="29"/>
      <c r="CG376" s="29"/>
      <c r="CH376" s="29"/>
      <c r="CI376" s="29">
        <f>IF(ISNUMBER(CI336),N(CI333)+CI336,"")</f>
        <v>2475.4</v>
      </c>
      <c r="CJ376" s="29"/>
      <c r="CK376" s="29"/>
      <c r="CL376" s="29">
        <f>IF(ISNUMBER(CL336),N(CL333)+CL336,"")</f>
        <v>2027</v>
      </c>
      <c r="CM376" s="31"/>
      <c r="CN376" s="31"/>
      <c r="CO376" s="31">
        <f>CI376+CO377+CO383</f>
        <v>2025.3000000000002</v>
      </c>
      <c r="CP376" s="31">
        <f>CO376+CP377+CP379+CP383-CO383</f>
        <v>2127.4646245036611</v>
      </c>
      <c r="CQ376" s="31">
        <f>CP376+CQ377+CQ379+CQ383-CP383</f>
        <v>2319.9556278990467</v>
      </c>
      <c r="CR376" s="31">
        <f>CQ376+CR377+CR379+CR383-CQ383</f>
        <v>2524.438360068355</v>
      </c>
      <c r="CS376" s="31">
        <f>CR376+CS377+CS379+CS383-CR383</f>
        <v>2744.7772354200833</v>
      </c>
      <c r="CT376" s="22" t="s">
        <v>521</v>
      </c>
      <c r="CV376" s="6"/>
      <c r="CW376" s="6"/>
      <c r="CX376" s="6"/>
      <c r="CY376" s="6"/>
    </row>
    <row r="377" spans="2:103" ht="15" hidden="1" customHeight="1" outlineLevel="1" x14ac:dyDescent="0.25">
      <c r="B377" s="46" t="s">
        <v>522</v>
      </c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31"/>
      <c r="CN377" s="31"/>
      <c r="CO377" s="32">
        <v>-450.1</v>
      </c>
      <c r="CP377" s="32">
        <v>0</v>
      </c>
      <c r="CQ377" s="32">
        <v>-700</v>
      </c>
      <c r="CR377" s="32">
        <v>0</v>
      </c>
      <c r="CS377" s="32">
        <v>-427.3</v>
      </c>
      <c r="CT377" s="22" t="s">
        <v>523</v>
      </c>
      <c r="CV377" s="6"/>
      <c r="CW377" s="6"/>
      <c r="CX377" s="6"/>
      <c r="CY377" s="6"/>
    </row>
    <row r="378" spans="2:103" ht="15" hidden="1" customHeight="1" outlineLevel="1" x14ac:dyDescent="0.25">
      <c r="B378" s="46" t="s">
        <v>724</v>
      </c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  <c r="AM378" s="135"/>
      <c r="AN378" s="135"/>
      <c r="AO378" s="135"/>
      <c r="AP378" s="135"/>
      <c r="AQ378" s="135"/>
      <c r="AR378" s="135"/>
      <c r="AS378" s="135"/>
      <c r="AT378" s="135"/>
      <c r="AU378" s="135"/>
      <c r="AV378" s="135"/>
      <c r="AW378" s="135"/>
      <c r="AX378" s="135"/>
      <c r="AY378" s="135"/>
      <c r="AZ378" s="135"/>
      <c r="BA378" s="135"/>
      <c r="BB378" s="135"/>
      <c r="BC378" s="135"/>
      <c r="BD378" s="135"/>
      <c r="BE378" s="135"/>
      <c r="BF378" s="135"/>
      <c r="BG378" s="135"/>
      <c r="BH378" s="135"/>
      <c r="BI378" s="135"/>
      <c r="BJ378" s="135"/>
      <c r="BK378" s="135"/>
      <c r="BL378" s="135"/>
      <c r="BM378" s="135"/>
      <c r="BN378" s="135"/>
      <c r="BO378" s="135"/>
      <c r="BP378" s="135"/>
      <c r="BQ378" s="135"/>
      <c r="BR378" s="135"/>
      <c r="BS378" s="135"/>
      <c r="BT378" s="135"/>
      <c r="BU378" s="135"/>
      <c r="BV378" s="135"/>
      <c r="BW378" s="135"/>
      <c r="BX378" s="135"/>
      <c r="BY378" s="135"/>
      <c r="BZ378" s="135"/>
      <c r="CA378" s="135"/>
      <c r="CB378" s="135"/>
      <c r="CC378" s="135"/>
      <c r="CD378" s="135"/>
      <c r="CE378" s="135"/>
      <c r="CF378" s="135"/>
      <c r="CG378" s="135"/>
      <c r="CH378" s="135"/>
      <c r="CI378" s="135"/>
      <c r="CJ378" s="135"/>
      <c r="CK378" s="135"/>
      <c r="CL378" s="135"/>
      <c r="CM378" s="136"/>
      <c r="CN378" s="136"/>
      <c r="CO378" s="137"/>
      <c r="CP378" s="137">
        <v>1</v>
      </c>
      <c r="CQ378" s="137">
        <v>1</v>
      </c>
      <c r="CR378" s="137">
        <v>1</v>
      </c>
      <c r="CS378" s="137">
        <v>1</v>
      </c>
      <c r="CT378" s="22" t="s">
        <v>730</v>
      </c>
      <c r="CV378" s="6"/>
      <c r="CW378" s="6"/>
      <c r="CX378" s="6"/>
      <c r="CY378" s="6"/>
    </row>
    <row r="379" spans="2:103" ht="15" hidden="1" customHeight="1" outlineLevel="1" x14ac:dyDescent="0.25">
      <c r="B379" s="12" t="s">
        <v>725</v>
      </c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31"/>
      <c r="CN379" s="31"/>
      <c r="CO379" s="31"/>
      <c r="CP379" s="31">
        <f>-CP377*CP378</f>
        <v>0</v>
      </c>
      <c r="CQ379" s="31">
        <f>-CQ377*CQ378</f>
        <v>700</v>
      </c>
      <c r="CR379" s="31">
        <f>-CR377*CR378</f>
        <v>0</v>
      </c>
      <c r="CS379" s="31">
        <f>-CS377*CS378</f>
        <v>427.3</v>
      </c>
      <c r="CT379" s="22" t="s">
        <v>731</v>
      </c>
      <c r="CV379" s="6"/>
      <c r="CW379" s="6"/>
      <c r="CX379" s="6"/>
      <c r="CY379" s="6"/>
    </row>
    <row r="380" spans="2:103" ht="15" hidden="1" customHeight="1" outlineLevel="1" x14ac:dyDescent="0.25">
      <c r="B380" s="12" t="s">
        <v>726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31"/>
      <c r="CN380" s="31"/>
      <c r="CO380" s="134">
        <v>0</v>
      </c>
      <c r="CP380" s="31">
        <f>CO380+CP379</f>
        <v>0</v>
      </c>
      <c r="CQ380" s="31">
        <f>CP380+CQ379</f>
        <v>700</v>
      </c>
      <c r="CR380" s="31">
        <f>CQ380+CR379</f>
        <v>700</v>
      </c>
      <c r="CS380" s="31">
        <f>CR380+CS379</f>
        <v>1127.3</v>
      </c>
      <c r="CT380" s="22" t="s">
        <v>732</v>
      </c>
      <c r="CV380" s="6"/>
      <c r="CW380" s="6"/>
      <c r="CX380" s="6"/>
      <c r="CY380" s="6"/>
    </row>
    <row r="381" spans="2:103" ht="15" hidden="1" customHeight="1" outlineLevel="1" x14ac:dyDescent="0.25">
      <c r="B381" s="12" t="s">
        <v>524</v>
      </c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31"/>
      <c r="CN381" s="31"/>
      <c r="CO381" s="31">
        <f>CI315+CO271+CO276+CO280+CO281+CO282+CO284+CO377</f>
        <v>1002.0015294462595</v>
      </c>
      <c r="CP381" s="31">
        <f>CO315+CP271+CP276+CP280+CP281+CP282+CP284+CP377+CP379</f>
        <v>197.83537549633934</v>
      </c>
      <c r="CQ381" s="31">
        <f>CP315+CQ271+CQ276+CQ280+CQ281+CQ282+CQ284+CQ377+CQ379</f>
        <v>107.50899660461391</v>
      </c>
      <c r="CR381" s="31">
        <f>CQ315+CR271+CR276+CR280+CR281+CR282+CR284+CR377+CR379</f>
        <v>95.517267830691708</v>
      </c>
      <c r="CS381" s="31">
        <f>CR315+CS271+CS276+CS280+CS281+CS282+CS284+CS377+CS379</f>
        <v>79.661124648271652</v>
      </c>
      <c r="CT381" s="22"/>
      <c r="CV381" s="6"/>
      <c r="CW381" s="6"/>
      <c r="CX381" s="6"/>
      <c r="CY381" s="6"/>
    </row>
    <row r="382" spans="2:103" ht="15" hidden="1" customHeight="1" outlineLevel="1" x14ac:dyDescent="0.25">
      <c r="B382" s="46" t="s">
        <v>525</v>
      </c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31"/>
      <c r="CN382" s="31"/>
      <c r="CO382" s="32">
        <v>300</v>
      </c>
      <c r="CP382" s="32">
        <v>300</v>
      </c>
      <c r="CQ382" s="32">
        <v>300</v>
      </c>
      <c r="CR382" s="32">
        <v>300</v>
      </c>
      <c r="CS382" s="32">
        <v>300</v>
      </c>
      <c r="CT382" s="22"/>
      <c r="CV382" s="6"/>
      <c r="CW382" s="6"/>
      <c r="CX382" s="6"/>
      <c r="CY382" s="6"/>
    </row>
    <row r="383" spans="2:103" ht="15" hidden="1" customHeight="1" outlineLevel="1" x14ac:dyDescent="0.25">
      <c r="B383" s="12" t="s">
        <v>526</v>
      </c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31"/>
      <c r="CN383" s="31"/>
      <c r="CO383" s="31">
        <f>MAX(0,CO382-CO381)</f>
        <v>0</v>
      </c>
      <c r="CP383" s="31">
        <f>MAX(0,CO383+CP382-CP381)</f>
        <v>102.16462450366066</v>
      </c>
      <c r="CQ383" s="31">
        <f>MAX(0,CP383+CQ382-CQ381)</f>
        <v>294.65562789904675</v>
      </c>
      <c r="CR383" s="31">
        <f>MAX(0,CQ383+CR382-CR381)</f>
        <v>499.13836006835504</v>
      </c>
      <c r="CS383" s="31">
        <f>MAX(0,CR383+CS382-CS381)</f>
        <v>719.47723542008339</v>
      </c>
      <c r="CT383" s="22" t="s">
        <v>527</v>
      </c>
      <c r="CV383" s="6"/>
      <c r="CW383" s="6"/>
      <c r="CX383" s="6"/>
      <c r="CY383" s="6"/>
    </row>
    <row r="384" spans="2:103" ht="15" hidden="1" customHeight="1" outlineLevel="1" x14ac:dyDescent="0.25">
      <c r="B384" s="12" t="s">
        <v>528</v>
      </c>
      <c r="C384" s="29"/>
      <c r="D384" s="29">
        <f t="shared" ref="D384:I384" si="350">IFERROR(D376-C376,"")</f>
        <v>-88.69999999999996</v>
      </c>
      <c r="E384" s="29">
        <f t="shared" si="350"/>
        <v>190.00000000000003</v>
      </c>
      <c r="F384" s="29">
        <f t="shared" si="350"/>
        <v>-81.100000000000051</v>
      </c>
      <c r="G384" s="29">
        <f t="shared" si="350"/>
        <v>15.200000000000017</v>
      </c>
      <c r="H384" s="29">
        <f t="shared" si="350"/>
        <v>45.499999999999943</v>
      </c>
      <c r="I384" s="29">
        <f t="shared" si="350"/>
        <v>245.40000000000009</v>
      </c>
      <c r="J384" s="29"/>
      <c r="K384" s="29"/>
      <c r="L384" s="29"/>
      <c r="M384" s="29"/>
      <c r="N384" s="29"/>
      <c r="O384" s="29">
        <f>IFERROR(O376-I376,"")</f>
        <v>-5.7000000000000455</v>
      </c>
      <c r="P384" s="29"/>
      <c r="Q384" s="29"/>
      <c r="R384" s="29"/>
      <c r="S384" s="29"/>
      <c r="T384" s="29"/>
      <c r="U384" s="29">
        <f>IFERROR(U376-O376,"")</f>
        <v>152.60000000000002</v>
      </c>
      <c r="V384" s="29"/>
      <c r="W384" s="29"/>
      <c r="X384" s="29"/>
      <c r="Y384" s="29"/>
      <c r="Z384" s="29"/>
      <c r="AA384" s="29">
        <f>IFERROR(AA376-U376,"")</f>
        <v>75.5</v>
      </c>
      <c r="AB384" s="29"/>
      <c r="AC384" s="29"/>
      <c r="AD384" s="29"/>
      <c r="AE384" s="29"/>
      <c r="AF384" s="29"/>
      <c r="AG384" s="29">
        <f>IFERROR(AG376-AA376,"")</f>
        <v>-162.80000000000007</v>
      </c>
      <c r="AH384" s="29"/>
      <c r="AI384" s="29"/>
      <c r="AJ384" s="29"/>
      <c r="AK384" s="29"/>
      <c r="AL384" s="29"/>
      <c r="AM384" s="29">
        <f>IFERROR(AM376-AG376,"")</f>
        <v>455.09999999999991</v>
      </c>
      <c r="AN384" s="29"/>
      <c r="AO384" s="29"/>
      <c r="AP384" s="29"/>
      <c r="AQ384" s="29"/>
      <c r="AR384" s="29"/>
      <c r="AS384" s="29">
        <f>IFERROR(AS376-AM376,"")</f>
        <v>-325.39999999999986</v>
      </c>
      <c r="AT384" s="29"/>
      <c r="AU384" s="29"/>
      <c r="AV384" s="29"/>
      <c r="AW384" s="29"/>
      <c r="AX384" s="29"/>
      <c r="AY384" s="29">
        <f>IFERROR(AY376-AS376,"")</f>
        <v>103.10000000000002</v>
      </c>
      <c r="AZ384" s="29"/>
      <c r="BA384" s="29"/>
      <c r="BB384" s="29"/>
      <c r="BC384" s="29"/>
      <c r="BD384" s="29"/>
      <c r="BE384" s="29">
        <f>IFERROR(BE376-AY376,"")</f>
        <v>-72.100000000000023</v>
      </c>
      <c r="BF384" s="29"/>
      <c r="BG384" s="29"/>
      <c r="BH384" s="29"/>
      <c r="BI384" s="29"/>
      <c r="BJ384" s="29"/>
      <c r="BK384" s="29">
        <f>IFERROR(BK376-BE376,"")</f>
        <v>3320.8999999999996</v>
      </c>
      <c r="BL384" s="29"/>
      <c r="BM384" s="29"/>
      <c r="BN384" s="29"/>
      <c r="BO384" s="29"/>
      <c r="BP384" s="29"/>
      <c r="BQ384" s="29">
        <f>IFERROR(BQ376-BK376,"")</f>
        <v>-178.79999999999973</v>
      </c>
      <c r="BR384" s="29"/>
      <c r="BS384" s="29"/>
      <c r="BT384" s="29"/>
      <c r="BU384" s="29"/>
      <c r="BV384" s="29"/>
      <c r="BW384" s="29">
        <f>IFERROR(BW376-BQ376,"")</f>
        <v>-675.69999999999982</v>
      </c>
      <c r="BX384" s="29"/>
      <c r="BY384" s="29"/>
      <c r="BZ384" s="29"/>
      <c r="CA384" s="29"/>
      <c r="CB384" s="29"/>
      <c r="CC384" s="29">
        <f>IFERROR(CC376-BW376,"")</f>
        <v>-595.90000000000009</v>
      </c>
      <c r="CD384" s="29"/>
      <c r="CE384" s="29"/>
      <c r="CF384" s="29"/>
      <c r="CG384" s="29"/>
      <c r="CH384" s="29"/>
      <c r="CI384" s="29">
        <f>IFERROR(CI376-CC376,"")</f>
        <v>-173.59999999999991</v>
      </c>
      <c r="CJ384" s="29"/>
      <c r="CK384" s="29"/>
      <c r="CL384" s="29"/>
      <c r="CM384" s="31"/>
      <c r="CN384" s="31"/>
      <c r="CO384" s="31">
        <f>CO376-CI376</f>
        <v>-450.09999999999991</v>
      </c>
      <c r="CP384" s="31">
        <f>CP376-CO376</f>
        <v>102.16462450366089</v>
      </c>
      <c r="CQ384" s="31">
        <f>CQ376-CP376</f>
        <v>192.49100339538563</v>
      </c>
      <c r="CR384" s="31">
        <f>CR376-CQ376</f>
        <v>204.48273216930829</v>
      </c>
      <c r="CS384" s="31">
        <f>CS376-CR376</f>
        <v>220.33887535172835</v>
      </c>
      <c r="CT384" s="22"/>
      <c r="CV384" s="6"/>
      <c r="CW384" s="6"/>
      <c r="CX384" s="6"/>
      <c r="CY384" s="6"/>
    </row>
    <row r="385" spans="2:103" ht="15" hidden="1" customHeight="1" outlineLevel="1" x14ac:dyDescent="0.25">
      <c r="B385" s="46" t="s">
        <v>727</v>
      </c>
      <c r="C385" s="39"/>
      <c r="D385" s="39">
        <f>IFERROR(D161/C376,"")</f>
        <v>5.390254420008625E-2</v>
      </c>
      <c r="E385" s="39">
        <f>IFERROR(E161/D376,"")</f>
        <v>7.6117318435754186E-2</v>
      </c>
      <c r="F385" s="39">
        <f>IFERROR(F161/E376,"")</f>
        <v>1.4405762304921967E-2</v>
      </c>
      <c r="G385" s="39">
        <f>IFERROR(G161/F376,"")</f>
        <v>2.5783419278064261E-2</v>
      </c>
      <c r="H385" s="39">
        <f>IFERROR(H161/G376,"")</f>
        <v>6.0606060606060601E-2</v>
      </c>
      <c r="I385" s="39">
        <f>IFERROR(I161/H376,"")</f>
        <v>5.6905370843989778E-2</v>
      </c>
      <c r="J385" s="39"/>
      <c r="K385" s="39"/>
      <c r="L385" s="39"/>
      <c r="M385" s="39"/>
      <c r="N385" s="39"/>
      <c r="O385" s="39">
        <f>IFERROR(O161/I376,"")</f>
        <v>3.6546040845575056E-2</v>
      </c>
      <c r="P385" s="39"/>
      <c r="Q385" s="39"/>
      <c r="R385" s="39"/>
      <c r="S385" s="39"/>
      <c r="T385" s="39"/>
      <c r="U385" s="39">
        <f>IFERROR(U161/O376,"")</f>
        <v>3.4389140271493215E-2</v>
      </c>
      <c r="V385" s="39"/>
      <c r="W385" s="39"/>
      <c r="X385" s="39"/>
      <c r="Y385" s="39"/>
      <c r="Z385" s="39"/>
      <c r="AA385" s="39">
        <f>IFERROR(AA161/U376,"")</f>
        <v>3.3895901290597073E-2</v>
      </c>
      <c r="AB385" s="39"/>
      <c r="AC385" s="39"/>
      <c r="AD385" s="39"/>
      <c r="AE385" s="39"/>
      <c r="AF385" s="39"/>
      <c r="AG385" s="39">
        <f>IFERROR(AG161/AA376,"")</f>
        <v>2.9720727645400971E-2</v>
      </c>
      <c r="AH385" s="39"/>
      <c r="AI385" s="39"/>
      <c r="AJ385" s="39"/>
      <c r="AK385" s="39"/>
      <c r="AL385" s="39"/>
      <c r="AM385" s="39">
        <f>IFERROR(AM161/AG376,"")</f>
        <v>5.3577209452897387E-2</v>
      </c>
      <c r="AN385" s="39"/>
      <c r="AO385" s="39"/>
      <c r="AP385" s="39"/>
      <c r="AQ385" s="39"/>
      <c r="AR385" s="39"/>
      <c r="AS385" s="39">
        <f>IFERROR(AS161/AM376,"")</f>
        <v>2.3767359492963002E-2</v>
      </c>
      <c r="AT385" s="39"/>
      <c r="AU385" s="39"/>
      <c r="AV385" s="39"/>
      <c r="AW385" s="39"/>
      <c r="AX385" s="39"/>
      <c r="AY385" s="39">
        <f>IFERROR(AY161/AS376,"")</f>
        <v>2.8093645484949834E-2</v>
      </c>
      <c r="AZ385" s="39"/>
      <c r="BA385" s="39"/>
      <c r="BB385" s="39"/>
      <c r="BC385" s="39"/>
      <c r="BD385" s="39"/>
      <c r="BE385" s="39">
        <f>IFERROR(BE161/AY376,"")</f>
        <v>1.7987303080178697E-2</v>
      </c>
      <c r="BF385" s="39"/>
      <c r="BG385" s="39"/>
      <c r="BH385" s="39"/>
      <c r="BI385" s="39"/>
      <c r="BJ385" s="39"/>
      <c r="BK385" s="39">
        <f>IFERROR(BK161/BE376,"")</f>
        <v>0.11663455362877327</v>
      </c>
      <c r="BL385" s="39"/>
      <c r="BM385" s="39"/>
      <c r="BN385" s="39"/>
      <c r="BO385" s="39"/>
      <c r="BP385" s="39"/>
      <c r="BQ385" s="39">
        <f>IFERROR(BQ161/BK376,"")</f>
        <v>2.1783675659852661E-2</v>
      </c>
      <c r="BR385" s="39"/>
      <c r="BS385" s="39"/>
      <c r="BT385" s="39"/>
      <c r="BU385" s="39"/>
      <c r="BV385" s="39"/>
      <c r="BW385" s="39">
        <f>IFERROR(BW161/BQ376,"")</f>
        <v>1.9716369943376014E-2</v>
      </c>
      <c r="BX385" s="39"/>
      <c r="BY385" s="39"/>
      <c r="BZ385" s="39"/>
      <c r="CA385" s="39"/>
      <c r="CB385" s="39"/>
      <c r="CC385" s="39">
        <f>IFERROR(CC161/BW376,"")</f>
        <v>1.7843385004160373E-2</v>
      </c>
      <c r="CD385" s="39"/>
      <c r="CE385" s="39"/>
      <c r="CF385" s="39"/>
      <c r="CG385" s="39"/>
      <c r="CH385" s="39"/>
      <c r="CI385" s="39">
        <f>IFERROR(CI161/CC376,"")</f>
        <v>2.249905624764062E-2</v>
      </c>
      <c r="CJ385" s="39"/>
      <c r="CK385" s="39"/>
      <c r="CL385" s="39"/>
      <c r="CM385" s="27"/>
      <c r="CN385" s="27"/>
      <c r="CO385" s="27">
        <f>IFERROR(CO161/CI376,"")</f>
        <v>2.1451078613557405E-2</v>
      </c>
      <c r="CP385" s="45">
        <v>2.7E-2</v>
      </c>
      <c r="CQ385" s="45">
        <v>2.7E-2</v>
      </c>
      <c r="CR385" s="45">
        <v>2.8400000000000002E-2</v>
      </c>
      <c r="CS385" s="45">
        <v>2.8400000000000002E-2</v>
      </c>
      <c r="CT385" s="22" t="s">
        <v>733</v>
      </c>
      <c r="CV385" s="6"/>
      <c r="CW385" s="6"/>
      <c r="CX385" s="6"/>
      <c r="CY385" s="6"/>
    </row>
    <row r="386" spans="2:103" ht="15" hidden="1" customHeight="1" outlineLevel="1" x14ac:dyDescent="0.25">
      <c r="B386" s="46" t="s">
        <v>529</v>
      </c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27"/>
      <c r="CN386" s="27"/>
      <c r="CO386" s="27"/>
      <c r="CP386" s="45">
        <v>0.03</v>
      </c>
      <c r="CQ386" s="45">
        <v>0.03</v>
      </c>
      <c r="CR386" s="45">
        <v>0.03</v>
      </c>
      <c r="CS386" s="45">
        <v>0.03</v>
      </c>
      <c r="CT386" s="22" t="s">
        <v>530</v>
      </c>
      <c r="CV386" s="6"/>
      <c r="CW386" s="6"/>
      <c r="CX386" s="6"/>
      <c r="CY386" s="6"/>
    </row>
    <row r="387" spans="2:103" ht="15" hidden="1" customHeight="1" outlineLevel="1" x14ac:dyDescent="0.25">
      <c r="B387" s="46" t="s">
        <v>728</v>
      </c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27"/>
      <c r="CN387" s="27"/>
      <c r="CO387" s="27"/>
      <c r="CP387" s="45">
        <v>5.5E-2</v>
      </c>
      <c r="CQ387" s="45">
        <v>5.5E-2</v>
      </c>
      <c r="CR387" s="45">
        <v>5.5E-2</v>
      </c>
      <c r="CS387" s="45">
        <v>5.5E-2</v>
      </c>
      <c r="CT387" s="22" t="s">
        <v>734</v>
      </c>
      <c r="CV387" s="6"/>
      <c r="CW387" s="6"/>
      <c r="CX387" s="6"/>
      <c r="CY387" s="6"/>
    </row>
    <row r="388" spans="2:103" ht="15" hidden="1" customHeight="1" outlineLevel="1" x14ac:dyDescent="0.25">
      <c r="B388" s="46" t="s">
        <v>729</v>
      </c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27"/>
      <c r="CN388" s="27"/>
      <c r="CO388" s="27"/>
      <c r="CP388" s="45">
        <v>0.05</v>
      </c>
      <c r="CQ388" s="45">
        <v>0.05</v>
      </c>
      <c r="CR388" s="45">
        <v>0.05</v>
      </c>
      <c r="CS388" s="45">
        <v>0.05</v>
      </c>
      <c r="CT388" s="22" t="s">
        <v>735</v>
      </c>
      <c r="CV388" s="6"/>
      <c r="CW388" s="6"/>
      <c r="CX388" s="6"/>
      <c r="CY388" s="6"/>
    </row>
    <row r="389" spans="2:103" ht="15" hidden="1" customHeight="1" outlineLevel="1" x14ac:dyDescent="0.25">
      <c r="B389" s="16" t="s">
        <v>736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</row>
    <row r="390" spans="2:103" ht="15" hidden="1" customHeight="1" outlineLevel="1" x14ac:dyDescent="0.25">
      <c r="B390" s="46" t="s">
        <v>737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  <c r="AH390" s="138"/>
      <c r="AI390" s="138"/>
      <c r="AJ390" s="138"/>
      <c r="AK390" s="138"/>
      <c r="AL390" s="138"/>
      <c r="AM390" s="138"/>
      <c r="AN390" s="138"/>
      <c r="AO390" s="138"/>
      <c r="AP390" s="138"/>
      <c r="AQ390" s="138"/>
      <c r="AR390" s="138"/>
      <c r="AS390" s="138"/>
      <c r="AT390" s="138"/>
      <c r="AU390" s="138"/>
      <c r="AV390" s="138"/>
      <c r="AW390" s="138"/>
      <c r="AX390" s="138"/>
      <c r="AY390" s="138"/>
      <c r="AZ390" s="138"/>
      <c r="BA390" s="138"/>
      <c r="BB390" s="138"/>
      <c r="BC390" s="138"/>
      <c r="BD390" s="138"/>
      <c r="BE390" s="138"/>
      <c r="BF390" s="138"/>
      <c r="BG390" s="138"/>
      <c r="BH390" s="138"/>
      <c r="BI390" s="138"/>
      <c r="BJ390" s="138"/>
      <c r="BK390" s="138"/>
      <c r="BL390" s="138"/>
      <c r="BM390" s="138"/>
      <c r="BN390" s="138"/>
      <c r="BO390" s="138"/>
      <c r="BP390" s="138"/>
      <c r="BQ390" s="138"/>
      <c r="BR390" s="138"/>
      <c r="BS390" s="138"/>
      <c r="BT390" s="138"/>
      <c r="BU390" s="138"/>
      <c r="BV390" s="138"/>
      <c r="BW390" s="138"/>
      <c r="BX390" s="138"/>
      <c r="BY390" s="138"/>
      <c r="BZ390" s="138"/>
      <c r="CA390" s="138"/>
      <c r="CB390" s="138"/>
      <c r="CC390" s="138"/>
      <c r="CD390" s="138"/>
      <c r="CE390" s="138"/>
      <c r="CF390" s="138"/>
      <c r="CG390" s="138"/>
      <c r="CH390" s="138"/>
      <c r="CI390" s="138"/>
      <c r="CJ390" s="138"/>
      <c r="CK390" s="138"/>
      <c r="CL390" s="138"/>
      <c r="CM390" s="139"/>
      <c r="CN390" s="139"/>
      <c r="CO390" s="139"/>
      <c r="CP390" s="142">
        <f>CHOOSE(MATCH($CT$2,{"Bull","Base","Bear"},0),$DC$81,$DD$81,$DE$81)</f>
        <v>1</v>
      </c>
      <c r="CQ390" s="142">
        <f>CHOOSE(MATCH($CT$2,{"Bull","Base","Bear"},0),$DC$81,$DD$81,$DE$81)</f>
        <v>1</v>
      </c>
      <c r="CR390" s="142">
        <f>CHOOSE(MATCH($CT$2,{"Bull","Base","Bear"},0),$DC$81,$DD$81,$DE$81)</f>
        <v>1</v>
      </c>
      <c r="CS390" s="142">
        <f>CHOOSE(MATCH($CT$2,{"Bull","Base","Bear"},0),$DC$81,$DD$81,$DE$81)</f>
        <v>1</v>
      </c>
      <c r="CT390" s="22" t="s">
        <v>747</v>
      </c>
      <c r="CV390" s="6"/>
      <c r="CW390" s="6"/>
      <c r="CX390" s="6"/>
      <c r="CY390" s="6"/>
    </row>
    <row r="391" spans="2:103" ht="15" hidden="1" customHeight="1" outlineLevel="1" x14ac:dyDescent="0.25">
      <c r="B391" s="12" t="s">
        <v>738</v>
      </c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31"/>
      <c r="CN391" s="31"/>
      <c r="CO391" s="31"/>
      <c r="CP391" s="31">
        <f>CO376+CP377+CP379-(CO315+CP271+CP276+CP281+CP282+CP284+CP377+CP379)</f>
        <v>433.68627212564843</v>
      </c>
      <c r="CQ391" s="31">
        <f>CP376+CQ377+CQ379-(CP315+CQ271+CQ276+CQ281+CQ282+CQ284+CQ377+CQ379)</f>
        <v>1377.6789277341625</v>
      </c>
      <c r="CR391" s="31">
        <f>CQ376+CR377+CR379-(CQ315+CR271+CR276+CR281+CR282+CR284+CR377+CR379)</f>
        <v>1448.1687732387297</v>
      </c>
      <c r="CS391" s="31">
        <f>CR376+CS377+CS379-(CR315+CS271+CS276+CS281+CS282+CS284+CS377+CS379)</f>
        <v>1509.749257262293</v>
      </c>
      <c r="CT391" s="22" t="s">
        <v>742</v>
      </c>
      <c r="CV391" s="6"/>
      <c r="CW391" s="6"/>
      <c r="CX391" s="6"/>
      <c r="CY391" s="6"/>
    </row>
    <row r="392" spans="2:103" ht="15" hidden="1" customHeight="1" outlineLevel="1" x14ac:dyDescent="0.25">
      <c r="B392" s="12" t="s">
        <v>739</v>
      </c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31"/>
      <c r="CN392" s="31"/>
      <c r="CO392" s="31"/>
      <c r="CP392" s="31">
        <f>CP390*CP427</f>
        <v>1827.4646245036608</v>
      </c>
      <c r="CQ392" s="31">
        <f>CQ390*CQ427</f>
        <v>2019.9556278990472</v>
      </c>
      <c r="CR392" s="31">
        <f>CR390*CR427</f>
        <v>2224.438360068355</v>
      </c>
      <c r="CS392" s="31">
        <f>CS390*CS427</f>
        <v>2444.7772354200833</v>
      </c>
      <c r="CT392" s="22" t="s">
        <v>743</v>
      </c>
      <c r="CV392" s="6"/>
      <c r="CW392" s="6"/>
      <c r="CX392" s="6"/>
      <c r="CY392" s="6"/>
    </row>
    <row r="393" spans="2:103" ht="15" hidden="1" customHeight="1" outlineLevel="1" x14ac:dyDescent="0.25">
      <c r="B393" s="12" t="s">
        <v>740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31"/>
      <c r="CN393" s="31"/>
      <c r="CO393" s="31"/>
      <c r="CP393" s="31">
        <f>MAX(0,CP392-CP391)</f>
        <v>1393.7783523780124</v>
      </c>
      <c r="CQ393" s="31">
        <f>MAX(0,CQ392-CQ391)</f>
        <v>642.27670016488469</v>
      </c>
      <c r="CR393" s="31">
        <f>MAX(0,CR392-CR391)</f>
        <v>776.26958682962527</v>
      </c>
      <c r="CS393" s="31">
        <f>MAX(0,CS392-CS391)</f>
        <v>935.02797815779036</v>
      </c>
      <c r="CT393" s="22" t="s">
        <v>744</v>
      </c>
      <c r="CV393" s="6"/>
      <c r="CW393" s="6"/>
      <c r="CX393" s="6"/>
      <c r="CY393" s="6"/>
    </row>
    <row r="394" spans="2:103" ht="15" hidden="1" customHeight="1" outlineLevel="1" x14ac:dyDescent="0.25">
      <c r="B394" s="16" t="s">
        <v>531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</row>
    <row r="395" spans="2:103" ht="15" hidden="1" customHeight="1" outlineLevel="1" x14ac:dyDescent="0.25">
      <c r="B395" s="25" t="s">
        <v>532</v>
      </c>
      <c r="C395" s="39">
        <f>IFERROR(C174/C152,"")</f>
        <v>2.2327658386826682E-2</v>
      </c>
      <c r="D395" s="39">
        <f>IFERROR(D174/D152,"")</f>
        <v>2.138938544042409E-2</v>
      </c>
      <c r="E395" s="39">
        <f>IFERROR(E174/E152,"")</f>
        <v>2.6132404181184669E-2</v>
      </c>
      <c r="F395" s="39">
        <f>IFERROR(F174/F152,"")</f>
        <v>2.5724835058410511E-2</v>
      </c>
      <c r="G395" s="39">
        <f>IFERROR(G174/G152,"")</f>
        <v>2.7490572923002068E-2</v>
      </c>
      <c r="H395" s="39">
        <f>IFERROR(H174/H152,"")</f>
        <v>3.3060404758226476E-2</v>
      </c>
      <c r="I395" s="39">
        <f>IFERROR(I174/I152,"")</f>
        <v>3.6807220420251016E-2</v>
      </c>
      <c r="J395" s="39"/>
      <c r="K395" s="39"/>
      <c r="L395" s="39"/>
      <c r="M395" s="39"/>
      <c r="N395" s="39"/>
      <c r="O395" s="39">
        <f>IFERROR(O174/O152,"")</f>
        <v>3.8954930300179595E-2</v>
      </c>
      <c r="P395" s="39"/>
      <c r="Q395" s="39"/>
      <c r="R395" s="39"/>
      <c r="S395" s="39"/>
      <c r="T395" s="39"/>
      <c r="U395" s="39">
        <f>IFERROR(U174/U152,"")</f>
        <v>3.9390142021720968E-2</v>
      </c>
      <c r="V395" s="39"/>
      <c r="W395" s="39"/>
      <c r="X395" s="39"/>
      <c r="Y395" s="39"/>
      <c r="Z395" s="39"/>
      <c r="AA395" s="39">
        <f>IFERROR(AA174/AA152,"")</f>
        <v>3.9293329272007307E-2</v>
      </c>
      <c r="AB395" s="39"/>
      <c r="AC395" s="39"/>
      <c r="AD395" s="39"/>
      <c r="AE395" s="39"/>
      <c r="AF395" s="39"/>
      <c r="AG395" s="39">
        <f>IFERROR(AG174/AG152,"")</f>
        <v>4.0606539839062282E-2</v>
      </c>
      <c r="AH395" s="39"/>
      <c r="AI395" s="39"/>
      <c r="AJ395" s="39"/>
      <c r="AK395" s="39"/>
      <c r="AL395" s="39"/>
      <c r="AM395" s="39">
        <f>IFERROR(AM174/AM152,"")</f>
        <v>4.3398110453951914E-2</v>
      </c>
      <c r="AN395" s="39"/>
      <c r="AO395" s="39"/>
      <c r="AP395" s="39"/>
      <c r="AQ395" s="39"/>
      <c r="AR395" s="39"/>
      <c r="AS395" s="39">
        <f>IFERROR(AS174/AS152,"")</f>
        <v>3.894134675029292E-2</v>
      </c>
      <c r="AT395" s="39"/>
      <c r="AU395" s="39"/>
      <c r="AV395" s="39"/>
      <c r="AW395" s="39"/>
      <c r="AX395" s="39"/>
      <c r="AY395" s="39">
        <f>IFERROR(AY174/AY152,"")</f>
        <v>3.537109621949678E-2</v>
      </c>
      <c r="AZ395" s="39"/>
      <c r="BA395" s="39"/>
      <c r="BB395" s="39"/>
      <c r="BC395" s="39"/>
      <c r="BD395" s="39"/>
      <c r="BE395" s="39">
        <f>IFERROR(BE174/BE152,"")</f>
        <v>3.7651480785431929E-2</v>
      </c>
      <c r="BF395" s="39"/>
      <c r="BG395" s="39"/>
      <c r="BH395" s="39"/>
      <c r="BI395" s="39"/>
      <c r="BJ395" s="39"/>
      <c r="BK395" s="39">
        <f>IFERROR(BK174/BK152,"")</f>
        <v>5.7516849793034688E-2</v>
      </c>
      <c r="BL395" s="39"/>
      <c r="BM395" s="39"/>
      <c r="BN395" s="39"/>
      <c r="BO395" s="39"/>
      <c r="BP395" s="39"/>
      <c r="BQ395" s="39">
        <f>IFERROR(BQ174/BQ152,"")</f>
        <v>6.0858095482358106E-2</v>
      </c>
      <c r="BR395" s="39"/>
      <c r="BS395" s="39"/>
      <c r="BT395" s="39"/>
      <c r="BU395" s="39"/>
      <c r="BV395" s="39"/>
      <c r="BW395" s="39">
        <f>IFERROR(BW174/BW152,"")</f>
        <v>5.6144086593913581E-2</v>
      </c>
      <c r="BX395" s="39"/>
      <c r="BY395" s="39"/>
      <c r="BZ395" s="39"/>
      <c r="CA395" s="39"/>
      <c r="CB395" s="39"/>
      <c r="CC395" s="39">
        <f>IFERROR(CC174/CC152,"")</f>
        <v>5.4656084656084652E-2</v>
      </c>
      <c r="CD395" s="39"/>
      <c r="CE395" s="39"/>
      <c r="CF395" s="39"/>
      <c r="CG395" s="39"/>
      <c r="CH395" s="39"/>
      <c r="CI395" s="39">
        <f>IFERROR(CI174/CI152,"")</f>
        <v>5.499231448474344E-2</v>
      </c>
      <c r="CJ395" s="39"/>
      <c r="CK395" s="39"/>
      <c r="CL395" s="39"/>
      <c r="CM395" s="27"/>
      <c r="CN395" s="27"/>
      <c r="CO395" s="27">
        <f>IFERROR(CO174/CO152,"")</f>
        <v>5.220282201166429E-2</v>
      </c>
      <c r="CP395" s="27">
        <f>IFERROR(CP174/CP152,"")</f>
        <v>5.0521958720295426E-2</v>
      </c>
      <c r="CQ395" s="27">
        <f>IFERROR(CQ174/CQ152,"")</f>
        <v>5.075008535656278E-2</v>
      </c>
      <c r="CR395" s="27">
        <f>IFERROR(CR174/CR152,"")</f>
        <v>4.6384708069582531E-2</v>
      </c>
      <c r="CS395" s="27">
        <f>IFERROR(CS174/CS152,"")</f>
        <v>4.4497486657173423E-2</v>
      </c>
      <c r="CT395" s="22"/>
      <c r="CV395" s="40">
        <f>IFERROR(AVERAGE(CO395,CP395,CQ395,CR395,CS395),"n/m")</f>
        <v>4.8871412163055697E-2</v>
      </c>
      <c r="CW395" s="40">
        <f>IFERROR(AVERAGE(BK395,BQ395,BW395,CC395,CI395),"n/m")</f>
        <v>5.6833486202026898E-2</v>
      </c>
      <c r="CX395" s="40">
        <f>IFERROR(AVERAGE(AG395,AM395,AS395,AY395,BE395,BK395,BQ395,BW395,CC395,CI395),"n/m")</f>
        <v>4.8013600505837022E-2</v>
      </c>
      <c r="CY395" s="40">
        <f>IFERROR(AVERAGE(C395,D395,E395,F395,G395,H395,I395,O395,U395,AA395,AG395,AM395,AS395,AY395,BE395,BK395,BQ395,BW395,CC395,CI395),"n/m")</f>
        <v>3.953534439103018E-2</v>
      </c>
    </row>
    <row r="396" spans="2:103" ht="15" hidden="1" customHeight="1" outlineLevel="1" x14ac:dyDescent="0.25">
      <c r="B396" s="25" t="s">
        <v>533</v>
      </c>
      <c r="C396" s="39">
        <f>IFERROR(C125/C152,"")</f>
        <v>5.3725927993301704E-3</v>
      </c>
      <c r="D396" s="39">
        <f>IFERROR(D125/D152,"")</f>
        <v>3.9450163348332618E-3</v>
      </c>
      <c r="E396" s="39">
        <f>IFERROR(E125/E152,"")</f>
        <v>9.1753774680603944E-3</v>
      </c>
      <c r="F396" s="39">
        <f>IFERROR(F125/F152,"")</f>
        <v>7.5055989346891842E-3</v>
      </c>
      <c r="G396" s="39">
        <f>IFERROR(G125/G152,"")</f>
        <v>8.5755990755382559E-3</v>
      </c>
      <c r="H396" s="39">
        <f>IFERROR(H125/H152,"")</f>
        <v>1.2668005561563417E-2</v>
      </c>
      <c r="I396" s="39">
        <f>IFERROR(I125/I152,"")</f>
        <v>1.3820335636722605E-2</v>
      </c>
      <c r="J396" s="39"/>
      <c r="K396" s="39"/>
      <c r="L396" s="39"/>
      <c r="M396" s="39"/>
      <c r="N396" s="39"/>
      <c r="O396" s="39">
        <f>IFERROR(O125/O152,"")</f>
        <v>1.3469597194902934E-2</v>
      </c>
      <c r="P396" s="39"/>
      <c r="Q396" s="39"/>
      <c r="R396" s="39"/>
      <c r="S396" s="39"/>
      <c r="T396" s="39"/>
      <c r="U396" s="39">
        <f>IFERROR(U125/U152,"")</f>
        <v>1.3366750208855471E-2</v>
      </c>
      <c r="V396" s="39"/>
      <c r="W396" s="39"/>
      <c r="X396" s="39"/>
      <c r="Y396" s="39"/>
      <c r="Z396" s="39"/>
      <c r="AA396" s="39">
        <f>IFERROR(AA125/AA152,"")</f>
        <v>1.3315347460946E-2</v>
      </c>
      <c r="AB396" s="39"/>
      <c r="AC396" s="39"/>
      <c r="AD396" s="39"/>
      <c r="AE396" s="39"/>
      <c r="AF396" s="39"/>
      <c r="AG396" s="39">
        <f>IFERROR(AG125/AG152,"")</f>
        <v>1.3163402948974371E-2</v>
      </c>
      <c r="AH396" s="39"/>
      <c r="AI396" s="39"/>
      <c r="AJ396" s="39"/>
      <c r="AK396" s="39"/>
      <c r="AL396" s="39"/>
      <c r="AM396" s="39">
        <f>IFERROR(AM125/AM152,"")</f>
        <v>1.5899838697288577E-2</v>
      </c>
      <c r="AN396" s="39"/>
      <c r="AO396" s="39"/>
      <c r="AP396" s="39"/>
      <c r="AQ396" s="39"/>
      <c r="AR396" s="39"/>
      <c r="AS396" s="39">
        <f>IFERROR(AS125/AS152,"")</f>
        <v>1.3612240678199737E-2</v>
      </c>
      <c r="AT396" s="39"/>
      <c r="AU396" s="39"/>
      <c r="AV396" s="39"/>
      <c r="AW396" s="39"/>
      <c r="AX396" s="39"/>
      <c r="AY396" s="39">
        <f>IFERROR(AY125/AY152,"")</f>
        <v>1.1537488936654445E-2</v>
      </c>
      <c r="AZ396" s="39"/>
      <c r="BA396" s="39"/>
      <c r="BB396" s="39"/>
      <c r="BC396" s="39"/>
      <c r="BD396" s="39"/>
      <c r="BE396" s="39">
        <f>IFERROR(BE125/BE152,"")</f>
        <v>1.2572095133173481E-2</v>
      </c>
      <c r="BF396" s="39"/>
      <c r="BG396" s="39"/>
      <c r="BH396" s="39"/>
      <c r="BI396" s="39"/>
      <c r="BJ396" s="39"/>
      <c r="BK396" s="39">
        <f>IFERROR(BK125/BK152,"")</f>
        <v>3.2355936978523285E-2</v>
      </c>
      <c r="BL396" s="39"/>
      <c r="BM396" s="39"/>
      <c r="BN396" s="39"/>
      <c r="BO396" s="39"/>
      <c r="BP396" s="39"/>
      <c r="BQ396" s="39">
        <f>IFERROR(BQ125/BQ152,"")</f>
        <v>3.6950866522551563E-2</v>
      </c>
      <c r="BR396" s="39"/>
      <c r="BS396" s="39"/>
      <c r="BT396" s="39"/>
      <c r="BU396" s="39"/>
      <c r="BV396" s="39"/>
      <c r="BW396" s="39">
        <f>IFERROR(BW125/BW152,"")</f>
        <v>3.4903735249756006E-2</v>
      </c>
      <c r="BX396" s="39"/>
      <c r="BY396" s="39"/>
      <c r="BZ396" s="39"/>
      <c r="CA396" s="39"/>
      <c r="CB396" s="39"/>
      <c r="CC396" s="39">
        <f>IFERROR(CC125/CC152,"")</f>
        <v>3.4920634920634921E-2</v>
      </c>
      <c r="CD396" s="39"/>
      <c r="CE396" s="39"/>
      <c r="CF396" s="39"/>
      <c r="CG396" s="39"/>
      <c r="CH396" s="39"/>
      <c r="CI396" s="39">
        <f>IFERROR(CI125/CI152,"")</f>
        <v>3.5418778820682215E-2</v>
      </c>
      <c r="CJ396" s="39"/>
      <c r="CK396" s="39"/>
      <c r="CL396" s="39"/>
      <c r="CM396" s="27"/>
      <c r="CN396" s="27"/>
      <c r="CO396" s="27">
        <f>IFERROR(CO125/CO152,"")</f>
        <v>3.3801531128526449E-2</v>
      </c>
      <c r="CP396" s="27">
        <f>IFERROR(CP125/CP152,"")</f>
        <v>3.1021958720295433E-2</v>
      </c>
      <c r="CQ396" s="27">
        <f>IFERROR(CQ125/CQ152,"")</f>
        <v>3.1250085356562783E-2</v>
      </c>
      <c r="CR396" s="27">
        <f>IFERROR(CR125/CR152,"")</f>
        <v>2.6884708069582531E-2</v>
      </c>
      <c r="CS396" s="27">
        <f>IFERROR(CS125/CS152,"")</f>
        <v>2.4997486657173423E-2</v>
      </c>
      <c r="CT396" s="22"/>
      <c r="CV396" s="40">
        <f>IFERROR(AVERAGE(CO396,CP396,CQ396,CR396,CS396),"n/m")</f>
        <v>2.9591153986428125E-2</v>
      </c>
      <c r="CW396" s="40">
        <f>IFERROR(AVERAGE(BK396,BQ396,BW396,CC396,CI396),"n/m")</f>
        <v>3.4909990498429598E-2</v>
      </c>
      <c r="CX396" s="40">
        <f>IFERROR(AVERAGE(AG396,AM396,AS396,AY396,BE396,BK396,BQ396,BW396,CC396,CI396),"n/m")</f>
        <v>2.4133501888643862E-2</v>
      </c>
      <c r="CY396" s="40">
        <f>IFERROR(AVERAGE(C396,D396,E396,F396,G396,H396,I396,O396,U396,AA396,AG396,AM396,AS396,AY396,BE396,BK396,BQ396,BW396,CC396,CI396),"n/m")</f>
        <v>1.7127461978094012E-2</v>
      </c>
    </row>
    <row r="397" spans="2:103" ht="15" customHeight="1" collapsed="1" x14ac:dyDescent="0.25">
      <c r="B397" s="12"/>
      <c r="CM397" s="6"/>
      <c r="CN397" s="6"/>
      <c r="CO397" s="6"/>
      <c r="CP397" s="6"/>
      <c r="CQ397" s="6"/>
      <c r="CR397" s="6"/>
      <c r="CS397" s="6"/>
      <c r="CT397" s="6"/>
    </row>
    <row r="398" spans="2:103" ht="15" customHeight="1" x14ac:dyDescent="0.25">
      <c r="B398" s="11" t="s">
        <v>534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</row>
    <row r="399" spans="2:103" ht="15" customHeight="1" x14ac:dyDescent="0.25">
      <c r="B399" s="16" t="s">
        <v>535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</row>
    <row r="400" spans="2:103" ht="15" customHeight="1" x14ac:dyDescent="0.25">
      <c r="B400" s="12" t="s">
        <v>536</v>
      </c>
      <c r="C400" s="29">
        <f>C200</f>
        <v>132.80000000000001</v>
      </c>
      <c r="D400" s="29">
        <f>D200</f>
        <v>168.69999999999985</v>
      </c>
      <c r="E400" s="29">
        <f>E200</f>
        <v>214.39999999999992</v>
      </c>
      <c r="F400" s="29">
        <f>F200</f>
        <v>183.79999999999998</v>
      </c>
      <c r="G400" s="29">
        <f>G200</f>
        <v>192.60000000000011</v>
      </c>
      <c r="H400" s="29">
        <f>H200</f>
        <v>251.80000000000004</v>
      </c>
      <c r="I400" s="29">
        <f>I200</f>
        <v>272.50000000000023</v>
      </c>
      <c r="J400" s="29"/>
      <c r="K400" s="29"/>
      <c r="L400" s="29"/>
      <c r="M400" s="29"/>
      <c r="N400" s="29"/>
      <c r="O400" s="29">
        <f>O200</f>
        <v>271.79999999999995</v>
      </c>
      <c r="P400" s="29"/>
      <c r="Q400" s="29"/>
      <c r="R400" s="29"/>
      <c r="S400" s="29"/>
      <c r="T400" s="29"/>
      <c r="U400" s="29">
        <f>U200</f>
        <v>326.50000000000011</v>
      </c>
      <c r="V400" s="29"/>
      <c r="W400" s="29"/>
      <c r="X400" s="29"/>
      <c r="Y400" s="29"/>
      <c r="Z400" s="29"/>
      <c r="AA400" s="29">
        <f>AA200</f>
        <v>312.29999999999995</v>
      </c>
      <c r="AB400" s="29"/>
      <c r="AC400" s="29"/>
      <c r="AD400" s="29"/>
      <c r="AE400" s="29"/>
      <c r="AF400" s="29"/>
      <c r="AG400" s="29">
        <f>AG200</f>
        <v>284.00000000000006</v>
      </c>
      <c r="AH400" s="29"/>
      <c r="AI400" s="29"/>
      <c r="AJ400" s="29"/>
      <c r="AK400" s="29"/>
      <c r="AL400" s="29"/>
      <c r="AM400" s="29">
        <f>AM200</f>
        <v>381.80000000000013</v>
      </c>
      <c r="AN400" s="29"/>
      <c r="AO400" s="29"/>
      <c r="AP400" s="29"/>
      <c r="AQ400" s="29"/>
      <c r="AR400" s="29"/>
      <c r="AS400" s="29">
        <f>AS200</f>
        <v>456.10000000000014</v>
      </c>
      <c r="AT400" s="29"/>
      <c r="AU400" s="29"/>
      <c r="AV400" s="29"/>
      <c r="AW400" s="29"/>
      <c r="AX400" s="29"/>
      <c r="AY400" s="29">
        <f>AY200</f>
        <v>528.19999999999993</v>
      </c>
      <c r="AZ400" s="29"/>
      <c r="BA400" s="29"/>
      <c r="BB400" s="29"/>
      <c r="BC400" s="29"/>
      <c r="BD400" s="29"/>
      <c r="BE400" s="29">
        <f>BE200</f>
        <v>518.89999999999986</v>
      </c>
      <c r="BF400" s="29"/>
      <c r="BG400" s="29"/>
      <c r="BH400" s="29"/>
      <c r="BI400" s="29"/>
      <c r="BJ400" s="29"/>
      <c r="BK400" s="29">
        <f>BK200</f>
        <v>983.00000000000023</v>
      </c>
      <c r="BL400" s="29"/>
      <c r="BM400" s="29"/>
      <c r="BN400" s="29"/>
      <c r="BO400" s="29"/>
      <c r="BP400" s="29"/>
      <c r="BQ400" s="29">
        <f>BQ200</f>
        <v>1169.7000000000003</v>
      </c>
      <c r="BR400" s="29"/>
      <c r="BS400" s="29"/>
      <c r="BT400" s="29"/>
      <c r="BU400" s="29"/>
      <c r="BV400" s="29"/>
      <c r="BW400" s="29">
        <f>BW200</f>
        <v>1239.9000000000001</v>
      </c>
      <c r="BX400" s="29"/>
      <c r="BY400" s="29"/>
      <c r="BZ400" s="29"/>
      <c r="CA400" s="29"/>
      <c r="CB400" s="29"/>
      <c r="CC400" s="29">
        <f>CC200</f>
        <v>1248</v>
      </c>
      <c r="CD400" s="29"/>
      <c r="CE400" s="29"/>
      <c r="CF400" s="29"/>
      <c r="CG400" s="29"/>
      <c r="CH400" s="29"/>
      <c r="CI400" s="29">
        <f>CI200</f>
        <v>1379.9999999999995</v>
      </c>
      <c r="CJ400" s="29"/>
      <c r="CK400" s="29"/>
      <c r="CL400" s="29"/>
      <c r="CM400" s="31"/>
      <c r="CN400" s="31"/>
      <c r="CO400" s="31">
        <f>CO200</f>
        <v>1508.726433121019</v>
      </c>
      <c r="CP400" s="31">
        <f>CP200</f>
        <v>1677.4547273478622</v>
      </c>
      <c r="CQ400" s="31">
        <f>CQ200</f>
        <v>1856.8524460866106</v>
      </c>
      <c r="CR400" s="31">
        <f>CR200</f>
        <v>2047.1615762416361</v>
      </c>
      <c r="CS400" s="31">
        <f>CS200</f>
        <v>2252.5574161850618</v>
      </c>
      <c r="CT400" s="22"/>
      <c r="CV400" s="6"/>
      <c r="CW400" s="6"/>
      <c r="CX400" s="6"/>
      <c r="CY400" s="6"/>
    </row>
    <row r="401" spans="2:103" ht="15" customHeight="1" x14ac:dyDescent="0.25">
      <c r="B401" s="12" t="s">
        <v>537</v>
      </c>
      <c r="C401" s="39">
        <f>C166</f>
        <v>0.33740831295843515</v>
      </c>
      <c r="D401" s="39">
        <f>D166</f>
        <v>0.33267845448592043</v>
      </c>
      <c r="E401" s="39">
        <f>E166</f>
        <v>0.36755319148936183</v>
      </c>
      <c r="F401" s="39">
        <f>F166</f>
        <v>0.30048076923076927</v>
      </c>
      <c r="G401" s="39">
        <f>G166</f>
        <v>0.30875576036866342</v>
      </c>
      <c r="H401" s="39">
        <f>H166</f>
        <v>0.3284499054820415</v>
      </c>
      <c r="I401" s="39">
        <f>I166</f>
        <v>0.28659070990359303</v>
      </c>
      <c r="J401" s="39"/>
      <c r="K401" s="39"/>
      <c r="L401" s="39"/>
      <c r="M401" s="39"/>
      <c r="N401" s="39"/>
      <c r="O401" s="39">
        <f>O166</f>
        <v>0.17633928571428575</v>
      </c>
      <c r="P401" s="39"/>
      <c r="Q401" s="39"/>
      <c r="R401" s="39"/>
      <c r="S401" s="39"/>
      <c r="T401" s="39"/>
      <c r="U401" s="39">
        <f>U166</f>
        <v>0.23573200992555821</v>
      </c>
      <c r="V401" s="39"/>
      <c r="W401" s="39"/>
      <c r="X401" s="39"/>
      <c r="Y401" s="39"/>
      <c r="Z401" s="39"/>
      <c r="AA401" s="39">
        <f>AA166</f>
        <v>0.24283501161890014</v>
      </c>
      <c r="AB401" s="39"/>
      <c r="AC401" s="39"/>
      <c r="AD401" s="39"/>
      <c r="AE401" s="39"/>
      <c r="AF401" s="39"/>
      <c r="AG401" s="39">
        <f>AG166</f>
        <v>0.20886862826357225</v>
      </c>
      <c r="AH401" s="39"/>
      <c r="AI401" s="39"/>
      <c r="AJ401" s="39"/>
      <c r="AK401" s="39"/>
      <c r="AL401" s="39"/>
      <c r="AM401" s="39">
        <f>AM166</f>
        <v>0.208362369337979</v>
      </c>
      <c r="AN401" s="39"/>
      <c r="AO401" s="39"/>
      <c r="AP401" s="39"/>
      <c r="AQ401" s="39"/>
      <c r="AR401" s="39"/>
      <c r="AS401" s="39">
        <f>AS166</f>
        <v>0.15257679614115252</v>
      </c>
      <c r="AT401" s="39"/>
      <c r="AU401" s="39"/>
      <c r="AV401" s="39"/>
      <c r="AW401" s="39"/>
      <c r="AX401" s="39"/>
      <c r="AY401" s="39">
        <f>AY166</f>
        <v>0.15072830905636483</v>
      </c>
      <c r="AZ401" s="39"/>
      <c r="BA401" s="39"/>
      <c r="BB401" s="39"/>
      <c r="BC401" s="39"/>
      <c r="BD401" s="39"/>
      <c r="BE401" s="39">
        <f>BE166</f>
        <v>0.14434745582286568</v>
      </c>
      <c r="BF401" s="39"/>
      <c r="BG401" s="39"/>
      <c r="BH401" s="39"/>
      <c r="BI401" s="39"/>
      <c r="BJ401" s="39"/>
      <c r="BK401" s="39">
        <f>BK166</f>
        <v>0.16579243162233037</v>
      </c>
      <c r="BL401" s="39"/>
      <c r="BM401" s="39"/>
      <c r="BN401" s="39"/>
      <c r="BO401" s="39"/>
      <c r="BP401" s="39"/>
      <c r="BQ401" s="39">
        <f>BQ166</f>
        <v>0.13126307675366145</v>
      </c>
      <c r="BR401" s="39"/>
      <c r="BS401" s="39"/>
      <c r="BT401" s="39"/>
      <c r="BU401" s="39"/>
      <c r="BV401" s="39"/>
      <c r="BW401" s="39">
        <f>BW166</f>
        <v>7.5398894566690994E-2</v>
      </c>
      <c r="BX401" s="39"/>
      <c r="BY401" s="39"/>
      <c r="BZ401" s="39"/>
      <c r="CA401" s="39"/>
      <c r="CB401" s="39"/>
      <c r="CC401" s="39">
        <f>CC166</f>
        <v>0.12496001705938799</v>
      </c>
      <c r="CD401" s="39"/>
      <c r="CE401" s="39"/>
      <c r="CF401" s="39"/>
      <c r="CG401" s="39"/>
      <c r="CH401" s="39"/>
      <c r="CI401" s="39">
        <f>CI166</f>
        <v>0.18163544997715853</v>
      </c>
      <c r="CJ401" s="39"/>
      <c r="CK401" s="39"/>
      <c r="CL401" s="39"/>
      <c r="CM401" s="27"/>
      <c r="CN401" s="27"/>
      <c r="CO401" s="27">
        <f>CO166</f>
        <v>0.20891197412576079</v>
      </c>
      <c r="CP401" s="27">
        <f>CP166</f>
        <v>0.215</v>
      </c>
      <c r="CQ401" s="27">
        <f>CQ166</f>
        <v>0.215</v>
      </c>
      <c r="CR401" s="27">
        <f>CR166</f>
        <v>0.215</v>
      </c>
      <c r="CS401" s="27">
        <f>CS166</f>
        <v>0.215</v>
      </c>
      <c r="CT401" s="22"/>
      <c r="CV401" s="6"/>
      <c r="CW401" s="6"/>
      <c r="CX401" s="6"/>
      <c r="CY401" s="6"/>
    </row>
    <row r="402" spans="2:103" ht="15" customHeight="1" x14ac:dyDescent="0.25">
      <c r="B402" s="12" t="s">
        <v>538</v>
      </c>
      <c r="C402" s="29">
        <f t="shared" ref="C402:I402" si="351">IFERROR(C400*(1-C401),"n/a")</f>
        <v>87.992176039119826</v>
      </c>
      <c r="D402" s="29">
        <f t="shared" si="351"/>
        <v>112.57714472822511</v>
      </c>
      <c r="E402" s="29">
        <f t="shared" si="351"/>
        <v>135.59659574468077</v>
      </c>
      <c r="F402" s="29">
        <f t="shared" si="351"/>
        <v>128.5716346153846</v>
      </c>
      <c r="G402" s="29">
        <f t="shared" si="351"/>
        <v>133.1336405529955</v>
      </c>
      <c r="H402" s="29">
        <f t="shared" si="351"/>
        <v>169.09631379962195</v>
      </c>
      <c r="I402" s="29">
        <f t="shared" si="351"/>
        <v>194.40403155127106</v>
      </c>
      <c r="J402" s="29"/>
      <c r="K402" s="29"/>
      <c r="L402" s="29"/>
      <c r="M402" s="29"/>
      <c r="N402" s="29"/>
      <c r="O402" s="29">
        <f>IFERROR(O400*(1-O401),"n/a")</f>
        <v>223.87098214285709</v>
      </c>
      <c r="P402" s="29"/>
      <c r="Q402" s="29"/>
      <c r="R402" s="29"/>
      <c r="S402" s="29"/>
      <c r="T402" s="29"/>
      <c r="U402" s="29">
        <f>IFERROR(U400*(1-U401),"n/a")</f>
        <v>249.53349875930533</v>
      </c>
      <c r="V402" s="29"/>
      <c r="W402" s="29"/>
      <c r="X402" s="29"/>
      <c r="Y402" s="29"/>
      <c r="Z402" s="29"/>
      <c r="AA402" s="29">
        <f>IFERROR(AA400*(1-AA401),"n/a")</f>
        <v>236.46262587141743</v>
      </c>
      <c r="AB402" s="29"/>
      <c r="AC402" s="29"/>
      <c r="AD402" s="29"/>
      <c r="AE402" s="29"/>
      <c r="AF402" s="29"/>
      <c r="AG402" s="29">
        <f>IFERROR(AG400*(1-AG401),"n/a")</f>
        <v>224.68130957314554</v>
      </c>
      <c r="AH402" s="29"/>
      <c r="AI402" s="29"/>
      <c r="AJ402" s="29"/>
      <c r="AK402" s="29"/>
      <c r="AL402" s="29"/>
      <c r="AM402" s="29">
        <f>IFERROR(AM400*(1-AM401),"n/a")</f>
        <v>302.24724738675968</v>
      </c>
      <c r="AN402" s="29"/>
      <c r="AO402" s="29"/>
      <c r="AP402" s="29"/>
      <c r="AQ402" s="29"/>
      <c r="AR402" s="29"/>
      <c r="AS402" s="29">
        <f>IFERROR(AS400*(1-AS401),"n/a")</f>
        <v>386.50972328002047</v>
      </c>
      <c r="AT402" s="29"/>
      <c r="AU402" s="29"/>
      <c r="AV402" s="29"/>
      <c r="AW402" s="29"/>
      <c r="AX402" s="29"/>
      <c r="AY402" s="29">
        <f>IFERROR(AY400*(1-AY401),"n/a")</f>
        <v>448.58530715642803</v>
      </c>
      <c r="AZ402" s="29"/>
      <c r="BA402" s="29"/>
      <c r="BB402" s="29"/>
      <c r="BC402" s="29"/>
      <c r="BD402" s="29"/>
      <c r="BE402" s="29">
        <f>IFERROR(BE400*(1-BE401),"n/a")</f>
        <v>443.99810517351489</v>
      </c>
      <c r="BF402" s="29"/>
      <c r="BG402" s="29"/>
      <c r="BH402" s="29"/>
      <c r="BI402" s="29"/>
      <c r="BJ402" s="29"/>
      <c r="BK402" s="29">
        <f>IFERROR(BK400*(1-BK401),"n/a")</f>
        <v>820.02603971524945</v>
      </c>
      <c r="BL402" s="29"/>
      <c r="BM402" s="29"/>
      <c r="BN402" s="29"/>
      <c r="BO402" s="29"/>
      <c r="BP402" s="29"/>
      <c r="BQ402" s="29">
        <f>IFERROR(BQ400*(1-BQ401),"n/a")</f>
        <v>1016.1615791212424</v>
      </c>
      <c r="BR402" s="29"/>
      <c r="BS402" s="29"/>
      <c r="BT402" s="29"/>
      <c r="BU402" s="29"/>
      <c r="BV402" s="29"/>
      <c r="BW402" s="29">
        <f>IFERROR(BW400*(1-BW401),"n/a")</f>
        <v>1146.4129106267599</v>
      </c>
      <c r="BX402" s="29"/>
      <c r="BY402" s="29"/>
      <c r="BZ402" s="29"/>
      <c r="CA402" s="29"/>
      <c r="CB402" s="29"/>
      <c r="CC402" s="29">
        <f>IFERROR(CC400*(1-CC401),"n/a")</f>
        <v>1092.0498987098838</v>
      </c>
      <c r="CD402" s="29"/>
      <c r="CE402" s="29"/>
      <c r="CF402" s="29"/>
      <c r="CG402" s="29"/>
      <c r="CH402" s="29"/>
      <c r="CI402" s="29">
        <f>IFERROR(CI400*(1-CI401),"n/a")</f>
        <v>1129.3430790315208</v>
      </c>
      <c r="CJ402" s="29"/>
      <c r="CK402" s="29"/>
      <c r="CL402" s="29"/>
      <c r="CM402" s="31"/>
      <c r="CN402" s="31"/>
      <c r="CO402" s="31">
        <f>IFERROR(CO400*(1-CO401),"n/a")</f>
        <v>1193.5354155619893</v>
      </c>
      <c r="CP402" s="31">
        <f>IFERROR(CP400*(1-CP401),"n/a")</f>
        <v>1316.8019609680719</v>
      </c>
      <c r="CQ402" s="31">
        <f>IFERROR(CQ400*(1-CQ401),"n/a")</f>
        <v>1457.6291701779894</v>
      </c>
      <c r="CR402" s="31">
        <f>IFERROR(CR400*(1-CR401),"n/a")</f>
        <v>1607.0218373496843</v>
      </c>
      <c r="CS402" s="31">
        <f>IFERROR(CS400*(1-CS401),"n/a")</f>
        <v>1768.2575717052737</v>
      </c>
      <c r="CT402" s="22"/>
      <c r="CV402" s="6"/>
      <c r="CW402" s="6"/>
      <c r="CX402" s="6"/>
      <c r="CY402" s="6"/>
    </row>
    <row r="403" spans="2:103" ht="15" customHeight="1" x14ac:dyDescent="0.25">
      <c r="B403" s="12" t="s">
        <v>539</v>
      </c>
      <c r="C403" s="29">
        <f t="shared" ref="C403:I403" si="352">IFERROR(C404+C405,"n/a")</f>
        <v>650.70000000000005</v>
      </c>
      <c r="D403" s="29">
        <f t="shared" si="352"/>
        <v>660</v>
      </c>
      <c r="E403" s="29">
        <f t="shared" si="352"/>
        <v>848.00000000000011</v>
      </c>
      <c r="F403" s="29">
        <f t="shared" si="352"/>
        <v>893.4</v>
      </c>
      <c r="G403" s="29">
        <f t="shared" si="352"/>
        <v>979.2</v>
      </c>
      <c r="H403" s="29">
        <f t="shared" si="352"/>
        <v>1247.5</v>
      </c>
      <c r="I403" s="29">
        <f t="shared" si="352"/>
        <v>1715.8000000000002</v>
      </c>
      <c r="J403" s="29"/>
      <c r="K403" s="29"/>
      <c r="L403" s="29"/>
      <c r="M403" s="29"/>
      <c r="N403" s="29"/>
      <c r="O403" s="29">
        <f>IFERROR(O404+O405,"n/a")</f>
        <v>2005.2</v>
      </c>
      <c r="P403" s="29"/>
      <c r="Q403" s="29"/>
      <c r="R403" s="29"/>
      <c r="S403" s="29"/>
      <c r="T403" s="29"/>
      <c r="U403" s="29">
        <f>IFERROR(U404+U405,"n/a")</f>
        <v>2032.2</v>
      </c>
      <c r="V403" s="29"/>
      <c r="W403" s="29"/>
      <c r="X403" s="29"/>
      <c r="Y403" s="29"/>
      <c r="Z403" s="29"/>
      <c r="AA403" s="29">
        <f>IFERROR(AA404+AA405,"n/a")</f>
        <v>2039.5999999999997</v>
      </c>
      <c r="AB403" s="29"/>
      <c r="AC403" s="29"/>
      <c r="AD403" s="29"/>
      <c r="AE403" s="29"/>
      <c r="AF403" s="29"/>
      <c r="AG403" s="29">
        <f>IFERROR(AG404+AG405,"n/a")</f>
        <v>2073.6</v>
      </c>
      <c r="AH403" s="29"/>
      <c r="AI403" s="29"/>
      <c r="AJ403" s="29"/>
      <c r="AK403" s="29"/>
      <c r="AL403" s="29"/>
      <c r="AM403" s="29">
        <f>IFERROR(AM404+AM405,"n/a")</f>
        <v>2949.2999999999997</v>
      </c>
      <c r="AN403" s="29"/>
      <c r="AO403" s="29"/>
      <c r="AP403" s="29"/>
      <c r="AQ403" s="29"/>
      <c r="AR403" s="29"/>
      <c r="AS403" s="29">
        <f>IFERROR(AS404+AS405,"n/a")</f>
        <v>2834.7</v>
      </c>
      <c r="AT403" s="29"/>
      <c r="AU403" s="29"/>
      <c r="AV403" s="29"/>
      <c r="AW403" s="29"/>
      <c r="AX403" s="29"/>
      <c r="AY403" s="29">
        <f>IFERROR(AY404+AY405,"n/a")</f>
        <v>3365.7999999999997</v>
      </c>
      <c r="AZ403" s="29"/>
      <c r="BA403" s="29"/>
      <c r="BB403" s="29"/>
      <c r="BC403" s="29"/>
      <c r="BD403" s="29"/>
      <c r="BE403" s="29">
        <f>IFERROR(BE404+BE405,"n/a")</f>
        <v>3334.0000000000005</v>
      </c>
      <c r="BF403" s="29"/>
      <c r="BG403" s="29"/>
      <c r="BH403" s="29"/>
      <c r="BI403" s="29"/>
      <c r="BJ403" s="29"/>
      <c r="BK403" s="29">
        <f>IFERROR(BK404+BK405,"n/a")</f>
        <v>11246.7</v>
      </c>
      <c r="BL403" s="29"/>
      <c r="BM403" s="29"/>
      <c r="BN403" s="29"/>
      <c r="BO403" s="29"/>
      <c r="BP403" s="29"/>
      <c r="BQ403" s="29">
        <f>IFERROR(BQ404+BQ405,"n/a")</f>
        <v>11455.400000000001</v>
      </c>
      <c r="BR403" s="29"/>
      <c r="BS403" s="29"/>
      <c r="BT403" s="29"/>
      <c r="BU403" s="29"/>
      <c r="BV403" s="29"/>
      <c r="BW403" s="29">
        <f>IFERROR(BW404+BW405,"n/a")</f>
        <v>11822.4</v>
      </c>
      <c r="BX403" s="29"/>
      <c r="BY403" s="29"/>
      <c r="BZ403" s="29"/>
      <c r="CA403" s="29"/>
      <c r="CB403" s="29"/>
      <c r="CC403" s="29">
        <f>IFERROR(CC404+CC405,"n/a")</f>
        <v>11554.600000000002</v>
      </c>
      <c r="CD403" s="29"/>
      <c r="CE403" s="29"/>
      <c r="CF403" s="29"/>
      <c r="CG403" s="29"/>
      <c r="CH403" s="29"/>
      <c r="CI403" s="29">
        <f>IFERROR(CI404+CI405,"n/a")</f>
        <v>12636.9</v>
      </c>
      <c r="CJ403" s="29"/>
      <c r="CK403" s="29"/>
      <c r="CL403" s="29"/>
      <c r="CM403" s="31"/>
      <c r="CN403" s="31"/>
      <c r="CO403" s="31">
        <f>IFERROR(CO404+CO405,"n/a")</f>
        <v>12599.318335297532</v>
      </c>
      <c r="CP403" s="31">
        <f>IFERROR(CP404+CP405,"n/a")</f>
        <v>13222.925028574573</v>
      </c>
      <c r="CQ403" s="31">
        <f>IFERROR(CQ404+CQ405,"n/a")</f>
        <v>14093.250409242108</v>
      </c>
      <c r="CR403" s="31">
        <f>IFERROR(CR404+CR405,"n/a")</f>
        <v>14982.859723278678</v>
      </c>
      <c r="CS403" s="31">
        <f>IFERROR(CS404+CS405,"n/a")</f>
        <v>15885.428754756878</v>
      </c>
      <c r="CT403" s="22"/>
      <c r="CV403" s="6"/>
      <c r="CW403" s="6"/>
      <c r="CX403" s="6"/>
      <c r="CY403" s="6"/>
    </row>
    <row r="404" spans="2:103" ht="15" customHeight="1" x14ac:dyDescent="0.25">
      <c r="B404" s="12" t="s">
        <v>540</v>
      </c>
      <c r="C404" s="29">
        <f t="shared" ref="C404:I404" si="353">C350+N(C342)</f>
        <v>431.8</v>
      </c>
      <c r="D404" s="29">
        <f t="shared" si="353"/>
        <v>530.20000000000005</v>
      </c>
      <c r="E404" s="29">
        <f t="shared" si="353"/>
        <v>535.20000000000005</v>
      </c>
      <c r="F404" s="29">
        <f t="shared" si="353"/>
        <v>667.4</v>
      </c>
      <c r="G404" s="29">
        <f t="shared" si="353"/>
        <v>787</v>
      </c>
      <c r="H404" s="29">
        <f t="shared" si="353"/>
        <v>984.1</v>
      </c>
      <c r="I404" s="29">
        <f t="shared" si="353"/>
        <v>1203.4000000000001</v>
      </c>
      <c r="J404" s="29"/>
      <c r="K404" s="29"/>
      <c r="L404" s="29"/>
      <c r="M404" s="29"/>
      <c r="N404" s="29"/>
      <c r="O404" s="29">
        <f>O350+N(O342)</f>
        <v>1518.7</v>
      </c>
      <c r="P404" s="29"/>
      <c r="Q404" s="29"/>
      <c r="R404" s="29"/>
      <c r="S404" s="29"/>
      <c r="T404" s="29"/>
      <c r="U404" s="29">
        <f>U350+N(U342)</f>
        <v>1468.5</v>
      </c>
      <c r="V404" s="29"/>
      <c r="W404" s="29"/>
      <c r="X404" s="29"/>
      <c r="Y404" s="29"/>
      <c r="Z404" s="29"/>
      <c r="AA404" s="29">
        <f>AA350+N(AA342)</f>
        <v>1344.0999999999997</v>
      </c>
      <c r="AB404" s="29"/>
      <c r="AC404" s="29"/>
      <c r="AD404" s="29"/>
      <c r="AE404" s="29"/>
      <c r="AF404" s="29"/>
      <c r="AG404" s="29">
        <f>AG350+N(AG342)</f>
        <v>1554.3999999999999</v>
      </c>
      <c r="AH404" s="29"/>
      <c r="AI404" s="29"/>
      <c r="AJ404" s="29"/>
      <c r="AK404" s="29"/>
      <c r="AL404" s="29"/>
      <c r="AM404" s="29">
        <f>AM350+N(AM342)</f>
        <v>1947.3</v>
      </c>
      <c r="AN404" s="29"/>
      <c r="AO404" s="29"/>
      <c r="AP404" s="29"/>
      <c r="AQ404" s="29"/>
      <c r="AR404" s="29"/>
      <c r="AS404" s="29">
        <f>AS350+N(AS342)</f>
        <v>2229.6999999999998</v>
      </c>
      <c r="AT404" s="29"/>
      <c r="AU404" s="29"/>
      <c r="AV404" s="29"/>
      <c r="AW404" s="29"/>
      <c r="AX404" s="29"/>
      <c r="AY404" s="29">
        <f>AY350+N(AY342)</f>
        <v>2714.7</v>
      </c>
      <c r="AZ404" s="29"/>
      <c r="BA404" s="29"/>
      <c r="BB404" s="29"/>
      <c r="BC404" s="29"/>
      <c r="BD404" s="29"/>
      <c r="BE404" s="29">
        <f>BE350+N(BE342)</f>
        <v>3228.6000000000004</v>
      </c>
      <c r="BF404" s="29"/>
      <c r="BG404" s="29"/>
      <c r="BH404" s="29"/>
      <c r="BI404" s="29"/>
      <c r="BJ404" s="29"/>
      <c r="BK404" s="29">
        <f>BK350+N(BK342)</f>
        <v>7622</v>
      </c>
      <c r="BL404" s="29"/>
      <c r="BM404" s="29"/>
      <c r="BN404" s="29"/>
      <c r="BO404" s="29"/>
      <c r="BP404" s="29"/>
      <c r="BQ404" s="29">
        <f>BQ350+N(BQ342)</f>
        <v>8172.9000000000005</v>
      </c>
      <c r="BR404" s="29"/>
      <c r="BS404" s="29"/>
      <c r="BT404" s="29"/>
      <c r="BU404" s="29"/>
      <c r="BV404" s="29"/>
      <c r="BW404" s="29">
        <f>BW350+N(BW342)</f>
        <v>9225.7999999999993</v>
      </c>
      <c r="BX404" s="29"/>
      <c r="BY404" s="29"/>
      <c r="BZ404" s="29"/>
      <c r="CA404" s="29"/>
      <c r="CB404" s="29"/>
      <c r="CC404" s="29">
        <f>CC350+N(CC342)</f>
        <v>9555.4000000000015</v>
      </c>
      <c r="CD404" s="29"/>
      <c r="CE404" s="29"/>
      <c r="CF404" s="29"/>
      <c r="CG404" s="29"/>
      <c r="CH404" s="29"/>
      <c r="CI404" s="29">
        <f>CI350+N(CI342)</f>
        <v>10513.9</v>
      </c>
      <c r="CJ404" s="29"/>
      <c r="CK404" s="29"/>
      <c r="CL404" s="29"/>
      <c r="CM404" s="31"/>
      <c r="CN404" s="31"/>
      <c r="CO404" s="31">
        <f>CO350+N(CO342)</f>
        <v>11576.019864743792</v>
      </c>
      <c r="CP404" s="31">
        <f>CP350+N(CP342)</f>
        <v>11395.460404070911</v>
      </c>
      <c r="CQ404" s="31">
        <f>CQ350+N(CQ342)</f>
        <v>12073.29478134306</v>
      </c>
      <c r="CR404" s="31">
        <f>CR350+N(CR342)</f>
        <v>12758.421363210322</v>
      </c>
      <c r="CS404" s="31">
        <f>CS350+N(CS342)</f>
        <v>13440.651519336796</v>
      </c>
      <c r="CT404" s="22"/>
      <c r="CV404" s="6"/>
      <c r="CW404" s="6"/>
      <c r="CX404" s="6"/>
      <c r="CY404" s="6"/>
    </row>
    <row r="405" spans="2:103" ht="15" customHeight="1" x14ac:dyDescent="0.25">
      <c r="B405" s="12" t="s">
        <v>541</v>
      </c>
      <c r="C405" s="29">
        <f t="shared" ref="C405:I405" si="354">C376-C315</f>
        <v>218.89999999999998</v>
      </c>
      <c r="D405" s="29">
        <f t="shared" si="354"/>
        <v>129.80000000000001</v>
      </c>
      <c r="E405" s="29">
        <f t="shared" si="354"/>
        <v>312.80000000000007</v>
      </c>
      <c r="F405" s="29">
        <f t="shared" si="354"/>
        <v>226</v>
      </c>
      <c r="G405" s="29">
        <f t="shared" si="354"/>
        <v>192.20000000000002</v>
      </c>
      <c r="H405" s="29">
        <f t="shared" si="354"/>
        <v>263.39999999999998</v>
      </c>
      <c r="I405" s="29">
        <f t="shared" si="354"/>
        <v>512.40000000000009</v>
      </c>
      <c r="J405" s="29"/>
      <c r="K405" s="29"/>
      <c r="L405" s="29"/>
      <c r="M405" s="29"/>
      <c r="N405" s="29"/>
      <c r="O405" s="29">
        <f>O376-O315</f>
        <v>486.5</v>
      </c>
      <c r="P405" s="29"/>
      <c r="Q405" s="29"/>
      <c r="R405" s="29"/>
      <c r="S405" s="29"/>
      <c r="T405" s="29"/>
      <c r="U405" s="29">
        <f>U376-U315</f>
        <v>563.70000000000005</v>
      </c>
      <c r="V405" s="29"/>
      <c r="W405" s="29"/>
      <c r="X405" s="29"/>
      <c r="Y405" s="29"/>
      <c r="Z405" s="29"/>
      <c r="AA405" s="29">
        <f>AA376-AA315</f>
        <v>695.5</v>
      </c>
      <c r="AB405" s="29"/>
      <c r="AC405" s="29"/>
      <c r="AD405" s="29"/>
      <c r="AE405" s="29"/>
      <c r="AF405" s="29"/>
      <c r="AG405" s="29">
        <f>AG376-AG315</f>
        <v>519.19999999999993</v>
      </c>
      <c r="AH405" s="29"/>
      <c r="AI405" s="29"/>
      <c r="AJ405" s="29"/>
      <c r="AK405" s="29"/>
      <c r="AL405" s="29"/>
      <c r="AM405" s="29">
        <f>AM376-AM315</f>
        <v>1001.9999999999999</v>
      </c>
      <c r="AN405" s="29"/>
      <c r="AO405" s="29"/>
      <c r="AP405" s="29"/>
      <c r="AQ405" s="29"/>
      <c r="AR405" s="29"/>
      <c r="AS405" s="29">
        <f>AS376-AS315</f>
        <v>605</v>
      </c>
      <c r="AT405" s="29"/>
      <c r="AU405" s="29"/>
      <c r="AV405" s="29"/>
      <c r="AW405" s="29"/>
      <c r="AX405" s="29"/>
      <c r="AY405" s="29">
        <f>AY376-AY315</f>
        <v>651.1</v>
      </c>
      <c r="AZ405" s="29"/>
      <c r="BA405" s="29"/>
      <c r="BB405" s="29"/>
      <c r="BC405" s="29"/>
      <c r="BD405" s="29"/>
      <c r="BE405" s="29">
        <f>BE376-BE315</f>
        <v>105.39999999999998</v>
      </c>
      <c r="BF405" s="29"/>
      <c r="BG405" s="29"/>
      <c r="BH405" s="29"/>
      <c r="BI405" s="29"/>
      <c r="BJ405" s="29"/>
      <c r="BK405" s="29">
        <f>BK376-BK315</f>
        <v>3624.7</v>
      </c>
      <c r="BL405" s="29"/>
      <c r="BM405" s="29"/>
      <c r="BN405" s="29"/>
      <c r="BO405" s="29"/>
      <c r="BP405" s="29"/>
      <c r="BQ405" s="29">
        <f>BQ376-BQ315</f>
        <v>3282.5</v>
      </c>
      <c r="BR405" s="29"/>
      <c r="BS405" s="29"/>
      <c r="BT405" s="29"/>
      <c r="BU405" s="29"/>
      <c r="BV405" s="29"/>
      <c r="BW405" s="29">
        <f>BW376-BW315</f>
        <v>2596.6000000000004</v>
      </c>
      <c r="BX405" s="29"/>
      <c r="BY405" s="29"/>
      <c r="BZ405" s="29"/>
      <c r="CA405" s="29"/>
      <c r="CB405" s="29"/>
      <c r="CC405" s="29">
        <f>CC376-CC315</f>
        <v>1999.2</v>
      </c>
      <c r="CD405" s="29"/>
      <c r="CE405" s="29"/>
      <c r="CF405" s="29"/>
      <c r="CG405" s="29"/>
      <c r="CH405" s="29"/>
      <c r="CI405" s="29">
        <f>CI376-CI315</f>
        <v>2123</v>
      </c>
      <c r="CJ405" s="29"/>
      <c r="CK405" s="29"/>
      <c r="CL405" s="29"/>
      <c r="CM405" s="31"/>
      <c r="CN405" s="31"/>
      <c r="CO405" s="31">
        <f>CO376-CO315</f>
        <v>1023.2984705537406</v>
      </c>
      <c r="CP405" s="31">
        <f>CP376-CP315</f>
        <v>1827.4646245036611</v>
      </c>
      <c r="CQ405" s="31">
        <f>CQ376-CQ315</f>
        <v>2019.9556278990467</v>
      </c>
      <c r="CR405" s="31">
        <f>CR376-CR315</f>
        <v>2224.438360068355</v>
      </c>
      <c r="CS405" s="31">
        <f>CS376-CS315</f>
        <v>2444.7772354200833</v>
      </c>
      <c r="CT405" s="22"/>
      <c r="CV405" s="6"/>
      <c r="CW405" s="6"/>
      <c r="CX405" s="6"/>
      <c r="CY405" s="6"/>
    </row>
    <row r="406" spans="2:103" ht="15" customHeight="1" x14ac:dyDescent="0.25">
      <c r="B406" s="33" t="s">
        <v>542</v>
      </c>
      <c r="C406" s="67">
        <f t="shared" ref="C406:I406" si="355">IFERROR(C402/C403,"n/a")</f>
        <v>0.13522694949918521</v>
      </c>
      <c r="D406" s="67">
        <f t="shared" si="355"/>
        <v>0.17057143140640169</v>
      </c>
      <c r="E406" s="67">
        <f t="shared" si="355"/>
        <v>0.15990164592533107</v>
      </c>
      <c r="F406" s="67">
        <f t="shared" si="355"/>
        <v>0.14391273182827916</v>
      </c>
      <c r="G406" s="67">
        <f t="shared" si="355"/>
        <v>0.13596164272160488</v>
      </c>
      <c r="H406" s="67">
        <f t="shared" si="355"/>
        <v>0.13554814733436629</v>
      </c>
      <c r="I406" s="67">
        <f t="shared" si="355"/>
        <v>0.11330226806811461</v>
      </c>
      <c r="J406" s="68"/>
      <c r="K406" s="68"/>
      <c r="L406" s="68"/>
      <c r="M406" s="68"/>
      <c r="N406" s="68"/>
      <c r="O406" s="67">
        <f>IFERROR(O402/O403,"n/a")</f>
        <v>0.1116452135162862</v>
      </c>
      <c r="P406" s="68"/>
      <c r="Q406" s="68"/>
      <c r="R406" s="68"/>
      <c r="S406" s="68"/>
      <c r="T406" s="68"/>
      <c r="U406" s="67">
        <f>IFERROR(U402/U403,"n/a")</f>
        <v>0.12278983306726962</v>
      </c>
      <c r="V406" s="68"/>
      <c r="W406" s="68"/>
      <c r="X406" s="68"/>
      <c r="Y406" s="68"/>
      <c r="Z406" s="68"/>
      <c r="AA406" s="67">
        <f>IFERROR(AA402/AA403,"n/a")</f>
        <v>0.11593578440449964</v>
      </c>
      <c r="AB406" s="68"/>
      <c r="AC406" s="68"/>
      <c r="AD406" s="68"/>
      <c r="AE406" s="68"/>
      <c r="AF406" s="68"/>
      <c r="AG406" s="67">
        <f>IFERROR(AG402/AG403,"n/a")</f>
        <v>0.10835325500248146</v>
      </c>
      <c r="AH406" s="68"/>
      <c r="AI406" s="68"/>
      <c r="AJ406" s="68"/>
      <c r="AK406" s="68"/>
      <c r="AL406" s="68"/>
      <c r="AM406" s="67">
        <f>IFERROR(AM402/AM403,"n/a")</f>
        <v>0.10248101155757627</v>
      </c>
      <c r="AN406" s="68"/>
      <c r="AO406" s="68"/>
      <c r="AP406" s="68"/>
      <c r="AQ406" s="68"/>
      <c r="AR406" s="68"/>
      <c r="AS406" s="67">
        <f>IFERROR(AS402/AS403,"n/a")</f>
        <v>0.13634942790419463</v>
      </c>
      <c r="AT406" s="68"/>
      <c r="AU406" s="68"/>
      <c r="AV406" s="68"/>
      <c r="AW406" s="68"/>
      <c r="AX406" s="68"/>
      <c r="AY406" s="67">
        <f>IFERROR(AY402/AY403,"n/a")</f>
        <v>0.1332774695930917</v>
      </c>
      <c r="AZ406" s="68"/>
      <c r="BA406" s="68"/>
      <c r="BB406" s="68"/>
      <c r="BC406" s="68"/>
      <c r="BD406" s="68"/>
      <c r="BE406" s="67">
        <f>IFERROR(BE402/BE403,"n/a")</f>
        <v>0.13317279699265591</v>
      </c>
      <c r="BF406" s="68"/>
      <c r="BG406" s="68"/>
      <c r="BH406" s="68"/>
      <c r="BI406" s="68"/>
      <c r="BJ406" s="68"/>
      <c r="BK406" s="67">
        <f>IFERROR(BK402/BK403,"n/a")</f>
        <v>7.2912591223669998E-2</v>
      </c>
      <c r="BL406" s="68"/>
      <c r="BM406" s="68"/>
      <c r="BN406" s="68"/>
      <c r="BO406" s="68"/>
      <c r="BP406" s="68"/>
      <c r="BQ406" s="67">
        <f>IFERROR(BQ402/BQ403,"n/a")</f>
        <v>8.8705901070346066E-2</v>
      </c>
      <c r="BR406" s="68"/>
      <c r="BS406" s="68"/>
      <c r="BT406" s="68"/>
      <c r="BU406" s="68"/>
      <c r="BV406" s="68"/>
      <c r="BW406" s="67">
        <f>IFERROR(BW402/BW403,"n/a")</f>
        <v>9.696955868747123E-2</v>
      </c>
      <c r="BX406" s="68"/>
      <c r="BY406" s="68"/>
      <c r="BZ406" s="68"/>
      <c r="CA406" s="68"/>
      <c r="CB406" s="68"/>
      <c r="CC406" s="67">
        <f>IFERROR(CC402/CC403,"n/a")</f>
        <v>9.4512133584017069E-2</v>
      </c>
      <c r="CD406" s="68"/>
      <c r="CE406" s="68"/>
      <c r="CF406" s="68"/>
      <c r="CG406" s="68"/>
      <c r="CH406" s="68"/>
      <c r="CI406" s="67">
        <f>IFERROR(CI402/CI403,"n/a")</f>
        <v>8.9368680533320741E-2</v>
      </c>
      <c r="CJ406" s="68"/>
      <c r="CK406" s="68"/>
      <c r="CL406" s="68"/>
      <c r="CM406" s="67"/>
      <c r="CN406" s="67"/>
      <c r="CO406" s="67">
        <f>IFERROR(CO402/CO403,"n/a")</f>
        <v>9.473015791800804E-2</v>
      </c>
      <c r="CP406" s="67">
        <f>IFERROR(CP402/CP403,"n/a")</f>
        <v>9.958477100357746E-2</v>
      </c>
      <c r="CQ406" s="67">
        <f>IFERROR(CQ402/CQ403,"n/a")</f>
        <v>0.10342746547823359</v>
      </c>
      <c r="CR406" s="67">
        <f>IFERROR(CR402/CR403,"n/a")</f>
        <v>0.10725735053454949</v>
      </c>
      <c r="CS406" s="67">
        <f>IFERROR(CS402/CS403,"n/a")</f>
        <v>0.11131317882595837</v>
      </c>
      <c r="CT406" s="22"/>
      <c r="CV406" s="40">
        <f>IFERROR(AVERAGE(CO406,CP406,CQ406,CR406,CS406),"n/m")</f>
        <v>0.1032625847520654</v>
      </c>
      <c r="CW406" s="40">
        <f>IFERROR(AVERAGE(BK406,BQ406,BW406,CC406,CI406),"n/m")</f>
        <v>8.8493773019765021E-2</v>
      </c>
      <c r="CX406" s="40">
        <f>IFERROR(AVERAGE(AG406,AM406,AS406,AY406,BE406,BK406,BQ406,BW406,CC406,CI406),"n/m")</f>
        <v>0.10561028261488252</v>
      </c>
      <c r="CY406" s="40">
        <f>IFERROR(AVERAGE(C406,D406,E406,F406,G406,H406,I406,O406,U406,AA406,AG406,AM406,AS406,AY406,BE406,BK406,BQ406,BW406,CC406,CI406),"n/m")</f>
        <v>0.12004492369600814</v>
      </c>
    </row>
    <row r="407" spans="2:103" ht="15" customHeight="1" x14ac:dyDescent="0.25">
      <c r="B407" s="12" t="s">
        <v>543</v>
      </c>
      <c r="C407" s="39">
        <f>IFERROR(C400/C152,"n/a")</f>
        <v>9.2659782305330729E-2</v>
      </c>
      <c r="D407" s="39">
        <f>IFERROR(D400/D152,"n/a")</f>
        <v>0.10398816495099542</v>
      </c>
      <c r="E407" s="39">
        <f>IFERROR(E400/E152,"n/a")</f>
        <v>0.12450638792102202</v>
      </c>
      <c r="F407" s="39">
        <f>IFERROR(F400/F152,"n/a")</f>
        <v>0.11125234549966709</v>
      </c>
      <c r="G407" s="39">
        <f>IFERROR(G400/G152,"n/a")</f>
        <v>0.11713903418075666</v>
      </c>
      <c r="H407" s="39">
        <f>IFERROR(H400/H152,"n/a")</f>
        <v>0.1296668211545394</v>
      </c>
      <c r="I407" s="39">
        <f>IFERROR(I400/I152,"n/a")</f>
        <v>0.12809664833356846</v>
      </c>
      <c r="J407" s="39"/>
      <c r="K407" s="39"/>
      <c r="L407" s="39"/>
      <c r="M407" s="39"/>
      <c r="N407" s="39"/>
      <c r="O407" s="39">
        <f>IFERROR(O400/O152,"n/a")</f>
        <v>0.1162233815103053</v>
      </c>
      <c r="P407" s="39"/>
      <c r="Q407" s="39"/>
      <c r="R407" s="39"/>
      <c r="S407" s="39"/>
      <c r="T407" s="39"/>
      <c r="U407" s="39">
        <f>IFERROR(U400/U152,"n/a")</f>
        <v>0.13638262322472852</v>
      </c>
      <c r="V407" s="39"/>
      <c r="W407" s="39"/>
      <c r="X407" s="39"/>
      <c r="Y407" s="39"/>
      <c r="Z407" s="39"/>
      <c r="AA407" s="39">
        <f>IFERROR(AA400/AA152,"n/a")</f>
        <v>0.13589486967494885</v>
      </c>
      <c r="AB407" s="39"/>
      <c r="AC407" s="39"/>
      <c r="AD407" s="39"/>
      <c r="AE407" s="39"/>
      <c r="AF407" s="39"/>
      <c r="AG407" s="39">
        <f>IFERROR(AG400/AG152,"n/a")</f>
        <v>0.13209916740313504</v>
      </c>
      <c r="AH407" s="39"/>
      <c r="AI407" s="39"/>
      <c r="AJ407" s="39"/>
      <c r="AK407" s="39"/>
      <c r="AL407" s="39"/>
      <c r="AM407" s="39">
        <f>IFERROR(AM400/AM152,"n/a")</f>
        <v>0.14663184576388361</v>
      </c>
      <c r="AN407" s="39"/>
      <c r="AO407" s="39"/>
      <c r="AP407" s="39"/>
      <c r="AQ407" s="39"/>
      <c r="AR407" s="39"/>
      <c r="AS407" s="39">
        <f>IFERROR(AS400/AS152,"n/a")</f>
        <v>0.15717830312220005</v>
      </c>
      <c r="AT407" s="39"/>
      <c r="AU407" s="39"/>
      <c r="AV407" s="39"/>
      <c r="AW407" s="39"/>
      <c r="AX407" s="39"/>
      <c r="AY407" s="39">
        <f>IFERROR(AY400/AY152,"n/a")</f>
        <v>0.16696168921481855</v>
      </c>
      <c r="AZ407" s="39"/>
      <c r="BA407" s="39"/>
      <c r="BB407" s="39"/>
      <c r="BC407" s="39"/>
      <c r="BD407" s="39"/>
      <c r="BE407" s="39">
        <f>IFERROR(BE400/BE152,"n/a")</f>
        <v>0.16813557125267314</v>
      </c>
      <c r="BF407" s="39"/>
      <c r="BG407" s="39"/>
      <c r="BH407" s="39"/>
      <c r="BI407" s="39"/>
      <c r="BJ407" s="39"/>
      <c r="BK407" s="39">
        <f>IFERROR(BK400/BK152,"n/a")</f>
        <v>0.21303339618143602</v>
      </c>
      <c r="BL407" s="39"/>
      <c r="BM407" s="39"/>
      <c r="BN407" s="39"/>
      <c r="BO407" s="39"/>
      <c r="BP407" s="39"/>
      <c r="BQ407" s="39">
        <f>IFERROR(BQ400/BQ152,"n/a")</f>
        <v>0.21428571428571433</v>
      </c>
      <c r="BR407" s="39"/>
      <c r="BS407" s="39"/>
      <c r="BT407" s="39"/>
      <c r="BU407" s="39"/>
      <c r="BV407" s="39"/>
      <c r="BW407" s="39">
        <f>IFERROR(BW400/BW152,"n/a")</f>
        <v>0.22001597018898059</v>
      </c>
      <c r="BX407" s="39"/>
      <c r="BY407" s="39"/>
      <c r="BZ407" s="39"/>
      <c r="CA407" s="39"/>
      <c r="CB407" s="39"/>
      <c r="CC407" s="39">
        <f>IFERROR(CC400/CC152,"n/a")</f>
        <v>0.22010582010582011</v>
      </c>
      <c r="CD407" s="39"/>
      <c r="CE407" s="39"/>
      <c r="CF407" s="39"/>
      <c r="CG407" s="39"/>
      <c r="CH407" s="39"/>
      <c r="CI407" s="39">
        <f>IFERROR(CI400/CI152,"n/a")</f>
        <v>0.22565980966085614</v>
      </c>
      <c r="CJ407" s="39"/>
      <c r="CK407" s="39"/>
      <c r="CL407" s="39"/>
      <c r="CM407" s="27"/>
      <c r="CN407" s="27"/>
      <c r="CO407" s="27">
        <f>IFERROR(CO400/CO152,"n/a")</f>
        <v>0.22565160837863185</v>
      </c>
      <c r="CP407" s="27">
        <f>IFERROR(CP400/CP152,"n/a")</f>
        <v>0.23362896372164457</v>
      </c>
      <c r="CQ407" s="27">
        <f>IFERROR(CQ400/CQ152,"n/a")</f>
        <v>0.23649817247460775</v>
      </c>
      <c r="CR407" s="27">
        <f>IFERROR(CR400/CR152,"n/a")</f>
        <v>0.23864429853018018</v>
      </c>
      <c r="CS407" s="27">
        <f>IFERROR(CS400/CS152,"n/a")</f>
        <v>0.24105429255725352</v>
      </c>
      <c r="CT407" s="22"/>
      <c r="CV407" s="6"/>
      <c r="CW407" s="6"/>
      <c r="CX407" s="6"/>
      <c r="CY407" s="6"/>
    </row>
    <row r="408" spans="2:103" ht="15" customHeight="1" x14ac:dyDescent="0.25">
      <c r="B408" s="12" t="s">
        <v>544</v>
      </c>
      <c r="C408" s="47">
        <f>IFERROR(C152/C403,"n/a")</f>
        <v>2.202551098816659</v>
      </c>
      <c r="D408" s="47">
        <f>IFERROR(D152/D403,"n/a")</f>
        <v>2.458030303030303</v>
      </c>
      <c r="E408" s="47">
        <f>IFERROR(E152/E403,"n/a")</f>
        <v>2.0306603773584904</v>
      </c>
      <c r="F408" s="47">
        <f>IFERROR(F152/F403,"n/a")</f>
        <v>1.8492276695768972</v>
      </c>
      <c r="G408" s="47">
        <f>IFERROR(G152/G403,"n/a")</f>
        <v>1.679125816993464</v>
      </c>
      <c r="H408" s="47">
        <f>IFERROR(H152/H403,"n/a")</f>
        <v>1.5566332665330662</v>
      </c>
      <c r="I408" s="47">
        <f>IFERROR(I152/I403,"n/a")</f>
        <v>1.2398298169949877</v>
      </c>
      <c r="J408" s="47"/>
      <c r="K408" s="47"/>
      <c r="L408" s="47"/>
      <c r="M408" s="47"/>
      <c r="N408" s="47"/>
      <c r="O408" s="47">
        <f>IFERROR(O152/O403,"n/a")</f>
        <v>1.1662677039696787</v>
      </c>
      <c r="P408" s="47"/>
      <c r="Q408" s="47"/>
      <c r="R408" s="47"/>
      <c r="S408" s="47"/>
      <c r="T408" s="47"/>
      <c r="U408" s="47">
        <f>IFERROR(U152/U403,"n/a")</f>
        <v>1.1780336581045172</v>
      </c>
      <c r="V408" s="47"/>
      <c r="W408" s="47"/>
      <c r="X408" s="47"/>
      <c r="Y408" s="47"/>
      <c r="Z408" s="47"/>
      <c r="AA408" s="47">
        <f>IFERROR(AA152/AA403,"n/a")</f>
        <v>1.1267405373602668</v>
      </c>
      <c r="AB408" s="47"/>
      <c r="AC408" s="47"/>
      <c r="AD408" s="47"/>
      <c r="AE408" s="47"/>
      <c r="AF408" s="47"/>
      <c r="AG408" s="47">
        <f>IFERROR(AG152/AG403,"n/a")</f>
        <v>1.0367959104938274</v>
      </c>
      <c r="AH408" s="47"/>
      <c r="AI408" s="47"/>
      <c r="AJ408" s="47"/>
      <c r="AK408" s="47"/>
      <c r="AL408" s="47"/>
      <c r="AM408" s="47">
        <f>IFERROR(AM152/AM403,"n/a")</f>
        <v>0.88285355847150182</v>
      </c>
      <c r="AN408" s="47"/>
      <c r="AO408" s="47"/>
      <c r="AP408" s="47"/>
      <c r="AQ408" s="47"/>
      <c r="AR408" s="47"/>
      <c r="AS408" s="47">
        <f>IFERROR(AS152/AS403,"n/a")</f>
        <v>1.0236709351959645</v>
      </c>
      <c r="AT408" s="47"/>
      <c r="AU408" s="47"/>
      <c r="AV408" s="47"/>
      <c r="AW408" s="47"/>
      <c r="AX408" s="47"/>
      <c r="AY408" s="47">
        <f>IFERROR(AY152/AY403,"n/a")</f>
        <v>0.93992512924119087</v>
      </c>
      <c r="AZ408" s="47"/>
      <c r="BA408" s="47"/>
      <c r="BB408" s="47"/>
      <c r="BC408" s="47"/>
      <c r="BD408" s="47"/>
      <c r="BE408" s="47">
        <f>IFERROR(BE152/BE403,"n/a")</f>
        <v>0.92567486502699448</v>
      </c>
      <c r="BF408" s="47"/>
      <c r="BG408" s="47"/>
      <c r="BH408" s="47"/>
      <c r="BI408" s="47"/>
      <c r="BJ408" s="47"/>
      <c r="BK408" s="47">
        <f>IFERROR(BK152/BK403,"n/a")</f>
        <v>0.41028034890234466</v>
      </c>
      <c r="BL408" s="47"/>
      <c r="BM408" s="47"/>
      <c r="BN408" s="47"/>
      <c r="BO408" s="47"/>
      <c r="BP408" s="47"/>
      <c r="BQ408" s="47">
        <f>IFERROR(BQ152/BQ403,"n/a")</f>
        <v>0.4765088953681233</v>
      </c>
      <c r="BR408" s="47"/>
      <c r="BS408" s="47"/>
      <c r="BT408" s="47"/>
      <c r="BU408" s="47"/>
      <c r="BV408" s="47"/>
      <c r="BW408" s="47">
        <f>IFERROR(BW152/BW403,"n/a")</f>
        <v>0.47667986195696305</v>
      </c>
      <c r="BX408" s="47"/>
      <c r="BY408" s="47"/>
      <c r="BZ408" s="47"/>
      <c r="CA408" s="47"/>
      <c r="CB408" s="47"/>
      <c r="CC408" s="47">
        <f>IFERROR(CC152/CC403,"n/a")</f>
        <v>0.49071365516763876</v>
      </c>
      <c r="CD408" s="47"/>
      <c r="CE408" s="47"/>
      <c r="CF408" s="47"/>
      <c r="CG408" s="47"/>
      <c r="CH408" s="47"/>
      <c r="CI408" s="47">
        <f>IFERROR(CI152/CI403,"n/a")</f>
        <v>0.48393197698802709</v>
      </c>
      <c r="CJ408" s="47"/>
      <c r="CK408" s="47"/>
      <c r="CL408" s="47"/>
      <c r="CM408" s="48"/>
      <c r="CN408" s="48"/>
      <c r="CO408" s="48">
        <f>IFERROR(CO152/CO403,"n/a")</f>
        <v>0.53067058686118473</v>
      </c>
      <c r="CP408" s="48">
        <f>IFERROR(CP152/CP403,"n/a")</f>
        <v>0.54299594911281157</v>
      </c>
      <c r="CQ408" s="48">
        <f>IFERROR(CQ152/CQ403,"n/a")</f>
        <v>0.55710677048651347</v>
      </c>
      <c r="CR408" s="48">
        <f>IFERROR(CR152/CR403,"n/a")</f>
        <v>0.57254067413915721</v>
      </c>
      <c r="CS408" s="48">
        <f>IFERROR(CS152/CS403,"n/a")</f>
        <v>0.5882501667963006</v>
      </c>
      <c r="CT408" s="22"/>
      <c r="CV408" s="6"/>
      <c r="CW408" s="6"/>
      <c r="CX408" s="6"/>
      <c r="CY408" s="6"/>
    </row>
    <row r="409" spans="2:103" ht="15" customHeight="1" x14ac:dyDescent="0.25">
      <c r="B409" s="12" t="s">
        <v>545</v>
      </c>
      <c r="C409" s="39">
        <f t="shared" ref="C409:I409" si="356">IFERROR(1-C401,"n/a")</f>
        <v>0.6625916870415649</v>
      </c>
      <c r="D409" s="39">
        <f t="shared" si="356"/>
        <v>0.66732154551407952</v>
      </c>
      <c r="E409" s="39">
        <f t="shared" si="356"/>
        <v>0.63244680851063817</v>
      </c>
      <c r="F409" s="39">
        <f t="shared" si="356"/>
        <v>0.69951923076923073</v>
      </c>
      <c r="G409" s="39">
        <f t="shared" si="356"/>
        <v>0.69124423963133652</v>
      </c>
      <c r="H409" s="39">
        <f t="shared" si="356"/>
        <v>0.67155009451795844</v>
      </c>
      <c r="I409" s="39">
        <f t="shared" si="356"/>
        <v>0.71340929009640697</v>
      </c>
      <c r="J409" s="39"/>
      <c r="K409" s="39"/>
      <c r="L409" s="39"/>
      <c r="M409" s="39"/>
      <c r="N409" s="39"/>
      <c r="O409" s="39">
        <f>IFERROR(1-O401,"n/a")</f>
        <v>0.82366071428571419</v>
      </c>
      <c r="P409" s="39"/>
      <c r="Q409" s="39"/>
      <c r="R409" s="39"/>
      <c r="S409" s="39"/>
      <c r="T409" s="39"/>
      <c r="U409" s="39">
        <f>IFERROR(1-U401,"n/a")</f>
        <v>0.76426799007444179</v>
      </c>
      <c r="V409" s="39"/>
      <c r="W409" s="39"/>
      <c r="X409" s="39"/>
      <c r="Y409" s="39"/>
      <c r="Z409" s="39"/>
      <c r="AA409" s="39">
        <f>IFERROR(1-AA401,"n/a")</f>
        <v>0.7571649883810998</v>
      </c>
      <c r="AB409" s="39"/>
      <c r="AC409" s="39"/>
      <c r="AD409" s="39"/>
      <c r="AE409" s="39"/>
      <c r="AF409" s="39"/>
      <c r="AG409" s="39">
        <f>IFERROR(1-AG401,"n/a")</f>
        <v>0.79113137173642778</v>
      </c>
      <c r="AH409" s="39"/>
      <c r="AI409" s="39"/>
      <c r="AJ409" s="39"/>
      <c r="AK409" s="39"/>
      <c r="AL409" s="39"/>
      <c r="AM409" s="39">
        <f>IFERROR(1-AM401,"n/a")</f>
        <v>0.79163763066202097</v>
      </c>
      <c r="AN409" s="39"/>
      <c r="AO409" s="39"/>
      <c r="AP409" s="39"/>
      <c r="AQ409" s="39"/>
      <c r="AR409" s="39"/>
      <c r="AS409" s="39">
        <f>IFERROR(1-AS401,"n/a")</f>
        <v>0.84742320385884751</v>
      </c>
      <c r="AT409" s="39"/>
      <c r="AU409" s="39"/>
      <c r="AV409" s="39"/>
      <c r="AW409" s="39"/>
      <c r="AX409" s="39"/>
      <c r="AY409" s="39">
        <f>IFERROR(1-AY401,"n/a")</f>
        <v>0.84927169094363519</v>
      </c>
      <c r="AZ409" s="39"/>
      <c r="BA409" s="39"/>
      <c r="BB409" s="39"/>
      <c r="BC409" s="39"/>
      <c r="BD409" s="39"/>
      <c r="BE409" s="39">
        <f>IFERROR(1-BE401,"n/a")</f>
        <v>0.85565254417713432</v>
      </c>
      <c r="BF409" s="39"/>
      <c r="BG409" s="39"/>
      <c r="BH409" s="39"/>
      <c r="BI409" s="39"/>
      <c r="BJ409" s="39"/>
      <c r="BK409" s="39">
        <f>IFERROR(1-BK401,"n/a")</f>
        <v>0.83420756837766963</v>
      </c>
      <c r="BL409" s="39"/>
      <c r="BM409" s="39"/>
      <c r="BN409" s="39"/>
      <c r="BO409" s="39"/>
      <c r="BP409" s="39"/>
      <c r="BQ409" s="39">
        <f>IFERROR(1-BQ401,"n/a")</f>
        <v>0.86873692324633855</v>
      </c>
      <c r="BR409" s="39"/>
      <c r="BS409" s="39"/>
      <c r="BT409" s="39"/>
      <c r="BU409" s="39"/>
      <c r="BV409" s="39"/>
      <c r="BW409" s="39">
        <f>IFERROR(1-BW401,"n/a")</f>
        <v>0.92460110543330898</v>
      </c>
      <c r="BX409" s="39"/>
      <c r="BY409" s="39"/>
      <c r="BZ409" s="39"/>
      <c r="CA409" s="39"/>
      <c r="CB409" s="39"/>
      <c r="CC409" s="39">
        <f>IFERROR(1-CC401,"n/a")</f>
        <v>0.87503998294061203</v>
      </c>
      <c r="CD409" s="39"/>
      <c r="CE409" s="39"/>
      <c r="CF409" s="39"/>
      <c r="CG409" s="39"/>
      <c r="CH409" s="39"/>
      <c r="CI409" s="39">
        <f>IFERROR(1-CI401,"n/a")</f>
        <v>0.81836455002284147</v>
      </c>
      <c r="CJ409" s="39"/>
      <c r="CK409" s="39"/>
      <c r="CL409" s="39"/>
      <c r="CM409" s="27"/>
      <c r="CN409" s="27"/>
      <c r="CO409" s="27">
        <f>IFERROR(1-CO401,"n/a")</f>
        <v>0.79108802587423921</v>
      </c>
      <c r="CP409" s="27">
        <f>IFERROR(1-CP401,"n/a")</f>
        <v>0.78500000000000003</v>
      </c>
      <c r="CQ409" s="27">
        <f>IFERROR(1-CQ401,"n/a")</f>
        <v>0.78500000000000003</v>
      </c>
      <c r="CR409" s="27">
        <f>IFERROR(1-CR401,"n/a")</f>
        <v>0.78500000000000003</v>
      </c>
      <c r="CS409" s="27">
        <f>IFERROR(1-CS401,"n/a")</f>
        <v>0.78500000000000003</v>
      </c>
      <c r="CT409" s="22"/>
      <c r="CV409" s="6"/>
      <c r="CW409" s="6"/>
      <c r="CX409" s="6"/>
      <c r="CY409" s="6"/>
    </row>
    <row r="410" spans="2:103" ht="15" customHeight="1" x14ac:dyDescent="0.25">
      <c r="B410" s="12" t="s">
        <v>546</v>
      </c>
      <c r="C410" s="39">
        <f t="shared" ref="C410:I410" si="357">IFERROR(C407*C408*C409,"n/a")</f>
        <v>0.13522694949918521</v>
      </c>
      <c r="D410" s="39">
        <f t="shared" si="357"/>
        <v>0.17057143140640169</v>
      </c>
      <c r="E410" s="39">
        <f t="shared" si="357"/>
        <v>0.1599016459253311</v>
      </c>
      <c r="F410" s="39">
        <f t="shared" si="357"/>
        <v>0.14391273182827918</v>
      </c>
      <c r="G410" s="39">
        <f t="shared" si="357"/>
        <v>0.13596164272160488</v>
      </c>
      <c r="H410" s="39">
        <f t="shared" si="357"/>
        <v>0.13554814733436632</v>
      </c>
      <c r="I410" s="39">
        <f t="shared" si="357"/>
        <v>0.11330226806811461</v>
      </c>
      <c r="J410" s="39"/>
      <c r="K410" s="39"/>
      <c r="L410" s="39"/>
      <c r="M410" s="39"/>
      <c r="N410" s="39"/>
      <c r="O410" s="39">
        <f>IFERROR(O407*O408*O409,"n/a")</f>
        <v>0.11164521351628619</v>
      </c>
      <c r="P410" s="39"/>
      <c r="Q410" s="39"/>
      <c r="R410" s="39"/>
      <c r="S410" s="39"/>
      <c r="T410" s="39"/>
      <c r="U410" s="39">
        <f>IFERROR(U407*U408*U409,"n/a")</f>
        <v>0.12278983306726961</v>
      </c>
      <c r="V410" s="39"/>
      <c r="W410" s="39"/>
      <c r="X410" s="39"/>
      <c r="Y410" s="39"/>
      <c r="Z410" s="39"/>
      <c r="AA410" s="39">
        <f>IFERROR(AA407*AA408*AA409,"n/a")</f>
        <v>0.11593578440449963</v>
      </c>
      <c r="AB410" s="39"/>
      <c r="AC410" s="39"/>
      <c r="AD410" s="39"/>
      <c r="AE410" s="39"/>
      <c r="AF410" s="39"/>
      <c r="AG410" s="39">
        <f>IFERROR(AG407*AG408*AG409,"n/a")</f>
        <v>0.10835325500248147</v>
      </c>
      <c r="AH410" s="39"/>
      <c r="AI410" s="39"/>
      <c r="AJ410" s="39"/>
      <c r="AK410" s="39"/>
      <c r="AL410" s="39"/>
      <c r="AM410" s="39">
        <f>IFERROR(AM407*AM408*AM409,"n/a")</f>
        <v>0.1024810115575763</v>
      </c>
      <c r="AN410" s="39"/>
      <c r="AO410" s="39"/>
      <c r="AP410" s="39"/>
      <c r="AQ410" s="39"/>
      <c r="AR410" s="39"/>
      <c r="AS410" s="39">
        <f>IFERROR(AS407*AS408*AS409,"n/a")</f>
        <v>0.13634942790419463</v>
      </c>
      <c r="AT410" s="39"/>
      <c r="AU410" s="39"/>
      <c r="AV410" s="39"/>
      <c r="AW410" s="39"/>
      <c r="AX410" s="39"/>
      <c r="AY410" s="39">
        <f>IFERROR(AY407*AY408*AY409,"n/a")</f>
        <v>0.13327746959309172</v>
      </c>
      <c r="AZ410" s="39"/>
      <c r="BA410" s="39"/>
      <c r="BB410" s="39"/>
      <c r="BC410" s="39"/>
      <c r="BD410" s="39"/>
      <c r="BE410" s="39">
        <f>IFERROR(BE407*BE408*BE409,"n/a")</f>
        <v>0.13317279699265591</v>
      </c>
      <c r="BF410" s="39"/>
      <c r="BG410" s="39"/>
      <c r="BH410" s="39"/>
      <c r="BI410" s="39"/>
      <c r="BJ410" s="39"/>
      <c r="BK410" s="39">
        <f>IFERROR(BK407*BK408*BK409,"n/a")</f>
        <v>7.2912591223669998E-2</v>
      </c>
      <c r="BL410" s="39"/>
      <c r="BM410" s="39"/>
      <c r="BN410" s="39"/>
      <c r="BO410" s="39"/>
      <c r="BP410" s="39"/>
      <c r="BQ410" s="39">
        <f>IFERROR(BQ407*BQ408*BQ409,"n/a")</f>
        <v>8.8705901070346066E-2</v>
      </c>
      <c r="BR410" s="39"/>
      <c r="BS410" s="39"/>
      <c r="BT410" s="39"/>
      <c r="BU410" s="39"/>
      <c r="BV410" s="39"/>
      <c r="BW410" s="39">
        <f>IFERROR(BW407*BW408*BW409,"n/a")</f>
        <v>9.696955868747123E-2</v>
      </c>
      <c r="BX410" s="39"/>
      <c r="BY410" s="39"/>
      <c r="BZ410" s="39"/>
      <c r="CA410" s="39"/>
      <c r="CB410" s="39"/>
      <c r="CC410" s="39">
        <f>IFERROR(CC407*CC408*CC409,"n/a")</f>
        <v>9.4512133584017069E-2</v>
      </c>
      <c r="CD410" s="39"/>
      <c r="CE410" s="39"/>
      <c r="CF410" s="39"/>
      <c r="CG410" s="39"/>
      <c r="CH410" s="39"/>
      <c r="CI410" s="39">
        <f>IFERROR(CI407*CI408*CI409,"n/a")</f>
        <v>8.9368680533320741E-2</v>
      </c>
      <c r="CJ410" s="39"/>
      <c r="CK410" s="39"/>
      <c r="CL410" s="39"/>
      <c r="CM410" s="27"/>
      <c r="CN410" s="27"/>
      <c r="CO410" s="27">
        <f>IFERROR(CO407*CO408*CO409,"n/a")</f>
        <v>9.473015791800804E-2</v>
      </c>
      <c r="CP410" s="27">
        <f>IFERROR(CP407*CP408*CP409,"n/a")</f>
        <v>9.9584771003577474E-2</v>
      </c>
      <c r="CQ410" s="27">
        <f>IFERROR(CQ407*CQ408*CQ409,"n/a")</f>
        <v>0.10342746547823357</v>
      </c>
      <c r="CR410" s="27">
        <f>IFERROR(CR407*CR408*CR409,"n/a")</f>
        <v>0.10725735053454948</v>
      </c>
      <c r="CS410" s="27">
        <f>IFERROR(CS407*CS408*CS409,"n/a")</f>
        <v>0.11131317882595838</v>
      </c>
      <c r="CT410" s="22"/>
      <c r="CV410" s="6"/>
      <c r="CW410" s="6"/>
      <c r="CX410" s="6"/>
      <c r="CY410" s="6"/>
    </row>
    <row r="411" spans="2:103" ht="15" customHeight="1" x14ac:dyDescent="0.25">
      <c r="B411" s="12"/>
      <c r="CM411" s="6"/>
      <c r="CN411" s="6"/>
      <c r="CO411" s="6"/>
      <c r="CP411" s="6"/>
      <c r="CQ411" s="6"/>
      <c r="CR411" s="6"/>
      <c r="CS411" s="6"/>
      <c r="CT411" s="6"/>
    </row>
    <row r="412" spans="2:103" ht="15" customHeight="1" x14ac:dyDescent="0.25">
      <c r="B412" s="16" t="s">
        <v>547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</row>
    <row r="413" spans="2:103" ht="15" customHeight="1" x14ac:dyDescent="0.25">
      <c r="B413" s="12" t="s">
        <v>538</v>
      </c>
      <c r="C413" s="29">
        <f t="shared" ref="C413:I413" si="358">C402</f>
        <v>87.992176039119826</v>
      </c>
      <c r="D413" s="29">
        <f t="shared" si="358"/>
        <v>112.57714472822511</v>
      </c>
      <c r="E413" s="29">
        <f t="shared" si="358"/>
        <v>135.59659574468077</v>
      </c>
      <c r="F413" s="29">
        <f t="shared" si="358"/>
        <v>128.5716346153846</v>
      </c>
      <c r="G413" s="29">
        <f t="shared" si="358"/>
        <v>133.1336405529955</v>
      </c>
      <c r="H413" s="29">
        <f t="shared" si="358"/>
        <v>169.09631379962195</v>
      </c>
      <c r="I413" s="29">
        <f t="shared" si="358"/>
        <v>194.40403155127106</v>
      </c>
      <c r="J413" s="29"/>
      <c r="K413" s="29"/>
      <c r="L413" s="29"/>
      <c r="M413" s="29"/>
      <c r="N413" s="29"/>
      <c r="O413" s="29">
        <f>O402</f>
        <v>223.87098214285709</v>
      </c>
      <c r="P413" s="29"/>
      <c r="Q413" s="29"/>
      <c r="R413" s="29"/>
      <c r="S413" s="29"/>
      <c r="T413" s="29"/>
      <c r="U413" s="29">
        <f>U402</f>
        <v>249.53349875930533</v>
      </c>
      <c r="V413" s="29"/>
      <c r="W413" s="29"/>
      <c r="X413" s="29"/>
      <c r="Y413" s="29"/>
      <c r="Z413" s="29"/>
      <c r="AA413" s="29">
        <f>AA402</f>
        <v>236.46262587141743</v>
      </c>
      <c r="AB413" s="29"/>
      <c r="AC413" s="29"/>
      <c r="AD413" s="29"/>
      <c r="AE413" s="29"/>
      <c r="AF413" s="29"/>
      <c r="AG413" s="29">
        <f>AG402</f>
        <v>224.68130957314554</v>
      </c>
      <c r="AH413" s="29"/>
      <c r="AI413" s="29"/>
      <c r="AJ413" s="29"/>
      <c r="AK413" s="29"/>
      <c r="AL413" s="29"/>
      <c r="AM413" s="29">
        <f>AM402</f>
        <v>302.24724738675968</v>
      </c>
      <c r="AN413" s="29"/>
      <c r="AO413" s="29"/>
      <c r="AP413" s="29"/>
      <c r="AQ413" s="29"/>
      <c r="AR413" s="29"/>
      <c r="AS413" s="29">
        <f>AS402</f>
        <v>386.50972328002047</v>
      </c>
      <c r="AT413" s="29"/>
      <c r="AU413" s="29"/>
      <c r="AV413" s="29"/>
      <c r="AW413" s="29"/>
      <c r="AX413" s="29"/>
      <c r="AY413" s="29">
        <f>AY402</f>
        <v>448.58530715642803</v>
      </c>
      <c r="AZ413" s="29"/>
      <c r="BA413" s="29"/>
      <c r="BB413" s="29"/>
      <c r="BC413" s="29"/>
      <c r="BD413" s="29"/>
      <c r="BE413" s="29">
        <f>BE402</f>
        <v>443.99810517351489</v>
      </c>
      <c r="BF413" s="29"/>
      <c r="BG413" s="29"/>
      <c r="BH413" s="29"/>
      <c r="BI413" s="29"/>
      <c r="BJ413" s="29"/>
      <c r="BK413" s="29">
        <f>BK402</f>
        <v>820.02603971524945</v>
      </c>
      <c r="BL413" s="29"/>
      <c r="BM413" s="29"/>
      <c r="BN413" s="29"/>
      <c r="BO413" s="29"/>
      <c r="BP413" s="29"/>
      <c r="BQ413" s="29">
        <f>BQ402</f>
        <v>1016.1615791212424</v>
      </c>
      <c r="BR413" s="29"/>
      <c r="BS413" s="29"/>
      <c r="BT413" s="29"/>
      <c r="BU413" s="29"/>
      <c r="BV413" s="29"/>
      <c r="BW413" s="29">
        <f>BW402</f>
        <v>1146.4129106267599</v>
      </c>
      <c r="BX413" s="29"/>
      <c r="BY413" s="29"/>
      <c r="BZ413" s="29"/>
      <c r="CA413" s="29"/>
      <c r="CB413" s="29"/>
      <c r="CC413" s="29">
        <f>CC402</f>
        <v>1092.0498987098838</v>
      </c>
      <c r="CD413" s="29"/>
      <c r="CE413" s="29"/>
      <c r="CF413" s="29"/>
      <c r="CG413" s="29"/>
      <c r="CH413" s="29"/>
      <c r="CI413" s="29">
        <f>CI402</f>
        <v>1129.3430790315208</v>
      </c>
      <c r="CJ413" s="29"/>
      <c r="CK413" s="29"/>
      <c r="CL413" s="29"/>
      <c r="CM413" s="31"/>
      <c r="CN413" s="31"/>
      <c r="CO413" s="31">
        <f>CO402</f>
        <v>1193.5354155619893</v>
      </c>
      <c r="CP413" s="31">
        <f>CP402</f>
        <v>1316.8019609680719</v>
      </c>
      <c r="CQ413" s="31">
        <f>CQ402</f>
        <v>1457.6291701779894</v>
      </c>
      <c r="CR413" s="31">
        <f>CR402</f>
        <v>1607.0218373496843</v>
      </c>
      <c r="CS413" s="31">
        <f>CS402</f>
        <v>1768.2575717052737</v>
      </c>
      <c r="CT413" s="22"/>
      <c r="CV413" s="6"/>
      <c r="CW413" s="6"/>
      <c r="CX413" s="6"/>
      <c r="CY413" s="6"/>
    </row>
    <row r="414" spans="2:103" ht="15" customHeight="1" x14ac:dyDescent="0.25">
      <c r="B414" s="12" t="s">
        <v>548</v>
      </c>
      <c r="C414" s="29">
        <f t="shared" ref="C414:I414" si="359">C326</f>
        <v>1061.4000000000001</v>
      </c>
      <c r="D414" s="29">
        <f t="shared" si="359"/>
        <v>1159.4000000000001</v>
      </c>
      <c r="E414" s="29">
        <f t="shared" si="359"/>
        <v>1534.5</v>
      </c>
      <c r="F414" s="29">
        <f t="shared" si="359"/>
        <v>1421.5</v>
      </c>
      <c r="G414" s="29">
        <f t="shared" si="359"/>
        <v>1557.8</v>
      </c>
      <c r="H414" s="29">
        <f t="shared" si="359"/>
        <v>1826.1</v>
      </c>
      <c r="I414" s="29">
        <f t="shared" si="359"/>
        <v>2406.4</v>
      </c>
      <c r="J414" s="29"/>
      <c r="K414" s="29"/>
      <c r="L414" s="29"/>
      <c r="M414" s="29"/>
      <c r="N414" s="29"/>
      <c r="O414" s="29">
        <f>O326</f>
        <v>2751.1</v>
      </c>
      <c r="P414" s="29"/>
      <c r="Q414" s="29"/>
      <c r="R414" s="29"/>
      <c r="S414" s="29"/>
      <c r="T414" s="29"/>
      <c r="U414" s="29">
        <f>U326</f>
        <v>2862.2</v>
      </c>
      <c r="V414" s="29"/>
      <c r="W414" s="29"/>
      <c r="X414" s="29"/>
      <c r="Y414" s="29"/>
      <c r="Z414" s="29"/>
      <c r="AA414" s="29">
        <f>AA326</f>
        <v>2717.1</v>
      </c>
      <c r="AB414" s="29"/>
      <c r="AC414" s="29"/>
      <c r="AD414" s="29"/>
      <c r="AE414" s="29"/>
      <c r="AF414" s="29"/>
      <c r="AG414" s="29">
        <f>AG326</f>
        <v>2774.3999999999996</v>
      </c>
      <c r="AH414" s="29"/>
      <c r="AI414" s="29"/>
      <c r="AJ414" s="29"/>
      <c r="AK414" s="29"/>
      <c r="AL414" s="29"/>
      <c r="AM414" s="29">
        <f>AM326</f>
        <v>3846.4</v>
      </c>
      <c r="AN414" s="29"/>
      <c r="AO414" s="29"/>
      <c r="AP414" s="29"/>
      <c r="AQ414" s="29"/>
      <c r="AR414" s="29"/>
      <c r="AS414" s="29">
        <f>AS326</f>
        <v>3809.3</v>
      </c>
      <c r="AT414" s="29"/>
      <c r="AU414" s="29"/>
      <c r="AV414" s="29"/>
      <c r="AW414" s="29"/>
      <c r="AX414" s="29"/>
      <c r="AY414" s="29">
        <f>AY326</f>
        <v>4579.8</v>
      </c>
      <c r="AZ414" s="29"/>
      <c r="BA414" s="29"/>
      <c r="BB414" s="29"/>
      <c r="BC414" s="29"/>
      <c r="BD414" s="29"/>
      <c r="BE414" s="29">
        <f>BE326</f>
        <v>5084.7999999999993</v>
      </c>
      <c r="BF414" s="29"/>
      <c r="BG414" s="29"/>
      <c r="BH414" s="29"/>
      <c r="BI414" s="29"/>
      <c r="BJ414" s="29"/>
      <c r="BK414" s="29">
        <f>BK326</f>
        <v>14430.300000000001</v>
      </c>
      <c r="BL414" s="29"/>
      <c r="BM414" s="29"/>
      <c r="BN414" s="29"/>
      <c r="BO414" s="29"/>
      <c r="BP414" s="29"/>
      <c r="BQ414" s="29">
        <f>BQ326</f>
        <v>14354</v>
      </c>
      <c r="BR414" s="29"/>
      <c r="BS414" s="29"/>
      <c r="BT414" s="29"/>
      <c r="BU414" s="29"/>
      <c r="BV414" s="29"/>
      <c r="BW414" s="29">
        <f>BW326</f>
        <v>14527.900000000001</v>
      </c>
      <c r="BX414" s="29"/>
      <c r="BY414" s="29"/>
      <c r="BZ414" s="29"/>
      <c r="CA414" s="29"/>
      <c r="CB414" s="29"/>
      <c r="CC414" s="29">
        <f>CC326</f>
        <v>14200.5</v>
      </c>
      <c r="CD414" s="29"/>
      <c r="CE414" s="29"/>
      <c r="CF414" s="29"/>
      <c r="CG414" s="29"/>
      <c r="CH414" s="29"/>
      <c r="CI414" s="29">
        <f>CI326</f>
        <v>15285.300000000001</v>
      </c>
      <c r="CJ414" s="29"/>
      <c r="CK414" s="29"/>
      <c r="CL414" s="29"/>
      <c r="CM414" s="31"/>
      <c r="CN414" s="31"/>
      <c r="CO414" s="31">
        <f>CO326</f>
        <v>16017.334469503801</v>
      </c>
      <c r="CP414" s="31">
        <f>CP326</f>
        <v>16036.552570742864</v>
      </c>
      <c r="CQ414" s="31">
        <f>CQ326</f>
        <v>17040.678146504921</v>
      </c>
      <c r="CR414" s="31">
        <f>CR326</f>
        <v>18076.556806825531</v>
      </c>
      <c r="CS414" s="31">
        <f>CS326</f>
        <v>19134.129032927362</v>
      </c>
      <c r="CT414" s="22"/>
      <c r="CV414" s="6"/>
      <c r="CW414" s="6"/>
      <c r="CX414" s="6"/>
      <c r="CY414" s="6"/>
    </row>
    <row r="415" spans="2:103" ht="15" customHeight="1" x14ac:dyDescent="0.25">
      <c r="B415" s="12" t="s">
        <v>549</v>
      </c>
      <c r="C415" s="29">
        <f t="shared" ref="C415:I415" si="360">-(C323+C324)</f>
        <v>-383</v>
      </c>
      <c r="D415" s="29">
        <f t="shared" si="360"/>
        <v>-413.3</v>
      </c>
      <c r="E415" s="29">
        <f t="shared" si="360"/>
        <v>-619.5</v>
      </c>
      <c r="F415" s="29">
        <f t="shared" si="360"/>
        <v>-611.1</v>
      </c>
      <c r="G415" s="29">
        <f t="shared" si="360"/>
        <v>-660.19999999999993</v>
      </c>
      <c r="H415" s="29">
        <f t="shared" si="360"/>
        <v>-899.19999999999993</v>
      </c>
      <c r="I415" s="29">
        <f t="shared" si="360"/>
        <v>-1255.9000000000001</v>
      </c>
      <c r="J415" s="29"/>
      <c r="K415" s="29"/>
      <c r="L415" s="29"/>
      <c r="M415" s="29"/>
      <c r="N415" s="29"/>
      <c r="O415" s="29">
        <f>-(O323+O324)</f>
        <v>-1308.6999999999998</v>
      </c>
      <c r="P415" s="29"/>
      <c r="Q415" s="29"/>
      <c r="R415" s="29"/>
      <c r="S415" s="29"/>
      <c r="T415" s="29"/>
      <c r="U415" s="29">
        <f>-(U323+U324)</f>
        <v>-1428.1999999999998</v>
      </c>
      <c r="V415" s="29"/>
      <c r="W415" s="29"/>
      <c r="X415" s="29"/>
      <c r="Y415" s="29"/>
      <c r="Z415" s="29"/>
      <c r="AA415" s="29">
        <f>-(AA323+AA324)</f>
        <v>-1383.5</v>
      </c>
      <c r="AB415" s="29"/>
      <c r="AC415" s="29"/>
      <c r="AD415" s="29"/>
      <c r="AE415" s="29"/>
      <c r="AF415" s="29"/>
      <c r="AG415" s="29">
        <f>-(AG323+AG324)</f>
        <v>-1428.1</v>
      </c>
      <c r="AH415" s="29"/>
      <c r="AI415" s="29"/>
      <c r="AJ415" s="29"/>
      <c r="AK415" s="29"/>
      <c r="AL415" s="29"/>
      <c r="AM415" s="29">
        <f>-(AM323+AM324)</f>
        <v>-2175.6</v>
      </c>
      <c r="AN415" s="29"/>
      <c r="AO415" s="29"/>
      <c r="AP415" s="29"/>
      <c r="AQ415" s="29"/>
      <c r="AR415" s="29"/>
      <c r="AS415" s="29">
        <f>-(AS323+AS324)</f>
        <v>-2079.5</v>
      </c>
      <c r="AT415" s="29"/>
      <c r="AU415" s="29"/>
      <c r="AV415" s="29"/>
      <c r="AW415" s="29"/>
      <c r="AX415" s="29"/>
      <c r="AY415" s="29">
        <f>-(AY323+AY324)</f>
        <v>-2481.3000000000002</v>
      </c>
      <c r="AZ415" s="29"/>
      <c r="BA415" s="29"/>
      <c r="BB415" s="29"/>
      <c r="BC415" s="29"/>
      <c r="BD415" s="29"/>
      <c r="BE415" s="29">
        <f>-(BE323+BE324)</f>
        <v>-2559.6999999999998</v>
      </c>
      <c r="BF415" s="29"/>
      <c r="BG415" s="29"/>
      <c r="BH415" s="29"/>
      <c r="BI415" s="29"/>
      <c r="BJ415" s="29"/>
      <c r="BK415" s="29">
        <f>-(BK323+BK324)</f>
        <v>-10728.3</v>
      </c>
      <c r="BL415" s="29"/>
      <c r="BM415" s="29"/>
      <c r="BN415" s="29"/>
      <c r="BO415" s="29"/>
      <c r="BP415" s="29"/>
      <c r="BQ415" s="29">
        <f>-(BQ323+BQ324)</f>
        <v>-10313.6</v>
      </c>
      <c r="BR415" s="29"/>
      <c r="BS415" s="29"/>
      <c r="BT415" s="29"/>
      <c r="BU415" s="29"/>
      <c r="BV415" s="29"/>
      <c r="BW415" s="29">
        <f>-(BW323+BW324)</f>
        <v>-10280.9</v>
      </c>
      <c r="BX415" s="29"/>
      <c r="BY415" s="29"/>
      <c r="BZ415" s="29"/>
      <c r="CA415" s="29"/>
      <c r="CB415" s="29"/>
      <c r="CC415" s="29">
        <f>-(CC323+CC324)</f>
        <v>-10003.4</v>
      </c>
      <c r="CD415" s="29"/>
      <c r="CE415" s="29"/>
      <c r="CF415" s="29"/>
      <c r="CG415" s="29"/>
      <c r="CH415" s="29"/>
      <c r="CI415" s="29">
        <f>-(CI323+CI324)</f>
        <v>-10787.7</v>
      </c>
      <c r="CJ415" s="29"/>
      <c r="CK415" s="29"/>
      <c r="CL415" s="29"/>
      <c r="CM415" s="31"/>
      <c r="CN415" s="31"/>
      <c r="CO415" s="31">
        <f>-(CO323+CO324)</f>
        <v>-10615.099999999999</v>
      </c>
      <c r="CP415" s="31">
        <f>-(CP323+CP324)</f>
        <v>-11142.362499999999</v>
      </c>
      <c r="CQ415" s="31">
        <f>-(CQ323+CQ324)</f>
        <v>-11897.004166666666</v>
      </c>
      <c r="CR415" s="31">
        <f>-(CR323+CR324)</f>
        <v>-12666.379166666666</v>
      </c>
      <c r="CS415" s="31">
        <f>-(CS323+CS324)</f>
        <v>-13432.787499999999</v>
      </c>
      <c r="CT415" s="22"/>
      <c r="CV415" s="6"/>
      <c r="CW415" s="6"/>
      <c r="CX415" s="6"/>
      <c r="CY415" s="6"/>
    </row>
    <row r="416" spans="2:103" ht="15" customHeight="1" x14ac:dyDescent="0.25">
      <c r="B416" s="12" t="s">
        <v>550</v>
      </c>
      <c r="C416" s="29">
        <f t="shared" ref="C416:I416" si="361">-(C335-N(C333))</f>
        <v>-229.2</v>
      </c>
      <c r="D416" s="29">
        <f t="shared" si="361"/>
        <v>-262.2</v>
      </c>
      <c r="E416" s="29">
        <f t="shared" si="361"/>
        <v>-310.60000000000002</v>
      </c>
      <c r="F416" s="29">
        <f t="shared" si="361"/>
        <v>-325.5</v>
      </c>
      <c r="G416" s="29">
        <f t="shared" si="361"/>
        <v>-339.2</v>
      </c>
      <c r="H416" s="29">
        <f t="shared" si="361"/>
        <v>-332.8</v>
      </c>
      <c r="I416" s="29">
        <f t="shared" si="361"/>
        <v>-405.29999999999995</v>
      </c>
      <c r="J416" s="29"/>
      <c r="K416" s="29"/>
      <c r="L416" s="29"/>
      <c r="M416" s="29"/>
      <c r="N416" s="29"/>
      <c r="O416" s="29">
        <f>-(O335-N(O333))</f>
        <v>-414.6</v>
      </c>
      <c r="P416" s="29"/>
      <c r="Q416" s="29"/>
      <c r="R416" s="29"/>
      <c r="S416" s="29"/>
      <c r="T416" s="29"/>
      <c r="U416" s="29">
        <f>-(U335-N(U333))</f>
        <v>-452.8</v>
      </c>
      <c r="V416" s="29"/>
      <c r="W416" s="29"/>
      <c r="X416" s="29"/>
      <c r="Y416" s="29"/>
      <c r="Z416" s="29"/>
      <c r="AA416" s="29">
        <f>-(AA335-N(AA333))</f>
        <v>-374.5</v>
      </c>
      <c r="AB416" s="29"/>
      <c r="AC416" s="29"/>
      <c r="AD416" s="29"/>
      <c r="AE416" s="29"/>
      <c r="AF416" s="29"/>
      <c r="AG416" s="29">
        <f>-(AG335-N(AG333))</f>
        <v>-399.8</v>
      </c>
      <c r="AH416" s="29"/>
      <c r="AI416" s="29"/>
      <c r="AJ416" s="29"/>
      <c r="AK416" s="29"/>
      <c r="AL416" s="29"/>
      <c r="AM416" s="29">
        <f>-(AM335-N(AM333))</f>
        <v>-537</v>
      </c>
      <c r="AN416" s="29"/>
      <c r="AO416" s="29"/>
      <c r="AP416" s="29"/>
      <c r="AQ416" s="29"/>
      <c r="AR416" s="29"/>
      <c r="AS416" s="29">
        <f>-(AS335-N(AS333))</f>
        <v>-583.4</v>
      </c>
      <c r="AT416" s="29"/>
      <c r="AU416" s="29"/>
      <c r="AV416" s="29"/>
      <c r="AW416" s="29"/>
      <c r="AX416" s="29"/>
      <c r="AY416" s="29">
        <f>-(AY335-N(AY333))</f>
        <v>-662.59999999999991</v>
      </c>
      <c r="AZ416" s="29"/>
      <c r="BA416" s="29"/>
      <c r="BB416" s="29"/>
      <c r="BC416" s="29"/>
      <c r="BD416" s="29"/>
      <c r="BE416" s="29">
        <f>-(BE335-N(BE333))</f>
        <v>-663.30000000000007</v>
      </c>
      <c r="BF416" s="29"/>
      <c r="BG416" s="29"/>
      <c r="BH416" s="29"/>
      <c r="BI416" s="29"/>
      <c r="BJ416" s="29"/>
      <c r="BK416" s="29">
        <f>-(BK335-N(BK333))</f>
        <v>-1498.4</v>
      </c>
      <c r="BL416" s="29"/>
      <c r="BM416" s="29"/>
      <c r="BN416" s="29"/>
      <c r="BO416" s="29"/>
      <c r="BP416" s="29"/>
      <c r="BQ416" s="29">
        <f>-(BQ335-N(BQ333))</f>
        <v>-1223.3000000000002</v>
      </c>
      <c r="BR416" s="29"/>
      <c r="BS416" s="29"/>
      <c r="BT416" s="29"/>
      <c r="BU416" s="29"/>
      <c r="BV416" s="29"/>
      <c r="BW416" s="29">
        <f>-(BW335-N(BW333))</f>
        <v>-1166</v>
      </c>
      <c r="BX416" s="29"/>
      <c r="BY416" s="29"/>
      <c r="BZ416" s="29"/>
      <c r="CA416" s="29"/>
      <c r="CB416" s="29"/>
      <c r="CC416" s="29">
        <f>-(CC335-N(CC333))</f>
        <v>-1261.3</v>
      </c>
      <c r="CD416" s="29"/>
      <c r="CE416" s="29"/>
      <c r="CF416" s="29"/>
      <c r="CG416" s="29"/>
      <c r="CH416" s="29"/>
      <c r="CI416" s="29">
        <f>-(CI335-N(CI333))</f>
        <v>-1410</v>
      </c>
      <c r="CJ416" s="29"/>
      <c r="CK416" s="29"/>
      <c r="CL416" s="29"/>
      <c r="CM416" s="31"/>
      <c r="CN416" s="31"/>
      <c r="CO416" s="31">
        <f>-(CO335-N(CO333))</f>
        <v>-1550.0146047600115</v>
      </c>
      <c r="CP416" s="31">
        <f>-(CP335-N(CP333))</f>
        <v>-1667.6275421682958</v>
      </c>
      <c r="CQ416" s="31">
        <f>-(CQ335-N(CQ333))</f>
        <v>-1821.4277372628153</v>
      </c>
      <c r="CR416" s="31">
        <f>-(CR335-N(CR333))</f>
        <v>-1987.6970835468555</v>
      </c>
      <c r="CS416" s="31">
        <f>-(CS335-N(CS333))</f>
        <v>-2162.7002781704859</v>
      </c>
      <c r="CT416" s="22"/>
      <c r="CV416" s="6"/>
      <c r="CW416" s="6"/>
      <c r="CX416" s="6"/>
      <c r="CY416" s="6"/>
    </row>
    <row r="417" spans="2:103" ht="15" customHeight="1" x14ac:dyDescent="0.25">
      <c r="B417" s="12" t="s">
        <v>551</v>
      </c>
      <c r="C417" s="29">
        <f t="shared" ref="C417:I417" si="362">SUM(C414:C416)</f>
        <v>449.2000000000001</v>
      </c>
      <c r="D417" s="29">
        <f t="shared" si="362"/>
        <v>483.90000000000015</v>
      </c>
      <c r="E417" s="29">
        <f t="shared" si="362"/>
        <v>604.4</v>
      </c>
      <c r="F417" s="29">
        <f t="shared" si="362"/>
        <v>484.9</v>
      </c>
      <c r="G417" s="29">
        <f t="shared" si="362"/>
        <v>558.40000000000009</v>
      </c>
      <c r="H417" s="29">
        <f t="shared" si="362"/>
        <v>594.09999999999991</v>
      </c>
      <c r="I417" s="29">
        <f t="shared" si="362"/>
        <v>745.2</v>
      </c>
      <c r="J417" s="29"/>
      <c r="K417" s="29"/>
      <c r="L417" s="29"/>
      <c r="M417" s="29"/>
      <c r="N417" s="29"/>
      <c r="O417" s="29">
        <f>SUM(O414:O416)</f>
        <v>1027.8000000000002</v>
      </c>
      <c r="P417" s="29"/>
      <c r="Q417" s="29"/>
      <c r="R417" s="29"/>
      <c r="S417" s="29"/>
      <c r="T417" s="29"/>
      <c r="U417" s="29">
        <f>SUM(U414:U416)</f>
        <v>981.2</v>
      </c>
      <c r="V417" s="29"/>
      <c r="W417" s="29"/>
      <c r="X417" s="29"/>
      <c r="Y417" s="29"/>
      <c r="Z417" s="29"/>
      <c r="AA417" s="29">
        <f>SUM(AA414:AA416)</f>
        <v>959.09999999999991</v>
      </c>
      <c r="AB417" s="29"/>
      <c r="AC417" s="29"/>
      <c r="AD417" s="29"/>
      <c r="AE417" s="29"/>
      <c r="AF417" s="29"/>
      <c r="AG417" s="29">
        <f>SUM(AG414:AG416)</f>
        <v>946.49999999999977</v>
      </c>
      <c r="AH417" s="29"/>
      <c r="AI417" s="29"/>
      <c r="AJ417" s="29"/>
      <c r="AK417" s="29"/>
      <c r="AL417" s="29"/>
      <c r="AM417" s="29">
        <f>SUM(AM414:AM416)</f>
        <v>1133.8000000000002</v>
      </c>
      <c r="AN417" s="29"/>
      <c r="AO417" s="29"/>
      <c r="AP417" s="29"/>
      <c r="AQ417" s="29"/>
      <c r="AR417" s="29"/>
      <c r="AS417" s="29">
        <f>SUM(AS414:AS416)</f>
        <v>1146.4000000000001</v>
      </c>
      <c r="AT417" s="29"/>
      <c r="AU417" s="29"/>
      <c r="AV417" s="29"/>
      <c r="AW417" s="29"/>
      <c r="AX417" s="29"/>
      <c r="AY417" s="29">
        <f>SUM(AY414:AY416)</f>
        <v>1435.9</v>
      </c>
      <c r="AZ417" s="29"/>
      <c r="BA417" s="29"/>
      <c r="BB417" s="29"/>
      <c r="BC417" s="29"/>
      <c r="BD417" s="29"/>
      <c r="BE417" s="29">
        <f>SUM(BE414:BE416)</f>
        <v>1861.7999999999993</v>
      </c>
      <c r="BF417" s="29"/>
      <c r="BG417" s="29"/>
      <c r="BH417" s="29"/>
      <c r="BI417" s="29"/>
      <c r="BJ417" s="29"/>
      <c r="BK417" s="29">
        <f>SUM(BK414:BK416)</f>
        <v>2203.6000000000017</v>
      </c>
      <c r="BL417" s="29"/>
      <c r="BM417" s="29"/>
      <c r="BN417" s="29"/>
      <c r="BO417" s="29"/>
      <c r="BP417" s="29"/>
      <c r="BQ417" s="29">
        <f>SUM(BQ414:BQ416)</f>
        <v>2817.0999999999995</v>
      </c>
      <c r="BR417" s="29"/>
      <c r="BS417" s="29"/>
      <c r="BT417" s="29"/>
      <c r="BU417" s="29"/>
      <c r="BV417" s="29"/>
      <c r="BW417" s="29">
        <f>SUM(BW414:BW416)</f>
        <v>3081.0000000000018</v>
      </c>
      <c r="BX417" s="29"/>
      <c r="BY417" s="29"/>
      <c r="BZ417" s="29"/>
      <c r="CA417" s="29"/>
      <c r="CB417" s="29"/>
      <c r="CC417" s="29">
        <f>SUM(CC414:CC416)</f>
        <v>2935.8</v>
      </c>
      <c r="CD417" s="29"/>
      <c r="CE417" s="29"/>
      <c r="CF417" s="29"/>
      <c r="CG417" s="29"/>
      <c r="CH417" s="29"/>
      <c r="CI417" s="29">
        <f>SUM(CI414:CI416)</f>
        <v>3087.6000000000004</v>
      </c>
      <c r="CJ417" s="29"/>
      <c r="CK417" s="29"/>
      <c r="CL417" s="29"/>
      <c r="CM417" s="31"/>
      <c r="CN417" s="31"/>
      <c r="CO417" s="31">
        <f>SUM(CO414:CO416)</f>
        <v>3852.2198647437913</v>
      </c>
      <c r="CP417" s="31">
        <f>SUM(CP414:CP416)</f>
        <v>3226.5625285745691</v>
      </c>
      <c r="CQ417" s="31">
        <f>SUM(CQ414:CQ416)</f>
        <v>3322.2462425754397</v>
      </c>
      <c r="CR417" s="31">
        <f>SUM(CR414:CR416)</f>
        <v>3422.4805566120094</v>
      </c>
      <c r="CS417" s="31">
        <f>SUM(CS414:CS416)</f>
        <v>3538.6412547568771</v>
      </c>
      <c r="CT417" s="22"/>
      <c r="CV417" s="6"/>
      <c r="CW417" s="6"/>
      <c r="CX417" s="6"/>
      <c r="CY417" s="6"/>
    </row>
    <row r="418" spans="2:103" ht="15" customHeight="1" x14ac:dyDescent="0.25">
      <c r="B418" s="33" t="s">
        <v>552</v>
      </c>
      <c r="C418" s="67">
        <f t="shared" ref="C418:I418" si="363">IFERROR(C413/C417,"n/a")</f>
        <v>0.1958864114851287</v>
      </c>
      <c r="D418" s="67">
        <f t="shared" si="363"/>
        <v>0.23264547370990923</v>
      </c>
      <c r="E418" s="67">
        <f t="shared" si="363"/>
        <v>0.22434909951138446</v>
      </c>
      <c r="F418" s="67">
        <f t="shared" si="363"/>
        <v>0.26515082411916807</v>
      </c>
      <c r="G418" s="67">
        <f t="shared" si="363"/>
        <v>0.23841984339719821</v>
      </c>
      <c r="H418" s="67">
        <f t="shared" si="363"/>
        <v>0.28462601211853555</v>
      </c>
      <c r="I418" s="67">
        <f t="shared" si="363"/>
        <v>0.26087497524325154</v>
      </c>
      <c r="J418" s="68"/>
      <c r="K418" s="68"/>
      <c r="L418" s="68"/>
      <c r="M418" s="68"/>
      <c r="N418" s="68"/>
      <c r="O418" s="67">
        <f>IFERROR(O413/O417,"n/a")</f>
        <v>0.21781570552914678</v>
      </c>
      <c r="P418" s="68"/>
      <c r="Q418" s="68"/>
      <c r="R418" s="68"/>
      <c r="S418" s="68"/>
      <c r="T418" s="68"/>
      <c r="U418" s="67">
        <f>IFERROR(U413/U417,"n/a")</f>
        <v>0.25431461349297324</v>
      </c>
      <c r="V418" s="68"/>
      <c r="W418" s="68"/>
      <c r="X418" s="68"/>
      <c r="Y418" s="68"/>
      <c r="Z418" s="68"/>
      <c r="AA418" s="67">
        <f>IFERROR(AA413/AA417,"n/a")</f>
        <v>0.24654637250695177</v>
      </c>
      <c r="AB418" s="68"/>
      <c r="AC418" s="68"/>
      <c r="AD418" s="68"/>
      <c r="AE418" s="68"/>
      <c r="AF418" s="68"/>
      <c r="AG418" s="67">
        <f>IFERROR(AG413/AG417,"n/a")</f>
        <v>0.23738120398641901</v>
      </c>
      <c r="AH418" s="68"/>
      <c r="AI418" s="68"/>
      <c r="AJ418" s="68"/>
      <c r="AK418" s="68"/>
      <c r="AL418" s="68"/>
      <c r="AM418" s="67">
        <f>IFERROR(AM413/AM417,"n/a")</f>
        <v>0.2665789798789554</v>
      </c>
      <c r="AN418" s="68"/>
      <c r="AO418" s="68"/>
      <c r="AP418" s="68"/>
      <c r="AQ418" s="68"/>
      <c r="AR418" s="68"/>
      <c r="AS418" s="67">
        <f>IFERROR(AS413/AS417,"n/a")</f>
        <v>0.33715084026519576</v>
      </c>
      <c r="AT418" s="68"/>
      <c r="AU418" s="68"/>
      <c r="AV418" s="68"/>
      <c r="AW418" s="68"/>
      <c r="AX418" s="68"/>
      <c r="AY418" s="67">
        <f>IFERROR(AY413/AY417,"n/a")</f>
        <v>0.312407066757036</v>
      </c>
      <c r="AZ418" s="68"/>
      <c r="BA418" s="68"/>
      <c r="BB418" s="68"/>
      <c r="BC418" s="68"/>
      <c r="BD418" s="68"/>
      <c r="BE418" s="67">
        <f>IFERROR(BE413/BE417,"n/a")</f>
        <v>0.23847787365641587</v>
      </c>
      <c r="BF418" s="68"/>
      <c r="BG418" s="68"/>
      <c r="BH418" s="68"/>
      <c r="BI418" s="68"/>
      <c r="BJ418" s="68"/>
      <c r="BK418" s="67">
        <f>IFERROR(BK413/BK417,"n/a")</f>
        <v>0.37213016868544602</v>
      </c>
      <c r="BL418" s="68"/>
      <c r="BM418" s="68"/>
      <c r="BN418" s="68"/>
      <c r="BO418" s="68"/>
      <c r="BP418" s="68"/>
      <c r="BQ418" s="67">
        <f>IFERROR(BQ413/BQ417,"n/a")</f>
        <v>0.36071193039694815</v>
      </c>
      <c r="BR418" s="68"/>
      <c r="BS418" s="68"/>
      <c r="BT418" s="68"/>
      <c r="BU418" s="68"/>
      <c r="BV418" s="68"/>
      <c r="BW418" s="67">
        <f>IFERROR(BW413/BW417,"n/a")</f>
        <v>0.37209117514662743</v>
      </c>
      <c r="BX418" s="68"/>
      <c r="BY418" s="68"/>
      <c r="BZ418" s="68"/>
      <c r="CA418" s="68"/>
      <c r="CB418" s="68"/>
      <c r="CC418" s="67">
        <f>IFERROR(CC413/CC417,"n/a")</f>
        <v>0.37197693940659571</v>
      </c>
      <c r="CD418" s="68"/>
      <c r="CE418" s="68"/>
      <c r="CF418" s="68"/>
      <c r="CG418" s="68"/>
      <c r="CH418" s="68"/>
      <c r="CI418" s="67">
        <f>IFERROR(CI413/CI417,"n/a")</f>
        <v>0.36576728819520687</v>
      </c>
      <c r="CJ418" s="68"/>
      <c r="CK418" s="68"/>
      <c r="CL418" s="68"/>
      <c r="CM418" s="67"/>
      <c r="CN418" s="67"/>
      <c r="CO418" s="67">
        <f>IFERROR(CO413/CO417,"n/a")</f>
        <v>0.30983055419173761</v>
      </c>
      <c r="CP418" s="67">
        <f>IFERROR(CP413/CP417,"n/a")</f>
        <v>0.40811295281167498</v>
      </c>
      <c r="CQ418" s="67">
        <f>IFERROR(CQ413/CQ417,"n/a")</f>
        <v>0.43874808299821272</v>
      </c>
      <c r="CR418" s="67">
        <f>IFERROR(CR413/CR417,"n/a")</f>
        <v>0.4695488581359572</v>
      </c>
      <c r="CS418" s="67">
        <f>IFERROR(CS413/CS417,"n/a")</f>
        <v>0.49969958648061996</v>
      </c>
      <c r="CT418" s="22"/>
      <c r="CV418" s="40">
        <f>IFERROR(AVERAGE(CO418,CP418,CQ418,CR418,CS418),"n/m")</f>
        <v>0.4251880069236405</v>
      </c>
      <c r="CW418" s="40">
        <f>IFERROR(AVERAGE(BK418,BQ418,BW418,CC418,CI418),"n/m")</f>
        <v>0.36853550036616484</v>
      </c>
      <c r="CX418" s="40">
        <f>IFERROR(AVERAGE(AG418,AM418,AS418,AY418,BE418,BK418,BQ418,BW418,CC418,CI418),"n/m")</f>
        <v>0.32346734663748461</v>
      </c>
      <c r="CY418" s="40">
        <f>IFERROR(AVERAGE(C418,D418,E418,F418,G418,H418,I418,O418,U418,AA418,AG418,AM418,AS418,AY418,BE418,BK418,BQ418,BW418,CC418,CI418),"n/m")</f>
        <v>0.28276513987442464</v>
      </c>
    </row>
    <row r="419" spans="2:103" ht="15" customHeight="1" x14ac:dyDescent="0.25">
      <c r="B419" s="12"/>
      <c r="CM419" s="6"/>
      <c r="CN419" s="6"/>
      <c r="CO419" s="6"/>
      <c r="CP419" s="6"/>
      <c r="CQ419" s="6"/>
      <c r="CR419" s="6"/>
      <c r="CS419" s="6"/>
      <c r="CT419" s="6"/>
    </row>
    <row r="420" spans="2:103" ht="15" customHeight="1" x14ac:dyDescent="0.25">
      <c r="B420" s="16" t="s">
        <v>553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</row>
    <row r="421" spans="2:103" ht="15" customHeight="1" x14ac:dyDescent="0.25">
      <c r="B421" s="12" t="s">
        <v>278</v>
      </c>
      <c r="C421" s="29">
        <f>C171</f>
        <v>80.300000000000011</v>
      </c>
      <c r="D421" s="29">
        <f>D171</f>
        <v>98.499999999999844</v>
      </c>
      <c r="E421" s="29">
        <f>E171</f>
        <v>111.29999999999993</v>
      </c>
      <c r="F421" s="29">
        <f>F171</f>
        <v>113.29999999999998</v>
      </c>
      <c r="G421" s="29">
        <f>G171</f>
        <v>120.50000000000011</v>
      </c>
      <c r="H421" s="29">
        <f>H171</f>
        <v>255.20000000000005</v>
      </c>
      <c r="I421" s="29">
        <f>I171</f>
        <v>164.10000000000025</v>
      </c>
      <c r="J421" s="29"/>
      <c r="K421" s="29"/>
      <c r="L421" s="29"/>
      <c r="M421" s="29"/>
      <c r="N421" s="29"/>
      <c r="O421" s="29">
        <f>O171</f>
        <v>184.99999999999994</v>
      </c>
      <c r="P421" s="29"/>
      <c r="Q421" s="29"/>
      <c r="R421" s="29"/>
      <c r="S421" s="29"/>
      <c r="T421" s="29"/>
      <c r="U421" s="29">
        <f>U171</f>
        <v>217.70000000000013</v>
      </c>
      <c r="V421" s="29"/>
      <c r="W421" s="29"/>
      <c r="X421" s="29"/>
      <c r="Y421" s="29"/>
      <c r="Z421" s="29"/>
      <c r="AA421" s="29">
        <f>AA171</f>
        <v>195.79999999999995</v>
      </c>
      <c r="AB421" s="29"/>
      <c r="AC421" s="29"/>
      <c r="AD421" s="29"/>
      <c r="AE421" s="29"/>
      <c r="AF421" s="29"/>
      <c r="AG421" s="29">
        <f>AG171</f>
        <v>190.90000000000006</v>
      </c>
      <c r="AH421" s="29"/>
      <c r="AI421" s="29"/>
      <c r="AJ421" s="29"/>
      <c r="AK421" s="29"/>
      <c r="AL421" s="29"/>
      <c r="AM421" s="29">
        <f>AM171</f>
        <v>227.2000000000001</v>
      </c>
      <c r="AN421" s="29"/>
      <c r="AO421" s="29"/>
      <c r="AP421" s="29"/>
      <c r="AQ421" s="29"/>
      <c r="AR421" s="29"/>
      <c r="AS421" s="29">
        <f>AS171</f>
        <v>333.80000000000013</v>
      </c>
      <c r="AT421" s="29"/>
      <c r="AU421" s="29"/>
      <c r="AV421" s="29"/>
      <c r="AW421" s="29"/>
      <c r="AX421" s="29"/>
      <c r="AY421" s="29">
        <f>AY171</f>
        <v>402.29999999999995</v>
      </c>
      <c r="AZ421" s="29"/>
      <c r="BA421" s="29"/>
      <c r="BB421" s="29"/>
      <c r="BC421" s="29"/>
      <c r="BD421" s="29"/>
      <c r="BE421" s="29">
        <f>BE171</f>
        <v>401.89999999999992</v>
      </c>
      <c r="BF421" s="29"/>
      <c r="BG421" s="29"/>
      <c r="BH421" s="29"/>
      <c r="BI421" s="29"/>
      <c r="BJ421" s="29"/>
      <c r="BK421" s="29">
        <f>BK171</f>
        <v>445.3000000000003</v>
      </c>
      <c r="BL421" s="29"/>
      <c r="BM421" s="29"/>
      <c r="BN421" s="29"/>
      <c r="BO421" s="29"/>
      <c r="BP421" s="29"/>
      <c r="BQ421" s="29">
        <f>BQ171</f>
        <v>788.60000000000025</v>
      </c>
      <c r="BR421" s="29"/>
      <c r="BS421" s="29"/>
      <c r="BT421" s="29"/>
      <c r="BU421" s="29"/>
      <c r="BV421" s="29"/>
      <c r="BW421" s="29">
        <f>BW171</f>
        <v>885.70000000000016</v>
      </c>
      <c r="BX421" s="29"/>
      <c r="BY421" s="29"/>
      <c r="BZ421" s="29"/>
      <c r="CA421" s="29"/>
      <c r="CB421" s="29"/>
      <c r="CC421" s="29">
        <f>CC171</f>
        <v>819.2</v>
      </c>
      <c r="CD421" s="29"/>
      <c r="CE421" s="29"/>
      <c r="CF421" s="29"/>
      <c r="CG421" s="29"/>
      <c r="CH421" s="29"/>
      <c r="CI421" s="29">
        <f>CI171</f>
        <v>894.80000000000007</v>
      </c>
      <c r="CJ421" s="29"/>
      <c r="CK421" s="29"/>
      <c r="CL421" s="29"/>
      <c r="CM421" s="31"/>
      <c r="CN421" s="31"/>
      <c r="CO421" s="31">
        <f>CO171</f>
        <v>974.56224999999995</v>
      </c>
      <c r="CP421" s="31">
        <f>CP171</f>
        <v>1126.5489259865312</v>
      </c>
      <c r="CQ421" s="31">
        <f>CQ171</f>
        <v>1229.0766834995538</v>
      </c>
      <c r="CR421" s="31">
        <f>CR171</f>
        <v>1365.6372407546469</v>
      </c>
      <c r="CS421" s="31">
        <f>CS171</f>
        <v>1516.5181945392574</v>
      </c>
      <c r="CT421" s="22"/>
      <c r="CV421" s="6"/>
      <c r="CW421" s="6"/>
      <c r="CX421" s="6"/>
      <c r="CY421" s="6"/>
    </row>
    <row r="422" spans="2:103" ht="15" customHeight="1" x14ac:dyDescent="0.25">
      <c r="B422" s="12" t="s">
        <v>554</v>
      </c>
      <c r="C422" s="29">
        <f t="shared" ref="C422:I422" si="364">C348</f>
        <v>431.8</v>
      </c>
      <c r="D422" s="29">
        <f t="shared" si="364"/>
        <v>530.20000000000005</v>
      </c>
      <c r="E422" s="29">
        <f t="shared" si="364"/>
        <v>505.8</v>
      </c>
      <c r="F422" s="29">
        <f t="shared" si="364"/>
        <v>666.5</v>
      </c>
      <c r="G422" s="29">
        <f t="shared" si="364"/>
        <v>786</v>
      </c>
      <c r="H422" s="29">
        <f t="shared" si="364"/>
        <v>979.30000000000007</v>
      </c>
      <c r="I422" s="29">
        <f t="shared" si="364"/>
        <v>1147.8000000000002</v>
      </c>
      <c r="J422" s="29"/>
      <c r="K422" s="29"/>
      <c r="L422" s="29"/>
      <c r="M422" s="29"/>
      <c r="N422" s="29"/>
      <c r="O422" s="29">
        <f>O348</f>
        <v>1471.7</v>
      </c>
      <c r="P422" s="29"/>
      <c r="Q422" s="29"/>
      <c r="R422" s="29"/>
      <c r="S422" s="29"/>
      <c r="T422" s="29"/>
      <c r="U422" s="29">
        <f>U348</f>
        <v>1427.3</v>
      </c>
      <c r="V422" s="29"/>
      <c r="W422" s="29"/>
      <c r="X422" s="29"/>
      <c r="Y422" s="29"/>
      <c r="Z422" s="29"/>
      <c r="AA422" s="29">
        <f>AA348</f>
        <v>1344.0999999999997</v>
      </c>
      <c r="AB422" s="29"/>
      <c r="AC422" s="29"/>
      <c r="AD422" s="29"/>
      <c r="AE422" s="29"/>
      <c r="AF422" s="29"/>
      <c r="AG422" s="29">
        <f>AG348</f>
        <v>1554.3999999999999</v>
      </c>
      <c r="AH422" s="29"/>
      <c r="AI422" s="29"/>
      <c r="AJ422" s="29"/>
      <c r="AK422" s="29"/>
      <c r="AL422" s="29"/>
      <c r="AM422" s="29">
        <f>AM348</f>
        <v>1947.3</v>
      </c>
      <c r="AN422" s="29"/>
      <c r="AO422" s="29"/>
      <c r="AP422" s="29"/>
      <c r="AQ422" s="29"/>
      <c r="AR422" s="29"/>
      <c r="AS422" s="29">
        <f>AS348</f>
        <v>2229.6999999999998</v>
      </c>
      <c r="AT422" s="29"/>
      <c r="AU422" s="29"/>
      <c r="AV422" s="29"/>
      <c r="AW422" s="29"/>
      <c r="AX422" s="29"/>
      <c r="AY422" s="29">
        <f>AY348</f>
        <v>2714.7</v>
      </c>
      <c r="AZ422" s="29"/>
      <c r="BA422" s="29"/>
      <c r="BB422" s="29"/>
      <c r="BC422" s="29"/>
      <c r="BD422" s="29"/>
      <c r="BE422" s="29">
        <f>BE348</f>
        <v>3228.6000000000004</v>
      </c>
      <c r="BF422" s="29"/>
      <c r="BG422" s="29"/>
      <c r="BH422" s="29"/>
      <c r="BI422" s="29"/>
      <c r="BJ422" s="29"/>
      <c r="BK422" s="29">
        <f>BK348</f>
        <v>7622</v>
      </c>
      <c r="BL422" s="29"/>
      <c r="BM422" s="29"/>
      <c r="BN422" s="29"/>
      <c r="BO422" s="29"/>
      <c r="BP422" s="29"/>
      <c r="BQ422" s="29">
        <f>BQ348</f>
        <v>8169.2000000000007</v>
      </c>
      <c r="BR422" s="29"/>
      <c r="BS422" s="29"/>
      <c r="BT422" s="29"/>
      <c r="BU422" s="29"/>
      <c r="BV422" s="29"/>
      <c r="BW422" s="29">
        <f>BW348</f>
        <v>9221.1999999999989</v>
      </c>
      <c r="BX422" s="29"/>
      <c r="BY422" s="29"/>
      <c r="BZ422" s="29"/>
      <c r="CA422" s="29"/>
      <c r="CB422" s="29"/>
      <c r="CC422" s="29">
        <f>CC348</f>
        <v>9549.4000000000015</v>
      </c>
      <c r="CD422" s="29"/>
      <c r="CE422" s="29"/>
      <c r="CF422" s="29"/>
      <c r="CG422" s="29"/>
      <c r="CH422" s="29"/>
      <c r="CI422" s="29">
        <f>CI348</f>
        <v>10513.9</v>
      </c>
      <c r="CJ422" s="29"/>
      <c r="CK422" s="29"/>
      <c r="CL422" s="29"/>
      <c r="CM422" s="31"/>
      <c r="CN422" s="31"/>
      <c r="CO422" s="31">
        <f>CO348</f>
        <v>11576.019864743792</v>
      </c>
      <c r="CP422" s="31">
        <f>CP348</f>
        <v>11395.460404070911</v>
      </c>
      <c r="CQ422" s="31">
        <f>CQ348</f>
        <v>12073.29478134306</v>
      </c>
      <c r="CR422" s="31">
        <f>CR348</f>
        <v>12758.421363210322</v>
      </c>
      <c r="CS422" s="31">
        <f>CS348</f>
        <v>13440.651519336796</v>
      </c>
      <c r="CT422" s="22"/>
      <c r="CV422" s="6"/>
      <c r="CW422" s="6"/>
      <c r="CX422" s="6"/>
      <c r="CY422" s="6"/>
    </row>
    <row r="423" spans="2:103" ht="15" customHeight="1" x14ac:dyDescent="0.25">
      <c r="B423" s="33" t="s">
        <v>555</v>
      </c>
      <c r="C423" s="67">
        <f t="shared" ref="C423:I423" si="365">IFERROR(C421/C422,"n/a")</f>
        <v>0.18596572487262625</v>
      </c>
      <c r="D423" s="67">
        <f t="shared" si="365"/>
        <v>0.18577895133911701</v>
      </c>
      <c r="E423" s="67">
        <f t="shared" si="365"/>
        <v>0.22004744958481598</v>
      </c>
      <c r="F423" s="67">
        <f t="shared" si="365"/>
        <v>0.1699924981245311</v>
      </c>
      <c r="G423" s="67">
        <f t="shared" si="365"/>
        <v>0.1533078880407126</v>
      </c>
      <c r="H423" s="67">
        <f t="shared" si="365"/>
        <v>0.26059430205248652</v>
      </c>
      <c r="I423" s="67">
        <f t="shared" si="365"/>
        <v>0.1429691583899636</v>
      </c>
      <c r="J423" s="68"/>
      <c r="K423" s="68"/>
      <c r="L423" s="68"/>
      <c r="M423" s="68"/>
      <c r="N423" s="68"/>
      <c r="O423" s="67">
        <f>IFERROR(O421/O422,"n/a")</f>
        <v>0.12570496704491399</v>
      </c>
      <c r="P423" s="68"/>
      <c r="Q423" s="68"/>
      <c r="R423" s="68"/>
      <c r="S423" s="68"/>
      <c r="T423" s="68"/>
      <c r="U423" s="67">
        <f>IFERROR(U421/U422,"n/a")</f>
        <v>0.15252574791564502</v>
      </c>
      <c r="V423" s="68"/>
      <c r="W423" s="68"/>
      <c r="X423" s="68"/>
      <c r="Y423" s="68"/>
      <c r="Z423" s="68"/>
      <c r="AA423" s="67">
        <f>IFERROR(AA421/AA422,"n/a")</f>
        <v>0.14567368499367606</v>
      </c>
      <c r="AB423" s="68"/>
      <c r="AC423" s="68"/>
      <c r="AD423" s="68"/>
      <c r="AE423" s="68"/>
      <c r="AF423" s="68"/>
      <c r="AG423" s="67">
        <f>IFERROR(AG421/AG422,"n/a")</f>
        <v>0.12281266083376227</v>
      </c>
      <c r="AH423" s="68"/>
      <c r="AI423" s="68"/>
      <c r="AJ423" s="68"/>
      <c r="AK423" s="68"/>
      <c r="AL423" s="68"/>
      <c r="AM423" s="67">
        <f>IFERROR(AM421/AM422,"n/a")</f>
        <v>0.11667436964001443</v>
      </c>
      <c r="AN423" s="68"/>
      <c r="AO423" s="68"/>
      <c r="AP423" s="68"/>
      <c r="AQ423" s="68"/>
      <c r="AR423" s="68"/>
      <c r="AS423" s="67">
        <f>IFERROR(AS421/AS422,"n/a")</f>
        <v>0.1497062385074226</v>
      </c>
      <c r="AT423" s="68"/>
      <c r="AU423" s="68"/>
      <c r="AV423" s="68"/>
      <c r="AW423" s="68"/>
      <c r="AX423" s="68"/>
      <c r="AY423" s="67">
        <f>IFERROR(AY421/AY422,"n/a")</f>
        <v>0.14819317051607911</v>
      </c>
      <c r="AZ423" s="68"/>
      <c r="BA423" s="68"/>
      <c r="BB423" s="68"/>
      <c r="BC423" s="68"/>
      <c r="BD423" s="68"/>
      <c r="BE423" s="67">
        <f>IFERROR(BE421/BE422,"n/a")</f>
        <v>0.12448119928142225</v>
      </c>
      <c r="BF423" s="68"/>
      <c r="BG423" s="68"/>
      <c r="BH423" s="68"/>
      <c r="BI423" s="68"/>
      <c r="BJ423" s="68"/>
      <c r="BK423" s="67">
        <f>IFERROR(BK421/BK422,"n/a")</f>
        <v>5.8422986092889047E-2</v>
      </c>
      <c r="BL423" s="68"/>
      <c r="BM423" s="68"/>
      <c r="BN423" s="68"/>
      <c r="BO423" s="68"/>
      <c r="BP423" s="68"/>
      <c r="BQ423" s="67">
        <f>IFERROR(BQ421/BQ422,"n/a")</f>
        <v>9.6533320276159254E-2</v>
      </c>
      <c r="BR423" s="68"/>
      <c r="BS423" s="68"/>
      <c r="BT423" s="68"/>
      <c r="BU423" s="68"/>
      <c r="BV423" s="68"/>
      <c r="BW423" s="67">
        <f>IFERROR(BW421/BW422,"n/a")</f>
        <v>9.6050405587125354E-2</v>
      </c>
      <c r="BX423" s="68"/>
      <c r="BY423" s="68"/>
      <c r="BZ423" s="68"/>
      <c r="CA423" s="68"/>
      <c r="CB423" s="68"/>
      <c r="CC423" s="67">
        <f>IFERROR(CC421/CC422,"n/a")</f>
        <v>8.5785494376610039E-2</v>
      </c>
      <c r="CD423" s="68"/>
      <c r="CE423" s="68"/>
      <c r="CF423" s="68"/>
      <c r="CG423" s="68"/>
      <c r="CH423" s="68"/>
      <c r="CI423" s="67">
        <f>IFERROR(CI421/CI422,"n/a")</f>
        <v>8.5106382978723416E-2</v>
      </c>
      <c r="CJ423" s="68"/>
      <c r="CK423" s="68"/>
      <c r="CL423" s="68"/>
      <c r="CM423" s="67"/>
      <c r="CN423" s="67"/>
      <c r="CO423" s="67">
        <f>IFERROR(CO421/CO422,"n/a")</f>
        <v>8.4188025019562254E-2</v>
      </c>
      <c r="CP423" s="67">
        <f>IFERROR(CP421/CP422,"n/a")</f>
        <v>9.8859448064431268E-2</v>
      </c>
      <c r="CQ423" s="67">
        <f>IFERROR(CQ421/CQ422,"n/a")</f>
        <v>0.10180126516904515</v>
      </c>
      <c r="CR423" s="67">
        <f>IFERROR(CR421/CR422,"n/a")</f>
        <v>0.10703810462731261</v>
      </c>
      <c r="CS423" s="67">
        <f>IFERROR(CS421/CS422,"n/a")</f>
        <v>0.1128307055917247</v>
      </c>
      <c r="CT423" s="22"/>
      <c r="CV423" s="40">
        <f>IFERROR(AVERAGE(CO423,CP423,CQ423,CR423,CS423),"n/m")</f>
        <v>0.10094350969441521</v>
      </c>
      <c r="CW423" s="40">
        <f>IFERROR(AVERAGE(BK423,BQ423,BW423,CC423,CI423),"n/m")</f>
        <v>8.4379717862301418E-2</v>
      </c>
      <c r="CX423" s="40">
        <f>IFERROR(AVERAGE(AG423,AM423,AS423,AY423,BE423,BK423,BQ423,BW423,CC423,CI423),"n/m")</f>
        <v>0.10837662280902079</v>
      </c>
      <c r="CY423" s="40">
        <f>IFERROR(AVERAGE(C423,D423,E423,F423,G423,H423,I423,O423,U423,AA423,AG423,AM423,AS423,AY423,BE423,BK423,BQ423,BW423,CC423,CI423),"n/m")</f>
        <v>0.14131633002243479</v>
      </c>
    </row>
    <row r="424" spans="2:103" ht="15" customHeight="1" x14ac:dyDescent="0.25">
      <c r="B424" s="12"/>
      <c r="CM424" s="6"/>
      <c r="CN424" s="6"/>
      <c r="CO424" s="6"/>
      <c r="CP424" s="6"/>
      <c r="CQ424" s="6"/>
      <c r="CR424" s="6"/>
      <c r="CS424" s="6"/>
      <c r="CT424" s="6"/>
    </row>
    <row r="425" spans="2:103" ht="15" customHeight="1" x14ac:dyDescent="0.25">
      <c r="B425" s="16" t="s">
        <v>556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</row>
    <row r="426" spans="2:103" ht="15" customHeight="1" x14ac:dyDescent="0.25">
      <c r="B426" s="12" t="s">
        <v>557</v>
      </c>
      <c r="C426" s="29">
        <f t="shared" ref="C426:I426" si="366">C405</f>
        <v>218.89999999999998</v>
      </c>
      <c r="D426" s="29">
        <f t="shared" si="366"/>
        <v>129.80000000000001</v>
      </c>
      <c r="E426" s="29">
        <f t="shared" si="366"/>
        <v>312.80000000000007</v>
      </c>
      <c r="F426" s="29">
        <f t="shared" si="366"/>
        <v>226</v>
      </c>
      <c r="G426" s="29">
        <f t="shared" si="366"/>
        <v>192.20000000000002</v>
      </c>
      <c r="H426" s="29">
        <f t="shared" si="366"/>
        <v>263.39999999999998</v>
      </c>
      <c r="I426" s="29">
        <f t="shared" si="366"/>
        <v>512.40000000000009</v>
      </c>
      <c r="J426" s="29"/>
      <c r="K426" s="29"/>
      <c r="L426" s="29"/>
      <c r="M426" s="29"/>
      <c r="N426" s="29"/>
      <c r="O426" s="29">
        <f>O405</f>
        <v>486.5</v>
      </c>
      <c r="P426" s="29"/>
      <c r="Q426" s="29"/>
      <c r="R426" s="29"/>
      <c r="S426" s="29"/>
      <c r="T426" s="29"/>
      <c r="U426" s="29">
        <f>U405</f>
        <v>563.70000000000005</v>
      </c>
      <c r="V426" s="29"/>
      <c r="W426" s="29"/>
      <c r="X426" s="29"/>
      <c r="Y426" s="29"/>
      <c r="Z426" s="29"/>
      <c r="AA426" s="29">
        <f>AA405</f>
        <v>695.5</v>
      </c>
      <c r="AB426" s="29"/>
      <c r="AC426" s="29"/>
      <c r="AD426" s="29"/>
      <c r="AE426" s="29"/>
      <c r="AF426" s="29"/>
      <c r="AG426" s="29">
        <f>AG405</f>
        <v>519.19999999999993</v>
      </c>
      <c r="AH426" s="29"/>
      <c r="AI426" s="29"/>
      <c r="AJ426" s="29"/>
      <c r="AK426" s="29"/>
      <c r="AL426" s="29"/>
      <c r="AM426" s="29">
        <f>AM405</f>
        <v>1001.9999999999999</v>
      </c>
      <c r="AN426" s="29"/>
      <c r="AO426" s="29"/>
      <c r="AP426" s="29"/>
      <c r="AQ426" s="29"/>
      <c r="AR426" s="29"/>
      <c r="AS426" s="29">
        <f>AS405</f>
        <v>605</v>
      </c>
      <c r="AT426" s="29"/>
      <c r="AU426" s="29"/>
      <c r="AV426" s="29"/>
      <c r="AW426" s="29"/>
      <c r="AX426" s="29"/>
      <c r="AY426" s="29">
        <f>AY405</f>
        <v>651.1</v>
      </c>
      <c r="AZ426" s="29"/>
      <c r="BA426" s="29"/>
      <c r="BB426" s="29"/>
      <c r="BC426" s="29"/>
      <c r="BD426" s="29"/>
      <c r="BE426" s="29">
        <f>BE405</f>
        <v>105.39999999999998</v>
      </c>
      <c r="BF426" s="29"/>
      <c r="BG426" s="29"/>
      <c r="BH426" s="29"/>
      <c r="BI426" s="29"/>
      <c r="BJ426" s="29"/>
      <c r="BK426" s="29">
        <f>BK405</f>
        <v>3624.7</v>
      </c>
      <c r="BL426" s="29"/>
      <c r="BM426" s="29"/>
      <c r="BN426" s="29"/>
      <c r="BO426" s="29"/>
      <c r="BP426" s="29"/>
      <c r="BQ426" s="29">
        <f>BQ405</f>
        <v>3282.5</v>
      </c>
      <c r="BR426" s="29"/>
      <c r="BS426" s="29"/>
      <c r="BT426" s="29"/>
      <c r="BU426" s="29"/>
      <c r="BV426" s="29"/>
      <c r="BW426" s="29">
        <f>BW405</f>
        <v>2596.6000000000004</v>
      </c>
      <c r="BX426" s="29"/>
      <c r="BY426" s="29"/>
      <c r="BZ426" s="29"/>
      <c r="CA426" s="29"/>
      <c r="CB426" s="29"/>
      <c r="CC426" s="29">
        <f>CC405</f>
        <v>1999.2</v>
      </c>
      <c r="CD426" s="29"/>
      <c r="CE426" s="29"/>
      <c r="CF426" s="29"/>
      <c r="CG426" s="29"/>
      <c r="CH426" s="29"/>
      <c r="CI426" s="29">
        <f>CI405</f>
        <v>2123</v>
      </c>
      <c r="CJ426" s="29"/>
      <c r="CK426" s="29"/>
      <c r="CL426" s="29"/>
      <c r="CM426" s="31"/>
      <c r="CN426" s="31"/>
      <c r="CO426" s="31">
        <f>CO405</f>
        <v>1023.2984705537406</v>
      </c>
      <c r="CP426" s="31">
        <f>CP405</f>
        <v>1827.4646245036611</v>
      </c>
      <c r="CQ426" s="31">
        <f>CQ405</f>
        <v>2019.9556278990467</v>
      </c>
      <c r="CR426" s="31">
        <f>CR405</f>
        <v>2224.438360068355</v>
      </c>
      <c r="CS426" s="31">
        <f>CS405</f>
        <v>2444.7772354200833</v>
      </c>
      <c r="CT426" s="22"/>
      <c r="CV426" s="6"/>
      <c r="CW426" s="6"/>
      <c r="CX426" s="6"/>
      <c r="CY426" s="6"/>
    </row>
    <row r="427" spans="2:103" ht="15" customHeight="1" x14ac:dyDescent="0.25">
      <c r="B427" s="12" t="s">
        <v>558</v>
      </c>
      <c r="C427" s="29">
        <f t="shared" ref="C427:I427" si="367">C211</f>
        <v>162.10000000000002</v>
      </c>
      <c r="D427" s="29">
        <f t="shared" si="367"/>
        <v>199.89999999999986</v>
      </c>
      <c r="E427" s="29">
        <f t="shared" si="367"/>
        <v>243.89999999999992</v>
      </c>
      <c r="F427" s="29">
        <f t="shared" si="367"/>
        <v>213.7</v>
      </c>
      <c r="G427" s="29">
        <f t="shared" si="367"/>
        <v>225.30000000000013</v>
      </c>
      <c r="H427" s="29">
        <f t="shared" si="367"/>
        <v>292.00000000000006</v>
      </c>
      <c r="I427" s="29">
        <f t="shared" si="367"/>
        <v>324.30000000000024</v>
      </c>
      <c r="J427" s="29"/>
      <c r="K427" s="29"/>
      <c r="L427" s="29"/>
      <c r="M427" s="29"/>
      <c r="N427" s="29"/>
      <c r="O427" s="29">
        <f>O211</f>
        <v>335.49999999999994</v>
      </c>
      <c r="P427" s="29"/>
      <c r="Q427" s="29"/>
      <c r="R427" s="29"/>
      <c r="S427" s="29"/>
      <c r="T427" s="29"/>
      <c r="U427" s="29">
        <f>U211</f>
        <v>395.40000000000015</v>
      </c>
      <c r="V427" s="29"/>
      <c r="W427" s="29"/>
      <c r="X427" s="29"/>
      <c r="Y427" s="29"/>
      <c r="Z427" s="29"/>
      <c r="AA427" s="29">
        <f>AA211</f>
        <v>372.39999999999992</v>
      </c>
      <c r="AB427" s="29"/>
      <c r="AC427" s="29"/>
      <c r="AD427" s="29"/>
      <c r="AE427" s="29"/>
      <c r="AF427" s="29"/>
      <c r="AG427" s="29">
        <f>AG211</f>
        <v>353.70000000000005</v>
      </c>
      <c r="AH427" s="29"/>
      <c r="AI427" s="29"/>
      <c r="AJ427" s="29"/>
      <c r="AK427" s="29"/>
      <c r="AL427" s="29"/>
      <c r="AM427" s="29">
        <f>AM211</f>
        <v>451.80000000000013</v>
      </c>
      <c r="AN427" s="29"/>
      <c r="AO427" s="29"/>
      <c r="AP427" s="29"/>
      <c r="AQ427" s="29"/>
      <c r="AR427" s="29"/>
      <c r="AS427" s="29">
        <f>AS211</f>
        <v>532.40000000000009</v>
      </c>
      <c r="AT427" s="29"/>
      <c r="AU427" s="29"/>
      <c r="AV427" s="29"/>
      <c r="AW427" s="29"/>
      <c r="AX427" s="29"/>
      <c r="AY427" s="29">
        <f>AY211</f>
        <v>606.59999999999991</v>
      </c>
      <c r="AZ427" s="29"/>
      <c r="BA427" s="29"/>
      <c r="BB427" s="29"/>
      <c r="BC427" s="29"/>
      <c r="BD427" s="29"/>
      <c r="BE427" s="29">
        <f>BE211</f>
        <v>601.19999999999993</v>
      </c>
      <c r="BF427" s="29"/>
      <c r="BG427" s="29"/>
      <c r="BH427" s="29"/>
      <c r="BI427" s="29"/>
      <c r="BJ427" s="29"/>
      <c r="BK427" s="29">
        <f>BK211</f>
        <v>1099.4000000000003</v>
      </c>
      <c r="BL427" s="29"/>
      <c r="BM427" s="29"/>
      <c r="BN427" s="29"/>
      <c r="BO427" s="29"/>
      <c r="BP427" s="29"/>
      <c r="BQ427" s="29">
        <f>BQ211</f>
        <v>1325.6000000000001</v>
      </c>
      <c r="BR427" s="29"/>
      <c r="BS427" s="29"/>
      <c r="BT427" s="29"/>
      <c r="BU427" s="29"/>
      <c r="BV427" s="29"/>
      <c r="BW427" s="29">
        <f>BW211</f>
        <v>1361.3999999999999</v>
      </c>
      <c r="BX427" s="29"/>
      <c r="BY427" s="29"/>
      <c r="BZ427" s="29"/>
      <c r="CA427" s="29"/>
      <c r="CB427" s="29"/>
      <c r="CC427" s="29">
        <f>CC211</f>
        <v>1366.6</v>
      </c>
      <c r="CD427" s="29"/>
      <c r="CE427" s="29"/>
      <c r="CF427" s="29"/>
      <c r="CG427" s="29"/>
      <c r="CH427" s="29"/>
      <c r="CI427" s="29">
        <f>CI211</f>
        <v>1503.9999999999998</v>
      </c>
      <c r="CJ427" s="29"/>
      <c r="CK427" s="29"/>
      <c r="CL427" s="29"/>
      <c r="CM427" s="31"/>
      <c r="CN427" s="31"/>
      <c r="CO427" s="31">
        <f>CO211</f>
        <v>1635.4590769316264</v>
      </c>
      <c r="CP427" s="31">
        <f>CP211</f>
        <v>1827.4646245036608</v>
      </c>
      <c r="CQ427" s="31">
        <f>CQ211</f>
        <v>2019.9556278990472</v>
      </c>
      <c r="CR427" s="31">
        <f>CR211</f>
        <v>2224.438360068355</v>
      </c>
      <c r="CS427" s="31">
        <f>CS211</f>
        <v>2444.7772354200833</v>
      </c>
      <c r="CT427" s="22"/>
      <c r="CV427" s="6"/>
      <c r="CW427" s="6"/>
      <c r="CX427" s="6"/>
      <c r="CY427" s="6"/>
    </row>
    <row r="428" spans="2:103" ht="15" customHeight="1" x14ac:dyDescent="0.25">
      <c r="B428" s="33" t="s">
        <v>559</v>
      </c>
      <c r="C428" s="69">
        <f t="shared" ref="C428:I428" si="368">IFERROR(C426/C427,"n/a")</f>
        <v>1.3504009870450335</v>
      </c>
      <c r="D428" s="69">
        <f t="shared" si="368"/>
        <v>0.64932466233116604</v>
      </c>
      <c r="E428" s="69">
        <f t="shared" si="368"/>
        <v>1.2824928249282499</v>
      </c>
      <c r="F428" s="69">
        <f t="shared" si="368"/>
        <v>1.0575573233504914</v>
      </c>
      <c r="G428" s="69">
        <f t="shared" si="368"/>
        <v>0.85308477585441589</v>
      </c>
      <c r="H428" s="69">
        <f t="shared" si="368"/>
        <v>0.90205479452054771</v>
      </c>
      <c r="I428" s="69">
        <f t="shared" si="368"/>
        <v>1.5800185013876031</v>
      </c>
      <c r="J428" s="70"/>
      <c r="K428" s="70"/>
      <c r="L428" s="70"/>
      <c r="M428" s="70"/>
      <c r="N428" s="70"/>
      <c r="O428" s="69">
        <f>IFERROR(O426/O427,"n/a")</f>
        <v>1.4500745156482864</v>
      </c>
      <c r="P428" s="70"/>
      <c r="Q428" s="70"/>
      <c r="R428" s="70"/>
      <c r="S428" s="70"/>
      <c r="T428" s="70"/>
      <c r="U428" s="69">
        <f>IFERROR(U426/U427,"n/a")</f>
        <v>1.4256449165402121</v>
      </c>
      <c r="V428" s="70"/>
      <c r="W428" s="70"/>
      <c r="X428" s="70"/>
      <c r="Y428" s="70"/>
      <c r="Z428" s="70"/>
      <c r="AA428" s="69">
        <f>IFERROR(AA426/AA427,"n/a")</f>
        <v>1.8676154672395278</v>
      </c>
      <c r="AB428" s="70"/>
      <c r="AC428" s="70"/>
      <c r="AD428" s="70"/>
      <c r="AE428" s="70"/>
      <c r="AF428" s="70"/>
      <c r="AG428" s="69">
        <f>IFERROR(AG426/AG427,"n/a")</f>
        <v>1.467910658750353</v>
      </c>
      <c r="AH428" s="70"/>
      <c r="AI428" s="70"/>
      <c r="AJ428" s="70"/>
      <c r="AK428" s="70"/>
      <c r="AL428" s="70"/>
      <c r="AM428" s="69">
        <f>IFERROR(AM426/AM427,"n/a")</f>
        <v>2.2177954847277546</v>
      </c>
      <c r="AN428" s="70"/>
      <c r="AO428" s="70"/>
      <c r="AP428" s="70"/>
      <c r="AQ428" s="70"/>
      <c r="AR428" s="70"/>
      <c r="AS428" s="69">
        <f>IFERROR(AS426/AS427,"n/a")</f>
        <v>1.1363636363636362</v>
      </c>
      <c r="AT428" s="70"/>
      <c r="AU428" s="70"/>
      <c r="AV428" s="70"/>
      <c r="AW428" s="70"/>
      <c r="AX428" s="70"/>
      <c r="AY428" s="69">
        <f>IFERROR(AY426/AY427,"n/a")</f>
        <v>1.0733597098582264</v>
      </c>
      <c r="AZ428" s="70"/>
      <c r="BA428" s="70"/>
      <c r="BB428" s="70"/>
      <c r="BC428" s="70"/>
      <c r="BD428" s="70"/>
      <c r="BE428" s="69">
        <f>IFERROR(BE426/BE427,"n/a")</f>
        <v>0.17531603459747169</v>
      </c>
      <c r="BF428" s="70"/>
      <c r="BG428" s="70"/>
      <c r="BH428" s="70"/>
      <c r="BI428" s="70"/>
      <c r="BJ428" s="70"/>
      <c r="BK428" s="69">
        <f>IFERROR(BK426/BK427,"n/a")</f>
        <v>3.2969801710023638</v>
      </c>
      <c r="BL428" s="70"/>
      <c r="BM428" s="70"/>
      <c r="BN428" s="70"/>
      <c r="BO428" s="70"/>
      <c r="BP428" s="70"/>
      <c r="BQ428" s="69">
        <f>IFERROR(BQ426/BQ427,"n/a")</f>
        <v>2.4762371756185875</v>
      </c>
      <c r="BR428" s="70"/>
      <c r="BS428" s="70"/>
      <c r="BT428" s="70"/>
      <c r="BU428" s="70"/>
      <c r="BV428" s="70"/>
      <c r="BW428" s="69">
        <f>IFERROR(BW426/BW427,"n/a")</f>
        <v>1.9073013074775971</v>
      </c>
      <c r="BX428" s="70"/>
      <c r="BY428" s="70"/>
      <c r="BZ428" s="70"/>
      <c r="CA428" s="70"/>
      <c r="CB428" s="70"/>
      <c r="CC428" s="69">
        <f>IFERROR(CC426/CC427,"n/a")</f>
        <v>1.4629006292989903</v>
      </c>
      <c r="CD428" s="70"/>
      <c r="CE428" s="70"/>
      <c r="CF428" s="70"/>
      <c r="CG428" s="70"/>
      <c r="CH428" s="70"/>
      <c r="CI428" s="69">
        <f>IFERROR(CI426/CI427,"n/a")</f>
        <v>1.4115691489361704</v>
      </c>
      <c r="CJ428" s="70"/>
      <c r="CK428" s="70"/>
      <c r="CL428" s="70"/>
      <c r="CM428" s="69"/>
      <c r="CN428" s="69"/>
      <c r="CO428" s="69">
        <f>IFERROR(CO426/CO427,"n/a")</f>
        <v>0.62569494094196865</v>
      </c>
      <c r="CP428" s="69">
        <f>IFERROR(CP426/CP427,"n/a")</f>
        <v>1.0000000000000002</v>
      </c>
      <c r="CQ428" s="69">
        <f>IFERROR(CQ426/CQ427,"n/a")</f>
        <v>0.99999999999999978</v>
      </c>
      <c r="CR428" s="69">
        <f>IFERROR(CR426/CR427,"n/a")</f>
        <v>1</v>
      </c>
      <c r="CS428" s="69">
        <f>IFERROR(CS426/CS427,"n/a")</f>
        <v>1</v>
      </c>
      <c r="CT428" s="22"/>
      <c r="CV428" s="6"/>
      <c r="CW428" s="6"/>
      <c r="CX428" s="6"/>
      <c r="CY428" s="6"/>
    </row>
    <row r="429" spans="2:103" ht="15" customHeight="1" x14ac:dyDescent="0.25">
      <c r="B429" s="36" t="s">
        <v>560</v>
      </c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71">
        <v>2.9</v>
      </c>
      <c r="BL429" s="47"/>
      <c r="BM429" s="47"/>
      <c r="BN429" s="47"/>
      <c r="BO429" s="47"/>
      <c r="BP429" s="47"/>
      <c r="BQ429" s="71">
        <v>2.4</v>
      </c>
      <c r="BR429" s="47"/>
      <c r="BS429" s="47"/>
      <c r="BT429" s="47"/>
      <c r="BU429" s="47"/>
      <c r="BV429" s="47"/>
      <c r="BW429" s="71">
        <v>1.9</v>
      </c>
      <c r="BX429" s="47"/>
      <c r="BY429" s="47"/>
      <c r="BZ429" s="47"/>
      <c r="CA429" s="47"/>
      <c r="CB429" s="47"/>
      <c r="CC429" s="71">
        <v>1.5</v>
      </c>
      <c r="CD429" s="47"/>
      <c r="CE429" s="47"/>
      <c r="CF429" s="47"/>
      <c r="CG429" s="47"/>
      <c r="CH429" s="47"/>
      <c r="CI429" s="71">
        <v>1.4</v>
      </c>
      <c r="CJ429" s="47"/>
      <c r="CK429" s="47"/>
      <c r="CL429" s="71">
        <v>1.1000000000000001</v>
      </c>
      <c r="CM429" s="48"/>
      <c r="CN429" s="48"/>
      <c r="CO429" s="48"/>
      <c r="CP429" s="48"/>
      <c r="CQ429" s="48"/>
      <c r="CR429" s="48"/>
      <c r="CS429" s="48"/>
      <c r="CT429" s="22"/>
      <c r="CV429" s="6"/>
      <c r="CW429" s="6"/>
      <c r="CX429" s="6"/>
      <c r="CY429" s="6"/>
    </row>
    <row r="430" spans="2:103" ht="15" customHeight="1" x14ac:dyDescent="0.25">
      <c r="B430" s="12"/>
      <c r="CM430" s="6"/>
      <c r="CN430" s="6"/>
      <c r="CO430" s="6"/>
      <c r="CP430" s="6"/>
      <c r="CQ430" s="6"/>
      <c r="CR430" s="6"/>
      <c r="CS430" s="6"/>
      <c r="CT430" s="6"/>
    </row>
    <row r="431" spans="2:103" ht="15" customHeight="1" x14ac:dyDescent="0.25">
      <c r="B431" s="11" t="s">
        <v>561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 t="s">
        <v>562</v>
      </c>
    </row>
    <row r="432" spans="2:103" ht="15" customHeight="1" x14ac:dyDescent="0.25">
      <c r="B432" s="46" t="s">
        <v>563</v>
      </c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60"/>
      <c r="CN432" s="60"/>
      <c r="CO432" s="72">
        <v>615</v>
      </c>
      <c r="CP432" s="60">
        <f>CO432</f>
        <v>615</v>
      </c>
      <c r="CQ432" s="60">
        <f>CP432</f>
        <v>615</v>
      </c>
      <c r="CR432" s="60">
        <f>CQ432</f>
        <v>615</v>
      </c>
      <c r="CS432" s="60">
        <f>CR432</f>
        <v>615</v>
      </c>
      <c r="CT432" s="22"/>
      <c r="CV432" s="6"/>
      <c r="CW432" s="6"/>
      <c r="CX432" s="6"/>
      <c r="CY432" s="6"/>
    </row>
    <row r="433" spans="2:103" ht="15" customHeight="1" x14ac:dyDescent="0.25">
      <c r="B433" s="12" t="s">
        <v>564</v>
      </c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  <c r="CE433" s="51"/>
      <c r="CF433" s="51"/>
      <c r="CG433" s="51"/>
      <c r="CH433" s="51"/>
      <c r="CI433" s="51"/>
      <c r="CJ433" s="51"/>
      <c r="CK433" s="51"/>
      <c r="CL433" s="51"/>
      <c r="CM433" s="52"/>
      <c r="CN433" s="52"/>
      <c r="CO433" s="52">
        <f>CO179</f>
        <v>46.875</v>
      </c>
      <c r="CP433" s="52">
        <f>CP179</f>
        <v>46.121231381294727</v>
      </c>
      <c r="CQ433" s="52">
        <f>CQ179</f>
        <v>44.756120864872756</v>
      </c>
      <c r="CR433" s="52">
        <f>CR179</f>
        <v>43.934855369087799</v>
      </c>
      <c r="CS433" s="52">
        <f>CS179</f>
        <v>42.9897370086886</v>
      </c>
      <c r="CT433" s="22"/>
      <c r="CV433" s="6"/>
      <c r="CW433" s="6"/>
      <c r="CX433" s="6"/>
      <c r="CY433" s="6"/>
    </row>
    <row r="434" spans="2:103" ht="15" customHeight="1" x14ac:dyDescent="0.25">
      <c r="B434" s="12" t="s">
        <v>565</v>
      </c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31"/>
      <c r="CN434" s="31"/>
      <c r="CO434" s="31">
        <f>IFERROR(CO432*CO433,"n/a")</f>
        <v>28828.125</v>
      </c>
      <c r="CP434" s="31">
        <f>IFERROR(CP432*CP433,"n/a")</f>
        <v>28364.557299496257</v>
      </c>
      <c r="CQ434" s="31">
        <f>IFERROR(CQ432*CQ433,"n/a")</f>
        <v>27525.014331896746</v>
      </c>
      <c r="CR434" s="31">
        <f>IFERROR(CR432*CR433,"n/a")</f>
        <v>27019.936051988996</v>
      </c>
      <c r="CS434" s="31">
        <f>IFERROR(CS432*CS433,"n/a")</f>
        <v>26438.68826034349</v>
      </c>
      <c r="CT434" s="22"/>
      <c r="CV434" s="6"/>
      <c r="CW434" s="6"/>
      <c r="CX434" s="6"/>
      <c r="CY434" s="6"/>
    </row>
    <row r="435" spans="2:103" ht="15" customHeight="1" x14ac:dyDescent="0.25">
      <c r="B435" s="12" t="s">
        <v>566</v>
      </c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31"/>
      <c r="CN435" s="31"/>
      <c r="CO435" s="31">
        <f>CO426</f>
        <v>1023.2984705537406</v>
      </c>
      <c r="CP435" s="31">
        <f>CP426</f>
        <v>1827.4646245036611</v>
      </c>
      <c r="CQ435" s="31">
        <f>CQ426</f>
        <v>2019.9556278990467</v>
      </c>
      <c r="CR435" s="31">
        <f>CR426</f>
        <v>2224.438360068355</v>
      </c>
      <c r="CS435" s="31">
        <f>CS426</f>
        <v>2444.7772354200833</v>
      </c>
      <c r="CT435" s="22"/>
      <c r="CV435" s="6"/>
      <c r="CW435" s="6"/>
      <c r="CX435" s="6"/>
      <c r="CY435" s="6"/>
    </row>
    <row r="436" spans="2:103" ht="15" customHeight="1" x14ac:dyDescent="0.25">
      <c r="B436" s="12" t="s">
        <v>567</v>
      </c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31"/>
      <c r="CN436" s="31"/>
      <c r="CO436" s="31">
        <f>CO342+CO349</f>
        <v>0</v>
      </c>
      <c r="CP436" s="31">
        <f>CP342+CP349</f>
        <v>0</v>
      </c>
      <c r="CQ436" s="31">
        <f>CQ342+CQ349</f>
        <v>0</v>
      </c>
      <c r="CR436" s="31">
        <f>CR342+CR349</f>
        <v>0</v>
      </c>
      <c r="CS436" s="31">
        <f>CS342+CS349</f>
        <v>0</v>
      </c>
      <c r="CT436" s="22"/>
      <c r="CV436" s="6"/>
      <c r="CW436" s="6"/>
      <c r="CX436" s="6"/>
      <c r="CY436" s="6"/>
    </row>
    <row r="437" spans="2:103" ht="15" customHeight="1" x14ac:dyDescent="0.25">
      <c r="B437" s="18" t="s">
        <v>568</v>
      </c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21"/>
      <c r="CN437" s="21"/>
      <c r="CO437" s="21">
        <f>IFERROR(CO434+CO435+CO436,"n/a")</f>
        <v>29851.423470553742</v>
      </c>
      <c r="CP437" s="21">
        <f>IFERROR(CP434+CP435+CP436,"n/a")</f>
        <v>30192.021923999917</v>
      </c>
      <c r="CQ437" s="21">
        <f>IFERROR(CQ434+CQ435+CQ436,"n/a")</f>
        <v>29544.969959795792</v>
      </c>
      <c r="CR437" s="21">
        <f>IFERROR(CR434+CR435+CR436,"n/a")</f>
        <v>29244.37441205735</v>
      </c>
      <c r="CS437" s="21">
        <f>IFERROR(CS434+CS435+CS436,"n/a")</f>
        <v>28883.465495763572</v>
      </c>
      <c r="CT437" s="22"/>
      <c r="CV437" s="6"/>
      <c r="CW437" s="6"/>
      <c r="CX437" s="6"/>
      <c r="CY437" s="6"/>
    </row>
    <row r="438" spans="2:103" ht="15" customHeight="1" x14ac:dyDescent="0.25">
      <c r="B438" s="16" t="s">
        <v>569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</row>
    <row r="439" spans="2:103" ht="15" customHeight="1" x14ac:dyDescent="0.25">
      <c r="B439" s="12" t="s">
        <v>570</v>
      </c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8"/>
      <c r="CN439" s="48"/>
      <c r="CO439" s="133">
        <f>IFERROR(CO437/CO152,"n/a")</f>
        <v>4.4647071666847227</v>
      </c>
      <c r="CP439" s="133">
        <f>IFERROR(CP437/CP152,"n/a")</f>
        <v>4.205020069851642</v>
      </c>
      <c r="CQ439" s="133">
        <f>IFERROR(CQ437/CQ152,"n/a")</f>
        <v>3.7629976555406786</v>
      </c>
      <c r="CR439" s="133">
        <f>IFERROR(CR437/CR152,"n/a")</f>
        <v>3.4091120596020863</v>
      </c>
      <c r="CS439" s="133">
        <f>IFERROR(CS437/CS152,"n/a")</f>
        <v>3.0909238058290267</v>
      </c>
      <c r="CT439" s="22"/>
      <c r="CV439" s="6"/>
      <c r="CW439" s="6"/>
      <c r="CX439" s="6"/>
      <c r="CY439" s="6"/>
    </row>
    <row r="440" spans="2:103" ht="15" customHeight="1" x14ac:dyDescent="0.25">
      <c r="B440" s="12" t="s">
        <v>571</v>
      </c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8"/>
      <c r="CN440" s="48"/>
      <c r="CO440" s="133">
        <f>IFERROR(CO437/CO211,"n/a")</f>
        <v>18.252626367490418</v>
      </c>
      <c r="CP440" s="133">
        <f>IFERROR(CP437/CP211,"n/a")</f>
        <v>16.521262036577077</v>
      </c>
      <c r="CQ440" s="133">
        <f>IFERROR(CQ437/CQ211,"n/a")</f>
        <v>14.626544044695413</v>
      </c>
      <c r="CR440" s="133">
        <f>IFERROR(CR437/CR211,"n/a")</f>
        <v>13.146857623494093</v>
      </c>
      <c r="CS440" s="133">
        <f>IFERROR(CS437/CS211,"n/a")</f>
        <v>11.814354730278957</v>
      </c>
      <c r="CT440" s="22"/>
      <c r="CV440" s="6"/>
      <c r="CW440" s="6"/>
      <c r="CX440" s="6"/>
      <c r="CY440" s="6"/>
    </row>
    <row r="441" spans="2:103" ht="15" customHeight="1" x14ac:dyDescent="0.25">
      <c r="B441" s="12" t="s">
        <v>572</v>
      </c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8"/>
      <c r="CN441" s="48"/>
      <c r="CO441" s="133">
        <f>IFERROR(CO437/CO200,"n/a")</f>
        <v>19.785842426583429</v>
      </c>
      <c r="CP441" s="133">
        <f>IFERROR(CP437/CP200,"n/a")</f>
        <v>17.99871044611438</v>
      </c>
      <c r="CQ441" s="133">
        <f>IFERROR(CQ437/CQ200,"n/a")</f>
        <v>15.911318113651397</v>
      </c>
      <c r="CR441" s="133">
        <f>IFERROR(CR437/CR200,"n/a")</f>
        <v>14.285327915223386</v>
      </c>
      <c r="CS441" s="133">
        <f>IFERROR(CS437/CS200,"n/a")</f>
        <v>12.822521320979556</v>
      </c>
      <c r="CT441" s="22"/>
      <c r="CV441" s="6"/>
      <c r="CW441" s="6"/>
      <c r="CX441" s="6"/>
      <c r="CY441" s="6"/>
    </row>
    <row r="442" spans="2:103" ht="15" customHeight="1" x14ac:dyDescent="0.25">
      <c r="B442" s="12" t="s">
        <v>573</v>
      </c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8"/>
      <c r="CN442" s="48"/>
      <c r="CO442" s="133">
        <f>IFERROR(CO437/CO403,"n/a")</f>
        <v>2.369288772307919</v>
      </c>
      <c r="CP442" s="133">
        <f>IFERROR(CP437/CP403,"n/a")</f>
        <v>2.2833088638675134</v>
      </c>
      <c r="CQ442" s="133">
        <f>IFERROR(CQ437/CQ403,"n/a")</f>
        <v>2.096391471226589</v>
      </c>
      <c r="CR442" s="133">
        <f>IFERROR(CR437/CR403,"n/a")</f>
        <v>1.9518553168205093</v>
      </c>
      <c r="CS442" s="133">
        <f>IFERROR(CS437/CS403,"n/a")</f>
        <v>1.818236444333581</v>
      </c>
      <c r="CT442" s="22"/>
      <c r="CV442" s="6"/>
      <c r="CW442" s="6"/>
      <c r="CX442" s="6"/>
      <c r="CY442" s="6"/>
    </row>
    <row r="443" spans="2:103" ht="15" customHeight="1" x14ac:dyDescent="0.25">
      <c r="B443" s="12" t="s">
        <v>574</v>
      </c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8"/>
      <c r="CN443" s="48"/>
      <c r="CO443" s="133">
        <f>IFERROR(CO432/CO181,"n/a")</f>
        <v>29.580588618120597</v>
      </c>
      <c r="CP443" s="133">
        <f>IFERROR(CP432/CP181,"n/a")</f>
        <v>25.178273792820054</v>
      </c>
      <c r="CQ443" s="133">
        <f>IFERROR(CQ432/CQ181,"n/a")</f>
        <v>22.394871452222727</v>
      </c>
      <c r="CR443" s="133">
        <f>IFERROR(CR432/CR181,"n/a")</f>
        <v>19.785588182303716</v>
      </c>
      <c r="CS443" s="133">
        <f>IFERROR(CS432/CS181,"n/a")</f>
        <v>17.433808809907479</v>
      </c>
      <c r="CT443" s="22"/>
      <c r="CV443" s="6"/>
      <c r="CW443" s="6"/>
      <c r="CX443" s="6"/>
      <c r="CY443" s="6"/>
    </row>
    <row r="444" spans="2:103" ht="15" customHeight="1" x14ac:dyDescent="0.25">
      <c r="B444" s="12" t="s">
        <v>575</v>
      </c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8"/>
      <c r="CN444" s="48"/>
      <c r="CO444" s="133">
        <f>IFERROR(CO432/CO243,"n/a")</f>
        <v>25.050916496945018</v>
      </c>
      <c r="CP444" s="133">
        <f>IFERROR(CP432/CP243,"n/a")</f>
        <v>21.806006009379288</v>
      </c>
      <c r="CQ444" s="133">
        <f>IFERROR(CQ432/CQ243,"n/a")</f>
        <v>19.375614998395513</v>
      </c>
      <c r="CR444" s="133">
        <f>IFERROR(CR432/CR243,"n/a")</f>
        <v>17.478559056029088</v>
      </c>
      <c r="CS444" s="133">
        <f>IFERROR(CS432/CS243,"n/a")</f>
        <v>15.560949422929744</v>
      </c>
      <c r="CT444" s="22"/>
      <c r="CV444" s="6"/>
      <c r="CW444" s="6"/>
      <c r="CX444" s="6"/>
      <c r="CY444" s="6"/>
    </row>
    <row r="445" spans="2:103" ht="15" customHeight="1" x14ac:dyDescent="0.25">
      <c r="B445" s="12" t="s">
        <v>576</v>
      </c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27"/>
      <c r="CN445" s="27"/>
      <c r="CO445" s="27">
        <f>IFERROR(CO291/CO434,"n/a")</f>
        <v>3.8545744110872956E-2</v>
      </c>
      <c r="CP445" s="27">
        <f>IFERROR(CP291/CP434,"n/a")</f>
        <v>4.5818173176676823E-2</v>
      </c>
      <c r="CQ445" s="27">
        <f>IFERROR(CQ291/CQ434,"n/a")</f>
        <v>5.1218345602668774E-2</v>
      </c>
      <c r="CR445" s="27">
        <f>IFERROR(CR291/CR434,"n/a")</f>
        <v>5.6690987414367289E-2</v>
      </c>
      <c r="CS445" s="27">
        <f>IFERROR(CS291/CS434,"n/a")</f>
        <v>6.3342367303373337E-2</v>
      </c>
      <c r="CT445" s="22"/>
      <c r="CV445" s="6"/>
      <c r="CW445" s="6"/>
      <c r="CX445" s="6"/>
      <c r="CY445" s="6"/>
    </row>
  </sheetData>
  <dataValidations count="1">
    <dataValidation type="list" sqref="CT2" xr:uid="{00000000-0002-0000-0000-000000000000}">
      <formula1>"Bull,Base,Bear"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47"/>
  <sheetViews>
    <sheetView showGridLines="0" tabSelected="1" zoomScale="50" zoomScaleNormal="50" workbookViewId="0">
      <selection activeCell="H27" sqref="H27"/>
    </sheetView>
  </sheetViews>
  <sheetFormatPr defaultColWidth="8.5703125" defaultRowHeight="15" x14ac:dyDescent="0.25"/>
  <cols>
    <col min="1" max="1" width="2" customWidth="1"/>
    <col min="2" max="2" width="40" customWidth="1"/>
    <col min="3" max="3" width="13" customWidth="1"/>
    <col min="9" max="9" width="13.5703125" customWidth="1"/>
    <col min="10" max="10" width="12.5703125" customWidth="1"/>
    <col min="11" max="11" width="9.7109375" customWidth="1"/>
    <col min="14" max="14" width="41.42578125" customWidth="1"/>
    <col min="15" max="15" width="11.42578125" customWidth="1"/>
    <col min="26" max="26" width="41.42578125" customWidth="1"/>
    <col min="27" max="27" width="11.7109375" customWidth="1"/>
  </cols>
  <sheetData>
    <row r="2" spans="2:36" ht="19.5" customHeight="1" x14ac:dyDescent="0.35">
      <c r="B2" s="73" t="s">
        <v>577</v>
      </c>
      <c r="J2" s="11" t="s">
        <v>578</v>
      </c>
      <c r="K2" s="74">
        <f>Model!$CO$432</f>
        <v>615</v>
      </c>
    </row>
    <row r="3" spans="2:36" ht="15" customHeight="1" x14ac:dyDescent="0.25">
      <c r="B3" s="4" t="s">
        <v>579</v>
      </c>
      <c r="J3" s="11" t="s">
        <v>580</v>
      </c>
      <c r="K3" s="75">
        <f ca="1">TODAY()</f>
        <v>46299</v>
      </c>
    </row>
    <row r="5" spans="2:36" ht="15" customHeight="1" x14ac:dyDescent="0.25">
      <c r="B5" s="11" t="s">
        <v>581</v>
      </c>
      <c r="C5" s="76" t="str">
        <f>Model!CT2</f>
        <v>Base</v>
      </c>
      <c r="N5" s="77" t="s">
        <v>581</v>
      </c>
      <c r="O5" s="78" t="s">
        <v>94</v>
      </c>
      <c r="P5" s="4" t="s">
        <v>582</v>
      </c>
      <c r="Z5" s="77" t="s">
        <v>581</v>
      </c>
      <c r="AA5" s="78" t="s">
        <v>95</v>
      </c>
      <c r="AB5" s="4" t="s">
        <v>583</v>
      </c>
    </row>
    <row r="7" spans="2:36" ht="15" customHeight="1" x14ac:dyDescent="0.25">
      <c r="B7" s="79" t="s">
        <v>584</v>
      </c>
      <c r="C7" s="80" t="s">
        <v>585</v>
      </c>
      <c r="D7" s="80" t="s">
        <v>78</v>
      </c>
      <c r="E7" s="80" t="s">
        <v>79</v>
      </c>
      <c r="F7" s="80" t="s">
        <v>80</v>
      </c>
      <c r="G7" s="80" t="s">
        <v>81</v>
      </c>
      <c r="H7" s="80" t="s">
        <v>82</v>
      </c>
      <c r="I7" s="80" t="s">
        <v>586</v>
      </c>
      <c r="J7" s="81" t="s">
        <v>587</v>
      </c>
      <c r="K7" s="81" t="s">
        <v>588</v>
      </c>
      <c r="L7" s="81" t="s">
        <v>589</v>
      </c>
      <c r="N7" s="79" t="s">
        <v>584</v>
      </c>
      <c r="O7" s="80" t="s">
        <v>585</v>
      </c>
      <c r="P7" s="80" t="s">
        <v>78</v>
      </c>
      <c r="Q7" s="80" t="s">
        <v>79</v>
      </c>
      <c r="R7" s="80" t="s">
        <v>80</v>
      </c>
      <c r="S7" s="80" t="s">
        <v>81</v>
      </c>
      <c r="T7" s="80" t="s">
        <v>82</v>
      </c>
      <c r="U7" s="80" t="s">
        <v>586</v>
      </c>
      <c r="V7" s="81" t="s">
        <v>587</v>
      </c>
      <c r="W7" s="81" t="s">
        <v>588</v>
      </c>
      <c r="X7" s="81" t="s">
        <v>589</v>
      </c>
      <c r="Z7" s="79" t="s">
        <v>584</v>
      </c>
      <c r="AA7" s="80" t="s">
        <v>585</v>
      </c>
      <c r="AB7" s="80" t="s">
        <v>78</v>
      </c>
      <c r="AC7" s="80" t="s">
        <v>79</v>
      </c>
      <c r="AD7" s="80" t="s">
        <v>80</v>
      </c>
      <c r="AE7" s="80" t="s">
        <v>81</v>
      </c>
      <c r="AF7" s="80" t="s">
        <v>82</v>
      </c>
      <c r="AG7" s="80" t="s">
        <v>586</v>
      </c>
      <c r="AH7" s="81" t="s">
        <v>587</v>
      </c>
      <c r="AI7" s="81" t="s">
        <v>588</v>
      </c>
      <c r="AJ7" s="81" t="s">
        <v>589</v>
      </c>
    </row>
    <row r="9" spans="2:36" ht="15" customHeight="1" x14ac:dyDescent="0.25">
      <c r="B9" s="82" t="s">
        <v>590</v>
      </c>
      <c r="C9" s="83">
        <f>Model!CI152</f>
        <v>6115.4</v>
      </c>
      <c r="D9" s="84">
        <f>Model!CO152</f>
        <v>6686.0876550432258</v>
      </c>
      <c r="E9" s="84">
        <f>Model!CP152</f>
        <v>7179.9947259384016</v>
      </c>
      <c r="F9" s="84">
        <f>Model!CQ152</f>
        <v>7851.445221150605</v>
      </c>
      <c r="G9" s="84">
        <f>Model!CR152</f>
        <v>8578.2966064984012</v>
      </c>
      <c r="H9" s="84">
        <f>Model!CS152</f>
        <v>9344.606114616483</v>
      </c>
      <c r="I9" s="85">
        <f>IFERROR((H9/C9)^(1/5)-1,"n/m")</f>
        <v>8.8496974479118418E-2</v>
      </c>
      <c r="N9" s="82" t="s">
        <v>590</v>
      </c>
      <c r="O9" s="83">
        <v>6115.4</v>
      </c>
      <c r="P9" s="84">
        <v>6686.0876550432304</v>
      </c>
      <c r="Q9" s="84">
        <v>7490.2133109759898</v>
      </c>
      <c r="R9" s="84">
        <v>8637.1799665552098</v>
      </c>
      <c r="S9" s="84">
        <v>9881.1414596814993</v>
      </c>
      <c r="T9" s="84">
        <v>11209.5489994236</v>
      </c>
      <c r="U9" s="85">
        <v>0.12884068642976901</v>
      </c>
      <c r="Z9" s="82" t="s">
        <v>590</v>
      </c>
      <c r="AA9" s="83">
        <v>6115.4</v>
      </c>
      <c r="AB9" s="84">
        <v>6686.0876550432304</v>
      </c>
      <c r="AC9" s="84">
        <v>6844.58193101705</v>
      </c>
      <c r="AD9" s="84">
        <v>7069.7165688671603</v>
      </c>
      <c r="AE9" s="84">
        <v>7323.9718852434899</v>
      </c>
      <c r="AF9" s="84">
        <v>7589.9868012883699</v>
      </c>
      <c r="AG9" s="85">
        <v>4.4150811518548903E-2</v>
      </c>
    </row>
    <row r="10" spans="2:36" ht="15" customHeight="1" x14ac:dyDescent="0.25">
      <c r="B10" s="86" t="s">
        <v>591</v>
      </c>
      <c r="C10" s="87"/>
      <c r="D10" s="88">
        <f>IFERROR(D9/C9-1,"")</f>
        <v>9.331975913974988E-2</v>
      </c>
      <c r="E10" s="88">
        <f>IFERROR(E9/D9-1,"")</f>
        <v>7.3870863856029256E-2</v>
      </c>
      <c r="F10" s="88">
        <f>IFERROR(F9/E9-1,"")</f>
        <v>9.3516850755687386E-2</v>
      </c>
      <c r="G10" s="88">
        <f>IFERROR(G9/F9-1,"")</f>
        <v>9.2575489591364413E-2</v>
      </c>
      <c r="H10" s="88">
        <f>IFERROR(H9/G9-1,"")</f>
        <v>8.9331197470785995E-2</v>
      </c>
      <c r="N10" s="86" t="s">
        <v>591</v>
      </c>
      <c r="O10" s="87"/>
      <c r="P10" s="88">
        <v>9.3319759139749894E-2</v>
      </c>
      <c r="Q10" s="88">
        <v>0.120268488452469</v>
      </c>
      <c r="R10" s="88">
        <v>0.15312870381120999</v>
      </c>
      <c r="S10" s="88">
        <v>0.144024033069027</v>
      </c>
      <c r="T10" s="88">
        <v>0.13443867241072199</v>
      </c>
      <c r="Z10" s="86" t="s">
        <v>591</v>
      </c>
      <c r="AA10" s="87"/>
      <c r="AB10" s="88">
        <v>9.3319759139749894E-2</v>
      </c>
      <c r="AC10" s="88">
        <v>2.3705084969125802E-2</v>
      </c>
      <c r="AD10" s="88">
        <v>3.2892387017808798E-2</v>
      </c>
      <c r="AE10" s="88">
        <v>3.59640042001097E-2</v>
      </c>
      <c r="AF10" s="88">
        <v>3.6321127417332101E-2</v>
      </c>
    </row>
    <row r="11" spans="2:36" ht="15" customHeight="1" x14ac:dyDescent="0.25">
      <c r="B11" s="82" t="s">
        <v>592</v>
      </c>
      <c r="C11" s="90">
        <f>Model!CI247</f>
        <v>3.0917107583774105E-2</v>
      </c>
      <c r="D11" s="91">
        <f>Model!CO247</f>
        <v>8.3263180665733461E-2</v>
      </c>
      <c r="E11" s="91">
        <f>Model!CP247</f>
        <v>5.5175326727419496E-2</v>
      </c>
      <c r="F11" s="91">
        <f>Model!CQ247</f>
        <v>5.2894722495203633E-2</v>
      </c>
      <c r="G11" s="91">
        <f>Model!CR247</f>
        <v>5.0120460747071674E-2</v>
      </c>
      <c r="H11" s="91">
        <f>Model!CS247</f>
        <v>5.0473444163349639E-2</v>
      </c>
      <c r="N11" s="82" t="s">
        <v>592</v>
      </c>
      <c r="O11" s="90">
        <v>3.0917107583774101E-2</v>
      </c>
      <c r="P11" s="91">
        <v>8.3263180665733502E-2</v>
      </c>
      <c r="Q11" s="91">
        <v>8.2877414195249202E-2</v>
      </c>
      <c r="R11" s="91">
        <v>8.0812116261837597E-2</v>
      </c>
      <c r="S11" s="91">
        <v>7.6486557227131102E-2</v>
      </c>
      <c r="T11" s="91">
        <v>7.5403657507480501E-2</v>
      </c>
      <c r="Z11" s="82" t="s">
        <v>592</v>
      </c>
      <c r="AA11" s="90">
        <v>3.0917107583774101E-2</v>
      </c>
      <c r="AB11" s="91">
        <v>8.3263180665733502E-2</v>
      </c>
      <c r="AC11" s="91">
        <v>1.7473239259589199E-2</v>
      </c>
      <c r="AD11" s="91">
        <v>1.4629766851988701E-2</v>
      </c>
      <c r="AE11" s="91">
        <v>1.23892731563484E-2</v>
      </c>
      <c r="AF11" s="91">
        <v>1.35648048538238E-2</v>
      </c>
    </row>
    <row r="12" spans="2:36" ht="15" customHeight="1" x14ac:dyDescent="0.25">
      <c r="B12" s="82" t="s">
        <v>593</v>
      </c>
      <c r="C12" s="83">
        <f>Model!CI200</f>
        <v>1379.9999999999995</v>
      </c>
      <c r="D12" s="84">
        <f>Model!CO200</f>
        <v>1508.726433121019</v>
      </c>
      <c r="E12" s="84">
        <f>Model!CP200</f>
        <v>1677.4547273478622</v>
      </c>
      <c r="F12" s="84">
        <f>Model!CQ200</f>
        <v>1856.8524460866106</v>
      </c>
      <c r="G12" s="84">
        <f>Model!CR200</f>
        <v>2047.1615762416361</v>
      </c>
      <c r="H12" s="84">
        <f>Model!CS200</f>
        <v>2252.5574161850618</v>
      </c>
      <c r="I12" s="85">
        <f>IFERROR((H12/C12)^(1/5)-1,"n/m")</f>
        <v>0.102958969081961</v>
      </c>
      <c r="N12" s="82" t="s">
        <v>593</v>
      </c>
      <c r="O12" s="83">
        <v>1380</v>
      </c>
      <c r="P12" s="84">
        <v>1509.91099114494</v>
      </c>
      <c r="Q12" s="84">
        <v>1816.23759359469</v>
      </c>
      <c r="R12" s="84">
        <v>2101.7854815167202</v>
      </c>
      <c r="S12" s="84">
        <v>2409.5559689280999</v>
      </c>
      <c r="T12" s="84">
        <v>2745.5099637474</v>
      </c>
      <c r="U12" s="85">
        <v>0.14748967780604</v>
      </c>
      <c r="Z12" s="82" t="s">
        <v>593</v>
      </c>
      <c r="AA12" s="83">
        <v>1380</v>
      </c>
      <c r="AB12" s="84">
        <v>1502.7550955413999</v>
      </c>
      <c r="AC12" s="84">
        <v>1467.1168187302901</v>
      </c>
      <c r="AD12" s="84">
        <v>1546.1906382703801</v>
      </c>
      <c r="AE12" s="84">
        <v>1628.4056989932501</v>
      </c>
      <c r="AF12" s="84">
        <v>1716.4129836606301</v>
      </c>
      <c r="AG12" s="85">
        <v>4.4596438820457197E-2</v>
      </c>
    </row>
    <row r="13" spans="2:36" ht="15" customHeight="1" x14ac:dyDescent="0.25">
      <c r="B13" s="86" t="s">
        <v>594</v>
      </c>
      <c r="C13" s="92">
        <f t="shared" ref="C13:H13" si="0">IFERROR(C12/C9,"")</f>
        <v>0.22565980966085614</v>
      </c>
      <c r="D13" s="93">
        <f t="shared" si="0"/>
        <v>0.22565160837863185</v>
      </c>
      <c r="E13" s="93">
        <f t="shared" si="0"/>
        <v>0.23362896372164457</v>
      </c>
      <c r="F13" s="93">
        <f t="shared" si="0"/>
        <v>0.23649817247460775</v>
      </c>
      <c r="G13" s="93">
        <f t="shared" si="0"/>
        <v>0.23864429853018018</v>
      </c>
      <c r="H13" s="93">
        <f t="shared" si="0"/>
        <v>0.24105429255725352</v>
      </c>
      <c r="J13" s="94">
        <f>IFERROR(AVERAGE(Model!C201,Model!D201,Model!E201,Model!F201,Model!G201,Model!H201,Model!I201,Model!O201,Model!U201,Model!AA201,Model!AG201,Model!AM201,Model!AS201,Model!AY201,Model!BE201,Model!BK201,Model!BQ201,Model!BW201,Model!CC201,Model!CI201),"")</f>
        <v>0.15299586729676901</v>
      </c>
      <c r="K13" s="94">
        <f>IFERROR(MIN(Model!C201,Model!D201,Model!E201,Model!F201,Model!G201,Model!H201,Model!I201,Model!O201,Model!U201,Model!AA201,Model!AG201,Model!AM201,Model!AS201,Model!AY201,Model!BE201,Model!BK201,Model!BQ201,Model!BW201,Model!CC201,Model!CI201),"")</f>
        <v>9.2659782305330729E-2</v>
      </c>
      <c r="L13" s="94">
        <f>IFERROR(MAX(Model!C201,Model!D201,Model!E201,Model!F201,Model!G201,Model!H201,Model!I201,Model!O201,Model!U201,Model!AA201,Model!AG201,Model!AM201,Model!AS201,Model!AY201,Model!BE201,Model!BK201,Model!BQ201,Model!BW201,Model!CC201,Model!CI201),"")</f>
        <v>0.22565980966085614</v>
      </c>
      <c r="N13" s="86" t="s">
        <v>594</v>
      </c>
      <c r="O13" s="92">
        <v>0.225659809660856</v>
      </c>
      <c r="P13" s="93">
        <v>0.22582877596677001</v>
      </c>
      <c r="Q13" s="93">
        <v>0.242481424518741</v>
      </c>
      <c r="R13" s="93">
        <v>0.243341633456201</v>
      </c>
      <c r="S13" s="93">
        <v>0.243854010061482</v>
      </c>
      <c r="T13" s="93">
        <v>0.24492599692356701</v>
      </c>
      <c r="V13" s="94">
        <v>0.15299586729676901</v>
      </c>
      <c r="W13" s="94">
        <v>9.2659782305330701E-2</v>
      </c>
      <c r="X13" s="94">
        <v>0.225659809660856</v>
      </c>
      <c r="Z13" s="86" t="s">
        <v>594</v>
      </c>
      <c r="AA13" s="92">
        <v>0.225659809660856</v>
      </c>
      <c r="AB13" s="93">
        <v>0.22475850947121401</v>
      </c>
      <c r="AC13" s="93">
        <v>0.21434717759486099</v>
      </c>
      <c r="AD13" s="93">
        <v>0.21870617063763501</v>
      </c>
      <c r="AE13" s="93">
        <v>0.22233915210327301</v>
      </c>
      <c r="AF13" s="93">
        <v>0.22614176132286201</v>
      </c>
      <c r="AH13" s="94">
        <v>0.15299586729676901</v>
      </c>
      <c r="AI13" s="94">
        <v>9.2659782305330701E-2</v>
      </c>
      <c r="AJ13" s="94">
        <v>0.225659809660856</v>
      </c>
    </row>
    <row r="15" spans="2:36" ht="15" customHeight="1" x14ac:dyDescent="0.25">
      <c r="B15" s="82" t="s">
        <v>595</v>
      </c>
      <c r="C15" s="83">
        <f>Model!CI160</f>
        <v>1149.7999999999997</v>
      </c>
      <c r="D15" s="84">
        <f>Model!CO160</f>
        <v>1281.3264331210189</v>
      </c>
      <c r="E15" s="84">
        <f>Model!CP160</f>
        <v>1449.7172273478623</v>
      </c>
      <c r="F15" s="84">
        <f>Model!CQ160</f>
        <v>1606.4941127532772</v>
      </c>
      <c r="G15" s="84">
        <f>Model!CR160</f>
        <v>1811.5365762416361</v>
      </c>
      <c r="H15" s="84">
        <f>Model!CS160</f>
        <v>2013.9657495183951</v>
      </c>
      <c r="I15" s="85">
        <f>IFERROR((H15/C15)^(1/5)-1,"n/m")</f>
        <v>0.11862869396153641</v>
      </c>
      <c r="N15" s="82" t="s">
        <v>595</v>
      </c>
      <c r="O15" s="83">
        <v>1149.8</v>
      </c>
      <c r="P15" s="84">
        <v>1282.5109911449399</v>
      </c>
      <c r="Q15" s="84">
        <v>1577.56259359469</v>
      </c>
      <c r="R15" s="84">
        <v>1818.61464818339</v>
      </c>
      <c r="S15" s="84">
        <v>2119.2434689280999</v>
      </c>
      <c r="T15" s="84">
        <v>2430.3557970807401</v>
      </c>
      <c r="U15" s="85">
        <v>0.161474048857634</v>
      </c>
      <c r="Z15" s="82" t="s">
        <v>595</v>
      </c>
      <c r="AA15" s="83">
        <v>1149.8</v>
      </c>
      <c r="AB15" s="84">
        <v>1275.3550955414</v>
      </c>
      <c r="AC15" s="84">
        <v>1246.6709853969501</v>
      </c>
      <c r="AD15" s="84">
        <v>1317.7073049370399</v>
      </c>
      <c r="AE15" s="84">
        <v>1429.2390323265799</v>
      </c>
      <c r="AF15" s="84">
        <v>1528.8629836606301</v>
      </c>
      <c r="AG15" s="85">
        <v>5.8642322569457901E-2</v>
      </c>
    </row>
    <row r="16" spans="2:36" ht="15" customHeight="1" x14ac:dyDescent="0.25">
      <c r="B16" s="86" t="s">
        <v>596</v>
      </c>
      <c r="C16" s="87"/>
      <c r="D16" s="88">
        <f>IFERROR(D15/C15-1,"")</f>
        <v>0.11439070544531149</v>
      </c>
      <c r="E16" s="88">
        <f>IFERROR(E15/D15-1,"")</f>
        <v>0.13141912152446733</v>
      </c>
      <c r="F16" s="88">
        <f>IFERROR(F15/E15-1,"")</f>
        <v>0.10814307952470514</v>
      </c>
      <c r="G16" s="88">
        <f>IFERROR(G15/F15-1,"")</f>
        <v>0.12763349822486969</v>
      </c>
      <c r="H16" s="88">
        <f>IFERROR(H15/G15-1,"")</f>
        <v>0.1117444582304461</v>
      </c>
      <c r="N16" s="86" t="s">
        <v>596</v>
      </c>
      <c r="O16" s="87"/>
      <c r="P16" s="88">
        <v>0.11542093507126799</v>
      </c>
      <c r="Q16" s="88">
        <v>0.23005775738915701</v>
      </c>
      <c r="R16" s="88">
        <v>0.15280031078793799</v>
      </c>
      <c r="S16" s="88">
        <v>0.16530649912284101</v>
      </c>
      <c r="T16" s="88">
        <v>0.14680348563725601</v>
      </c>
      <c r="Z16" s="86" t="s">
        <v>596</v>
      </c>
      <c r="AA16" s="87"/>
      <c r="AB16" s="88">
        <v>0.109197334789878</v>
      </c>
      <c r="AC16" s="88">
        <v>-2.24910773828608E-2</v>
      </c>
      <c r="AD16" s="88">
        <v>5.6980807584504203E-2</v>
      </c>
      <c r="AE16" s="88">
        <v>8.4640744550525102E-2</v>
      </c>
      <c r="AF16" s="88">
        <v>6.9704191587798101E-2</v>
      </c>
    </row>
    <row r="17" spans="2:36" ht="15" customHeight="1" x14ac:dyDescent="0.25">
      <c r="B17" s="86" t="s">
        <v>597</v>
      </c>
      <c r="C17" s="92">
        <f t="shared" ref="C17:H17" si="1">IFERROR(C15/C9,"")</f>
        <v>0.1880171370638061</v>
      </c>
      <c r="D17" s="93">
        <f t="shared" si="1"/>
        <v>0.19164068723426497</v>
      </c>
      <c r="E17" s="93">
        <f t="shared" si="1"/>
        <v>0.20191062565974086</v>
      </c>
      <c r="F17" s="93">
        <f t="shared" si="1"/>
        <v>0.20461126168538057</v>
      </c>
      <c r="G17" s="93">
        <f t="shared" si="1"/>
        <v>0.21117672416098612</v>
      </c>
      <c r="H17" s="93">
        <f t="shared" si="1"/>
        <v>0.21552173786846138</v>
      </c>
      <c r="J17" s="94">
        <f>IFERROR(AVERAGE(Model!C256,Model!D256,Model!E256,Model!F256,Model!G256,Model!H256,Model!I256,Model!O256,Model!U256,Model!AA256,Model!AG256,Model!AM256,Model!AS256,Model!AY256,Model!BE256,Model!BK256,Model!BQ256,Model!BW256,Model!CC256,Model!CI256),"")</f>
        <v>0.13250642466018464</v>
      </c>
      <c r="K17" s="94">
        <f>IFERROR(MIN(Model!C256,Model!D256,Model!E256,Model!F256,Model!G256,Model!H256,Model!I256,Model!O256,Model!U256,Model!AA256,Model!AG256,Model!AM256,Model!AS256,Model!AY256,Model!BE256,Model!BK256,Model!BQ256,Model!BW256,Model!CC256,Model!CI256),"")</f>
        <v>8.7287189506000576E-2</v>
      </c>
      <c r="L17" s="94">
        <f>IFERROR(MAX(Model!C256,Model!D256,Model!E256,Model!F256,Model!G256,Model!H256,Model!I256,Model!O256,Model!U256,Model!AA256,Model!AG256,Model!AM256,Model!AS256,Model!AY256,Model!BE256,Model!BK256,Model!BQ256,Model!BW256,Model!CC256,Model!CI256),"")</f>
        <v>0.1880171370638061</v>
      </c>
      <c r="N17" s="86" t="s">
        <v>597</v>
      </c>
      <c r="O17" s="92">
        <v>0.18801713706380599</v>
      </c>
      <c r="P17" s="93">
        <v>0.19181785482240299</v>
      </c>
      <c r="Q17" s="93">
        <v>0.210616510918717</v>
      </c>
      <c r="R17" s="93">
        <v>0.21055653062983601</v>
      </c>
      <c r="S17" s="93">
        <v>0.214473548180173</v>
      </c>
      <c r="T17" s="93">
        <v>0.216811202413737</v>
      </c>
      <c r="V17" s="94">
        <v>0.132506424660185</v>
      </c>
      <c r="W17" s="94">
        <v>8.7287189506000604E-2</v>
      </c>
      <c r="X17" s="94">
        <v>0.18801713706380599</v>
      </c>
      <c r="Z17" s="86" t="s">
        <v>597</v>
      </c>
      <c r="AA17" s="92">
        <v>0.18801713706380599</v>
      </c>
      <c r="AB17" s="93">
        <v>0.19074758832684699</v>
      </c>
      <c r="AC17" s="93">
        <v>0.182139829424426</v>
      </c>
      <c r="AD17" s="93">
        <v>0.186387571849742</v>
      </c>
      <c r="AE17" s="93">
        <v>0.19514534663988001</v>
      </c>
      <c r="AF17" s="93">
        <v>0.20143157342528101</v>
      </c>
      <c r="AH17" s="94">
        <v>0.132506424660185</v>
      </c>
      <c r="AI17" s="94">
        <v>8.7287189506000604E-2</v>
      </c>
      <c r="AJ17" s="94">
        <v>0.18801713706380599</v>
      </c>
    </row>
    <row r="19" spans="2:36" ht="15" customHeight="1" x14ac:dyDescent="0.25">
      <c r="B19" s="82" t="s">
        <v>598</v>
      </c>
      <c r="C19" s="83">
        <f>Model!CI242</f>
        <v>1042.3000000000002</v>
      </c>
      <c r="D19" s="84">
        <f>Model!CO242</f>
        <v>1150.7812499999998</v>
      </c>
      <c r="E19" s="84">
        <f>Model!CP242</f>
        <v>1300.7681134865311</v>
      </c>
      <c r="F19" s="84">
        <f>Model!CQ242</f>
        <v>1420.6008084995538</v>
      </c>
      <c r="G19" s="84">
        <f>Model!CR242</f>
        <v>1545.8903657546468</v>
      </c>
      <c r="H19" s="84">
        <f>Model!CS242</f>
        <v>1699.0408195392574</v>
      </c>
      <c r="I19" s="85">
        <f>IFERROR((H19/C19)^(1/5)-1,"n/m")</f>
        <v>0.10266150968266086</v>
      </c>
      <c r="N19" s="82" t="s">
        <v>598</v>
      </c>
      <c r="O19" s="83">
        <v>1042.3</v>
      </c>
      <c r="P19" s="84">
        <v>1151.71112804878</v>
      </c>
      <c r="Q19" s="84">
        <v>1403.6283121183401</v>
      </c>
      <c r="R19" s="84">
        <v>1567.82600648174</v>
      </c>
      <c r="S19" s="84">
        <v>1774.3120797589099</v>
      </c>
      <c r="T19" s="84">
        <v>2017.9909993706799</v>
      </c>
      <c r="U19" s="85">
        <v>0.141261843349095</v>
      </c>
      <c r="Z19" s="82" t="s">
        <v>598</v>
      </c>
      <c r="AA19" s="83">
        <v>1042.3</v>
      </c>
      <c r="AB19" s="84">
        <v>1146.09375</v>
      </c>
      <c r="AC19" s="84">
        <v>1135.6882979300699</v>
      </c>
      <c r="AD19" s="84">
        <v>1183.88026165721</v>
      </c>
      <c r="AE19" s="84">
        <v>1230.1973370537601</v>
      </c>
      <c r="AF19" s="84">
        <v>1296.5844703064399</v>
      </c>
      <c r="AG19" s="85">
        <v>4.46278873440129E-2</v>
      </c>
    </row>
    <row r="21" spans="2:36" ht="15" customHeight="1" x14ac:dyDescent="0.25">
      <c r="B21" s="82" t="s">
        <v>599</v>
      </c>
      <c r="C21" s="96">
        <f>Model!CI179</f>
        <v>47.4</v>
      </c>
      <c r="D21" s="97">
        <f>Model!CO179</f>
        <v>46.875</v>
      </c>
      <c r="E21" s="97">
        <f>Model!CP179</f>
        <v>46.121231381294727</v>
      </c>
      <c r="F21" s="97">
        <f>Model!CQ179</f>
        <v>44.756120864872756</v>
      </c>
      <c r="G21" s="97">
        <f>Model!CR179</f>
        <v>43.934855369087799</v>
      </c>
      <c r="H21" s="97">
        <f>Model!CS179</f>
        <v>42.9897370086886</v>
      </c>
      <c r="I21" s="85">
        <f>IFERROR((H21/C21)^(1/5)-1,"n/m")</f>
        <v>-1.9342646340529956E-2</v>
      </c>
      <c r="N21" s="82" t="s">
        <v>599</v>
      </c>
      <c r="O21" s="96">
        <v>47.4</v>
      </c>
      <c r="P21" s="97">
        <v>46.722560975609802</v>
      </c>
      <c r="Q21" s="97">
        <v>45.571071223936201</v>
      </c>
      <c r="R21" s="97">
        <v>44.342900800948399</v>
      </c>
      <c r="S21" s="97">
        <v>43.9912077847655</v>
      </c>
      <c r="T21" s="97">
        <v>43.336178307320601</v>
      </c>
      <c r="U21" s="85">
        <v>-1.77671525097007E-2</v>
      </c>
      <c r="Z21" s="82" t="s">
        <v>599</v>
      </c>
      <c r="AA21" s="96">
        <v>47.4</v>
      </c>
      <c r="AB21" s="97">
        <v>46.875</v>
      </c>
      <c r="AC21" s="97">
        <v>45.996745073884099</v>
      </c>
      <c r="AD21" s="97">
        <v>44.355262883210401</v>
      </c>
      <c r="AE21" s="97">
        <v>43.301527702882296</v>
      </c>
      <c r="AF21" s="97">
        <v>42.262109903333602</v>
      </c>
      <c r="AG21" s="85">
        <v>-2.26849949775191E-2</v>
      </c>
    </row>
    <row r="23" spans="2:36" ht="15" customHeight="1" x14ac:dyDescent="0.25">
      <c r="B23" s="82" t="s">
        <v>600</v>
      </c>
      <c r="C23" s="98">
        <f>Model!CI243</f>
        <v>21.989451476793253</v>
      </c>
      <c r="D23" s="99">
        <f>Model!CO243</f>
        <v>24.549999999999994</v>
      </c>
      <c r="E23" s="99">
        <f>Model!CP243</f>
        <v>28.203239040449393</v>
      </c>
      <c r="F23" s="99">
        <f>Model!CQ243</f>
        <v>31.740927968011746</v>
      </c>
      <c r="G23" s="99">
        <f>Model!CR243</f>
        <v>35.185966876821048</v>
      </c>
      <c r="H23" s="99">
        <f>Model!CS243</f>
        <v>39.522010083380287</v>
      </c>
      <c r="I23" s="85">
        <f>IFERROR((H23/C23)^(1/5)-1,"n/m")</f>
        <v>0.12441058598899413</v>
      </c>
      <c r="N23" s="82" t="s">
        <v>600</v>
      </c>
      <c r="O23" s="98">
        <v>21.989451476793299</v>
      </c>
      <c r="P23" s="99">
        <v>24.65</v>
      </c>
      <c r="Q23" s="99">
        <v>30.800862793435702</v>
      </c>
      <c r="R23" s="99">
        <v>35.356866108502402</v>
      </c>
      <c r="S23" s="99">
        <v>40.333334070754098</v>
      </c>
      <c r="T23" s="99">
        <v>46.565965855595302</v>
      </c>
      <c r="U23" s="85">
        <v>0.161905597298166</v>
      </c>
      <c r="Z23" s="82" t="s">
        <v>600</v>
      </c>
      <c r="AA23" s="98">
        <v>21.989451476793299</v>
      </c>
      <c r="AB23" s="99">
        <v>24.45</v>
      </c>
      <c r="AC23" s="99">
        <v>24.690623132263401</v>
      </c>
      <c r="AD23" s="99">
        <v>26.6908633767863</v>
      </c>
      <c r="AE23" s="99">
        <v>28.410021593115101</v>
      </c>
      <c r="AF23" s="99">
        <v>30.679596292568601</v>
      </c>
      <c r="AG23" s="85">
        <v>6.8875318577538397E-2</v>
      </c>
    </row>
    <row r="24" spans="2:36" ht="15" customHeight="1" x14ac:dyDescent="0.25">
      <c r="B24" s="86" t="s">
        <v>601</v>
      </c>
      <c r="C24" s="87"/>
      <c r="D24" s="88">
        <f>IFERROR(D23/C23-1,"")</f>
        <v>0.11644440180370297</v>
      </c>
      <c r="E24" s="88">
        <f>IFERROR(E23/D23-1,"")</f>
        <v>0.14880810755394713</v>
      </c>
      <c r="F24" s="88">
        <f>IFERROR(F23/E23-1,"")</f>
        <v>0.12543555449388499</v>
      </c>
      <c r="G24" s="88">
        <f>IFERROR(G23/F23-1,"")</f>
        <v>0.10853617488062062</v>
      </c>
      <c r="H24" s="88">
        <f>IFERROR(H23/G23-1,"")</f>
        <v>0.12323217439892575</v>
      </c>
      <c r="N24" s="86" t="s">
        <v>601</v>
      </c>
      <c r="O24" s="87"/>
      <c r="P24" s="88">
        <v>0.1209920368416</v>
      </c>
      <c r="Q24" s="88">
        <v>0.24952790237061501</v>
      </c>
      <c r="R24" s="88">
        <v>0.14791804195945299</v>
      </c>
      <c r="S24" s="88">
        <v>0.14074969051216299</v>
      </c>
      <c r="T24" s="88">
        <v>0.154528057955923</v>
      </c>
      <c r="Z24" s="86" t="s">
        <v>601</v>
      </c>
      <c r="AA24" s="87"/>
      <c r="AB24" s="88">
        <v>0.111896766765806</v>
      </c>
      <c r="AC24" s="88">
        <v>9.8414369023907006E-3</v>
      </c>
      <c r="AD24" s="88">
        <v>8.1012141079142203E-2</v>
      </c>
      <c r="AE24" s="88">
        <v>6.4409988993612499E-2</v>
      </c>
      <c r="AF24" s="88">
        <v>7.9886412335690604E-2</v>
      </c>
    </row>
    <row r="26" spans="2:36" ht="15" customHeight="1" x14ac:dyDescent="0.25">
      <c r="B26" s="86" t="s">
        <v>602</v>
      </c>
      <c r="C26" s="100"/>
      <c r="D26" s="100"/>
      <c r="E26" s="100"/>
      <c r="F26" s="100"/>
      <c r="G26" s="100">
        <v>23</v>
      </c>
      <c r="H26" s="100">
        <v>23</v>
      </c>
      <c r="N26" s="86" t="s">
        <v>602</v>
      </c>
      <c r="O26" s="100"/>
      <c r="P26" s="100"/>
      <c r="Q26" s="100"/>
      <c r="R26" s="100"/>
      <c r="S26" s="100">
        <v>25</v>
      </c>
      <c r="T26" s="100">
        <v>25</v>
      </c>
      <c r="Z26" s="86" t="s">
        <v>602</v>
      </c>
      <c r="AA26" s="100"/>
      <c r="AB26" s="100"/>
      <c r="AC26" s="100"/>
      <c r="AD26" s="100">
        <v>18</v>
      </c>
      <c r="AE26" s="100">
        <v>18</v>
      </c>
      <c r="AF26" s="100">
        <v>18</v>
      </c>
    </row>
    <row r="27" spans="2:36" ht="15" customHeight="1" x14ac:dyDescent="0.25">
      <c r="B27" s="11" t="s">
        <v>603</v>
      </c>
      <c r="C27" s="101"/>
      <c r="D27" s="101"/>
      <c r="E27" s="101"/>
      <c r="F27" s="101"/>
      <c r="G27" s="101">
        <f>G26*G23</f>
        <v>809.2772381668841</v>
      </c>
      <c r="H27" s="101">
        <f>H26*H23</f>
        <v>909.00623191774662</v>
      </c>
      <c r="N27" s="11" t="s">
        <v>603</v>
      </c>
      <c r="O27" s="101"/>
      <c r="P27" s="101"/>
      <c r="Q27" s="101"/>
      <c r="R27" s="101"/>
      <c r="S27" s="101">
        <f>S26*S23</f>
        <v>1008.3333517688525</v>
      </c>
      <c r="T27" s="101">
        <f>T26*T23</f>
        <v>1164.1491463898826</v>
      </c>
      <c r="Z27" s="11" t="s">
        <v>603</v>
      </c>
      <c r="AA27" s="101"/>
      <c r="AB27" s="101"/>
      <c r="AC27" s="101"/>
      <c r="AD27" s="101">
        <f>AD26*AD23</f>
        <v>480.4355407821534</v>
      </c>
      <c r="AE27" s="101">
        <f>AE26*AE23</f>
        <v>511.38038867607179</v>
      </c>
      <c r="AF27" s="101">
        <f>AF26*AF23</f>
        <v>552.23273326623485</v>
      </c>
    </row>
    <row r="28" spans="2:36" ht="15" customHeight="1" x14ac:dyDescent="0.25">
      <c r="B28" t="s">
        <v>604</v>
      </c>
      <c r="E28" s="89"/>
      <c r="F28" s="89"/>
      <c r="G28" s="89">
        <f>IFERROR(G27/$K$2-1,"")</f>
        <v>0.31589794823883599</v>
      </c>
      <c r="H28" s="89">
        <f>IFERROR(H27/$K$2-1,"")</f>
        <v>0.47805891368739295</v>
      </c>
      <c r="N28" t="s">
        <v>604</v>
      </c>
      <c r="O28" s="89"/>
      <c r="P28" s="89"/>
      <c r="Q28" s="89"/>
      <c r="R28" s="89"/>
      <c r="S28" s="89">
        <f>IFERROR(S27/$K$2-1,"")</f>
        <v>0.63956642564041055</v>
      </c>
      <c r="T28" s="89">
        <f>IFERROR(T27/$K$2-1,"")</f>
        <v>0.89292544128436191</v>
      </c>
      <c r="Z28" t="s">
        <v>604</v>
      </c>
      <c r="AA28" s="89"/>
      <c r="AB28" s="89"/>
      <c r="AC28" s="89"/>
      <c r="AD28" s="89">
        <f>IFERROR(AD27/$K$2-1,"")</f>
        <v>-0.21880399872820588</v>
      </c>
      <c r="AE28" s="89">
        <f>IFERROR(AE27/$K$2-1,"")</f>
        <v>-0.16848717288443615</v>
      </c>
      <c r="AF28" s="89">
        <f>IFERROR(AF27/$K$2-1,"")</f>
        <v>-0.10206059631506526</v>
      </c>
    </row>
    <row r="29" spans="2:36" ht="15" customHeight="1" x14ac:dyDescent="0.25">
      <c r="B29" s="76" t="s">
        <v>605</v>
      </c>
      <c r="C29" s="102"/>
      <c r="D29" s="102"/>
      <c r="E29" s="102"/>
      <c r="F29" s="102"/>
      <c r="G29" s="102">
        <f ca="1">IFERROR((G27/$K$2)^(1/((DATE(2029-1,12,31)-$K$3)/365.25))-1,"")</f>
        <v>0.13023723784152175</v>
      </c>
      <c r="H29" s="102">
        <f ca="1">IFERROR((H27/$K$2)^(1/((DATE(2030-1,12,31)-$K$3)/365.25))-1,"")</f>
        <v>0.12810077297185529</v>
      </c>
      <c r="N29" s="76" t="s">
        <v>605</v>
      </c>
      <c r="O29" s="102"/>
      <c r="P29" s="102"/>
      <c r="Q29" s="102"/>
      <c r="R29" s="102"/>
      <c r="S29" s="102">
        <f ca="1">IFERROR((S27/$K$2)^(1/((DATE(2029-1,12,31)-$K$3)/365.25))-1,"")</f>
        <v>0.24670255321962364</v>
      </c>
      <c r="T29" s="102">
        <f ca="1">IFERROR((T27/$K$2)^(1/((DATE(2030-1,12,31)-$K$3)/365.25))-1,"")</f>
        <v>0.21756571480466746</v>
      </c>
      <c r="Z29" s="76" t="s">
        <v>605</v>
      </c>
      <c r="AA29" s="102"/>
      <c r="AB29" s="102"/>
      <c r="AC29" s="102"/>
      <c r="AD29" s="102">
        <f ca="1">IFERROR((AD27/$K$2)^(1/((DATE(2029-1,12,31)-$K$3)/365.25))-1,"")</f>
        <v>-0.10427621266465159</v>
      </c>
      <c r="AE29" s="102">
        <f ca="1">IFERROR((AE27/$K$2)^(1/((DATE(2029-1,12,31)-$K$3)/365.25))-1,"")</f>
        <v>-7.8990942389415397E-2</v>
      </c>
      <c r="AF29" s="102">
        <f ca="1">IFERROR((AF27/$K$2)^(1/((DATE(2030-1,12,31)-$K$3)/365.25))-1,"")</f>
        <v>-3.2664198417385992E-2</v>
      </c>
    </row>
    <row r="31" spans="2:36" ht="15" customHeight="1" x14ac:dyDescent="0.25">
      <c r="B31" s="82" t="s">
        <v>606</v>
      </c>
      <c r="C31" s="83">
        <f>Model!CI291</f>
        <v>1074</v>
      </c>
      <c r="D31" s="84">
        <f>Model!CO291</f>
        <v>1111.2015294462594</v>
      </c>
      <c r="E31" s="84">
        <f>Model!CP291</f>
        <v>1299.6121984280921</v>
      </c>
      <c r="F31" s="84">
        <f>Model!CQ291</f>
        <v>1409.7856967694986</v>
      </c>
      <c r="G31" s="84">
        <f>Model!CR291</f>
        <v>1531.7868546603172</v>
      </c>
      <c r="H31" s="84">
        <f>Model!CS291</f>
        <v>1674.689102806062</v>
      </c>
      <c r="I31" s="85">
        <f>IFERROR((H31/C31)^(1/5)-1,"n/m")</f>
        <v>9.2913983350451312E-2</v>
      </c>
      <c r="N31" s="82" t="s">
        <v>606</v>
      </c>
      <c r="O31" s="83">
        <v>1074</v>
      </c>
      <c r="P31" s="84">
        <v>1112.1314074950401</v>
      </c>
      <c r="Q31" s="84">
        <v>1356.76759824447</v>
      </c>
      <c r="R31" s="84">
        <v>1495.26296873297</v>
      </c>
      <c r="S31" s="84">
        <v>1703.47795632411</v>
      </c>
      <c r="T31" s="84">
        <v>1939.21935201002</v>
      </c>
      <c r="U31" s="85">
        <v>0.12544566066616</v>
      </c>
      <c r="Z31" s="82" t="s">
        <v>606</v>
      </c>
      <c r="AA31" s="83">
        <v>1074</v>
      </c>
      <c r="AB31" s="84">
        <v>1106.5140294462601</v>
      </c>
      <c r="AC31" s="84">
        <v>1185.01458572971</v>
      </c>
      <c r="AD31" s="84">
        <v>1232.7018296774199</v>
      </c>
      <c r="AE31" s="84">
        <v>1270.5212302392699</v>
      </c>
      <c r="AF31" s="84">
        <v>1323.9460061858599</v>
      </c>
      <c r="AG31" s="85">
        <v>4.2733192944048197E-2</v>
      </c>
    </row>
    <row r="32" spans="2:36" ht="15" customHeight="1" x14ac:dyDescent="0.25">
      <c r="B32" s="86" t="s">
        <v>607</v>
      </c>
      <c r="C32" s="92">
        <f t="shared" ref="C32:H32" si="2">IFERROR(C31/C9,"")</f>
        <v>0.17562219969257939</v>
      </c>
      <c r="D32" s="93">
        <f t="shared" si="2"/>
        <v>0.16619607560904395</v>
      </c>
      <c r="E32" s="93">
        <f t="shared" si="2"/>
        <v>0.18100461741749219</v>
      </c>
      <c r="F32" s="93">
        <f t="shared" si="2"/>
        <v>0.17955747726186122</v>
      </c>
      <c r="G32" s="93">
        <f t="shared" si="2"/>
        <v>0.17856538715389342</v>
      </c>
      <c r="H32" s="93">
        <f t="shared" si="2"/>
        <v>0.1792145203623485</v>
      </c>
      <c r="J32" s="94">
        <f>IFERROR(AVERAGE(Model!C294,Model!D294,Model!E294,Model!F294,Model!G294,Model!H294,Model!I294,Model!O294,Model!U294,Model!AA294,Model!AG294,Model!AM294,Model!AS294,Model!AY294,Model!BE294,Model!BK294,Model!BQ294,Model!BW294,Model!CC294,Model!CI294),"")</f>
        <v>0.10310692018659076</v>
      </c>
      <c r="K32" s="94">
        <f>IFERROR(MIN(Model!C294,Model!D294,Model!E294,Model!F294,Model!G294,Model!H294,Model!I294,Model!O294,Model!U294,Model!AA294,Model!AG294,Model!AM294,Model!AS294,Model!AY294,Model!BE294,Model!BK294,Model!BQ294,Model!BW294,Model!CC294,Model!CI294),"")</f>
        <v>3.6282444878593362E-2</v>
      </c>
      <c r="L32" s="94">
        <f>IFERROR(MAX(Model!C294,Model!D294,Model!E294,Model!F294,Model!G294,Model!H294,Model!I294,Model!O294,Model!U294,Model!AA294,Model!AG294,Model!AM294,Model!AS294,Model!AY294,Model!BE294,Model!BK294,Model!BQ294,Model!BW294,Model!CC294,Model!CI294),"")</f>
        <v>0.19544973544973546</v>
      </c>
      <c r="N32" s="86" t="s">
        <v>607</v>
      </c>
      <c r="O32" s="92">
        <v>0.175622199692579</v>
      </c>
      <c r="P32" s="93">
        <v>0.166335152165732</v>
      </c>
      <c r="Q32" s="93">
        <v>0.18113871286633301</v>
      </c>
      <c r="R32" s="93">
        <v>0.17311934850528901</v>
      </c>
      <c r="S32" s="93">
        <v>0.17239687978103499</v>
      </c>
      <c r="T32" s="93">
        <v>0.17299708954479201</v>
      </c>
      <c r="V32" s="94">
        <v>0.103106920186591</v>
      </c>
      <c r="W32" s="94">
        <v>3.6282444878593403E-2</v>
      </c>
      <c r="X32" s="94">
        <v>0.19544973544973501</v>
      </c>
      <c r="Z32" s="86" t="s">
        <v>607</v>
      </c>
      <c r="AA32" s="92">
        <v>0.175622199692579</v>
      </c>
      <c r="AB32" s="93">
        <v>0.16549499296672099</v>
      </c>
      <c r="AC32" s="93">
        <v>0.17313177016110701</v>
      </c>
      <c r="AD32" s="93">
        <v>0.17436368455078599</v>
      </c>
      <c r="AE32" s="93">
        <v>0.17347434563466099</v>
      </c>
      <c r="AF32" s="93">
        <v>0.174433242223969</v>
      </c>
      <c r="AH32" s="94">
        <v>0.103106920186591</v>
      </c>
      <c r="AI32" s="94">
        <v>3.6282444878593403E-2</v>
      </c>
      <c r="AJ32" s="94">
        <v>0.19544973544973501</v>
      </c>
    </row>
    <row r="33" spans="2:36" ht="15" customHeight="1" x14ac:dyDescent="0.25">
      <c r="B33" s="86" t="s">
        <v>608</v>
      </c>
      <c r="C33" s="103">
        <f t="shared" ref="C33:H33" si="3">IFERROR(C31/C21,"")</f>
        <v>22.658227848101266</v>
      </c>
      <c r="D33" s="104">
        <f t="shared" si="3"/>
        <v>23.705632628186869</v>
      </c>
      <c r="E33" s="104">
        <f t="shared" si="3"/>
        <v>28.178176503656246</v>
      </c>
      <c r="F33" s="104">
        <f t="shared" si="3"/>
        <v>31.499282545641297</v>
      </c>
      <c r="G33" s="104">
        <f t="shared" si="3"/>
        <v>34.864957259835883</v>
      </c>
      <c r="H33" s="104">
        <f t="shared" si="3"/>
        <v>38.955555891574605</v>
      </c>
      <c r="N33" s="86" t="s">
        <v>608</v>
      </c>
      <c r="O33" s="103">
        <v>22.658227848101301</v>
      </c>
      <c r="P33" s="104">
        <v>23.8028777591108</v>
      </c>
      <c r="Q33" s="104">
        <v>29.772563203031002</v>
      </c>
      <c r="R33" s="104">
        <v>33.720459007521399</v>
      </c>
      <c r="S33" s="104">
        <v>38.723145876300201</v>
      </c>
      <c r="T33" s="104">
        <v>44.748277945921899</v>
      </c>
      <c r="Z33" s="86" t="s">
        <v>608</v>
      </c>
      <c r="AA33" s="103">
        <v>22.658227848101301</v>
      </c>
      <c r="AB33" s="104">
        <v>23.6056326281869</v>
      </c>
      <c r="AC33" s="104">
        <v>25.763009617881298</v>
      </c>
      <c r="AD33" s="104">
        <v>27.7915572932842</v>
      </c>
      <c r="AE33" s="104">
        <v>29.3412564784567</v>
      </c>
      <c r="AF33" s="104">
        <v>31.327021041167399</v>
      </c>
    </row>
    <row r="34" spans="2:36" ht="15" customHeight="1" x14ac:dyDescent="0.25">
      <c r="B34" s="86" t="s">
        <v>609</v>
      </c>
      <c r="E34" s="95" t="str">
        <f>IFERROR(E33/E$27,"")</f>
        <v/>
      </c>
      <c r="F34" s="95" t="str">
        <f>IFERROR(F33/F$27,"")</f>
        <v/>
      </c>
      <c r="G34" s="95">
        <f>IFERROR(G33/G$27,"")</f>
        <v>4.3081598759418277E-2</v>
      </c>
      <c r="H34" s="95">
        <f>IFERROR(H33/H$27,"")</f>
        <v>4.2855103214627446E-2</v>
      </c>
      <c r="N34" s="86" t="s">
        <v>609</v>
      </c>
      <c r="Q34" s="95" t="str">
        <f>IFERROR(Q33/Q$27,"")</f>
        <v/>
      </c>
      <c r="R34" s="95" t="str">
        <f>IFERROR(R33/R$27,"")</f>
        <v/>
      </c>
      <c r="S34" s="95">
        <f>IFERROR(S33/S$27,"")</f>
        <v>3.8403119175192159E-2</v>
      </c>
      <c r="T34" s="95">
        <f>IFERROR(T33/T$27,"")</f>
        <v>3.8438612513430774E-2</v>
      </c>
      <c r="Z34" s="86" t="s">
        <v>609</v>
      </c>
      <c r="AC34" s="95" t="str">
        <f>IFERROR(AC33/AC$27,"")</f>
        <v/>
      </c>
      <c r="AD34" s="95">
        <f>IFERROR(AD33/AD$27,"")</f>
        <v>5.78465890513414E-2</v>
      </c>
      <c r="AE34" s="95">
        <f>IFERROR(AE33/AE$27,"")</f>
        <v>5.7376577452293721E-2</v>
      </c>
      <c r="AF34" s="95">
        <f>IFERROR(AF33/AF$27,"")</f>
        <v>5.6727932181565278E-2</v>
      </c>
    </row>
    <row r="35" spans="2:36" ht="15" customHeight="1" x14ac:dyDescent="0.25">
      <c r="B35" s="82" t="s">
        <v>558</v>
      </c>
      <c r="C35" s="83">
        <f>Model!CI211</f>
        <v>1503.9999999999998</v>
      </c>
      <c r="D35" s="84">
        <f>Model!CO211</f>
        <v>1635.4590769316264</v>
      </c>
      <c r="E35" s="84">
        <f>Model!CP211</f>
        <v>1827.4646245036608</v>
      </c>
      <c r="F35" s="84">
        <f>Model!CQ211</f>
        <v>2019.9556278990472</v>
      </c>
      <c r="G35" s="84">
        <f>Model!CR211</f>
        <v>2224.438360068355</v>
      </c>
      <c r="H35" s="84">
        <f>Model!CS211</f>
        <v>2444.7772354200833</v>
      </c>
      <c r="I35" s="85">
        <f>IFERROR((H35/C35)^(1/5)-1,"n/m")</f>
        <v>0.1020423681603424</v>
      </c>
      <c r="N35" s="82" t="s">
        <v>558</v>
      </c>
      <c r="O35" s="83">
        <v>1504</v>
      </c>
      <c r="P35" s="84">
        <v>1636.6436349555499</v>
      </c>
      <c r="Q35" s="84">
        <v>1972.2967531587301</v>
      </c>
      <c r="R35" s="84">
        <v>2280.2104908645501</v>
      </c>
      <c r="S35" s="84">
        <v>2612.2382273918902</v>
      </c>
      <c r="T35" s="84">
        <v>2974.0961692361602</v>
      </c>
      <c r="U35" s="85">
        <v>0.14609715447746599</v>
      </c>
      <c r="Z35" s="82" t="s">
        <v>558</v>
      </c>
      <c r="AA35" s="83">
        <v>1504</v>
      </c>
      <c r="AB35" s="84">
        <v>1629.4877393520101</v>
      </c>
      <c r="AC35" s="84">
        <v>1610.5861663851199</v>
      </c>
      <c r="AD35" s="84">
        <v>1694.0501113632799</v>
      </c>
      <c r="AE35" s="84">
        <v>1781.22315075549</v>
      </c>
      <c r="AF35" s="84">
        <v>1874.4177262857499</v>
      </c>
      <c r="AG35" s="85">
        <v>4.50178513859847E-2</v>
      </c>
    </row>
    <row r="36" spans="2:36" ht="15" customHeight="1" x14ac:dyDescent="0.25">
      <c r="B36" s="86" t="s">
        <v>610</v>
      </c>
      <c r="C36" s="92">
        <f t="shared" ref="C36:H36" si="4">IFERROR(C35/C9,"")</f>
        <v>0.24593648821009254</v>
      </c>
      <c r="D36" s="93">
        <f t="shared" si="4"/>
        <v>0.24460628716077656</v>
      </c>
      <c r="E36" s="93">
        <f t="shared" si="4"/>
        <v>0.25452172240486115</v>
      </c>
      <c r="F36" s="93">
        <f t="shared" si="4"/>
        <v>0.25727182333993648</v>
      </c>
      <c r="G36" s="93">
        <f t="shared" si="4"/>
        <v>0.25931003112940326</v>
      </c>
      <c r="H36" s="93">
        <f t="shared" si="4"/>
        <v>0.26162442862049096</v>
      </c>
      <c r="J36" s="94">
        <f>IFERROR(AVERAGE(Model!C257,Model!D257,Model!E257,Model!F257,Model!G257,Model!H257,Model!I257,Model!O257,Model!U257,Model!AA257,Model!AG257,Model!AM257,Model!AS257,Model!AY257,Model!BE257,Model!BK257,Model!BQ257,Model!BW257,Model!CC257,Model!CI257),"")</f>
        <v>0.17677598638345765</v>
      </c>
      <c r="K36" s="94">
        <f>IFERROR(MIN(Model!C257,Model!D257,Model!E257,Model!F257,Model!G257,Model!H257,Model!I257,Model!O257,Model!U257,Model!AA257,Model!AG257,Model!AM257,Model!AS257,Model!AY257,Model!BE257,Model!BK257,Model!BQ257,Model!BW257,Model!CC257,Model!CI257),"")</f>
        <v>0.11310354451576893</v>
      </c>
      <c r="L36" s="94">
        <f>IFERROR(MAX(Model!C257,Model!D257,Model!E257,Model!F257,Model!G257,Model!H257,Model!I257,Model!O257,Model!U257,Model!AA257,Model!AG257,Model!AM257,Model!AS257,Model!AY257,Model!BE257,Model!BK257,Model!BQ257,Model!BW257,Model!CC257,Model!CI257),"")</f>
        <v>0.24593648821009254</v>
      </c>
      <c r="N36" s="86" t="s">
        <v>610</v>
      </c>
      <c r="O36" s="92">
        <v>0.24593648821009301</v>
      </c>
      <c r="P36" s="93">
        <v>0.244783454748915</v>
      </c>
      <c r="Q36" s="93">
        <v>0.263316499981191</v>
      </c>
      <c r="R36" s="93">
        <v>0.26399941875634803</v>
      </c>
      <c r="S36" s="93">
        <v>0.26436603888839499</v>
      </c>
      <c r="T36" s="93">
        <v>0.26531809347450902</v>
      </c>
      <c r="V36" s="94">
        <v>0.17677598638345801</v>
      </c>
      <c r="W36" s="94">
        <v>0.113103544515769</v>
      </c>
      <c r="X36" s="94">
        <v>0.24593648821009301</v>
      </c>
      <c r="Z36" s="86" t="s">
        <v>610</v>
      </c>
      <c r="AA36" s="92">
        <v>0.24593648821009301</v>
      </c>
      <c r="AB36" s="93">
        <v>0.243713188253359</v>
      </c>
      <c r="AC36" s="93">
        <v>0.23530818720812599</v>
      </c>
      <c r="AD36" s="93">
        <v>0.23962065450025999</v>
      </c>
      <c r="AE36" s="93">
        <v>0.24320453145708301</v>
      </c>
      <c r="AF36" s="93">
        <v>0.24695928667063999</v>
      </c>
      <c r="AH36" s="94">
        <v>0.17677598638345801</v>
      </c>
      <c r="AI36" s="94">
        <v>0.113103544515769</v>
      </c>
      <c r="AJ36" s="94">
        <v>0.24593648821009301</v>
      </c>
    </row>
    <row r="38" spans="2:36" ht="15" customHeight="1" x14ac:dyDescent="0.25">
      <c r="B38" s="82" t="s">
        <v>611</v>
      </c>
      <c r="C38" s="83">
        <f>Model!CI426</f>
        <v>2123</v>
      </c>
      <c r="D38" s="84">
        <f>Model!CO426</f>
        <v>1023.2984705537406</v>
      </c>
      <c r="E38" s="84">
        <f>Model!CP426</f>
        <v>1827.4646245036611</v>
      </c>
      <c r="F38" s="84">
        <f>Model!CQ426</f>
        <v>2019.9556278990467</v>
      </c>
      <c r="G38" s="84">
        <f>Model!CR426</f>
        <v>2224.438360068355</v>
      </c>
      <c r="H38" s="84">
        <f>Model!CS426</f>
        <v>2444.7772354200833</v>
      </c>
      <c r="N38" s="82" t="s">
        <v>611</v>
      </c>
      <c r="O38" s="83">
        <v>2123</v>
      </c>
      <c r="P38" s="84">
        <v>1272.3685925049599</v>
      </c>
      <c r="Q38" s="84">
        <v>2958.4451297380901</v>
      </c>
      <c r="R38" s="84">
        <v>3420.31573629682</v>
      </c>
      <c r="S38" s="84">
        <v>3918.3573410878298</v>
      </c>
      <c r="T38" s="84">
        <v>4461.1442538542397</v>
      </c>
      <c r="Z38" s="82" t="s">
        <v>611</v>
      </c>
      <c r="AA38" s="83">
        <v>2123</v>
      </c>
      <c r="AB38" s="84">
        <v>1027.9859705537399</v>
      </c>
      <c r="AC38" s="84">
        <v>1610.5861663851199</v>
      </c>
      <c r="AD38" s="84">
        <v>1694.0501113632799</v>
      </c>
      <c r="AE38" s="84">
        <v>1781.22315075549</v>
      </c>
      <c r="AF38" s="84">
        <v>1874.4177262857499</v>
      </c>
    </row>
    <row r="39" spans="2:36" ht="15" customHeight="1" x14ac:dyDescent="0.25">
      <c r="B39" s="86" t="s">
        <v>612</v>
      </c>
      <c r="C39" s="105">
        <f t="shared" ref="C39:H39" si="5">IFERROR(C38/C35,"")</f>
        <v>1.4115691489361704</v>
      </c>
      <c r="D39" s="106">
        <f t="shared" si="5"/>
        <v>0.62569494094196865</v>
      </c>
      <c r="E39" s="106">
        <f t="shared" si="5"/>
        <v>1.0000000000000002</v>
      </c>
      <c r="F39" s="106">
        <f t="shared" si="5"/>
        <v>0.99999999999999978</v>
      </c>
      <c r="G39" s="106">
        <f t="shared" si="5"/>
        <v>1</v>
      </c>
      <c r="H39" s="106">
        <f t="shared" si="5"/>
        <v>1</v>
      </c>
      <c r="N39" s="86" t="s">
        <v>612</v>
      </c>
      <c r="O39" s="105">
        <v>1.4115691489361699</v>
      </c>
      <c r="P39" s="106">
        <v>0.77742555882638198</v>
      </c>
      <c r="Q39" s="106">
        <v>1.5</v>
      </c>
      <c r="R39" s="106">
        <v>1.5</v>
      </c>
      <c r="S39" s="106">
        <v>1.5</v>
      </c>
      <c r="T39" s="106">
        <v>1.5</v>
      </c>
      <c r="Z39" s="86" t="s">
        <v>612</v>
      </c>
      <c r="AA39" s="105">
        <v>1.4115691489361699</v>
      </c>
      <c r="AB39" s="106">
        <v>0.63086450160253105</v>
      </c>
      <c r="AC39" s="106">
        <v>1</v>
      </c>
      <c r="AD39" s="106">
        <v>1</v>
      </c>
      <c r="AE39" s="106">
        <v>1</v>
      </c>
      <c r="AF39" s="106">
        <v>1</v>
      </c>
    </row>
    <row r="41" spans="2:36" ht="15" customHeight="1" x14ac:dyDescent="0.25">
      <c r="B41" s="82" t="s">
        <v>613</v>
      </c>
      <c r="C41" s="90">
        <f>Model!CI406</f>
        <v>8.9368680533320741E-2</v>
      </c>
      <c r="D41" s="91">
        <f>Model!CO406</f>
        <v>9.473015791800804E-2</v>
      </c>
      <c r="E41" s="91">
        <f>Model!CP406</f>
        <v>9.958477100357746E-2</v>
      </c>
      <c r="F41" s="91">
        <f>Model!CQ406</f>
        <v>0.10342746547823359</v>
      </c>
      <c r="G41" s="91">
        <f>Model!CR406</f>
        <v>0.10725735053454949</v>
      </c>
      <c r="H41" s="91">
        <f>Model!CS406</f>
        <v>0.11131317882595837</v>
      </c>
      <c r="J41" s="94">
        <f>IFERROR(AVERAGE(Model!C406,Model!D406,Model!E406,Model!F406,Model!G406,Model!H406,Model!I406,Model!O406,Model!U406,Model!AA406,Model!AG406,Model!AM406,Model!AS406,Model!AY406,Model!BE406,Model!BK406,Model!BQ406,Model!BW406,Model!CC406,Model!CI406),"")</f>
        <v>0.12004492369600814</v>
      </c>
      <c r="K41" s="94">
        <f>IFERROR(MIN(Model!C406,Model!D406,Model!E406,Model!F406,Model!G406,Model!H406,Model!I406,Model!O406,Model!U406,Model!AA406,Model!AG406,Model!AM406,Model!AS406,Model!AY406,Model!BE406,Model!BK406,Model!BQ406,Model!BW406,Model!CC406,Model!CI406),"")</f>
        <v>7.2912591223669998E-2</v>
      </c>
      <c r="L41" s="94">
        <f>IFERROR(MAX(Model!C406,Model!D406,Model!E406,Model!F406,Model!G406,Model!H406,Model!I406,Model!O406,Model!U406,Model!AA406,Model!AG406,Model!AM406,Model!AS406,Model!AY406,Model!BE406,Model!BK406,Model!BQ406,Model!BW406,Model!CC406,Model!CI406),"")</f>
        <v>0.17057143140640169</v>
      </c>
      <c r="N41" s="82" t="s">
        <v>613</v>
      </c>
      <c r="O41" s="90">
        <v>8.9368680533320699E-2</v>
      </c>
      <c r="P41" s="91">
        <v>9.48038332717729E-2</v>
      </c>
      <c r="Q41" s="91">
        <v>0.10174979421951</v>
      </c>
      <c r="R41" s="91">
        <v>0.105261191207545</v>
      </c>
      <c r="S41" s="91">
        <v>0.109099923366947</v>
      </c>
      <c r="T41" s="91">
        <v>0.113445621513405</v>
      </c>
      <c r="V41" s="94">
        <v>0.120044923696008</v>
      </c>
      <c r="W41" s="94">
        <v>7.2912591223669998E-2</v>
      </c>
      <c r="X41" s="94">
        <v>0.17057143140640199</v>
      </c>
      <c r="Z41" s="82" t="s">
        <v>613</v>
      </c>
      <c r="AA41" s="90">
        <v>8.9368680533320699E-2</v>
      </c>
      <c r="AB41" s="91">
        <v>9.4358765448016996E-2</v>
      </c>
      <c r="AC41" s="91">
        <v>9.0856829446108595E-2</v>
      </c>
      <c r="AD41" s="91">
        <v>9.3379181360892696E-2</v>
      </c>
      <c r="AE41" s="91">
        <v>9.5730450551023E-2</v>
      </c>
      <c r="AF41" s="91">
        <v>9.8122886304015999E-2</v>
      </c>
      <c r="AH41" s="94">
        <v>0.120044923696008</v>
      </c>
      <c r="AI41" s="94">
        <v>7.2912591223669998E-2</v>
      </c>
      <c r="AJ41" s="94">
        <v>0.17057143140640199</v>
      </c>
    </row>
    <row r="42" spans="2:36" ht="15" customHeight="1" x14ac:dyDescent="0.25">
      <c r="B42" s="82" t="s">
        <v>614</v>
      </c>
      <c r="C42" s="90">
        <f>Model!CI418</f>
        <v>0.36576728819520687</v>
      </c>
      <c r="D42" s="91">
        <f>Model!CO418</f>
        <v>0.30983055419173761</v>
      </c>
      <c r="E42" s="91">
        <f>Model!CP418</f>
        <v>0.40811295281167498</v>
      </c>
      <c r="F42" s="91">
        <f>Model!CQ418</f>
        <v>0.43874808299821272</v>
      </c>
      <c r="G42" s="91">
        <f>Model!CR418</f>
        <v>0.4695488581359572</v>
      </c>
      <c r="H42" s="91">
        <f>Model!CS418</f>
        <v>0.49969958648061996</v>
      </c>
      <c r="J42" s="94">
        <f>IFERROR(AVERAGE(Model!C418,Model!D418,Model!E418,Model!F418,Model!G418,Model!H418,Model!I418,Model!O418,Model!U418,Model!AA418,Model!AG418,Model!AM418,Model!AS418,Model!AY418,Model!BE418,Model!BK418,Model!BQ418,Model!BW418,Model!CC418,Model!CI418),"")</f>
        <v>0.28276513987442464</v>
      </c>
      <c r="K42" s="94">
        <f>IFERROR(MIN(Model!C418,Model!D418,Model!E418,Model!F418,Model!G418,Model!H418,Model!I418,Model!O418,Model!U418,Model!AA418,Model!AG418,Model!AM418,Model!AS418,Model!AY418,Model!BE418,Model!BK418,Model!BQ418,Model!BW418,Model!CC418,Model!CI418),"")</f>
        <v>0.1958864114851287</v>
      </c>
      <c r="L42" s="94">
        <f>IFERROR(MAX(Model!C418,Model!D418,Model!E418,Model!F418,Model!G418,Model!H418,Model!I418,Model!O418,Model!U418,Model!AA418,Model!AG418,Model!AM418,Model!AS418,Model!AY418,Model!BE418,Model!BK418,Model!BQ418,Model!BW418,Model!CC418,Model!CI418),"")</f>
        <v>0.37213016868544602</v>
      </c>
      <c r="N42" s="82" t="s">
        <v>614</v>
      </c>
      <c r="O42" s="90">
        <v>0.36576728819520699</v>
      </c>
      <c r="P42" s="91">
        <v>0.33150542166248897</v>
      </c>
      <c r="Q42" s="91">
        <v>0.43509612712823098</v>
      </c>
      <c r="R42" s="91">
        <v>0.47863413582115799</v>
      </c>
      <c r="S42" s="91">
        <v>0.52173752683152097</v>
      </c>
      <c r="T42" s="91">
        <v>0.56329798612600002</v>
      </c>
      <c r="V42" s="94">
        <v>0.28276513987442498</v>
      </c>
      <c r="W42" s="94">
        <v>0.195886411485129</v>
      </c>
      <c r="X42" s="94">
        <v>0.37213016868544602</v>
      </c>
      <c r="Z42" s="82" t="s">
        <v>614</v>
      </c>
      <c r="AA42" s="90">
        <v>0.36576728819520699</v>
      </c>
      <c r="AB42" s="91">
        <v>0.30899184487676301</v>
      </c>
      <c r="AC42" s="91">
        <v>0.35038685401472103</v>
      </c>
      <c r="AD42" s="91">
        <v>0.37586289928924399</v>
      </c>
      <c r="AE42" s="91">
        <v>0.39611394737070499</v>
      </c>
      <c r="AF42" s="91">
        <v>0.412277909620898</v>
      </c>
      <c r="AH42" s="94">
        <v>0.28276513987442498</v>
      </c>
      <c r="AI42" s="94">
        <v>0.195886411485129</v>
      </c>
      <c r="AJ42" s="94">
        <v>0.37213016868544602</v>
      </c>
    </row>
    <row r="44" spans="2:36" ht="15" customHeight="1" x14ac:dyDescent="0.25">
      <c r="B44" s="86" t="s">
        <v>615</v>
      </c>
      <c r="E44" s="108">
        <f>E27*E21</f>
        <v>0</v>
      </c>
      <c r="F44" s="108">
        <f>F27*F21</f>
        <v>0</v>
      </c>
      <c r="G44" s="108">
        <f>G27*G21</f>
        <v>35555.478412356875</v>
      </c>
      <c r="H44" s="108">
        <f>H27*H21</f>
        <v>39077.938849402926</v>
      </c>
      <c r="N44" s="86" t="s">
        <v>615</v>
      </c>
      <c r="Q44" s="108">
        <f>Q27*Q21</f>
        <v>0</v>
      </c>
      <c r="R44" s="108">
        <f>R27*R21</f>
        <v>0</v>
      </c>
      <c r="S44" s="108">
        <f>S27*S21</f>
        <v>44357.801993972629</v>
      </c>
      <c r="T44" s="108">
        <f>T27*T21</f>
        <v>50449.774984267024</v>
      </c>
      <c r="Z44" s="86" t="s">
        <v>615</v>
      </c>
      <c r="AC44" s="108">
        <f>AC27*AC21</f>
        <v>0</v>
      </c>
      <c r="AD44" s="108">
        <f>AD27*AD21</f>
        <v>21309.844709829766</v>
      </c>
      <c r="AE44" s="108">
        <f>AE27*AE21</f>
        <v>22143.552066967637</v>
      </c>
      <c r="AF44" s="108">
        <f>AF27*AF21</f>
        <v>23338.520465515929</v>
      </c>
    </row>
    <row r="45" spans="2:36" ht="15" customHeight="1" x14ac:dyDescent="0.25">
      <c r="B45" s="86" t="s">
        <v>616</v>
      </c>
      <c r="E45" s="108">
        <f>E38+Model!CP436</f>
        <v>1827.4646245036611</v>
      </c>
      <c r="F45" s="108">
        <f>F38+Model!CQ436</f>
        <v>2019.9556278990467</v>
      </c>
      <c r="G45" s="108">
        <f>G38+Model!CR436</f>
        <v>2224.438360068355</v>
      </c>
      <c r="H45" s="108">
        <f>H38+Model!CS436</f>
        <v>2444.7772354200833</v>
      </c>
      <c r="N45" s="86" t="s">
        <v>616</v>
      </c>
      <c r="Q45" s="108">
        <f>Q38+Model!CP436</f>
        <v>2958.4451297380901</v>
      </c>
      <c r="R45" s="108">
        <f>R38+Model!CQ436</f>
        <v>3420.31573629682</v>
      </c>
      <c r="S45" s="108">
        <f>S38+Model!CR436</f>
        <v>3918.3573410878298</v>
      </c>
      <c r="T45" s="108">
        <f>T38+Model!CS436</f>
        <v>4461.1442538542397</v>
      </c>
      <c r="Z45" s="86" t="s">
        <v>616</v>
      </c>
      <c r="AC45" s="108">
        <f>AC38+Model!CP436</f>
        <v>1610.5861663851199</v>
      </c>
      <c r="AD45" s="108">
        <f>AD38+Model!CQ436</f>
        <v>1694.0501113632799</v>
      </c>
      <c r="AE45" s="108">
        <f>AE38+Model!CR436</f>
        <v>1781.22315075549</v>
      </c>
      <c r="AF45" s="108">
        <f>AF38+Model!CS436</f>
        <v>1874.4177262857499</v>
      </c>
    </row>
    <row r="46" spans="2:36" ht="15" customHeight="1" x14ac:dyDescent="0.25">
      <c r="B46" s="86" t="s">
        <v>617</v>
      </c>
      <c r="E46" s="108">
        <f>E44+E45</f>
        <v>1827.4646245036611</v>
      </c>
      <c r="F46" s="108">
        <f>F44+F45</f>
        <v>2019.9556278990467</v>
      </c>
      <c r="G46" s="108">
        <f>G44+G45</f>
        <v>37779.916772425233</v>
      </c>
      <c r="H46" s="108">
        <f>H44+H45</f>
        <v>41522.716084823012</v>
      </c>
      <c r="N46" s="86" t="s">
        <v>617</v>
      </c>
      <c r="Q46" s="108">
        <f>Q44+Q45</f>
        <v>2958.4451297380901</v>
      </c>
      <c r="R46" s="108">
        <f>R44+R45</f>
        <v>3420.31573629682</v>
      </c>
      <c r="S46" s="108">
        <f>S44+S45</f>
        <v>48276.15933506046</v>
      </c>
      <c r="T46" s="108">
        <f>T44+T45</f>
        <v>54910.919238121263</v>
      </c>
      <c r="Z46" s="86" t="s">
        <v>617</v>
      </c>
      <c r="AC46" s="108">
        <f>AC44+AC45</f>
        <v>1610.5861663851199</v>
      </c>
      <c r="AD46" s="108">
        <f>AD44+AD45</f>
        <v>23003.894821193047</v>
      </c>
      <c r="AE46" s="108">
        <f>AE44+AE45</f>
        <v>23924.775217723127</v>
      </c>
      <c r="AF46" s="108">
        <f>AF44+AF45</f>
        <v>25212.938191801677</v>
      </c>
    </row>
    <row r="47" spans="2:36" ht="15" customHeight="1" x14ac:dyDescent="0.25">
      <c r="B47" s="86" t="s">
        <v>618</v>
      </c>
      <c r="E47" s="107">
        <f>IFERROR(E46/E35,"")</f>
        <v>1.0000000000000002</v>
      </c>
      <c r="F47" s="107">
        <f>IFERROR(F46/F35,"")</f>
        <v>0.99999999999999978</v>
      </c>
      <c r="G47" s="107">
        <f>IFERROR(G46/G35,"")</f>
        <v>16.984025024305144</v>
      </c>
      <c r="H47" s="107">
        <f>IFERROR(H46/H35,"")</f>
        <v>16.984253404866234</v>
      </c>
      <c r="N47" s="86" t="s">
        <v>618</v>
      </c>
      <c r="Q47" s="107">
        <f>IFERROR(Q46/Q35,"")</f>
        <v>1.4999999999999976</v>
      </c>
      <c r="R47" s="107">
        <f>IFERROR(R46/R35,"")</f>
        <v>1.4999999999999978</v>
      </c>
      <c r="S47" s="107">
        <f>IFERROR(S46/S35,"")</f>
        <v>18.480764437499378</v>
      </c>
      <c r="T47" s="107">
        <f>IFERROR(T46/T35,"")</f>
        <v>18.463061082595754</v>
      </c>
      <c r="Z47" s="86" t="s">
        <v>618</v>
      </c>
      <c r="AC47" s="107">
        <f>IFERROR(AC46/AC35,"")</f>
        <v>1</v>
      </c>
      <c r="AD47" s="107">
        <f>IFERROR(AD46/AD35,"")</f>
        <v>13.579229248821191</v>
      </c>
      <c r="AE47" s="107">
        <f>IFERROR(AE46/AE35,"")</f>
        <v>13.431655212641743</v>
      </c>
      <c r="AF47" s="107">
        <f>IFERROR(AF46/AF35,"")</f>
        <v>13.451077547032348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16"/>
  <sheetViews>
    <sheetView topLeftCell="A62" zoomScale="50" zoomScaleNormal="50" workbookViewId="0">
      <selection activeCell="C84" sqref="C84"/>
    </sheetView>
  </sheetViews>
  <sheetFormatPr defaultColWidth="8.5703125" defaultRowHeight="15" x14ac:dyDescent="0.25"/>
  <cols>
    <col min="1" max="1" width="10.5703125" customWidth="1"/>
    <col min="2" max="2" width="50" customWidth="1"/>
    <col min="3" max="14" width="12.5703125" customWidth="1"/>
    <col min="16" max="17" width="13.28515625" customWidth="1"/>
  </cols>
  <sheetData>
    <row r="2" spans="2:4" ht="17.25" customHeight="1" x14ac:dyDescent="0.3">
      <c r="B2" s="109" t="s">
        <v>619</v>
      </c>
    </row>
    <row r="4" spans="2:4" ht="15" customHeight="1" x14ac:dyDescent="0.25">
      <c r="B4" s="17" t="s">
        <v>620</v>
      </c>
    </row>
    <row r="5" spans="2:4" ht="15" customHeight="1" x14ac:dyDescent="0.25">
      <c r="B5" s="12" t="s">
        <v>621</v>
      </c>
      <c r="C5" s="110">
        <v>5.5E-2</v>
      </c>
      <c r="D5" s="4" t="s">
        <v>622</v>
      </c>
    </row>
    <row r="6" spans="2:4" ht="15" customHeight="1" x14ac:dyDescent="0.25">
      <c r="B6" s="12" t="s">
        <v>623</v>
      </c>
      <c r="C6" s="110">
        <v>0.05</v>
      </c>
      <c r="D6" s="4" t="s">
        <v>624</v>
      </c>
    </row>
    <row r="7" spans="2:4" ht="15" customHeight="1" x14ac:dyDescent="0.25">
      <c r="B7" s="12" t="s">
        <v>625</v>
      </c>
      <c r="C7" s="111">
        <v>1</v>
      </c>
      <c r="D7" s="4" t="s">
        <v>626</v>
      </c>
    </row>
    <row r="8" spans="2:4" ht="15" customHeight="1" x14ac:dyDescent="0.25">
      <c r="B8" s="12" t="s">
        <v>627</v>
      </c>
      <c r="C8" s="112">
        <f>C5+C7*C6</f>
        <v>0.10500000000000001</v>
      </c>
    </row>
    <row r="9" spans="2:4" ht="15" customHeight="1" x14ac:dyDescent="0.25">
      <c r="B9" s="12" t="s">
        <v>628</v>
      </c>
      <c r="C9" s="110">
        <v>4.7500000000000001E-2</v>
      </c>
      <c r="D9" s="4" t="s">
        <v>629</v>
      </c>
    </row>
    <row r="10" spans="2:4" ht="15" customHeight="1" x14ac:dyDescent="0.25">
      <c r="B10" s="12" t="s">
        <v>630</v>
      </c>
      <c r="C10" s="110">
        <v>0.215</v>
      </c>
      <c r="D10" s="4" t="s">
        <v>631</v>
      </c>
    </row>
    <row r="11" spans="2:4" ht="15" customHeight="1" x14ac:dyDescent="0.25">
      <c r="B11" s="12" t="s">
        <v>632</v>
      </c>
      <c r="C11" s="112">
        <f>C9*(1-C10)</f>
        <v>3.7287500000000001E-2</v>
      </c>
    </row>
    <row r="12" spans="2:4" ht="15" customHeight="1" x14ac:dyDescent="0.25">
      <c r="B12" s="12" t="s">
        <v>633</v>
      </c>
      <c r="C12" s="110">
        <v>0.2</v>
      </c>
      <c r="D12" s="4" t="s">
        <v>634</v>
      </c>
    </row>
    <row r="13" spans="2:4" ht="15" customHeight="1" x14ac:dyDescent="0.25">
      <c r="B13" s="77" t="s">
        <v>635</v>
      </c>
      <c r="C13" s="113">
        <f>C8*(1-C12)+C11*C12</f>
        <v>9.1457500000000025E-2</v>
      </c>
    </row>
    <row r="15" spans="2:4" ht="15" customHeight="1" x14ac:dyDescent="0.25">
      <c r="B15" t="s">
        <v>636</v>
      </c>
      <c r="C15" s="75">
        <f ca="1">TODAY()</f>
        <v>46299</v>
      </c>
      <c r="D15" s="4" t="s">
        <v>637</v>
      </c>
    </row>
    <row r="16" spans="2:4" ht="15" customHeight="1" x14ac:dyDescent="0.25">
      <c r="B16" s="17" t="s">
        <v>638</v>
      </c>
    </row>
    <row r="17" spans="2:17" ht="15" customHeight="1" x14ac:dyDescent="0.25">
      <c r="D17" s="11" t="s">
        <v>78</v>
      </c>
      <c r="E17" s="11" t="s">
        <v>79</v>
      </c>
      <c r="F17" s="11" t="s">
        <v>80</v>
      </c>
      <c r="G17" s="11" t="s">
        <v>81</v>
      </c>
      <c r="H17" s="11" t="s">
        <v>82</v>
      </c>
      <c r="I17" s="11" t="s">
        <v>639</v>
      </c>
      <c r="J17" s="11" t="s">
        <v>640</v>
      </c>
      <c r="K17" s="11" t="s">
        <v>641</v>
      </c>
      <c r="L17" s="11" t="s">
        <v>642</v>
      </c>
      <c r="M17" s="11" t="s">
        <v>643</v>
      </c>
      <c r="N17" s="11" t="s">
        <v>644</v>
      </c>
      <c r="P17" s="11" t="s">
        <v>760</v>
      </c>
      <c r="Q17" s="11" t="s">
        <v>761</v>
      </c>
    </row>
    <row r="18" spans="2:17" ht="15" customHeight="1" x14ac:dyDescent="0.25">
      <c r="B18" t="s">
        <v>645</v>
      </c>
      <c r="D18" s="114">
        <f>Model!CO200</f>
        <v>1508.726433121019</v>
      </c>
      <c r="E18" s="114">
        <f>Model!CP200</f>
        <v>1677.4547273478622</v>
      </c>
      <c r="F18" s="114">
        <f>Model!CQ200</f>
        <v>1856.8524460866106</v>
      </c>
      <c r="G18" s="114">
        <f>Model!CR200</f>
        <v>2047.1615762416361</v>
      </c>
      <c r="H18" s="114">
        <f>Model!CS200</f>
        <v>2252.5574161850618</v>
      </c>
      <c r="I18" s="115">
        <f>H18*(1+I$31)</f>
        <v>2410.2364353180164</v>
      </c>
      <c r="J18" s="115">
        <f>I18*(1+J$31)</f>
        <v>2566.9018036136872</v>
      </c>
      <c r="K18" s="115">
        <f>J18*(1+K$31)</f>
        <v>2720.9159118305088</v>
      </c>
      <c r="L18" s="115">
        <f>K18*(1+L$31)</f>
        <v>2870.5662869811867</v>
      </c>
      <c r="M18" s="115">
        <f>L18*(1+M$31)</f>
        <v>3014.0946013302464</v>
      </c>
      <c r="P18" s="145">
        <f>IFERROR(($H18/$D18)^(1/(VALUE(LEFT($H$17,4))-VALUE(LEFT($D$17,4))))-1,"n/m")</f>
        <v>0.10539206472590412</v>
      </c>
      <c r="Q18" s="145">
        <f>IFERROR(($M18/$D18)^(1/(VALUE(LEFT($M$17,4))-VALUE(LEFT($D$17,4))))-1,"n/m")</f>
        <v>7.9926111761668972E-2</v>
      </c>
    </row>
    <row r="19" spans="2:17" ht="15" customHeight="1" x14ac:dyDescent="0.25">
      <c r="B19" s="158" t="s">
        <v>759</v>
      </c>
      <c r="C19" s="158"/>
      <c r="D19" s="159"/>
      <c r="E19" s="159">
        <f>IFERROR(E18/D18-1,"")</f>
        <v>0.11183491620664743</v>
      </c>
      <c r="F19" s="159">
        <f>IFERROR(F18/E18-1,"")</f>
        <v>0.10694638478999963</v>
      </c>
      <c r="G19" s="159">
        <f>IFERROR(G18/F18-1,"")</f>
        <v>0.10249017392637172</v>
      </c>
      <c r="H19" s="159">
        <f>IFERROR(H18/G18-1,"")</f>
        <v>0.10033201205373832</v>
      </c>
      <c r="I19" s="160">
        <f>IFERROR(I18/H18-1,"")</f>
        <v>7.0000000000000062E-2</v>
      </c>
      <c r="J19" s="160">
        <f>IFERROR(J18/I18-1,"")</f>
        <v>6.4999999999999947E-2</v>
      </c>
      <c r="K19" s="160">
        <f>IFERROR(K18/J18-1,"")</f>
        <v>6.0000000000000053E-2</v>
      </c>
      <c r="L19" s="160">
        <f>IFERROR(L18/K18-1,"")</f>
        <v>5.4999999999999938E-2</v>
      </c>
      <c r="M19" s="160">
        <f>IFERROR(M18/L18-1,"")</f>
        <v>5.0000000000000044E-2</v>
      </c>
      <c r="N19" s="160"/>
    </row>
    <row r="20" spans="2:17" ht="15" customHeight="1" x14ac:dyDescent="0.25">
      <c r="B20" t="s">
        <v>646</v>
      </c>
      <c r="D20" s="114">
        <f>-Model!CO98</f>
        <v>-1.4</v>
      </c>
      <c r="E20" s="114">
        <f>-Model!CP98</f>
        <v>-5</v>
      </c>
      <c r="F20" s="114">
        <f>-Model!CQ98</f>
        <v>-5</v>
      </c>
      <c r="G20" s="114">
        <f>-Model!CR98</f>
        <v>-5</v>
      </c>
      <c r="H20" s="114">
        <f>-Model!CS98</f>
        <v>-5</v>
      </c>
      <c r="I20" s="115">
        <f>H20*(1+I$31)</f>
        <v>-5.3500000000000005</v>
      </c>
      <c r="J20" s="115">
        <f>I20*(1+J$31)</f>
        <v>-5.6977500000000001</v>
      </c>
      <c r="K20" s="115">
        <f>J20*(1+K$31)</f>
        <v>-6.0396150000000004</v>
      </c>
      <c r="L20" s="115">
        <f>K20*(1+L$31)</f>
        <v>-6.3717938250000001</v>
      </c>
      <c r="M20" s="115">
        <f>L20*(1+M$31)</f>
        <v>-6.6903835162500007</v>
      </c>
    </row>
    <row r="21" spans="2:17" ht="15" customHeight="1" x14ac:dyDescent="0.25">
      <c r="B21" t="s">
        <v>647</v>
      </c>
      <c r="D21" s="116">
        <f t="shared" ref="D21:M21" si="0">1-$C$10</f>
        <v>0.78500000000000003</v>
      </c>
      <c r="E21" s="116">
        <f t="shared" si="0"/>
        <v>0.78500000000000003</v>
      </c>
      <c r="F21" s="116">
        <f t="shared" si="0"/>
        <v>0.78500000000000003</v>
      </c>
      <c r="G21" s="116">
        <f t="shared" si="0"/>
        <v>0.78500000000000003</v>
      </c>
      <c r="H21" s="116">
        <f t="shared" si="0"/>
        <v>0.78500000000000003</v>
      </c>
      <c r="I21" s="116">
        <f t="shared" si="0"/>
        <v>0.78500000000000003</v>
      </c>
      <c r="J21" s="116">
        <f t="shared" si="0"/>
        <v>0.78500000000000003</v>
      </c>
      <c r="K21" s="116">
        <f t="shared" si="0"/>
        <v>0.78500000000000003</v>
      </c>
      <c r="L21" s="116">
        <f t="shared" si="0"/>
        <v>0.78500000000000003</v>
      </c>
      <c r="M21" s="116">
        <f t="shared" si="0"/>
        <v>0.78500000000000003</v>
      </c>
    </row>
    <row r="22" spans="2:17" ht="15" customHeight="1" x14ac:dyDescent="0.25">
      <c r="B22" t="s">
        <v>648</v>
      </c>
      <c r="D22" s="115">
        <f t="shared" ref="D22:M22" si="1">(D18+D20)*D21</f>
        <v>1183.2512499999998</v>
      </c>
      <c r="E22" s="115">
        <f t="shared" si="1"/>
        <v>1312.8769609680719</v>
      </c>
      <c r="F22" s="115">
        <f t="shared" si="1"/>
        <v>1453.7041701779895</v>
      </c>
      <c r="G22" s="115">
        <f t="shared" si="1"/>
        <v>1603.0968373496844</v>
      </c>
      <c r="H22" s="115">
        <f t="shared" si="1"/>
        <v>1764.3325717052735</v>
      </c>
      <c r="I22" s="115">
        <f t="shared" si="1"/>
        <v>1887.8358517246431</v>
      </c>
      <c r="J22" s="115">
        <f t="shared" si="1"/>
        <v>2010.5451820867447</v>
      </c>
      <c r="K22" s="115">
        <f t="shared" si="1"/>
        <v>2131.1778930119494</v>
      </c>
      <c r="L22" s="115">
        <f t="shared" si="1"/>
        <v>2248.3926771276065</v>
      </c>
      <c r="M22" s="115">
        <f t="shared" si="1"/>
        <v>2360.8123109839871</v>
      </c>
    </row>
    <row r="23" spans="2:17" ht="15" customHeight="1" x14ac:dyDescent="0.25">
      <c r="B23" t="s">
        <v>649</v>
      </c>
      <c r="D23" s="114">
        <f>Model!CO140</f>
        <v>123.0326438106074</v>
      </c>
      <c r="E23" s="114">
        <f>Model!CP140</f>
        <v>140.00989715579882</v>
      </c>
      <c r="F23" s="114">
        <f>Model!CQ140</f>
        <v>153.10318181243679</v>
      </c>
      <c r="G23" s="114">
        <f>Model!CR140</f>
        <v>167.27678382671883</v>
      </c>
      <c r="H23" s="114">
        <f>Model!CS140</f>
        <v>182.21981923502142</v>
      </c>
      <c r="I23" s="115">
        <f>H23*(1+I$31)</f>
        <v>194.97520658147292</v>
      </c>
      <c r="J23" s="115">
        <f>I23*(1+J$31)</f>
        <v>207.64859500926866</v>
      </c>
      <c r="K23" s="115">
        <f>J23*(1+K$31)</f>
        <v>220.10751070982479</v>
      </c>
      <c r="L23" s="115">
        <f>K23*(1+L$31)</f>
        <v>232.21342379886514</v>
      </c>
      <c r="M23" s="115">
        <f>L23*(1+M$31)</f>
        <v>243.82409498880841</v>
      </c>
    </row>
    <row r="24" spans="2:17" ht="15" customHeight="1" x14ac:dyDescent="0.25">
      <c r="B24" t="s">
        <v>650</v>
      </c>
      <c r="D24" s="114">
        <f>D29</f>
        <v>-125</v>
      </c>
      <c r="E24" s="114">
        <f>E29+Model!CP273</f>
        <v>-893.599894518768</v>
      </c>
      <c r="F24" s="114">
        <f>F29+Model!CQ273</f>
        <v>-1157.0289044230121</v>
      </c>
      <c r="G24" s="114">
        <f>G29+Model!CR273</f>
        <v>-1171.5659321299681</v>
      </c>
      <c r="H24" s="114">
        <f>H29+Model!CS273</f>
        <v>-1186.8921222923298</v>
      </c>
      <c r="I24" s="115">
        <f>I29</f>
        <v>-199.97457085279277</v>
      </c>
      <c r="J24" s="115">
        <f>J29</f>
        <v>-212.97291795822429</v>
      </c>
      <c r="K24" s="115">
        <f>K29</f>
        <v>-225.75129303571777</v>
      </c>
      <c r="L24" s="115">
        <f>L29</f>
        <v>-238.16761415268223</v>
      </c>
      <c r="M24" s="115">
        <f>M29</f>
        <v>-250.07599486031634</v>
      </c>
    </row>
    <row r="25" spans="2:17" ht="15" customHeight="1" x14ac:dyDescent="0.25">
      <c r="B25" t="s">
        <v>651</v>
      </c>
      <c r="D25" s="114">
        <f>Model!CO270</f>
        <v>-97.350979108139541</v>
      </c>
      <c r="E25" s="114">
        <f>Model!CP270</f>
        <v>-62.754195914069442</v>
      </c>
      <c r="F25" s="114">
        <f>Model!CQ270</f>
        <v>-81.757991390292091</v>
      </c>
      <c r="G25" s="114">
        <f>Model!CR270</f>
        <v>-85.945165733320209</v>
      </c>
      <c r="H25" s="114">
        <f>Model!CS270</f>
        <v>-101.48839508756089</v>
      </c>
      <c r="I25" s="115">
        <f>H25*(1+I$31)</f>
        <v>-108.59258274369016</v>
      </c>
      <c r="J25" s="115">
        <f>I25*(1+J$31)</f>
        <v>-115.65110062203001</v>
      </c>
      <c r="K25" s="115">
        <f>J25*(1+K$31)</f>
        <v>-122.59016665935182</v>
      </c>
      <c r="L25" s="115">
        <f>K25*(1+L$31)</f>
        <v>-129.33262582561616</v>
      </c>
      <c r="M25" s="115">
        <f>L25*(1+M$31)</f>
        <v>-135.79925711689697</v>
      </c>
    </row>
    <row r="26" spans="2:17" ht="15" customHeight="1" x14ac:dyDescent="0.25">
      <c r="B26" s="117" t="s">
        <v>652</v>
      </c>
      <c r="D26" s="118">
        <f t="shared" ref="D26:M26" si="2">D22+D23+D24+D25</f>
        <v>1083.9329147024678</v>
      </c>
      <c r="E26" s="118">
        <f t="shared" si="2"/>
        <v>496.53276769103331</v>
      </c>
      <c r="F26" s="118">
        <f t="shared" si="2"/>
        <v>368.02045617712201</v>
      </c>
      <c r="G26" s="118">
        <f t="shared" si="2"/>
        <v>512.86252331311493</v>
      </c>
      <c r="H26" s="118">
        <f t="shared" si="2"/>
        <v>658.17187356040438</v>
      </c>
      <c r="I26" s="118">
        <f t="shared" si="2"/>
        <v>1774.2439047096332</v>
      </c>
      <c r="J26" s="118">
        <f t="shared" si="2"/>
        <v>1889.5697585157591</v>
      </c>
      <c r="K26" s="118">
        <f t="shared" si="2"/>
        <v>2002.9439440267047</v>
      </c>
      <c r="L26" s="118">
        <f t="shared" si="2"/>
        <v>2113.1058609481734</v>
      </c>
      <c r="M26" s="118">
        <f t="shared" si="2"/>
        <v>2218.7611539955824</v>
      </c>
      <c r="N26" s="118">
        <f>M26*(1+$C$32)</f>
        <v>2318.6054059253834</v>
      </c>
      <c r="P26" s="145">
        <f>IFERROR(($H26/$D26)^(1/(VALUE(LEFT($H$17,4))-VALUE(LEFT($D$17,4))))-1,"n/m")</f>
        <v>-0.11725710905467746</v>
      </c>
      <c r="Q26" s="145">
        <f>IFERROR(($M26/$D26)^(1/(VALUE(LEFT($M$17,4))-VALUE(LEFT($D$17,4))))-1,"n/m")</f>
        <v>8.2848183056836167E-2</v>
      </c>
    </row>
    <row r="27" spans="2:17" ht="15" customHeight="1" x14ac:dyDescent="0.25">
      <c r="B27" s="158" t="s">
        <v>759</v>
      </c>
      <c r="C27" s="158"/>
      <c r="D27" s="159"/>
      <c r="E27" s="159">
        <f>IFERROR(E26/D26-1,"")</f>
        <v>-0.54191559186360883</v>
      </c>
      <c r="F27" s="159">
        <f>IFERROR(F26/E26-1,"")</f>
        <v>-0.25881939697860556</v>
      </c>
      <c r="G27" s="159">
        <f>IFERROR(G26/F26-1,"")</f>
        <v>0.39357069615250651</v>
      </c>
      <c r="H27" s="159">
        <f>IFERROR(H26/G26-1,"")</f>
        <v>0.28333002245628025</v>
      </c>
      <c r="I27" s="160">
        <f>IFERROR(I26/H26-1,"")</f>
        <v>1.6957151710415657</v>
      </c>
      <c r="J27" s="160">
        <f>IFERROR(J26/I26-1,"")</f>
        <v>6.4999999999999947E-2</v>
      </c>
      <c r="K27" s="160">
        <f>IFERROR(K26/J26-1,"")</f>
        <v>6.0000000000000053E-2</v>
      </c>
      <c r="L27" s="160">
        <f>IFERROR(L26/K26-1,"")</f>
        <v>5.4999999999999938E-2</v>
      </c>
      <c r="M27" s="160">
        <f>IFERROR(M26/L26-1,"")</f>
        <v>5.0000000000000266E-2</v>
      </c>
      <c r="N27" s="160"/>
    </row>
    <row r="28" spans="2:17" ht="15" customHeight="1" x14ac:dyDescent="0.25">
      <c r="B28" t="s">
        <v>653</v>
      </c>
      <c r="N28" s="118">
        <f>N26/($C$13-$C$32)</f>
        <v>49908.096775017642</v>
      </c>
    </row>
    <row r="29" spans="2:17" ht="15" customHeight="1" x14ac:dyDescent="0.25">
      <c r="B29" s="4" t="s">
        <v>654</v>
      </c>
      <c r="D29" s="114">
        <f>Model!CO272</f>
        <v>-125</v>
      </c>
      <c r="E29" s="114">
        <f>Model!CP272</f>
        <v>-143.59989451876802</v>
      </c>
      <c r="F29" s="114">
        <f>Model!CQ272</f>
        <v>-157.02890442301211</v>
      </c>
      <c r="G29" s="114">
        <f>Model!CR272</f>
        <v>-171.56593212996802</v>
      </c>
      <c r="H29" s="114">
        <f>Model!CS272</f>
        <v>-186.89212229232967</v>
      </c>
      <c r="I29" s="115">
        <f>H29*(1+I$31)</f>
        <v>-199.97457085279277</v>
      </c>
      <c r="J29" s="115">
        <f>I29*(1+J$31)</f>
        <v>-212.97291795822429</v>
      </c>
      <c r="K29" s="115">
        <f>J29*(1+K$31)</f>
        <v>-225.75129303571777</v>
      </c>
      <c r="L29" s="115">
        <f>K29*(1+L$31)</f>
        <v>-238.16761415268223</v>
      </c>
      <c r="M29" s="115">
        <f>L29*(1+M$31)</f>
        <v>-250.07599486031634</v>
      </c>
    </row>
    <row r="31" spans="2:17" ht="15" customHeight="1" x14ac:dyDescent="0.25">
      <c r="B31" t="s">
        <v>655</v>
      </c>
      <c r="I31" s="119">
        <v>7.0000000000000007E-2</v>
      </c>
      <c r="J31" s="143">
        <f>I31+($M$31-$I$31)/(COLUMNS($I$31:$M$31)-1)</f>
        <v>6.5000000000000002E-2</v>
      </c>
      <c r="K31" s="143">
        <f>J31+($M$31-$I$31)/(COLUMNS($I$31:$M$31)-1)</f>
        <v>0.06</v>
      </c>
      <c r="L31" s="143">
        <f>K31+($M$31-$I$31)/(COLUMNS($I$31:$M$31)-1)</f>
        <v>5.4999999999999993E-2</v>
      </c>
      <c r="M31" s="119">
        <v>0.05</v>
      </c>
    </row>
    <row r="32" spans="2:17" ht="15" customHeight="1" x14ac:dyDescent="0.25">
      <c r="B32" t="s">
        <v>656</v>
      </c>
      <c r="C32" s="120">
        <v>4.4999999999999998E-2</v>
      </c>
    </row>
    <row r="34" spans="2:14" ht="15" customHeight="1" x14ac:dyDescent="0.25">
      <c r="B34" t="s">
        <v>657</v>
      </c>
      <c r="D34" s="121">
        <f ca="1">(DATE(2026,12,31)-$C$15)/365.25</f>
        <v>0.24093086926762491</v>
      </c>
      <c r="E34" s="121">
        <f ca="1">(DATE(2027,12,31)-$C$15)/365.25</f>
        <v>1.2402464065708418</v>
      </c>
      <c r="F34" s="121">
        <f ca="1">(DATE(2028,12,31)-$C$15)/365.25</f>
        <v>2.2422997946611911</v>
      </c>
      <c r="G34" s="121">
        <f ca="1">(DATE(2029,12,31)-$C$15)/365.25</f>
        <v>3.2416153319644079</v>
      </c>
      <c r="H34" s="121">
        <f ca="1">(DATE(2030,12,31)-$C$15)/365.25</f>
        <v>4.2409308692676246</v>
      </c>
      <c r="I34" s="121">
        <f ca="1">(DATE(2031,12,31)-$C$15)/365.25</f>
        <v>5.2402464065708418</v>
      </c>
      <c r="J34" s="121">
        <f ca="1">(DATE(2032,12,31)-$C$15)/365.25</f>
        <v>6.2422997946611911</v>
      </c>
      <c r="K34" s="121">
        <f ca="1">(DATE(2033,12,31)-$C$15)/365.25</f>
        <v>7.2416153319644083</v>
      </c>
      <c r="L34" s="121">
        <f ca="1">(DATE(2034,12,31)-$C$15)/365.25</f>
        <v>8.2409308692676255</v>
      </c>
      <c r="M34" s="121">
        <f ca="1">(DATE(2035,12,31)-$C$15)/365.25</f>
        <v>9.2402464065708418</v>
      </c>
      <c r="N34" s="121">
        <f ca="1">M34</f>
        <v>9.2402464065708418</v>
      </c>
    </row>
    <row r="35" spans="2:14" ht="15" customHeight="1" x14ac:dyDescent="0.25">
      <c r="B35" t="s">
        <v>658</v>
      </c>
      <c r="D35" s="122">
        <f t="shared" ref="D35:N35" ca="1" si="3">1/(1+$C$13)^D34</f>
        <v>0.97913591640186592</v>
      </c>
      <c r="E35" s="122">
        <f t="shared" ca="1" si="3"/>
        <v>0.89714401929476528</v>
      </c>
      <c r="F35" s="122">
        <f t="shared" ca="1" si="3"/>
        <v>0.82182111249432532</v>
      </c>
      <c r="G35" s="122">
        <f t="shared" ca="1" si="3"/>
        <v>0.75300260531128183</v>
      </c>
      <c r="H35" s="122">
        <f t="shared" ca="1" si="3"/>
        <v>0.68994689353334582</v>
      </c>
      <c r="I35" s="122">
        <f t="shared" ca="1" si="3"/>
        <v>0.63217140623242674</v>
      </c>
      <c r="J35" s="122">
        <f t="shared" ca="1" si="3"/>
        <v>0.57909521457372359</v>
      </c>
      <c r="K35" s="122">
        <f t="shared" ca="1" si="3"/>
        <v>0.53060233993480022</v>
      </c>
      <c r="L35" s="122">
        <f t="shared" ca="1" si="3"/>
        <v>0.48617021183904641</v>
      </c>
      <c r="M35" s="122">
        <f t="shared" ca="1" si="3"/>
        <v>0.44545878728817351</v>
      </c>
      <c r="N35" s="122">
        <f t="shared" ca="1" si="3"/>
        <v>0.44545878728817351</v>
      </c>
    </row>
    <row r="36" spans="2:14" ht="15" customHeight="1" x14ac:dyDescent="0.25">
      <c r="B36" t="s">
        <v>659</v>
      </c>
      <c r="D36" s="115">
        <f t="shared" ref="D36:M36" ca="1" si="4">D26*D35</f>
        <v>1061.3176477553463</v>
      </c>
      <c r="E36" s="115">
        <f t="shared" ca="1" si="4"/>
        <v>445.4614029178876</v>
      </c>
      <c r="F36" s="115">
        <f t="shared" ca="1" si="4"/>
        <v>302.44698071615153</v>
      </c>
      <c r="G36" s="115">
        <f t="shared" ca="1" si="4"/>
        <v>386.18681622129355</v>
      </c>
      <c r="H36" s="115">
        <f t="shared" ca="1" si="4"/>
        <v>454.10363957402308</v>
      </c>
      <c r="I36" s="115">
        <f t="shared" ca="1" si="4"/>
        <v>1121.6262642396005</v>
      </c>
      <c r="J36" s="115">
        <f t="shared" ca="1" si="4"/>
        <v>1094.2408047597025</v>
      </c>
      <c r="K36" s="115">
        <f t="shared" ca="1" si="4"/>
        <v>1062.766743458807</v>
      </c>
      <c r="L36" s="115">
        <f t="shared" ca="1" si="4"/>
        <v>1027.3291240555041</v>
      </c>
      <c r="M36" s="115">
        <f t="shared" ca="1" si="4"/>
        <v>988.36665294098054</v>
      </c>
      <c r="N36" s="115">
        <f ca="1">N28*N35</f>
        <v>22232.000265260162</v>
      </c>
    </row>
    <row r="37" spans="2:14" ht="15" customHeight="1" x14ac:dyDescent="0.25">
      <c r="D37" s="4" t="s">
        <v>660</v>
      </c>
    </row>
    <row r="39" spans="2:14" ht="15.75" x14ac:dyDescent="0.25">
      <c r="B39" t="s">
        <v>755</v>
      </c>
      <c r="D39" s="147" t="str">
        <f>D17</f>
        <v>2026E</v>
      </c>
      <c r="E39" s="147" t="str">
        <f>E17</f>
        <v>2027E</v>
      </c>
      <c r="F39" s="147" t="str">
        <f>F17</f>
        <v>2028E</v>
      </c>
      <c r="G39" s="147" t="str">
        <f>G17</f>
        <v>2029E</v>
      </c>
      <c r="H39" s="147" t="str">
        <f>H17</f>
        <v>2030E</v>
      </c>
      <c r="I39" s="147" t="str">
        <f>I17</f>
        <v>2031E</v>
      </c>
      <c r="J39" s="147" t="str">
        <f>J17</f>
        <v>2032E</v>
      </c>
      <c r="K39" s="147" t="str">
        <f>K17</f>
        <v>2033E</v>
      </c>
      <c r="L39" s="147" t="str">
        <f>L17</f>
        <v>2034E</v>
      </c>
      <c r="M39" s="147" t="str">
        <f>M17</f>
        <v>2035E</v>
      </c>
      <c r="N39" s="147" t="s">
        <v>644</v>
      </c>
    </row>
    <row r="40" spans="2:14" ht="15.75" x14ac:dyDescent="0.25">
      <c r="B40" t="s">
        <v>762</v>
      </c>
      <c r="D40" s="44">
        <f>D22</f>
        <v>1183.2512499999998</v>
      </c>
      <c r="E40" s="44">
        <f>E22</f>
        <v>1312.8769609680719</v>
      </c>
      <c r="F40" s="44">
        <f>F22</f>
        <v>1453.7041701779895</v>
      </c>
      <c r="G40" s="44">
        <f>G22</f>
        <v>1603.0968373496844</v>
      </c>
      <c r="H40" s="44">
        <f>H22</f>
        <v>1764.3325717052735</v>
      </c>
      <c r="I40" s="144">
        <f>I22</f>
        <v>1887.8358517246431</v>
      </c>
      <c r="J40" s="144">
        <f>J22</f>
        <v>2010.5451820867447</v>
      </c>
      <c r="K40" s="144">
        <f>K22</f>
        <v>2131.1778930119494</v>
      </c>
      <c r="L40" s="144">
        <f>L22</f>
        <v>2248.3926771276065</v>
      </c>
      <c r="M40" s="144">
        <f>M22</f>
        <v>2360.8123109839871</v>
      </c>
      <c r="N40" s="144">
        <f>M40*(1+$C$32)</f>
        <v>2467.0488649782665</v>
      </c>
    </row>
    <row r="41" spans="2:14" ht="15.75" x14ac:dyDescent="0.25">
      <c r="B41" t="s">
        <v>748</v>
      </c>
      <c r="D41" s="44">
        <f>D40-D26</f>
        <v>99.31833529753203</v>
      </c>
      <c r="E41" s="44">
        <f>E40-E26</f>
        <v>816.34419327703858</v>
      </c>
      <c r="F41" s="44">
        <f>F40-F26</f>
        <v>1085.6837140008674</v>
      </c>
      <c r="G41" s="44">
        <f>G40-G26</f>
        <v>1090.2343140365695</v>
      </c>
      <c r="H41" s="44">
        <f>H40-H26</f>
        <v>1106.160698144869</v>
      </c>
      <c r="I41" s="144">
        <f>I40-I26</f>
        <v>113.59194701500996</v>
      </c>
      <c r="J41" s="144">
        <f>J40-J26</f>
        <v>120.97542357098564</v>
      </c>
      <c r="K41" s="144">
        <f>K40-K26</f>
        <v>128.23394898524475</v>
      </c>
      <c r="L41" s="144">
        <f>L40-L26</f>
        <v>135.28681617943312</v>
      </c>
      <c r="M41" s="144">
        <f>M40-M26</f>
        <v>142.05115698840473</v>
      </c>
      <c r="N41" s="144">
        <f>N40-N26</f>
        <v>148.4434590528831</v>
      </c>
    </row>
    <row r="42" spans="2:14" ht="15.75" x14ac:dyDescent="0.25">
      <c r="B42" t="s">
        <v>749</v>
      </c>
      <c r="D42" s="114">
        <f>Model!CI403</f>
        <v>12636.9</v>
      </c>
      <c r="E42" s="44">
        <f>D43</f>
        <v>12736.218335297532</v>
      </c>
      <c r="F42" s="44">
        <f>E43</f>
        <v>13552.56252857457</v>
      </c>
      <c r="G42" s="44">
        <f>F43</f>
        <v>14638.246242575438</v>
      </c>
      <c r="H42" s="44">
        <f>G43</f>
        <v>15728.480556612009</v>
      </c>
      <c r="I42" s="144">
        <f>H43</f>
        <v>16834.641254756876</v>
      </c>
      <c r="J42" s="144">
        <f>I43</f>
        <v>16948.233201771887</v>
      </c>
      <c r="K42" s="144">
        <f>J43</f>
        <v>17069.208625342872</v>
      </c>
      <c r="L42" s="144">
        <f>K43</f>
        <v>17197.442574328117</v>
      </c>
      <c r="M42" s="144">
        <f>L43</f>
        <v>17332.729390507549</v>
      </c>
      <c r="N42" s="144">
        <f>M43</f>
        <v>17474.780547495953</v>
      </c>
    </row>
    <row r="43" spans="2:14" ht="15.75" x14ac:dyDescent="0.25">
      <c r="B43" t="s">
        <v>750</v>
      </c>
      <c r="D43" s="44">
        <f>D42+D41</f>
        <v>12736.218335297532</v>
      </c>
      <c r="E43" s="44">
        <f>E42+E41</f>
        <v>13552.56252857457</v>
      </c>
      <c r="F43" s="44">
        <f>F42+F41</f>
        <v>14638.246242575438</v>
      </c>
      <c r="G43" s="44">
        <f>G42+G41</f>
        <v>15728.480556612009</v>
      </c>
      <c r="H43" s="44">
        <f>H42+H41</f>
        <v>16834.641254756876</v>
      </c>
      <c r="I43" s="144">
        <f>I42+I41</f>
        <v>16948.233201771887</v>
      </c>
      <c r="J43" s="144">
        <f>J42+J41</f>
        <v>17069.208625342872</v>
      </c>
      <c r="K43" s="144">
        <f>K42+K41</f>
        <v>17197.442574328117</v>
      </c>
      <c r="L43" s="144">
        <f>L42+L41</f>
        <v>17332.729390507549</v>
      </c>
      <c r="M43" s="144">
        <f>M42+M41</f>
        <v>17474.780547495953</v>
      </c>
      <c r="N43" s="144"/>
    </row>
    <row r="44" spans="2:14" ht="15.75" x14ac:dyDescent="0.25">
      <c r="B44" s="146" t="s">
        <v>751</v>
      </c>
      <c r="C44" s="148"/>
      <c r="D44" s="149">
        <f>IFERROR(D40/D42,"")</f>
        <v>9.3634613710641051E-2</v>
      </c>
      <c r="E44" s="149">
        <f>IFERROR(E40/E42,"")</f>
        <v>0.10308216508267025</v>
      </c>
      <c r="F44" s="149">
        <f>IFERROR(F40/F42,"")</f>
        <v>0.1072641551819416</v>
      </c>
      <c r="G44" s="149">
        <f>IFERROR(G40/G42,"")</f>
        <v>0.10951426904454349</v>
      </c>
      <c r="H44" s="149">
        <f>IFERROR(H40/H42,"")</f>
        <v>0.11217438107609037</v>
      </c>
      <c r="I44" s="150">
        <f>IFERROR(I40/I42,"")</f>
        <v>0.11213995137503791</v>
      </c>
      <c r="J44" s="150">
        <f>IFERROR(J40/J42,"")</f>
        <v>0.1186286002883503</v>
      </c>
      <c r="K44" s="150">
        <f>IFERROR(K40/K42,"")</f>
        <v>0.12485510838784655</v>
      </c>
      <c r="L44" s="150">
        <f>IFERROR(L40/L42,"")</f>
        <v>0.13073994388467661</v>
      </c>
      <c r="M44" s="150">
        <f>IFERROR(M40/M42,"")</f>
        <v>0.13620545603607651</v>
      </c>
      <c r="N44" s="149">
        <f>IFERROR(N40/N42,"")</f>
        <v>0.14117767363503642</v>
      </c>
    </row>
    <row r="45" spans="2:14" ht="15.75" x14ac:dyDescent="0.25">
      <c r="B45" t="s">
        <v>752</v>
      </c>
      <c r="C45" s="151"/>
      <c r="D45" s="152">
        <f>IFERROR(D41/D40,"")</f>
        <v>8.393680995268929E-2</v>
      </c>
      <c r="E45" s="152">
        <f>IFERROR(E41/E40,"")</f>
        <v>0.62179794264581612</v>
      </c>
      <c r="F45" s="152">
        <f>IFERROR(F41/F40,"")</f>
        <v>0.74683951265541038</v>
      </c>
      <c r="G45" s="152">
        <f>IFERROR(G41/G40,"")</f>
        <v>0.68008013529550493</v>
      </c>
      <c r="H45" s="152">
        <f>IFERROR(H41/H40,"")</f>
        <v>0.62695702379724016</v>
      </c>
      <c r="I45" s="153">
        <f>IFERROR(I41/I40,"")</f>
        <v>6.0170457569834475E-2</v>
      </c>
      <c r="J45" s="153">
        <f>IFERROR(J41/J40,"")</f>
        <v>6.0170457569834496E-2</v>
      </c>
      <c r="K45" s="153">
        <f>IFERROR(K41/K40,"")</f>
        <v>6.0170457569834482E-2</v>
      </c>
      <c r="L45" s="153">
        <f>IFERROR(L41/L40,"")</f>
        <v>6.017045756983444E-2</v>
      </c>
      <c r="M45" s="153">
        <f>IFERROR(M41/M40,"")</f>
        <v>6.0170457569834412E-2</v>
      </c>
      <c r="N45" s="152">
        <f>IFERROR(N41/N40,"")</f>
        <v>6.0170457569834482E-2</v>
      </c>
    </row>
    <row r="46" spans="2:14" ht="15.75" x14ac:dyDescent="0.25">
      <c r="B46" s="146" t="s">
        <v>753</v>
      </c>
      <c r="C46" s="148"/>
      <c r="D46" s="149"/>
      <c r="E46" s="149">
        <f>IFERROR((E40-D40)/D41,"")</f>
        <v>1.3051538830141183</v>
      </c>
      <c r="F46" s="149">
        <f>IFERROR((F40-E40)/E41,"")</f>
        <v>0.17250959873260927</v>
      </c>
      <c r="G46" s="149">
        <f>IFERROR((G40-F40)/F41,"")</f>
        <v>0.13760238386662912</v>
      </c>
      <c r="H46" s="149">
        <f>IFERROR((H40-G40)/G41,"")</f>
        <v>0.14789090040526903</v>
      </c>
      <c r="I46" s="150">
        <f>IFERROR((I40-H40)/H41,"")</f>
        <v>0.11165039602880102</v>
      </c>
      <c r="J46" s="150">
        <f>IFERROR((J40-I40)/I41,"")</f>
        <v>1.0802643460798049</v>
      </c>
      <c r="K46" s="150">
        <f>IFERROR((K40-J40)/J41,"")</f>
        <v>0.99716708868905246</v>
      </c>
      <c r="L46" s="150">
        <f>IFERROR((L40-K40)/K41,"")</f>
        <v>0.91406983129829655</v>
      </c>
      <c r="M46" s="150">
        <f>IFERROR((M40-L40)/L41,"")</f>
        <v>0.83097257390754653</v>
      </c>
      <c r="N46" s="149">
        <f>IFERROR($C$32/N45,"")</f>
        <v>0.74787531651678918</v>
      </c>
    </row>
    <row r="47" spans="2:14" ht="15.75" x14ac:dyDescent="0.25">
      <c r="B47" t="s">
        <v>754</v>
      </c>
      <c r="C47" s="152">
        <f>IFERROR((M40-D40)/SUM(D41:L41),"")</f>
        <v>0.25076742851100697</v>
      </c>
      <c r="D47" s="152"/>
      <c r="E47" s="152"/>
      <c r="F47" s="152"/>
      <c r="G47" s="152"/>
      <c r="H47" s="152"/>
      <c r="I47" s="153"/>
      <c r="J47" s="153"/>
      <c r="K47" s="153"/>
      <c r="L47" s="153"/>
      <c r="M47" s="153"/>
      <c r="N47" s="152"/>
    </row>
    <row r="48" spans="2:14" x14ac:dyDescent="0.25">
      <c r="D48" s="4" t="s">
        <v>756</v>
      </c>
    </row>
    <row r="49" spans="2:3" ht="15" customHeight="1" x14ac:dyDescent="0.25">
      <c r="B49" s="17" t="s">
        <v>661</v>
      </c>
    </row>
    <row r="50" spans="2:3" ht="15" customHeight="1" x14ac:dyDescent="0.25">
      <c r="B50" s="12" t="s">
        <v>662</v>
      </c>
      <c r="C50" s="115">
        <f ca="1">SUM(D36:M36)</f>
        <v>7943.8460766392964</v>
      </c>
    </row>
    <row r="51" spans="2:3" ht="15" customHeight="1" x14ac:dyDescent="0.25">
      <c r="B51" s="12" t="s">
        <v>663</v>
      </c>
      <c r="C51" s="115">
        <f ca="1">N36</f>
        <v>22232.000265260162</v>
      </c>
    </row>
    <row r="52" spans="2:3" ht="15" customHeight="1" x14ac:dyDescent="0.25">
      <c r="B52" s="77" t="s">
        <v>664</v>
      </c>
      <c r="C52" s="118">
        <f ca="1">C50+C51</f>
        <v>30175.846341899458</v>
      </c>
    </row>
    <row r="53" spans="2:3" ht="15" customHeight="1" x14ac:dyDescent="0.25">
      <c r="B53" s="12" t="s">
        <v>665</v>
      </c>
      <c r="C53" s="115">
        <f>Model!CO426</f>
        <v>1023.2984705537406</v>
      </c>
    </row>
    <row r="54" spans="2:3" ht="15" customHeight="1" x14ac:dyDescent="0.25">
      <c r="B54" s="12" t="s">
        <v>666</v>
      </c>
      <c r="C54" s="115">
        <f>Model!CO436</f>
        <v>0</v>
      </c>
    </row>
    <row r="55" spans="2:3" ht="15" customHeight="1" x14ac:dyDescent="0.25">
      <c r="B55" s="77" t="s">
        <v>667</v>
      </c>
      <c r="C55" s="118">
        <f ca="1">C52-C53-C54</f>
        <v>29152.547871345716</v>
      </c>
    </row>
    <row r="56" spans="2:3" ht="15" customHeight="1" x14ac:dyDescent="0.25">
      <c r="B56" s="12" t="s">
        <v>668</v>
      </c>
      <c r="C56" s="123">
        <f>Model!CO179</f>
        <v>46.875</v>
      </c>
    </row>
    <row r="57" spans="2:3" ht="15" customHeight="1" x14ac:dyDescent="0.25">
      <c r="B57" s="77" t="s">
        <v>669</v>
      </c>
      <c r="C57" s="124">
        <f ca="1">C55/C56</f>
        <v>621.92102125537531</v>
      </c>
    </row>
    <row r="58" spans="2:3" ht="15" customHeight="1" x14ac:dyDescent="0.25">
      <c r="B58" s="12" t="s">
        <v>670</v>
      </c>
      <c r="C58" s="125">
        <f>Model!CO432</f>
        <v>615</v>
      </c>
    </row>
    <row r="59" spans="2:3" ht="15" customHeight="1" x14ac:dyDescent="0.25">
      <c r="B59" s="12" t="s">
        <v>671</v>
      </c>
      <c r="C59" s="126">
        <f ca="1">C57/C58-1</f>
        <v>1.1253693098171258E-2</v>
      </c>
    </row>
    <row r="62" spans="2:3" ht="15" customHeight="1" x14ac:dyDescent="0.25">
      <c r="B62" s="17" t="s">
        <v>672</v>
      </c>
    </row>
    <row r="63" spans="2:3" x14ac:dyDescent="0.25">
      <c r="B63" t="s">
        <v>757</v>
      </c>
      <c r="C63" s="154">
        <v>5.0000000000000001E-3</v>
      </c>
    </row>
    <row r="64" spans="2:3" ht="15" customHeight="1" x14ac:dyDescent="0.25">
      <c r="B64" t="s">
        <v>758</v>
      </c>
      <c r="C64" s="154">
        <v>5.0000000000000001E-3</v>
      </c>
    </row>
    <row r="65" spans="2:8" ht="15" customHeight="1" x14ac:dyDescent="0.25">
      <c r="B65" t="s">
        <v>673</v>
      </c>
      <c r="D65" s="155">
        <f>E65-$C$63</f>
        <v>8.1457500000000016E-2</v>
      </c>
      <c r="E65" s="155">
        <f>F65-$C$63</f>
        <v>8.645750000000002E-2</v>
      </c>
      <c r="F65" s="155">
        <f>$C$13</f>
        <v>9.1457500000000025E-2</v>
      </c>
      <c r="G65" s="155">
        <f>F65+$C$63</f>
        <v>9.6457500000000029E-2</v>
      </c>
      <c r="H65" s="155">
        <f>G65+$C$63</f>
        <v>0.10145750000000003</v>
      </c>
    </row>
    <row r="66" spans="2:8" ht="15" customHeight="1" x14ac:dyDescent="0.25">
      <c r="B66" s="155">
        <f>B67-$C$64</f>
        <v>3.5000000000000003E-2</v>
      </c>
      <c r="D66" s="156">
        <f ca="1">IFERROR((SUMPRODUCT($D$26:$M$26/(1+D$65)^$D$34:$M$34)+($M$26*(1+$B66)/(D$65-$B66))/(1+D$65)^$M$34-$C$53-$C$54)/$C$56,"")</f>
        <v>667.73579654241587</v>
      </c>
      <c r="E66" s="156">
        <f ca="1">IFERROR((SUMPRODUCT($D$26:$M$26/(1+E$65)^$D$34:$M$34)+($M$26*(1+$B66)/(E$65-$B66))/(1+E$65)^$M$34-$C$53-$C$54)/$C$56,"")</f>
        <v>594.36619078543004</v>
      </c>
      <c r="F66" s="156">
        <f ca="1">IFERROR((SUMPRODUCT($D$26:$M$26/(1+F$65)^$D$34:$M$34)+($M$26*(1+$B66)/(F$65-$B66))/(1+F$65)^$M$34-$C$53-$C$54)/$C$56,"")</f>
        <v>534.17929914789784</v>
      </c>
      <c r="G66" s="156">
        <f ca="1">IFERROR((SUMPRODUCT($D$26:$M$26/(1+G$65)^$D$34:$M$34)+($M$26*(1+$B66)/(G$65-$B66))/(1+G$65)^$M$34-$C$53-$C$54)/$C$56,"")</f>
        <v>483.95234331679194</v>
      </c>
      <c r="H66" s="156">
        <f ca="1">IFERROR((SUMPRODUCT($D$26:$M$26/(1+H$65)^$D$34:$M$34)+($M$26*(1+$B66)/(H$65-$B66))/(1+H$65)^$M$34-$C$53-$C$54)/$C$56,"")</f>
        <v>441.43259443309626</v>
      </c>
    </row>
    <row r="67" spans="2:8" ht="15" customHeight="1" x14ac:dyDescent="0.25">
      <c r="B67" s="155">
        <f>B68-$C$64</f>
        <v>0.04</v>
      </c>
      <c r="D67" s="156">
        <f ca="1">IFERROR((SUMPRODUCT($D$26:$M$26/(1+D$65)^$D$34:$M$34)+($M$26*(1+$B67)/(D$65-$B67))/(1+D$65)^$M$34-$C$53-$C$54)/$C$56,"")</f>
        <v>732.18744470955551</v>
      </c>
      <c r="E67" s="156">
        <f ca="1">IFERROR((SUMPRODUCT($D$26:$M$26/(1+E$65)^$D$34:$M$34)+($M$26*(1+$B67)/(E$65-$B67))/(1+E$65)^$M$34-$C$53-$C$54)/$C$56,"")</f>
        <v>644.35593203858446</v>
      </c>
      <c r="F67" s="156">
        <f ca="1">IFERROR((SUMPRODUCT($D$26:$M$26/(1+F$65)^$D$34:$M$34)+($M$26*(1+$B67)/(F$65-$B67))/(1+F$65)^$M$34-$C$53-$C$54)/$C$56,"")</f>
        <v>573.78733543811927</v>
      </c>
      <c r="G67" s="156">
        <f ca="1">IFERROR((SUMPRODUCT($D$26:$M$26/(1+G$65)^$D$34:$M$34)+($M$26*(1+$B67)/(G$65-$B67))/(1+G$65)^$M$34-$C$53-$C$54)/$C$56,"")</f>
        <v>515.88980797060844</v>
      </c>
      <c r="H67" s="156">
        <f ca="1">IFERROR((SUMPRODUCT($D$26:$M$26/(1+H$65)^$D$34:$M$34)+($M$26*(1+$B67)/(H$65-$B67))/(1+H$65)^$M$34-$C$53-$C$54)/$C$56,"")</f>
        <v>467.56598939045006</v>
      </c>
    </row>
    <row r="68" spans="2:8" ht="15" customHeight="1" x14ac:dyDescent="0.25">
      <c r="B68" s="155">
        <f>$C$32</f>
        <v>4.4999999999999998E-2</v>
      </c>
      <c r="D68" s="156">
        <f ca="1">IFERROR((SUMPRODUCT($D$26:$M$26/(1+D$65)^$D$34:$M$34)+($M$26*(1+$B68)/(D$65-$B68))/(1+D$65)^$M$34-$C$53-$C$54)/$C$56,"")</f>
        <v>814.31766331272058</v>
      </c>
      <c r="E68" s="156">
        <f ca="1">IFERROR((SUMPRODUCT($D$26:$M$26/(1+E$65)^$D$34:$M$34)+($M$26*(1+$B68)/(E$65-$B68))/(1+E$65)^$M$34-$C$53-$C$54)/$C$56,"")</f>
        <v>706.40374270092991</v>
      </c>
      <c r="F68" s="157">
        <f ca="1">IFERROR((SUMPRODUCT($D$26:$M$26/(1+F$65)^$D$34:$M$34)+($M$26*(1+$B68)/(F$65-$B68))/(1+F$65)^$M$34-$C$53-$C$54)/$C$56,"")</f>
        <v>621.92102125537531</v>
      </c>
      <c r="G68" s="156">
        <f ca="1">IFERROR((SUMPRODUCT($D$26:$M$26/(1+G$65)^$D$34:$M$34)+($M$26*(1+$B68)/(G$65-$B68))/(1+G$65)^$M$34-$C$53-$C$54)/$C$56,"")</f>
        <v>554.03384399960146</v>
      </c>
      <c r="H68" s="156">
        <f ca="1">IFERROR((SUMPRODUCT($D$26:$M$26/(1+H$65)^$D$34:$M$34)+($M$26*(1+$B68)/(H$65-$B68))/(1+H$65)^$M$34-$C$53-$C$54)/$C$56,"")</f>
        <v>498.32824587326161</v>
      </c>
    </row>
    <row r="69" spans="2:8" ht="15" customHeight="1" x14ac:dyDescent="0.25">
      <c r="B69" s="155">
        <f>B68+$C$64</f>
        <v>4.9999999999999996E-2</v>
      </c>
      <c r="D69" s="156">
        <f ca="1">IFERROR((SUMPRODUCT($D$26:$M$26/(1+D$65)^$D$34:$M$34)+($M$26*(1+$B69)/(D$65-$B69))/(1+D$65)^$M$34-$C$53-$C$54)/$C$56,"")</f>
        <v>922.55619268538896</v>
      </c>
      <c r="E69" s="156">
        <f ca="1">IFERROR((SUMPRODUCT($D$26:$M$26/(1+E$65)^$D$34:$M$34)+($M$26*(1+$B69)/(E$65-$B69))/(1+E$65)^$M$34-$C$53-$C$54)/$C$56,"")</f>
        <v>785.47077044133778</v>
      </c>
      <c r="F69" s="156">
        <f ca="1">IFERROR((SUMPRODUCT($D$26:$M$26/(1+F$65)^$D$34:$M$34)+($M$26*(1+$B69)/(F$65-$B69))/(1+F$65)^$M$34-$C$53-$C$54)/$C$56,"")</f>
        <v>681.66507571937939</v>
      </c>
      <c r="G69" s="156">
        <f ca="1">IFERROR((SUMPRODUCT($D$26:$M$26/(1+G$65)^$D$34:$M$34)+($M$26*(1+$B69)/(G$65-$B69))/(1+G$65)^$M$34-$C$53-$C$54)/$C$56,"")</f>
        <v>600.38840277066925</v>
      </c>
      <c r="H69" s="156">
        <f ca="1">IFERROR((SUMPRODUCT($D$26:$M$26/(1+H$65)^$D$34:$M$34)+($M$26*(1+$B69)/(H$65-$B69))/(1+H$65)^$M$34-$C$53-$C$54)/$C$56,"")</f>
        <v>535.06868949746411</v>
      </c>
    </row>
    <row r="70" spans="2:8" ht="15" customHeight="1" x14ac:dyDescent="0.25">
      <c r="B70" s="155">
        <f>B69+$C$64</f>
        <v>5.4999999999999993E-2</v>
      </c>
      <c r="D70" s="156">
        <f ca="1">IFERROR((SUMPRODUCT($D$26:$M$26/(1+D$65)^$D$34:$M$34)+($M$26*(1+$B70)/(D$65-$B70))/(1+D$65)^$M$34-$C$53-$C$54)/$C$56,"")</f>
        <v>1071.7050610442304</v>
      </c>
      <c r="E70" s="156">
        <f ca="1">IFERROR((SUMPRODUCT($D$26:$M$26/(1+E$65)^$D$34:$M$34)+($M$26*(1+$B70)/(E$65-$B70))/(1+E$65)^$M$34-$C$53-$C$54)/$C$56,"")</f>
        <v>889.67235361062808</v>
      </c>
      <c r="F70" s="156">
        <f ca="1">IFERROR((SUMPRODUCT($D$26:$M$26/(1+F$65)^$D$34:$M$34)+($M$26*(1+$B70)/(F$65-$B70))/(1+F$65)^$M$34-$C$53-$C$54)/$C$56,"")</f>
        <v>757.79644540357276</v>
      </c>
      <c r="G70" s="156">
        <f ca="1">IFERROR((SUMPRODUCT($D$26:$M$26/(1+G$65)^$D$34:$M$34)+($M$26*(1+$B70)/(G$65-$B70))/(1+G$65)^$M$34-$C$53-$C$54)/$C$56,"")</f>
        <v>657.92418539051414</v>
      </c>
      <c r="H70" s="156">
        <f ca="1">IFERROR((SUMPRODUCT($D$26:$M$26/(1+H$65)^$D$34:$M$34)+($M$26*(1+$B70)/(H$65-$B70))/(1+H$65)^$M$34-$C$53-$C$54)/$C$56,"")</f>
        <v>579.71753189994809</v>
      </c>
    </row>
    <row r="73" spans="2:8" ht="15" customHeight="1" x14ac:dyDescent="0.25">
      <c r="B73" s="17" t="s">
        <v>674</v>
      </c>
    </row>
    <row r="74" spans="2:8" ht="15" customHeight="1" x14ac:dyDescent="0.25">
      <c r="B74" s="4" t="s">
        <v>675</v>
      </c>
    </row>
    <row r="76" spans="2:8" ht="15" customHeight="1" x14ac:dyDescent="0.25">
      <c r="B76" s="17" t="s">
        <v>676</v>
      </c>
    </row>
    <row r="77" spans="2:8" ht="15" customHeight="1" x14ac:dyDescent="0.25">
      <c r="B77" s="4" t="s">
        <v>677</v>
      </c>
    </row>
    <row r="78" spans="2:8" ht="15" customHeight="1" x14ac:dyDescent="0.25">
      <c r="B78" s="4" t="s">
        <v>678</v>
      </c>
    </row>
    <row r="80" spans="2:8" ht="15" customHeight="1" x14ac:dyDescent="0.25">
      <c r="B80" s="17" t="s">
        <v>679</v>
      </c>
      <c r="C80" s="17" t="s">
        <v>680</v>
      </c>
      <c r="D80" s="17" t="s">
        <v>681</v>
      </c>
    </row>
    <row r="81" spans="2:4" ht="15" customHeight="1" x14ac:dyDescent="0.25">
      <c r="B81" t="s">
        <v>682</v>
      </c>
      <c r="C81" s="127">
        <f>$C$13</f>
        <v>9.1457500000000025E-2</v>
      </c>
      <c r="D81" s="4" t="s">
        <v>683</v>
      </c>
    </row>
    <row r="82" spans="2:4" ht="15" customHeight="1" x14ac:dyDescent="0.25">
      <c r="B82" t="s">
        <v>684</v>
      </c>
      <c r="C82" s="110">
        <v>0.08</v>
      </c>
      <c r="D82" s="4" t="s">
        <v>685</v>
      </c>
    </row>
    <row r="83" spans="2:4" ht="15" customHeight="1" x14ac:dyDescent="0.25">
      <c r="B83" t="s">
        <v>686</v>
      </c>
      <c r="C83" s="110">
        <v>0.75</v>
      </c>
      <c r="D83" s="4" t="s">
        <v>687</v>
      </c>
    </row>
    <row r="84" spans="2:4" ht="15" customHeight="1" x14ac:dyDescent="0.25">
      <c r="B84" t="s">
        <v>688</v>
      </c>
      <c r="C84" s="128">
        <v>12</v>
      </c>
      <c r="D84" s="4" t="s">
        <v>689</v>
      </c>
    </row>
    <row r="86" spans="2:4" ht="15" customHeight="1" x14ac:dyDescent="0.25">
      <c r="B86" s="17" t="s">
        <v>690</v>
      </c>
      <c r="C86" s="17" t="s">
        <v>680</v>
      </c>
    </row>
    <row r="87" spans="2:4" ht="15" customHeight="1" x14ac:dyDescent="0.25">
      <c r="B87" t="s">
        <v>691</v>
      </c>
      <c r="C87" s="121">
        <f>1/C81</f>
        <v>10.93404040127928</v>
      </c>
    </row>
    <row r="88" spans="2:4" ht="15" customHeight="1" x14ac:dyDescent="0.25">
      <c r="B88" t="s">
        <v>692</v>
      </c>
      <c r="C88" s="121">
        <f>1-C81/C83</f>
        <v>0.8780566666666666</v>
      </c>
    </row>
    <row r="89" spans="2:4" ht="15" customHeight="1" x14ac:dyDescent="0.25">
      <c r="B89" t="s">
        <v>693</v>
      </c>
      <c r="C89" s="121">
        <f>C82*C88/(C81*(C81-C82))</f>
        <v>67.035266457401192</v>
      </c>
    </row>
    <row r="90" spans="2:4" ht="15" customHeight="1" x14ac:dyDescent="0.25">
      <c r="B90" t="s">
        <v>694</v>
      </c>
      <c r="C90" s="121">
        <f>1-((1+C82)/(1+C81))^C84</f>
        <v>0.11894481367385357</v>
      </c>
    </row>
    <row r="91" spans="2:4" ht="15" customHeight="1" x14ac:dyDescent="0.25">
      <c r="B91" t="s">
        <v>695</v>
      </c>
      <c r="C91" s="121">
        <f>C89*C90</f>
        <v>7.9734972783527107</v>
      </c>
    </row>
    <row r="92" spans="2:4" ht="15" customHeight="1" x14ac:dyDescent="0.25">
      <c r="B92" s="11" t="s">
        <v>696</v>
      </c>
      <c r="C92" s="129">
        <f>C87+C91</f>
        <v>18.907537679631989</v>
      </c>
    </row>
    <row r="94" spans="2:4" ht="15" customHeight="1" x14ac:dyDescent="0.25">
      <c r="B94" s="17" t="s">
        <v>697</v>
      </c>
      <c r="C94" s="17" t="s">
        <v>698</v>
      </c>
    </row>
    <row r="95" spans="2:4" ht="15" customHeight="1" x14ac:dyDescent="0.25">
      <c r="B95" t="s">
        <v>699</v>
      </c>
      <c r="C95" s="115">
        <f>Model!CQ200</f>
        <v>1856.8524460866106</v>
      </c>
    </row>
    <row r="96" spans="2:4" ht="15" customHeight="1" x14ac:dyDescent="0.25">
      <c r="B96" t="s">
        <v>700</v>
      </c>
      <c r="C96" s="115">
        <f>-Model!CQ98</f>
        <v>-5</v>
      </c>
    </row>
    <row r="97" spans="2:3" ht="15" customHeight="1" x14ac:dyDescent="0.25">
      <c r="B97" t="s">
        <v>701</v>
      </c>
      <c r="C97" s="126">
        <f>$C$10</f>
        <v>0.215</v>
      </c>
    </row>
    <row r="98" spans="2:3" ht="15" customHeight="1" x14ac:dyDescent="0.25">
      <c r="B98" t="s">
        <v>702</v>
      </c>
      <c r="C98" s="115">
        <f>(C95+C96)*(1-C97)</f>
        <v>1453.7041701779895</v>
      </c>
    </row>
    <row r="99" spans="2:3" ht="15" customHeight="1" x14ac:dyDescent="0.25">
      <c r="B99" t="s">
        <v>703</v>
      </c>
      <c r="C99" s="130">
        <f>C92</f>
        <v>18.907537679631989</v>
      </c>
    </row>
    <row r="100" spans="2:3" ht="15" customHeight="1" x14ac:dyDescent="0.25">
      <c r="B100" t="s">
        <v>704</v>
      </c>
      <c r="C100" s="115">
        <f>C98*C99</f>
        <v>27485.966372678489</v>
      </c>
    </row>
    <row r="101" spans="2:3" ht="15" customHeight="1" x14ac:dyDescent="0.25">
      <c r="B101" t="s">
        <v>705</v>
      </c>
      <c r="C101" s="115">
        <f>Model!CP426+Model!CP436</f>
        <v>1827.4646245036611</v>
      </c>
    </row>
    <row r="102" spans="2:3" ht="15" customHeight="1" x14ac:dyDescent="0.25">
      <c r="B102" t="s">
        <v>706</v>
      </c>
      <c r="C102" s="115">
        <f>C100-C101</f>
        <v>25658.501748174829</v>
      </c>
    </row>
    <row r="103" spans="2:3" ht="15" customHeight="1" x14ac:dyDescent="0.25">
      <c r="B103" t="s">
        <v>707</v>
      </c>
      <c r="C103" s="115">
        <f>Model!CQ179</f>
        <v>44.756120864872756</v>
      </c>
    </row>
    <row r="104" spans="2:3" ht="15" customHeight="1" x14ac:dyDescent="0.25">
      <c r="B104" t="s">
        <v>708</v>
      </c>
      <c r="C104" s="125">
        <f>C102/C103</f>
        <v>573.29592583867418</v>
      </c>
    </row>
    <row r="106" spans="2:3" ht="15" customHeight="1" x14ac:dyDescent="0.25">
      <c r="B106" t="s">
        <v>670</v>
      </c>
      <c r="C106" s="125">
        <f>C58</f>
        <v>615</v>
      </c>
    </row>
    <row r="107" spans="2:3" ht="15" customHeight="1" x14ac:dyDescent="0.25">
      <c r="B107" t="s">
        <v>671</v>
      </c>
      <c r="C107" s="126">
        <f>C104/C106-1</f>
        <v>-6.7811502701342841E-2</v>
      </c>
    </row>
    <row r="109" spans="2:3" ht="15" customHeight="1" x14ac:dyDescent="0.25">
      <c r="B109" s="17" t="s">
        <v>709</v>
      </c>
      <c r="C109" s="17" t="s">
        <v>698</v>
      </c>
    </row>
    <row r="110" spans="2:3" ht="15" customHeight="1" x14ac:dyDescent="0.25">
      <c r="B110" t="s">
        <v>710</v>
      </c>
      <c r="C110" s="115">
        <f>C58*C56</f>
        <v>28828.125</v>
      </c>
    </row>
    <row r="111" spans="2:3" ht="15" customHeight="1" x14ac:dyDescent="0.25">
      <c r="B111" t="s">
        <v>711</v>
      </c>
      <c r="C111" s="115">
        <f>C53+C54</f>
        <v>1023.2984705537406</v>
      </c>
    </row>
    <row r="112" spans="2:3" ht="15" customHeight="1" x14ac:dyDescent="0.25">
      <c r="B112" t="s">
        <v>712</v>
      </c>
      <c r="C112" s="115">
        <f>C110+C111</f>
        <v>29851.423470553742</v>
      </c>
    </row>
    <row r="113" spans="2:3" ht="15" customHeight="1" x14ac:dyDescent="0.25">
      <c r="B113" t="s">
        <v>713</v>
      </c>
      <c r="C113" s="130">
        <f>C112/C98</f>
        <v>20.534730575133988</v>
      </c>
    </row>
    <row r="115" spans="2:3" ht="15" customHeight="1" x14ac:dyDescent="0.25">
      <c r="B115" t="s">
        <v>714</v>
      </c>
      <c r="C115" s="130">
        <f>C92-C113</f>
        <v>-1.6271928955019987</v>
      </c>
    </row>
    <row r="116" spans="2:3" ht="15" customHeight="1" x14ac:dyDescent="0.25">
      <c r="B116" t="s">
        <v>715</v>
      </c>
      <c r="C116" s="126">
        <f>C92/C113-1</f>
        <v>-7.9241015096268463E-2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1"/>
  <sheetViews>
    <sheetView zoomScale="70" zoomScaleNormal="70" workbookViewId="0"/>
  </sheetViews>
  <sheetFormatPr defaultColWidth="8.5703125" defaultRowHeight="15" x14ac:dyDescent="0.25"/>
  <cols>
    <col min="2" max="2" width="30" customWidth="1"/>
  </cols>
  <sheetData>
    <row r="2" spans="2:22" ht="17.25" customHeight="1" x14ac:dyDescent="0.3">
      <c r="B2" s="131" t="s">
        <v>716</v>
      </c>
    </row>
    <row r="3" spans="2:22" ht="15" customHeight="1" x14ac:dyDescent="0.25">
      <c r="B3" s="4" t="s">
        <v>717</v>
      </c>
    </row>
    <row r="7" spans="2:22" ht="15" customHeight="1" x14ac:dyDescent="0.25">
      <c r="C7" s="11">
        <v>2006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>
        <v>2016</v>
      </c>
      <c r="N7" s="11">
        <v>2017</v>
      </c>
      <c r="O7" s="11">
        <v>2018</v>
      </c>
      <c r="P7" s="11">
        <v>2019</v>
      </c>
      <c r="Q7" s="11">
        <v>2020</v>
      </c>
      <c r="R7" s="11">
        <v>2021</v>
      </c>
      <c r="S7" s="11">
        <v>2022</v>
      </c>
      <c r="T7" s="11">
        <v>2023</v>
      </c>
      <c r="U7" s="11">
        <v>2024</v>
      </c>
      <c r="V7" s="11">
        <v>2025</v>
      </c>
    </row>
    <row r="8" spans="2:22" ht="15" customHeight="1" x14ac:dyDescent="0.25">
      <c r="B8" t="s">
        <v>718</v>
      </c>
      <c r="C8" s="132">
        <f>IFERROR(Model!C247+0,0)</f>
        <v>0</v>
      </c>
      <c r="D8" s="132">
        <f>IFERROR(Model!D247+0,0)</f>
        <v>1.9257605358637853E-2</v>
      </c>
      <c r="E8" s="132">
        <f>IFERROR(Model!E247+0,0)</f>
        <v>-2.6628860260124454E-2</v>
      </c>
      <c r="F8" s="132">
        <f>IFERROR(Model!F247+0,0)</f>
        <v>-6.3763066202090685E-2</v>
      </c>
      <c r="G8" s="132">
        <f>IFERROR(Model!G247+0,0)</f>
        <v>-2.0095635857393553E-2</v>
      </c>
      <c r="H8" s="132">
        <f>IFERROR(Model!H247+0,0)</f>
        <v>2.9254348619389303E-2</v>
      </c>
      <c r="I8" s="132">
        <f>IFERROR(Model!I247+0,0)</f>
        <v>2.4203100056646304E-3</v>
      </c>
      <c r="J8" s="132">
        <f>IFERROR(Model!O247+0,0)</f>
        <v>1.8474122126639292E-2</v>
      </c>
      <c r="K8" s="132">
        <f>IFERROR(Model!U247+0,0)</f>
        <v>6.8417001624899304E-4</v>
      </c>
      <c r="L8" s="132">
        <f>IFERROR(Model!AA247+0,0)</f>
        <v>-5.6307435254803723E-2</v>
      </c>
      <c r="M8" s="132">
        <f>IFERROR(Model!AG247+0,0)</f>
        <v>-7.5453635612027267E-2</v>
      </c>
      <c r="N8" s="132">
        <f>IFERROR(Model!AM247+0,0)</f>
        <v>7.2515000697706833E-2</v>
      </c>
      <c r="O8" s="132">
        <f>IFERROR(Model!AS247+0,0)</f>
        <v>7.0243490283431881E-2</v>
      </c>
      <c r="P8" s="132">
        <f>IFERROR(Model!AY247+0,0)</f>
        <v>4.4351781652767118E-2</v>
      </c>
      <c r="Q8" s="132">
        <f>IFERROR(Model!BE247+0,0)</f>
        <v>-4.6244784422809479E-2</v>
      </c>
      <c r="R8" s="132">
        <f>IFERROR(Model!BK247+0,0)</f>
        <v>8.2463871427645885E-2</v>
      </c>
      <c r="S8" s="132">
        <f>IFERROR(Model!BQ247+0,0)</f>
        <v>5.4309429382571606E-2</v>
      </c>
      <c r="T8" s="132">
        <f>IFERROR(Model!BW247+0,0)</f>
        <v>1.4124500787747685E-2</v>
      </c>
      <c r="U8" s="132">
        <f>IFERROR(Model!CC247+0,0)</f>
        <v>-2.6439535090054204E-3</v>
      </c>
      <c r="V8" s="132">
        <f>IFERROR(Model!CI247+0,0)</f>
        <v>3.0917107583774105E-2</v>
      </c>
    </row>
    <row r="9" spans="2:22" ht="15" customHeight="1" x14ac:dyDescent="0.25">
      <c r="B9" t="s">
        <v>719</v>
      </c>
      <c r="C9" s="132">
        <f>IFERROR(Model!C248+0,0)</f>
        <v>0</v>
      </c>
      <c r="D9" s="132">
        <f>IFERROR(Model!D248+0,0)</f>
        <v>0.11268490092101591</v>
      </c>
      <c r="E9" s="132">
        <f>IFERROR(Model!E248+0,0)</f>
        <v>8.8084817851198927E-2</v>
      </c>
      <c r="F9" s="132">
        <f>IFERROR(Model!F248+0,0)</f>
        <v>2.3170731707317073E-2</v>
      </c>
      <c r="G9" s="132">
        <f>IFERROR(Model!G248+0,0)</f>
        <v>1.5313842987712609E-2</v>
      </c>
      <c r="H9" s="132">
        <f>IFERROR(Model!H248+0,0)</f>
        <v>0.151806349592507</v>
      </c>
      <c r="I9" s="132">
        <f>IFERROR(Model!I248+0,0)</f>
        <v>9.3053195324167046E-2</v>
      </c>
      <c r="J9" s="132">
        <f>IFERROR(Model!O248+0,0)</f>
        <v>8.0853664269261494E-2</v>
      </c>
      <c r="K9" s="132">
        <f>IFERROR(Model!U248+0,0)</f>
        <v>2.3005216796373899E-2</v>
      </c>
      <c r="L9" s="132">
        <f>IFERROR(Model!AA248+0,0)</f>
        <v>1.6248955722639933E-2</v>
      </c>
      <c r="M9" s="132">
        <f>IFERROR(Model!AG248+0,0)</f>
        <v>1.0965580261955529E-2</v>
      </c>
      <c r="N9" s="132">
        <f>IFERROR(Model!AM248+0,0)</f>
        <v>0.13861109819061351</v>
      </c>
      <c r="O9" s="132">
        <f>IFERROR(Model!AS248+0,0)</f>
        <v>4.4204624011060754E-2</v>
      </c>
      <c r="P9" s="132">
        <f>IFERROR(Model!AY248+0,0)</f>
        <v>4.5868081880212276E-2</v>
      </c>
      <c r="Q9" s="132">
        <f>IFERROR(Model!BE248+0,0)</f>
        <v>2.1778985965355924E-2</v>
      </c>
      <c r="R9" s="132">
        <f>IFERROR(Model!BK248+0,0)</f>
        <v>0.41267578251571513</v>
      </c>
      <c r="S9" s="132">
        <f>IFERROR(Model!BQ248+0,0)</f>
        <v>0.12866523633053767</v>
      </c>
      <c r="T9" s="132">
        <f>IFERROR(Model!BW248+0,0)</f>
        <v>1.8283076246656649E-2</v>
      </c>
      <c r="U9" s="132">
        <f>IFERROR(Model!CC248+0,0)</f>
        <v>8.7658592848904263E-3</v>
      </c>
      <c r="V9" s="132">
        <f>IFERROR(Model!CI248+0,0)</f>
        <v>4.7636684303350975E-2</v>
      </c>
    </row>
    <row r="11" spans="2:22" ht="15" customHeight="1" x14ac:dyDescent="0.25">
      <c r="C11" s="11">
        <f t="shared" ref="C11:V11" si="0">C7</f>
        <v>2006</v>
      </c>
      <c r="D11" s="11">
        <f t="shared" si="0"/>
        <v>2007</v>
      </c>
      <c r="E11" s="11">
        <f t="shared" si="0"/>
        <v>2008</v>
      </c>
      <c r="F11" s="11">
        <f t="shared" si="0"/>
        <v>2009</v>
      </c>
      <c r="G11" s="11">
        <f t="shared" si="0"/>
        <v>2010</v>
      </c>
      <c r="H11" s="11">
        <f t="shared" si="0"/>
        <v>2011</v>
      </c>
      <c r="I11" s="11">
        <f t="shared" si="0"/>
        <v>2012</v>
      </c>
      <c r="J11" s="11">
        <f t="shared" si="0"/>
        <v>2013</v>
      </c>
      <c r="K11" s="11">
        <f t="shared" si="0"/>
        <v>2014</v>
      </c>
      <c r="L11" s="11">
        <f t="shared" si="0"/>
        <v>2015</v>
      </c>
      <c r="M11" s="11">
        <f t="shared" si="0"/>
        <v>2016</v>
      </c>
      <c r="N11" s="11">
        <f t="shared" si="0"/>
        <v>2017</v>
      </c>
      <c r="O11" s="11">
        <f t="shared" si="0"/>
        <v>2018</v>
      </c>
      <c r="P11" s="11">
        <f t="shared" si="0"/>
        <v>2019</v>
      </c>
      <c r="Q11" s="11">
        <f t="shared" si="0"/>
        <v>2020</v>
      </c>
      <c r="R11" s="11">
        <f t="shared" si="0"/>
        <v>2021</v>
      </c>
      <c r="S11" s="11">
        <f t="shared" si="0"/>
        <v>2022</v>
      </c>
      <c r="T11" s="11">
        <f t="shared" si="0"/>
        <v>2023</v>
      </c>
      <c r="U11" s="11">
        <f t="shared" si="0"/>
        <v>2024</v>
      </c>
      <c r="V11" s="11">
        <f t="shared" si="0"/>
        <v>2025</v>
      </c>
    </row>
    <row r="12" spans="2:22" ht="15" customHeight="1" x14ac:dyDescent="0.25">
      <c r="B12" t="s">
        <v>593</v>
      </c>
      <c r="C12" s="114">
        <f>Model!C200</f>
        <v>132.80000000000001</v>
      </c>
      <c r="D12" s="114">
        <f>Model!D200</f>
        <v>168.69999999999985</v>
      </c>
      <c r="E12" s="114">
        <f>Model!E200</f>
        <v>214.39999999999992</v>
      </c>
      <c r="F12" s="114">
        <f>Model!F200</f>
        <v>183.79999999999998</v>
      </c>
      <c r="G12" s="114">
        <f>Model!G200</f>
        <v>192.60000000000011</v>
      </c>
      <c r="H12" s="114">
        <f>Model!H200</f>
        <v>251.80000000000004</v>
      </c>
      <c r="I12" s="114">
        <f>Model!I200</f>
        <v>272.50000000000023</v>
      </c>
      <c r="J12" s="114">
        <f>Model!O200</f>
        <v>271.79999999999995</v>
      </c>
      <c r="K12" s="114">
        <f>Model!U200</f>
        <v>326.50000000000011</v>
      </c>
      <c r="L12" s="114">
        <f>Model!AA200</f>
        <v>312.29999999999995</v>
      </c>
      <c r="M12" s="114">
        <f>Model!AG200</f>
        <v>284.00000000000006</v>
      </c>
      <c r="N12" s="114">
        <f>Model!AM200</f>
        <v>381.80000000000013</v>
      </c>
      <c r="O12" s="114">
        <f>Model!AS200</f>
        <v>456.10000000000014</v>
      </c>
      <c r="P12" s="114">
        <f>Model!AY200</f>
        <v>528.19999999999993</v>
      </c>
      <c r="Q12" s="114">
        <f>Model!BE200</f>
        <v>518.89999999999986</v>
      </c>
      <c r="R12" s="114">
        <f>Model!BK200</f>
        <v>983.00000000000023</v>
      </c>
      <c r="S12" s="114">
        <f>Model!BQ200</f>
        <v>1169.7000000000003</v>
      </c>
      <c r="T12" s="114">
        <f>Model!BW200</f>
        <v>1239.9000000000001</v>
      </c>
      <c r="U12" s="114">
        <f>Model!CC200</f>
        <v>1248</v>
      </c>
      <c r="V12" s="114">
        <f>Model!CI200</f>
        <v>1379.9999999999995</v>
      </c>
    </row>
    <row r="13" spans="2:22" ht="15" customHeight="1" x14ac:dyDescent="0.25">
      <c r="B13" t="s">
        <v>595</v>
      </c>
      <c r="C13" s="114">
        <f>Model!C160</f>
        <v>125.10000000000002</v>
      </c>
      <c r="D13" s="114">
        <f>Model!D160</f>
        <v>162.29999999999984</v>
      </c>
      <c r="E13" s="114">
        <f>Model!E160</f>
        <v>198.59999999999991</v>
      </c>
      <c r="F13" s="114">
        <f>Model!F160</f>
        <v>171.39999999999998</v>
      </c>
      <c r="G13" s="114">
        <f>Model!G160</f>
        <v>178.50000000000011</v>
      </c>
      <c r="H13" s="114">
        <f>Model!H160</f>
        <v>227.20000000000005</v>
      </c>
      <c r="I13" s="114">
        <f>Model!I160</f>
        <v>243.10000000000025</v>
      </c>
      <c r="J13" s="114">
        <f>Model!O160</f>
        <v>240.29999999999995</v>
      </c>
      <c r="K13" s="114">
        <f>Model!U160</f>
        <v>294.50000000000011</v>
      </c>
      <c r="L13" s="114">
        <f>Model!AA160</f>
        <v>281.69999999999993</v>
      </c>
      <c r="M13" s="114">
        <f>Model!AG160</f>
        <v>253.80000000000007</v>
      </c>
      <c r="N13" s="114">
        <f>Model!AM160</f>
        <v>321.70000000000016</v>
      </c>
      <c r="O13" s="114">
        <f>Model!AS160</f>
        <v>416.60000000000014</v>
      </c>
      <c r="P13" s="114">
        <f>Model!AY160</f>
        <v>491.69999999999993</v>
      </c>
      <c r="Q13" s="114">
        <f>Model!BE160</f>
        <v>480.09999999999991</v>
      </c>
      <c r="R13" s="114">
        <f>Model!BK160</f>
        <v>624.30000000000018</v>
      </c>
      <c r="S13" s="114">
        <f>Model!BQ160</f>
        <v>972.00000000000023</v>
      </c>
      <c r="T13" s="114">
        <f>Model!BW160</f>
        <v>1034.4000000000001</v>
      </c>
      <c r="U13" s="114">
        <f>Model!CC160</f>
        <v>989.10000000000014</v>
      </c>
      <c r="V13" s="114">
        <f>Model!CI160</f>
        <v>1149.7999999999997</v>
      </c>
    </row>
    <row r="14" spans="2:22" ht="15" customHeight="1" x14ac:dyDescent="0.25">
      <c r="B14" t="s">
        <v>720</v>
      </c>
      <c r="C14" s="132">
        <f>Model!C254</f>
        <v>9.2659782305330729E-2</v>
      </c>
      <c r="D14" s="132">
        <f>Model!D254</f>
        <v>0.10398816495099542</v>
      </c>
      <c r="E14" s="132">
        <f>Model!E254</f>
        <v>0.12450638792102202</v>
      </c>
      <c r="F14" s="132">
        <f>Model!F254</f>
        <v>0.11125234549966709</v>
      </c>
      <c r="G14" s="132">
        <f>Model!G254</f>
        <v>0.11713903418075666</v>
      </c>
      <c r="H14" s="132">
        <f>Model!H254</f>
        <v>0.1296668211545394</v>
      </c>
      <c r="I14" s="132">
        <f>Model!I254</f>
        <v>0.12809664833356846</v>
      </c>
      <c r="J14" s="132">
        <f>Model!O254</f>
        <v>0.1162233815103053</v>
      </c>
      <c r="K14" s="132">
        <f>Model!U254</f>
        <v>0.13638262322472852</v>
      </c>
      <c r="L14" s="132">
        <f>Model!AA254</f>
        <v>0.13589486967494885</v>
      </c>
      <c r="M14" s="132">
        <f>Model!AG254</f>
        <v>0.13209916740313504</v>
      </c>
      <c r="N14" s="132">
        <f>Model!AM254</f>
        <v>0.14663184576388361</v>
      </c>
      <c r="O14" s="132">
        <f>Model!AS254</f>
        <v>0.15717830312220005</v>
      </c>
      <c r="P14" s="132">
        <f>Model!AY254</f>
        <v>0.16696168921481855</v>
      </c>
      <c r="Q14" s="132">
        <f>Model!BE254</f>
        <v>0.16813557125267314</v>
      </c>
      <c r="R14" s="132">
        <f>Model!BK254</f>
        <v>0.21303339618143602</v>
      </c>
      <c r="S14" s="132">
        <f>Model!BQ254</f>
        <v>0.21428571428571433</v>
      </c>
      <c r="T14" s="132">
        <f>Model!BW254</f>
        <v>0.22001597018898059</v>
      </c>
      <c r="U14" s="132">
        <f>Model!CC254</f>
        <v>0.22010582010582011</v>
      </c>
      <c r="V14" s="132">
        <f>Model!CI254</f>
        <v>0.22565980966085614</v>
      </c>
    </row>
    <row r="15" spans="2:22" ht="15" customHeight="1" x14ac:dyDescent="0.25">
      <c r="B15" t="s">
        <v>721</v>
      </c>
      <c r="C15" s="132">
        <f>Model!C256</f>
        <v>8.7287189506000576E-2</v>
      </c>
      <c r="D15" s="132">
        <f>Model!D256</f>
        <v>0.10004314861616215</v>
      </c>
      <c r="E15" s="132">
        <f>Model!E256</f>
        <v>0.11533101045296162</v>
      </c>
      <c r="F15" s="132">
        <f>Model!F256</f>
        <v>0.1037467465649779</v>
      </c>
      <c r="G15" s="132">
        <f>Model!G256</f>
        <v>0.1085634351052184</v>
      </c>
      <c r="H15" s="132">
        <f>Model!H256</f>
        <v>0.11699881559297597</v>
      </c>
      <c r="I15" s="132">
        <f>Model!I256</f>
        <v>0.11427631269684588</v>
      </c>
      <c r="J15" s="132">
        <f>Model!O256</f>
        <v>0.10275378431540236</v>
      </c>
      <c r="K15" s="132">
        <f>Model!U256</f>
        <v>0.12301587301587306</v>
      </c>
      <c r="L15" s="132">
        <f>Model!AA256</f>
        <v>0.12257952221400285</v>
      </c>
      <c r="M15" s="132">
        <f>Model!AG256</f>
        <v>0.11805200241871718</v>
      </c>
      <c r="N15" s="132">
        <f>Model!AM256</f>
        <v>0.12355019586757821</v>
      </c>
      <c r="O15" s="132">
        <f>Model!AS256</f>
        <v>0.1435660624440003</v>
      </c>
      <c r="P15" s="132">
        <f>Model!AY256</f>
        <v>0.15542420027816409</v>
      </c>
      <c r="Q15" s="132">
        <f>Model!BE256</f>
        <v>0.15556347611949969</v>
      </c>
      <c r="R15" s="132">
        <f>Model!BK256</f>
        <v>0.13529679474676554</v>
      </c>
      <c r="S15" s="132">
        <f>Model!BQ256</f>
        <v>0.17806763639028325</v>
      </c>
      <c r="T15" s="132">
        <f>Model!BW256</f>
        <v>0.18355070535001333</v>
      </c>
      <c r="U15" s="132">
        <f>Model!CC256</f>
        <v>0.17444444444444446</v>
      </c>
      <c r="V15" s="132">
        <f>Model!CI256</f>
        <v>0.1880171370638061</v>
      </c>
    </row>
    <row r="17" spans="2:22" ht="15" customHeight="1" x14ac:dyDescent="0.25">
      <c r="C17" s="11">
        <f t="shared" ref="C17:V17" si="1">C7</f>
        <v>2006</v>
      </c>
      <c r="D17" s="11">
        <f t="shared" si="1"/>
        <v>2007</v>
      </c>
      <c r="E17" s="11">
        <f t="shared" si="1"/>
        <v>2008</v>
      </c>
      <c r="F17" s="11">
        <f t="shared" si="1"/>
        <v>2009</v>
      </c>
      <c r="G17" s="11">
        <f t="shared" si="1"/>
        <v>2010</v>
      </c>
      <c r="H17" s="11">
        <f t="shared" si="1"/>
        <v>2011</v>
      </c>
      <c r="I17" s="11">
        <f t="shared" si="1"/>
        <v>2012</v>
      </c>
      <c r="J17" s="11">
        <f t="shared" si="1"/>
        <v>2013</v>
      </c>
      <c r="K17" s="11">
        <f t="shared" si="1"/>
        <v>2014</v>
      </c>
      <c r="L17" s="11">
        <f t="shared" si="1"/>
        <v>2015</v>
      </c>
      <c r="M17" s="11">
        <f t="shared" si="1"/>
        <v>2016</v>
      </c>
      <c r="N17" s="11">
        <f t="shared" si="1"/>
        <v>2017</v>
      </c>
      <c r="O17" s="11">
        <f t="shared" si="1"/>
        <v>2018</v>
      </c>
      <c r="P17" s="11">
        <f t="shared" si="1"/>
        <v>2019</v>
      </c>
      <c r="Q17" s="11">
        <f t="shared" si="1"/>
        <v>2020</v>
      </c>
      <c r="R17" s="11">
        <f t="shared" si="1"/>
        <v>2021</v>
      </c>
      <c r="S17" s="11">
        <f t="shared" si="1"/>
        <v>2022</v>
      </c>
      <c r="T17" s="11">
        <f t="shared" si="1"/>
        <v>2023</v>
      </c>
      <c r="U17" s="11">
        <f t="shared" si="1"/>
        <v>2024</v>
      </c>
      <c r="V17" s="11">
        <f t="shared" si="1"/>
        <v>2025</v>
      </c>
    </row>
    <row r="18" spans="2:22" ht="15" customHeight="1" x14ac:dyDescent="0.25">
      <c r="B18" t="s">
        <v>613</v>
      </c>
      <c r="C18" s="132">
        <f>IFERROR(Model!C406+0,NA())</f>
        <v>0.13522694949918521</v>
      </c>
      <c r="D18" s="132">
        <f>IFERROR(Model!D406+0,NA())</f>
        <v>0.17057143140640169</v>
      </c>
      <c r="E18" s="132">
        <f>IFERROR(Model!E406+0,NA())</f>
        <v>0.15990164592533107</v>
      </c>
      <c r="F18" s="132">
        <f>IFERROR(Model!F406+0,NA())</f>
        <v>0.14391273182827916</v>
      </c>
      <c r="G18" s="132">
        <f>IFERROR(Model!G406+0,NA())</f>
        <v>0.13596164272160488</v>
      </c>
      <c r="H18" s="132">
        <f>IFERROR(Model!H406+0,NA())</f>
        <v>0.13554814733436629</v>
      </c>
      <c r="I18" s="132">
        <f>IFERROR(Model!I406+0,NA())</f>
        <v>0.11330226806811461</v>
      </c>
      <c r="J18" s="132">
        <f>IFERROR(Model!O406+0,NA())</f>
        <v>0.1116452135162862</v>
      </c>
      <c r="K18" s="132">
        <f>IFERROR(Model!U406+0,NA())</f>
        <v>0.12278983306726962</v>
      </c>
      <c r="L18" s="132">
        <f>IFERROR(Model!AA406+0,NA())</f>
        <v>0.11593578440449964</v>
      </c>
      <c r="M18" s="132">
        <f>IFERROR(Model!AG406+0,NA())</f>
        <v>0.10835325500248146</v>
      </c>
      <c r="N18" s="132">
        <f>IFERROR(Model!AM406+0,NA())</f>
        <v>0.10248101155757627</v>
      </c>
      <c r="O18" s="132">
        <f>IFERROR(Model!AS406+0,NA())</f>
        <v>0.13634942790419463</v>
      </c>
      <c r="P18" s="132">
        <f>IFERROR(Model!AY406+0,NA())</f>
        <v>0.1332774695930917</v>
      </c>
      <c r="Q18" s="132">
        <f>IFERROR(Model!BE406+0,NA())</f>
        <v>0.13317279699265591</v>
      </c>
      <c r="R18" s="132">
        <f>IFERROR(Model!BK406+0,NA())</f>
        <v>7.2912591223669998E-2</v>
      </c>
      <c r="S18" s="132">
        <f>IFERROR(Model!BQ406+0,NA())</f>
        <v>8.8705901070346066E-2</v>
      </c>
      <c r="T18" s="132">
        <f>IFERROR(Model!BW406+0,NA())</f>
        <v>9.696955868747123E-2</v>
      </c>
      <c r="U18" s="132">
        <f>IFERROR(Model!CC406+0,NA())</f>
        <v>9.4512133584017069E-2</v>
      </c>
      <c r="V18" s="132">
        <f>IFERROR(Model!CI406+0,NA())</f>
        <v>8.9368680533320741E-2</v>
      </c>
    </row>
    <row r="19" spans="2:22" ht="15" customHeight="1" x14ac:dyDescent="0.25">
      <c r="B19" t="s">
        <v>614</v>
      </c>
      <c r="C19" s="132">
        <f>IFERROR(Model!C418+0,NA())</f>
        <v>0.1958864114851287</v>
      </c>
      <c r="D19" s="132">
        <f>IFERROR(Model!D418+0,NA())</f>
        <v>0.23264547370990923</v>
      </c>
      <c r="E19" s="132">
        <f>IFERROR(Model!E418+0,NA())</f>
        <v>0.22434909951138446</v>
      </c>
      <c r="F19" s="132">
        <f>IFERROR(Model!F418+0,NA())</f>
        <v>0.26515082411916807</v>
      </c>
      <c r="G19" s="132">
        <f>IFERROR(Model!G418+0,NA())</f>
        <v>0.23841984339719821</v>
      </c>
      <c r="H19" s="132">
        <f>IFERROR(Model!H418+0,NA())</f>
        <v>0.28462601211853555</v>
      </c>
      <c r="I19" s="132">
        <f>IFERROR(Model!I418+0,NA())</f>
        <v>0.26087497524325154</v>
      </c>
      <c r="J19" s="132">
        <f>IFERROR(Model!O418+0,NA())</f>
        <v>0.21781570552914678</v>
      </c>
      <c r="K19" s="132">
        <f>IFERROR(Model!U418+0,NA())</f>
        <v>0.25431461349297324</v>
      </c>
      <c r="L19" s="132">
        <f>IFERROR(Model!AA418+0,NA())</f>
        <v>0.24654637250695177</v>
      </c>
      <c r="M19" s="132">
        <f>IFERROR(Model!AG418+0,NA())</f>
        <v>0.23738120398641901</v>
      </c>
      <c r="N19" s="132">
        <f>IFERROR(Model!AM418+0,NA())</f>
        <v>0.2665789798789554</v>
      </c>
      <c r="O19" s="132">
        <f>IFERROR(Model!AS418+0,NA())</f>
        <v>0.33715084026519576</v>
      </c>
      <c r="P19" s="132">
        <f>IFERROR(Model!AY418+0,NA())</f>
        <v>0.312407066757036</v>
      </c>
      <c r="Q19" s="132">
        <f>IFERROR(Model!BE418+0,NA())</f>
        <v>0.23847787365641587</v>
      </c>
      <c r="R19" s="132">
        <f>IFERROR(Model!BK418+0,NA())</f>
        <v>0.37213016868544602</v>
      </c>
      <c r="S19" s="132">
        <f>IFERROR(Model!BQ418+0,NA())</f>
        <v>0.36071193039694815</v>
      </c>
      <c r="T19" s="132">
        <f>IFERROR(Model!BW418+0,NA())</f>
        <v>0.37209117514662743</v>
      </c>
      <c r="U19" s="132">
        <f>IFERROR(Model!CC418+0,NA())</f>
        <v>0.37197693940659571</v>
      </c>
      <c r="V19" s="132">
        <f>IFERROR(Model!CI418+0,NA())</f>
        <v>0.36576728819520687</v>
      </c>
    </row>
    <row r="20" spans="2:22" ht="15" customHeight="1" x14ac:dyDescent="0.25">
      <c r="B20" t="s">
        <v>722</v>
      </c>
      <c r="C20" s="132">
        <f>IFERROR(Model!C254+0,NA())</f>
        <v>9.2659782305330729E-2</v>
      </c>
      <c r="D20" s="132">
        <f>IFERROR(Model!D254+0,NA())</f>
        <v>0.10398816495099542</v>
      </c>
      <c r="E20" s="132">
        <f>IFERROR(Model!E254+0,NA())</f>
        <v>0.12450638792102202</v>
      </c>
      <c r="F20" s="132">
        <f>IFERROR(Model!F254+0,NA())</f>
        <v>0.11125234549966709</v>
      </c>
      <c r="G20" s="132">
        <f>IFERROR(Model!G254+0,NA())</f>
        <v>0.11713903418075666</v>
      </c>
      <c r="H20" s="132">
        <f>IFERROR(Model!H254+0,NA())</f>
        <v>0.1296668211545394</v>
      </c>
      <c r="I20" s="132">
        <f>IFERROR(Model!I254+0,NA())</f>
        <v>0.12809664833356846</v>
      </c>
      <c r="J20" s="132">
        <f>IFERROR(Model!O254+0,NA())</f>
        <v>0.1162233815103053</v>
      </c>
      <c r="K20" s="132">
        <f>IFERROR(Model!U254+0,NA())</f>
        <v>0.13638262322472852</v>
      </c>
      <c r="L20" s="132">
        <f>IFERROR(Model!AA254+0,NA())</f>
        <v>0.13589486967494885</v>
      </c>
      <c r="M20" s="132">
        <f>IFERROR(Model!AG254+0,NA())</f>
        <v>0.13209916740313504</v>
      </c>
      <c r="N20" s="132">
        <f>IFERROR(Model!AM254+0,NA())</f>
        <v>0.14663184576388361</v>
      </c>
      <c r="O20" s="132">
        <f>IFERROR(Model!AS254+0,NA())</f>
        <v>0.15717830312220005</v>
      </c>
      <c r="P20" s="132">
        <f>IFERROR(Model!AY254+0,NA())</f>
        <v>0.16696168921481855</v>
      </c>
      <c r="Q20" s="132">
        <f>IFERROR(Model!BE254+0,NA())</f>
        <v>0.16813557125267314</v>
      </c>
      <c r="R20" s="132">
        <f>IFERROR(Model!BK254+0,NA())</f>
        <v>0.21303339618143602</v>
      </c>
      <c r="S20" s="132">
        <f>IFERROR(Model!BQ254+0,NA())</f>
        <v>0.21428571428571433</v>
      </c>
      <c r="T20" s="132">
        <f>IFERROR(Model!BW254+0,NA())</f>
        <v>0.22001597018898059</v>
      </c>
      <c r="U20" s="132">
        <f>IFERROR(Model!CC254+0,NA())</f>
        <v>0.22010582010582011</v>
      </c>
      <c r="V20" s="132">
        <f>IFERROR(Model!CI254+0,NA())</f>
        <v>0.22565980966085614</v>
      </c>
    </row>
    <row r="21" spans="2:22" ht="15" customHeight="1" x14ac:dyDescent="0.25">
      <c r="B21" t="s">
        <v>723</v>
      </c>
      <c r="C21" s="132">
        <f>IFERROR(Model!C294+0,NA())</f>
        <v>3.6282444878593362E-2</v>
      </c>
      <c r="D21" s="132">
        <f>IFERROR(Model!D294+0,NA())</f>
        <v>7.7914072612956908E-2</v>
      </c>
      <c r="E21" s="132">
        <f>IFERROR(Model!E294+0,NA())</f>
        <v>4.7735191637630667E-2</v>
      </c>
      <c r="F21" s="132">
        <f>IFERROR(Model!F294+0,NA())</f>
        <v>7.3482234731553783E-2</v>
      </c>
      <c r="G21" s="132">
        <f>IFERROR(Model!G294+0,NA())</f>
        <v>6.738839557231481E-2</v>
      </c>
      <c r="H21" s="132">
        <f>IFERROR(Model!H294+0,NA())</f>
        <v>9.0066429785261845E-2</v>
      </c>
      <c r="I21" s="132">
        <f>IFERROR(Model!I294+0,NA())</f>
        <v>5.8242843040473828E-2</v>
      </c>
      <c r="J21" s="132">
        <f>IFERROR(Model!O294+0,NA())</f>
        <v>5.5888138202343292E-2</v>
      </c>
      <c r="K21" s="132">
        <f>IFERROR(Model!U294+0,NA())</f>
        <v>0.10208855472013366</v>
      </c>
      <c r="L21" s="132">
        <f>IFERROR(Model!AA294+0,NA())</f>
        <v>7.1015186458378662E-2</v>
      </c>
      <c r="M21" s="132">
        <f>IFERROR(Model!AG294+0,NA())</f>
        <v>0.10670263733196893</v>
      </c>
      <c r="N21" s="132">
        <f>IFERROR(Model!AM294+0,NA())</f>
        <v>0.1214378984561026</v>
      </c>
      <c r="O21" s="132">
        <f>IFERROR(Model!AS294+0,NA())</f>
        <v>0.1240953890688538</v>
      </c>
      <c r="P21" s="132">
        <f>IFERROR(Model!AY294+0,NA())</f>
        <v>0.12444683272221521</v>
      </c>
      <c r="Q21" s="132">
        <f>IFERROR(Model!BE294+0,NA())</f>
        <v>0.17740263106733201</v>
      </c>
      <c r="R21" s="132">
        <f>IFERROR(Model!BK294+0,NA())</f>
        <v>0.1566868214030297</v>
      </c>
      <c r="S21" s="132">
        <f>IFERROR(Model!BQ294+0,NA())</f>
        <v>7.2216319202725976E-2</v>
      </c>
      <c r="T21" s="132">
        <f>IFERROR(Model!BW294+0,NA())</f>
        <v>0.12797444769763108</v>
      </c>
      <c r="U21" s="132">
        <f>IFERROR(Model!CC294+0,NA())</f>
        <v>0.19544973544973546</v>
      </c>
      <c r="V21" s="132">
        <f>IFERROR(Model!CI294+0,NA())</f>
        <v>0.17562219969257939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ColWidth="8.5703125" defaultRowHeight="15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Bull-Base-Bear</vt:lpstr>
      <vt:lpstr>DCF</vt:lpstr>
      <vt:lpstr>Charts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Payton Liske</cp:lastModifiedBy>
  <cp:revision>2</cp:revision>
  <dcterms:created xsi:type="dcterms:W3CDTF">2026-10-04T02:35:31Z</dcterms:created>
  <dcterms:modified xsi:type="dcterms:W3CDTF">2026-10-04T13:09:34Z</dcterms:modified>
  <dc:language>en-US</dc:language>
</cp:coreProperties>
</file>