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18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dd\-mmm\-yy"/>
    <numFmt numFmtId="176" formatCode="0%;\(0%\);\-"/>
    <numFmt numFmtId="177" formatCode="0.0\x"/>
    <numFmt numFmtId="178" formatCode="0.0%"/>
    <numFmt numFmtId="179" formatCode="0.000"/>
    <numFmt numFmtId="180" formatCode="#,##0.000;\(#,##0.000\);\-"/>
    <numFmt numFmtId="181" formatCode="0;\(0\);\-"/>
  </numFmts>
  <fonts count="54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i val="1"/>
      <color rgb="FF666666"/>
      <sz val="12"/>
    </font>
    <font>
      <name val="Calibri"/>
      <family val="2"/>
      <b val="1"/>
      <color rgb="FF595959"/>
      <sz val="12"/>
    </font>
    <font>
      <name val="Calibri"/>
      <family val="2"/>
      <b val="1"/>
      <i val="1"/>
      <color rgb="FFC00000"/>
      <sz val="11"/>
    </font>
    <font>
      <name val="Calibri"/>
      <family val="2"/>
      <b val="1"/>
      <i val="1"/>
      <color rgb="FFC00000"/>
      <sz val="10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i val="1"/>
      <color theme="1"/>
      <sz val="11"/>
    </font>
    <font>
      <name val="Calibri"/>
      <family val="2"/>
      <i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color rgb="FF000000"/>
      <sz val="12"/>
    </font>
    <font>
      <name val="Calibri"/>
      <family val="2"/>
      <color rgb="FF0000FF"/>
      <sz val="12"/>
    </font>
    <font>
      <name val="Calibri"/>
      <color rgb="FF0000FF"/>
      <sz val="12"/>
    </font>
    <font>
      <name val="Calibri"/>
      <b val="1"/>
      <color rgb="FF0000FF"/>
      <sz val="12"/>
    </font>
    <font>
      <name val="Calibri"/>
      <color rgb="FF000000"/>
      <sz val="12"/>
    </font>
    <font>
      <name val="Calibri"/>
      <b val="1"/>
      <color rgb="FF000000"/>
      <sz val="12"/>
    </font>
    <font>
      <name val="Calibri"/>
      <color rgb="FFA6A6A6"/>
      <sz val="12"/>
    </font>
    <font>
      <name val="Calibri"/>
      <color rgb="FF000000"/>
      <sz val="11"/>
    </font>
  </fonts>
  <fills count="14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30" fillId="0" borderId="0"/>
    <xf numFmtId="9" fontId="30" fillId="0" borderId="0"/>
  </cellStyleXfs>
  <cellXfs count="25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0" fontId="0" fillId="0" borderId="2" pivotButton="0" quotePrefix="0" xfId="0"/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0" fontId="18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0" fontId="0" fillId="2" borderId="2" pivotButton="0" quotePrefix="0" xfId="0"/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9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64" fontId="15" fillId="0" borderId="0" applyAlignment="1" pivotButton="0" quotePrefix="0" xfId="0">
      <alignment horizontal="right"/>
    </xf>
    <xf numFmtId="0" fontId="0" fillId="6" borderId="2" pivotButton="0" quotePrefix="0" xfId="0"/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3" fillId="0" borderId="0" pivotButton="0" quotePrefix="0" xfId="0"/>
    <xf numFmtId="4" fontId="24" fillId="2" borderId="0" pivotButton="0" quotePrefix="0" xfId="0"/>
    <xf numFmtId="175" fontId="0" fillId="0" borderId="0" pivotButton="0" quotePrefix="0" xfId="0"/>
    <xf numFmtId="0" fontId="25" fillId="6" borderId="0" pivotButton="0" quotePrefix="0" xfId="0"/>
    <xf numFmtId="0" fontId="12" fillId="0" borderId="0" pivotButton="0" quotePrefix="0" xfId="0"/>
    <xf numFmtId="0" fontId="24" fillId="3" borderId="0" pivotButton="0" quotePrefix="0" xfId="0"/>
    <xf numFmtId="0" fontId="26" fillId="5" borderId="0" pivotButton="0" quotePrefix="0" xfId="0"/>
    <xf numFmtId="0" fontId="25" fillId="0" borderId="0" pivotButton="0" quotePrefix="0" xfId="0"/>
    <xf numFmtId="167" fontId="24" fillId="9" borderId="0" pivotButton="0" quotePrefix="0" xfId="0"/>
    <xf numFmtId="167" fontId="24" fillId="2" borderId="0" pivotButton="0" quotePrefix="0" xfId="0"/>
    <xf numFmtId="176" fontId="12" fillId="10" borderId="0" pivotButton="0" quotePrefix="0" xfId="0"/>
    <xf numFmtId="0" fontId="27" fillId="0" borderId="0" pivotButton="0" quotePrefix="0" xfId="0"/>
    <xf numFmtId="176" fontId="27" fillId="9" borderId="0" pivotButton="0" quotePrefix="0" xfId="0"/>
    <xf numFmtId="176" fontId="27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7" fillId="9" borderId="0" pivotButton="0" quotePrefix="0" xfId="0"/>
    <xf numFmtId="166" fontId="27" fillId="2" borderId="0" pivotButton="0" quotePrefix="0" xfId="0"/>
    <xf numFmtId="166" fontId="27" fillId="11" borderId="0" pivotButton="0" quotePrefix="0" xfId="0"/>
    <xf numFmtId="164" fontId="24" fillId="9" borderId="0" pivotButton="0" quotePrefix="0" xfId="0"/>
    <xf numFmtId="164" fontId="24" fillId="2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77" fontId="3" fillId="12" borderId="0" pivotButton="0" quotePrefix="0" xfId="0"/>
    <xf numFmtId="167" fontId="6" fillId="5" borderId="0" pivotButton="0" quotePrefix="0" xfId="0"/>
    <xf numFmtId="176" fontId="27" fillId="0" borderId="0" pivotButton="0" quotePrefix="0" xfId="0"/>
    <xf numFmtId="176" fontId="25" fillId="6" borderId="0" pivotButton="0" quotePrefix="0" xfId="0"/>
    <xf numFmtId="168" fontId="27" fillId="9" borderId="0" pivotButton="0" quotePrefix="0" xfId="0"/>
    <xf numFmtId="168" fontId="27" fillId="2" borderId="0" pivotButton="0" quotePrefix="0" xfId="0"/>
    <xf numFmtId="166" fontId="27" fillId="0" borderId="0" pivotButton="0" quotePrefix="0" xfId="0"/>
    <xf numFmtId="173" fontId="27" fillId="9" borderId="0" pivotButton="0" quotePrefix="0" xfId="0"/>
    <xf numFmtId="173" fontId="27" fillId="2" borderId="0" pivotButton="0" quotePrefix="0" xfId="0"/>
    <xf numFmtId="167" fontId="27" fillId="0" borderId="0" pivotButton="0" quotePrefix="0" xfId="0"/>
    <xf numFmtId="173" fontId="27" fillId="0" borderId="0" pivotButton="0" quotePrefix="0" xfId="0"/>
    <xf numFmtId="167" fontId="28" fillId="0" borderId="0" pivotButton="0" quotePrefix="0" xfId="0"/>
    <xf numFmtId="0" fontId="29" fillId="0" borderId="0" pivotButton="0" quotePrefix="0" xfId="0"/>
    <xf numFmtId="166" fontId="28" fillId="0" borderId="0" pivotButton="0" quotePrefix="0" xfId="0"/>
    <xf numFmtId="0" fontId="31" fillId="5" borderId="0" pivotButton="0" quotePrefix="0" xfId="0"/>
    <xf numFmtId="0" fontId="32" fillId="0" borderId="0" pivotButton="0" quotePrefix="0" xfId="0"/>
    <xf numFmtId="175" fontId="32" fillId="0" borderId="0" pivotButton="0" quotePrefix="0" xfId="0"/>
    <xf numFmtId="167" fontId="32" fillId="0" borderId="0" pivotButton="0" quotePrefix="0" xfId="0"/>
    <xf numFmtId="166" fontId="33" fillId="0" borderId="0" pivotButton="0" quotePrefix="0" xfId="0"/>
    <xf numFmtId="0" fontId="34" fillId="0" borderId="0" pivotButton="0" quotePrefix="0" xfId="0"/>
    <xf numFmtId="166" fontId="35" fillId="0" borderId="0" pivotButton="0" quotePrefix="0" xfId="0"/>
    <xf numFmtId="178" fontId="32" fillId="0" borderId="0" pivotButton="0" quotePrefix="0" xfId="0"/>
    <xf numFmtId="2" fontId="32" fillId="0" borderId="0" pivotButton="0" quotePrefix="0" xfId="0"/>
    <xf numFmtId="179" fontId="32" fillId="0" borderId="0" pivotButton="0" quotePrefix="0" xfId="0"/>
    <xf numFmtId="167" fontId="33" fillId="0" borderId="0" pivotButton="0" quotePrefix="0" xfId="0"/>
    <xf numFmtId="0" fontId="36" fillId="0" borderId="0" pivotButton="0" quotePrefix="0" xfId="0"/>
    <xf numFmtId="166" fontId="36" fillId="0" borderId="0" pivotButton="0" quotePrefix="0" xfId="0"/>
    <xf numFmtId="166" fontId="37" fillId="0" borderId="0" pivotButton="0" quotePrefix="0" xfId="0"/>
    <xf numFmtId="166" fontId="32" fillId="0" borderId="0" pivotButton="0" quotePrefix="0" xfId="0"/>
    <xf numFmtId="164" fontId="32" fillId="0" borderId="0" pivotButton="0" quotePrefix="0" xfId="0"/>
    <xf numFmtId="4" fontId="32" fillId="0" borderId="0" pivotButton="0" quotePrefix="0" xfId="0"/>
    <xf numFmtId="178" fontId="38" fillId="0" borderId="0" pivotButton="0" quotePrefix="0" xfId="0"/>
    <xf numFmtId="3" fontId="32" fillId="0" borderId="0" pivotButton="0" quotePrefix="0" xfId="0"/>
    <xf numFmtId="3" fontId="32" fillId="3" borderId="0" pivotButton="0" quotePrefix="0" xfId="0"/>
    <xf numFmtId="177" fontId="32" fillId="0" borderId="0" pivotButton="0" quotePrefix="0" xfId="0"/>
    <xf numFmtId="0" fontId="39" fillId="5" borderId="0" pivotButton="0" quotePrefix="0" xfId="0"/>
    <xf numFmtId="0" fontId="39" fillId="7" borderId="0" pivotButton="0" quotePrefix="0" xfId="0"/>
    <xf numFmtId="0" fontId="40" fillId="0" borderId="0" pivotButton="0" quotePrefix="0" xfId="0"/>
    <xf numFmtId="10" fontId="38" fillId="2" borderId="0" pivotButton="0" quotePrefix="0" xfId="0"/>
    <xf numFmtId="0" fontId="41" fillId="0" borderId="0" pivotButton="0" quotePrefix="0" xfId="0"/>
    <xf numFmtId="2" fontId="38" fillId="2" borderId="0" pivotButton="0" quotePrefix="0" xfId="0"/>
    <xf numFmtId="10" fontId="40" fillId="0" borderId="0" pivotButton="0" quotePrefix="0" xfId="0"/>
    <xf numFmtId="0" fontId="42" fillId="0" borderId="0" pivotButton="0" quotePrefix="0" xfId="0"/>
    <xf numFmtId="10" fontId="42" fillId="6" borderId="0" pivotButton="0" quotePrefix="0" xfId="0"/>
    <xf numFmtId="167" fontId="43" fillId="0" borderId="0" pivotButton="0" quotePrefix="0" xfId="0"/>
    <xf numFmtId="0" fontId="42" fillId="6" borderId="0" pivotButton="0" quotePrefix="0" xfId="0"/>
    <xf numFmtId="167" fontId="42" fillId="6" borderId="0" pivotButton="0" quotePrefix="0" xfId="0"/>
    <xf numFmtId="178" fontId="38" fillId="2" borderId="0" pivotButton="0" quotePrefix="0" xfId="0"/>
    <xf numFmtId="178" fontId="33" fillId="2" borderId="0" pivotButton="0" quotePrefix="0" xfId="0"/>
    <xf numFmtId="178" fontId="44" fillId="3" borderId="0" pivotButton="0" quotePrefix="0" xfId="0"/>
    <xf numFmtId="0" fontId="39" fillId="5" borderId="0" applyAlignment="1" pivotButton="0" quotePrefix="0" xfId="0">
      <alignment horizontal="right"/>
    </xf>
    <xf numFmtId="4" fontId="39" fillId="5" borderId="0" pivotButton="0" quotePrefix="0" xfId="0"/>
    <xf numFmtId="178" fontId="37" fillId="0" borderId="0" pivotButton="0" quotePrefix="0" xfId="0"/>
    <xf numFmtId="10" fontId="33" fillId="0" borderId="0" pivotButton="0" quotePrefix="0" xfId="0"/>
    <xf numFmtId="1" fontId="38" fillId="2" borderId="0" pivotButton="0" quotePrefix="0" xfId="0"/>
    <xf numFmtId="177" fontId="39" fillId="5" borderId="0" pivotButton="0" quotePrefix="0" xfId="0"/>
    <xf numFmtId="0" fontId="33" fillId="0" borderId="0" applyAlignment="1" pivotButton="0" quotePrefix="0" xfId="0">
      <alignment horizontal="right"/>
    </xf>
    <xf numFmtId="178" fontId="38" fillId="13" borderId="0" pivotButton="0" quotePrefix="0" xfId="0"/>
    <xf numFmtId="4" fontId="37" fillId="0" borderId="0" pivotButton="0" quotePrefix="0" xfId="0"/>
    <xf numFmtId="1" fontId="38" fillId="13" borderId="0" pivotButton="0" quotePrefix="0" xfId="0"/>
    <xf numFmtId="0" fontId="45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166" fontId="47" fillId="2" borderId="0" applyAlignment="1" pivotButton="0" quotePrefix="0" xfId="0">
      <alignment horizontal="right"/>
    </xf>
    <xf numFmtId="167" fontId="46" fillId="2" borderId="0" applyAlignment="1" pivotButton="0" quotePrefix="0" xfId="0">
      <alignment horizontal="right"/>
    </xf>
    <xf numFmtId="166" fontId="46" fillId="2" borderId="0" applyAlignment="1" pivotButton="0" quotePrefix="0" xfId="0">
      <alignment horizontal="right"/>
    </xf>
    <xf numFmtId="9" fontId="33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0" fontId="37" fillId="0" borderId="0" pivotButton="0" quotePrefix="0" xfId="0"/>
    <xf numFmtId="167" fontId="49" fillId="0" borderId="2" applyAlignment="1" pivotButton="0" quotePrefix="0" xfId="0">
      <alignment horizontal="right"/>
    </xf>
    <xf numFmtId="167" fontId="51" fillId="2" borderId="2" applyAlignment="1" pivotButton="0" quotePrefix="0" xfId="0">
      <alignment horizontal="right"/>
    </xf>
    <xf numFmtId="0" fontId="30" fillId="2" borderId="0" pivotButton="0" quotePrefix="0" xfId="0"/>
    <xf numFmtId="166" fontId="52" fillId="0" borderId="0" applyAlignment="1" pivotButton="0" quotePrefix="0" xfId="0">
      <alignment horizontal="right"/>
    </xf>
    <xf numFmtId="166" fontId="50" fillId="2" borderId="0" applyAlignment="1" pivotButton="0" quotePrefix="0" xfId="0">
      <alignment horizontal="right"/>
    </xf>
    <xf numFmtId="167" fontId="48" fillId="0" borderId="0" pivotButton="0" quotePrefix="0" xfId="0"/>
    <xf numFmtId="166" fontId="47" fillId="0" borderId="0" applyAlignment="1" pivotButton="0" quotePrefix="0" xfId="0">
      <alignment horizontal="right"/>
    </xf>
    <xf numFmtId="166" fontId="48" fillId="2" borderId="0" applyAlignment="1" pivotButton="0" quotePrefix="0" xfId="0">
      <alignment horizontal="right"/>
    </xf>
    <xf numFmtId="166" fontId="47" fillId="0" borderId="0" pivotButton="0" quotePrefix="0" xfId="0"/>
    <xf numFmtId="167" fontId="47" fillId="0" borderId="0" applyAlignment="1" pivotButton="0" quotePrefix="0" xfId="0">
      <alignment horizontal="right"/>
    </xf>
    <xf numFmtId="167" fontId="48" fillId="0" borderId="0" applyAlignment="1" pivotButton="0" quotePrefix="0" xfId="0">
      <alignment horizontal="right"/>
    </xf>
    <xf numFmtId="167" fontId="50" fillId="2" borderId="0" applyAlignment="1" pivotButton="0" quotePrefix="0" xfId="0">
      <alignment horizontal="right"/>
    </xf>
    <xf numFmtId="164" fontId="46" fillId="0" borderId="0" applyAlignment="1" pivotButton="0" quotePrefix="0" xfId="0">
      <alignment horizontal="right"/>
    </xf>
    <xf numFmtId="164" fontId="50" fillId="0" borderId="0" applyAlignment="1" pivotButton="0" quotePrefix="0" xfId="0">
      <alignment horizontal="right"/>
    </xf>
    <xf numFmtId="164" fontId="30" fillId="2" borderId="0" pivotButton="0" quotePrefix="0" xfId="0"/>
    <xf numFmtId="166" fontId="50" fillId="0" borderId="0" applyAlignment="1" pivotButton="0" quotePrefix="0" xfId="0">
      <alignment horizontal="right"/>
    </xf>
    <xf numFmtId="173" fontId="48" fillId="0" borderId="0" pivotButton="0" quotePrefix="0" xfId="0"/>
    <xf numFmtId="166" fontId="49" fillId="8" borderId="0" applyAlignment="1" pivotButton="0" quotePrefix="0" xfId="0">
      <alignment horizontal="center"/>
    </xf>
    <xf numFmtId="166" fontId="46" fillId="0" borderId="0" applyAlignment="1" pivotButton="0" quotePrefix="0" xfId="0">
      <alignment horizontal="right"/>
    </xf>
    <xf numFmtId="166" fontId="50" fillId="0" borderId="0" pivotButton="0" quotePrefix="0" xfId="0"/>
    <xf numFmtId="166" fontId="48" fillId="0" borderId="0" pivotButton="0" quotePrefix="0" xfId="0"/>
    <xf numFmtId="0" fontId="30" fillId="0" borderId="0" pivotButton="0" quotePrefix="0" xfId="0"/>
    <xf numFmtId="166" fontId="48" fillId="0" borderId="0" applyAlignment="1" pivotButton="0" quotePrefix="0" xfId="0">
      <alignment horizontal="right"/>
    </xf>
    <xf numFmtId="166" fontId="30" fillId="2" borderId="0" pivotButton="0" quotePrefix="0" xfId="0"/>
    <xf numFmtId="164" fontId="47" fillId="0" borderId="0" applyAlignment="1" pivotButton="0" quotePrefix="0" xfId="0">
      <alignment horizontal="right"/>
    </xf>
    <xf numFmtId="164" fontId="48" fillId="0" borderId="0" applyAlignment="1" pivotButton="0" quotePrefix="0" xfId="0">
      <alignment horizontal="right"/>
    </xf>
    <xf numFmtId="167" fontId="48" fillId="2" borderId="0" applyAlignment="1" pivotButton="0" quotePrefix="0" xfId="0">
      <alignment horizontal="right"/>
    </xf>
    <xf numFmtId="167" fontId="49" fillId="8" borderId="0" applyAlignment="1" pivotButton="0" quotePrefix="0" xfId="0">
      <alignment horizontal="center"/>
    </xf>
    <xf numFmtId="167" fontId="50" fillId="0" borderId="0" pivotButton="0" quotePrefix="0" xfId="0"/>
    <xf numFmtId="173" fontId="47" fillId="0" borderId="0" applyAlignment="1" pivotButton="0" quotePrefix="0" xfId="0">
      <alignment horizontal="right"/>
    </xf>
    <xf numFmtId="173" fontId="46" fillId="2" borderId="0" applyAlignment="1" pivotButton="0" quotePrefix="0" xfId="0">
      <alignment horizontal="right"/>
    </xf>
    <xf numFmtId="173" fontId="48" fillId="2" borderId="0" applyAlignment="1" pivotButton="0" quotePrefix="0" xfId="0">
      <alignment horizontal="right"/>
    </xf>
    <xf numFmtId="173" fontId="50" fillId="2" borderId="0" applyAlignment="1" pivotButton="0" quotePrefix="0" xfId="0">
      <alignment horizontal="right"/>
    </xf>
    <xf numFmtId="167" fontId="49" fillId="2" borderId="2" applyAlignment="1" pivotButton="0" quotePrefix="0" xfId="0">
      <alignment horizontal="right"/>
    </xf>
    <xf numFmtId="0" fontId="39" fillId="5" borderId="2" pivotButton="0" quotePrefix="0" xfId="0"/>
    <xf numFmtId="167" fontId="51" fillId="6" borderId="2" applyAlignment="1" pivotButton="0" quotePrefix="0" xfId="0">
      <alignment horizontal="right"/>
    </xf>
    <xf numFmtId="164" fontId="53" fillId="2" borderId="0" pivotButton="0" quotePrefix="0" xfId="0"/>
    <xf numFmtId="167" fontId="50" fillId="0" borderId="0" applyAlignment="1" pivotButton="0" quotePrefix="0" xfId="0">
      <alignment horizontal="right"/>
    </xf>
    <xf numFmtId="167" fontId="49" fillId="6" borderId="2" applyAlignment="1" pivotButton="0" quotePrefix="0" xfId="0">
      <alignment horizontal="right"/>
    </xf>
    <xf numFmtId="167" fontId="51" fillId="0" borderId="2" applyAlignment="1" pivotButton="0" quotePrefix="0" xfId="0">
      <alignment horizontal="right"/>
    </xf>
    <xf numFmtId="164" fontId="48" fillId="2" borderId="0" applyAlignment="1" pivotButton="0" quotePrefix="0" xfId="0">
      <alignment horizontal="right"/>
    </xf>
    <xf numFmtId="164" fontId="50" fillId="2" borderId="0" applyAlignment="1" pivotButton="0" quotePrefix="0" xfId="0">
      <alignment horizontal="right"/>
    </xf>
    <xf numFmtId="0" fontId="47" fillId="0" borderId="0" applyAlignment="1" pivotButton="0" quotePrefix="0" xfId="0">
      <alignment horizontal="right"/>
    </xf>
    <xf numFmtId="0" fontId="46" fillId="2" borderId="0" applyAlignment="1" pivotButton="0" quotePrefix="0" xfId="0">
      <alignment horizontal="right"/>
    </xf>
    <xf numFmtId="168" fontId="50" fillId="0" borderId="0" applyAlignment="1" pivotButton="0" quotePrefix="0" xfId="0">
      <alignment horizontal="right"/>
    </xf>
    <xf numFmtId="168" fontId="50" fillId="2" borderId="0" applyAlignment="1" pivotButton="0" quotePrefix="0" xfId="0">
      <alignment horizontal="right"/>
    </xf>
    <xf numFmtId="168" fontId="51" fillId="0" borderId="2" applyAlignment="1" pivotButton="0" quotePrefix="0" xfId="0">
      <alignment horizontal="right"/>
    </xf>
    <xf numFmtId="168" fontId="51" fillId="2" borderId="2" applyAlignment="1" pivotButton="0" quotePrefix="0" xfId="0">
      <alignment horizontal="right"/>
    </xf>
    <xf numFmtId="168" fontId="48" fillId="0" borderId="0" applyAlignment="1" pivotButton="0" quotePrefix="0" xfId="0">
      <alignment horizontal="right"/>
    </xf>
    <xf numFmtId="168" fontId="30" fillId="2" borderId="0" pivotButton="0" quotePrefix="0" xfId="0"/>
    <xf numFmtId="168" fontId="47" fillId="0" borderId="0" applyAlignment="1" pivotButton="0" quotePrefix="0" xfId="0">
      <alignment horizontal="right"/>
    </xf>
    <xf numFmtId="168" fontId="48" fillId="2" borderId="0" applyAlignment="1" pivotButton="0" quotePrefix="0" xfId="0">
      <alignment horizontal="right"/>
    </xf>
    <xf numFmtId="167" fontId="30" fillId="2" borderId="0" pivotButton="0" quotePrefix="0" xfId="0"/>
    <xf numFmtId="168" fontId="51" fillId="6" borderId="2" applyAlignment="1" pivotButton="0" quotePrefix="0" xfId="0">
      <alignment horizontal="right"/>
    </xf>
    <xf numFmtId="168" fontId="46" fillId="2" borderId="0" applyAlignment="1" pivotButton="0" quotePrefix="0" xfId="0">
      <alignment horizontal="right"/>
    </xf>
    <xf numFmtId="173" fontId="50" fillId="0" borderId="0" applyAlignment="1" pivotButton="0" quotePrefix="0" xfId="0">
      <alignment horizontal="right"/>
    </xf>
    <xf numFmtId="180" fontId="47" fillId="0" borderId="0" applyAlignment="1" pivotButton="0" quotePrefix="0" xfId="0">
      <alignment horizontal="right"/>
    </xf>
    <xf numFmtId="180" fontId="46" fillId="2" borderId="0" applyAlignment="1" pivotButton="0" quotePrefix="0" xfId="0">
      <alignment horizontal="right"/>
    </xf>
    <xf numFmtId="180" fontId="50" fillId="2" borderId="0" applyAlignment="1" pivotButton="0" quotePrefix="0" xfId="0">
      <alignment horizontal="right"/>
    </xf>
    <xf numFmtId="180" fontId="48" fillId="0" borderId="0" applyAlignment="1" pivotButton="0" quotePrefix="0" xfId="0">
      <alignment horizontal="right"/>
    </xf>
    <xf numFmtId="180" fontId="30" fillId="2" borderId="0" pivotButton="0" quotePrefix="0" xfId="0"/>
    <xf numFmtId="180" fontId="53" fillId="2" borderId="0" pivotButton="0" quotePrefix="0" xfId="0"/>
    <xf numFmtId="181" fontId="50" fillId="0" borderId="0" applyAlignment="1" pivotButton="0" quotePrefix="0" xfId="0">
      <alignment horizontal="right"/>
    </xf>
    <xf numFmtId="181" fontId="46" fillId="2" borderId="0" applyAlignment="1" pivotButton="0" quotePrefix="0" xfId="0">
      <alignment horizontal="right"/>
    </xf>
    <xf numFmtId="181" fontId="50" fillId="2" borderId="0" applyAlignment="1" pivotButton="0" quotePrefix="0" xfId="0">
      <alignment horizontal="right"/>
    </xf>
    <xf numFmtId="164" fontId="46" fillId="2" borderId="0" applyAlignment="1" pivotButton="0" quotePrefix="0" xfId="0">
      <alignment horizontal="right"/>
    </xf>
    <xf numFmtId="166" fontId="51" fillId="0" borderId="2" applyAlignment="1" pivotButton="0" quotePrefix="0" xfId="0">
      <alignment horizontal="right"/>
    </xf>
    <xf numFmtId="166" fontId="3" fillId="0" borderId="2" applyAlignment="1" pivotButton="0" quotePrefix="0" xfId="0">
      <alignment horizontal="right"/>
    </xf>
    <xf numFmtId="166" fontId="9" fillId="2" borderId="2" applyAlignment="1" pivotButton="0" quotePrefix="0" xfId="0">
      <alignment horizontal="right"/>
    </xf>
    <xf numFmtId="166" fontId="51" fillId="2" borderId="2" applyAlignment="1" pivotButton="0" quotePrefix="0" xfId="0">
      <alignment horizontal="right"/>
    </xf>
    <xf numFmtId="173" fontId="51" fillId="0" borderId="2" applyAlignment="1" pivotButton="0" quotePrefix="0" xfId="0">
      <alignment horizontal="right"/>
    </xf>
    <xf numFmtId="173" fontId="3" fillId="0" borderId="2" applyAlignment="1" pivotButton="0" quotePrefix="0" xfId="0">
      <alignment horizontal="right"/>
    </xf>
    <xf numFmtId="173" fontId="9" fillId="2" borderId="2" applyAlignment="1" pivotButton="0" quotePrefix="0" xfId="0">
      <alignment horizontal="right"/>
    </xf>
    <xf numFmtId="173" fontId="51" fillId="2" borderId="2" applyAlignment="1" pivotButton="0" quotePrefix="0" xfId="0">
      <alignment horizontal="right"/>
    </xf>
    <xf numFmtId="168" fontId="3" fillId="0" borderId="2" applyAlignment="1" pivotButton="0" quotePrefix="0" xfId="0">
      <alignment horizontal="right"/>
    </xf>
    <xf numFmtId="168" fontId="49" fillId="2" borderId="2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Growth: Revenues vs. Adjusted EBITDA, y/y 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Charts!$B$8</f>
              <strCache>
                <ptCount val="1"/>
                <pt idx="0">
                  <v>Aggregates volume %</v>
                </pt>
              </strCache>
            </strRef>
          </tx>
          <spPr>
            <a:solidFill xmlns:a="http://schemas.openxmlformats.org/drawingml/2006/main">
              <a:srgbClr val="2F3E4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Charts!$C$8:$V$8</f>
              <numCache>
                <formatCode>0.0%;\(0.0%\);\-</formatCode>
                <ptCount val="20"/>
                <pt idx="0">
                  <v>0</v>
                </pt>
                <pt idx="1">
                  <v>-0.08143483298906751</v>
                </pt>
                <pt idx="2">
                  <v>-0.125988613801652</v>
                </pt>
                <pt idx="3">
                  <v>-0.2256220388440903</v>
                </pt>
                <pt idx="4">
                  <v>0.05353279146846468</v>
                </pt>
                <pt idx="5">
                  <v>-0.03794411070173154</v>
                </pt>
                <pt idx="6">
                  <v>0.02604058397428721</v>
                </pt>
                <pt idx="7">
                  <v>0.0007948196460714207</v>
                </pt>
                <pt idx="8">
                  <v>0.1371687961816668</v>
                </pt>
                <pt idx="9">
                  <v>0.0710167750770283</v>
                </pt>
                <pt idx="10">
                  <v>0.01409008962933611</v>
                </pt>
                <pt idx="11">
                  <v>-0.005850238926783713</v>
                </pt>
                <pt idx="12">
                  <v>0.08331113901254295</v>
                </pt>
                <pt idx="13">
                  <v>0.1187688777541034</v>
                </pt>
                <pt idx="14">
                  <v>-0.02420392829860929</v>
                </pt>
                <pt idx="15">
                  <v>0.07882037533512065</v>
                </pt>
                <pt idx="16">
                  <v>0.03230616302186884</v>
                </pt>
                <pt idx="17">
                  <v>-0.04285026480500709</v>
                </pt>
                <pt idx="18">
                  <v>-0.03873239436619724</v>
                </pt>
                <pt idx="19">
                  <v>0.0387231815803244</v>
                </pt>
              </numCache>
            </numRef>
          </val>
        </ser>
        <ser>
          <idx val="1"/>
          <order val="1"/>
          <tx>
            <strRef>
              <f>Charts!$B$9</f>
              <strCache>
                <ptCount val="1"/>
                <pt idx="0">
                  <v>Aggregates price (ASP) %</v>
                </pt>
              </strCache>
            </strRef>
          </tx>
          <spPr>
            <a:solidFill xmlns:a="http://schemas.openxmlformats.org/drawingml/2006/main">
              <a:srgbClr val="84A98C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Charts!$C$9:$V$9</f>
              <numCache>
                <formatCode>0.0%;\(0.0%\);\-</formatCode>
                <ptCount val="20"/>
                <pt idx="0">
                  <v>0</v>
                </pt>
                <pt idx="1">
                  <v>0.104</v>
                </pt>
                <pt idx="2">
                  <v>0.06900000000000001</v>
                </pt>
                <pt idx="3">
                  <v>0.021</v>
                </pt>
                <pt idx="4">
                  <v>-0.034</v>
                </pt>
                <pt idx="5">
                  <v>0.027</v>
                </pt>
                <pt idx="6">
                  <v>0.008</v>
                </pt>
                <pt idx="7">
                  <v>0.02904162633107465</v>
                </pt>
                <pt idx="8">
                  <v>0.045</v>
                </pt>
                <pt idx="9">
                  <v>0.08</v>
                </pt>
                <pt idx="10">
                  <v>0.073</v>
                </pt>
                <pt idx="11">
                  <v>0.04503105590062106</v>
                </pt>
                <pt idx="12">
                  <v>0.01857355126300142</v>
                </pt>
                <pt idx="13">
                  <v>0.04522246535375629</v>
                </pt>
                <pt idx="14">
                  <v>0.03070481507327272</v>
                </pt>
                <pt idx="15">
                  <v>0.02098849018280302</v>
                </pt>
                <pt idx="16">
                  <v>0.1061007957559681</v>
                </pt>
                <pt idx="17">
                  <v>0.1894484412470023</v>
                </pt>
                <pt idx="18">
                  <v>0.09879032258064524</v>
                </pt>
                <pt idx="19">
                  <v>0.0688073394495412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044735"/>
        <axId val="65342648"/>
      </barChart>
      <catAx>
        <axId val="2004473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65342648"/>
        <crosses val="autoZero"/>
        <auto val="1"/>
        <lblAlgn val="ctr"/>
        <lblOffset val="100"/>
        <noMultiLvlLbl val="0"/>
      </catAx>
      <valAx>
        <axId val="6534264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004473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Income from Operations (USDm)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Charts!$B$12</f>
              <strCache>
                <ptCount val="1"/>
                <pt idx="0">
                  <v>Adjusted EBITDA</v>
                </pt>
              </strCache>
            </strRef>
          </tx>
          <spPr>
            <a:solidFill xmlns:a="http://schemas.openxmlformats.org/drawingml/2006/main">
              <a:srgbClr val="A8C5D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Charts!$C$12:$V$12</f>
              <numCache>
                <formatCode>#,##0;\(#,##0\);\-</formatCode>
                <ptCount val="20"/>
                <pt idx="0">
                  <v>535</v>
                </pt>
                <pt idx="1">
                  <v>590.5999999999999</v>
                </pt>
                <pt idx="2">
                  <v>497.6999999999999</v>
                </pt>
                <pt idx="3">
                  <v>364.1</v>
                </pt>
                <pt idx="4">
                  <v>374.7</v>
                </pt>
                <pt idx="5">
                  <v>335.9</v>
                </pt>
                <pt idx="6">
                  <v>329.9</v>
                </pt>
                <pt idx="7">
                  <v>390.2</v>
                </pt>
                <pt idx="8">
                  <v>537.0000000000002</v>
                </pt>
                <pt idx="9">
                  <v>766.6999999999998</v>
                </pt>
                <pt idx="10">
                  <v>971.5999999999998</v>
                </pt>
                <pt idx="11">
                  <v>1004.4</v>
                </pt>
                <pt idx="12">
                  <v>1103.765</v>
                </pt>
                <pt idx="13">
                  <v>1254.549</v>
                </pt>
                <pt idx="14">
                  <v>1392.8</v>
                </pt>
                <pt idx="15">
                  <v>1528.5</v>
                </pt>
                <pt idx="16">
                  <v>1600.3</v>
                </pt>
                <pt idx="17">
                  <v>2127.699999999999</v>
                </pt>
                <pt idx="18">
                  <v>2066</v>
                </pt>
                <pt idx="19">
                  <v>2065</v>
                </pt>
              </numCache>
            </numRef>
          </val>
        </ser>
        <ser>
          <idx val="1"/>
          <order val="1"/>
          <tx>
            <strRef>
              <f>Charts!$B$13</f>
              <strCache>
                <ptCount val="1"/>
                <pt idx="0">
                  <v>Earnings from Operations (GAAP)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Charts!$C$13:$V$13</f>
              <numCache>
                <formatCode>#,##0;\(#,##0\);\-</formatCode>
                <ptCount val="20"/>
                <pt idx="0">
                  <v>388</v>
                </pt>
                <pt idx="1">
                  <v>433</v>
                </pt>
                <pt idx="2">
                  <v>323.2999999999999</v>
                </pt>
                <pt idx="3">
                  <v>187.5999999999998</v>
                </pt>
                <pt idx="4">
                  <v>196.4</v>
                </pt>
                <pt idx="5">
                  <v>161</v>
                </pt>
                <pt idx="6">
                  <v>154.9999999999999</v>
                </pt>
                <pt idx="7">
                  <v>218</v>
                </pt>
                <pt idx="8">
                  <v>314.9000000000001</v>
                </pt>
                <pt idx="9">
                  <v>479.3999999999997</v>
                </pt>
                <pt idx="10">
                  <v>667.3</v>
                </pt>
                <pt idx="11">
                  <v>700.4000000000001</v>
                </pt>
                <pt idx="12">
                  <v>690.7370000000002</v>
                </pt>
                <pt idx="13">
                  <v>884.9340000000002</v>
                </pt>
                <pt idx="14">
                  <v>1005.4</v>
                </pt>
                <pt idx="15">
                  <v>973.8000000000001</v>
                </pt>
                <pt idx="16">
                  <v>1206.7</v>
                </pt>
                <pt idx="17">
                  <v>1596</v>
                </pt>
                <pt idx="18">
                  <v>2707</v>
                </pt>
                <pt idx="19">
                  <v>1437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2608424"/>
        <axId val="81960370"/>
      </barChart>
      <lineChart>
        <grouping val="standard"/>
        <varyColors val="0"/>
        <ser>
          <idx val="2"/>
          <order val="2"/>
          <tx>
            <strRef>
              <f>Charts!$B$14</f>
              <strCache>
                <ptCount val="1"/>
                <pt idx="0">
                  <v>Adj. EBITDA Margin %</v>
                </pt>
              </strCache>
            </strRef>
          </tx>
          <spPr>
            <a:ln xmlns:a="http://schemas.openxmlformats.org/drawingml/2006/main" w="28440">
              <a:solidFill>
                <a:srgbClr val="2F3E4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Charts!$C$14:$V$14</f>
              <numCache>
                <formatCode>0.0%;\(0.0%\);\-</formatCode>
                <ptCount val="20"/>
                <pt idx="0">
                  <v>0.2424764321972444</v>
                </pt>
                <pt idx="1">
                  <v>0.2675909564587015</v>
                </pt>
                <pt idx="2">
                  <v>0.2347530776850148</v>
                </pt>
                <pt idx="3">
                  <v>0.2138494067896159</v>
                </pt>
                <pt idx="4">
                  <v>0.2101632172303551</v>
                </pt>
                <pt idx="5">
                  <v>0.1959857634634459</v>
                </pt>
                <pt idx="6">
                  <v>0.1619061641146447</v>
                </pt>
                <pt idx="7">
                  <v>0.1810252841568082</v>
                </pt>
                <pt idx="8">
                  <v>0.1815415821501015</v>
                </pt>
                <pt idx="9">
                  <v>0.2166063962029607</v>
                </pt>
                <pt idx="10">
                  <v>0.2544254739708808</v>
                </pt>
                <pt idx="11">
                  <v>0.253278192455114</v>
                </pt>
                <pt idx="12">
                  <v>0.2600603402473691</v>
                </pt>
                <pt idx="13">
                  <v>0.2647231603988776</v>
                </pt>
                <pt idx="14">
                  <v>0.2944671134696293</v>
                </pt>
                <pt idx="15">
                  <v>0.282323605467307</v>
                </pt>
                <pt idx="16">
                  <v>0.2597594429204474</v>
                </pt>
                <pt idx="17">
                  <v>0.3139497137460898</v>
                </pt>
                <pt idx="18">
                  <v>0.3160954712362301</v>
                </pt>
                <pt idx="19">
                  <v>0.3357723577235772</v>
                </pt>
              </numCache>
            </numRef>
          </val>
          <smooth val="1"/>
        </ser>
        <ser>
          <idx val="3"/>
          <order val="3"/>
          <tx>
            <strRef>
              <f>Charts!$B$15</f>
              <strCache>
                <ptCount val="1"/>
                <pt idx="0">
                  <v>GAAP Op. Margin %</v>
                </pt>
              </strCache>
            </strRef>
          </tx>
          <spPr>
            <a:ln xmlns:a="http://schemas.openxmlformats.org/drawingml/2006/main" w="28440">
              <a:solidFill>
                <a:srgbClr val="C8553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Charts!$C$15:$V$15</f>
              <numCache>
                <formatCode>0.0%;\(0.0%\);\-</formatCode>
                <ptCount val="20"/>
                <pt idx="0">
                  <v>0.1758520667150109</v>
                </pt>
                <pt idx="1">
                  <v>0.1961850391916995</v>
                </pt>
                <pt idx="2">
                  <v>0.1524928069430687</v>
                </pt>
                <pt idx="3">
                  <v>0.1101844238223892</v>
                </pt>
                <pt idx="4">
                  <v>0.1101576083908239</v>
                </pt>
                <pt idx="5">
                  <v>0.09393780267226792</v>
                </pt>
                <pt idx="6">
                  <v>0.07606988614055746</v>
                </pt>
                <pt idx="7">
                  <v>0.1011366272326606</v>
                </pt>
                <pt idx="8">
                  <v>0.1064570655848547</v>
                </pt>
                <pt idx="9">
                  <v>0.1354390326590575</v>
                </pt>
                <pt idx="10">
                  <v>0.1747407562585105</v>
                </pt>
                <pt idx="11">
                  <v>0.1766189227355255</v>
                </pt>
                <pt idx="12">
                  <v>0.1627459642600074</v>
                </pt>
                <pt idx="13">
                  <v>0.1867304706507441</v>
                </pt>
                <pt idx="14">
                  <v>0.2125626334594811</v>
                </pt>
                <pt idx="15">
                  <v>0.1798670114517917</v>
                </pt>
                <pt idx="16">
                  <v>0.1958705991202299</v>
                </pt>
                <pt idx="17">
                  <v>0.2354954848610045</v>
                </pt>
                <pt idx="18">
                  <v>0.4141676866585067</v>
                </pt>
                <pt idx="19">
                  <v>0.2336585365853659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99874911"/>
        <axId val="65694817"/>
      </lineChart>
      <catAx>
        <axId val="2260842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1960370"/>
        <crosses val="autoZero"/>
        <auto val="1"/>
        <lblAlgn val="ctr"/>
        <lblOffset val="100"/>
        <noMultiLvlLbl val="0"/>
      </catAx>
      <valAx>
        <axId val="8196037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2608424"/>
        <crosses val="autoZero"/>
        <crossBetween val="between"/>
      </valAx>
      <catAx>
        <axId val="9987491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65694817"/>
        <crosses val="autoZero"/>
        <auto val="1"/>
        <lblAlgn val="ctr"/>
        <lblOffset val="100"/>
        <noMultiLvlLbl val="0"/>
      </catAx>
      <valAx>
        <axId val="65694817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9874911"/>
        <crosses val="max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Charts!$B$18</f>
              <strCache>
                <ptCount val="1"/>
                <pt idx="0">
                  <v>ROIC</v>
                </pt>
              </strCache>
            </strRef>
          </tx>
          <spPr>
            <a:ln xmlns:a="http://schemas.openxmlformats.org/drawingml/2006/main" w="28440">
              <a:solidFill>
                <a:srgbClr val="2F3E4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Charts!$C$18:$V$18</f>
              <numCache>
                <formatCode>0.0%;\(0.0%\);\-</formatCode>
                <ptCount val="20"/>
                <pt idx="0">
                  <v>0.1421089225457171</v>
                </pt>
                <pt idx="1">
                  <v>0.1488839162911565</v>
                </pt>
                <pt idx="2">
                  <v>0.09654253471653466</v>
                </pt>
                <pt idx="3">
                  <v>0.05939721120548978</v>
                </pt>
                <pt idx="4">
                  <v>0.06186732051446051</v>
                </pt>
                <pt idx="5">
                  <v>0.05229496682671207</v>
                </pt>
                <pt idx="6">
                  <v>0.05218524215971639</v>
                </pt>
                <pt idx="7">
                  <v>0.06234019585176093</v>
                </pt>
                <pt idx="8">
                  <v>0.03361714998529663</v>
                </pt>
                <pt idx="9">
                  <v>0.0646463765753955</v>
                </pt>
                <pt idx="10">
                  <v>0.08352291583717089</v>
                </pt>
                <pt idx="11">
                  <v>0.1307408341694765</v>
                </pt>
                <pt idx="12">
                  <v>0.0777092734611203</v>
                </pt>
                <pt idx="13">
                  <v>0.08849387925332362</v>
                </pt>
                <pt idx="14">
                  <v>0.09821895870236456</v>
                </pt>
                <pt idx="15">
                  <v>0.07834119966021579</v>
                </pt>
                <pt idx="16">
                  <v>0.07764537720685044</v>
                </pt>
                <pt idx="17">
                  <v>0.1174640506857074</v>
                </pt>
                <pt idx="18">
                  <v>0.081333230459273</v>
                </pt>
                <pt idx="19">
                  <v>0.07837384252467521</v>
                </pt>
              </numCache>
            </numRef>
          </val>
          <smooth val="1"/>
        </ser>
        <ser>
          <idx val="1"/>
          <order val="1"/>
          <tx>
            <strRef>
              <f>Charts!$B$19</f>
              <strCache>
                <ptCount val="1"/>
                <pt idx="0">
                  <v>RONTA</v>
                </pt>
              </strCache>
            </strRef>
          </tx>
          <spPr>
            <a:ln xmlns:a="http://schemas.openxmlformats.org/drawingml/2006/main" w="28440">
              <a:solidFill>
                <a:srgbClr val="84A98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Charts!$C$19:$V$19</f>
              <numCache>
                <formatCode>0.0%;\(0.0%\);\-</formatCode>
                <ptCount val="20"/>
                <pt idx="0">
                  <v>0.1577568610178595</v>
                </pt>
                <pt idx="1">
                  <v>0.1633039512879359</v>
                </pt>
                <pt idx="2">
                  <v>0.1023004050311182</v>
                </pt>
                <pt idx="3">
                  <v>0.05787971493524694</v>
                </pt>
                <pt idx="4">
                  <v>0.06550310498758558</v>
                </pt>
                <pt idx="5">
                  <v>0.05619788235350321</v>
                </pt>
                <pt idx="6">
                  <v>0.05546296065288805</v>
                </pt>
                <pt idx="7">
                  <v>0.06668273687234359</v>
                </pt>
                <pt idx="8">
                  <v>0.03985122445855536</v>
                </pt>
                <pt idx="9">
                  <v>0.07885989924730435</v>
                </pt>
                <pt idx="10">
                  <v>0.1025641604800029</v>
                </pt>
                <pt idx="11">
                  <v>0.1285374606744599</v>
                </pt>
                <pt idx="12">
                  <v>0.09970994362684617</v>
                </pt>
                <pt idx="13">
                  <v>0.1062778777449464</v>
                </pt>
                <pt idx="14">
                  <v>0.114027004810715</v>
                </pt>
                <pt idx="15">
                  <v>0.09817452396578083</v>
                </pt>
                <pt idx="16">
                  <v>0.09570403775469982</v>
                </pt>
                <pt idx="17">
                  <v>0.1270960776721298</v>
                </pt>
                <pt idx="18">
                  <v>0.09034975272189151</v>
                </pt>
                <pt idx="19">
                  <v>0.08700617528514368</v>
                </pt>
              </numCache>
            </numRef>
          </val>
          <smooth val="1"/>
        </ser>
        <ser>
          <idx val="2"/>
          <order val="2"/>
          <tx>
            <strRef>
              <f>Charts!$B$20</f>
              <strCache>
                <ptCount val="1"/>
                <pt idx="0">
                  <v>Adj. EBITDA margin %</v>
                </pt>
              </strCache>
            </strRef>
          </tx>
          <spPr>
            <a:ln xmlns:a="http://schemas.openxmlformats.org/drawingml/2006/main" w="28440">
              <a:solidFill>
                <a:srgbClr val="1F4E7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Charts!$C$20:$V$20</f>
              <numCache>
                <formatCode>0.0%;\(0.0%\);\-</formatCode>
                <ptCount val="20"/>
                <pt idx="0">
                  <v>0.2424764321972444</v>
                </pt>
                <pt idx="1">
                  <v>0.2675909564587015</v>
                </pt>
                <pt idx="2">
                  <v>0.2347530776850148</v>
                </pt>
                <pt idx="3">
                  <v>0.2138494067896159</v>
                </pt>
                <pt idx="4">
                  <v>0.2101632172303551</v>
                </pt>
                <pt idx="5">
                  <v>0.1959857634634459</v>
                </pt>
                <pt idx="6">
                  <v>0.1619061641146447</v>
                </pt>
                <pt idx="7">
                  <v>0.1810252841568082</v>
                </pt>
                <pt idx="8">
                  <v>0.1815415821501015</v>
                </pt>
                <pt idx="9">
                  <v>0.2166063962029607</v>
                </pt>
                <pt idx="10">
                  <v>0.2544254739708808</v>
                </pt>
                <pt idx="11">
                  <v>0.253278192455114</v>
                </pt>
                <pt idx="12">
                  <v>0.2600603402473691</v>
                </pt>
                <pt idx="13">
                  <v>0.2647231603988776</v>
                </pt>
                <pt idx="14">
                  <v>0.2944671134696293</v>
                </pt>
                <pt idx="15">
                  <v>0.282323605467307</v>
                </pt>
                <pt idx="16">
                  <v>0.2597594429204474</v>
                </pt>
                <pt idx="17">
                  <v>0.3139497137460898</v>
                </pt>
                <pt idx="18">
                  <v>0.3160954712362301</v>
                </pt>
                <pt idx="19">
                  <v>0.3357723577235772</v>
                </pt>
              </numCache>
            </numRef>
          </val>
          <smooth val="1"/>
        </ser>
        <ser>
          <idx val="3"/>
          <order val="3"/>
          <tx>
            <strRef>
              <f>Charts!$B$21</f>
              <strCache>
                <ptCount val="1"/>
                <pt idx="0">
                  <v>FCF margin %</v>
                </pt>
              </strCache>
            </strRef>
          </tx>
          <spPr>
            <a:ln xmlns:a="http://schemas.openxmlformats.org/drawingml/2006/main" w="28440">
              <a:solidFill>
                <a:srgbClr val="C8553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Charts!$C$21:$V$21</f>
              <numCache>
                <formatCode>0.0%;\(0.0%\);\-</formatCode>
                <ptCount val="20"/>
                <pt idx="0">
                  <v>0.03273023930384337</v>
                </pt>
                <pt idx="1">
                  <v>0.05919305876489511</v>
                </pt>
                <pt idx="2">
                  <v>0.04121881043347014</v>
                </pt>
                <pt idx="3">
                  <v>0.1052143780101022</v>
                </pt>
                <pt idx="4">
                  <v>0.0750978742498177</v>
                </pt>
                <pt idx="5">
                  <v>0.06052336775774549</v>
                </pt>
                <pt idx="6">
                  <v>0.03517177071063997</v>
                </pt>
                <pt idx="7">
                  <v>0.07131431222454188</v>
                </pt>
                <pt idx="8">
                  <v>0.05053245436105477</v>
                </pt>
                <pt idx="9">
                  <v>0.07201915470674651</v>
                </pt>
                <pt idx="10">
                  <v>0.07630328899130616</v>
                </pt>
                <pt idx="11">
                  <v>0.06242510591083318</v>
                </pt>
                <pt idx="12">
                  <v>0.07756207494112644</v>
                </pt>
                <pt idx="13">
                  <v>0.120824680139554</v>
                </pt>
                <pt idx="14">
                  <v>0.1459650309731707</v>
                </pt>
                <pt idx="15">
                  <v>0.1319911340967861</v>
                </pt>
                <pt idx="16">
                  <v>0.08268540912558639</v>
                </pt>
                <pt idx="17">
                  <v>0.1295667827421354</v>
                </pt>
                <pt idx="18">
                  <v>0.09241126070991432</v>
                </pt>
                <pt idx="19">
                  <v>0.1590243902439024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27004353"/>
        <axId val="61682655"/>
      </lineChart>
      <catAx>
        <axId val="2700435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61682655"/>
        <crosses val="autoZero"/>
        <auto val="1"/>
        <lblAlgn val="ctr"/>
        <lblOffset val="100"/>
        <noMultiLvlLbl val="0"/>
      </catAx>
      <valAx>
        <axId val="6168265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700435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CF2" authorId="0" shapeId="0">
      <text>
        <t>Scenario toggle. Choose Bull / Base / Bear. Drives: FY26 guidance end-points (revenue, Adjusted EBITDA calibration, capex), 2027E–30E aggregates volume / ASP / gross margin, Other Building Materials, Specialties and LNA growth &amp; margins, LNA synergy realisation, M&amp;A spend, 2H/26 buybacks and the leverage floor for buybacks.</t>
      </text>
    </comment>
    <comment ref="B11" authorId="0" shapeId="0">
      <text>
        <t>Source: earnings releases (Form 8-K Ex. 99.1) — total aggregates shipments incl. internal tons ("Aggregates Product Line"/"Total aggregates tons"). Thousands of tons converted to millions. 2025 quarters on the continuing-operations basis recast in the 2026 releases.</t>
      </text>
    </comment>
    <comment ref="B13" authorId="0" shapeId="0">
      <text>
        <t>Source: earnings releases — reported aggregates ASP (average unit sales price incl. internal sales; from 2023 "average selling price per ton"). Not published 2006–2012 and 2014Q3–2015 (TXI heritage/acquired split only).</t>
      </text>
    </comment>
    <comment ref="B16" authorId="0" shapeId="0">
      <text>
        <t>Source: earnings-release product-line tables. Basis: net sales (ex freight) to 2017; products &amp; services revenues (ex freight) 2018–2022; total revenues incl. freight from 2023. 2014Q3–2015: heritage + acquired (TXI) operations summed. 2025 quarters: continuing-operations recast (2026 releases).</t>
      </text>
    </comment>
    <comment ref="B28" authorId="0" shapeId="0">
      <text>
        <t>Source: 2026 earnings releases (product-line DD&amp;A table; Q1–Q2/25 recast comparatives).</t>
      </text>
    </comment>
    <comment ref="B30" authorId="0" shapeId="0">
      <text>
        <t>Source: earnings releases (volume/pricing variance tables or narrative; total aggregates product line).</t>
      </text>
    </comment>
    <comment ref="B39" authorId="0" shapeId="0">
      <text>
        <t>Cement product line: TXI (acquired Jul-2014). California cement sold 2015 and Tehachapi 2022; South Texas cement (Hunter) sold Feb-2024; Midlothian cement = discontinued operations from Q3/25 (QUIKRETE asset exchange, closed Feb-2026). Q1/24–Q2/25 reported combined with ready mixed concrete (see combined row).</t>
      </text>
    </comment>
    <comment ref="B55" authorId="0" shapeId="0">
      <text>
        <t>Interproduct sales (aggregates sold to the downstream product lines) eliminated from 2016; 2016Q4/FY2016 also include intersegment sales.</t>
      </text>
    </comment>
    <comment ref="B59" authorId="0" shapeId="0">
      <text>
        <t>Specialty Products (to 2013) / Magnesia Specialties (2014–2025) / Specialties (2025Q3+). Net sales basis to 2017; products &amp; services 2018–22; total revenues from 2023.</t>
      </text>
    </comment>
    <comment ref="B67" authorId="0" shapeId="0">
      <text>
        <t>Source: LNA audited consolidated financial statements FY2025/FY2024 (MLM Form 8-K dated 10-Aug-2026, Ex. 99.1), USD thousands converted to millions.</t>
      </text>
    </comment>
    <comment ref="B69" authorId="0" shapeId="0">
      <text>
        <t>Source: LNA unaudited condensed consolidated financial statements, six months ended 30-Jun-2026 and 2025 (Form 8-K 10-Aug-2026, Ex. 99.2).</t>
      </text>
    </comment>
    <comment ref="B91" authorId="0" shapeId="0">
      <text>
        <t>Consolidated freight &amp; delivery revenues when the product-line tables excluded freight (derived as consolidated revenues − Σ product lines; equals reported freight revenues). Zero from 2023 (product lines on total-revenue basis).</t>
      </text>
    </comment>
    <comment ref="B92" authorId="0" shapeId="0">
      <text>
        <t>Freight gross profit printed separately (Building Materials and Magnesia Specialties freight lines) 2018–2022; derived as consolidated GP − Σ product-line GP.</t>
      </text>
    </comment>
    <comment ref="B93" authorId="0" shapeId="0">
      <text>
        <t>2006–Q2/11 releases show only the Aggregates business total (segment table); product-line revenue split begins Q3/11.</t>
      </text>
    </comment>
    <comment ref="B94" authorId="0" shapeId="0">
      <text>
        <t>Product-line gross profit first published in the Q4/12 release; earlier periods = Aggregates business (segment) gross profit.</t>
      </text>
    </comment>
    <comment ref="B133" authorId="0" shapeId="0">
      <text>
        <t>Source: earnings-release segment tables (Unaudited Operating Segment Financial Highlights).</t>
      </text>
    </comment>
    <comment ref="B158" authorId="0" shapeId="0">
      <text>
        <t>Source: earnings releases (Statements of Earnings). Total revenues incl. freight &amp; delivery revenues. 2025 quarters restated for discontinued operations (Midlothian cement &amp; Texas ready mix; 2026 releases). 2024 and earlier as originally reported.</t>
      </text>
    </comment>
    <comment ref="B182" authorId="0" shapeId="0">
      <text>
        <t>Source: statements of cash flows (10-Q/10-K); quarterly = year-to-date differences. Includes discontinued operations where not separately presented.</t>
      </text>
    </comment>
    <comment ref="B193" authorId="0" shapeId="0">
      <text>
        <t>Source: earnings releases / XBRL (CommonStockDividendsPerShareDeclared).</t>
      </text>
    </comment>
    <comment ref="B199" authorId="0" shapeId="0">
      <text>
        <t>Company bridge start: net earnings attributable to MLM (incl. discontinued ops) to 2021Q3; net earnings from continuing operations attributable to MLM from 2021Q4. 2006–Q3/09 EBITDA was reconciled from operating cash flow — model rebuilds it from net earnings (start = net earnings attributable).</t>
      </text>
    </comment>
    <comment ref="B209" authorId="0" shapeId="0">
      <text>
        <t>Other reconciling items as published (e.g. 2015 loss on California cement sale; NCI in 2009–10 bridges). 2006–Q3/09: residual vs the company's operating-cash-flow-based EBITDA reconciliation (taxes on discontinued operations, rounding).</t>
      </text>
    </comment>
    <comment ref="B213" authorId="0" shapeId="0">
      <text>
        <t>Source: earnings-release non-GAAP reconciliations. 2006–2017: "EBITDA"; 2018+: "Adjusted EBITDA" (2019 redefinition adds equity-affiliate results; 2018 shown as originally published); 2021Q4+: from continuing operations. Q2–Q3/15 releases did not publish a quarterly EBITDA.</t>
      </text>
    </comment>
    <comment ref="B228" authorId="0" shapeId="0">
      <text>
        <t>Plug in periods where MLM published an adjusted EPS: = published adjusted EPS × diluted shares − (GAAP continuing earnings + adjusting items after tax). Captures items the company excluded that are not in the EBITDA bridge (e.g. 2017 Tax Act benefit, 2011–14 business development costs, 2011 early-retirement charge, 2015 cement sale loss/tax) and rounding.</t>
      </text>
    </comment>
    <comment ref="B232" authorId="0" shapeId="0">
      <text>
        <t>Source: earnings releases (adjusted EPS tables / narrative where published).</t>
      </text>
    </comment>
    <comment ref="B253" authorId="0" shapeId="0">
      <text>
        <t>Source: statements of cash flows (Form 10-Q / 10-K). Quarterly columns = discrete quarter (year-to-date less prior year-to-date). Pre-2018 cash = cash &amp; equivalents; from 2018 incl. restricted cash (ASU 2016-18).</t>
      </text>
    </comment>
    <comment ref="B259" authorId="0" shapeId="0">
      <text>
        <t>Derived: net cash from operating activities less the itemised lines (asset rationalization charges, pension, excess tax benefits, other).</t>
      </text>
    </comment>
    <comment ref="B272" authorId="0" shapeId="0">
      <text>
        <t>Derived: finance-lease payments, debt issuance costs, bank overdraft, excess tax benefits, NCI distributions, other.</t>
      </text>
    </comment>
    <comment ref="B301" authorId="0" shapeId="0">
      <text>
        <t>Source: balance sheets (Form 10-Q / 10-K; pre-2019 annual from the 10-K Exhibit 13 annual report). FY2008 from the FY2009 annual report comparative column (recast for SFAS 160).</t>
      </text>
    </comment>
    <comment ref="B305" authorId="0" shapeId="0">
      <text>
        <t>Derived: total current assets less the itemised lines.</t>
      </text>
    </comment>
    <comment ref="B311" authorId="0" shapeId="0">
      <text>
        <t>Derived: total assets less the itemised lines.</t>
      </text>
    </comment>
    <comment ref="B318" authorId="0" shapeId="0">
      <text>
        <t>Derived: total current liabilities less the itemised lines.</t>
      </text>
    </comment>
    <comment ref="B324" authorId="0" shapeId="0">
      <text>
        <t>Derived: total liabilities less the itemised lines.</t>
      </text>
    </comment>
    <comment ref="B338" authorId="0" shapeId="0">
      <text>
        <t>Source: XBRL dei/us-gaap CommonStockSharesOutstanding (balance-sheet parenthetical / 10-Q cover), 2009+.</t>
      </text>
    </comment>
    <comment ref="B353" authorId="0" shapeId="0">
      <text>
        <t>Source: MLM Form 8-K dated 10-Aug-2026, Ex. 99.3 (unaudited pro forma condensed combined financial statements), note 2; closing terms per Form 8-K filed 24-Aug-2026.</t>
      </text>
    </comment>
    <comment ref="B382" authorId="0" shapeId="0">
      <text>
        <t>Q2/26: senior notes face value per 10-Q debt note (30-Jun-2026).</t>
      </text>
    </comment>
    <comment ref="B433" authorId="0" shapeId="0">
      <text>
        <t>Input: $518.70 = price on MLM Form 4 filings dated 31-Aug-2026 (restricted-stock grants). EDGAR is the only market-data source reachable from the build environment — update to the current market price.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N26" authorId="0" shapeId="0">
      <text>
        <t>P/E on adjusted EPS (continuing operations). MLM has traded at ~25–35x NTM EPS over 2019–26 (≈28x 2027E adjusted EPS at $518.70). Base 26x, Bull 30x, Bear 21x applied to 2028E–2030E.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R439"/>
  <sheetViews>
    <sheetView showGridLines="0" tabSelected="1" zoomScale="70" zoomScaleNormal="70" workbookViewId="0">
      <pane xSplit="7" ySplit="7" topLeftCell="H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X421" sqref="X421"/>
    </sheetView>
  </sheetViews>
  <sheetFormatPr baseColWidth="8" defaultColWidth="8.5703125" defaultRowHeight="15" outlineLevelRow="2"/>
  <cols>
    <col width="2.42578125" customWidth="1" min="1" max="1"/>
    <col width="62" customWidth="1" min="2" max="2"/>
    <col width="14.140625" customWidth="1" min="3" max="9"/>
    <col hidden="1" outlineLevel="1" width="9.5703125" customWidth="1" min="10" max="13"/>
    <col collapsed="1" width="14.140625" customWidth="1" min="14" max="14"/>
    <col hidden="1" outlineLevel="1" width="9.5703125" customWidth="1" min="15" max="18"/>
    <col collapsed="1" width="14.140625" customWidth="1" min="19" max="19"/>
    <col hidden="1" outlineLevel="1" width="9.5703125" customWidth="1" min="20" max="23"/>
    <col collapsed="1" width="14.140625" customWidth="1" min="24" max="24"/>
    <col hidden="1" outlineLevel="1" width="9.5703125" customWidth="1" min="25" max="28"/>
    <col collapsed="1" width="14.140625" customWidth="1" min="29" max="29"/>
    <col hidden="1" outlineLevel="1" width="9.5703125" customWidth="1" min="30" max="33"/>
    <col collapsed="1" width="14.140625" customWidth="1" min="34" max="34"/>
    <col hidden="1" outlineLevel="1" width="9.5703125" customWidth="1" min="35" max="38"/>
    <col collapsed="1" width="14.140625" customWidth="1" min="39" max="39"/>
    <col hidden="1" outlineLevel="1" width="9.5703125" customWidth="1" min="40" max="43"/>
    <col collapsed="1" width="14.140625" customWidth="1" min="44" max="44"/>
    <col hidden="1" outlineLevel="1" width="9.5703125" customWidth="1" min="45" max="48"/>
    <col collapsed="1" width="14.140625" customWidth="1" min="49" max="49"/>
    <col hidden="1" outlineLevel="1" width="9.5703125" customWidth="1" min="50" max="53"/>
    <col collapsed="1" width="14.140625" customWidth="1" min="54" max="54"/>
    <col hidden="1" outlineLevel="1" width="9.5703125" customWidth="1" min="55" max="58"/>
    <col collapsed="1" width="14.140625" customWidth="1" min="59" max="59"/>
    <col hidden="1" outlineLevel="1" width="9.5703125" customWidth="1" min="60" max="63"/>
    <col collapsed="1" width="14.140625" customWidth="1" min="64" max="64"/>
    <col hidden="1" outlineLevel="1" width="9.5703125" customWidth="1" min="65" max="68"/>
    <col collapsed="1" width="14.140625" customWidth="1" min="69" max="69"/>
    <col hidden="1" outlineLevel="1" width="9.5703125" customWidth="1" min="70" max="73"/>
    <col collapsed="1" width="14.140625" customWidth="1" min="74" max="74"/>
    <col hidden="1" outlineLevel="1" width="9.5703125" customWidth="1" min="75" max="76"/>
    <col hidden="1" outlineLevel="1" width="11.42578125" customWidth="1" min="77" max="78"/>
    <col collapsed="1" width="14.140625" customWidth="1" min="79" max="79"/>
    <col width="14.140625" customWidth="1" min="80" max="83"/>
    <col width="86.85546875" customWidth="1" min="84" max="84"/>
    <col width="2" customWidth="1" min="85" max="85"/>
    <col width="14.140625" customWidth="1" min="86" max="86"/>
    <col width="12.42578125" customWidth="1" min="87" max="87"/>
    <col width="13.42578125" customWidth="1" min="88" max="89"/>
    <col width="2" customWidth="1" min="90" max="90"/>
    <col width="6" customWidth="1" min="91" max="91"/>
    <col width="46" customWidth="1" min="92" max="92"/>
    <col width="11.5703125" customWidth="1" min="93" max="95"/>
    <col width="60" customWidth="1" min="96" max="96"/>
  </cols>
  <sheetData>
    <row r="1" ht="15" customHeight="1">
      <c r="CF1" s="1" t="inlineStr">
        <is>
          <t>SCENARIO SWITCH ▼ (Bull / Base / Bear) — drives all scenario-linked forecast drivers</t>
        </is>
      </c>
    </row>
    <row r="2" ht="21" customHeight="1">
      <c r="B2" s="2" t="inlineStr">
        <is>
          <t>Clean Harbors, Inc. (NYSE: CLH) — 3-Statement Financial Model</t>
        </is>
      </c>
      <c r="CF2" s="3" t="inlineStr">
        <is>
          <t>Base</t>
        </is>
      </c>
    </row>
    <row r="3" ht="15" customHeight="1">
      <c r="B3" s="4" t="inlineStr">
        <is>
          <t>US GAAP as reported · USD millions (per-share data in USD; shares in millions) · Source: Clean Harbors Forms 10-K / 10-Q and Form 8-K earnings releases (Ex. 99.1), deal &amp; financing 8-Ks (Terra Nova May-26, ES&amp;H Jul-26, EnviroServe Aug-26, $600m 6.25% notes Sep-26), Form 4 (share price), SEC EDGAR CIK 0000822818 (investor-relations releases are the same documents as filed on EDGAR)</t>
        </is>
      </c>
    </row>
    <row r="4" ht="15" customHeight="1">
      <c r="B4" s="5" t="inlineStr">
        <is>
          <t>Basis notes: calendar fiscal year; each period as originally reported (quarters from 10-Qs, Q4 = FY − 9M; cash flows de-cumulated from YTD). Segments: Technical Services / Site Services 2006–08; Technical, Field, Industrial, Exploration (Eveready, Jul-09) / Oil &amp; Gas Field Services 2009–12; Safety-Kleen acquired 28-Dec-2012 → 5–6 segments 2013–17; Environmental Services + Safety-Kleen from Q1/18 (2017 recast); Safety-Kleen renamed SKSS Q1/21. Adjusted EBITDA as published by period (SBC added back from Q1/21). Acquisitions: HydroChemPSC Oct-21, Thompson Industrial Mar-23, Noble Oil Mar-24, Depot Connect Mar-26, Terra Nova May-26, Western Oil Jul-26; ES&amp;H ($305m) &amp; EnviroServe ($470m) pending — excluded from FY26 guidance, modelled separately from Q3/26E.</t>
        </is>
      </c>
    </row>
    <row r="5" ht="15" customHeight="1">
      <c r="BY5" s="6" t="n"/>
      <c r="BZ5" s="6" t="n"/>
      <c r="CA5" s="6" t="n"/>
      <c r="CB5" s="6" t="n"/>
      <c r="CC5" s="6" t="n"/>
      <c r="CD5" s="6" t="n"/>
      <c r="CE5" s="6" t="n"/>
      <c r="CH5" s="7" t="inlineStr">
        <is>
          <t>Forecast</t>
        </is>
      </c>
      <c r="CI5" s="7" t="inlineStr">
        <is>
          <t>Historical</t>
        </is>
      </c>
      <c r="CJ5" s="7" t="inlineStr">
        <is>
          <t>Historical</t>
        </is>
      </c>
      <c r="CK5" s="7" t="inlineStr">
        <is>
          <t>Historical</t>
        </is>
      </c>
    </row>
    <row r="6" ht="15" customHeight="1">
      <c r="B6" s="8" t="inlineStr">
        <is>
          <t>(USDm)</t>
        </is>
      </c>
      <c r="C6" s="9" t="n">
        <v>2006</v>
      </c>
      <c r="D6" s="9" t="n">
        <v>2007</v>
      </c>
      <c r="E6" s="9" t="n">
        <v>2008</v>
      </c>
      <c r="F6" s="9" t="n">
        <v>2009</v>
      </c>
      <c r="G6" s="9" t="n">
        <v>2010</v>
      </c>
      <c r="H6" s="9" t="n">
        <v>2011</v>
      </c>
      <c r="I6" s="9" t="n">
        <v>2012</v>
      </c>
      <c r="J6" s="9" t="inlineStr">
        <is>
          <t>Q1/13</t>
        </is>
      </c>
      <c r="K6" s="9" t="inlineStr">
        <is>
          <t>Q2/13</t>
        </is>
      </c>
      <c r="L6" s="9" t="inlineStr">
        <is>
          <t>Q3/13</t>
        </is>
      </c>
      <c r="M6" s="9" t="inlineStr">
        <is>
          <t>Q4/13</t>
        </is>
      </c>
      <c r="N6" s="9" t="n">
        <v>2013</v>
      </c>
      <c r="O6" s="9" t="inlineStr">
        <is>
          <t>Q1/14</t>
        </is>
      </c>
      <c r="P6" s="9" t="inlineStr">
        <is>
          <t>Q2/14</t>
        </is>
      </c>
      <c r="Q6" s="9" t="inlineStr">
        <is>
          <t>Q3/14</t>
        </is>
      </c>
      <c r="R6" s="9" t="inlineStr">
        <is>
          <t>Q4/14</t>
        </is>
      </c>
      <c r="S6" s="9" t="n">
        <v>2014</v>
      </c>
      <c r="T6" s="9" t="inlineStr">
        <is>
          <t>Q1/15</t>
        </is>
      </c>
      <c r="U6" s="9" t="inlineStr">
        <is>
          <t>Q2/15</t>
        </is>
      </c>
      <c r="V6" s="9" t="inlineStr">
        <is>
          <t>Q3/15</t>
        </is>
      </c>
      <c r="W6" s="9" t="inlineStr">
        <is>
          <t>Q4/15</t>
        </is>
      </c>
      <c r="X6" s="9" t="n">
        <v>2015</v>
      </c>
      <c r="Y6" s="9" t="inlineStr">
        <is>
          <t>Q1/16</t>
        </is>
      </c>
      <c r="Z6" s="9" t="inlineStr">
        <is>
          <t>Q2/16</t>
        </is>
      </c>
      <c r="AA6" s="9" t="inlineStr">
        <is>
          <t>Q3/16</t>
        </is>
      </c>
      <c r="AB6" s="9" t="inlineStr">
        <is>
          <t>Q4/16</t>
        </is>
      </c>
      <c r="AC6" s="9" t="n">
        <v>2016</v>
      </c>
      <c r="AD6" s="9" t="inlineStr">
        <is>
          <t>Q1/17</t>
        </is>
      </c>
      <c r="AE6" s="9" t="inlineStr">
        <is>
          <t>Q2/17</t>
        </is>
      </c>
      <c r="AF6" s="9" t="inlineStr">
        <is>
          <t>Q3/17</t>
        </is>
      </c>
      <c r="AG6" s="9" t="inlineStr">
        <is>
          <t>Q4/17</t>
        </is>
      </c>
      <c r="AH6" s="9" t="n">
        <v>2017</v>
      </c>
      <c r="AI6" s="9" t="inlineStr">
        <is>
          <t>Q1/18</t>
        </is>
      </c>
      <c r="AJ6" s="9" t="inlineStr">
        <is>
          <t>Q2/18</t>
        </is>
      </c>
      <c r="AK6" s="9" t="inlineStr">
        <is>
          <t>Q3/18</t>
        </is>
      </c>
      <c r="AL6" s="9" t="inlineStr">
        <is>
          <t>Q4/18</t>
        </is>
      </c>
      <c r="AM6" s="9" t="n">
        <v>2018</v>
      </c>
      <c r="AN6" s="9" t="inlineStr">
        <is>
          <t>Q1/19</t>
        </is>
      </c>
      <c r="AO6" s="9" t="inlineStr">
        <is>
          <t>Q2/19</t>
        </is>
      </c>
      <c r="AP6" s="9" t="inlineStr">
        <is>
          <t>Q3/19</t>
        </is>
      </c>
      <c r="AQ6" s="9" t="inlineStr">
        <is>
          <t>Q4/19</t>
        </is>
      </c>
      <c r="AR6" s="9" t="n">
        <v>2019</v>
      </c>
      <c r="AS6" s="9" t="inlineStr">
        <is>
          <t>Q1/20</t>
        </is>
      </c>
      <c r="AT6" s="9" t="inlineStr">
        <is>
          <t>Q2/20</t>
        </is>
      </c>
      <c r="AU6" s="9" t="inlineStr">
        <is>
          <t>Q3/20</t>
        </is>
      </c>
      <c r="AV6" s="9" t="inlineStr">
        <is>
          <t>Q4/20</t>
        </is>
      </c>
      <c r="AW6" s="9" t="n">
        <v>2020</v>
      </c>
      <c r="AX6" s="9" t="inlineStr">
        <is>
          <t>Q1/21</t>
        </is>
      </c>
      <c r="AY6" s="9" t="inlineStr">
        <is>
          <t>Q2/21</t>
        </is>
      </c>
      <c r="AZ6" s="9" t="inlineStr">
        <is>
          <t>Q3/21</t>
        </is>
      </c>
      <c r="BA6" s="9" t="inlineStr">
        <is>
          <t>Q4/21</t>
        </is>
      </c>
      <c r="BB6" s="9" t="n">
        <v>2021</v>
      </c>
      <c r="BC6" s="9" t="inlineStr">
        <is>
          <t>Q1/22</t>
        </is>
      </c>
      <c r="BD6" s="9" t="inlineStr">
        <is>
          <t>Q2/22</t>
        </is>
      </c>
      <c r="BE6" s="9" t="inlineStr">
        <is>
          <t>Q3/22</t>
        </is>
      </c>
      <c r="BF6" s="9" t="inlineStr">
        <is>
          <t>Q4/22</t>
        </is>
      </c>
      <c r="BG6" s="9" t="n">
        <v>2022</v>
      </c>
      <c r="BH6" s="9" t="inlineStr">
        <is>
          <t>Q1/23</t>
        </is>
      </c>
      <c r="BI6" s="9" t="inlineStr">
        <is>
          <t>Q2/23</t>
        </is>
      </c>
      <c r="BJ6" s="9" t="inlineStr">
        <is>
          <t>Q3/23</t>
        </is>
      </c>
      <c r="BK6" s="9" t="inlineStr">
        <is>
          <t>Q4/23</t>
        </is>
      </c>
      <c r="BL6" s="9" t="n">
        <v>2023</v>
      </c>
      <c r="BM6" s="9" t="inlineStr">
        <is>
          <t>Q1/24</t>
        </is>
      </c>
      <c r="BN6" s="9" t="inlineStr">
        <is>
          <t>Q2/24</t>
        </is>
      </c>
      <c r="BO6" s="9" t="inlineStr">
        <is>
          <t>Q3/24</t>
        </is>
      </c>
      <c r="BP6" s="9" t="inlineStr">
        <is>
          <t>Q4/24</t>
        </is>
      </c>
      <c r="BQ6" s="9" t="n">
        <v>2024</v>
      </c>
      <c r="BR6" s="9" t="inlineStr">
        <is>
          <t>Q1/25</t>
        </is>
      </c>
      <c r="BS6" s="9" t="inlineStr">
        <is>
          <t>Q2/25</t>
        </is>
      </c>
      <c r="BT6" s="9" t="inlineStr">
        <is>
          <t>Q3/25</t>
        </is>
      </c>
      <c r="BU6" s="9" t="inlineStr">
        <is>
          <t>Q4/25</t>
        </is>
      </c>
      <c r="BV6" s="9" t="n">
        <v>2025</v>
      </c>
      <c r="BW6" s="9" t="inlineStr">
        <is>
          <t>Q1/26</t>
        </is>
      </c>
      <c r="BX6" s="9" t="inlineStr">
        <is>
          <t>Q2/26</t>
        </is>
      </c>
      <c r="BY6" s="9" t="inlineStr">
        <is>
          <t>Q3/26E</t>
        </is>
      </c>
      <c r="BZ6" s="9" t="inlineStr">
        <is>
          <t>Q4/26E</t>
        </is>
      </c>
      <c r="CA6" s="9" t="inlineStr">
        <is>
          <t>2026E</t>
        </is>
      </c>
      <c r="CB6" s="9" t="inlineStr">
        <is>
          <t>2027E</t>
        </is>
      </c>
      <c r="CC6" s="9" t="inlineStr">
        <is>
          <t>2028E</t>
        </is>
      </c>
      <c r="CD6" s="9" t="inlineStr">
        <is>
          <t>2029E</t>
        </is>
      </c>
      <c r="CE6" s="9" t="inlineStr">
        <is>
          <t>2030E</t>
        </is>
      </c>
      <c r="CF6" s="9" t="inlineStr">
        <is>
          <t>Modelling Notes</t>
        </is>
      </c>
      <c r="CH6" s="7" t="inlineStr">
        <is>
          <t>5Y CAGR</t>
        </is>
      </c>
      <c r="CI6" s="7" t="inlineStr">
        <is>
          <t>5Y CAGR</t>
        </is>
      </c>
      <c r="CJ6" s="7" t="inlineStr">
        <is>
          <t>10Y CAGR</t>
        </is>
      </c>
      <c r="CK6" s="7" t="inlineStr">
        <is>
          <t>19Y CAGR</t>
        </is>
      </c>
    </row>
    <row r="7" ht="15" customHeight="1">
      <c r="CH7" s="10" t="inlineStr">
        <is>
          <t>25-'30</t>
        </is>
      </c>
      <c r="CI7" s="10" t="inlineStr">
        <is>
          <t>20-'25</t>
        </is>
      </c>
      <c r="CJ7" s="10" t="inlineStr">
        <is>
          <t>15-'25</t>
        </is>
      </c>
      <c r="CK7" s="10" t="inlineStr">
        <is>
          <t>06-'25</t>
        </is>
      </c>
    </row>
    <row r="8" ht="15" customHeight="1">
      <c r="B8" s="11" t="inlineStr">
        <is>
          <t>SEGMENT &amp; SERVICE-LINE P&amp;L — ENVIRONMENTAL SERVICES · SAFETY-KLEEN SUSTAINABILITY SOLUTIONS (service-line revenue × segment Adjusted EBITDA margin build)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n"/>
      <c r="CD8" s="11" t="n"/>
      <c r="CE8" s="11" t="n"/>
      <c r="CF8" s="11" t="inlineStr">
        <is>
          <t>SEGMENT BUILD — CLH reports segment profit as Adjusted EBITDA (no segment gross profit); revenues built by service line (third-party, ASC 606 disaggregation from 2018) + intersegment = segment direct revenues</t>
        </is>
      </c>
    </row>
    <row r="9" ht="15" customHeight="1">
      <c r="CN9" s="174" t="inlineStr">
        <is>
          <t>SCENARIO INPUT TABLE — driver assumptions per Bull / Base / Bear</t>
        </is>
      </c>
      <c r="CO9" s="13" t="inlineStr">
        <is>
          <t>Bull</t>
        </is>
      </c>
      <c r="CP9" s="13" t="inlineStr">
        <is>
          <t>Base</t>
        </is>
      </c>
      <c r="CQ9" s="13" t="inlineStr">
        <is>
          <t>Bear</t>
        </is>
      </c>
      <c r="CR9" s="14" t="inlineStr">
        <is>
          <t>Bull / Bear = Base + Δ (Δ inputs on each block header). Outlook block = high / mid / low end of FY26 ranges.</t>
        </is>
      </c>
    </row>
    <row r="10" ht="15" customHeight="1">
      <c r="B10" s="139" t="inlineStr">
        <is>
          <t>Environmental Services (ES) — Technical Services (incineration, landfill, TSDF network) · Field &amp; Emergency Response · Industrial Services &amp; Other · Safety-Kleen Environmental Services (ES portion from 2021)</t>
        </is>
      </c>
      <c r="C10" s="139" t="n"/>
      <c r="D10" s="139" t="n"/>
      <c r="E10" s="139" t="n"/>
      <c r="F10" s="139" t="n"/>
      <c r="G10" s="139" t="n"/>
      <c r="H10" s="139" t="n"/>
      <c r="I10" s="139" t="n"/>
      <c r="J10" s="139" t="n"/>
      <c r="K10" s="139" t="n"/>
      <c r="L10" s="139" t="n"/>
      <c r="M10" s="139" t="n"/>
      <c r="N10" s="139" t="n"/>
      <c r="O10" s="139" t="n"/>
      <c r="P10" s="139" t="n"/>
      <c r="Q10" s="139" t="n"/>
      <c r="R10" s="139" t="n"/>
      <c r="S10" s="139" t="n"/>
      <c r="T10" s="139" t="n"/>
      <c r="U10" s="139" t="n"/>
      <c r="V10" s="139" t="n"/>
      <c r="W10" s="139" t="n"/>
      <c r="X10" s="139" t="n"/>
      <c r="Y10" s="139" t="n"/>
      <c r="Z10" s="139" t="n"/>
      <c r="AA10" s="139" t="n"/>
      <c r="AB10" s="139" t="n"/>
      <c r="AC10" s="139" t="n"/>
      <c r="AD10" s="139" t="n"/>
      <c r="AE10" s="139" t="n"/>
      <c r="AF10" s="139" t="n"/>
      <c r="AG10" s="139" t="n"/>
      <c r="AH10" s="139" t="n"/>
      <c r="AI10" s="139" t="n"/>
      <c r="AJ10" s="139" t="n"/>
      <c r="AK10" s="139" t="n"/>
      <c r="AL10" s="139" t="n"/>
      <c r="AM10" s="139" t="n"/>
      <c r="AN10" s="139" t="n"/>
      <c r="AO10" s="139" t="n"/>
      <c r="AP10" s="139" t="n"/>
      <c r="AQ10" s="139" t="n"/>
      <c r="AR10" s="139" t="n"/>
      <c r="AS10" s="139" t="n"/>
      <c r="AT10" s="139" t="n"/>
      <c r="AU10" s="139" t="n"/>
      <c r="AV10" s="139" t="n"/>
      <c r="AW10" s="139" t="n"/>
      <c r="AX10" s="139" t="n"/>
      <c r="AY10" s="139" t="n"/>
      <c r="AZ10" s="139" t="n"/>
      <c r="BA10" s="139" t="n"/>
      <c r="BB10" s="139" t="n"/>
      <c r="BC10" s="139" t="n"/>
      <c r="BD10" s="139" t="n"/>
      <c r="BE10" s="139" t="n"/>
      <c r="BF10" s="139" t="n"/>
      <c r="BG10" s="139" t="n"/>
      <c r="BH10" s="139" t="n"/>
      <c r="BI10" s="139" t="n"/>
      <c r="BJ10" s="139" t="n"/>
      <c r="BK10" s="139" t="n"/>
      <c r="BL10" s="139" t="n"/>
      <c r="BM10" s="139" t="n"/>
      <c r="BN10" s="139" t="n"/>
      <c r="BO10" s="139" t="n"/>
      <c r="BP10" s="139" t="n"/>
      <c r="BQ10" s="139" t="n"/>
      <c r="BR10" s="139" t="n"/>
      <c r="BS10" s="139" t="n"/>
      <c r="BT10" s="139" t="n"/>
      <c r="BU10" s="139" t="n"/>
      <c r="BV10" s="139" t="n"/>
      <c r="BW10" s="139" t="n"/>
      <c r="BX10" s="139" t="n"/>
      <c r="BY10" s="139" t="n"/>
      <c r="BZ10" s="139" t="n"/>
      <c r="CA10" s="139" t="n"/>
      <c r="CB10" s="139" t="n"/>
      <c r="CC10" s="139" t="n"/>
      <c r="CD10" s="139" t="n"/>
      <c r="CE10" s="139" t="n"/>
      <c r="CF10" s="139" t="inlineStr">
        <is>
          <t>ES — modelling logic: service lines = prior-year quarter × (1 + growth input) for Q3/Q4-26E; 2027E+ scenario levers. ES Adj. EBITDA = direct revenues × margin.</t>
        </is>
      </c>
    </row>
    <row r="11" ht="15" customHeight="1">
      <c r="B11" s="17" t="inlineStr">
        <is>
          <t xml:space="preserve">  Technical Services — third-party revenues</t>
        </is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3" t="n"/>
      <c r="AH11" s="33" t="n"/>
      <c r="AI11" s="175" t="n">
        <v>236.306</v>
      </c>
      <c r="AJ11" s="175" t="n">
        <v>257.006</v>
      </c>
      <c r="AK11" s="175" t="n">
        <v>264.769</v>
      </c>
      <c r="AL11" s="175" t="n">
        <v>279.307</v>
      </c>
      <c r="AM11" s="175" t="n">
        <v>1037.388</v>
      </c>
      <c r="AN11" s="175" t="n">
        <v>251.919</v>
      </c>
      <c r="AO11" s="175" t="n">
        <v>275.908</v>
      </c>
      <c r="AP11" s="175" t="n">
        <v>292.506</v>
      </c>
      <c r="AQ11" s="175" t="n">
        <v>299.71</v>
      </c>
      <c r="AR11" s="175" t="n">
        <v>1120.043</v>
      </c>
      <c r="AS11" s="175" t="n">
        <v>275.273</v>
      </c>
      <c r="AT11" s="175" t="n">
        <v>241.929</v>
      </c>
      <c r="AU11" s="175" t="n">
        <v>257.612</v>
      </c>
      <c r="AV11" s="175" t="n">
        <v>287.9</v>
      </c>
      <c r="AW11" s="175" t="n">
        <v>1062.714</v>
      </c>
      <c r="AX11" s="175" t="n">
        <v>272.04</v>
      </c>
      <c r="AY11" s="175" t="n">
        <v>306.865</v>
      </c>
      <c r="AZ11" s="175" t="n">
        <v>308.158</v>
      </c>
      <c r="BA11" s="175" t="n">
        <v>322.561</v>
      </c>
      <c r="BB11" s="175" t="n">
        <v>1209.624</v>
      </c>
      <c r="BC11" s="175" t="n">
        <v>323.656</v>
      </c>
      <c r="BD11" s="175" t="n">
        <v>387.019</v>
      </c>
      <c r="BE11" s="175" t="n">
        <v>398.664</v>
      </c>
      <c r="BF11" s="175" t="n">
        <v>385.925</v>
      </c>
      <c r="BG11" s="175" t="n">
        <v>1495.264</v>
      </c>
      <c r="BH11" s="175" t="n">
        <v>366.509</v>
      </c>
      <c r="BI11" s="175" t="n">
        <v>389.908</v>
      </c>
      <c r="BJ11" s="175" t="n">
        <v>403.889</v>
      </c>
      <c r="BK11" s="175" t="n">
        <v>403.541</v>
      </c>
      <c r="BL11" s="175" t="n">
        <v>1563.847</v>
      </c>
      <c r="BM11" s="175" t="n">
        <v>407.491</v>
      </c>
      <c r="BN11" s="175" t="n">
        <v>443.668</v>
      </c>
      <c r="BO11" s="175" t="n">
        <v>437.18</v>
      </c>
      <c r="BP11" s="175" t="n">
        <v>445.211</v>
      </c>
      <c r="BQ11" s="175" t="n">
        <v>1733.55</v>
      </c>
      <c r="BR11" s="175" t="n">
        <v>426.205</v>
      </c>
      <c r="BS11" s="175" t="n">
        <v>463.421</v>
      </c>
      <c r="BT11" s="175" t="n">
        <v>490.768</v>
      </c>
      <c r="BU11" s="175" t="n">
        <v>479.311</v>
      </c>
      <c r="BV11" s="175" t="n">
        <v>1859.705</v>
      </c>
      <c r="BW11" s="175" t="n">
        <v>448.313</v>
      </c>
      <c r="BX11" s="175" t="n">
        <v>544.91</v>
      </c>
      <c r="BY11" s="176">
        <f>BT11*(1+BY12)</f>
        <v>549.66016</v>
      </c>
      <c r="BZ11" s="176">
        <f>BU11*(1+BZ12)</f>
        <v>527.2421</v>
      </c>
      <c r="CA11" s="176">
        <f>SUM(BW11,BX11,BY11,BZ11)</f>
        <v>2070.12526</v>
      </c>
      <c r="CB11" s="176">
        <f>CA11*(1+CB12)</f>
        <v>2235.7352808</v>
      </c>
      <c r="CC11" s="176">
        <f>CB11*(1+CC12)</f>
        <v>2403.41542686</v>
      </c>
      <c r="CD11" s="176">
        <f>CC11*(1+CD12)</f>
        <v>2571.6545067402</v>
      </c>
      <c r="CE11" s="176">
        <f>CD11*(1+CE12)</f>
        <v>2738.81204967831</v>
      </c>
      <c r="CF11" s="177" t="inlineStr">
        <is>
          <t>Incineration, landfill, wastewater, TSDF/transfer network (Kimball, NE incinerator online 2025; Terra Nova from 13-May-26). Historical: 10-Q/10-K revenue disaggregation (third-party), Q4 = FY − 9M.</t>
        </is>
      </c>
      <c r="CH11" s="21">
        <f>IFERROR((CE11/BV11)^(1/5)-1,"n/m")</f>
        <v>0.080497171266547</v>
      </c>
      <c r="CI11" s="21">
        <f>IFERROR((BV11/AW11)^(1/5)-1,"n/m")</f>
        <v>0.118421562335421</v>
      </c>
      <c r="CJ11" s="21" t="str">
        <f>IFERROR((BV11/X11)^(1/10)-1,"n/m")</f>
        <v>n/m</v>
      </c>
      <c r="CK11" s="21" t="str">
        <f>IFERROR((BV11/C11)^(1/19)-1,"n/m")</f>
        <v>n/m</v>
      </c>
      <c r="CN11" s="16" t="inlineStr">
        <is>
          <t>FY26 outlook — Q2-26 release (29-Jul-26); excludes pending ES&amp;H / EnviroServe</t>
        </is>
      </c>
      <c r="CO11" s="22" t="inlineStr">
        <is>
          <t>High</t>
        </is>
      </c>
      <c r="CP11" s="22" t="inlineStr">
        <is>
          <t>Mid</t>
        </is>
      </c>
      <c r="CQ11" s="22" t="inlineStr">
        <is>
          <t>Low</t>
        </is>
      </c>
      <c r="CR11" s="14" t="inlineStr">
        <is>
          <t>Company guidance excludes ES&amp;H (signed 17-Jul-26) and EnviroServe (signed 12-Aug-26) — the model adds them separately.</t>
        </is>
      </c>
    </row>
    <row r="12" ht="15" customHeight="1">
      <c r="B12" s="23" t="inlineStr">
        <is>
          <t xml:space="preserve">  Technical Services y/y %</t>
        </is>
      </c>
      <c r="C12" s="24" t="n"/>
      <c r="D12" s="178">
        <f>IF(AND(ISNUMBER(D11),ISNUMBER(C11)),IFERROR(D11/C11-1,""),"")</f>
      </c>
      <c r="E12" s="178">
        <f>IF(AND(ISNUMBER(E11),ISNUMBER(D11)),IFERROR(E11/D11-1,""),"")</f>
      </c>
      <c r="F12" s="178">
        <f>IF(AND(ISNUMBER(F11),ISNUMBER(E11)),IFERROR(F11/E11-1,""),"")</f>
      </c>
      <c r="G12" s="178">
        <f>IF(AND(ISNUMBER(G11),ISNUMBER(F11)),IFERROR(G11/F11-1,""),"")</f>
      </c>
      <c r="H12" s="178">
        <f>IF(AND(ISNUMBER(H11),ISNUMBER(G11)),IFERROR(H11/G11-1,""),"")</f>
      </c>
      <c r="I12" s="178">
        <f>IF(AND(ISNUMBER(I11),ISNUMBER(H11)),IFERROR(I11/H11-1,""),"")</f>
      </c>
      <c r="J12" s="24" t="n"/>
      <c r="K12" s="24" t="n"/>
      <c r="L12" s="24" t="n"/>
      <c r="M12" s="24" t="n"/>
      <c r="N12" s="178">
        <f>IF(AND(ISNUMBER(N11),ISNUMBER(I11)),IFERROR(N11/I11-1,""),"")</f>
      </c>
      <c r="O12" s="178">
        <f>IF(AND(ISNUMBER(O11),ISNUMBER(J11)),IFERROR(O11/J11-1,""),"")</f>
      </c>
      <c r="P12" s="178">
        <f>IF(AND(ISNUMBER(P11),ISNUMBER(K11)),IFERROR(P11/K11-1,""),"")</f>
      </c>
      <c r="Q12" s="178">
        <f>IF(AND(ISNUMBER(Q11),ISNUMBER(L11)),IFERROR(Q11/L11-1,""),"")</f>
      </c>
      <c r="R12" s="178">
        <f>IF(AND(ISNUMBER(R11),ISNUMBER(M11)),IFERROR(R11/M11-1,""),"")</f>
      </c>
      <c r="S12" s="178">
        <f>IF(AND(ISNUMBER(S11),ISNUMBER(N11)),IFERROR(S11/N11-1,""),"")</f>
      </c>
      <c r="T12" s="178">
        <f>IF(AND(ISNUMBER(T11),ISNUMBER(O11)),IFERROR(T11/O11-1,""),"")</f>
      </c>
      <c r="U12" s="178">
        <f>IF(AND(ISNUMBER(U11),ISNUMBER(P11)),IFERROR(U11/P11-1,""),"")</f>
      </c>
      <c r="V12" s="178">
        <f>IF(AND(ISNUMBER(V11),ISNUMBER(Q11)),IFERROR(V11/Q11-1,""),"")</f>
      </c>
      <c r="W12" s="178">
        <f>IF(AND(ISNUMBER(W11),ISNUMBER(R11)),IFERROR(W11/R11-1,""),"")</f>
      </c>
      <c r="X12" s="178">
        <f>IF(AND(ISNUMBER(X11),ISNUMBER(S11)),IFERROR(X11/S11-1,""),"")</f>
      </c>
      <c r="Y12" s="178">
        <f>IF(AND(ISNUMBER(Y11),ISNUMBER(T11)),IFERROR(Y11/T11-1,""),"")</f>
      </c>
      <c r="Z12" s="178">
        <f>IF(AND(ISNUMBER(Z11),ISNUMBER(U11)),IFERROR(Z11/U11-1,""),"")</f>
      </c>
      <c r="AA12" s="178">
        <f>IF(AND(ISNUMBER(AA11),ISNUMBER(V11)),IFERROR(AA11/V11-1,""),"")</f>
      </c>
      <c r="AB12" s="178">
        <f>IF(AND(ISNUMBER(AB11),ISNUMBER(W11)),IFERROR(AB11/W11-1,""),"")</f>
      </c>
      <c r="AC12" s="178">
        <f>IF(AND(ISNUMBER(AC11),ISNUMBER(X11)),IFERROR(AC11/X11-1,""),"")</f>
      </c>
      <c r="AD12" s="178">
        <f>IF(AND(ISNUMBER(AD11),ISNUMBER(Y11)),IFERROR(AD11/Y11-1,""),"")</f>
      </c>
      <c r="AE12" s="178">
        <f>IF(AND(ISNUMBER(AE11),ISNUMBER(Z11)),IFERROR(AE11/Z11-1,""),"")</f>
      </c>
      <c r="AF12" s="178">
        <f>IF(AND(ISNUMBER(AF11),ISNUMBER(AA11)),IFERROR(AF11/AA11-1,""),"")</f>
      </c>
      <c r="AG12" s="178">
        <f>IF(AND(ISNUMBER(AG11),ISNUMBER(AB11)),IFERROR(AG11/AB11-1,""),"")</f>
      </c>
      <c r="AH12" s="178">
        <f>IF(AND(ISNUMBER(AH11),ISNUMBER(AC11)),IFERROR(AH11/AC11-1,""),"")</f>
      </c>
      <c r="AI12" s="178">
        <f>IF(AND(ISNUMBER(AI11),ISNUMBER(AD11)),IFERROR(AI11/AD11-1,""),"")</f>
      </c>
      <c r="AJ12" s="178">
        <f>IF(AND(ISNUMBER(AJ11),ISNUMBER(AE11)),IFERROR(AJ11/AE11-1,""),"")</f>
      </c>
      <c r="AK12" s="178">
        <f>IF(AND(ISNUMBER(AK11),ISNUMBER(AF11)),IFERROR(AK11/AF11-1,""),"")</f>
      </c>
      <c r="AL12" s="178">
        <f>IF(AND(ISNUMBER(AL11),ISNUMBER(AG11)),IFERROR(AL11/AG11-1,""),"")</f>
      </c>
      <c r="AM12" s="178">
        <f>IF(AND(ISNUMBER(AM11),ISNUMBER(AH11)),IFERROR(AM11/AH11-1,""),"")</f>
      </c>
      <c r="AN12" s="178">
        <f>IF(AND(ISNUMBER(AN11),ISNUMBER(AI11)),IFERROR(AN11/AI11-1,""),"")</f>
        <v>0.0660711111863432</v>
      </c>
      <c r="AO12" s="178">
        <f>IF(AND(ISNUMBER(AO11),ISNUMBER(AJ11)),IFERROR(AO11/AJ11-1,""),"")</f>
        <v>0.0735469210835547</v>
      </c>
      <c r="AP12" s="178">
        <f>IF(AND(ISNUMBER(AP11),ISNUMBER(AK11)),IFERROR(AP11/AK11-1,""),"")</f>
        <v>0.104759242962734</v>
      </c>
      <c r="AQ12" s="178">
        <f>IF(AND(ISNUMBER(AQ11),ISNUMBER(AL11)),IFERROR(AQ11/AL11-1,""),"")</f>
        <v>0.0730486525579379</v>
      </c>
      <c r="AR12" s="178">
        <f>IF(AND(ISNUMBER(AR11),ISNUMBER(AM11)),IFERROR(AR11/AM11-1,""),"")</f>
        <v>0.0796760710553814</v>
      </c>
      <c r="AS12" s="178">
        <f>IF(AND(ISNUMBER(AS11),ISNUMBER(AN11)),IFERROR(AS11/AN11-1,""),"")</f>
        <v>0.0927044010177875</v>
      </c>
      <c r="AT12" s="178">
        <f>IF(AND(ISNUMBER(AT11),ISNUMBER(AO11)),IFERROR(AT11/AO11-1,""),"")</f>
        <v>-0.123153369963901</v>
      </c>
      <c r="AU12" s="178">
        <f>IF(AND(ISNUMBER(AU11),ISNUMBER(AP11)),IFERROR(AU11/AP11-1,""),"")</f>
        <v>-0.119293279454097</v>
      </c>
      <c r="AV12" s="178">
        <f>IF(AND(ISNUMBER(AV11),ISNUMBER(AQ11)),IFERROR(AV11/AQ11-1,""),"")</f>
        <v>-0.0394047579326683</v>
      </c>
      <c r="AW12" s="178">
        <f>IF(AND(ISNUMBER(AW11),ISNUMBER(AR11)),IFERROR(AW11/AR11-1,""),"")</f>
        <v>-0.0511846420182082</v>
      </c>
      <c r="AX12" s="178">
        <f>IF(AND(ISNUMBER(AX11),ISNUMBER(AS11)),IFERROR(AX11/AS11-1,""),"")</f>
        <v>-0.0117447043480472</v>
      </c>
      <c r="AY12" s="178">
        <f>IF(AND(ISNUMBER(AY11),ISNUMBER(AT11)),IFERROR(AY11/AT11-1,""),"")</f>
        <v>0.268409326703289</v>
      </c>
      <c r="AZ12" s="178">
        <f>IF(AND(ISNUMBER(AZ11),ISNUMBER(AU11)),IFERROR(AZ11/AU11-1,""),"")</f>
        <v>0.196209803891123</v>
      </c>
      <c r="BA12" s="178">
        <f>IF(AND(ISNUMBER(BA11),ISNUMBER(AV11)),IFERROR(BA11/AV11-1,""),"")</f>
        <v>0.120392497394929</v>
      </c>
      <c r="BB12" s="178">
        <f>IF(AND(ISNUMBER(BB11),ISNUMBER(AW11)),IFERROR(BB11/AW11-1,""),"")</f>
        <v>0.138240392052801</v>
      </c>
      <c r="BC12" s="178">
        <f>IF(AND(ISNUMBER(BC11),ISNUMBER(AX11)),IFERROR(BC11/AX11-1,""),"")</f>
        <v>0.189736803411263</v>
      </c>
      <c r="BD12" s="178">
        <f>IF(AND(ISNUMBER(BD11),ISNUMBER(AY11)),IFERROR(BD11/AY11-1,""),"")</f>
        <v>0.261202809052841</v>
      </c>
      <c r="BE12" s="178">
        <f>IF(AND(ISNUMBER(BE11),ISNUMBER(AZ11)),IFERROR(BE11/AZ11-1,""),"")</f>
        <v>0.293699985072593</v>
      </c>
      <c r="BF12" s="178">
        <f>IF(AND(ISNUMBER(BF11),ISNUMBER(BA11)),IFERROR(BF11/BA11-1,""),"")</f>
        <v>0.19644036321812</v>
      </c>
      <c r="BG12" s="178">
        <f>IF(AND(ISNUMBER(BG11),ISNUMBER(BB11)),IFERROR(BG11/BB11-1,""),"")</f>
        <v>0.236139494586747</v>
      </c>
      <c r="BH12" s="178">
        <f>IF(AND(ISNUMBER(BH11),ISNUMBER(BC11)),IFERROR(BH11/BC11-1,""),"")</f>
        <v>0.132402921620486</v>
      </c>
      <c r="BI12" s="178">
        <f>IF(AND(ISNUMBER(BI11),ISNUMBER(BD11)),IFERROR(BI11/BD11-1,""),"")</f>
        <v>0.00746474979264589</v>
      </c>
      <c r="BJ12" s="178">
        <f>IF(AND(ISNUMBER(BJ11),ISNUMBER(BE11)),IFERROR(BJ11/BE11-1,""),"")</f>
        <v>0.013106274958361</v>
      </c>
      <c r="BK12" s="178">
        <f>IF(AND(ISNUMBER(BK11),ISNUMBER(BF11)),IFERROR(BK11/BF11-1,""),"")</f>
        <v>0.0456461747748915</v>
      </c>
      <c r="BL12" s="178">
        <f>IF(AND(ISNUMBER(BL11),ISNUMBER(BG11)),IFERROR(BL11/BG11-1,""),"")</f>
        <v>0.0458668168296703</v>
      </c>
      <c r="BM12" s="178">
        <f>IF(AND(ISNUMBER(BM11),ISNUMBER(BH11)),IFERROR(BM11/BH11-1,""),"")</f>
        <v>0.111817172293177</v>
      </c>
      <c r="BN12" s="178">
        <f>IF(AND(ISNUMBER(BN11),ISNUMBER(BI11)),IFERROR(BN11/BI11-1,""),"")</f>
        <v>0.137878679073012</v>
      </c>
      <c r="BO12" s="178">
        <f>IF(AND(ISNUMBER(BO11),ISNUMBER(BJ11)),IFERROR(BO11/BJ11-1,""),"")</f>
        <v>0.082426112124866</v>
      </c>
      <c r="BP12" s="178">
        <f>IF(AND(ISNUMBER(BP11),ISNUMBER(BK11)),IFERROR(BP11/BK11-1,""),"")</f>
        <v>0.103260883032951</v>
      </c>
      <c r="BQ12" s="178">
        <f>IF(AND(ISNUMBER(BQ11),ISNUMBER(BL11)),IFERROR(BQ11/BL11-1,""),"")</f>
        <v>0.108516370207572</v>
      </c>
      <c r="BR12" s="178">
        <f>IF(AND(ISNUMBER(BR11),ISNUMBER(BM11)),IFERROR(BR11/BM11-1,""),"")</f>
        <v>0.0459249406735363</v>
      </c>
      <c r="BS12" s="178">
        <f>IF(AND(ISNUMBER(BS11),ISNUMBER(BN11)),IFERROR(BS11/BN11-1,""),"")</f>
        <v>0.0445220299863862</v>
      </c>
      <c r="BT12" s="178">
        <f>IF(AND(ISNUMBER(BT11),ISNUMBER(BO11)),IFERROR(BT11/BO11-1,""),"")</f>
        <v>0.122576513106729</v>
      </c>
      <c r="BU12" s="178">
        <f>IF(AND(ISNUMBER(BU11),ISNUMBER(BP11)),IFERROR(BU11/BP11-1,""),"")</f>
        <v>0.0765928964019307</v>
      </c>
      <c r="BV12" s="178">
        <f>IF(AND(ISNUMBER(BV11),ISNUMBER(BQ11)),IFERROR(BV11/BQ11-1,""),"")</f>
        <v>0.0727726341899571</v>
      </c>
      <c r="BW12" s="178">
        <f>IF(AND(ISNUMBER(BW11),ISNUMBER(BR11)),IFERROR(BW11/BR11-1,""),"")</f>
        <v>0.0518717518565011</v>
      </c>
      <c r="BX12" s="178">
        <f>IF(AND(ISNUMBER(BX11),ISNUMBER(BS11)),IFERROR(BX11/BS11-1,""),"")</f>
        <v>0.175842268693046</v>
      </c>
      <c r="BY12" s="179">
        <f>BY13</f>
        <v>0.12</v>
      </c>
      <c r="BZ12" s="179">
        <f>BZ13</f>
        <v>0.1</v>
      </c>
      <c r="CA12" s="179">
        <f>IFERROR(CA11/BV11-1,"")</f>
        <v>0.113147117419161</v>
      </c>
      <c r="CB12" s="179">
        <f>CHOOSE(MATCH($CF$2,{"Bull","Base","Bear"},0),$CO$31,$CP$31,$CQ$31)</f>
        <v>0.08</v>
      </c>
      <c r="CC12" s="179">
        <f>CHOOSE(MATCH($CF$2,{"Bull","Base","Bear"},0),$CO$32,$CP$32,$CQ$32)</f>
        <v>0.075</v>
      </c>
      <c r="CD12" s="179">
        <f>CHOOSE(MATCH($CF$2,{"Bull","Base","Bear"},0),$CO$33,$CP$33,$CQ$33)</f>
        <v>0.07</v>
      </c>
      <c r="CE12" s="179">
        <f>CHOOSE(MATCH($CF$2,{"Bull","Base","Bear"},0),$CO$34,$CP$34,$CQ$34)</f>
        <v>0.065</v>
      </c>
      <c r="CF12" s="20" t="inlineStr">
        <is>
          <t>Q3/Q4-26E: growth input below. 2027E+: scenario lever TS_growth (pricing + volumes into the disposal network, PFAS, reshoring).</t>
        </is>
      </c>
      <c r="CN12" s="26" t="inlineStr">
        <is>
          <t xml:space="preserve">  FY26 Adjusted EBITDA ($m)</t>
        </is>
      </c>
      <c r="CO12" s="180" t="n">
        <v>1410</v>
      </c>
      <c r="CP12" s="180" t="n">
        <v>1380</v>
      </c>
      <c r="CQ12" s="180" t="n">
        <v>1350</v>
      </c>
      <c r="CR12" s="14" t="inlineStr">
        <is>
          <t>Raised by $110m at the mid-point in the Q2-26 release (from $1,240–1,300m). Drives the Q3/Q4-26E margin calibration.</t>
        </is>
      </c>
    </row>
    <row r="13" ht="15" customHeight="1">
      <c r="B13" s="26" t="inlineStr">
        <is>
          <t xml:space="preserve">  Q3/Q4-26E growth input (incl. Terra Nova from May-26)</t>
        </is>
      </c>
      <c r="C13" s="181" t="n"/>
      <c r="D13" s="181" t="n"/>
      <c r="E13" s="181" t="n"/>
      <c r="F13" s="181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81" t="n"/>
      <c r="U13" s="181" t="n"/>
      <c r="V13" s="181" t="n"/>
      <c r="W13" s="181" t="n"/>
      <c r="X13" s="181" t="n"/>
      <c r="Y13" s="181" t="n"/>
      <c r="Z13" s="181" t="n"/>
      <c r="AA13" s="181" t="n"/>
      <c r="AB13" s="181" t="n"/>
      <c r="AC13" s="181" t="n"/>
      <c r="AD13" s="181" t="n"/>
      <c r="AE13" s="181" t="n"/>
      <c r="AF13" s="181" t="n"/>
      <c r="AG13" s="181" t="n"/>
      <c r="AH13" s="181" t="n"/>
      <c r="AI13" s="181" t="n"/>
      <c r="AJ13" s="181" t="n"/>
      <c r="AK13" s="181" t="n"/>
      <c r="AL13" s="181" t="n"/>
      <c r="AM13" s="181" t="n"/>
      <c r="AN13" s="181" t="n"/>
      <c r="AO13" s="181" t="n"/>
      <c r="AP13" s="181" t="n"/>
      <c r="AQ13" s="181" t="n"/>
      <c r="AR13" s="181" t="n"/>
      <c r="AS13" s="181" t="n"/>
      <c r="AT13" s="181" t="n"/>
      <c r="AU13" s="181" t="n"/>
      <c r="AV13" s="181" t="n"/>
      <c r="AW13" s="181" t="n"/>
      <c r="AX13" s="181" t="n"/>
      <c r="AY13" s="181" t="n"/>
      <c r="AZ13" s="181" t="n"/>
      <c r="BA13" s="181" t="n"/>
      <c r="BB13" s="181" t="n"/>
      <c r="BC13" s="181" t="n"/>
      <c r="BD13" s="181" t="n"/>
      <c r="BE13" s="181" t="n"/>
      <c r="BF13" s="181" t="n"/>
      <c r="BG13" s="181" t="n"/>
      <c r="BH13" s="181" t="n"/>
      <c r="BI13" s="181" t="n"/>
      <c r="BJ13" s="181" t="n"/>
      <c r="BK13" s="181" t="n"/>
      <c r="BL13" s="181" t="n"/>
      <c r="BM13" s="181" t="n"/>
      <c r="BN13" s="181" t="n"/>
      <c r="BO13" s="181" t="n"/>
      <c r="BP13" s="181" t="n"/>
      <c r="BQ13" s="181" t="n"/>
      <c r="BR13" s="181" t="n"/>
      <c r="BS13" s="181" t="n"/>
      <c r="BT13" s="181" t="n"/>
      <c r="BU13" s="181" t="n"/>
      <c r="BV13" s="181" t="n"/>
      <c r="BW13" s="181" t="n"/>
      <c r="BX13" s="181" t="n"/>
      <c r="BY13" s="182" t="n">
        <v>0.12</v>
      </c>
      <c r="BZ13" s="182" t="n">
        <v>0.1</v>
      </c>
      <c r="CA13" s="169" t="n"/>
      <c r="CB13" s="169" t="n"/>
      <c r="CC13" s="169" t="n"/>
      <c r="CD13" s="169" t="n"/>
      <c r="CE13" s="169" t="n"/>
      <c r="CF13" s="20" t="inlineStr">
        <is>
          <t>Q2/26 +17.6% y/y (incl. Terra Nova ~$12m/qtr, Kimball ramp, large PFAS filtration project). H2 input +12% / +10% as Kimball and the PFAS project anniversary.</t>
        </is>
      </c>
      <c r="CN13" s="26" t="inlineStr">
        <is>
          <t xml:space="preserve">  FY26 GAAP net income ($m)</t>
        </is>
      </c>
      <c r="CO13" s="180" t="n">
        <v>531</v>
      </c>
      <c r="CP13" s="180" t="n">
        <v>506</v>
      </c>
      <c r="CQ13" s="180" t="n">
        <v>481</v>
      </c>
      <c r="CR13" s="14" t="inlineStr">
        <is>
          <t>Q2-26 release guidance reconciliation (memo).</t>
        </is>
      </c>
    </row>
    <row r="14" ht="15" customHeight="1">
      <c r="B14" s="17" t="inlineStr">
        <is>
          <t xml:space="preserve">  Field &amp; Emergency Response Services — third-party revenues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33" t="n"/>
      <c r="AI14" s="175" t="n">
        <v>69.935</v>
      </c>
      <c r="AJ14" s="175" t="n">
        <v>76.092</v>
      </c>
      <c r="AK14" s="175" t="n">
        <v>77.02500000000001</v>
      </c>
      <c r="AL14" s="175" t="n">
        <v>81.675</v>
      </c>
      <c r="AM14" s="175" t="n">
        <v>304.727</v>
      </c>
      <c r="AN14" s="175" t="n">
        <v>71.626</v>
      </c>
      <c r="AO14" s="175" t="n">
        <v>86.72199999999999</v>
      </c>
      <c r="AP14" s="175" t="n">
        <v>95.54600000000001</v>
      </c>
      <c r="AQ14" s="175" t="n">
        <v>87.012</v>
      </c>
      <c r="AR14" s="175" t="n">
        <v>340.906</v>
      </c>
      <c r="AS14" s="175" t="n">
        <v>105.912</v>
      </c>
      <c r="AT14" s="175" t="n">
        <v>127.353</v>
      </c>
      <c r="AU14" s="175" t="n">
        <v>115.989</v>
      </c>
      <c r="AV14" s="175" t="n">
        <v>111.782</v>
      </c>
      <c r="AW14" s="175" t="n">
        <v>461.036</v>
      </c>
      <c r="AX14" s="175" t="n">
        <v>105.168</v>
      </c>
      <c r="AY14" s="175" t="n">
        <v>106.986</v>
      </c>
      <c r="AZ14" s="175" t="n">
        <v>116.677</v>
      </c>
      <c r="BA14" s="175" t="n">
        <v>137.549</v>
      </c>
      <c r="BB14" s="175" t="n">
        <v>466.38</v>
      </c>
      <c r="BC14" s="175" t="n">
        <v>132.359</v>
      </c>
      <c r="BD14" s="175" t="n">
        <v>144.86</v>
      </c>
      <c r="BE14" s="175" t="n">
        <v>150.031</v>
      </c>
      <c r="BF14" s="175" t="n">
        <v>148.05</v>
      </c>
      <c r="BG14" s="175" t="n">
        <v>575.3</v>
      </c>
      <c r="BH14" s="175" t="n">
        <v>148.086</v>
      </c>
      <c r="BI14" s="175" t="n">
        <v>154.359</v>
      </c>
      <c r="BJ14" s="175" t="n">
        <v>155.046</v>
      </c>
      <c r="BK14" s="175" t="n">
        <v>152.422</v>
      </c>
      <c r="BL14" s="175" t="n">
        <v>609.913</v>
      </c>
      <c r="BM14" s="175" t="n">
        <v>163.469</v>
      </c>
      <c r="BN14" s="175" t="n">
        <v>252.893</v>
      </c>
      <c r="BO14" s="175" t="n">
        <v>260.2</v>
      </c>
      <c r="BP14" s="175" t="n">
        <v>218.558</v>
      </c>
      <c r="BQ14" s="175" t="n">
        <v>895.12</v>
      </c>
      <c r="BR14" s="175" t="n">
        <v>215.702</v>
      </c>
      <c r="BS14" s="175" t="n">
        <v>242.791</v>
      </c>
      <c r="BT14" s="175" t="n">
        <v>232.262</v>
      </c>
      <c r="BU14" s="175" t="n">
        <v>246.607</v>
      </c>
      <c r="BV14" s="175" t="n">
        <v>937.362</v>
      </c>
      <c r="BW14" s="175" t="n">
        <v>231.358</v>
      </c>
      <c r="BX14" s="175" t="n">
        <v>249.02</v>
      </c>
      <c r="BY14" s="176">
        <f>BT14*(1+BY15)</f>
        <v>248.52034</v>
      </c>
      <c r="BZ14" s="176">
        <f>BU14*(1+BZ15)</f>
        <v>258.93735</v>
      </c>
      <c r="CA14" s="176">
        <f>SUM(BW14,BX14,BY14,BZ14)</f>
        <v>987.83569</v>
      </c>
      <c r="CB14" s="176">
        <f>CA14*(1+CB15)</f>
        <v>1037.2274745</v>
      </c>
      <c r="CC14" s="176">
        <f>CB14*(1+CC15)</f>
        <v>1089.088848225</v>
      </c>
      <c r="CD14" s="176">
        <f>CC14*(1+CD15)</f>
        <v>1138.09784639513</v>
      </c>
      <c r="CE14" s="176">
        <f>CD14*(1+CE15)</f>
        <v>1189.31224948291</v>
      </c>
      <c r="CF14" s="177" t="n"/>
      <c r="CH14" s="21">
        <f>IFERROR((CE14/BV14)^(1/5)-1,"n/m")</f>
        <v>0.0487638512297173</v>
      </c>
      <c r="CI14" s="21">
        <f>IFERROR((BV14/AW14)^(1/5)-1,"n/m")</f>
        <v>0.152482928492514</v>
      </c>
      <c r="CJ14" s="21" t="str">
        <f>IFERROR((BV14/X14)^(1/10)-1,"n/m")</f>
        <v>n/m</v>
      </c>
      <c r="CK14" s="21" t="str">
        <f>IFERROR((BV14/C14)^(1/19)-1,"n/m")</f>
        <v>n/m</v>
      </c>
      <c r="CN14" s="26" t="inlineStr">
        <is>
          <t xml:space="preserve">  FY26 net cash from operating activities ($m)</t>
        </is>
      </c>
      <c r="CO14" s="180" t="n">
        <v>1010</v>
      </c>
      <c r="CP14" s="180" t="n">
        <v>950</v>
      </c>
      <c r="CQ14" s="180" t="n">
        <v>890</v>
      </c>
      <c r="CR14" s="14" t="inlineStr">
        <is>
          <t>Q2-26 release (memo vs model CFO).</t>
        </is>
      </c>
    </row>
    <row r="15" ht="15" customHeight="1">
      <c r="B15" s="23" t="inlineStr">
        <is>
          <t xml:space="preserve">  Field &amp; Emergency Response y/y %</t>
        </is>
      </c>
      <c r="C15" s="24" t="n"/>
      <c r="D15" s="178">
        <f>IF(AND(ISNUMBER(D14),ISNUMBER(C14)),IFERROR(D14/C14-1,""),"")</f>
      </c>
      <c r="E15" s="178">
        <f>IF(AND(ISNUMBER(E14),ISNUMBER(D14)),IFERROR(E14/D14-1,""),"")</f>
      </c>
      <c r="F15" s="178">
        <f>IF(AND(ISNUMBER(F14),ISNUMBER(E14)),IFERROR(F14/E14-1,""),"")</f>
      </c>
      <c r="G15" s="178">
        <f>IF(AND(ISNUMBER(G14),ISNUMBER(F14)),IFERROR(G14/F14-1,""),"")</f>
      </c>
      <c r="H15" s="178">
        <f>IF(AND(ISNUMBER(H14),ISNUMBER(G14)),IFERROR(H14/G14-1,""),"")</f>
      </c>
      <c r="I15" s="178">
        <f>IF(AND(ISNUMBER(I14),ISNUMBER(H14)),IFERROR(I14/H14-1,""),"")</f>
      </c>
      <c r="J15" s="24" t="n"/>
      <c r="K15" s="24" t="n"/>
      <c r="L15" s="24" t="n"/>
      <c r="M15" s="24" t="n"/>
      <c r="N15" s="178">
        <f>IF(AND(ISNUMBER(N14),ISNUMBER(I14)),IFERROR(N14/I14-1,""),"")</f>
      </c>
      <c r="O15" s="178">
        <f>IF(AND(ISNUMBER(O14),ISNUMBER(J14)),IFERROR(O14/J14-1,""),"")</f>
      </c>
      <c r="P15" s="178">
        <f>IF(AND(ISNUMBER(P14),ISNUMBER(K14)),IFERROR(P14/K14-1,""),"")</f>
      </c>
      <c r="Q15" s="178">
        <f>IF(AND(ISNUMBER(Q14),ISNUMBER(L14)),IFERROR(Q14/L14-1,""),"")</f>
      </c>
      <c r="R15" s="178">
        <f>IF(AND(ISNUMBER(R14),ISNUMBER(M14)),IFERROR(R14/M14-1,""),"")</f>
      </c>
      <c r="S15" s="178">
        <f>IF(AND(ISNUMBER(S14),ISNUMBER(N14)),IFERROR(S14/N14-1,""),"")</f>
      </c>
      <c r="T15" s="178">
        <f>IF(AND(ISNUMBER(T14),ISNUMBER(O14)),IFERROR(T14/O14-1,""),"")</f>
      </c>
      <c r="U15" s="178">
        <f>IF(AND(ISNUMBER(U14),ISNUMBER(P14)),IFERROR(U14/P14-1,""),"")</f>
      </c>
      <c r="V15" s="178">
        <f>IF(AND(ISNUMBER(V14),ISNUMBER(Q14)),IFERROR(V14/Q14-1,""),"")</f>
      </c>
      <c r="W15" s="178">
        <f>IF(AND(ISNUMBER(W14),ISNUMBER(R14)),IFERROR(W14/R14-1,""),"")</f>
      </c>
      <c r="X15" s="178">
        <f>IF(AND(ISNUMBER(X14),ISNUMBER(S14)),IFERROR(X14/S14-1,""),"")</f>
      </c>
      <c r="Y15" s="178">
        <f>IF(AND(ISNUMBER(Y14),ISNUMBER(T14)),IFERROR(Y14/T14-1,""),"")</f>
      </c>
      <c r="Z15" s="178">
        <f>IF(AND(ISNUMBER(Z14),ISNUMBER(U14)),IFERROR(Z14/U14-1,""),"")</f>
      </c>
      <c r="AA15" s="178">
        <f>IF(AND(ISNUMBER(AA14),ISNUMBER(V14)),IFERROR(AA14/V14-1,""),"")</f>
      </c>
      <c r="AB15" s="178">
        <f>IF(AND(ISNUMBER(AB14),ISNUMBER(W14)),IFERROR(AB14/W14-1,""),"")</f>
      </c>
      <c r="AC15" s="178">
        <f>IF(AND(ISNUMBER(AC14),ISNUMBER(X14)),IFERROR(AC14/X14-1,""),"")</f>
      </c>
      <c r="AD15" s="178">
        <f>IF(AND(ISNUMBER(AD14),ISNUMBER(Y14)),IFERROR(AD14/Y14-1,""),"")</f>
      </c>
      <c r="AE15" s="178">
        <f>IF(AND(ISNUMBER(AE14),ISNUMBER(Z14)),IFERROR(AE14/Z14-1,""),"")</f>
      </c>
      <c r="AF15" s="178">
        <f>IF(AND(ISNUMBER(AF14),ISNUMBER(AA14)),IFERROR(AF14/AA14-1,""),"")</f>
      </c>
      <c r="AG15" s="178">
        <f>IF(AND(ISNUMBER(AG14),ISNUMBER(AB14)),IFERROR(AG14/AB14-1,""),"")</f>
      </c>
      <c r="AH15" s="178">
        <f>IF(AND(ISNUMBER(AH14),ISNUMBER(AC14)),IFERROR(AH14/AC14-1,""),"")</f>
      </c>
      <c r="AI15" s="178">
        <f>IF(AND(ISNUMBER(AI14),ISNUMBER(AD14)),IFERROR(AI14/AD14-1,""),"")</f>
      </c>
      <c r="AJ15" s="178">
        <f>IF(AND(ISNUMBER(AJ14),ISNUMBER(AE14)),IFERROR(AJ14/AE14-1,""),"")</f>
      </c>
      <c r="AK15" s="178">
        <f>IF(AND(ISNUMBER(AK14),ISNUMBER(AF14)),IFERROR(AK14/AF14-1,""),"")</f>
      </c>
      <c r="AL15" s="178">
        <f>IF(AND(ISNUMBER(AL14),ISNUMBER(AG14)),IFERROR(AL14/AG14-1,""),"")</f>
      </c>
      <c r="AM15" s="178">
        <f>IF(AND(ISNUMBER(AM14),ISNUMBER(AH14)),IFERROR(AM14/AH14-1,""),"")</f>
      </c>
      <c r="AN15" s="178">
        <f>IF(AND(ISNUMBER(AN14),ISNUMBER(AI14)),IFERROR(AN14/AI14-1,""),"")</f>
        <v>0.0241795953385286</v>
      </c>
      <c r="AO15" s="178">
        <f>IF(AND(ISNUMBER(AO14),ISNUMBER(AJ14)),IFERROR(AO14/AJ14-1,""),"")</f>
        <v>0.139699311359933</v>
      </c>
      <c r="AP15" s="178">
        <f>IF(AND(ISNUMBER(AP14),ISNUMBER(AK14)),IFERROR(AP14/AK14-1,""),"")</f>
        <v>0.240454397922752</v>
      </c>
      <c r="AQ15" s="178">
        <f>IF(AND(ISNUMBER(AQ14),ISNUMBER(AL14)),IFERROR(AQ14/AL14-1,""),"")</f>
        <v>0.0653443526170798</v>
      </c>
      <c r="AR15" s="178">
        <f>IF(AND(ISNUMBER(AR14),ISNUMBER(AM14)),IFERROR(AR14/AM14-1,""),"")</f>
        <v>0.118725941580497</v>
      </c>
      <c r="AS15" s="178">
        <f>IF(AND(ISNUMBER(AS14),ISNUMBER(AN14)),IFERROR(AS14/AN14-1,""),"")</f>
        <v>0.478680925920755</v>
      </c>
      <c r="AT15" s="178">
        <f>IF(AND(ISNUMBER(AT14),ISNUMBER(AO14)),IFERROR(AT14/AO14-1,""),"")</f>
        <v>0.468520098706211</v>
      </c>
      <c r="AU15" s="178">
        <f>IF(AND(ISNUMBER(AU14),ISNUMBER(AP14)),IFERROR(AU14/AP14-1,""),"")</f>
        <v>0.21395976806983</v>
      </c>
      <c r="AV15" s="178">
        <f>IF(AND(ISNUMBER(AV14),ISNUMBER(AQ14)),IFERROR(AV14/AQ14-1,""),"")</f>
        <v>0.284673378384591</v>
      </c>
      <c r="AW15" s="178">
        <f>IF(AND(ISNUMBER(AW14),ISNUMBER(AR14)),IFERROR(AW14/AR14-1,""),"")</f>
        <v>0.35238452828639</v>
      </c>
      <c r="AX15" s="178">
        <f>IF(AND(ISNUMBER(AX14),ISNUMBER(AS14)),IFERROR(AX14/AS14-1,""),"")</f>
        <v>-0.0070246997507365</v>
      </c>
      <c r="AY15" s="178">
        <f>IF(AND(ISNUMBER(AY14),ISNUMBER(AT14)),IFERROR(AY14/AT14-1,""),"")</f>
        <v>-0.159925561235307</v>
      </c>
      <c r="AZ15" s="178">
        <f>IF(AND(ISNUMBER(AZ14),ISNUMBER(AU14)),IFERROR(AZ14/AU14-1,""),"")</f>
        <v>0.00593159696178081</v>
      </c>
      <c r="BA15" s="178">
        <f>IF(AND(ISNUMBER(BA14),ISNUMBER(AV14)),IFERROR(BA14/AV14-1,""),"")</f>
        <v>0.230511173534201</v>
      </c>
      <c r="BB15" s="178">
        <f>IF(AND(ISNUMBER(BB14),ISNUMBER(AW14)),IFERROR(BB14/AW14-1,""),"")</f>
        <v>0.0115912857130462</v>
      </c>
      <c r="BC15" s="178">
        <f>IF(AND(ISNUMBER(BC14),ISNUMBER(AX14)),IFERROR(BC14/AX14-1,""),"")</f>
        <v>0.258548227597748</v>
      </c>
      <c r="BD15" s="178">
        <f>IF(AND(ISNUMBER(BD14),ISNUMBER(AY14)),IFERROR(BD14/AY14-1,""),"")</f>
        <v>0.354008935748603</v>
      </c>
      <c r="BE15" s="178">
        <f>IF(AND(ISNUMBER(BE14),ISNUMBER(AZ14)),IFERROR(BE14/AZ14-1,""),"")</f>
        <v>0.285866109001774</v>
      </c>
      <c r="BF15" s="178">
        <f>IF(AND(ISNUMBER(BF14),ISNUMBER(BA14)),IFERROR(BF14/BA14-1,""),"")</f>
        <v>0.0763437029713048</v>
      </c>
      <c r="BG15" s="178">
        <f>IF(AND(ISNUMBER(BG14),ISNUMBER(BB14)),IFERROR(BG14/BB14-1,""),"")</f>
        <v>0.233543462412625</v>
      </c>
      <c r="BH15" s="178">
        <f>IF(AND(ISNUMBER(BH14),ISNUMBER(BC14)),IFERROR(BH14/BC14-1,""),"")</f>
        <v>0.118820782870829</v>
      </c>
      <c r="BI15" s="178">
        <f>IF(AND(ISNUMBER(BI14),ISNUMBER(BD14)),IFERROR(BI14/BD14-1,""),"")</f>
        <v>0.0655736573243131</v>
      </c>
      <c r="BJ15" s="178">
        <f>IF(AND(ISNUMBER(BJ14),ISNUMBER(BE14)),IFERROR(BJ14/BE14-1,""),"")</f>
        <v>0.0334264252054575</v>
      </c>
      <c r="BK15" s="178">
        <f>IF(AND(ISNUMBER(BK14),ISNUMBER(BF14)),IFERROR(BK14/BF14-1,""),"")</f>
        <v>0.029530563998649</v>
      </c>
      <c r="BL15" s="178">
        <f>IF(AND(ISNUMBER(BL14),ISNUMBER(BG14)),IFERROR(BL14/BG14-1,""),"")</f>
        <v>0.0601651312358771</v>
      </c>
      <c r="BM15" s="178">
        <f>IF(AND(ISNUMBER(BM14),ISNUMBER(BH14)),IFERROR(BM14/BH14-1,""),"")</f>
        <v>0.103878827167997</v>
      </c>
      <c r="BN15" s="178">
        <f>IF(AND(ISNUMBER(BN14),ISNUMBER(BI14)),IFERROR(BN14/BI14-1,""),"")</f>
        <v>0.638343083331714</v>
      </c>
      <c r="BO15" s="178">
        <f>IF(AND(ISNUMBER(BO14),ISNUMBER(BJ14)),IFERROR(BO14/BJ14-1,""),"")</f>
        <v>0.678211627516995</v>
      </c>
      <c r="BP15" s="178">
        <f>IF(AND(ISNUMBER(BP14),ISNUMBER(BK14)),IFERROR(BP14/BK14-1,""),"")</f>
        <v>0.433900618021021</v>
      </c>
      <c r="BQ15" s="178">
        <f>IF(AND(ISNUMBER(BQ14),ISNUMBER(BL14)),IFERROR(BQ14/BL14-1,""),"")</f>
        <v>0.467619152239746</v>
      </c>
      <c r="BR15" s="178">
        <f>IF(AND(ISNUMBER(BR14),ISNUMBER(BM14)),IFERROR(BR14/BM14-1,""),"")</f>
        <v>0.319528473288514</v>
      </c>
      <c r="BS15" s="178">
        <f>IF(AND(ISNUMBER(BS14),ISNUMBER(BN14)),IFERROR(BS14/BN14-1,""),"")</f>
        <v>-0.0399457478063845</v>
      </c>
      <c r="BT15" s="178">
        <f>IF(AND(ISNUMBER(BT14),ISNUMBER(BO14)),IFERROR(BT14/BO14-1,""),"")</f>
        <v>-0.107371252882398</v>
      </c>
      <c r="BU15" s="178">
        <f>IF(AND(ISNUMBER(BU14),ISNUMBER(BP14)),IFERROR(BU14/BP14-1,""),"")</f>
        <v>0.128336642904858</v>
      </c>
      <c r="BV15" s="178">
        <f>IF(AND(ISNUMBER(BV14),ISNUMBER(BQ14)),IFERROR(BV14/BQ14-1,""),"")</f>
        <v>0.0471914380194833</v>
      </c>
      <c r="BW15" s="178">
        <f>IF(AND(ISNUMBER(BW14),ISNUMBER(BR14)),IFERROR(BW14/BR14-1,""),"")</f>
        <v>0.0725816172311802</v>
      </c>
      <c r="BX15" s="178">
        <f>IF(AND(ISNUMBER(BX14),ISNUMBER(BS14)),IFERROR(BX14/BS14-1,""),"")</f>
        <v>0.0256558109649865</v>
      </c>
      <c r="BY15" s="179">
        <f>BY16</f>
        <v>0.07</v>
      </c>
      <c r="BZ15" s="179">
        <f>BZ16</f>
        <v>0.05</v>
      </c>
      <c r="CA15" s="179">
        <f>IFERROR(CA14/BV14-1,"")</f>
        <v>0.0538465288757173</v>
      </c>
      <c r="CB15" s="179">
        <f>CHOOSE(MATCH($CF$2,{"Bull","Base","Bear"},0),$CO$36,$CP$36,$CQ$36)</f>
        <v>0.05</v>
      </c>
      <c r="CC15" s="179">
        <f>CHOOSE(MATCH($CF$2,{"Bull","Base","Bear"},0),$CO$37,$CP$37,$CQ$37)</f>
        <v>0.05</v>
      </c>
      <c r="CD15" s="179">
        <f>CHOOSE(MATCH($CF$2,{"Bull","Base","Bear"},0),$CO$38,$CP$38,$CQ$38)</f>
        <v>0.045</v>
      </c>
      <c r="CE15" s="179">
        <f>CHOOSE(MATCH($CF$2,{"Bull","Base","Bear"},0),$CO$39,$CP$39,$CQ$39)</f>
        <v>0.045</v>
      </c>
      <c r="CF15" s="20" t="n"/>
      <c r="CN15" s="26" t="inlineStr">
        <is>
          <t xml:space="preserve">  FY26 additions to PP&amp;E ($m)</t>
        </is>
      </c>
      <c r="CO15" s="180" t="n">
        <v>565</v>
      </c>
      <c r="CP15" s="180" t="n">
        <v>535</v>
      </c>
      <c r="CQ15" s="180" t="n">
        <v>505</v>
      </c>
      <c r="CR15" s="14" t="inlineStr">
        <is>
          <t>Q2-26 release adjusted-FCF reconciliation: ($505)–($565)m.</t>
        </is>
      </c>
    </row>
    <row r="16" ht="15" customHeight="1">
      <c r="B16" s="26" t="inlineStr">
        <is>
          <t xml:space="preserve">  Q3/Q4-26E growth input</t>
        </is>
      </c>
      <c r="C16" s="181" t="n"/>
      <c r="D16" s="181" t="n"/>
      <c r="E16" s="181" t="n"/>
      <c r="F16" s="181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81" t="n"/>
      <c r="U16" s="181" t="n"/>
      <c r="V16" s="181" t="n"/>
      <c r="W16" s="181" t="n"/>
      <c r="X16" s="181" t="n"/>
      <c r="Y16" s="181" t="n"/>
      <c r="Z16" s="181" t="n"/>
      <c r="AA16" s="181" t="n"/>
      <c r="AB16" s="181" t="n"/>
      <c r="AC16" s="181" t="n"/>
      <c r="AD16" s="181" t="n"/>
      <c r="AE16" s="181" t="n"/>
      <c r="AF16" s="181" t="n"/>
      <c r="AG16" s="181" t="n"/>
      <c r="AH16" s="181" t="n"/>
      <c r="AI16" s="181" t="n"/>
      <c r="AJ16" s="181" t="n"/>
      <c r="AK16" s="181" t="n"/>
      <c r="AL16" s="181" t="n"/>
      <c r="AM16" s="181" t="n"/>
      <c r="AN16" s="181" t="n"/>
      <c r="AO16" s="181" t="n"/>
      <c r="AP16" s="181" t="n"/>
      <c r="AQ16" s="181" t="n"/>
      <c r="AR16" s="181" t="n"/>
      <c r="AS16" s="181" t="n"/>
      <c r="AT16" s="181" t="n"/>
      <c r="AU16" s="181" t="n"/>
      <c r="AV16" s="181" t="n"/>
      <c r="AW16" s="181" t="n"/>
      <c r="AX16" s="181" t="n"/>
      <c r="AY16" s="181" t="n"/>
      <c r="AZ16" s="181" t="n"/>
      <c r="BA16" s="181" t="n"/>
      <c r="BB16" s="181" t="n"/>
      <c r="BC16" s="181" t="n"/>
      <c r="BD16" s="181" t="n"/>
      <c r="BE16" s="181" t="n"/>
      <c r="BF16" s="181" t="n"/>
      <c r="BG16" s="181" t="n"/>
      <c r="BH16" s="181" t="n"/>
      <c r="BI16" s="181" t="n"/>
      <c r="BJ16" s="181" t="n"/>
      <c r="BK16" s="181" t="n"/>
      <c r="BL16" s="181" t="n"/>
      <c r="BM16" s="181" t="n"/>
      <c r="BN16" s="181" t="n"/>
      <c r="BO16" s="181" t="n"/>
      <c r="BP16" s="181" t="n"/>
      <c r="BQ16" s="181" t="n"/>
      <c r="BR16" s="181" t="n"/>
      <c r="BS16" s="181" t="n"/>
      <c r="BT16" s="181" t="n"/>
      <c r="BU16" s="181" t="n"/>
      <c r="BV16" s="181" t="n"/>
      <c r="BW16" s="181" t="n"/>
      <c r="BX16" s="181" t="n"/>
      <c r="BY16" s="182" t="n">
        <v>0.07000000000000001</v>
      </c>
      <c r="BZ16" s="182" t="n">
        <v>0.05</v>
      </c>
      <c r="CA16" s="169" t="n"/>
      <c r="CB16" s="169" t="n"/>
      <c r="CC16" s="169" t="n"/>
      <c r="CD16" s="169" t="n"/>
      <c r="CE16" s="169" t="n"/>
      <c r="CF16" s="20" t="inlineStr">
        <is>
          <t>Q2/26 +2.6% y/y against large prior-year ER comps; company: "multiple large emergency response events that should support Q3 growth". ES&amp;H (Gulf ER) modelled separately in the deal block.</t>
        </is>
      </c>
      <c r="CN16" s="26" t="inlineStr">
        <is>
          <t xml:space="preserve">  FY26 adjusted free cash flow ($m)</t>
        </is>
      </c>
      <c r="CO16" s="180" t="n">
        <v>580</v>
      </c>
      <c r="CP16" s="180" t="n">
        <v>550</v>
      </c>
      <c r="CQ16" s="180" t="n">
        <v>520</v>
      </c>
      <c r="CR16" s="14" t="inlineStr">
        <is>
          <t>Raised by $30m at the mid-point.</t>
        </is>
      </c>
    </row>
    <row r="17" ht="15" customHeight="1">
      <c r="B17" s="17" t="inlineStr">
        <is>
          <t xml:space="preserve">  Industrial Services &amp; Other — third-party revenues (incl. Oil, Gas &amp; Lodging and other to 2019)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33" t="n"/>
      <c r="AI17" s="175" t="n">
        <v>133.447</v>
      </c>
      <c r="AJ17" s="175" t="n">
        <v>186.818</v>
      </c>
      <c r="AK17" s="175" t="n">
        <v>167.019</v>
      </c>
      <c r="AL17" s="175" t="n">
        <v>174.444</v>
      </c>
      <c r="AM17" s="175" t="n">
        <v>661.728</v>
      </c>
      <c r="AN17" s="175" t="n">
        <v>150.153</v>
      </c>
      <c r="AO17" s="175" t="n">
        <v>163.664</v>
      </c>
      <c r="AP17" s="175" t="n">
        <v>162.07</v>
      </c>
      <c r="AQ17" s="175" t="n">
        <v>155.527</v>
      </c>
      <c r="AR17" s="175" t="n">
        <v>631.414</v>
      </c>
      <c r="AS17" s="175" t="n">
        <v>146.919</v>
      </c>
      <c r="AT17" s="175" t="n">
        <v>95.072</v>
      </c>
      <c r="AU17" s="175" t="n">
        <v>124.582</v>
      </c>
      <c r="AV17" s="175" t="n">
        <v>113.758</v>
      </c>
      <c r="AW17" s="175" t="n">
        <v>480.331</v>
      </c>
      <c r="AX17" s="175" t="n">
        <v>119.81</v>
      </c>
      <c r="AY17" s="175" t="n">
        <v>150.367</v>
      </c>
      <c r="AZ17" s="175" t="n">
        <v>154.977</v>
      </c>
      <c r="BA17" s="175" t="n">
        <v>280.845</v>
      </c>
      <c r="BB17" s="175" t="n">
        <v>705.999</v>
      </c>
      <c r="BC17" s="175" t="n">
        <v>308.838</v>
      </c>
      <c r="BD17" s="175" t="n">
        <v>360.87</v>
      </c>
      <c r="BE17" s="175" t="n">
        <v>332.025</v>
      </c>
      <c r="BF17" s="175" t="n">
        <v>309.339</v>
      </c>
      <c r="BG17" s="175" t="n">
        <v>1311.072</v>
      </c>
      <c r="BH17" s="175" t="n">
        <v>336.379</v>
      </c>
      <c r="BI17" s="175" t="n">
        <v>399.545</v>
      </c>
      <c r="BJ17" s="175" t="n">
        <v>350.251</v>
      </c>
      <c r="BK17" s="175" t="n">
        <v>332.763</v>
      </c>
      <c r="BL17" s="175" t="n">
        <v>1418.938</v>
      </c>
      <c r="BM17" s="175" t="n">
        <v>359.397</v>
      </c>
      <c r="BN17" s="175" t="n">
        <v>359.471</v>
      </c>
      <c r="BO17" s="175" t="n">
        <v>345.573</v>
      </c>
      <c r="BP17" s="175" t="n">
        <v>313.061</v>
      </c>
      <c r="BQ17" s="175" t="n">
        <v>1377.502</v>
      </c>
      <c r="BR17" s="175" t="n">
        <v>322.358</v>
      </c>
      <c r="BS17" s="175" t="n">
        <v>361.58</v>
      </c>
      <c r="BT17" s="175" t="n">
        <v>332.102</v>
      </c>
      <c r="BU17" s="175" t="n">
        <v>311.843</v>
      </c>
      <c r="BV17" s="175" t="n">
        <v>1327.883</v>
      </c>
      <c r="BW17" s="175" t="n">
        <v>302.561</v>
      </c>
      <c r="BX17" s="175" t="n">
        <v>358.929</v>
      </c>
      <c r="BY17" s="176">
        <f>BT17*(1+BY18)</f>
        <v>342.06506</v>
      </c>
      <c r="BZ17" s="176">
        <f>BU17*(1+BZ18)</f>
        <v>324.31672</v>
      </c>
      <c r="CA17" s="176">
        <f>SUM(BW17,BX17,BY17,BZ17)</f>
        <v>1327.87178</v>
      </c>
      <c r="CB17" s="176">
        <f>CA17*(1+CB18)</f>
        <v>1367.7079334</v>
      </c>
      <c r="CC17" s="176">
        <f>CB17*(1+CC18)</f>
        <v>1415.577711069</v>
      </c>
      <c r="CD17" s="176">
        <f>CC17*(1+CD18)</f>
        <v>1465.12293095641</v>
      </c>
      <c r="CE17" s="176">
        <f>CD17*(1+CE18)</f>
        <v>1516.40223353989</v>
      </c>
      <c r="CF17" s="177" t="n"/>
      <c r="CH17" s="21">
        <f>IFERROR((CE17/BV17)^(1/5)-1,"n/m")</f>
        <v>0.0269065427514656</v>
      </c>
      <c r="CI17" s="21">
        <f>IFERROR((BV17/AW17)^(1/5)-1,"n/m")</f>
        <v>0.225529695262379</v>
      </c>
      <c r="CJ17" s="21" t="str">
        <f>IFERROR((BV17/X17)^(1/10)-1,"n/m")</f>
        <v>n/m</v>
      </c>
      <c r="CK17" s="21" t="str">
        <f>IFERROR((BV17/C17)^(1/19)-1,"n/m")</f>
        <v>n/m</v>
      </c>
      <c r="CN17" s="16" t="inlineStr">
        <is>
          <t>FY26 point estimates (guidance mid-points; all cases)</t>
        </is>
      </c>
    </row>
    <row r="18" ht="15" customHeight="1">
      <c r="B18" s="23" t="inlineStr">
        <is>
          <t xml:space="preserve">  Industrial Services &amp; Other y/y %</t>
        </is>
      </c>
      <c r="C18" s="24" t="n"/>
      <c r="D18" s="178">
        <f>IF(AND(ISNUMBER(D17),ISNUMBER(C17)),IFERROR(D17/C17-1,""),"")</f>
      </c>
      <c r="E18" s="178">
        <f>IF(AND(ISNUMBER(E17),ISNUMBER(D17)),IFERROR(E17/D17-1,""),"")</f>
      </c>
      <c r="F18" s="178">
        <f>IF(AND(ISNUMBER(F17),ISNUMBER(E17)),IFERROR(F17/E17-1,""),"")</f>
      </c>
      <c r="G18" s="178">
        <f>IF(AND(ISNUMBER(G17),ISNUMBER(F17)),IFERROR(G17/F17-1,""),"")</f>
      </c>
      <c r="H18" s="178">
        <f>IF(AND(ISNUMBER(H17),ISNUMBER(G17)),IFERROR(H17/G17-1,""),"")</f>
      </c>
      <c r="I18" s="178">
        <f>IF(AND(ISNUMBER(I17),ISNUMBER(H17)),IFERROR(I17/H17-1,""),"")</f>
      </c>
      <c r="J18" s="24" t="n"/>
      <c r="K18" s="24" t="n"/>
      <c r="L18" s="24" t="n"/>
      <c r="M18" s="24" t="n"/>
      <c r="N18" s="178">
        <f>IF(AND(ISNUMBER(N17),ISNUMBER(I17)),IFERROR(N17/I17-1,""),"")</f>
      </c>
      <c r="O18" s="178">
        <f>IF(AND(ISNUMBER(O17),ISNUMBER(J17)),IFERROR(O17/J17-1,""),"")</f>
      </c>
      <c r="P18" s="178">
        <f>IF(AND(ISNUMBER(P17),ISNUMBER(K17)),IFERROR(P17/K17-1,""),"")</f>
      </c>
      <c r="Q18" s="178">
        <f>IF(AND(ISNUMBER(Q17),ISNUMBER(L17)),IFERROR(Q17/L17-1,""),"")</f>
      </c>
      <c r="R18" s="178">
        <f>IF(AND(ISNUMBER(R17),ISNUMBER(M17)),IFERROR(R17/M17-1,""),"")</f>
      </c>
      <c r="S18" s="178">
        <f>IF(AND(ISNUMBER(S17),ISNUMBER(N17)),IFERROR(S17/N17-1,""),"")</f>
      </c>
      <c r="T18" s="178">
        <f>IF(AND(ISNUMBER(T17),ISNUMBER(O17)),IFERROR(T17/O17-1,""),"")</f>
      </c>
      <c r="U18" s="178">
        <f>IF(AND(ISNUMBER(U17),ISNUMBER(P17)),IFERROR(U17/P17-1,""),"")</f>
      </c>
      <c r="V18" s="178">
        <f>IF(AND(ISNUMBER(V17),ISNUMBER(Q17)),IFERROR(V17/Q17-1,""),"")</f>
      </c>
      <c r="W18" s="178">
        <f>IF(AND(ISNUMBER(W17),ISNUMBER(R17)),IFERROR(W17/R17-1,""),"")</f>
      </c>
      <c r="X18" s="178">
        <f>IF(AND(ISNUMBER(X17),ISNUMBER(S17)),IFERROR(X17/S17-1,""),"")</f>
      </c>
      <c r="Y18" s="178">
        <f>IF(AND(ISNUMBER(Y17),ISNUMBER(T17)),IFERROR(Y17/T17-1,""),"")</f>
      </c>
      <c r="Z18" s="178">
        <f>IF(AND(ISNUMBER(Z17),ISNUMBER(U17)),IFERROR(Z17/U17-1,""),"")</f>
      </c>
      <c r="AA18" s="178">
        <f>IF(AND(ISNUMBER(AA17),ISNUMBER(V17)),IFERROR(AA17/V17-1,""),"")</f>
      </c>
      <c r="AB18" s="178">
        <f>IF(AND(ISNUMBER(AB17),ISNUMBER(W17)),IFERROR(AB17/W17-1,""),"")</f>
      </c>
      <c r="AC18" s="178">
        <f>IF(AND(ISNUMBER(AC17),ISNUMBER(X17)),IFERROR(AC17/X17-1,""),"")</f>
      </c>
      <c r="AD18" s="178">
        <f>IF(AND(ISNUMBER(AD17),ISNUMBER(Y17)),IFERROR(AD17/Y17-1,""),"")</f>
      </c>
      <c r="AE18" s="178">
        <f>IF(AND(ISNUMBER(AE17),ISNUMBER(Z17)),IFERROR(AE17/Z17-1,""),"")</f>
      </c>
      <c r="AF18" s="178">
        <f>IF(AND(ISNUMBER(AF17),ISNUMBER(AA17)),IFERROR(AF17/AA17-1,""),"")</f>
      </c>
      <c r="AG18" s="178">
        <f>IF(AND(ISNUMBER(AG17),ISNUMBER(AB17)),IFERROR(AG17/AB17-1,""),"")</f>
      </c>
      <c r="AH18" s="178">
        <f>IF(AND(ISNUMBER(AH17),ISNUMBER(AC17)),IFERROR(AH17/AC17-1,""),"")</f>
      </c>
      <c r="AI18" s="178">
        <f>IF(AND(ISNUMBER(AI17),ISNUMBER(AD17)),IFERROR(AI17/AD17-1,""),"")</f>
      </c>
      <c r="AJ18" s="178">
        <f>IF(AND(ISNUMBER(AJ17),ISNUMBER(AE17)),IFERROR(AJ17/AE17-1,""),"")</f>
      </c>
      <c r="AK18" s="178">
        <f>IF(AND(ISNUMBER(AK17),ISNUMBER(AF17)),IFERROR(AK17/AF17-1,""),"")</f>
      </c>
      <c r="AL18" s="178">
        <f>IF(AND(ISNUMBER(AL17),ISNUMBER(AG17)),IFERROR(AL17/AG17-1,""),"")</f>
      </c>
      <c r="AM18" s="178">
        <f>IF(AND(ISNUMBER(AM17),ISNUMBER(AH17)),IFERROR(AM17/AH17-1,""),"")</f>
      </c>
      <c r="AN18" s="178">
        <f>IF(AND(ISNUMBER(AN17),ISNUMBER(AI17)),IFERROR(AN17/AI17-1,""),"")</f>
        <v>0.125188276993863</v>
      </c>
      <c r="AO18" s="178">
        <f>IF(AND(ISNUMBER(AO17),ISNUMBER(AJ17)),IFERROR(AO17/AJ17-1,""),"")</f>
        <v>-0.123938806753097</v>
      </c>
      <c r="AP18" s="178">
        <f>IF(AND(ISNUMBER(AP17),ISNUMBER(AK17)),IFERROR(AP17/AK17-1,""),"")</f>
        <v>-0.0296313593064262</v>
      </c>
      <c r="AQ18" s="178">
        <f>IF(AND(ISNUMBER(AQ17),ISNUMBER(AL17)),IFERROR(AQ17/AL17-1,""),"")</f>
        <v>-0.108441677558414</v>
      </c>
      <c r="AR18" s="178">
        <f>IF(AND(ISNUMBER(AR17),ISNUMBER(AM17)),IFERROR(AR17/AM17-1,""),"")</f>
        <v>-0.045810363170366</v>
      </c>
      <c r="AS18" s="178">
        <f>IF(AND(ISNUMBER(AS17),ISNUMBER(AN17)),IFERROR(AS17/AN17-1,""),"")</f>
        <v>-0.0215380312081676</v>
      </c>
      <c r="AT18" s="178">
        <f>IF(AND(ISNUMBER(AT17),ISNUMBER(AO17)),IFERROR(AT17/AO17-1,""),"")</f>
        <v>-0.419102551569068</v>
      </c>
      <c r="AU18" s="178">
        <f>IF(AND(ISNUMBER(AU17),ISNUMBER(AP17)),IFERROR(AU17/AP17-1,""),"")</f>
        <v>-0.231307459739619</v>
      </c>
      <c r="AV18" s="178">
        <f>IF(AND(ISNUMBER(AV17),ISNUMBER(AQ17)),IFERROR(AV17/AQ17-1,""),"")</f>
        <v>-0.268564300732349</v>
      </c>
      <c r="AW18" s="178">
        <f>IF(AND(ISNUMBER(AW17),ISNUMBER(AR17)),IFERROR(AW17/AR17-1,""),"")</f>
        <v>-0.239277241239504</v>
      </c>
      <c r="AX18" s="178">
        <f>IF(AND(ISNUMBER(AX17),ISNUMBER(AS17)),IFERROR(AX17/AS17-1,""),"")</f>
        <v>-0.18451663841981</v>
      </c>
      <c r="AY18" s="178">
        <f>IF(AND(ISNUMBER(AY17),ISNUMBER(AT17)),IFERROR(AY17/AT17-1,""),"")</f>
        <v>0.581611831033322</v>
      </c>
      <c r="AZ18" s="178">
        <f>IF(AND(ISNUMBER(AZ17),ISNUMBER(AU17)),IFERROR(AZ17/AU17-1,""),"")</f>
        <v>0.24397585525999</v>
      </c>
      <c r="BA18" s="178">
        <f>IF(AND(ISNUMBER(BA17),ISNUMBER(AV17)),IFERROR(BA17/AV17-1,""),"")</f>
        <v>1.46879340354085</v>
      </c>
      <c r="BB18" s="178">
        <f>IF(AND(ISNUMBER(BB17),ISNUMBER(AW17)),IFERROR(BB17/AW17-1,""),"")</f>
        <v>0.469817688219166</v>
      </c>
      <c r="BC18" s="178">
        <f>IF(AND(ISNUMBER(BC17),ISNUMBER(AX17)),IFERROR(BC17/AX17-1,""),"")</f>
        <v>1.57773140806277</v>
      </c>
      <c r="BD18" s="178">
        <f>IF(AND(ISNUMBER(BD17),ISNUMBER(AY17)),IFERROR(BD17/AY17-1,""),"")</f>
        <v>1.39992817573005</v>
      </c>
      <c r="BE18" s="178">
        <f>IF(AND(ISNUMBER(BE17),ISNUMBER(AZ17)),IFERROR(BE17/AZ17-1,""),"")</f>
        <v>1.14241468088813</v>
      </c>
      <c r="BF18" s="178">
        <f>IF(AND(ISNUMBER(BF17),ISNUMBER(BA17)),IFERROR(BF17/BA17-1,""),"")</f>
        <v>0.101458099663515</v>
      </c>
      <c r="BG18" s="178">
        <f>IF(AND(ISNUMBER(BG17),ISNUMBER(BB17)),IFERROR(BG17/BB17-1,""),"")</f>
        <v>0.857045123293376</v>
      </c>
      <c r="BH18" s="178">
        <f>IF(AND(ISNUMBER(BH17),ISNUMBER(BC17)),IFERROR(BH17/BC17-1,""),"")</f>
        <v>0.0891762024103251</v>
      </c>
      <c r="BI18" s="178">
        <f>IF(AND(ISNUMBER(BI17),ISNUMBER(BD17)),IFERROR(BI17/BD17-1,""),"")</f>
        <v>0.107171557624629</v>
      </c>
      <c r="BJ18" s="178">
        <f>IF(AND(ISNUMBER(BJ17),ISNUMBER(BE17)),IFERROR(BJ17/BE17-1,""),"")</f>
        <v>0.0548934568180106</v>
      </c>
      <c r="BK18" s="178">
        <f>IF(AND(ISNUMBER(BK17),ISNUMBER(BF17)),IFERROR(BK17/BF17-1,""),"")</f>
        <v>0.0757227507685743</v>
      </c>
      <c r="BL18" s="178">
        <f>IF(AND(ISNUMBER(BL17),ISNUMBER(BG17)),IFERROR(BL17/BG17-1,""),"")</f>
        <v>0.0822731322154697</v>
      </c>
      <c r="BM18" s="178">
        <f>IF(AND(ISNUMBER(BM17),ISNUMBER(BH17)),IFERROR(BM17/BH17-1,""),"")</f>
        <v>0.0684287663617527</v>
      </c>
      <c r="BN18" s="178">
        <f>IF(AND(ISNUMBER(BN17),ISNUMBER(BI17)),IFERROR(BN17/BI17-1,""),"")</f>
        <v>-0.10029909021512</v>
      </c>
      <c r="BO18" s="178">
        <f>IF(AND(ISNUMBER(BO17),ISNUMBER(BJ17)),IFERROR(BO17/BJ17-1,""),"")</f>
        <v>-0.0133561360281627</v>
      </c>
      <c r="BP18" s="178">
        <f>IF(AND(ISNUMBER(BP17),ISNUMBER(BK17)),IFERROR(BP17/BK17-1,""),"")</f>
        <v>-0.059207303696625</v>
      </c>
      <c r="BQ18" s="178">
        <f>IF(AND(ISNUMBER(BQ17),ISNUMBER(BL17)),IFERROR(BQ17/BL17-1,""),"")</f>
        <v>-0.0292021215867079</v>
      </c>
      <c r="BR18" s="178">
        <f>IF(AND(ISNUMBER(BR17),ISNUMBER(BM17)),IFERROR(BR17/BM17-1,""),"")</f>
        <v>-0.103058734491384</v>
      </c>
      <c r="BS18" s="178">
        <f>IF(AND(ISNUMBER(BS17),ISNUMBER(BN17)),IFERROR(BS17/BN17-1,""),"")</f>
        <v>0.00586695449702468</v>
      </c>
      <c r="BT18" s="178">
        <f>IF(AND(ISNUMBER(BT17),ISNUMBER(BO17)),IFERROR(BT17/BO17-1,""),"")</f>
        <v>-0.0389816334030726</v>
      </c>
      <c r="BU18" s="178">
        <f>IF(AND(ISNUMBER(BU17),ISNUMBER(BP17)),IFERROR(BU17/BP17-1,""),"")</f>
        <v>-0.00389061556693415</v>
      </c>
      <c r="BV18" s="178">
        <f>IF(AND(ISNUMBER(BV17),ISNUMBER(BQ17)),IFERROR(BV17/BQ17-1,""),"")</f>
        <v>-0.0360210003324859</v>
      </c>
      <c r="BW18" s="178">
        <f>IF(AND(ISNUMBER(BW17),ISNUMBER(BR17)),IFERROR(BW17/BR17-1,""),"")</f>
        <v>-0.0614130873128634</v>
      </c>
      <c r="BX18" s="178">
        <f>IF(AND(ISNUMBER(BX17),ISNUMBER(BS17)),IFERROR(BX17/BS17-1,""),"")</f>
        <v>-0.00733171082471373</v>
      </c>
      <c r="BY18" s="179">
        <f>BY19</f>
        <v>0.03</v>
      </c>
      <c r="BZ18" s="179">
        <f>BZ19</f>
        <v>0.04</v>
      </c>
      <c r="CA18" s="179">
        <f>IFERROR(CA17/BV17-1,"")</f>
        <v>-8.4495396055484e-06</v>
      </c>
      <c r="CB18" s="179">
        <f>CHOOSE(MATCH($CF$2,{"Bull","Base","Bear"},0),$CO$41,$CP$41,$CQ$41)</f>
        <v>0.03</v>
      </c>
      <c r="CC18" s="179">
        <f>CHOOSE(MATCH($CF$2,{"Bull","Base","Bear"},0),$CO$42,$CP$42,$CQ$42)</f>
        <v>0.035</v>
      </c>
      <c r="CD18" s="179">
        <f>CHOOSE(MATCH($CF$2,{"Bull","Base","Bear"},0),$CO$43,$CP$43,$CQ$43)</f>
        <v>0.035</v>
      </c>
      <c r="CE18" s="179">
        <f>CHOOSE(MATCH($CF$2,{"Bull","Base","Bear"},0),$CO$44,$CP$44,$CQ$44)</f>
        <v>0.035</v>
      </c>
      <c r="CF18" s="20" t="n"/>
      <c r="CN18" s="26" t="inlineStr">
        <is>
          <t xml:space="preserve">  Stock-based compensation ($m)</t>
        </is>
      </c>
      <c r="CP18" s="180" t="n">
        <v>49.5</v>
      </c>
      <c r="CR18" s="14" t="inlineStr">
        <is>
          <t>Guidance reconciliation $48–51m.</t>
        </is>
      </c>
    </row>
    <row r="19" ht="15" customHeight="1">
      <c r="B19" s="26" t="inlineStr">
        <is>
          <t xml:space="preserve">  Q3/Q4-26E growth input (incl. Depot Connect from 20-Mar-26)</t>
        </is>
      </c>
      <c r="C19" s="181" t="n"/>
      <c r="D19" s="181" t="n"/>
      <c r="E19" s="181" t="n"/>
      <c r="F19" s="181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81" t="n"/>
      <c r="U19" s="181" t="n"/>
      <c r="V19" s="181" t="n"/>
      <c r="W19" s="181" t="n"/>
      <c r="X19" s="181" t="n"/>
      <c r="Y19" s="181" t="n"/>
      <c r="Z19" s="181" t="n"/>
      <c r="AA19" s="181" t="n"/>
      <c r="AB19" s="181" t="n"/>
      <c r="AC19" s="181" t="n"/>
      <c r="AD19" s="181" t="n"/>
      <c r="AE19" s="181" t="n"/>
      <c r="AF19" s="181" t="n"/>
      <c r="AG19" s="181" t="n"/>
      <c r="AH19" s="181" t="n"/>
      <c r="AI19" s="181" t="n"/>
      <c r="AJ19" s="181" t="n"/>
      <c r="AK19" s="181" t="n"/>
      <c r="AL19" s="181" t="n"/>
      <c r="AM19" s="181" t="n"/>
      <c r="AN19" s="181" t="n"/>
      <c r="AO19" s="181" t="n"/>
      <c r="AP19" s="181" t="n"/>
      <c r="AQ19" s="181" t="n"/>
      <c r="AR19" s="181" t="n"/>
      <c r="AS19" s="181" t="n"/>
      <c r="AT19" s="181" t="n"/>
      <c r="AU19" s="181" t="n"/>
      <c r="AV19" s="181" t="n"/>
      <c r="AW19" s="181" t="n"/>
      <c r="AX19" s="181" t="n"/>
      <c r="AY19" s="181" t="n"/>
      <c r="AZ19" s="181" t="n"/>
      <c r="BA19" s="181" t="n"/>
      <c r="BB19" s="181" t="n"/>
      <c r="BC19" s="181" t="n"/>
      <c r="BD19" s="181" t="n"/>
      <c r="BE19" s="181" t="n"/>
      <c r="BF19" s="181" t="n"/>
      <c r="BG19" s="181" t="n"/>
      <c r="BH19" s="181" t="n"/>
      <c r="BI19" s="181" t="n"/>
      <c r="BJ19" s="181" t="n"/>
      <c r="BK19" s="181" t="n"/>
      <c r="BL19" s="181" t="n"/>
      <c r="BM19" s="181" t="n"/>
      <c r="BN19" s="181" t="n"/>
      <c r="BO19" s="181" t="n"/>
      <c r="BP19" s="181" t="n"/>
      <c r="BQ19" s="181" t="n"/>
      <c r="BR19" s="181" t="n"/>
      <c r="BS19" s="181" t="n"/>
      <c r="BT19" s="181" t="n"/>
      <c r="BU19" s="181" t="n"/>
      <c r="BV19" s="181" t="n"/>
      <c r="BW19" s="181" t="n"/>
      <c r="BX19" s="181" t="n"/>
      <c r="BY19" s="182" t="n">
        <v>0.03</v>
      </c>
      <c r="BZ19" s="182" t="n">
        <v>0.04</v>
      </c>
      <c r="CA19" s="169" t="n"/>
      <c r="CB19" s="169" t="n"/>
      <c r="CC19" s="169" t="n"/>
      <c r="CD19" s="169" t="n"/>
      <c r="CE19" s="169" t="n"/>
      <c r="CF19" s="20" t="inlineStr">
        <is>
          <t>Q2/26 −0.7% y/y (refinery turnaround timing) despite Depot Connect International ($131m, Mar-26). New data-center offering expected to support growth.</t>
        </is>
      </c>
      <c r="CN19" s="26" t="inlineStr">
        <is>
          <t xml:space="preserve">  Depreciation &amp; amortization ($m)</t>
        </is>
      </c>
      <c r="CP19" s="180" t="n">
        <v>480</v>
      </c>
      <c r="CR19" s="14" t="inlineStr">
        <is>
          <t>Guidance reconciliation $475–485m.</t>
        </is>
      </c>
    </row>
    <row r="20" ht="15" customHeight="1">
      <c r="B20" s="17" t="inlineStr">
        <is>
          <t xml:space="preserve">  Safety-Kleen Environmental Services — ES portion (containerized waste, vacuum, branch services; from 2021)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33" t="n"/>
      <c r="AI20" s="175" t="n">
        <v>0</v>
      </c>
      <c r="AJ20" s="175" t="n">
        <v>0</v>
      </c>
      <c r="AK20" s="175" t="n">
        <v>0</v>
      </c>
      <c r="AL20" s="175" t="n">
        <v>0</v>
      </c>
      <c r="AM20" s="175" t="n">
        <v>0</v>
      </c>
      <c r="AN20" s="175" t="n">
        <v>0</v>
      </c>
      <c r="AO20" s="175" t="n">
        <v>0</v>
      </c>
      <c r="AP20" s="175" t="n">
        <v>0</v>
      </c>
      <c r="AQ20" s="175" t="n">
        <v>0</v>
      </c>
      <c r="AR20" s="175" t="n">
        <v>0</v>
      </c>
      <c r="AS20" s="175" t="n">
        <v>0</v>
      </c>
      <c r="AT20" s="175" t="n">
        <v>0</v>
      </c>
      <c r="AU20" s="175" t="n">
        <v>0</v>
      </c>
      <c r="AV20" s="175" t="n">
        <v>0</v>
      </c>
      <c r="AW20" s="175" t="n">
        <v>0</v>
      </c>
      <c r="AX20" s="175" t="n">
        <v>155.86</v>
      </c>
      <c r="AY20" s="175" t="n">
        <v>158.929</v>
      </c>
      <c r="AZ20" s="175" t="n">
        <v>164.019</v>
      </c>
      <c r="BA20" s="175" t="n">
        <v>165.096</v>
      </c>
      <c r="BB20" s="175" t="n">
        <v>643.904</v>
      </c>
      <c r="BC20" s="175" t="n">
        <v>175.945</v>
      </c>
      <c r="BD20" s="175" t="n">
        <v>191.757</v>
      </c>
      <c r="BE20" s="175" t="n">
        <v>199.312</v>
      </c>
      <c r="BF20" s="175" t="n">
        <v>196.323</v>
      </c>
      <c r="BG20" s="175" t="n">
        <v>763.337</v>
      </c>
      <c r="BH20" s="175" t="n">
        <v>210.008</v>
      </c>
      <c r="BI20" s="175" t="n">
        <v>217.67</v>
      </c>
      <c r="BJ20" s="175" t="n">
        <v>226.093</v>
      </c>
      <c r="BK20" s="175" t="n">
        <v>223.44</v>
      </c>
      <c r="BL20" s="175" t="n">
        <v>877.211</v>
      </c>
      <c r="BM20" s="175" t="n">
        <v>230.922</v>
      </c>
      <c r="BN20" s="175" t="n">
        <v>241.266</v>
      </c>
      <c r="BO20" s="175" t="n">
        <v>244.697</v>
      </c>
      <c r="BP20" s="175" t="n">
        <v>237.268</v>
      </c>
      <c r="BQ20" s="175" t="n">
        <v>954.153</v>
      </c>
      <c r="BR20" s="175" t="n">
        <v>242.773</v>
      </c>
      <c r="BS20" s="175" t="n">
        <v>262.267</v>
      </c>
      <c r="BT20" s="175" t="n">
        <v>263.448</v>
      </c>
      <c r="BU20" s="175" t="n">
        <v>252.916</v>
      </c>
      <c r="BV20" s="175" t="n">
        <v>1021.404</v>
      </c>
      <c r="BW20" s="175" t="n">
        <v>260.216</v>
      </c>
      <c r="BX20" s="175" t="n">
        <v>291.673</v>
      </c>
      <c r="BY20" s="176">
        <f>BT20*(1+BY21)</f>
        <v>289.7928</v>
      </c>
      <c r="BZ20" s="176">
        <f>BU20*(1+BZ21)</f>
        <v>275.67844</v>
      </c>
      <c r="CA20" s="176">
        <f>SUM(BW20,BX20,BY20,BZ20)</f>
        <v>1117.36024</v>
      </c>
      <c r="CB20" s="176">
        <f>CA20*(1+CB21)</f>
        <v>1195.5754568</v>
      </c>
      <c r="CC20" s="176">
        <f>CB20*(1+CC21)</f>
        <v>1273.287861492</v>
      </c>
      <c r="CD20" s="176">
        <f>CC20*(1+CD21)</f>
        <v>1349.68513318152</v>
      </c>
      <c r="CE20" s="176">
        <f>CD20*(1+CE21)</f>
        <v>1430.66624117241</v>
      </c>
      <c r="CF20" s="177" t="n"/>
      <c r="CH20" s="21">
        <f>IFERROR((CE20/BV20)^(1/5)-1,"n/m")</f>
        <v>0.0697151707263854</v>
      </c>
      <c r="CI20" s="21" t="str">
        <f>IFERROR((BV20/AW20)^(1/5)-1,"n/m")</f>
        <v>n/m</v>
      </c>
      <c r="CJ20" s="21" t="str">
        <f>IFERROR((BV20/X20)^(1/10)-1,"n/m")</f>
        <v>n/m</v>
      </c>
      <c r="CK20" s="21" t="str">
        <f>IFERROR((BV20/C20)^(1/19)-1,"n/m")</f>
        <v>n/m</v>
      </c>
      <c r="CN20" s="26" t="inlineStr">
        <is>
          <t xml:space="preserve">  Accretion of environmental liabilities ($m)</t>
        </is>
      </c>
      <c r="CP20" s="180" t="n">
        <v>15.5</v>
      </c>
      <c r="CR20" s="14" t="inlineStr">
        <is>
          <t>Guidance reconciliation $15–16m.</t>
        </is>
      </c>
    </row>
    <row r="21" ht="15" customHeight="1">
      <c r="B21" s="23" t="inlineStr">
        <is>
          <t xml:space="preserve">  Safety-Kleen Environmental Services (ES) y/y %</t>
        </is>
      </c>
      <c r="C21" s="24" t="n"/>
      <c r="D21" s="178">
        <f>IF(AND(ISNUMBER(D20),ISNUMBER(C20)),IFERROR(D20/C20-1,""),"")</f>
      </c>
      <c r="E21" s="178">
        <f>IF(AND(ISNUMBER(E20),ISNUMBER(D20)),IFERROR(E20/D20-1,""),"")</f>
      </c>
      <c r="F21" s="178">
        <f>IF(AND(ISNUMBER(F20),ISNUMBER(E20)),IFERROR(F20/E20-1,""),"")</f>
      </c>
      <c r="G21" s="178">
        <f>IF(AND(ISNUMBER(G20),ISNUMBER(F20)),IFERROR(G20/F20-1,""),"")</f>
      </c>
      <c r="H21" s="178">
        <f>IF(AND(ISNUMBER(H20),ISNUMBER(G20)),IFERROR(H20/G20-1,""),"")</f>
      </c>
      <c r="I21" s="178">
        <f>IF(AND(ISNUMBER(I20),ISNUMBER(H20)),IFERROR(I20/H20-1,""),"")</f>
      </c>
      <c r="J21" s="24" t="n"/>
      <c r="K21" s="24" t="n"/>
      <c r="L21" s="24" t="n"/>
      <c r="M21" s="24" t="n"/>
      <c r="N21" s="178">
        <f>IF(AND(ISNUMBER(N20),ISNUMBER(I20)),IFERROR(N20/I20-1,""),"")</f>
      </c>
      <c r="O21" s="178">
        <f>IF(AND(ISNUMBER(O20),ISNUMBER(J20)),IFERROR(O20/J20-1,""),"")</f>
      </c>
      <c r="P21" s="178">
        <f>IF(AND(ISNUMBER(P20),ISNUMBER(K20)),IFERROR(P20/K20-1,""),"")</f>
      </c>
      <c r="Q21" s="178">
        <f>IF(AND(ISNUMBER(Q20),ISNUMBER(L20)),IFERROR(Q20/L20-1,""),"")</f>
      </c>
      <c r="R21" s="178">
        <f>IF(AND(ISNUMBER(R20),ISNUMBER(M20)),IFERROR(R20/M20-1,""),"")</f>
      </c>
      <c r="S21" s="178">
        <f>IF(AND(ISNUMBER(S20),ISNUMBER(N20)),IFERROR(S20/N20-1,""),"")</f>
      </c>
      <c r="T21" s="178">
        <f>IF(AND(ISNUMBER(T20),ISNUMBER(O20)),IFERROR(T20/O20-1,""),"")</f>
      </c>
      <c r="U21" s="178">
        <f>IF(AND(ISNUMBER(U20),ISNUMBER(P20)),IFERROR(U20/P20-1,""),"")</f>
      </c>
      <c r="V21" s="178">
        <f>IF(AND(ISNUMBER(V20),ISNUMBER(Q20)),IFERROR(V20/Q20-1,""),"")</f>
      </c>
      <c r="W21" s="178">
        <f>IF(AND(ISNUMBER(W20),ISNUMBER(R20)),IFERROR(W20/R20-1,""),"")</f>
      </c>
      <c r="X21" s="178">
        <f>IF(AND(ISNUMBER(X20),ISNUMBER(S20)),IFERROR(X20/S20-1,""),"")</f>
      </c>
      <c r="Y21" s="178">
        <f>IF(AND(ISNUMBER(Y20),ISNUMBER(T20)),IFERROR(Y20/T20-1,""),"")</f>
      </c>
      <c r="Z21" s="178">
        <f>IF(AND(ISNUMBER(Z20),ISNUMBER(U20)),IFERROR(Z20/U20-1,""),"")</f>
      </c>
      <c r="AA21" s="178">
        <f>IF(AND(ISNUMBER(AA20),ISNUMBER(V20)),IFERROR(AA20/V20-1,""),"")</f>
      </c>
      <c r="AB21" s="178">
        <f>IF(AND(ISNUMBER(AB20),ISNUMBER(W20)),IFERROR(AB20/W20-1,""),"")</f>
      </c>
      <c r="AC21" s="178">
        <f>IF(AND(ISNUMBER(AC20),ISNUMBER(X20)),IFERROR(AC20/X20-1,""),"")</f>
      </c>
      <c r="AD21" s="178">
        <f>IF(AND(ISNUMBER(AD20),ISNUMBER(Y20)),IFERROR(AD20/Y20-1,""),"")</f>
      </c>
      <c r="AE21" s="178">
        <f>IF(AND(ISNUMBER(AE20),ISNUMBER(Z20)),IFERROR(AE20/Z20-1,""),"")</f>
      </c>
      <c r="AF21" s="178">
        <f>IF(AND(ISNUMBER(AF20),ISNUMBER(AA20)),IFERROR(AF20/AA20-1,""),"")</f>
      </c>
      <c r="AG21" s="178">
        <f>IF(AND(ISNUMBER(AG20),ISNUMBER(AB20)),IFERROR(AG20/AB20-1,""),"")</f>
      </c>
      <c r="AH21" s="178">
        <f>IF(AND(ISNUMBER(AH20),ISNUMBER(AC20)),IFERROR(AH20/AC20-1,""),"")</f>
      </c>
      <c r="AI21" s="178">
        <f>IF(AND(ISNUMBER(AI20),ISNUMBER(AD20)),IFERROR(AI20/AD20-1,""),"")</f>
      </c>
      <c r="AJ21" s="178">
        <f>IF(AND(ISNUMBER(AJ20),ISNUMBER(AE20)),IFERROR(AJ20/AE20-1,""),"")</f>
      </c>
      <c r="AK21" s="178">
        <f>IF(AND(ISNUMBER(AK20),ISNUMBER(AF20)),IFERROR(AK20/AF20-1,""),"")</f>
      </c>
      <c r="AL21" s="178">
        <f>IF(AND(ISNUMBER(AL20),ISNUMBER(AG20)),IFERROR(AL20/AG20-1,""),"")</f>
      </c>
      <c r="AM21" s="178">
        <f>IF(AND(ISNUMBER(AM20),ISNUMBER(AH20)),IFERROR(AM20/AH20-1,""),"")</f>
      </c>
      <c r="AN21" s="178">
        <f>IF(AND(ISNUMBER(AN20),ISNUMBER(AI20)),IFERROR(AN20/AI20-1,""),"")</f>
      </c>
      <c r="AO21" s="178">
        <f>IF(AND(ISNUMBER(AO20),ISNUMBER(AJ20)),IFERROR(AO20/AJ20-1,""),"")</f>
      </c>
      <c r="AP21" s="178">
        <f>IF(AND(ISNUMBER(AP20),ISNUMBER(AK20)),IFERROR(AP20/AK20-1,""),"")</f>
      </c>
      <c r="AQ21" s="178">
        <f>IF(AND(ISNUMBER(AQ20),ISNUMBER(AL20)),IFERROR(AQ20/AL20-1,""),"")</f>
      </c>
      <c r="AR21" s="178">
        <f>IF(AND(ISNUMBER(AR20),ISNUMBER(AM20)),IFERROR(AR20/AM20-1,""),"")</f>
      </c>
      <c r="AS21" s="178">
        <f>IF(AND(ISNUMBER(AS20),ISNUMBER(AN20)),IFERROR(AS20/AN20-1,""),"")</f>
      </c>
      <c r="AT21" s="178">
        <f>IF(AND(ISNUMBER(AT20),ISNUMBER(AO20)),IFERROR(AT20/AO20-1,""),"")</f>
      </c>
      <c r="AU21" s="178">
        <f>IF(AND(ISNUMBER(AU20),ISNUMBER(AP20)),IFERROR(AU20/AP20-1,""),"")</f>
      </c>
      <c r="AV21" s="178">
        <f>IF(AND(ISNUMBER(AV20),ISNUMBER(AQ20)),IFERROR(AV20/AQ20-1,""),"")</f>
      </c>
      <c r="AW21" s="178">
        <f>IF(AND(ISNUMBER(AW20),ISNUMBER(AR20)),IFERROR(AW20/AR20-1,""),"")</f>
      </c>
      <c r="AX21" s="178">
        <f>IF(AND(ISNUMBER(AX20),ISNUMBER(AS20)),IFERROR(AX20/AS20-1,""),"")</f>
      </c>
      <c r="AY21" s="178">
        <f>IF(AND(ISNUMBER(AY20),ISNUMBER(AT20)),IFERROR(AY20/AT20-1,""),"")</f>
      </c>
      <c r="AZ21" s="178">
        <f>IF(AND(ISNUMBER(AZ20),ISNUMBER(AU20)),IFERROR(AZ20/AU20-1,""),"")</f>
      </c>
      <c r="BA21" s="178">
        <f>IF(AND(ISNUMBER(BA20),ISNUMBER(AV20)),IFERROR(BA20/AV20-1,""),"")</f>
      </c>
      <c r="BB21" s="178">
        <f>IF(AND(ISNUMBER(BB20),ISNUMBER(AW20)),IFERROR(BB20/AW20-1,""),"")</f>
      </c>
      <c r="BC21" s="178">
        <f>IF(AND(ISNUMBER(BC20),ISNUMBER(AX20)),IFERROR(BC20/AX20-1,""),"")</f>
        <v>0.128865648659053</v>
      </c>
      <c r="BD21" s="178">
        <f>IF(AND(ISNUMBER(BD20),ISNUMBER(AY20)),IFERROR(BD20/AY20-1,""),"")</f>
        <v>0.206557645237811</v>
      </c>
      <c r="BE21" s="178">
        <f>IF(AND(ISNUMBER(BE20),ISNUMBER(AZ20)),IFERROR(BE20/AZ20-1,""),"")</f>
        <v>0.215176290551705</v>
      </c>
      <c r="BF21" s="178">
        <f>IF(AND(ISNUMBER(BF20),ISNUMBER(BA20)),IFERROR(BF20/BA20-1,""),"")</f>
        <v>0.189144497746766</v>
      </c>
      <c r="BG21" s="178">
        <f>IF(AND(ISNUMBER(BG20),ISNUMBER(BB20)),IFERROR(BG20/BB20-1,""),"")</f>
        <v>0.185482618526985</v>
      </c>
      <c r="BH21" s="178">
        <f>IF(AND(ISNUMBER(BH20),ISNUMBER(BC20)),IFERROR(BH20/BC20-1,""),"")</f>
        <v>0.193600272812527</v>
      </c>
      <c r="BI21" s="178">
        <f>IF(AND(ISNUMBER(BI20),ISNUMBER(BD20)),IFERROR(BI20/BD20-1,""),"")</f>
        <v>0.135134571358542</v>
      </c>
      <c r="BJ21" s="178">
        <f>IF(AND(ISNUMBER(BJ20),ISNUMBER(BE20)),IFERROR(BJ20/BE20-1,""),"")</f>
        <v>0.134367223247973</v>
      </c>
      <c r="BK21" s="178">
        <f>IF(AND(ISNUMBER(BK20),ISNUMBER(BF20)),IFERROR(BK20/BF20-1,""),"")</f>
        <v>0.138124417414159</v>
      </c>
      <c r="BL21" s="178">
        <f>IF(AND(ISNUMBER(BL20),ISNUMBER(BG20)),IFERROR(BL20/BG20-1,""),"")</f>
        <v>0.149179196082464</v>
      </c>
      <c r="BM21" s="178">
        <f>IF(AND(ISNUMBER(BM20),ISNUMBER(BH20)),IFERROR(BM20/BH20-1,""),"")</f>
        <v>0.0995866824120986</v>
      </c>
      <c r="BN21" s="178">
        <f>IF(AND(ISNUMBER(BN20),ISNUMBER(BI20)),IFERROR(BN20/BI20-1,""),"")</f>
        <v>0.108402627831121</v>
      </c>
      <c r="BO21" s="178">
        <f>IF(AND(ISNUMBER(BO20),ISNUMBER(BJ20)),IFERROR(BO20/BJ20-1,""),"")</f>
        <v>0.0822847235429669</v>
      </c>
      <c r="BP21" s="178">
        <f>IF(AND(ISNUMBER(BP20),ISNUMBER(BK20)),IFERROR(BP20/BK20-1,""),"")</f>
        <v>0.0618868600071607</v>
      </c>
      <c r="BQ21" s="178">
        <f>IF(AND(ISNUMBER(BQ20),ISNUMBER(BL20)),IFERROR(BQ20/BL20-1,""),"")</f>
        <v>0.0877120783939098</v>
      </c>
      <c r="BR21" s="178">
        <f>IF(AND(ISNUMBER(BR20),ISNUMBER(BM20)),IFERROR(BR20/BM20-1,""),"")</f>
        <v>0.0513203592555063</v>
      </c>
      <c r="BS21" s="178">
        <f>IF(AND(ISNUMBER(BS20),ISNUMBER(BN20)),IFERROR(BS20/BN20-1,""),"")</f>
        <v>0.0870450042691469</v>
      </c>
      <c r="BT21" s="178">
        <f>IF(AND(ISNUMBER(BT20),ISNUMBER(BO20)),IFERROR(BT20/BO20-1,""),"")</f>
        <v>0.0766294641944936</v>
      </c>
      <c r="BU21" s="178">
        <f>IF(AND(ISNUMBER(BU20),ISNUMBER(BP20)),IFERROR(BU20/BP20-1,""),"")</f>
        <v>0.0659507392484449</v>
      </c>
      <c r="BV21" s="178">
        <f>IF(AND(ISNUMBER(BV20),ISNUMBER(BQ20)),IFERROR(BV20/BQ20-1,""),"")</f>
        <v>0.0704824069095837</v>
      </c>
      <c r="BW21" s="178">
        <f>IF(AND(ISNUMBER(BW20),ISNUMBER(BR20)),IFERROR(BW20/BR20-1,""),"")</f>
        <v>0.0718490112162391</v>
      </c>
      <c r="BX21" s="178">
        <f>IF(AND(ISNUMBER(BX20),ISNUMBER(BS20)),IFERROR(BX20/BS20-1,""),"")</f>
        <v>0.112122379102213</v>
      </c>
      <c r="BY21" s="179">
        <f>BY22</f>
        <v>0.1</v>
      </c>
      <c r="BZ21" s="179">
        <f>BZ22</f>
        <v>0.09</v>
      </c>
      <c r="CA21" s="179">
        <f>IFERROR(CA20/BV20-1,"")</f>
        <v>0.0939454319740278</v>
      </c>
      <c r="CB21" s="179">
        <f>CHOOSE(MATCH($CF$2,{"Bull","Base","Bear"},0),$CO$46,$CP$46,$CQ$46)</f>
        <v>0.07</v>
      </c>
      <c r="CC21" s="179">
        <f>CHOOSE(MATCH($CF$2,{"Bull","Base","Bear"},0),$CO$47,$CP$47,$CQ$47)</f>
        <v>0.065</v>
      </c>
      <c r="CD21" s="179">
        <f>CHOOSE(MATCH($CF$2,{"Bull","Base","Bear"},0),$CO$48,$CP$48,$CQ$48)</f>
        <v>0.06</v>
      </c>
      <c r="CE21" s="179">
        <f>CHOOSE(MATCH($CF$2,{"Bull","Base","Bear"},0),$CO$49,$CP$49,$CQ$49)</f>
        <v>0.06</v>
      </c>
      <c r="CF21" s="20" t="n"/>
      <c r="CN21" s="26" t="inlineStr">
        <is>
          <t xml:space="preserve">  Interest expense, net ($m)</t>
        </is>
      </c>
      <c r="CP21" s="180" t="n">
        <v>148.5</v>
      </c>
      <c r="CR21" s="14" t="inlineStr">
        <is>
          <t>Guidance reconciliation $146–151m (before the Oct-26 notes).</t>
        </is>
      </c>
    </row>
    <row r="22" ht="15" customHeight="1">
      <c r="B22" s="26" t="inlineStr">
        <is>
          <t xml:space="preserve">  Q3/Q4-26E growth input (SK Environmental Services, ES &amp; SKSS portions)</t>
        </is>
      </c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81" t="n"/>
      <c r="U22" s="181" t="n"/>
      <c r="V22" s="181" t="n"/>
      <c r="W22" s="181" t="n"/>
      <c r="X22" s="181" t="n"/>
      <c r="Y22" s="181" t="n"/>
      <c r="Z22" s="181" t="n"/>
      <c r="AA22" s="181" t="n"/>
      <c r="AB22" s="181" t="n"/>
      <c r="AC22" s="181" t="n"/>
      <c r="AD22" s="181" t="n"/>
      <c r="AE22" s="181" t="n"/>
      <c r="AF22" s="181" t="n"/>
      <c r="AG22" s="181" t="n"/>
      <c r="AH22" s="181" t="n"/>
      <c r="AI22" s="181" t="n"/>
      <c r="AJ22" s="181" t="n"/>
      <c r="AK22" s="181" t="n"/>
      <c r="AL22" s="181" t="n"/>
      <c r="AM22" s="181" t="n"/>
      <c r="AN22" s="181" t="n"/>
      <c r="AO22" s="181" t="n"/>
      <c r="AP22" s="181" t="n"/>
      <c r="AQ22" s="181" t="n"/>
      <c r="AR22" s="181" t="n"/>
      <c r="AS22" s="181" t="n"/>
      <c r="AT22" s="181" t="n"/>
      <c r="AU22" s="181" t="n"/>
      <c r="AV22" s="181" t="n"/>
      <c r="AW22" s="181" t="n"/>
      <c r="AX22" s="181" t="n"/>
      <c r="AY22" s="181" t="n"/>
      <c r="AZ22" s="181" t="n"/>
      <c r="BA22" s="181" t="n"/>
      <c r="BB22" s="181" t="n"/>
      <c r="BC22" s="181" t="n"/>
      <c r="BD22" s="181" t="n"/>
      <c r="BE22" s="181" t="n"/>
      <c r="BF22" s="181" t="n"/>
      <c r="BG22" s="181" t="n"/>
      <c r="BH22" s="181" t="n"/>
      <c r="BI22" s="181" t="n"/>
      <c r="BJ22" s="181" t="n"/>
      <c r="BK22" s="181" t="n"/>
      <c r="BL22" s="181" t="n"/>
      <c r="BM22" s="181" t="n"/>
      <c r="BN22" s="181" t="n"/>
      <c r="BO22" s="181" t="n"/>
      <c r="BP22" s="181" t="n"/>
      <c r="BQ22" s="181" t="n"/>
      <c r="BR22" s="181" t="n"/>
      <c r="BS22" s="181" t="n"/>
      <c r="BT22" s="181" t="n"/>
      <c r="BU22" s="181" t="n"/>
      <c r="BV22" s="181" t="n"/>
      <c r="BW22" s="181" t="n"/>
      <c r="BX22" s="181" t="n"/>
      <c r="BY22" s="182" t="n">
        <v>0.1</v>
      </c>
      <c r="BZ22" s="182" t="n">
        <v>0.09</v>
      </c>
      <c r="CA22" s="169" t="n"/>
      <c r="CB22" s="169" t="n"/>
      <c r="CC22" s="169" t="n"/>
      <c r="CD22" s="169" t="n"/>
      <c r="CE22" s="169" t="n"/>
      <c r="CF22" s="20" t="inlineStr">
        <is>
          <t>Q2/26 +11.2% (ES) / +21.1% (SKSS) y/y on pricing, containerized waste and vacuum services (Noble Oil / Western Oil branches).</t>
        </is>
      </c>
      <c r="CN22" s="26" t="inlineStr">
        <is>
          <t xml:space="preserve">  Tax rate (GAAP)</t>
        </is>
      </c>
      <c r="CP22" s="183">
        <f>180.5/(506+180.5)</f>
        <v>0.262927895120175</v>
      </c>
      <c r="CR22" s="14" t="inlineStr">
        <is>
          <t>Implied by the mid-point reconciliation: tax $180.5m / pre-tax $686.5m.</t>
        </is>
      </c>
    </row>
    <row r="23" hidden="1" outlineLevel="2" ht="15" customHeight="1">
      <c r="B23" s="26" t="inlineStr">
        <is>
          <t xml:space="preserve">  ES third-party revenues (Σ service lines from 2018; as reported 2017)</t>
        </is>
      </c>
      <c r="C23" s="184" t="n"/>
      <c r="D23" s="184" t="n"/>
      <c r="E23" s="184" t="n"/>
      <c r="F23" s="184" t="n"/>
      <c r="G23" s="184" t="n"/>
      <c r="H23" s="184" t="n"/>
      <c r="I23" s="184" t="n"/>
      <c r="J23" s="184" t="n"/>
      <c r="K23" s="184" t="n"/>
      <c r="L23" s="184" t="n"/>
      <c r="M23" s="184" t="n"/>
      <c r="N23" s="184" t="n"/>
      <c r="O23" s="184" t="n"/>
      <c r="P23" s="184" t="n"/>
      <c r="Q23" s="184" t="n"/>
      <c r="R23" s="184" t="n"/>
      <c r="S23" s="184" t="n"/>
      <c r="T23" s="184" t="n"/>
      <c r="U23" s="184" t="n"/>
      <c r="V23" s="184" t="n"/>
      <c r="W23" s="184" t="n"/>
      <c r="X23" s="184" t="n"/>
      <c r="Y23" s="184" t="n"/>
      <c r="Z23" s="184" t="n"/>
      <c r="AA23" s="184" t="n"/>
      <c r="AB23" s="184" t="n"/>
      <c r="AC23" s="184" t="n"/>
      <c r="AD23" s="185" t="n">
        <v>395.907</v>
      </c>
      <c r="AE23" s="185" t="n">
        <v>449.631</v>
      </c>
      <c r="AF23" s="185" t="n">
        <v>440.163</v>
      </c>
      <c r="AG23" s="185" t="n">
        <v>442.999</v>
      </c>
      <c r="AH23" s="185" t="n">
        <v>1728.7</v>
      </c>
      <c r="AI23" s="185" t="n">
        <v>439.688</v>
      </c>
      <c r="AJ23" s="185" t="n">
        <v>519.9160000000001</v>
      </c>
      <c r="AK23" s="185" t="n">
        <v>508.813</v>
      </c>
      <c r="AL23" s="185" t="n">
        <v>535.426</v>
      </c>
      <c r="AM23" s="185" t="n">
        <v>2003.843</v>
      </c>
      <c r="AN23" s="185" t="n">
        <v>473.698</v>
      </c>
      <c r="AO23" s="185" t="n">
        <v>526.294</v>
      </c>
      <c r="AP23" s="185" t="n">
        <v>550.122</v>
      </c>
      <c r="AQ23" s="185" t="n">
        <v>542.249</v>
      </c>
      <c r="AR23" s="185" t="n">
        <v>2092.363</v>
      </c>
      <c r="AS23" s="185" t="n">
        <v>528.104</v>
      </c>
      <c r="AT23" s="185" t="n">
        <v>464.354</v>
      </c>
      <c r="AU23" s="185" t="n">
        <v>498.183</v>
      </c>
      <c r="AV23" s="185" t="n">
        <v>513.4400000000001</v>
      </c>
      <c r="AW23" s="185" t="n">
        <v>2004.081</v>
      </c>
      <c r="AX23" s="185" t="n">
        <v>652.878</v>
      </c>
      <c r="AY23" s="185" t="n">
        <v>723.147</v>
      </c>
      <c r="AZ23" s="185" t="n">
        <v>743.831</v>
      </c>
      <c r="BA23" s="185" t="n">
        <v>906.051</v>
      </c>
      <c r="BB23" s="185" t="n">
        <v>3025.907</v>
      </c>
      <c r="BC23" s="185" t="n">
        <v>940.798</v>
      </c>
      <c r="BD23" s="185" t="n">
        <v>1084.506</v>
      </c>
      <c r="BE23" s="185" t="n">
        <v>1080.032</v>
      </c>
      <c r="BF23" s="185" t="n">
        <v>1039.637</v>
      </c>
      <c r="BG23" s="185" t="n">
        <v>4144.973</v>
      </c>
      <c r="BH23" s="185" t="n">
        <v>1060.982</v>
      </c>
      <c r="BI23" s="185" t="n">
        <v>1161.482</v>
      </c>
      <c r="BJ23" s="185" t="n">
        <v>1135.279</v>
      </c>
      <c r="BK23" s="185" t="n">
        <v>1112.166</v>
      </c>
      <c r="BL23" s="185" t="n">
        <v>4469.909</v>
      </c>
      <c r="BM23" s="185" t="n">
        <v>1161.279</v>
      </c>
      <c r="BN23" s="185" t="n">
        <v>1297.298</v>
      </c>
      <c r="BO23" s="185" t="n">
        <v>1287.65</v>
      </c>
      <c r="BP23" s="185" t="n">
        <v>1214.098</v>
      </c>
      <c r="BQ23" s="185" t="n">
        <v>4960.325</v>
      </c>
      <c r="BR23" s="185" t="n">
        <v>1207.038</v>
      </c>
      <c r="BS23" s="185" t="n">
        <v>1330.059</v>
      </c>
      <c r="BT23" s="185" t="n">
        <v>1318.58</v>
      </c>
      <c r="BU23" s="185" t="n">
        <v>1290.677</v>
      </c>
      <c r="BV23" s="185" t="n">
        <v>5146.354</v>
      </c>
      <c r="BW23" s="185" t="n">
        <v>1242.448</v>
      </c>
      <c r="BX23" s="185" t="n">
        <v>1444.532</v>
      </c>
      <c r="BY23" s="186">
        <f>BY11+BY14+BY17+BY20</f>
        <v>1430.03836</v>
      </c>
      <c r="BZ23" s="186">
        <f>BZ11+BZ14+BZ17+BZ20</f>
        <v>1386.17461</v>
      </c>
      <c r="CA23" s="186">
        <f>SUM(BW23,BX23,BY23,BZ23)</f>
        <v>5503.19297</v>
      </c>
      <c r="CB23" s="186">
        <f>CB11+CB14+CB17+CB20</f>
        <v>5836.2461455</v>
      </c>
      <c r="CC23" s="186">
        <f>CC11+CC14+CC17+CC20</f>
        <v>6181.369847646</v>
      </c>
      <c r="CD23" s="186">
        <f>CD11+CD14+CD17+CD20</f>
        <v>6524.56041727326</v>
      </c>
      <c r="CE23" s="186">
        <f>CE11+CE14+CE17+CE20</f>
        <v>6875.19277387352</v>
      </c>
      <c r="CF23" s="20" t="n"/>
      <c r="CN23" s="26" t="inlineStr">
        <is>
          <t xml:space="preserve">  Strategic growth investments excluded from adjusted FCF ($m)</t>
        </is>
      </c>
      <c r="CP23" s="180" t="n">
        <v>120</v>
      </c>
      <c r="CR23" s="14" t="inlineStr">
        <is>
          <t>Guidance reconciliation.</t>
        </is>
      </c>
    </row>
    <row r="24" hidden="1" outlineLevel="2" ht="15" customHeight="1">
      <c r="B24" s="61" t="inlineStr">
        <is>
          <t xml:space="preserve">  Check: Σ service lines vs ES third-party revenues (should be 0)</t>
        </is>
      </c>
      <c r="C24" s="187" t="n"/>
      <c r="D24" s="187" t="n"/>
      <c r="E24" s="187" t="n"/>
      <c r="F24" s="187" t="n"/>
      <c r="G24" s="187" t="n"/>
      <c r="H24" s="187" t="n"/>
      <c r="I24" s="187" t="n"/>
      <c r="J24" s="187" t="n"/>
      <c r="K24" s="187" t="n"/>
      <c r="L24" s="187" t="n"/>
      <c r="M24" s="187" t="n"/>
      <c r="N24" s="187" t="n"/>
      <c r="O24" s="187" t="n"/>
      <c r="P24" s="187" t="n"/>
      <c r="Q24" s="187" t="n"/>
      <c r="R24" s="187" t="n"/>
      <c r="S24" s="187" t="n"/>
      <c r="T24" s="187" t="n"/>
      <c r="U24" s="187" t="n"/>
      <c r="V24" s="187" t="n"/>
      <c r="W24" s="187" t="n"/>
      <c r="X24" s="187" t="n"/>
      <c r="Y24" s="187" t="n"/>
      <c r="Z24" s="187" t="n"/>
      <c r="AA24" s="187" t="n"/>
      <c r="AB24" s="187" t="n"/>
      <c r="AC24" s="187" t="n"/>
      <c r="AD24" s="187" t="n"/>
      <c r="AE24" s="187" t="n"/>
      <c r="AF24" s="187" t="n"/>
      <c r="AG24" s="187" t="n"/>
      <c r="AH24" s="187" t="n"/>
      <c r="AI24" s="188">
        <f>IF(ISNUMBER(AI11),ROUND(AI11+AI14+AI17+N(AI20)-AI23,1),"")</f>
        <v>0</v>
      </c>
      <c r="AJ24" s="188">
        <f>IF(ISNUMBER(AJ11),ROUND(AJ11+AJ14+AJ17+N(AJ20)-AJ23,1),"")</f>
        <v>0</v>
      </c>
      <c r="AK24" s="188">
        <f>IF(ISNUMBER(AK11),ROUND(AK11+AK14+AK17+N(AK20)-AK23,1),"")</f>
        <v>0</v>
      </c>
      <c r="AL24" s="188">
        <f>IF(ISNUMBER(AL11),ROUND(AL11+AL14+AL17+N(AL20)-AL23,1),"")</f>
        <v>0</v>
      </c>
      <c r="AM24" s="188">
        <f>IF(ISNUMBER(AM11),ROUND(AM11+AM14+AM17+N(AM20)-AM23,1),"")</f>
        <v>0</v>
      </c>
      <c r="AN24" s="188">
        <f>IF(ISNUMBER(AN11),ROUND(AN11+AN14+AN17+N(AN20)-AN23,1),"")</f>
        <v>0</v>
      </c>
      <c r="AO24" s="188">
        <f>IF(ISNUMBER(AO11),ROUND(AO11+AO14+AO17+N(AO20)-AO23,1),"")</f>
        <v>0</v>
      </c>
      <c r="AP24" s="188">
        <f>IF(ISNUMBER(AP11),ROUND(AP11+AP14+AP17+N(AP20)-AP23,1),"")</f>
        <v>0</v>
      </c>
      <c r="AQ24" s="188">
        <f>IF(ISNUMBER(AQ11),ROUND(AQ11+AQ14+AQ17+N(AQ20)-AQ23,1),"")</f>
        <v>0</v>
      </c>
      <c r="AR24" s="188">
        <f>IF(ISNUMBER(AR11),ROUND(AR11+AR14+AR17+N(AR20)-AR23,1),"")</f>
        <v>0</v>
      </c>
      <c r="AS24" s="188">
        <f>IF(ISNUMBER(AS11),ROUND(AS11+AS14+AS17+N(AS20)-AS23,1),"")</f>
        <v>0</v>
      </c>
      <c r="AT24" s="188">
        <f>IF(ISNUMBER(AT11),ROUND(AT11+AT14+AT17+N(AT20)-AT23,1),"")</f>
        <v>0</v>
      </c>
      <c r="AU24" s="188">
        <f>IF(ISNUMBER(AU11),ROUND(AU11+AU14+AU17+N(AU20)-AU23,1),"")</f>
        <v>0</v>
      </c>
      <c r="AV24" s="188">
        <f>IF(ISNUMBER(AV11),ROUND(AV11+AV14+AV17+N(AV20)-AV23,1),"")</f>
        <v>0</v>
      </c>
      <c r="AW24" s="188">
        <f>IF(ISNUMBER(AW11),ROUND(AW11+AW14+AW17+N(AW20)-AW23,1),"")</f>
        <v>0</v>
      </c>
      <c r="AX24" s="188">
        <f>IF(ISNUMBER(AX11),ROUND(AX11+AX14+AX17+N(AX20)-AX23,1),"")</f>
        <v>0</v>
      </c>
      <c r="AY24" s="188">
        <f>IF(ISNUMBER(AY11),ROUND(AY11+AY14+AY17+N(AY20)-AY23,1),"")</f>
        <v>0</v>
      </c>
      <c r="AZ24" s="188">
        <f>IF(ISNUMBER(AZ11),ROUND(AZ11+AZ14+AZ17+N(AZ20)-AZ23,1),"")</f>
        <v>0</v>
      </c>
      <c r="BA24" s="188">
        <f>IF(ISNUMBER(BA11),ROUND(BA11+BA14+BA17+N(BA20)-BA23,1),"")</f>
        <v>0</v>
      </c>
      <c r="BB24" s="188">
        <f>IF(ISNUMBER(BB11),ROUND(BB11+BB14+BB17+N(BB20)-BB23,1),"")</f>
        <v>0</v>
      </c>
      <c r="BC24" s="188">
        <f>IF(ISNUMBER(BC11),ROUND(BC11+BC14+BC17+N(BC20)-BC23,1),"")</f>
        <v>0</v>
      </c>
      <c r="BD24" s="188">
        <f>IF(ISNUMBER(BD11),ROUND(BD11+BD14+BD17+N(BD20)-BD23,1),"")</f>
        <v>0</v>
      </c>
      <c r="BE24" s="188">
        <f>IF(ISNUMBER(BE11),ROUND(BE11+BE14+BE17+N(BE20)-BE23,1),"")</f>
        <v>0</v>
      </c>
      <c r="BF24" s="188">
        <f>IF(ISNUMBER(BF11),ROUND(BF11+BF14+BF17+N(BF20)-BF23,1),"")</f>
        <v>0</v>
      </c>
      <c r="BG24" s="188">
        <f>IF(ISNUMBER(BG11),ROUND(BG11+BG14+BG17+N(BG20)-BG23,1),"")</f>
        <v>0</v>
      </c>
      <c r="BH24" s="188">
        <f>IF(ISNUMBER(BH11),ROUND(BH11+BH14+BH17+N(BH20)-BH23,1),"")</f>
        <v>0</v>
      </c>
      <c r="BI24" s="188">
        <f>IF(ISNUMBER(BI11),ROUND(BI11+BI14+BI17+N(BI20)-BI23,1),"")</f>
        <v>0</v>
      </c>
      <c r="BJ24" s="188">
        <f>IF(ISNUMBER(BJ11),ROUND(BJ11+BJ14+BJ17+N(BJ20)-BJ23,1),"")</f>
        <v>0</v>
      </c>
      <c r="BK24" s="188">
        <f>IF(ISNUMBER(BK11),ROUND(BK11+BK14+BK17+N(BK20)-BK23,1),"")</f>
        <v>0</v>
      </c>
      <c r="BL24" s="188">
        <f>IF(ISNUMBER(BL11),ROUND(BL11+BL14+BL17+N(BL20)-BL23,1),"")</f>
        <v>0</v>
      </c>
      <c r="BM24" s="188">
        <f>IF(ISNUMBER(BM11),ROUND(BM11+BM14+BM17+N(BM20)-BM23,1),"")</f>
        <v>0</v>
      </c>
      <c r="BN24" s="188">
        <f>IF(ISNUMBER(BN11),ROUND(BN11+BN14+BN17+N(BN20)-BN23,1),"")</f>
        <v>0</v>
      </c>
      <c r="BO24" s="188">
        <f>IF(ISNUMBER(BO11),ROUND(BO11+BO14+BO17+N(BO20)-BO23,1),"")</f>
        <v>0</v>
      </c>
      <c r="BP24" s="188">
        <f>IF(ISNUMBER(BP11),ROUND(BP11+BP14+BP17+N(BP20)-BP23,1),"")</f>
        <v>0</v>
      </c>
      <c r="BQ24" s="188">
        <f>IF(ISNUMBER(BQ11),ROUND(BQ11+BQ14+BQ17+N(BQ20)-BQ23,1),"")</f>
        <v>0</v>
      </c>
      <c r="BR24" s="188">
        <f>IF(ISNUMBER(BR11),ROUND(BR11+BR14+BR17+N(BR20)-BR23,1),"")</f>
        <v>0</v>
      </c>
      <c r="BS24" s="188">
        <f>IF(ISNUMBER(BS11),ROUND(BS11+BS14+BS17+N(BS20)-BS23,1),"")</f>
        <v>0</v>
      </c>
      <c r="BT24" s="188">
        <f>IF(ISNUMBER(BT11),ROUND(BT11+BT14+BT17+N(BT20)-BT23,1),"")</f>
        <v>0</v>
      </c>
      <c r="BU24" s="188">
        <f>IF(ISNUMBER(BU11),ROUND(BU11+BU14+BU17+N(BU20)-BU23,1),"")</f>
        <v>0</v>
      </c>
      <c r="BV24" s="188">
        <f>IF(ISNUMBER(BV11),ROUND(BV11+BV14+BV17+N(BV20)-BV23,1),"")</f>
        <v>0</v>
      </c>
      <c r="BW24" s="188">
        <f>IF(ISNUMBER(BW11),ROUND(BW11+BW14+BW17+N(BW20)-BW23,1),"")</f>
        <v>0</v>
      </c>
      <c r="BX24" s="188">
        <f>IF(ISNUMBER(BX11),ROUND(BX11+BX14+BX17+N(BX20)-BX23,1),"")</f>
        <v>0</v>
      </c>
      <c r="BY24" s="189" t="n"/>
      <c r="BZ24" s="189" t="n"/>
      <c r="CA24" s="189" t="n"/>
      <c r="CB24" s="189" t="n"/>
      <c r="CC24" s="189" t="n"/>
      <c r="CD24" s="189" t="n"/>
      <c r="CE24" s="189" t="n"/>
      <c r="CF24" s="177" t="n"/>
      <c r="CN24" s="26" t="inlineStr">
        <is>
          <t xml:space="preserve">  Proceeds from sale &amp; disposal of fixed assets ($m)</t>
        </is>
      </c>
      <c r="CP24" s="180" t="n">
        <v>15</v>
      </c>
      <c r="CR24" s="14" t="inlineStr">
        <is>
          <t>Guidance reconciliation.</t>
        </is>
      </c>
    </row>
    <row r="25" hidden="1" outlineLevel="2" ht="15" customHeight="1">
      <c r="B25" s="26" t="inlineStr">
        <is>
          <t xml:space="preserve">  Intersegment revenues (expenses), net</t>
        </is>
      </c>
      <c r="C25" s="184" t="n"/>
      <c r="D25" s="184" t="n"/>
      <c r="E25" s="184" t="n"/>
      <c r="F25" s="184" t="n"/>
      <c r="G25" s="184" t="n"/>
      <c r="H25" s="184" t="n"/>
      <c r="I25" s="184" t="n"/>
      <c r="J25" s="184" t="n"/>
      <c r="K25" s="184" t="n"/>
      <c r="L25" s="184" t="n"/>
      <c r="M25" s="184" t="n"/>
      <c r="N25" s="184" t="n"/>
      <c r="O25" s="184" t="n"/>
      <c r="P25" s="184" t="n"/>
      <c r="Q25" s="184" t="n"/>
      <c r="R25" s="184" t="n"/>
      <c r="S25" s="184" t="n"/>
      <c r="T25" s="184" t="n"/>
      <c r="U25" s="184" t="n"/>
      <c r="V25" s="184" t="n"/>
      <c r="W25" s="184" t="n"/>
      <c r="X25" s="184" t="n"/>
      <c r="Y25" s="184" t="n"/>
      <c r="Z25" s="184" t="n"/>
      <c r="AA25" s="184" t="n"/>
      <c r="AB25" s="184" t="n"/>
      <c r="AC25" s="184" t="n"/>
      <c r="AD25" s="185" t="n">
        <v>32.989</v>
      </c>
      <c r="AE25" s="185" t="n">
        <v>31.959</v>
      </c>
      <c r="AF25" s="185" t="n">
        <v>32.518</v>
      </c>
      <c r="AG25" s="185" t="n">
        <v>31.308</v>
      </c>
      <c r="AH25" s="185" t="n">
        <v>128.774</v>
      </c>
      <c r="AI25" s="185" t="n">
        <v>32.759</v>
      </c>
      <c r="AJ25" s="185" t="n">
        <v>34.898</v>
      </c>
      <c r="AK25" s="185" t="n">
        <v>34.167</v>
      </c>
      <c r="AL25" s="185" t="n">
        <v>35.527</v>
      </c>
      <c r="AM25" s="185" t="n">
        <v>137.351</v>
      </c>
      <c r="AN25" s="185" t="n">
        <v>35.324</v>
      </c>
      <c r="AO25" s="185" t="n">
        <v>36.782</v>
      </c>
      <c r="AP25" s="185" t="n">
        <v>36.75</v>
      </c>
      <c r="AQ25" s="185" t="n">
        <v>35.849</v>
      </c>
      <c r="AR25" s="185" t="n">
        <v>144.705</v>
      </c>
      <c r="AS25" s="185" t="n">
        <v>38.258</v>
      </c>
      <c r="AT25" s="185" t="n">
        <v>32.56</v>
      </c>
      <c r="AU25" s="185" t="n">
        <v>29.787</v>
      </c>
      <c r="AV25" s="185" t="n">
        <v>32.62</v>
      </c>
      <c r="AW25" s="185" t="n">
        <v>133.225</v>
      </c>
      <c r="AX25" s="185" t="n">
        <v>1.724</v>
      </c>
      <c r="AY25" s="185" t="n">
        <v>0.95</v>
      </c>
      <c r="AZ25" s="185" t="n">
        <v>1.802</v>
      </c>
      <c r="BA25" s="185" t="n">
        <v>2.071</v>
      </c>
      <c r="BB25" s="185" t="n">
        <v>6.547</v>
      </c>
      <c r="BC25" s="185" t="n">
        <v>6.647</v>
      </c>
      <c r="BD25" s="185" t="n">
        <v>6.237</v>
      </c>
      <c r="BE25" s="185" t="n">
        <v>6.452</v>
      </c>
      <c r="BF25" s="185" t="n">
        <v>7.397</v>
      </c>
      <c r="BG25" s="185" t="n">
        <v>26.733</v>
      </c>
      <c r="BH25" s="185" t="n">
        <v>9.759</v>
      </c>
      <c r="BI25" s="185" t="n">
        <v>10.554</v>
      </c>
      <c r="BJ25" s="185" t="n">
        <v>11.084</v>
      </c>
      <c r="BK25" s="185" t="n">
        <v>10.136</v>
      </c>
      <c r="BL25" s="185" t="n">
        <v>41.533</v>
      </c>
      <c r="BM25" s="185" t="n">
        <v>11.231</v>
      </c>
      <c r="BN25" s="185" t="n">
        <v>12.085</v>
      </c>
      <c r="BO25" s="185" t="n">
        <v>9.537000000000001</v>
      </c>
      <c r="BP25" s="185" t="n">
        <v>11.569</v>
      </c>
      <c r="BQ25" s="185" t="n">
        <v>44.422</v>
      </c>
      <c r="BR25" s="185" t="n">
        <v>2.075</v>
      </c>
      <c r="BS25" s="185" t="n">
        <v>21.976</v>
      </c>
      <c r="BT25" s="185" t="n">
        <v>12.72</v>
      </c>
      <c r="BU25" s="185" t="n">
        <v>10.165</v>
      </c>
      <c r="BV25" s="185" t="n">
        <v>46.936</v>
      </c>
      <c r="BW25" s="185" t="n">
        <v>10.078</v>
      </c>
      <c r="BX25" s="185" t="n">
        <v>12.031</v>
      </c>
      <c r="BY25" s="186">
        <f>AVERAGE(BW25,BX25)</f>
        <v>11.0545</v>
      </c>
      <c r="BZ25" s="186">
        <f>AVERAGE(BW25,BX25)</f>
        <v>11.0545</v>
      </c>
      <c r="CA25" s="186">
        <f>SUM(BW25,BX25,BY25,BZ25)</f>
        <v>44.218</v>
      </c>
      <c r="CB25" s="186">
        <f>CB23*CB26</f>
        <v>46.89407285344</v>
      </c>
      <c r="CC25" s="186">
        <f>CC23*CC26</f>
        <v>49.6671320473814</v>
      </c>
      <c r="CD25" s="186">
        <f>CD23*CD26</f>
        <v>52.4246585761627</v>
      </c>
      <c r="CE25" s="186">
        <f>CE23*CE26</f>
        <v>55.2419796529758</v>
      </c>
      <c r="CF25" s="20" t="inlineStr">
        <is>
          <t>Net revenue for disposal/recycling of SKSS-collected waste. Q3/Q4-26E: 1H/26 quarterly average; 2027E+: 2026E % of ES third-party revenues.</t>
        </is>
      </c>
      <c r="CN25" s="26" t="inlineStr">
        <is>
          <t xml:space="preserve">  2H/26 share repurchases ($m)</t>
        </is>
      </c>
      <c r="CO25" s="180" t="n">
        <v>100</v>
      </c>
      <c r="CP25" s="180" t="n">
        <v>50</v>
      </c>
      <c r="CQ25" s="180" t="n">
        <v>0</v>
      </c>
      <c r="CR25" s="14" t="inlineStr">
        <is>
          <t>Q2/26 $25m; 1H/26 $52m. Base: Q2 pace maintained alongside ~$0.8bn of deal funding.</t>
        </is>
      </c>
    </row>
    <row r="26" hidden="1" outlineLevel="2" ht="15" customHeight="1">
      <c r="B26" s="26" t="inlineStr">
        <is>
          <t xml:space="preserve">  Intersegment % of ES third-party revenues</t>
        </is>
      </c>
      <c r="C26" s="181" t="n"/>
      <c r="D26" s="181" t="n"/>
      <c r="E26" s="181" t="n"/>
      <c r="F26" s="181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81" t="n"/>
      <c r="U26" s="181" t="n"/>
      <c r="V26" s="181" t="n"/>
      <c r="W26" s="181" t="n"/>
      <c r="X26" s="181" t="n"/>
      <c r="Y26" s="181" t="n"/>
      <c r="Z26" s="181" t="n"/>
      <c r="AA26" s="181" t="n"/>
      <c r="AB26" s="181" t="n"/>
      <c r="AC26" s="181" t="n"/>
      <c r="AD26" s="190">
        <f>IF(AND(ISNUMBER(AD25),ISNUMBER(AD23)),IFERROR(AD25/AD23,""),"")</f>
        <v>0.0833251243347554</v>
      </c>
      <c r="AE26" s="190">
        <f>IF(AND(ISNUMBER(AE25),ISNUMBER(AE23)),IFERROR(AE25/AE23,""),"")</f>
        <v>0.0710782841930383</v>
      </c>
      <c r="AF26" s="190">
        <f>IF(AND(ISNUMBER(AF25),ISNUMBER(AF23)),IFERROR(AF25/AF23,""),"")</f>
        <v>0.0738771773184025</v>
      </c>
      <c r="AG26" s="190">
        <f>IF(AND(ISNUMBER(AG25),ISNUMBER(AG23)),IFERROR(AG25/AG23,""),"")</f>
        <v>0.0706728457626315</v>
      </c>
      <c r="AH26" s="190">
        <f>IF(AND(ISNUMBER(AH25),ISNUMBER(AH23)),IFERROR(AH25/AH23,""),"")</f>
        <v>0.0744918146584138</v>
      </c>
      <c r="AI26" s="190">
        <f>IF(AND(ISNUMBER(AI25),ISNUMBER(AI23)),IFERROR(AI25/AI23,""),"")</f>
        <v>0.0745051036189298</v>
      </c>
      <c r="AJ26" s="190">
        <f>IF(AND(ISNUMBER(AJ25),ISNUMBER(AJ23)),IFERROR(AJ25/AJ23,""),"")</f>
        <v>0.0671223813077497</v>
      </c>
      <c r="AK26" s="190">
        <f>IF(AND(ISNUMBER(AK25),ISNUMBER(AK23)),IFERROR(AK25/AK23,""),"")</f>
        <v>0.067150406927496</v>
      </c>
      <c r="AL26" s="190">
        <f>IF(AND(ISNUMBER(AL25),ISNUMBER(AL23)),IFERROR(AL25/AL23,""),"")</f>
        <v>0.0663527733057416</v>
      </c>
      <c r="AM26" s="190">
        <f>IF(AND(ISNUMBER(AM25),ISNUMBER(AM23)),IFERROR(AM25/AM23,""),"")</f>
        <v>0.0685437931015554</v>
      </c>
      <c r="AN26" s="190">
        <f>IF(AND(ISNUMBER(AN25),ISNUMBER(AN23)),IFERROR(AN25/AN23,""),"")</f>
        <v>0.07457071805243</v>
      </c>
      <c r="AO26" s="190">
        <f>IF(AND(ISNUMBER(AO25),ISNUMBER(AO23)),IFERROR(AO25/AO23,""),"")</f>
        <v>0.0698886933919064</v>
      </c>
      <c r="AP26" s="190">
        <f>IF(AND(ISNUMBER(AP25),ISNUMBER(AP23)),IFERROR(AP25/AP23,""),"")</f>
        <v>0.0668033636175248</v>
      </c>
      <c r="AQ26" s="190">
        <f>IF(AND(ISNUMBER(AQ25),ISNUMBER(AQ23)),IFERROR(AQ25/AQ23,""),"")</f>
        <v>0.0661116940741246</v>
      </c>
      <c r="AR26" s="190">
        <f>IF(AND(ISNUMBER(AR25),ISNUMBER(AR23)),IFERROR(AR25/AR23,""),"")</f>
        <v>0.0691586498136318</v>
      </c>
      <c r="AS26" s="190">
        <f>IF(AND(ISNUMBER(AS25),ISNUMBER(AS23)),IFERROR(AS25/AS23,""),"")</f>
        <v>0.0724440640479905</v>
      </c>
      <c r="AT26" s="190">
        <f>IF(AND(ISNUMBER(AT25),ISNUMBER(AT23)),IFERROR(AT25/AT23,""),"")</f>
        <v>0.0701189178945374</v>
      </c>
      <c r="AU26" s="190">
        <f>IF(AND(ISNUMBER(AU25),ISNUMBER(AU23)),IFERROR(AU25/AU23,""),"")</f>
        <v>0.0597912815170329</v>
      </c>
      <c r="AV26" s="190">
        <f>IF(AND(ISNUMBER(AV25),ISNUMBER(AV23)),IFERROR(AV25/AV23,""),"")</f>
        <v>0.0635322530383297</v>
      </c>
      <c r="AW26" s="190">
        <f>IF(AND(ISNUMBER(AW25),ISNUMBER(AW23)),IFERROR(AW25/AW23,""),"")</f>
        <v>0.0664768539794549</v>
      </c>
      <c r="AX26" s="190">
        <f>IF(AND(ISNUMBER(AX25),ISNUMBER(AX23)),IFERROR(AX25/AX23,""),"")</f>
        <v>0.0026406158577866</v>
      </c>
      <c r="AY26" s="190">
        <f>IF(AND(ISNUMBER(AY25),ISNUMBER(AY23)),IFERROR(AY25/AY23,""),"")</f>
        <v>0.00131370246989893</v>
      </c>
      <c r="AZ26" s="190">
        <f>IF(AND(ISNUMBER(AZ25),ISNUMBER(AZ23)),IFERROR(AZ25/AZ23,""),"")</f>
        <v>0.00242259330412419</v>
      </c>
      <c r="BA26" s="190">
        <f>IF(AND(ISNUMBER(BA25),ISNUMBER(BA23)),IFERROR(BA25/BA23,""),"")</f>
        <v>0.00228574329701088</v>
      </c>
      <c r="BB26" s="190">
        <f>IF(AND(ISNUMBER(BB25),ISNUMBER(BB23)),IFERROR(BB25/BB23,""),"")</f>
        <v>0.00216364878365396</v>
      </c>
      <c r="BC26" s="190">
        <f>IF(AND(ISNUMBER(BC25),ISNUMBER(BC23)),IFERROR(BC25/BC23,""),"")</f>
        <v>0.00706527862516715</v>
      </c>
      <c r="BD26" s="190">
        <f>IF(AND(ISNUMBER(BD25),ISNUMBER(BD23)),IFERROR(BD25/BD23,""),"")</f>
        <v>0.00575100552694038</v>
      </c>
      <c r="BE26" s="190">
        <f>IF(AND(ISNUMBER(BE25),ISNUMBER(BE23)),IFERROR(BE25/BE23,""),"")</f>
        <v>0.00597389706971645</v>
      </c>
      <c r="BF26" s="190">
        <f>IF(AND(ISNUMBER(BF25),ISNUMBER(BF23)),IFERROR(BF25/BF23,""),"")</f>
        <v>0.00711498340286081</v>
      </c>
      <c r="BG26" s="190">
        <f>IF(AND(ISNUMBER(BG25),ISNUMBER(BG23)),IFERROR(BG25/BG23,""),"")</f>
        <v>0.00644949918853512</v>
      </c>
      <c r="BH26" s="190">
        <f>IF(AND(ISNUMBER(BH25),ISNUMBER(BH23)),IFERROR(BH25/BH23,""),"")</f>
        <v>0.00919808253108912</v>
      </c>
      <c r="BI26" s="190">
        <f>IF(AND(ISNUMBER(BI25),ISNUMBER(BI23)),IFERROR(BI25/BI23,""),"")</f>
        <v>0.00908666686181964</v>
      </c>
      <c r="BJ26" s="190">
        <f>IF(AND(ISNUMBER(BJ25),ISNUMBER(BJ23)),IFERROR(BJ25/BJ23,""),"")</f>
        <v>0.00976323881618527</v>
      </c>
      <c r="BK26" s="190">
        <f>IF(AND(ISNUMBER(BK25),ISNUMBER(BK23)),IFERROR(BK25/BK23,""),"")</f>
        <v>0.00911374740821064</v>
      </c>
      <c r="BL26" s="190">
        <f>IF(AND(ISNUMBER(BL25),ISNUMBER(BL23)),IFERROR(BL25/BL23,""),"")</f>
        <v>0.00929168804107645</v>
      </c>
      <c r="BM26" s="190">
        <f>IF(AND(ISNUMBER(BM25),ISNUMBER(BM23)),IFERROR(BM25/BM23,""),"")</f>
        <v>0.00967123318341243</v>
      </c>
      <c r="BN26" s="190">
        <f>IF(AND(ISNUMBER(BN25),ISNUMBER(BN23)),IFERROR(BN25/BN23,""),"")</f>
        <v>0.00931551578742895</v>
      </c>
      <c r="BO26" s="190">
        <f>IF(AND(ISNUMBER(BO25),ISNUMBER(BO23)),IFERROR(BO25/BO23,""),"")</f>
        <v>0.00740651574573836</v>
      </c>
      <c r="BP26" s="190">
        <f>IF(AND(ISNUMBER(BP25),ISNUMBER(BP23)),IFERROR(BP25/BP23,""),"")</f>
        <v>0.00952888481819425</v>
      </c>
      <c r="BQ26" s="190">
        <f>IF(AND(ISNUMBER(BQ25),ISNUMBER(BQ23)),IFERROR(BQ25/BQ23,""),"")</f>
        <v>0.00895546158769839</v>
      </c>
      <c r="BR26" s="190">
        <f>IF(AND(ISNUMBER(BR25),ISNUMBER(BR23)),IFERROR(BR25/BR23,""),"")</f>
        <v>0.00171908423761307</v>
      </c>
      <c r="BS26" s="190">
        <f>IF(AND(ISNUMBER(BS25),ISNUMBER(BS23)),IFERROR(BS25/BS23,""),"")</f>
        <v>0.0165225753143282</v>
      </c>
      <c r="BT26" s="190">
        <f>IF(AND(ISNUMBER(BT25),ISNUMBER(BT23)),IFERROR(BT25/BT23,""),"")</f>
        <v>0.00964674119128153</v>
      </c>
      <c r="BU26" s="190">
        <f>IF(AND(ISNUMBER(BU25),ISNUMBER(BU23)),IFERROR(BU25/BU23,""),"")</f>
        <v>0.00787571173887812</v>
      </c>
      <c r="BV26" s="190">
        <f>IF(AND(ISNUMBER(BV25),ISNUMBER(BV23)),IFERROR(BV25/BV23,""),"")</f>
        <v>0.00912024318575831</v>
      </c>
      <c r="BW26" s="190">
        <f>IF(AND(ISNUMBER(BW25),ISNUMBER(BW23)),IFERROR(BW25/BW23,""),"")</f>
        <v>0.00811140586970239</v>
      </c>
      <c r="BX26" s="190">
        <f>IF(AND(ISNUMBER(BX25),ISNUMBER(BX23)),IFERROR(BX25/BX23,""),"")</f>
        <v>0.00832864900189127</v>
      </c>
      <c r="BY26" s="179">
        <f>IF(AND(ISNUMBER(BY25),ISNUMBER(BY23)),IFERROR(BY25/BY23,""),"")</f>
        <v>0.00773021221612545</v>
      </c>
      <c r="BZ26" s="179">
        <f>IF(AND(ISNUMBER(BZ25),ISNUMBER(BZ23)),IFERROR(BZ25/BZ23,""),"")</f>
        <v>0.00797482504747364</v>
      </c>
      <c r="CA26" s="179">
        <f>IF(AND(ISNUMBER(CA25),ISNUMBER(CA23)),IFERROR(CA25/CA23,""),"")</f>
        <v>0.00803497174114176</v>
      </c>
      <c r="CB26" s="179">
        <f>$CA$26</f>
        <v>0.00803497174114176</v>
      </c>
      <c r="CC26" s="179">
        <f>$CA$26</f>
        <v>0.00803497174114176</v>
      </c>
      <c r="CD26" s="179">
        <f>$CA$26</f>
        <v>0.00803497174114176</v>
      </c>
      <c r="CE26" s="179">
        <f>$CA$26</f>
        <v>0.00803497174114176</v>
      </c>
      <c r="CF26" s="20" t="n"/>
      <c r="CN26" s="26" t="inlineStr">
        <is>
          <t xml:space="preserve">  Pending-deal run-rate cost synergies ($m)</t>
        </is>
      </c>
      <c r="CP26" s="180" t="n">
        <v>30</v>
      </c>
      <c r="CR26" s="14" t="inlineStr">
        <is>
          <t>EnviroServe ~$25m (within two years) + ES&amp;H ~$5m (after first full year).</t>
        </is>
      </c>
    </row>
    <row r="27" hidden="1" outlineLevel="2" ht="15" customHeight="1">
      <c r="B27" s="17" t="inlineStr">
        <is>
          <t xml:space="preserve">  ES direct revenues (segment revenues)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175" t="n">
        <v>428.896</v>
      </c>
      <c r="AE27" s="175" t="n">
        <v>481.59</v>
      </c>
      <c r="AF27" s="175" t="n">
        <v>472.681</v>
      </c>
      <c r="AG27" s="175" t="n">
        <v>474.307</v>
      </c>
      <c r="AH27" s="175" t="n">
        <v>1857.474</v>
      </c>
      <c r="AI27" s="175" t="n">
        <v>472.447</v>
      </c>
      <c r="AJ27" s="175" t="n">
        <v>554.814</v>
      </c>
      <c r="AK27" s="175" t="n">
        <v>542.98</v>
      </c>
      <c r="AL27" s="175" t="n">
        <v>570.953</v>
      </c>
      <c r="AM27" s="175" t="n">
        <v>2141.194</v>
      </c>
      <c r="AN27" s="175" t="n">
        <v>509.022</v>
      </c>
      <c r="AO27" s="175" t="n">
        <v>563.076</v>
      </c>
      <c r="AP27" s="175" t="n">
        <v>586.872</v>
      </c>
      <c r="AQ27" s="175" t="n">
        <v>578.098</v>
      </c>
      <c r="AR27" s="175" t="n">
        <v>2237.068</v>
      </c>
      <c r="AS27" s="175" t="n">
        <v>566.362</v>
      </c>
      <c r="AT27" s="175" t="n">
        <v>496.914</v>
      </c>
      <c r="AU27" s="175" t="n">
        <v>527.97</v>
      </c>
      <c r="AV27" s="175" t="n">
        <v>546.0599999999999</v>
      </c>
      <c r="AW27" s="175" t="n">
        <v>2137.306</v>
      </c>
      <c r="AX27" s="175" t="n">
        <v>654.602</v>
      </c>
      <c r="AY27" s="175" t="n">
        <v>724.097</v>
      </c>
      <c r="AZ27" s="175" t="n">
        <v>745.633</v>
      </c>
      <c r="BA27" s="175" t="n">
        <v>908.122</v>
      </c>
      <c r="BB27" s="175" t="n">
        <v>3032.454</v>
      </c>
      <c r="BC27" s="175" t="n">
        <v>947.4450000000001</v>
      </c>
      <c r="BD27" s="175" t="n">
        <v>1090.743</v>
      </c>
      <c r="BE27" s="175" t="n">
        <v>1086.484</v>
      </c>
      <c r="BF27" s="175" t="n">
        <v>1047.034</v>
      </c>
      <c r="BG27" s="175" t="n">
        <v>4171.706</v>
      </c>
      <c r="BH27" s="175" t="n">
        <v>1070.741</v>
      </c>
      <c r="BI27" s="175" t="n">
        <v>1172.036</v>
      </c>
      <c r="BJ27" s="175" t="n">
        <v>1146.363</v>
      </c>
      <c r="BK27" s="175" t="n">
        <v>1122.302</v>
      </c>
      <c r="BL27" s="175" t="n">
        <v>4511.442</v>
      </c>
      <c r="BM27" s="175" t="n">
        <v>1172.51</v>
      </c>
      <c r="BN27" s="175" t="n">
        <v>1309.383</v>
      </c>
      <c r="BO27" s="175" t="n">
        <v>1297.187</v>
      </c>
      <c r="BP27" s="175" t="n">
        <v>1225.667</v>
      </c>
      <c r="BQ27" s="175" t="n">
        <v>5004.747</v>
      </c>
      <c r="BR27" s="175" t="n">
        <v>1209.113</v>
      </c>
      <c r="BS27" s="175" t="n">
        <v>1352.035</v>
      </c>
      <c r="BT27" s="175" t="n">
        <v>1331.3</v>
      </c>
      <c r="BU27" s="175" t="n">
        <v>1300.842</v>
      </c>
      <c r="BV27" s="175" t="n">
        <v>5193.29</v>
      </c>
      <c r="BW27" s="175" t="n">
        <v>1252.526</v>
      </c>
      <c r="BX27" s="175" t="n">
        <v>1456.563</v>
      </c>
      <c r="BY27" s="176">
        <f>BY23+BY25</f>
        <v>1441.09286</v>
      </c>
      <c r="BZ27" s="176">
        <f>BZ23+BZ25</f>
        <v>1397.22911</v>
      </c>
      <c r="CA27" s="176">
        <f>SUM(BW27,BX27,BY27,BZ27)</f>
        <v>5547.41097</v>
      </c>
      <c r="CB27" s="176">
        <f>CB23+CB25</f>
        <v>5883.14021835344</v>
      </c>
      <c r="CC27" s="176">
        <f>CC23+CC25</f>
        <v>6231.03697969338</v>
      </c>
      <c r="CD27" s="176">
        <f>CD23+CD25</f>
        <v>6576.98507584942</v>
      </c>
      <c r="CE27" s="176">
        <f>CE23+CE25</f>
        <v>6930.4347535265</v>
      </c>
      <c r="CF27" s="177" t="n"/>
      <c r="CH27" s="21">
        <f>IFERROR((CE27/BV27)^(1/5)-1,"n/m")</f>
        <v>0.0594088116767331</v>
      </c>
      <c r="CI27" s="21">
        <f>IFERROR((BV27/AW27)^(1/5)-1,"n/m")</f>
        <v>0.194304789575804</v>
      </c>
      <c r="CJ27" s="21" t="str">
        <f>IFERROR((BV27/X27)^(1/10)-1,"n/m")</f>
        <v>n/m</v>
      </c>
      <c r="CK27" s="21" t="str">
        <f>IFERROR((BV27/C27)^(1/19)-1,"n/m")</f>
        <v>n/m</v>
      </c>
      <c r="CN27" s="26" t="inlineStr">
        <is>
          <t xml:space="preserve">  Minimum annual buyback programme 2027E+ ($m)</t>
        </is>
      </c>
      <c r="CP27" s="180" t="n">
        <v>150</v>
      </c>
      <c r="CR27" s="14" t="inlineStr">
        <is>
          <t>CLH repurchased $50–200m p.a. 2022–25; $549m authorisation remaining.</t>
        </is>
      </c>
    </row>
    <row r="28" hidden="1" outlineLevel="2" ht="15" customHeight="1">
      <c r="B28" s="23" t="inlineStr">
        <is>
          <t xml:space="preserve">  ES direct revenues y/y %</t>
        </is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178">
        <f>IF(AND(ISNUMBER(AI27),ISNUMBER(AD27)),IFERROR(AI27/AD27-1,""),"")</f>
        <v>0.101542098783854</v>
      </c>
      <c r="AJ28" s="178">
        <f>IF(AND(ISNUMBER(AJ27),ISNUMBER(AE27)),IFERROR(AJ27/AE27-1,""),"")</f>
        <v>0.152046346477294</v>
      </c>
      <c r="AK28" s="178">
        <f>IF(AND(ISNUMBER(AK27),ISNUMBER(AF27)),IFERROR(AK27/AF27-1,""),"")</f>
        <v>0.148723980866589</v>
      </c>
      <c r="AL28" s="178">
        <f>IF(AND(ISNUMBER(AL27),ISNUMBER(AG27)),IFERROR(AL27/AG27-1,""),"")</f>
        <v>0.203762541982303</v>
      </c>
      <c r="AM28" s="178">
        <f>IF(AND(ISNUMBER(AM27),ISNUMBER(AH27)),IFERROR(AM27/AH27-1,""),"")</f>
        <v>0.152745072070995</v>
      </c>
      <c r="AN28" s="178">
        <f>IF(AND(ISNUMBER(AN27),ISNUMBER(AI27)),IFERROR(AN27/AI27-1,""),"")</f>
        <v>0.0774160911170989</v>
      </c>
      <c r="AO28" s="178">
        <f>IF(AND(ISNUMBER(AO27),ISNUMBER(AJ27)),IFERROR(AO27/AJ27-1,""),"")</f>
        <v>0.0148914771436914</v>
      </c>
      <c r="AP28" s="178">
        <f>IF(AND(ISNUMBER(AP27),ISNUMBER(AK27)),IFERROR(AP27/AK27-1,""),"")</f>
        <v>0.0808353898854468</v>
      </c>
      <c r="AQ28" s="178">
        <f>IF(AND(ISNUMBER(AQ27),ISNUMBER(AL27)),IFERROR(AQ27/AL27-1,""),"")</f>
        <v>0.0125141649137495</v>
      </c>
      <c r="AR28" s="178">
        <f>IF(AND(ISNUMBER(AR27),ISNUMBER(AM27)),IFERROR(AR27/AM27-1,""),"")</f>
        <v>0.0447759521089637</v>
      </c>
      <c r="AS28" s="178">
        <f>IF(AND(ISNUMBER(AS27),ISNUMBER(AN27)),IFERROR(AS27/AN27-1,""),"")</f>
        <v>0.112647390486069</v>
      </c>
      <c r="AT28" s="178">
        <f>IF(AND(ISNUMBER(AT27),ISNUMBER(AO27)),IFERROR(AT27/AO27-1,""),"")</f>
        <v>-0.117501012296741</v>
      </c>
      <c r="AU28" s="178">
        <f>IF(AND(ISNUMBER(AU27),ISNUMBER(AP27)),IFERROR(AU27/AP27-1,""),"")</f>
        <v>-0.100366008260745</v>
      </c>
      <c r="AV28" s="178">
        <f>IF(AND(ISNUMBER(AV27),ISNUMBER(AQ27)),IFERROR(AV27/AQ27-1,""),"")</f>
        <v>-0.0554196693294217</v>
      </c>
      <c r="AW28" s="178">
        <f>IF(AND(ISNUMBER(AW27),ISNUMBER(AR27)),IFERROR(AW27/AR27-1,""),"")</f>
        <v>-0.0445949787847308</v>
      </c>
      <c r="AX28" s="178">
        <f>IF(AND(ISNUMBER(AX27),ISNUMBER(AS27)),IFERROR(AX27/AS27-1,""),"")</f>
        <v>0.155801413230408</v>
      </c>
      <c r="AY28" s="178">
        <f>IF(AND(ISNUMBER(AY27),ISNUMBER(AT27)),IFERROR(AY27/AT27-1,""),"")</f>
        <v>0.457187762872449</v>
      </c>
      <c r="AZ28" s="178">
        <f>IF(AND(ISNUMBER(AZ27),ISNUMBER(AU27)),IFERROR(AZ27/AU27-1,""),"")</f>
        <v>0.412263954391348</v>
      </c>
      <c r="BA28" s="178">
        <f>IF(AND(ISNUMBER(BA27),ISNUMBER(AV27)),IFERROR(BA27/AV27-1,""),"")</f>
        <v>0.663044354100282</v>
      </c>
      <c r="BB28" s="178">
        <f>IF(AND(ISNUMBER(BB27),ISNUMBER(AW27)),IFERROR(BB27/AW27-1,""),"")</f>
        <v>0.418820702323392</v>
      </c>
      <c r="BC28" s="178">
        <f>IF(AND(ISNUMBER(BC27),ISNUMBER(AX27)),IFERROR(BC27/AX27-1,""),"")</f>
        <v>0.447360380811547</v>
      </c>
      <c r="BD28" s="178">
        <f>IF(AND(ISNUMBER(BD27),ISNUMBER(AY27)),IFERROR(BD27/AY27-1,""),"")</f>
        <v>0.506349287457343</v>
      </c>
      <c r="BE28" s="178">
        <f>IF(AND(ISNUMBER(BE27),ISNUMBER(AZ27)),IFERROR(BE27/AZ27-1,""),"")</f>
        <v>0.457129713947746</v>
      </c>
      <c r="BF28" s="178">
        <f>IF(AND(ISNUMBER(BF27),ISNUMBER(BA27)),IFERROR(BF27/BA27-1,""),"")</f>
        <v>0.152966231409436</v>
      </c>
      <c r="BG28" s="178">
        <f>IF(AND(ISNUMBER(BG27),ISNUMBER(BB27)),IFERROR(BG27/BB27-1,""),"")</f>
        <v>0.375686490215515</v>
      </c>
      <c r="BH28" s="178">
        <f>IF(AND(ISNUMBER(BH27),ISNUMBER(BC27)),IFERROR(BH27/BC27-1,""),"")</f>
        <v>0.130135258511048</v>
      </c>
      <c r="BI28" s="178">
        <f>IF(AND(ISNUMBER(BI27),ISNUMBER(BD27)),IFERROR(BI27/BD27-1,""),"")</f>
        <v>0.0745299305152545</v>
      </c>
      <c r="BJ28" s="178">
        <f>IF(AND(ISNUMBER(BJ27),ISNUMBER(BE27)),IFERROR(BJ27/BE27-1,""),"")</f>
        <v>0.0551126385662377</v>
      </c>
      <c r="BK28" s="178">
        <f>IF(AND(ISNUMBER(BK27),ISNUMBER(BF27)),IFERROR(BK27/BF27-1,""),"")</f>
        <v>0.071886872823614</v>
      </c>
      <c r="BL28" s="178">
        <f>IF(AND(ISNUMBER(BL27),ISNUMBER(BG27)),IFERROR(BL27/BG27-1,""),"")</f>
        <v>0.0814381454493678</v>
      </c>
      <c r="BM28" s="178">
        <f>IF(AND(ISNUMBER(BM27),ISNUMBER(BH27)),IFERROR(BM27/BH27-1,""),"")</f>
        <v>0.0950453937973796</v>
      </c>
      <c r="BN28" s="178">
        <f>IF(AND(ISNUMBER(BN27),ISNUMBER(BI27)),IFERROR(BN27/BI27-1,""),"")</f>
        <v>0.117186673446891</v>
      </c>
      <c r="BO28" s="178">
        <f>IF(AND(ISNUMBER(BO27),ISNUMBER(BJ27)),IFERROR(BO27/BJ27-1,""),"")</f>
        <v>0.131567400552879</v>
      </c>
      <c r="BP28" s="178">
        <f>IF(AND(ISNUMBER(BP27),ISNUMBER(BK27)),IFERROR(BP27/BK27-1,""),"")</f>
        <v>0.0921008783732009</v>
      </c>
      <c r="BQ28" s="178">
        <f>IF(AND(ISNUMBER(BQ27),ISNUMBER(BL27)),IFERROR(BQ27/BL27-1,""),"")</f>
        <v>0.109345304671987</v>
      </c>
      <c r="BR28" s="178">
        <f>IF(AND(ISNUMBER(BR27),ISNUMBER(BM27)),IFERROR(BR27/BM27-1,""),"")</f>
        <v>0.0312176441991967</v>
      </c>
      <c r="BS28" s="178">
        <f>IF(AND(ISNUMBER(BS27),ISNUMBER(BN27)),IFERROR(BS27/BN27-1,""),"")</f>
        <v>0.032574120788188</v>
      </c>
      <c r="BT28" s="178">
        <f>IF(AND(ISNUMBER(BT27),ISNUMBER(BO27)),IFERROR(BT27/BO27-1,""),"")</f>
        <v>0.026297673350103</v>
      </c>
      <c r="BU28" s="178">
        <f>IF(AND(ISNUMBER(BU27),ISNUMBER(BP27)),IFERROR(BU27/BP27-1,""),"")</f>
        <v>0.0613339512281885</v>
      </c>
      <c r="BV28" s="178">
        <f>IF(AND(ISNUMBER(BV27),ISNUMBER(BQ27)),IFERROR(BV27/BQ27-1,""),"")</f>
        <v>0.0376728334119587</v>
      </c>
      <c r="BW28" s="178">
        <f>IF(AND(ISNUMBER(BW27),ISNUMBER(BR27)),IFERROR(BW27/BR27-1,""),"")</f>
        <v>0.0359048327162144</v>
      </c>
      <c r="BX28" s="178">
        <f>IF(AND(ISNUMBER(BX27),ISNUMBER(BS27)),IFERROR(BX27/BS27-1,""),"")</f>
        <v>0.0773116080574838</v>
      </c>
      <c r="BY28" s="179">
        <f>IFERROR(BY27/BT27-1,"")</f>
        <v>0.0824704123788778</v>
      </c>
      <c r="BZ28" s="179">
        <f>IFERROR(BZ27/BU27-1,"")</f>
        <v>0.0740959393992506</v>
      </c>
      <c r="CA28" s="179">
        <f>IFERROR(CA27/BV27-1,"")</f>
        <v>0.0681881755110922</v>
      </c>
      <c r="CB28" s="179">
        <f>IFERROR(CB27/CA27-1,"")</f>
        <v>0.0605199885440324</v>
      </c>
      <c r="CC28" s="179">
        <f>IFERROR(CC27/CB27-1,"")</f>
        <v>0.0591345350319239</v>
      </c>
      <c r="CD28" s="179">
        <f>IFERROR(CD27/CC27-1,"")</f>
        <v>0.0555201481364125</v>
      </c>
      <c r="CE28" s="179">
        <f>IFERROR(CE27/CD27-1,"")</f>
        <v>0.0537403800679028</v>
      </c>
      <c r="CF28" s="20" t="n"/>
      <c r="CN28" s="26" t="inlineStr">
        <is>
          <t xml:space="preserve">  Minimum net debt / Adjusted EBITDA (x) — buyback floor 2027E+</t>
        </is>
      </c>
      <c r="CO28" s="191" t="n">
        <v>2</v>
      </c>
      <c r="CP28" s="191" t="n">
        <v>1.75</v>
      </c>
      <c r="CQ28" s="191" t="n">
        <v>1.5</v>
      </c>
      <c r="CR28" s="14" t="inlineStr">
        <is>
          <t>Surplus cash above the floor returned via buybacks.</t>
        </is>
      </c>
    </row>
    <row r="29" hidden="1" outlineLevel="2" ht="15" customHeight="1">
      <c r="B29" s="17" t="inlineStr">
        <is>
          <t xml:space="preserve">  ES Adjusted EBITDA (segment profit measure)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  <c r="AC29" s="33" t="n"/>
      <c r="AD29" s="175" t="n">
        <v>60.19</v>
      </c>
      <c r="AE29" s="175" t="n">
        <v>94.83199999999999</v>
      </c>
      <c r="AF29" s="175" t="n">
        <v>86.505</v>
      </c>
      <c r="AG29" s="175" t="n">
        <v>79.783</v>
      </c>
      <c r="AH29" s="175" t="n">
        <v>321.31</v>
      </c>
      <c r="AI29" s="175" t="n">
        <v>61.417</v>
      </c>
      <c r="AJ29" s="175" t="n">
        <v>109.199</v>
      </c>
      <c r="AK29" s="175" t="n">
        <v>102.419</v>
      </c>
      <c r="AL29" s="175" t="n">
        <v>107.821</v>
      </c>
      <c r="AM29" s="175" t="n">
        <v>380.856</v>
      </c>
      <c r="AN29" s="175" t="n">
        <v>89.51000000000001</v>
      </c>
      <c r="AO29" s="175" t="n">
        <v>117.868</v>
      </c>
      <c r="AP29" s="175" t="n">
        <v>121.658</v>
      </c>
      <c r="AQ29" s="175" t="n">
        <v>117.248</v>
      </c>
      <c r="AR29" s="175" t="n">
        <v>446.284</v>
      </c>
      <c r="AS29" s="175" t="n">
        <v>108.914</v>
      </c>
      <c r="AT29" s="175" t="n">
        <v>138.083</v>
      </c>
      <c r="AU29" s="175" t="n">
        <v>140.854</v>
      </c>
      <c r="AV29" s="175" t="n">
        <v>132.109</v>
      </c>
      <c r="AW29" s="175" t="n">
        <v>519.96</v>
      </c>
      <c r="AX29" s="175" t="n">
        <v>140.254</v>
      </c>
      <c r="AY29" s="175" t="n">
        <v>176.041</v>
      </c>
      <c r="AZ29" s="175" t="n">
        <v>166.471</v>
      </c>
      <c r="BA29" s="175" t="n">
        <v>176.952</v>
      </c>
      <c r="BB29" s="175" t="n">
        <v>659.718</v>
      </c>
      <c r="BC29" s="175" t="n">
        <v>183.602</v>
      </c>
      <c r="BD29" s="175" t="n">
        <v>269.341</v>
      </c>
      <c r="BE29" s="175" t="n">
        <v>260.687</v>
      </c>
      <c r="BF29" s="175" t="n">
        <v>239.423</v>
      </c>
      <c r="BG29" s="175" t="n">
        <v>953.053</v>
      </c>
      <c r="BH29" s="175" t="n">
        <v>228.345</v>
      </c>
      <c r="BI29" s="175" t="n">
        <v>305.622</v>
      </c>
      <c r="BJ29" s="175" t="n">
        <v>288.982</v>
      </c>
      <c r="BK29" s="175" t="n">
        <v>278.659</v>
      </c>
      <c r="BL29" s="175" t="n">
        <v>1101.608</v>
      </c>
      <c r="BM29" s="175" t="n">
        <v>264.475</v>
      </c>
      <c r="BN29" s="175" t="n">
        <v>359.915</v>
      </c>
      <c r="BO29" s="175" t="n">
        <v>332.502</v>
      </c>
      <c r="BP29" s="175" t="n">
        <v>310.57</v>
      </c>
      <c r="BQ29" s="175" t="n">
        <v>1267.462</v>
      </c>
      <c r="BR29" s="175" t="n">
        <v>274.591</v>
      </c>
      <c r="BS29" s="175" t="n">
        <v>376.194</v>
      </c>
      <c r="BT29" s="175" t="n">
        <v>357.229</v>
      </c>
      <c r="BU29" s="175" t="n">
        <v>335.762</v>
      </c>
      <c r="BV29" s="175" t="n">
        <v>1343.776</v>
      </c>
      <c r="BW29" s="175" t="n">
        <v>290.401</v>
      </c>
      <c r="BX29" s="175" t="n">
        <v>406.104</v>
      </c>
      <c r="BY29" s="176">
        <f>BY27*BY31</f>
        <v>404.909673048769</v>
      </c>
      <c r="BZ29" s="176">
        <f>BZ27*BZ31</f>
        <v>378.305878076604</v>
      </c>
      <c r="CA29" s="176">
        <f>SUM(BW29,BX29,BY29,BZ29)</f>
        <v>1479.72055112537</v>
      </c>
      <c r="CB29" s="176">
        <f>CB27*CB31</f>
        <v>1623.74670026555</v>
      </c>
      <c r="CC29" s="176">
        <f>CC27*CC31</f>
        <v>1744.69035431415</v>
      </c>
      <c r="CD29" s="176">
        <f>CD27*CD31</f>
        <v>1867.86376154124</v>
      </c>
      <c r="CE29" s="176">
        <f>CE27*CE31</f>
        <v>1989.0347742621</v>
      </c>
      <c r="CF29" s="177" t="n"/>
      <c r="CH29" s="21">
        <f>IFERROR((CE29/BV29)^(1/5)-1,"n/m")</f>
        <v>0.0815910854747135</v>
      </c>
      <c r="CI29" s="21">
        <f>IFERROR((BV29/AW29)^(1/5)-1,"n/m")</f>
        <v>0.209125524127582</v>
      </c>
      <c r="CJ29" s="21" t="str">
        <f>IFERROR((BV29/X29)^(1/10)-1,"n/m")</f>
        <v>n/m</v>
      </c>
      <c r="CK29" s="21" t="str">
        <f>IFERROR((BV29/C29)^(1/19)-1,"n/m")</f>
        <v>n/m</v>
      </c>
    </row>
    <row r="30" hidden="1" outlineLevel="2" ht="15" customHeight="1">
      <c r="B30" s="26" t="inlineStr">
        <is>
          <t xml:space="preserve">  Adj. EBITDA margin before outlook calibration % (Q3/Q4-26E helper)</t>
        </is>
      </c>
      <c r="C30" s="181" t="n"/>
      <c r="D30" s="181" t="n"/>
      <c r="E30" s="181" t="n"/>
      <c r="F30" s="181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81" t="n"/>
      <c r="U30" s="181" t="n"/>
      <c r="V30" s="181" t="n"/>
      <c r="W30" s="181" t="n"/>
      <c r="X30" s="181" t="n"/>
      <c r="Y30" s="181" t="n"/>
      <c r="Z30" s="181" t="n"/>
      <c r="AA30" s="181" t="n"/>
      <c r="AB30" s="181" t="n"/>
      <c r="AC30" s="181" t="n"/>
      <c r="AD30" s="181" t="n"/>
      <c r="AE30" s="181" t="n"/>
      <c r="AF30" s="181" t="n"/>
      <c r="AG30" s="181" t="n"/>
      <c r="AH30" s="181" t="n"/>
      <c r="AI30" s="181" t="n"/>
      <c r="AJ30" s="181" t="n"/>
      <c r="AK30" s="181" t="n"/>
      <c r="AL30" s="181" t="n"/>
      <c r="AM30" s="181" t="n"/>
      <c r="AN30" s="181" t="n"/>
      <c r="AO30" s="181" t="n"/>
      <c r="AP30" s="181" t="n"/>
      <c r="AQ30" s="181" t="n"/>
      <c r="AR30" s="181" t="n"/>
      <c r="AS30" s="181" t="n"/>
      <c r="AT30" s="181" t="n"/>
      <c r="AU30" s="181" t="n"/>
      <c r="AV30" s="181" t="n"/>
      <c r="AW30" s="181" t="n"/>
      <c r="AX30" s="181" t="n"/>
      <c r="AY30" s="181" t="n"/>
      <c r="AZ30" s="181" t="n"/>
      <c r="BA30" s="181" t="n"/>
      <c r="BB30" s="181" t="n"/>
      <c r="BC30" s="181" t="n"/>
      <c r="BD30" s="181" t="n"/>
      <c r="BE30" s="181" t="n"/>
      <c r="BF30" s="181" t="n"/>
      <c r="BG30" s="181" t="n"/>
      <c r="BH30" s="181" t="n"/>
      <c r="BI30" s="181" t="n"/>
      <c r="BJ30" s="181" t="n"/>
      <c r="BK30" s="181" t="n"/>
      <c r="BL30" s="181" t="n"/>
      <c r="BM30" s="181" t="n"/>
      <c r="BN30" s="181" t="n"/>
      <c r="BO30" s="181" t="n"/>
      <c r="BP30" s="181" t="n"/>
      <c r="BQ30" s="181" t="n"/>
      <c r="BR30" s="181" t="n"/>
      <c r="BS30" s="181" t="n"/>
      <c r="BT30" s="181" t="n"/>
      <c r="BU30" s="181" t="n"/>
      <c r="BV30" s="181" t="n"/>
      <c r="BW30" s="181" t="n"/>
      <c r="BX30" s="181" t="n"/>
      <c r="BY30" s="179">
        <f>BT31+(BW29+BX29)/(BW27+BX27)-(BR29+BS29)/(BR27+BS27)</f>
        <v>0.271331353826951</v>
      </c>
      <c r="BZ30" s="179">
        <f>BU31+(BW29+BX29)/(BW27+BX27)-(BR29+BS29)/(BR27+BS27)</f>
        <v>0.261111683965763</v>
      </c>
      <c r="CA30" s="169" t="n"/>
      <c r="CB30" s="169" t="n"/>
      <c r="CC30" s="169" t="n"/>
      <c r="CD30" s="169" t="n"/>
      <c r="CE30" s="169" t="n"/>
      <c r="CF30" s="20" t="inlineStr">
        <is>
          <t>Prior-year quarter margin + 1H/26 y/y margin drift (1H/26 25.7% vs 1H/25 25.4%).</t>
        </is>
      </c>
      <c r="CN30" s="16" t="inlineStr">
        <is>
          <t>TS_growth (Technical Services revenues y/y)</t>
        </is>
      </c>
      <c r="CO30" s="192" t="n">
        <v>0.02</v>
      </c>
      <c r="CP30" s="22" t="inlineStr">
        <is>
          <t>Δ →</t>
        </is>
      </c>
      <c r="CQ30" s="192" t="n">
        <v>-0.02</v>
      </c>
      <c r="CR30" s="14" t="inlineStr">
        <is>
          <t>Incineration / landfill pricing + volumes (reshoring, PFAS, Kimball ramp); FY23–25 +11% / +11% / +7%.</t>
        </is>
      </c>
    </row>
    <row r="31" hidden="1" outlineLevel="2" ht="15" customHeight="1">
      <c r="B31" s="26" t="inlineStr">
        <is>
          <t xml:space="preserve">  ES Adjusted EBITDA margin % (on direct revenues)</t>
        </is>
      </c>
      <c r="C31" s="193" t="n"/>
      <c r="D31" s="193" t="n"/>
      <c r="E31" s="193" t="n"/>
      <c r="F31" s="193" t="n"/>
      <c r="G31" s="193" t="n"/>
      <c r="H31" s="193" t="n"/>
      <c r="I31" s="193" t="n"/>
      <c r="J31" s="193" t="n"/>
      <c r="K31" s="193" t="n"/>
      <c r="L31" s="193" t="n"/>
      <c r="M31" s="193" t="n"/>
      <c r="N31" s="193" t="n"/>
      <c r="O31" s="193" t="n"/>
      <c r="P31" s="193" t="n"/>
      <c r="Q31" s="193" t="n"/>
      <c r="R31" s="193" t="n"/>
      <c r="S31" s="193" t="n"/>
      <c r="T31" s="193" t="n"/>
      <c r="U31" s="193" t="n"/>
      <c r="V31" s="193" t="n"/>
      <c r="W31" s="193" t="n"/>
      <c r="X31" s="193" t="n"/>
      <c r="Y31" s="193" t="n"/>
      <c r="Z31" s="193" t="n"/>
      <c r="AA31" s="193" t="n"/>
      <c r="AB31" s="193" t="n"/>
      <c r="AC31" s="193" t="n"/>
      <c r="AD31" s="190">
        <f>IF(AND(ISNUMBER(AD29),ISNUMBER(AD27)),IFERROR(AD29/AD27,""),"")</f>
        <v>0.140337051406402</v>
      </c>
      <c r="AE31" s="190">
        <f>IF(AND(ISNUMBER(AE29),ISNUMBER(AE27)),IFERROR(AE29/AE27,""),"")</f>
        <v>0.196914387757221</v>
      </c>
      <c r="AF31" s="190">
        <f>IF(AND(ISNUMBER(AF29),ISNUMBER(AF27)),IFERROR(AF29/AF27,""),"")</f>
        <v>0.183009259944868</v>
      </c>
      <c r="AG31" s="190">
        <f>IF(AND(ISNUMBER(AG29),ISNUMBER(AG27)),IFERROR(AG29/AG27,""),"")</f>
        <v>0.16820961950804</v>
      </c>
      <c r="AH31" s="190">
        <f>IF(AND(ISNUMBER(AH29),ISNUMBER(AH27)),IFERROR(AH29/AH27,""),"")</f>
        <v>0.172982232860325</v>
      </c>
      <c r="AI31" s="190">
        <f>IF(AND(ISNUMBER(AI29),ISNUMBER(AI27)),IFERROR(AI29/AI27,""),"")</f>
        <v>0.129997650530112</v>
      </c>
      <c r="AJ31" s="190">
        <f>IF(AND(ISNUMBER(AJ29),ISNUMBER(AJ27)),IFERROR(AJ29/AJ27,""),"")</f>
        <v>0.196820916559424</v>
      </c>
      <c r="AK31" s="190">
        <f>IF(AND(ISNUMBER(AK29),ISNUMBER(AK27)),IFERROR(AK29/AK27,""),"")</f>
        <v>0.188623890382703</v>
      </c>
      <c r="AL31" s="190">
        <f>IF(AND(ISNUMBER(AL29),ISNUMBER(AL27)),IFERROR(AL29/AL27,""),"")</f>
        <v>0.188843915348549</v>
      </c>
      <c r="AM31" s="190">
        <f>IF(AND(ISNUMBER(AM29),ISNUMBER(AM27)),IFERROR(AM29/AM27,""),"")</f>
        <v>0.177870851496875</v>
      </c>
      <c r="AN31" s="190">
        <f>IF(AND(ISNUMBER(AN29),ISNUMBER(AN27)),IFERROR(AN29/AN27,""),"")</f>
        <v>0.175847016435439</v>
      </c>
      <c r="AO31" s="190">
        <f>IF(AND(ISNUMBER(AO29),ISNUMBER(AO27)),IFERROR(AO29/AO27,""),"")</f>
        <v>0.209328758462446</v>
      </c>
      <c r="AP31" s="190">
        <f>IF(AND(ISNUMBER(AP29),ISNUMBER(AP27)),IFERROR(AP29/AP27,""),"")</f>
        <v>0.207299036246405</v>
      </c>
      <c r="AQ31" s="190">
        <f>IF(AND(ISNUMBER(AQ29),ISNUMBER(AQ27)),IFERROR(AQ29/AQ27,""),"")</f>
        <v>0.20281682344516</v>
      </c>
      <c r="AR31" s="190">
        <f>IF(AND(ISNUMBER(AR29),ISNUMBER(AR27)),IFERROR(AR29/AR27,""),"")</f>
        <v>0.199495053346613</v>
      </c>
      <c r="AS31" s="190">
        <f>IF(AND(ISNUMBER(AS29),ISNUMBER(AS27)),IFERROR(AS29/AS27,""),"")</f>
        <v>0.192304568456217</v>
      </c>
      <c r="AT31" s="190">
        <f>IF(AND(ISNUMBER(AT29),ISNUMBER(AT27)),IFERROR(AT29/AT27,""),"")</f>
        <v>0.277881082038341</v>
      </c>
      <c r="AU31" s="190">
        <f>IF(AND(ISNUMBER(AU29),ISNUMBER(AU27)),IFERROR(AU29/AU27,""),"")</f>
        <v>0.266784097581302</v>
      </c>
      <c r="AV31" s="190">
        <f>IF(AND(ISNUMBER(AV29),ISNUMBER(AV27)),IFERROR(AV29/AV27,""),"")</f>
        <v>0.241931289601875</v>
      </c>
      <c r="AW31" s="190">
        <f>IF(AND(ISNUMBER(AW29),ISNUMBER(AW27)),IFERROR(AW29/AW27,""),"")</f>
        <v>0.243278220339062</v>
      </c>
      <c r="AX31" s="190">
        <f>IF(AND(ISNUMBER(AX29),ISNUMBER(AX27)),IFERROR(AX29/AX27,""),"")</f>
        <v>0.214258434896319</v>
      </c>
      <c r="AY31" s="190">
        <f>IF(AND(ISNUMBER(AY29),ISNUMBER(AY27)),IFERROR(AY29/AY27,""),"")</f>
        <v>0.243117980049634</v>
      </c>
      <c r="AZ31" s="190">
        <f>IF(AND(ISNUMBER(AZ29),ISNUMBER(AZ27)),IFERROR(AZ29/AZ27,""),"")</f>
        <v>0.223261309518221</v>
      </c>
      <c r="BA31" s="190">
        <f>IF(AND(ISNUMBER(BA29),ISNUMBER(BA27)),IFERROR(BA29/BA27,""),"")</f>
        <v>0.19485487632719</v>
      </c>
      <c r="BB31" s="190">
        <f>IF(AND(ISNUMBER(BB29),ISNUMBER(BB27)),IFERROR(BB29/BB27,""),"")</f>
        <v>0.217552516872474</v>
      </c>
      <c r="BC31" s="190">
        <f>IF(AND(ISNUMBER(BC29),ISNUMBER(BC27)),IFERROR(BC29/BC27,""),"")</f>
        <v>0.193786446706669</v>
      </c>
      <c r="BD31" s="190">
        <f>IF(AND(ISNUMBER(BD29),ISNUMBER(BD27)),IFERROR(BD29/BD27,""),"")</f>
        <v>0.246933512293913</v>
      </c>
      <c r="BE31" s="190">
        <f>IF(AND(ISNUMBER(BE29),ISNUMBER(BE27)),IFERROR(BE29/BE27,""),"")</f>
        <v>0.239936345127954</v>
      </c>
      <c r="BF31" s="190">
        <f>IF(AND(ISNUMBER(BF29),ISNUMBER(BF27)),IFERROR(BF29/BF27,""),"")</f>
        <v>0.228667836956584</v>
      </c>
      <c r="BG31" s="190">
        <f>IF(AND(ISNUMBER(BG29),ISNUMBER(BG27)),IFERROR(BG29/BG27,""),"")</f>
        <v>0.228456415672629</v>
      </c>
      <c r="BH31" s="190">
        <f>IF(AND(ISNUMBER(BH29),ISNUMBER(BH27)),IFERROR(BH29/BH27,""),"")</f>
        <v>0.213258855316085</v>
      </c>
      <c r="BI31" s="190">
        <f>IF(AND(ISNUMBER(BI29),ISNUMBER(BI27)),IFERROR(BI29/BI27,""),"")</f>
        <v>0.260761614830944</v>
      </c>
      <c r="BJ31" s="190">
        <f>IF(AND(ISNUMBER(BJ29),ISNUMBER(BJ27)),IFERROR(BJ29/BJ27,""),"")</f>
        <v>0.252085944853419</v>
      </c>
      <c r="BK31" s="190">
        <f>IF(AND(ISNUMBER(BK29),ISNUMBER(BK27)),IFERROR(BK29/BK27,""),"")</f>
        <v>0.248292349118152</v>
      </c>
      <c r="BL31" s="190">
        <f>IF(AND(ISNUMBER(BL29),ISNUMBER(BL27)),IFERROR(BL29/BL27,""),"")</f>
        <v>0.244180907124596</v>
      </c>
      <c r="BM31" s="190">
        <f>IF(AND(ISNUMBER(BM29),ISNUMBER(BM27)),IFERROR(BM29/BM27,""),"")</f>
        <v>0.225563108203768</v>
      </c>
      <c r="BN31" s="190">
        <f>IF(AND(ISNUMBER(BN29),ISNUMBER(BN27)),IFERROR(BN29/BN27,""),"")</f>
        <v>0.274873738241599</v>
      </c>
      <c r="BO31" s="190">
        <f>IF(AND(ISNUMBER(BO29),ISNUMBER(BO27)),IFERROR(BO29/BO27,""),"")</f>
        <v>0.256325418000643</v>
      </c>
      <c r="BP31" s="190">
        <f>IF(AND(ISNUMBER(BP29),ISNUMBER(BP27)),IFERROR(BP29/BP27,""),"")</f>
        <v>0.253388563125221</v>
      </c>
      <c r="BQ31" s="190">
        <f>IF(AND(ISNUMBER(BQ29),ISNUMBER(BQ27)),IFERROR(BQ29/BQ27,""),"")</f>
        <v>0.25325196258672</v>
      </c>
      <c r="BR31" s="190">
        <f>IF(AND(ISNUMBER(BR29),ISNUMBER(BR27)),IFERROR(BR29/BR27,""),"")</f>
        <v>0.227101189053463</v>
      </c>
      <c r="BS31" s="190">
        <f>IF(AND(ISNUMBER(BS29),ISNUMBER(BS27)),IFERROR(BS29/BS27,""),"")</f>
        <v>0.278242796969013</v>
      </c>
      <c r="BT31" s="190">
        <f>IF(AND(ISNUMBER(BT29),ISNUMBER(BT27)),IFERROR(BT29/BT27,""),"")</f>
        <v>0.268330954705927</v>
      </c>
      <c r="BU31" s="190">
        <f>IF(AND(ISNUMBER(BU29),ISNUMBER(BU27)),IFERROR(BU29/BU27,""),"")</f>
        <v>0.258111284844739</v>
      </c>
      <c r="BV31" s="190">
        <f>IF(AND(ISNUMBER(BV29),ISNUMBER(BV27)),IFERROR(BV29/BV27,""),"")</f>
        <v>0.258752351592151</v>
      </c>
      <c r="BW31" s="190">
        <f>IF(AND(ISNUMBER(BW29),ISNUMBER(BW27)),IFERROR(BW29/BW27,""),"")</f>
        <v>0.231852272926869</v>
      </c>
      <c r="BX31" s="190">
        <f>IF(AND(ISNUMBER(BX29),ISNUMBER(BX27)),IFERROR(BX29/BX27,""),"")</f>
        <v>0.278809773418658</v>
      </c>
      <c r="BY31" s="179">
        <f>BY30+BY101</f>
        <v>0.280974033171443</v>
      </c>
      <c r="BZ31" s="179">
        <f>BZ30+BZ101</f>
        <v>0.270754363310255</v>
      </c>
      <c r="CA31" s="179">
        <f>IF(AND(ISNUMBER(CA29),ISNUMBER(CA27)),IFERROR(CA29/CA27,""),"")</f>
        <v>0.266740747914225</v>
      </c>
      <c r="CB31" s="179">
        <f>CHOOSE(MATCH($CF$2,{"Bull","Base","Bear"},0),$CO$56,$CP$56,$CQ$56)</f>
        <v>0.276</v>
      </c>
      <c r="CC31" s="179">
        <f>CHOOSE(MATCH($CF$2,{"Bull","Base","Bear"},0),$CO$57,$CP$57,$CQ$57)</f>
        <v>0.28</v>
      </c>
      <c r="CD31" s="179">
        <f>CHOOSE(MATCH($CF$2,{"Bull","Base","Bear"},0),$CO$58,$CP$58,$CQ$58)</f>
        <v>0.284</v>
      </c>
      <c r="CE31" s="179">
        <f>CHOOSE(MATCH($CF$2,{"Bull","Base","Bear"},0),$CO$59,$CP$59,$CQ$59)</f>
        <v>0.287</v>
      </c>
      <c r="CF31" s="20" t="inlineStr">
        <is>
          <t>Q3/Q4-26E: pre-calibration margin + outlook calibration Δ (solves FY26 Adjusted EBITDA = guidance end-point). 2027E+: scenario lever ES_margin (17 consecutive quarters of y/y margin expansion to Q2/26).</t>
        </is>
      </c>
      <c r="CH31" s="39">
        <f>IFERROR(AVERAGE(CA31,CB31,CC31,CD31,CE31),"n/m")</f>
        <v>0.278748149582845</v>
      </c>
      <c r="CI31" s="39">
        <f>IFERROR(AVERAGE(BB31,BG31,BL31,BQ31,BV31),"n/m")</f>
        <v>0.240438830769714</v>
      </c>
      <c r="CJ31" s="39">
        <f>IFERROR(AVERAGE(AC31,AH31,AM31,AR31,AW31,BB31,BG31,BL31,BQ31,BV31),"n/m")</f>
        <v>0.221757834654605</v>
      </c>
      <c r="CK31" s="39">
        <f>IFERROR(AVERAGE(C31,D31,E31,F31,G31,H31,I31,N31,S31,X31,AC31,AH31,AM31,AR31,AW31,BB31,BG31,BL31,BQ31,BV31),"n/m")</f>
        <v>0.221757834654605</v>
      </c>
      <c r="CN31" s="26" t="inlineStr">
        <is>
          <t xml:space="preserve">  2027E</t>
        </is>
      </c>
      <c r="CO31" s="194">
        <f>CP31+$CO$30</f>
        <v>0.1</v>
      </c>
      <c r="CP31" s="195" t="n">
        <v>0.08</v>
      </c>
      <c r="CQ31" s="194">
        <f>CP31+$CQ$30</f>
        <v>0.06</v>
      </c>
      <c r="CR31" s="196" t="n"/>
    </row>
    <row r="32" hidden="1" outlineLevel="1" ht="15" customHeight="1">
      <c r="B32" s="26" t="inlineStr">
        <is>
          <t xml:space="preserve">  ES incremental margin (Δ Adj. EBITDA / Δ direct revenues, y/y)</t>
        </is>
      </c>
      <c r="C32" s="181" t="n"/>
      <c r="D32" s="181" t="n"/>
      <c r="E32" s="181" t="n"/>
      <c r="F32" s="181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81" t="n"/>
      <c r="U32" s="181" t="n"/>
      <c r="V32" s="181" t="n"/>
      <c r="W32" s="181" t="n"/>
      <c r="X32" s="181" t="n"/>
      <c r="Y32" s="181" t="n"/>
      <c r="Z32" s="181" t="n"/>
      <c r="AA32" s="181" t="n"/>
      <c r="AB32" s="181" t="n"/>
      <c r="AC32" s="181" t="n"/>
      <c r="AD32" s="181" t="n"/>
      <c r="AE32" s="181" t="n"/>
      <c r="AF32" s="181" t="n"/>
      <c r="AG32" s="181" t="n"/>
      <c r="AH32" s="181" t="n"/>
      <c r="AI32" s="190">
        <f>IFERROR((AI29-AD29)/(AI27-AD27),"")</f>
        <v>0.0281738651236482</v>
      </c>
      <c r="AJ32" s="190">
        <f>IFERROR((AJ29-AE29)/(AJ27-AE27),"")</f>
        <v>0.196206161914127</v>
      </c>
      <c r="AK32" s="190">
        <f>IFERROR((AK29-AF29)/(AK27-AF27),"")</f>
        <v>0.226375908618899</v>
      </c>
      <c r="AL32" s="190">
        <f>IFERROR((AL29-AG29)/(AL27-AG27),"")</f>
        <v>0.290110299443329</v>
      </c>
      <c r="AM32" s="190">
        <f>IFERROR((AM29-AH29)/(AM27-AH27),"")</f>
        <v>0.209875934019456</v>
      </c>
      <c r="AN32" s="190">
        <f>IFERROR((AN29-AI29)/(AN27-AI27),"")</f>
        <v>0.768092959671907</v>
      </c>
      <c r="AO32" s="190">
        <f>IFERROR((AO29-AJ29)/(AO27-AJ27),"")</f>
        <v>1.04926167998063</v>
      </c>
      <c r="AP32" s="190">
        <f>IFERROR((AP29-AK29)/(AP27-AK27),"")</f>
        <v>0.43832589082293</v>
      </c>
      <c r="AQ32" s="190">
        <f>IFERROR((AQ29-AL29)/(AQ27-AL27),"")</f>
        <v>1.31938418474458</v>
      </c>
      <c r="AR32" s="190">
        <f>IFERROR((AR29-AM29)/(AR27-AM27),"")</f>
        <v>0.682437365709158</v>
      </c>
      <c r="AS32" s="190">
        <f>IFERROR((AS29-AN29)/(AS27-AN27),"")</f>
        <v>0.338402511335891</v>
      </c>
      <c r="AT32" s="190">
        <f>IFERROR((AT29-AO29)/(AT27-AO27),"")</f>
        <v>-0.30553792207007</v>
      </c>
      <c r="AU32" s="190">
        <f>IFERROR((AU29-AP29)/(AU27-AP27),"")</f>
        <v>-0.325897253064413</v>
      </c>
      <c r="AV32" s="190">
        <f>IFERROR((AV29-AQ29)/(AV27-AQ27),"")</f>
        <v>-0.463855421686747</v>
      </c>
      <c r="AW32" s="190">
        <f>IFERROR((AW29-AR29)/(AW27-AR27),"")</f>
        <v>-0.738517672059501</v>
      </c>
      <c r="AX32" s="190">
        <f>IFERROR((AX29-AS29)/(AX27-AS27),"")</f>
        <v>0.355167724388032</v>
      </c>
      <c r="AY32" s="190">
        <f>IFERROR((AY29-AT29)/(AY27-AT27),"")</f>
        <v>0.167081163643406</v>
      </c>
      <c r="AZ32" s="190">
        <f>IFERROR((AZ29-AU29)/(AZ27-AU27),"")</f>
        <v>0.117691109651158</v>
      </c>
      <c r="BA32" s="190">
        <f>IFERROR((BA29-AV29)/(BA27-AV27),"")</f>
        <v>0.123854477962338</v>
      </c>
      <c r="BB32" s="190">
        <f>IFERROR((BB29-AW29)/(BB27-AW27),"")</f>
        <v>0.156128372068083</v>
      </c>
      <c r="BC32" s="190">
        <f>IFERROR((BC29-AX29)/(BC27-AX27),"")</f>
        <v>0.14802470948597</v>
      </c>
      <c r="BD32" s="190">
        <f>IFERROR((BD29-AY29)/(BD27-AY27),"")</f>
        <v>0.254468888246429</v>
      </c>
      <c r="BE32" s="190">
        <f>IFERROR((BE29-AZ29)/(BE27-AZ27),"")</f>
        <v>0.276414034284776</v>
      </c>
      <c r="BF32" s="190">
        <f>IFERROR((BF29-BA29)/(BF27-BA27),"")</f>
        <v>0.449716367196498</v>
      </c>
      <c r="BG32" s="190">
        <f>IFERROR((BG29-BB29)/(BG27-BB27),"")</f>
        <v>0.257480346753835</v>
      </c>
      <c r="BH32" s="190">
        <f>IFERROR((BH29-BC29)/(BH27-BC27),"")</f>
        <v>0.36289092914612</v>
      </c>
      <c r="BI32" s="190">
        <f>IFERROR((BI29-BD29)/(BI27-BD27),"")</f>
        <v>0.446299189352096</v>
      </c>
      <c r="BJ32" s="190">
        <f>IFERROR((BJ29-BE29)/(BJ27-BE27),"")</f>
        <v>0.472536281501026</v>
      </c>
      <c r="BK32" s="190">
        <f>IFERROR((BK29-BF29)/(BK27-BF27),"")</f>
        <v>0.521283945368551</v>
      </c>
      <c r="BL32" s="190">
        <f>IFERROR((BL29-BG29)/(BL27-BG27),"")</f>
        <v>0.437265994772412</v>
      </c>
      <c r="BM32" s="190">
        <f>IFERROR((BM29-BH29)/(BM27-BH27),"")</f>
        <v>0.355019701480805</v>
      </c>
      <c r="BN32" s="190">
        <f>IFERROR((BN29-BI29)/(BN27-BI27),"")</f>
        <v>0.395298040728957</v>
      </c>
      <c r="BO32" s="190">
        <f>IFERROR((BO29-BJ29)/(BO27-BJ27),"")</f>
        <v>0.288548241659153</v>
      </c>
      <c r="BP32" s="190">
        <f>IFERROR((BP29-BK29)/(BP27-BK27),"")</f>
        <v>0.308721520824264</v>
      </c>
      <c r="BQ32" s="190">
        <f>IFERROR((BQ29-BL29)/(BQ27-BL27),"")</f>
        <v>0.336209849890027</v>
      </c>
      <c r="BR32" s="190">
        <f>IFERROR((BR29-BM29)/(BR27-BM27),"")</f>
        <v>0.276370789279566</v>
      </c>
      <c r="BS32" s="190">
        <f>IFERROR((BS29-BN29)/(BS27-BN27),"")</f>
        <v>0.381670261652443</v>
      </c>
      <c r="BT32" s="190">
        <f>IFERROR((BT29-BO29)/(BT27-BO27),"")</f>
        <v>0.724855626887109</v>
      </c>
      <c r="BU32" s="190">
        <f>IFERROR((BU29-BP29)/(BU27-BP27),"")</f>
        <v>0.335111406717658</v>
      </c>
      <c r="BV32" s="190">
        <f>IFERROR((BV29-BQ29)/(BV27-BQ27),"")</f>
        <v>0.404756474650346</v>
      </c>
      <c r="BW32" s="190">
        <f>IFERROR((BW29-BR29)/(BW27-BR27),"")</f>
        <v>0.36417662912031</v>
      </c>
      <c r="BX32" s="190">
        <f>IFERROR((BX29-BS29)/(BX27-BS27),"")</f>
        <v>0.286143425684984</v>
      </c>
      <c r="BY32" s="179">
        <f>IFERROR((BY29-BT29)/(BY27-BT27),"")</f>
        <v>0.434278449880704</v>
      </c>
      <c r="BZ32" s="179">
        <f>IFERROR((BZ29-BU29)/(BZ27-BU27),"")</f>
        <v>0.44138555535698</v>
      </c>
      <c r="CA32" s="179">
        <f>IFERROR((CA29-BV29)/(CA27-BV27),"")</f>
        <v>0.383892970600904</v>
      </c>
      <c r="CB32" s="179">
        <f>IFERROR((CB29-CA29)/(CB27-CA27),"")</f>
        <v>0.428994941151365</v>
      </c>
      <c r="CC32" s="179">
        <f>IFERROR((CC29-CB29)/(CC27-CB27),"")</f>
        <v>0.347642368335873</v>
      </c>
      <c r="CD32" s="179">
        <f>IFERROR((CD29-CC29)/(CD27-CC27),"")</f>
        <v>0.356045917279831</v>
      </c>
      <c r="CE32" s="179">
        <f>IFERROR((CE29-CD29)/(CE27-CD27),"")</f>
        <v>0.342823944605702</v>
      </c>
      <c r="CF32" s="20" t="n"/>
      <c r="CN32" s="26" t="inlineStr">
        <is>
          <t xml:space="preserve">  2028E</t>
        </is>
      </c>
      <c r="CO32" s="194">
        <f>CP32+$CO$30</f>
        <v>0.095</v>
      </c>
      <c r="CP32" s="195" t="n">
        <v>0.075</v>
      </c>
      <c r="CQ32" s="194">
        <f>CP32+$CQ$30</f>
        <v>0.055</v>
      </c>
      <c r="CR32" s="196" t="n"/>
    </row>
    <row r="33" hidden="1" outlineLevel="1" ht="15" customHeight="1">
      <c r="B33" s="42" t="inlineStr">
        <is>
          <t xml:space="preserve">  Memo: incineration utilization % (company; ex-Kimball Q1–Q4/25, incl. Kimball from Q1/26)</t>
        </is>
      </c>
      <c r="C33" s="181" t="n"/>
      <c r="D33" s="181" t="n"/>
      <c r="E33" s="181" t="n"/>
      <c r="F33" s="181" t="n"/>
      <c r="G33" s="181" t="n"/>
      <c r="H33" s="181" t="n"/>
      <c r="I33" s="181" t="n"/>
      <c r="J33" s="197" t="n">
        <v>0.88</v>
      </c>
      <c r="K33" s="197" t="n">
        <v>0.923</v>
      </c>
      <c r="L33" s="197" t="n">
        <v>0.93</v>
      </c>
      <c r="M33" s="197" t="n">
        <v>0.91</v>
      </c>
      <c r="N33" s="181" t="n"/>
      <c r="O33" s="197" t="n">
        <v>0.91</v>
      </c>
      <c r="P33" s="197" t="n">
        <v>0.95</v>
      </c>
      <c r="Q33" s="197" t="n">
        <v>0.9</v>
      </c>
      <c r="R33" s="197" t="n">
        <v>0.96</v>
      </c>
      <c r="S33" s="181" t="n"/>
      <c r="T33" s="197" t="n">
        <v>0.91</v>
      </c>
      <c r="U33" s="197" t="n">
        <v>0.91</v>
      </c>
      <c r="V33" s="197" t="n">
        <v>0.92</v>
      </c>
      <c r="W33" s="197" t="n">
        <v>0.89</v>
      </c>
      <c r="X33" s="181" t="n"/>
      <c r="Y33" s="197" t="n">
        <v>0.88</v>
      </c>
      <c r="Z33" s="197" t="n">
        <v>0.88</v>
      </c>
      <c r="AA33" s="197" t="n">
        <v>0.9</v>
      </c>
      <c r="AB33" s="197" t="n">
        <v>0.9</v>
      </c>
      <c r="AC33" s="181" t="n"/>
      <c r="AD33" s="197" t="n">
        <v>0.79</v>
      </c>
      <c r="AE33" s="197" t="n">
        <v>0.87</v>
      </c>
      <c r="AF33" s="197" t="n">
        <v>0.92</v>
      </c>
      <c r="AG33" s="197" t="n">
        <v>0.92</v>
      </c>
      <c r="AH33" s="181" t="n"/>
      <c r="AI33" s="197" t="n">
        <v>0.87</v>
      </c>
      <c r="AJ33" s="197" t="n">
        <v>0.9</v>
      </c>
      <c r="AK33" s="197" t="n">
        <v>0.84</v>
      </c>
      <c r="AL33" s="197" t="n">
        <v>0.86</v>
      </c>
      <c r="AM33" s="181" t="n"/>
      <c r="AN33" s="197" t="n">
        <v>0.77</v>
      </c>
      <c r="AO33" s="197" t="n">
        <v>0.82</v>
      </c>
      <c r="AP33" s="197" t="n">
        <v>0.92</v>
      </c>
      <c r="AQ33" s="197" t="n">
        <v>0.89</v>
      </c>
      <c r="AR33" s="181" t="n"/>
      <c r="AS33" s="197" t="n">
        <v>0.86</v>
      </c>
      <c r="AT33" s="197" t="n">
        <v>0.87</v>
      </c>
      <c r="AU33" s="197" t="n">
        <v>0.8</v>
      </c>
      <c r="AV33" s="197" t="n">
        <v>0.84</v>
      </c>
      <c r="AW33" s="181" t="n"/>
      <c r="AX33" s="197" t="n">
        <v>0.8</v>
      </c>
      <c r="AY33" s="197" t="n">
        <v>0.87</v>
      </c>
      <c r="AZ33" s="197" t="n">
        <v>0.82</v>
      </c>
      <c r="BA33" s="197" t="n">
        <v>0.92</v>
      </c>
      <c r="BB33" s="181" t="n"/>
      <c r="BC33" s="197" t="n">
        <v>0.85</v>
      </c>
      <c r="BD33" s="181" t="n"/>
      <c r="BE33" s="181" t="n"/>
      <c r="BF33" s="197" t="n">
        <v>0.84</v>
      </c>
      <c r="BG33" s="181" t="n"/>
      <c r="BH33" s="197" t="n">
        <v>0.8</v>
      </c>
      <c r="BI33" s="197" t="n">
        <v>0.84</v>
      </c>
      <c r="BJ33" s="197" t="n">
        <v>0.86</v>
      </c>
      <c r="BK33" s="197" t="n">
        <v>0.85</v>
      </c>
      <c r="BL33" s="181" t="n"/>
      <c r="BM33" s="197" t="n">
        <v>0.79</v>
      </c>
      <c r="BN33" s="197" t="n">
        <v>0.88</v>
      </c>
      <c r="BO33" s="197" t="n">
        <v>0.89</v>
      </c>
      <c r="BP33" s="197" t="n">
        <v>0.9399999999999999</v>
      </c>
      <c r="BQ33" s="181" t="n"/>
      <c r="BR33" s="197" t="n">
        <v>0.88</v>
      </c>
      <c r="BS33" s="197" t="n">
        <v>0.89</v>
      </c>
      <c r="BT33" s="197" t="n">
        <v>0.92</v>
      </c>
      <c r="BU33" s="197" t="n">
        <v>0.87</v>
      </c>
      <c r="BV33" s="181" t="n"/>
      <c r="BW33" s="197" t="n">
        <v>0.8</v>
      </c>
      <c r="BX33" s="197" t="n">
        <v>0.91</v>
      </c>
      <c r="BY33" s="198" t="n"/>
      <c r="BZ33" s="198" t="n"/>
      <c r="CA33" s="198" t="n"/>
      <c r="CB33" s="198" t="n"/>
      <c r="CC33" s="198" t="n"/>
      <c r="CD33" s="198" t="n"/>
      <c r="CE33" s="198" t="n"/>
      <c r="CF33" s="177" t="inlineStr">
        <is>
          <t>Quoted in each earnings release (CEO commentary); quarterly only.</t>
        </is>
      </c>
      <c r="CN33" s="26" t="inlineStr">
        <is>
          <t xml:space="preserve">  2029E</t>
        </is>
      </c>
      <c r="CO33" s="194">
        <f>CP33+$CO$30</f>
        <v>0.09</v>
      </c>
      <c r="CP33" s="195" t="n">
        <v>0.07000000000000001</v>
      </c>
      <c r="CQ33" s="194">
        <f>CP33+$CQ$30</f>
        <v>0.05</v>
      </c>
      <c r="CR33" s="196" t="n"/>
    </row>
    <row r="34" hidden="1" outlineLevel="1" ht="15" customHeight="1">
      <c r="B34" s="42" t="inlineStr">
        <is>
          <t xml:space="preserve">  Memo: landfill volumes y/y % (company, where disclosed)</t>
        </is>
      </c>
      <c r="C34" s="181" t="n"/>
      <c r="D34" s="181" t="n"/>
      <c r="E34" s="181" t="n"/>
      <c r="F34" s="181" t="n"/>
      <c r="G34" s="181" t="n"/>
      <c r="H34" s="181" t="n"/>
      <c r="I34" s="181" t="n"/>
      <c r="J34" s="181" t="n"/>
      <c r="K34" s="197" t="n">
        <v>0.17</v>
      </c>
      <c r="L34" s="181" t="n"/>
      <c r="M34" s="181" t="n"/>
      <c r="N34" s="181" t="n"/>
      <c r="O34" s="197" t="n">
        <v>0.25</v>
      </c>
      <c r="P34" s="181" t="n"/>
      <c r="Q34" s="181" t="n"/>
      <c r="R34" s="197" t="n">
        <v>0.37</v>
      </c>
      <c r="S34" s="181" t="n"/>
      <c r="T34" s="197" t="n">
        <v>0.21</v>
      </c>
      <c r="U34" s="197" t="n">
        <v>-0.29</v>
      </c>
      <c r="V34" s="197" t="n">
        <v>-0.28</v>
      </c>
      <c r="W34" s="197" t="n">
        <v>-0.5</v>
      </c>
      <c r="X34" s="181" t="n"/>
      <c r="Y34" s="197" t="n">
        <v>-0.33</v>
      </c>
      <c r="Z34" s="197" t="n">
        <v>-0.21</v>
      </c>
      <c r="AA34" s="197" t="n">
        <v>-0.49</v>
      </c>
      <c r="AB34" s="197" t="n">
        <v>-0.28</v>
      </c>
      <c r="AC34" s="181" t="n"/>
      <c r="AD34" s="197" t="n">
        <v>-0.25</v>
      </c>
      <c r="AE34" s="197" t="n">
        <v>0.23</v>
      </c>
      <c r="AF34" s="197" t="n">
        <v>0.4</v>
      </c>
      <c r="AG34" s="197" t="n">
        <v>0.18</v>
      </c>
      <c r="AH34" s="181" t="n"/>
      <c r="AI34" s="197" t="n">
        <v>0.58</v>
      </c>
      <c r="AJ34" s="181" t="n"/>
      <c r="AK34" s="181" t="n"/>
      <c r="AL34" s="181" t="n"/>
      <c r="AM34" s="181" t="n"/>
      <c r="AN34" s="181" t="n"/>
      <c r="AO34" s="181" t="n"/>
      <c r="AP34" s="197" t="n">
        <v>0.06</v>
      </c>
      <c r="AQ34" s="197" t="n">
        <v>0.4</v>
      </c>
      <c r="AR34" s="181" t="n"/>
      <c r="AS34" s="181" t="n"/>
      <c r="AT34" s="197" t="n">
        <v>-0.24</v>
      </c>
      <c r="AU34" s="181" t="n"/>
      <c r="AV34" s="197" t="n">
        <v>-0.37</v>
      </c>
      <c r="AW34" s="181" t="n"/>
      <c r="AX34" s="181" t="n"/>
      <c r="AY34" s="181" t="n"/>
      <c r="AZ34" s="197" t="n">
        <v>-0.05</v>
      </c>
      <c r="BA34" s="197" t="n">
        <v>0.15</v>
      </c>
      <c r="BB34" s="181" t="n"/>
      <c r="BC34" s="197" t="n">
        <v>0.14</v>
      </c>
      <c r="BD34" s="197" t="n">
        <v>0.36</v>
      </c>
      <c r="BE34" s="197" t="n">
        <v>0.38</v>
      </c>
      <c r="BF34" s="197" t="n">
        <v>0.28</v>
      </c>
      <c r="BG34" s="181" t="n"/>
      <c r="BH34" s="197" t="n">
        <v>-0.08</v>
      </c>
      <c r="BI34" s="181" t="n"/>
      <c r="BJ34" s="181" t="n"/>
      <c r="BK34" s="181" t="n"/>
      <c r="BL34" s="181" t="n"/>
      <c r="BM34" s="181" t="n"/>
      <c r="BN34" s="197" t="n">
        <v>0.04</v>
      </c>
      <c r="BO34" s="181" t="n"/>
      <c r="BP34" s="181" t="n"/>
      <c r="BQ34" s="181" t="n"/>
      <c r="BR34" s="181" t="n"/>
      <c r="BS34" s="181" t="n"/>
      <c r="BT34" s="197" t="n">
        <v>0.4</v>
      </c>
      <c r="BU34" s="197" t="n">
        <v>0.5600000000000001</v>
      </c>
      <c r="BV34" s="181" t="n"/>
      <c r="BW34" s="197" t="n">
        <v>0.34</v>
      </c>
      <c r="BX34" s="197" t="n">
        <v>0.07000000000000001</v>
      </c>
      <c r="BY34" s="198" t="n"/>
      <c r="BZ34" s="198" t="n"/>
      <c r="CA34" s="198" t="n"/>
      <c r="CB34" s="198" t="n"/>
      <c r="CC34" s="198" t="n"/>
      <c r="CD34" s="198" t="n"/>
      <c r="CE34" s="198" t="n"/>
      <c r="CF34" s="177" t="n"/>
      <c r="CN34" s="26" t="inlineStr">
        <is>
          <t xml:space="preserve">  2030E</t>
        </is>
      </c>
      <c r="CO34" s="194">
        <f>CP34+$CO$30</f>
        <v>0.085</v>
      </c>
      <c r="CP34" s="195" t="n">
        <v>0.065</v>
      </c>
      <c r="CQ34" s="194">
        <f>CP34+$CQ$30</f>
        <v>0.045</v>
      </c>
      <c r="CR34" s="196" t="n"/>
    </row>
    <row r="35" hidden="1" outlineLevel="1" ht="15" customHeight="1">
      <c r="CN35" s="16" t="inlineStr">
        <is>
          <t>FER_growth (Field &amp; Emergency Response y/y)</t>
        </is>
      </c>
      <c r="CO35" s="192" t="n">
        <v>0.03</v>
      </c>
      <c r="CP35" s="22" t="inlineStr">
        <is>
          <t>Δ →</t>
        </is>
      </c>
      <c r="CQ35" s="192" t="n">
        <v>-0.03</v>
      </c>
      <c r="CR35" s="14" t="inlineStr">
        <is>
          <t>ER is event-driven (lumpy); base business + branch growth.</t>
        </is>
      </c>
    </row>
    <row r="36" hidden="1" outlineLevel="1" ht="15" customHeight="1">
      <c r="B36" s="139" t="inlineStr">
        <is>
          <t>Safety-Kleen Sustainability Solutions (SKSS; "Safety-Kleen" segment Q1/18–Q4/20) — Safety-Kleen Oil (re-refined base oil, blended lubricants, used-oil collection) · SK Environmental Services (SKSS portion)</t>
        </is>
      </c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139" t="n"/>
      <c r="AI36" s="139" t="n"/>
      <c r="AJ36" s="139" t="n"/>
      <c r="AK36" s="139" t="n"/>
      <c r="AL36" s="139" t="n"/>
      <c r="AM36" s="139" t="n"/>
      <c r="AN36" s="139" t="n"/>
      <c r="AO36" s="139" t="n"/>
      <c r="AP36" s="139" t="n"/>
      <c r="AQ36" s="139" t="n"/>
      <c r="AR36" s="139" t="n"/>
      <c r="AS36" s="139" t="n"/>
      <c r="AT36" s="139" t="n"/>
      <c r="AU36" s="139" t="n"/>
      <c r="AV36" s="139" t="n"/>
      <c r="AW36" s="139" t="n"/>
      <c r="AX36" s="139" t="n"/>
      <c r="AY36" s="139" t="n"/>
      <c r="AZ36" s="139" t="n"/>
      <c r="BA36" s="139" t="n"/>
      <c r="BB36" s="139" t="n"/>
      <c r="BC36" s="139" t="n"/>
      <c r="BD36" s="139" t="n"/>
      <c r="BE36" s="139" t="n"/>
      <c r="BF36" s="139" t="n"/>
      <c r="BG36" s="139" t="n"/>
      <c r="BH36" s="139" t="n"/>
      <c r="BI36" s="139" t="n"/>
      <c r="BJ36" s="139" t="n"/>
      <c r="BK36" s="139" t="n"/>
      <c r="BL36" s="139" t="n"/>
      <c r="BM36" s="139" t="n"/>
      <c r="BN36" s="139" t="n"/>
      <c r="BO36" s="139" t="n"/>
      <c r="BP36" s="139" t="n"/>
      <c r="BQ36" s="139" t="n"/>
      <c r="BR36" s="139" t="n"/>
      <c r="BS36" s="139" t="n"/>
      <c r="BT36" s="139" t="n"/>
      <c r="BU36" s="139" t="n"/>
      <c r="BV36" s="139" t="n"/>
      <c r="BW36" s="139" t="n"/>
      <c r="BX36" s="139" t="n"/>
      <c r="BY36" s="139" t="n"/>
      <c r="BZ36" s="139" t="n"/>
      <c r="CA36" s="139" t="n"/>
      <c r="CB36" s="139" t="n"/>
      <c r="CC36" s="139" t="n"/>
      <c r="CD36" s="139" t="n"/>
      <c r="CE36" s="139" t="n"/>
      <c r="CF36" s="139" t="inlineStr">
        <is>
          <t>SKSS — modelling logic: re-refining spread business (base-oil price vs. charge-for-oil on collection); Q2/26 margin spike on global refined-product supply disruption.</t>
        </is>
      </c>
      <c r="CN36" s="26" t="inlineStr">
        <is>
          <t xml:space="preserve">  2027E</t>
        </is>
      </c>
      <c r="CO36" s="194">
        <f>CP36+$CO$35</f>
        <v>0.08</v>
      </c>
      <c r="CP36" s="195" t="n">
        <v>0.05</v>
      </c>
      <c r="CQ36" s="194">
        <f>CP36+$CQ$35</f>
        <v>0.02</v>
      </c>
      <c r="CR36" s="196" t="n"/>
    </row>
    <row r="37" hidden="1" outlineLevel="1" ht="15" customHeight="1">
      <c r="B37" s="26" t="inlineStr">
        <is>
          <t xml:space="preserve">  Safety-Kleen Environmental Services — SKSS portion (all SK Environmental Services 2018–20)</t>
        </is>
      </c>
      <c r="C37" s="184" t="n"/>
      <c r="D37" s="184" t="n"/>
      <c r="E37" s="184" t="n"/>
      <c r="F37" s="184" t="n"/>
      <c r="G37" s="184" t="n"/>
      <c r="H37" s="184" t="n"/>
      <c r="I37" s="184" t="n"/>
      <c r="J37" s="184" t="n"/>
      <c r="K37" s="184" t="n"/>
      <c r="L37" s="184" t="n"/>
      <c r="M37" s="184" t="n"/>
      <c r="N37" s="184" t="n"/>
      <c r="O37" s="184" t="n"/>
      <c r="P37" s="184" t="n"/>
      <c r="Q37" s="184" t="n"/>
      <c r="R37" s="184" t="n"/>
      <c r="S37" s="184" t="n"/>
      <c r="T37" s="184" t="n"/>
      <c r="U37" s="184" t="n"/>
      <c r="V37" s="184" t="n"/>
      <c r="W37" s="184" t="n"/>
      <c r="X37" s="184" t="n"/>
      <c r="Y37" s="184" t="n"/>
      <c r="Z37" s="184" t="n"/>
      <c r="AA37" s="184" t="n"/>
      <c r="AB37" s="184" t="n"/>
      <c r="AC37" s="184" t="n"/>
      <c r="AD37" s="184" t="n"/>
      <c r="AE37" s="184" t="n"/>
      <c r="AF37" s="184" t="n"/>
      <c r="AG37" s="184" t="n"/>
      <c r="AH37" s="184" t="n"/>
      <c r="AI37" s="185" t="n">
        <v>194.161</v>
      </c>
      <c r="AJ37" s="185" t="n">
        <v>200.034</v>
      </c>
      <c r="AK37" s="185" t="n">
        <v>200.681</v>
      </c>
      <c r="AL37" s="185" t="n">
        <v>200.201</v>
      </c>
      <c r="AM37" s="185" t="n">
        <v>795.077</v>
      </c>
      <c r="AN37" s="185" t="n">
        <v>207.083</v>
      </c>
      <c r="AO37" s="185" t="n">
        <v>216.434</v>
      </c>
      <c r="AP37" s="185" t="n">
        <v>217.439</v>
      </c>
      <c r="AQ37" s="185" t="n">
        <v>210.564</v>
      </c>
      <c r="AR37" s="185" t="n">
        <v>851.52</v>
      </c>
      <c r="AS37" s="185" t="n">
        <v>214.481</v>
      </c>
      <c r="AT37" s="185" t="n">
        <v>194.872</v>
      </c>
      <c r="AU37" s="185" t="n">
        <v>203.455</v>
      </c>
      <c r="AV37" s="185" t="n">
        <v>196.428</v>
      </c>
      <c r="AW37" s="185" t="n">
        <v>809.236</v>
      </c>
      <c r="AX37" s="185" t="n">
        <v>38.978</v>
      </c>
      <c r="AY37" s="185" t="n">
        <v>40.453</v>
      </c>
      <c r="AZ37" s="185" t="n">
        <v>39.551</v>
      </c>
      <c r="BA37" s="185" t="n">
        <v>42.605</v>
      </c>
      <c r="BB37" s="185" t="n">
        <v>161.587</v>
      </c>
      <c r="BC37" s="185" t="n">
        <v>44.388</v>
      </c>
      <c r="BD37" s="185" t="n">
        <v>49.381</v>
      </c>
      <c r="BE37" s="185" t="n">
        <v>52.072</v>
      </c>
      <c r="BF37" s="185" t="n">
        <v>53.519</v>
      </c>
      <c r="BG37" s="185" t="n">
        <v>199.36</v>
      </c>
      <c r="BH37" s="185" t="n">
        <v>49.559</v>
      </c>
      <c r="BI37" s="185" t="n">
        <v>62.452</v>
      </c>
      <c r="BJ37" s="185" t="n">
        <v>59.458</v>
      </c>
      <c r="BK37" s="185" t="n">
        <v>53.361</v>
      </c>
      <c r="BL37" s="185" t="n">
        <v>224.83</v>
      </c>
      <c r="BM37" s="185" t="n">
        <v>53.021</v>
      </c>
      <c r="BN37" s="185" t="n">
        <v>58.421</v>
      </c>
      <c r="BO37" s="185" t="n">
        <v>59.675</v>
      </c>
      <c r="BP37" s="185" t="n">
        <v>58.613</v>
      </c>
      <c r="BQ37" s="185" t="n">
        <v>229.73</v>
      </c>
      <c r="BR37" s="185" t="n">
        <v>64.901</v>
      </c>
      <c r="BS37" s="185" t="n">
        <v>72.46299999999999</v>
      </c>
      <c r="BT37" s="185" t="n">
        <v>76.601</v>
      </c>
      <c r="BU37" s="185" t="n">
        <v>76.458</v>
      </c>
      <c r="BV37" s="185" t="n">
        <v>290.423</v>
      </c>
      <c r="BW37" s="185" t="n">
        <v>77.973</v>
      </c>
      <c r="BX37" s="185" t="n">
        <v>87.738</v>
      </c>
      <c r="BY37" s="186">
        <f>BT37*(1+BY38)</f>
        <v>84.2611</v>
      </c>
      <c r="BZ37" s="186">
        <f>BU37*(1+BZ38)</f>
        <v>83.33922</v>
      </c>
      <c r="CA37" s="186">
        <f>SUM(BW37,BX37,BY37,BZ37)</f>
        <v>333.31132</v>
      </c>
      <c r="CB37" s="186">
        <f>CA37*(1+CB38)</f>
        <v>356.6431124</v>
      </c>
      <c r="CC37" s="186">
        <f>CB37*(1+CC38)</f>
        <v>379.824914706</v>
      </c>
      <c r="CD37" s="186">
        <f>CC37*(1+CD38)</f>
        <v>402.61440958836</v>
      </c>
      <c r="CE37" s="186">
        <f>CD37*(1+CE38)</f>
        <v>426.771274163662</v>
      </c>
      <c r="CF37" s="20" t="n"/>
      <c r="CH37" s="21">
        <f>IFERROR((CE37/BV37)^(1/5)-1,"n/m")</f>
        <v>0.0800225777266006</v>
      </c>
      <c r="CI37" s="21">
        <f>IFERROR((BV37/AW37)^(1/5)-1,"n/m")</f>
        <v>-0.18531229429133</v>
      </c>
      <c r="CJ37" s="21" t="str">
        <f>IFERROR((BV37/X37)^(1/10)-1,"n/m")</f>
        <v>n/m</v>
      </c>
      <c r="CK37" s="21" t="str">
        <f>IFERROR((BV37/C37)^(1/19)-1,"n/m")</f>
        <v>n/m</v>
      </c>
      <c r="CN37" s="26" t="inlineStr">
        <is>
          <t xml:space="preserve">  2028E</t>
        </is>
      </c>
      <c r="CO37" s="194">
        <f>CP37+$CO$35</f>
        <v>0.08</v>
      </c>
      <c r="CP37" s="195" t="n">
        <v>0.05</v>
      </c>
      <c r="CQ37" s="194">
        <f>CP37+$CQ$35</f>
        <v>0.02</v>
      </c>
      <c r="CR37" s="196" t="n"/>
    </row>
    <row r="38" hidden="1" outlineLevel="1" ht="15" customHeight="1">
      <c r="B38" s="23" t="inlineStr">
        <is>
          <t xml:space="preserve">  SK Environmental Services (SKSS) y/y %</t>
        </is>
      </c>
      <c r="C38" s="24" t="n"/>
      <c r="D38" s="178">
        <f>IF(AND(ISNUMBER(D37),ISNUMBER(C37)),IFERROR(D37/C37-1,""),"")</f>
      </c>
      <c r="E38" s="178">
        <f>IF(AND(ISNUMBER(E37),ISNUMBER(D37)),IFERROR(E37/D37-1,""),"")</f>
      </c>
      <c r="F38" s="178">
        <f>IF(AND(ISNUMBER(F37),ISNUMBER(E37)),IFERROR(F37/E37-1,""),"")</f>
      </c>
      <c r="G38" s="178">
        <f>IF(AND(ISNUMBER(G37),ISNUMBER(F37)),IFERROR(G37/F37-1,""),"")</f>
      </c>
      <c r="H38" s="178">
        <f>IF(AND(ISNUMBER(H37),ISNUMBER(G37)),IFERROR(H37/G37-1,""),"")</f>
      </c>
      <c r="I38" s="178">
        <f>IF(AND(ISNUMBER(I37),ISNUMBER(H37)),IFERROR(I37/H37-1,""),"")</f>
      </c>
      <c r="J38" s="24" t="n"/>
      <c r="K38" s="24" t="n"/>
      <c r="L38" s="24" t="n"/>
      <c r="M38" s="24" t="n"/>
      <c r="N38" s="178">
        <f>IF(AND(ISNUMBER(N37),ISNUMBER(I37)),IFERROR(N37/I37-1,""),"")</f>
      </c>
      <c r="O38" s="178">
        <f>IF(AND(ISNUMBER(O37),ISNUMBER(J37)),IFERROR(O37/J37-1,""),"")</f>
      </c>
      <c r="P38" s="178">
        <f>IF(AND(ISNUMBER(P37),ISNUMBER(K37)),IFERROR(P37/K37-1,""),"")</f>
      </c>
      <c r="Q38" s="178">
        <f>IF(AND(ISNUMBER(Q37),ISNUMBER(L37)),IFERROR(Q37/L37-1,""),"")</f>
      </c>
      <c r="R38" s="178">
        <f>IF(AND(ISNUMBER(R37),ISNUMBER(M37)),IFERROR(R37/M37-1,""),"")</f>
      </c>
      <c r="S38" s="178">
        <f>IF(AND(ISNUMBER(S37),ISNUMBER(N37)),IFERROR(S37/N37-1,""),"")</f>
      </c>
      <c r="T38" s="178">
        <f>IF(AND(ISNUMBER(T37),ISNUMBER(O37)),IFERROR(T37/O37-1,""),"")</f>
      </c>
      <c r="U38" s="178">
        <f>IF(AND(ISNUMBER(U37),ISNUMBER(P37)),IFERROR(U37/P37-1,""),"")</f>
      </c>
      <c r="V38" s="178">
        <f>IF(AND(ISNUMBER(V37),ISNUMBER(Q37)),IFERROR(V37/Q37-1,""),"")</f>
      </c>
      <c r="W38" s="178">
        <f>IF(AND(ISNUMBER(W37),ISNUMBER(R37)),IFERROR(W37/R37-1,""),"")</f>
      </c>
      <c r="X38" s="178">
        <f>IF(AND(ISNUMBER(X37),ISNUMBER(S37)),IFERROR(X37/S37-1,""),"")</f>
      </c>
      <c r="Y38" s="178">
        <f>IF(AND(ISNUMBER(Y37),ISNUMBER(T37)),IFERROR(Y37/T37-1,""),"")</f>
      </c>
      <c r="Z38" s="178">
        <f>IF(AND(ISNUMBER(Z37),ISNUMBER(U37)),IFERROR(Z37/U37-1,""),"")</f>
      </c>
      <c r="AA38" s="178">
        <f>IF(AND(ISNUMBER(AA37),ISNUMBER(V37)),IFERROR(AA37/V37-1,""),"")</f>
      </c>
      <c r="AB38" s="178">
        <f>IF(AND(ISNUMBER(AB37),ISNUMBER(W37)),IFERROR(AB37/W37-1,""),"")</f>
      </c>
      <c r="AC38" s="178">
        <f>IF(AND(ISNUMBER(AC37),ISNUMBER(X37)),IFERROR(AC37/X37-1,""),"")</f>
      </c>
      <c r="AD38" s="178">
        <f>IF(AND(ISNUMBER(AD37),ISNUMBER(Y37)),IFERROR(AD37/Y37-1,""),"")</f>
      </c>
      <c r="AE38" s="178">
        <f>IF(AND(ISNUMBER(AE37),ISNUMBER(Z37)),IFERROR(AE37/Z37-1,""),"")</f>
      </c>
      <c r="AF38" s="178">
        <f>IF(AND(ISNUMBER(AF37),ISNUMBER(AA37)),IFERROR(AF37/AA37-1,""),"")</f>
      </c>
      <c r="AG38" s="178">
        <f>IF(AND(ISNUMBER(AG37),ISNUMBER(AB37)),IFERROR(AG37/AB37-1,""),"")</f>
      </c>
      <c r="AH38" s="178">
        <f>IF(AND(ISNUMBER(AH37),ISNUMBER(AC37)),IFERROR(AH37/AC37-1,""),"")</f>
      </c>
      <c r="AI38" s="178">
        <f>IF(AND(ISNUMBER(AI37),ISNUMBER(AD37)),IFERROR(AI37/AD37-1,""),"")</f>
      </c>
      <c r="AJ38" s="178">
        <f>IF(AND(ISNUMBER(AJ37),ISNUMBER(AE37)),IFERROR(AJ37/AE37-1,""),"")</f>
      </c>
      <c r="AK38" s="178">
        <f>IF(AND(ISNUMBER(AK37),ISNUMBER(AF37)),IFERROR(AK37/AF37-1,""),"")</f>
      </c>
      <c r="AL38" s="178">
        <f>IF(AND(ISNUMBER(AL37),ISNUMBER(AG37)),IFERROR(AL37/AG37-1,""),"")</f>
      </c>
      <c r="AM38" s="178">
        <f>IF(AND(ISNUMBER(AM37),ISNUMBER(AH37)),IFERROR(AM37/AH37-1,""),"")</f>
      </c>
      <c r="AN38" s="178">
        <f>IF(AND(ISNUMBER(AN37),ISNUMBER(AI37)),IFERROR(AN37/AI37-1,""),"")</f>
        <v>0.0665530152811327</v>
      </c>
      <c r="AO38" s="178">
        <f>IF(AND(ISNUMBER(AO37),ISNUMBER(AJ37)),IFERROR(AO37/AJ37-1,""),"")</f>
        <v>0.0819860623693973</v>
      </c>
      <c r="AP38" s="178">
        <f>IF(AND(ISNUMBER(AP37),ISNUMBER(AK37)),IFERROR(AP37/AK37-1,""),"")</f>
        <v>0.0835056632167468</v>
      </c>
      <c r="AQ38" s="178">
        <f>IF(AND(ISNUMBER(AQ37),ISNUMBER(AL37)),IFERROR(AQ37/AL37-1,""),"")</f>
        <v>0.051762978206902</v>
      </c>
      <c r="AR38" s="178">
        <f>IF(AND(ISNUMBER(AR37),ISNUMBER(AM37)),IFERROR(AR37/AM37-1,""),"")</f>
        <v>0.0709906084567911</v>
      </c>
      <c r="AS38" s="178">
        <f>IF(AND(ISNUMBER(AS37),ISNUMBER(AN37)),IFERROR(AS37/AN37-1,""),"")</f>
        <v>0.0357248059956636</v>
      </c>
      <c r="AT38" s="178">
        <f>IF(AND(ISNUMBER(AT37),ISNUMBER(AO37)),IFERROR(AT37/AO37-1,""),"")</f>
        <v>-0.0996239038228743</v>
      </c>
      <c r="AU38" s="178">
        <f>IF(AND(ISNUMBER(AU37),ISNUMBER(AP37)),IFERROR(AU37/AP37-1,""),"")</f>
        <v>-0.0643122898835995</v>
      </c>
      <c r="AV38" s="178">
        <f>IF(AND(ISNUMBER(AV37),ISNUMBER(AQ37)),IFERROR(AV37/AQ37-1,""),"")</f>
        <v>-0.0671339830170399</v>
      </c>
      <c r="AW38" s="178">
        <f>IF(AND(ISNUMBER(AW37),ISNUMBER(AR37)),IFERROR(AW37/AR37-1,""),"")</f>
        <v>-0.0496570838030815</v>
      </c>
      <c r="AX38" s="178">
        <f>IF(AND(ISNUMBER(AX37),ISNUMBER(AS37)),IFERROR(AX37/AS37-1,""),"")</f>
        <v>-0.818268284836419</v>
      </c>
      <c r="AY38" s="178">
        <f>IF(AND(ISNUMBER(AY37),ISNUMBER(AT37)),IFERROR(AY37/AT37-1,""),"")</f>
        <v>-0.79241245535531</v>
      </c>
      <c r="AZ38" s="178">
        <f>IF(AND(ISNUMBER(AZ37),ISNUMBER(AU37)),IFERROR(AZ37/AU37-1,""),"")</f>
        <v>-0.805603204639847</v>
      </c>
      <c r="BA38" s="178">
        <f>IF(AND(ISNUMBER(BA37),ISNUMBER(AV37)),IFERROR(BA37/AV37-1,""),"")</f>
        <v>-0.783101187203454</v>
      </c>
      <c r="BB38" s="178">
        <f>IF(AND(ISNUMBER(BB37),ISNUMBER(AW37)),IFERROR(BB37/AW37-1,""),"")</f>
        <v>-0.800321537845573</v>
      </c>
      <c r="BC38" s="178">
        <f>IF(AND(ISNUMBER(BC37),ISNUMBER(AX37)),IFERROR(BC37/AX37-1,""),"")</f>
        <v>0.138796244035097</v>
      </c>
      <c r="BD38" s="178">
        <f>IF(AND(ISNUMBER(BD37),ISNUMBER(AY37)),IFERROR(BD37/AY37-1,""),"")</f>
        <v>0.220700566089042</v>
      </c>
      <c r="BE38" s="178">
        <f>IF(AND(ISNUMBER(BE37),ISNUMBER(AZ37)),IFERROR(BE37/AZ37-1,""),"")</f>
        <v>0.316578594725797</v>
      </c>
      <c r="BF38" s="178">
        <f>IF(AND(ISNUMBER(BF37),ISNUMBER(BA37)),IFERROR(BF37/BA37-1,""),"")</f>
        <v>0.256167116535618</v>
      </c>
      <c r="BG38" s="178">
        <f>IF(AND(ISNUMBER(BG37),ISNUMBER(BB37)),IFERROR(BG37/BB37-1,""),"")</f>
        <v>0.233762617042213</v>
      </c>
      <c r="BH38" s="178">
        <f>IF(AND(ISNUMBER(BH37),ISNUMBER(BC37)),IFERROR(BH37/BC37-1,""),"")</f>
        <v>0.11649544922051</v>
      </c>
      <c r="BI38" s="178">
        <f>IF(AND(ISNUMBER(BI37),ISNUMBER(BD37)),IFERROR(BI37/BD37-1,""),"")</f>
        <v>0.264696948218951</v>
      </c>
      <c r="BJ38" s="178">
        <f>IF(AND(ISNUMBER(BJ37),ISNUMBER(BE37)),IFERROR(BJ37/BE37-1,""),"")</f>
        <v>0.141842064833308</v>
      </c>
      <c r="BK38" s="178">
        <f>IF(AND(ISNUMBER(BK37),ISNUMBER(BF37)),IFERROR(BK37/BF37-1,""),"")</f>
        <v>-0.00295222257516026</v>
      </c>
      <c r="BL38" s="178">
        <f>IF(AND(ISNUMBER(BL37),ISNUMBER(BG37)),IFERROR(BL37/BG37-1,""),"")</f>
        <v>0.127758828250401</v>
      </c>
      <c r="BM38" s="178">
        <f>IF(AND(ISNUMBER(BM37),ISNUMBER(BH37)),IFERROR(BM37/BH37-1,""),"")</f>
        <v>0.0698561310760912</v>
      </c>
      <c r="BN38" s="178">
        <f>IF(AND(ISNUMBER(BN37),ISNUMBER(BI37)),IFERROR(BN37/BI37-1,""),"")</f>
        <v>-0.0645455709985269</v>
      </c>
      <c r="BO38" s="178">
        <f>IF(AND(ISNUMBER(BO37),ISNUMBER(BJ37)),IFERROR(BO37/BJ37-1,""),"")</f>
        <v>0.00364963503649629</v>
      </c>
      <c r="BP38" s="178">
        <f>IF(AND(ISNUMBER(BP37),ISNUMBER(BK37)),IFERROR(BP37/BK37-1,""),"")</f>
        <v>0.0984239425797868</v>
      </c>
      <c r="BQ38" s="178">
        <f>IF(AND(ISNUMBER(BQ37),ISNUMBER(BL37)),IFERROR(BQ37/BL37-1,""),"")</f>
        <v>0.0217942445403192</v>
      </c>
      <c r="BR38" s="178">
        <f>IF(AND(ISNUMBER(BR37),ISNUMBER(BM37)),IFERROR(BR37/BM37-1,""),"")</f>
        <v>0.224062164048207</v>
      </c>
      <c r="BS38" s="178">
        <f>IF(AND(ISNUMBER(BS37),ISNUMBER(BN37)),IFERROR(BS37/BN37-1,""),"")</f>
        <v>0.240358775097995</v>
      </c>
      <c r="BT38" s="178">
        <f>IF(AND(ISNUMBER(BT37),ISNUMBER(BO37)),IFERROR(BT37/BO37-1,""),"")</f>
        <v>0.283636363636364</v>
      </c>
      <c r="BU38" s="178">
        <f>IF(AND(ISNUMBER(BU37),ISNUMBER(BP37)),IFERROR(BU37/BP37-1,""),"")</f>
        <v>0.304454643167898</v>
      </c>
      <c r="BV38" s="178">
        <f>IF(AND(ISNUMBER(BV37),ISNUMBER(BQ37)),IFERROR(BV37/BQ37-1,""),"")</f>
        <v>0.264192748008532</v>
      </c>
      <c r="BW38" s="178">
        <f>IF(AND(ISNUMBER(BW37),ISNUMBER(BR37)),IFERROR(BW37/BR37-1,""),"")</f>
        <v>0.201414462026779</v>
      </c>
      <c r="BX38" s="178">
        <f>IF(AND(ISNUMBER(BX37),ISNUMBER(BS37)),IFERROR(BX37/BS37-1,""),"")</f>
        <v>0.210797234450685</v>
      </c>
      <c r="BY38" s="179">
        <f>BY22</f>
        <v>0.1</v>
      </c>
      <c r="BZ38" s="179">
        <f>BZ22</f>
        <v>0.09</v>
      </c>
      <c r="CA38" s="179">
        <f>IFERROR(CA37/BV37-1,"")</f>
        <v>0.147675356290652</v>
      </c>
      <c r="CB38" s="179">
        <f>CHOOSE(MATCH($CF$2,{"Bull","Base","Bear"},0),$CO$46,$CP$46,$CQ$46)</f>
        <v>0.07</v>
      </c>
      <c r="CC38" s="179">
        <f>CHOOSE(MATCH($CF$2,{"Bull","Base","Bear"},0),$CO$47,$CP$47,$CQ$47)</f>
        <v>0.065</v>
      </c>
      <c r="CD38" s="179">
        <f>CHOOSE(MATCH($CF$2,{"Bull","Base","Bear"},0),$CO$48,$CP$48,$CQ$48)</f>
        <v>0.06</v>
      </c>
      <c r="CE38" s="179">
        <f>CHOOSE(MATCH($CF$2,{"Bull","Base","Bear"},0),$CO$49,$CP$49,$CQ$49)</f>
        <v>0.06</v>
      </c>
      <c r="CF38" s="20" t="n"/>
      <c r="CN38" s="26" t="inlineStr">
        <is>
          <t xml:space="preserve">  2029E</t>
        </is>
      </c>
      <c r="CO38" s="194">
        <f>CP38+$CO$35</f>
        <v>0.075</v>
      </c>
      <c r="CP38" s="195" t="n">
        <v>0.045</v>
      </c>
      <c r="CQ38" s="194">
        <f>CP38+$CQ$35</f>
        <v>0.015</v>
      </c>
      <c r="CR38" s="196" t="n"/>
    </row>
    <row r="39" hidden="1" outlineLevel="2" ht="15" customHeight="1">
      <c r="B39" s="17" t="inlineStr">
        <is>
          <t xml:space="preserve">  Safety-Kleen Oil — base oil, blended lubricants &amp; collection services (Kleen Performance Products 2018)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33" t="n"/>
      <c r="AC39" s="33" t="n"/>
      <c r="AD39" s="33" t="n"/>
      <c r="AE39" s="33" t="n"/>
      <c r="AF39" s="33" t="n"/>
      <c r="AG39" s="33" t="n"/>
      <c r="AH39" s="33" t="n"/>
      <c r="AI39" s="175" t="n">
        <v>115.757</v>
      </c>
      <c r="AJ39" s="175" t="n">
        <v>128.681</v>
      </c>
      <c r="AK39" s="175" t="n">
        <v>133.22</v>
      </c>
      <c r="AL39" s="175" t="n">
        <v>122.62</v>
      </c>
      <c r="AM39" s="175" t="n">
        <v>500.278</v>
      </c>
      <c r="AN39" s="175" t="n">
        <v>99.464</v>
      </c>
      <c r="AO39" s="175" t="n">
        <v>125.748</v>
      </c>
      <c r="AP39" s="175" t="n">
        <v>123.978</v>
      </c>
      <c r="AQ39" s="175" t="n">
        <v>117.981</v>
      </c>
      <c r="AR39" s="175" t="n">
        <v>467.171</v>
      </c>
      <c r="AS39" s="175" t="n">
        <v>115.888</v>
      </c>
      <c r="AT39" s="175" t="n">
        <v>50.718</v>
      </c>
      <c r="AU39" s="175" t="n">
        <v>77.634</v>
      </c>
      <c r="AV39" s="175" t="n">
        <v>86.25</v>
      </c>
      <c r="AW39" s="175" t="n">
        <v>330.49</v>
      </c>
      <c r="AX39" s="175" t="n">
        <v>116.213</v>
      </c>
      <c r="AY39" s="175" t="n">
        <v>162.779</v>
      </c>
      <c r="AZ39" s="175" t="n">
        <v>168.038</v>
      </c>
      <c r="BA39" s="175" t="n">
        <v>170.743</v>
      </c>
      <c r="BB39" s="175" t="n">
        <v>617.773</v>
      </c>
      <c r="BC39" s="175" t="n">
        <v>183.851</v>
      </c>
      <c r="BD39" s="175" t="n">
        <v>222.346</v>
      </c>
      <c r="BE39" s="175" t="n">
        <v>230.699</v>
      </c>
      <c r="BF39" s="175" t="n">
        <v>184.869</v>
      </c>
      <c r="BG39" s="175" t="n">
        <v>821.765</v>
      </c>
      <c r="BH39" s="175" t="n">
        <v>196.739</v>
      </c>
      <c r="BI39" s="175" t="n">
        <v>173.85</v>
      </c>
      <c r="BJ39" s="175" t="n">
        <v>170.847</v>
      </c>
      <c r="BK39" s="175" t="n">
        <v>172.53</v>
      </c>
      <c r="BL39" s="175" t="n">
        <v>713.966</v>
      </c>
      <c r="BM39" s="175" t="n">
        <v>162.293</v>
      </c>
      <c r="BN39" s="175" t="n">
        <v>196.901</v>
      </c>
      <c r="BO39" s="175" t="n">
        <v>182.001</v>
      </c>
      <c r="BP39" s="175" t="n">
        <v>158.295</v>
      </c>
      <c r="BQ39" s="175" t="n">
        <v>699.49</v>
      </c>
      <c r="BR39" s="175" t="n">
        <v>159.914</v>
      </c>
      <c r="BS39" s="175" t="n">
        <v>147.243</v>
      </c>
      <c r="BT39" s="175" t="n">
        <v>154.156</v>
      </c>
      <c r="BU39" s="175" t="n">
        <v>132.561</v>
      </c>
      <c r="BV39" s="175" t="n">
        <v>593.874</v>
      </c>
      <c r="BW39" s="175" t="n">
        <v>139.116</v>
      </c>
      <c r="BX39" s="175" t="n">
        <v>202.735</v>
      </c>
      <c r="BY39" s="176">
        <f>BT39*(1+BY40)</f>
        <v>197.31968</v>
      </c>
      <c r="BZ39" s="176">
        <f>BU39*(1+BZ40)</f>
        <v>145.8171</v>
      </c>
      <c r="CA39" s="176">
        <f>SUM(BW39,BX39,BY39,BZ39)</f>
        <v>684.98778</v>
      </c>
      <c r="CB39" s="176">
        <f>CA39*(1+CB40)</f>
        <v>630.1887576</v>
      </c>
      <c r="CC39" s="176">
        <f>CB39*(1+CC40)</f>
        <v>642.792532752</v>
      </c>
      <c r="CD39" s="176">
        <f>CC39*(1+CD40)</f>
        <v>655.64838340704</v>
      </c>
      <c r="CE39" s="176">
        <f>CD39*(1+CE40)</f>
        <v>668.761351075181</v>
      </c>
      <c r="CF39" s="177" t="n"/>
      <c r="CH39" s="21">
        <f>IFERROR((CE39/BV39)^(1/5)-1,"n/m")</f>
        <v>0.0240363450469701</v>
      </c>
      <c r="CI39" s="21">
        <f>IFERROR((BV39/AW39)^(1/5)-1,"n/m")</f>
        <v>0.124364688491507</v>
      </c>
      <c r="CJ39" s="21" t="str">
        <f>IFERROR((BV39/X39)^(1/10)-1,"n/m")</f>
        <v>n/m</v>
      </c>
      <c r="CK39" s="21" t="str">
        <f>IFERROR((BV39/C39)^(1/19)-1,"n/m")</f>
        <v>n/m</v>
      </c>
      <c r="CN39" s="26" t="inlineStr">
        <is>
          <t xml:space="preserve">  2030E</t>
        </is>
      </c>
      <c r="CO39" s="194">
        <f>CP39+$CO$35</f>
        <v>0.075</v>
      </c>
      <c r="CP39" s="195" t="n">
        <v>0.045</v>
      </c>
      <c r="CQ39" s="194">
        <f>CP39+$CQ$35</f>
        <v>0.015</v>
      </c>
      <c r="CR39" s="196" t="n"/>
    </row>
    <row r="40" hidden="1" outlineLevel="2" ht="15" customHeight="1">
      <c r="B40" s="23" t="inlineStr">
        <is>
          <t xml:space="preserve">  Safety-Kleen Oil y/y %</t>
        </is>
      </c>
      <c r="C40" s="24" t="n"/>
      <c r="D40" s="178">
        <f>IF(AND(ISNUMBER(D39),ISNUMBER(C39)),IFERROR(D39/C39-1,""),"")</f>
      </c>
      <c r="E40" s="178">
        <f>IF(AND(ISNUMBER(E39),ISNUMBER(D39)),IFERROR(E39/D39-1,""),"")</f>
      </c>
      <c r="F40" s="178">
        <f>IF(AND(ISNUMBER(F39),ISNUMBER(E39)),IFERROR(F39/E39-1,""),"")</f>
      </c>
      <c r="G40" s="178">
        <f>IF(AND(ISNUMBER(G39),ISNUMBER(F39)),IFERROR(G39/F39-1,""),"")</f>
      </c>
      <c r="H40" s="178">
        <f>IF(AND(ISNUMBER(H39),ISNUMBER(G39)),IFERROR(H39/G39-1,""),"")</f>
      </c>
      <c r="I40" s="178">
        <f>IF(AND(ISNUMBER(I39),ISNUMBER(H39)),IFERROR(I39/H39-1,""),"")</f>
      </c>
      <c r="J40" s="24" t="n"/>
      <c r="K40" s="24" t="n"/>
      <c r="L40" s="24" t="n"/>
      <c r="M40" s="24" t="n"/>
      <c r="N40" s="178">
        <f>IF(AND(ISNUMBER(N39),ISNUMBER(I39)),IFERROR(N39/I39-1,""),"")</f>
      </c>
      <c r="O40" s="178">
        <f>IF(AND(ISNUMBER(O39),ISNUMBER(J39)),IFERROR(O39/J39-1,""),"")</f>
      </c>
      <c r="P40" s="178">
        <f>IF(AND(ISNUMBER(P39),ISNUMBER(K39)),IFERROR(P39/K39-1,""),"")</f>
      </c>
      <c r="Q40" s="178">
        <f>IF(AND(ISNUMBER(Q39),ISNUMBER(L39)),IFERROR(Q39/L39-1,""),"")</f>
      </c>
      <c r="R40" s="178">
        <f>IF(AND(ISNUMBER(R39),ISNUMBER(M39)),IFERROR(R39/M39-1,""),"")</f>
      </c>
      <c r="S40" s="178">
        <f>IF(AND(ISNUMBER(S39),ISNUMBER(N39)),IFERROR(S39/N39-1,""),"")</f>
      </c>
      <c r="T40" s="178">
        <f>IF(AND(ISNUMBER(T39),ISNUMBER(O39)),IFERROR(T39/O39-1,""),"")</f>
      </c>
      <c r="U40" s="178">
        <f>IF(AND(ISNUMBER(U39),ISNUMBER(P39)),IFERROR(U39/P39-1,""),"")</f>
      </c>
      <c r="V40" s="178">
        <f>IF(AND(ISNUMBER(V39),ISNUMBER(Q39)),IFERROR(V39/Q39-1,""),"")</f>
      </c>
      <c r="W40" s="178">
        <f>IF(AND(ISNUMBER(W39),ISNUMBER(R39)),IFERROR(W39/R39-1,""),"")</f>
      </c>
      <c r="X40" s="178">
        <f>IF(AND(ISNUMBER(X39),ISNUMBER(S39)),IFERROR(X39/S39-1,""),"")</f>
      </c>
      <c r="Y40" s="178">
        <f>IF(AND(ISNUMBER(Y39),ISNUMBER(T39)),IFERROR(Y39/T39-1,""),"")</f>
      </c>
      <c r="Z40" s="178">
        <f>IF(AND(ISNUMBER(Z39),ISNUMBER(U39)),IFERROR(Z39/U39-1,""),"")</f>
      </c>
      <c r="AA40" s="178">
        <f>IF(AND(ISNUMBER(AA39),ISNUMBER(V39)),IFERROR(AA39/V39-1,""),"")</f>
      </c>
      <c r="AB40" s="178">
        <f>IF(AND(ISNUMBER(AB39),ISNUMBER(W39)),IFERROR(AB39/W39-1,""),"")</f>
      </c>
      <c r="AC40" s="178">
        <f>IF(AND(ISNUMBER(AC39),ISNUMBER(X39)),IFERROR(AC39/X39-1,""),"")</f>
      </c>
      <c r="AD40" s="178">
        <f>IF(AND(ISNUMBER(AD39),ISNUMBER(Y39)),IFERROR(AD39/Y39-1,""),"")</f>
      </c>
      <c r="AE40" s="178">
        <f>IF(AND(ISNUMBER(AE39),ISNUMBER(Z39)),IFERROR(AE39/Z39-1,""),"")</f>
      </c>
      <c r="AF40" s="178">
        <f>IF(AND(ISNUMBER(AF39),ISNUMBER(AA39)),IFERROR(AF39/AA39-1,""),"")</f>
      </c>
      <c r="AG40" s="178">
        <f>IF(AND(ISNUMBER(AG39),ISNUMBER(AB39)),IFERROR(AG39/AB39-1,""),"")</f>
      </c>
      <c r="AH40" s="178">
        <f>IF(AND(ISNUMBER(AH39),ISNUMBER(AC39)),IFERROR(AH39/AC39-1,""),"")</f>
      </c>
      <c r="AI40" s="178">
        <f>IF(AND(ISNUMBER(AI39),ISNUMBER(AD39)),IFERROR(AI39/AD39-1,""),"")</f>
      </c>
      <c r="AJ40" s="178">
        <f>IF(AND(ISNUMBER(AJ39),ISNUMBER(AE39)),IFERROR(AJ39/AE39-1,""),"")</f>
      </c>
      <c r="AK40" s="178">
        <f>IF(AND(ISNUMBER(AK39),ISNUMBER(AF39)),IFERROR(AK39/AF39-1,""),"")</f>
      </c>
      <c r="AL40" s="178">
        <f>IF(AND(ISNUMBER(AL39),ISNUMBER(AG39)),IFERROR(AL39/AG39-1,""),"")</f>
      </c>
      <c r="AM40" s="178">
        <f>IF(AND(ISNUMBER(AM39),ISNUMBER(AH39)),IFERROR(AM39/AH39-1,""),"")</f>
      </c>
      <c r="AN40" s="178">
        <f>IF(AND(ISNUMBER(AN39),ISNUMBER(AI39)),IFERROR(AN39/AI39-1,""),"")</f>
        <v>-0.140751747194554</v>
      </c>
      <c r="AO40" s="178">
        <f>IF(AND(ISNUMBER(AO39),ISNUMBER(AJ39)),IFERROR(AO39/AJ39-1,""),"")</f>
        <v>-0.0227927976935213</v>
      </c>
      <c r="AP40" s="178">
        <f>IF(AND(ISNUMBER(AP39),ISNUMBER(AK39)),IFERROR(AP39/AK39-1,""),"")</f>
        <v>-0.0693739678726918</v>
      </c>
      <c r="AQ40" s="178">
        <f>IF(AND(ISNUMBER(AQ39),ISNUMBER(AL39)),IFERROR(AQ39/AL39-1,""),"")</f>
        <v>-0.0378323275159028</v>
      </c>
      <c r="AR40" s="178">
        <f>IF(AND(ISNUMBER(AR39),ISNUMBER(AM39)),IFERROR(AR39/AM39-1,""),"")</f>
        <v>-0.0661772054737566</v>
      </c>
      <c r="AS40" s="178">
        <f>IF(AND(ISNUMBER(AS39),ISNUMBER(AN39)),IFERROR(AS39/AN39-1,""),"")</f>
        <v>0.165125070377222</v>
      </c>
      <c r="AT40" s="178">
        <f>IF(AND(ISNUMBER(AT39),ISNUMBER(AO39)),IFERROR(AT39/AO39-1,""),"")</f>
        <v>-0.596669529535261</v>
      </c>
      <c r="AU40" s="178">
        <f>IF(AND(ISNUMBER(AU39),ISNUMBER(AP39)),IFERROR(AU39/AP39-1,""),"")</f>
        <v>-0.373808256303538</v>
      </c>
      <c r="AV40" s="178">
        <f>IF(AND(ISNUMBER(AV39),ISNUMBER(AQ39)),IFERROR(AV39/AQ39-1,""),"")</f>
        <v>-0.268950085183207</v>
      </c>
      <c r="AW40" s="178">
        <f>IF(AND(ISNUMBER(AW39),ISNUMBER(AR39)),IFERROR(AW39/AR39-1,""),"")</f>
        <v>-0.292571670758673</v>
      </c>
      <c r="AX40" s="178">
        <f>IF(AND(ISNUMBER(AX39),ISNUMBER(AS39)),IFERROR(AX39/AS39-1,""),"")</f>
        <v>0.00280443186524915</v>
      </c>
      <c r="AY40" s="178">
        <f>IF(AND(ISNUMBER(AY39),ISNUMBER(AT39)),IFERROR(AY39/AT39-1,""),"")</f>
        <v>2.2094916991995</v>
      </c>
      <c r="AZ40" s="178">
        <f>IF(AND(ISNUMBER(AZ39),ISNUMBER(AU39)),IFERROR(AZ39/AU39-1,""),"")</f>
        <v>1.1644897854033</v>
      </c>
      <c r="BA40" s="178">
        <f>IF(AND(ISNUMBER(BA39),ISNUMBER(AV39)),IFERROR(BA39/AV39-1,""),"")</f>
        <v>0.979628985507246</v>
      </c>
      <c r="BB40" s="178">
        <f>IF(AND(ISNUMBER(BB39),ISNUMBER(AW39)),IFERROR(BB39/AW39-1,""),"")</f>
        <v>0.869263820387909</v>
      </c>
      <c r="BC40" s="178">
        <f>IF(AND(ISNUMBER(BC39),ISNUMBER(AX39)),IFERROR(BC39/AX39-1,""),"")</f>
        <v>0.582017502344832</v>
      </c>
      <c r="BD40" s="178">
        <f>IF(AND(ISNUMBER(BD39),ISNUMBER(AY39)),IFERROR(BD39/AY39-1,""),"")</f>
        <v>0.365937866678134</v>
      </c>
      <c r="BE40" s="178">
        <f>IF(AND(ISNUMBER(BE39),ISNUMBER(AZ39)),IFERROR(BE39/AZ39-1,""),"")</f>
        <v>0.372897796926886</v>
      </c>
      <c r="BF40" s="178">
        <f>IF(AND(ISNUMBER(BF39),ISNUMBER(BA39)),IFERROR(BF39/BA39-1,""),"")</f>
        <v>0.0827325278342304</v>
      </c>
      <c r="BG40" s="178">
        <f>IF(AND(ISNUMBER(BG39),ISNUMBER(BB39)),IFERROR(BG39/BB39-1,""),"")</f>
        <v>0.330205431444883</v>
      </c>
      <c r="BH40" s="178">
        <f>IF(AND(ISNUMBER(BH39),ISNUMBER(BC39)),IFERROR(BH39/BC39-1,""),"")</f>
        <v>0.0701002442195038</v>
      </c>
      <c r="BI40" s="178">
        <f>IF(AND(ISNUMBER(BI39),ISNUMBER(BD39)),IFERROR(BI39/BD39-1,""),"")</f>
        <v>-0.218110512444568</v>
      </c>
      <c r="BJ40" s="178">
        <f>IF(AND(ISNUMBER(BJ39),ISNUMBER(BE39)),IFERROR(BJ39/BE39-1,""),"")</f>
        <v>-0.259437622183018</v>
      </c>
      <c r="BK40" s="178">
        <f>IF(AND(ISNUMBER(BK39),ISNUMBER(BF39)),IFERROR(BK39/BF39-1,""),"")</f>
        <v>-0.0667445596611654</v>
      </c>
      <c r="BL40" s="178">
        <f>IF(AND(ISNUMBER(BL39),ISNUMBER(BG39)),IFERROR(BL39/BG39-1,""),"")</f>
        <v>-0.131179838518311</v>
      </c>
      <c r="BM40" s="178">
        <f>IF(AND(ISNUMBER(BM39),ISNUMBER(BH39)),IFERROR(BM39/BH39-1,""),"")</f>
        <v>-0.17508475696227</v>
      </c>
      <c r="BN40" s="178">
        <f>IF(AND(ISNUMBER(BN39),ISNUMBER(BI39)),IFERROR(BN39/BI39-1,""),"")</f>
        <v>0.132591314351453</v>
      </c>
      <c r="BO40" s="178">
        <f>IF(AND(ISNUMBER(BO39),ISNUMBER(BJ39)),IFERROR(BO39/BJ39-1,""),"")</f>
        <v>0.0652864843983212</v>
      </c>
      <c r="BP40" s="178">
        <f>IF(AND(ISNUMBER(BP39),ISNUMBER(BK39)),IFERROR(BP39/BK39-1,""),"")</f>
        <v>-0.0825073900191272</v>
      </c>
      <c r="BQ40" s="178">
        <f>IF(AND(ISNUMBER(BQ39),ISNUMBER(BL39)),IFERROR(BQ39/BL39-1,""),"")</f>
        <v>-0.0202754753027455</v>
      </c>
      <c r="BR40" s="178">
        <f>IF(AND(ISNUMBER(BR39),ISNUMBER(BM39)),IFERROR(BR39/BM39-1,""),"")</f>
        <v>-0.0146586728940867</v>
      </c>
      <c r="BS40" s="178">
        <f>IF(AND(ISNUMBER(BS39),ISNUMBER(BN39)),IFERROR(BS39/BN39-1,""),"")</f>
        <v>-0.252197804988294</v>
      </c>
      <c r="BT40" s="178">
        <f>IF(AND(ISNUMBER(BT39),ISNUMBER(BO39)),IFERROR(BT39/BO39-1,""),"")</f>
        <v>-0.152993664869973</v>
      </c>
      <c r="BU40" s="178">
        <f>IF(AND(ISNUMBER(BU39),ISNUMBER(BP39)),IFERROR(BU39/BP39-1,""),"")</f>
        <v>-0.162569885340661</v>
      </c>
      <c r="BV40" s="178">
        <f>IF(AND(ISNUMBER(BV39),ISNUMBER(BQ39)),IFERROR(BV39/BQ39-1,""),"")</f>
        <v>-0.150990007005104</v>
      </c>
      <c r="BW40" s="178">
        <f>IF(AND(ISNUMBER(BW39),ISNUMBER(BR39)),IFERROR(BW39/BR39-1,""),"")</f>
        <v>-0.130057405855647</v>
      </c>
      <c r="BX40" s="178">
        <f>IF(AND(ISNUMBER(BX39),ISNUMBER(BS39)),IFERROR(BX39/BS39-1,""),"")</f>
        <v>0.376873603498978</v>
      </c>
      <c r="BY40" s="179">
        <f>BY41</f>
        <v>0.28</v>
      </c>
      <c r="BZ40" s="179">
        <f>BZ41</f>
        <v>0.1</v>
      </c>
      <c r="CA40" s="179">
        <f>IFERROR(CA39/BV39-1,"")</f>
        <v>0.153422746239101</v>
      </c>
      <c r="CB40" s="179">
        <f>CHOOSE(MATCH($CF$2,{"Bull","Base","Bear"},0),$CO$51,$CP$51,$CQ$51)</f>
        <v>-0.08</v>
      </c>
      <c r="CC40" s="179">
        <f>CHOOSE(MATCH($CF$2,{"Bull","Base","Bear"},0),$CO$52,$CP$52,$CQ$52)</f>
        <v>0.02</v>
      </c>
      <c r="CD40" s="179">
        <f>CHOOSE(MATCH($CF$2,{"Bull","Base","Bear"},0),$CO$53,$CP$53,$CQ$53)</f>
        <v>0.02</v>
      </c>
      <c r="CE40" s="179">
        <f>CHOOSE(MATCH($CF$2,{"Bull","Base","Bear"},0),$CO$54,$CP$54,$CQ$54)</f>
        <v>0.02</v>
      </c>
      <c r="CF40" s="20" t="inlineStr">
        <is>
          <t>2027E+: scenario lever SKOIL_growth (base-oil pricing normalisation after the 2026 supply-disruption spike, then volume/blended mix growth).</t>
        </is>
      </c>
      <c r="CN40" s="16" t="inlineStr">
        <is>
          <t>IS_growth (Industrial Services &amp; Other y/y)</t>
        </is>
      </c>
      <c r="CO40" s="192" t="n">
        <v>0.02</v>
      </c>
      <c r="CP40" s="22" t="inlineStr">
        <is>
          <t>Δ →</t>
        </is>
      </c>
      <c r="CQ40" s="192" t="n">
        <v>-0.02</v>
      </c>
      <c r="CR40" s="14" t="inlineStr">
        <is>
          <t>Refinery / chemical turnarounds; data-center offering; FY24–25 −3% / −4%.</t>
        </is>
      </c>
    </row>
    <row r="41" hidden="1" outlineLevel="2" ht="15" customHeight="1">
      <c r="B41" s="26" t="inlineStr">
        <is>
          <t xml:space="preserve">  Q3/Q4-26E growth input (base-oil pricing)</t>
        </is>
      </c>
      <c r="C41" s="181" t="n"/>
      <c r="D41" s="181" t="n"/>
      <c r="E41" s="181" t="n"/>
      <c r="F41" s="181" t="n"/>
      <c r="G41" s="181" t="n"/>
      <c r="H41" s="181" t="n"/>
      <c r="I41" s="181" t="n"/>
      <c r="J41" s="181" t="n"/>
      <c r="K41" s="181" t="n"/>
      <c r="L41" s="181" t="n"/>
      <c r="M41" s="181" t="n"/>
      <c r="N41" s="181" t="n"/>
      <c r="O41" s="181" t="n"/>
      <c r="P41" s="181" t="n"/>
      <c r="Q41" s="181" t="n"/>
      <c r="R41" s="181" t="n"/>
      <c r="S41" s="181" t="n"/>
      <c r="T41" s="181" t="n"/>
      <c r="U41" s="181" t="n"/>
      <c r="V41" s="181" t="n"/>
      <c r="W41" s="181" t="n"/>
      <c r="X41" s="181" t="n"/>
      <c r="Y41" s="181" t="n"/>
      <c r="Z41" s="181" t="n"/>
      <c r="AA41" s="181" t="n"/>
      <c r="AB41" s="181" t="n"/>
      <c r="AC41" s="181" t="n"/>
      <c r="AD41" s="181" t="n"/>
      <c r="AE41" s="181" t="n"/>
      <c r="AF41" s="181" t="n"/>
      <c r="AG41" s="181" t="n"/>
      <c r="AH41" s="181" t="n"/>
      <c r="AI41" s="181" t="n"/>
      <c r="AJ41" s="181" t="n"/>
      <c r="AK41" s="181" t="n"/>
      <c r="AL41" s="181" t="n"/>
      <c r="AM41" s="181" t="n"/>
      <c r="AN41" s="181" t="n"/>
      <c r="AO41" s="181" t="n"/>
      <c r="AP41" s="181" t="n"/>
      <c r="AQ41" s="181" t="n"/>
      <c r="AR41" s="181" t="n"/>
      <c r="AS41" s="181" t="n"/>
      <c r="AT41" s="181" t="n"/>
      <c r="AU41" s="181" t="n"/>
      <c r="AV41" s="181" t="n"/>
      <c r="AW41" s="181" t="n"/>
      <c r="AX41" s="181" t="n"/>
      <c r="AY41" s="181" t="n"/>
      <c r="AZ41" s="181" t="n"/>
      <c r="BA41" s="181" t="n"/>
      <c r="BB41" s="181" t="n"/>
      <c r="BC41" s="181" t="n"/>
      <c r="BD41" s="181" t="n"/>
      <c r="BE41" s="181" t="n"/>
      <c r="BF41" s="181" t="n"/>
      <c r="BG41" s="181" t="n"/>
      <c r="BH41" s="181" t="n"/>
      <c r="BI41" s="181" t="n"/>
      <c r="BJ41" s="181" t="n"/>
      <c r="BK41" s="181" t="n"/>
      <c r="BL41" s="181" t="n"/>
      <c r="BM41" s="181" t="n"/>
      <c r="BN41" s="181" t="n"/>
      <c r="BO41" s="181" t="n"/>
      <c r="BP41" s="181" t="n"/>
      <c r="BQ41" s="181" t="n"/>
      <c r="BR41" s="181" t="n"/>
      <c r="BS41" s="181" t="n"/>
      <c r="BT41" s="181" t="n"/>
      <c r="BU41" s="181" t="n"/>
      <c r="BV41" s="181" t="n"/>
      <c r="BW41" s="181" t="n"/>
      <c r="BX41" s="181" t="n"/>
      <c r="BY41" s="182" t="n">
        <v>0.28</v>
      </c>
      <c r="BZ41" s="182" t="n">
        <v>0.1</v>
      </c>
      <c r="CA41" s="169" t="n"/>
      <c r="CB41" s="169" t="n"/>
      <c r="CC41" s="169" t="n"/>
      <c r="CD41" s="169" t="n"/>
      <c r="CE41" s="169" t="n"/>
      <c r="CF41" s="20" t="inlineStr">
        <is>
          <t>Q2/26 +37.7% y/y on refined-product supply disruption; company expects conditions to extend into Q3. Q4 input assumes partial normalisation.</t>
        </is>
      </c>
      <c r="CN41" s="26" t="inlineStr">
        <is>
          <t xml:space="preserve">  2027E</t>
        </is>
      </c>
      <c r="CO41" s="194">
        <f>CP41+$CO$40</f>
        <v>0.05</v>
      </c>
      <c r="CP41" s="195" t="n">
        <v>0.03</v>
      </c>
      <c r="CQ41" s="194">
        <f>CP41+$CQ$40</f>
        <v>0.01</v>
      </c>
      <c r="CR41" s="196" t="n"/>
    </row>
    <row r="42" hidden="1" outlineLevel="2" ht="15" customHeight="1">
      <c r="B42" s="26" t="inlineStr">
        <is>
          <t xml:space="preserve">  SKSS third-party revenues</t>
        </is>
      </c>
      <c r="C42" s="184" t="n"/>
      <c r="D42" s="184" t="n"/>
      <c r="E42" s="184" t="n"/>
      <c r="F42" s="184" t="n"/>
      <c r="G42" s="184" t="n"/>
      <c r="H42" s="184" t="n"/>
      <c r="I42" s="184" t="n"/>
      <c r="J42" s="184" t="n"/>
      <c r="K42" s="184" t="n"/>
      <c r="L42" s="184" t="n"/>
      <c r="M42" s="184" t="n"/>
      <c r="N42" s="184" t="n"/>
      <c r="O42" s="184" t="n"/>
      <c r="P42" s="184" t="n"/>
      <c r="Q42" s="184" t="n"/>
      <c r="R42" s="184" t="n"/>
      <c r="S42" s="184" t="n"/>
      <c r="T42" s="184" t="n"/>
      <c r="U42" s="184" t="n"/>
      <c r="V42" s="184" t="n"/>
      <c r="W42" s="184" t="n"/>
      <c r="X42" s="184" t="n"/>
      <c r="Y42" s="184" t="n"/>
      <c r="Z42" s="184" t="n"/>
      <c r="AA42" s="184" t="n"/>
      <c r="AB42" s="184" t="n"/>
      <c r="AC42" s="184" t="n"/>
      <c r="AD42" s="185" t="n">
        <v>292.901</v>
      </c>
      <c r="AE42" s="185" t="n">
        <v>302.956</v>
      </c>
      <c r="AF42" s="185" t="n">
        <v>315.028</v>
      </c>
      <c r="AG42" s="185" t="n">
        <v>302.818</v>
      </c>
      <c r="AH42" s="185" t="n">
        <v>1213.703</v>
      </c>
      <c r="AI42" s="185" t="n">
        <v>309.918</v>
      </c>
      <c r="AJ42" s="185" t="n">
        <v>328.715</v>
      </c>
      <c r="AK42" s="185" t="n">
        <v>333.901</v>
      </c>
      <c r="AL42" s="185" t="n">
        <v>322.821</v>
      </c>
      <c r="AM42" s="185" t="n">
        <v>1295.355</v>
      </c>
      <c r="AN42" s="185" t="n">
        <v>306.547</v>
      </c>
      <c r="AO42" s="185" t="n">
        <v>342.182</v>
      </c>
      <c r="AP42" s="185" t="n">
        <v>341.417</v>
      </c>
      <c r="AQ42" s="185" t="n">
        <v>328.545</v>
      </c>
      <c r="AR42" s="185" t="n">
        <v>1318.691</v>
      </c>
      <c r="AS42" s="185" t="n">
        <v>330.369</v>
      </c>
      <c r="AT42" s="185" t="n">
        <v>245.59</v>
      </c>
      <c r="AU42" s="185" t="n">
        <v>281.089</v>
      </c>
      <c r="AV42" s="185" t="n">
        <v>282.678</v>
      </c>
      <c r="AW42" s="185" t="n">
        <v>1139.726</v>
      </c>
      <c r="AX42" s="185" t="n">
        <v>155.191</v>
      </c>
      <c r="AY42" s="185" t="n">
        <v>203.232</v>
      </c>
      <c r="AZ42" s="185" t="n">
        <v>207.589</v>
      </c>
      <c r="BA42" s="185" t="n">
        <v>213.348</v>
      </c>
      <c r="BB42" s="185" t="n">
        <v>779.36</v>
      </c>
      <c r="BC42" s="185" t="n">
        <v>228.239</v>
      </c>
      <c r="BD42" s="185" t="n">
        <v>271.727</v>
      </c>
      <c r="BE42" s="185" t="n">
        <v>282.771</v>
      </c>
      <c r="BF42" s="185" t="n">
        <v>238.388</v>
      </c>
      <c r="BG42" s="185" t="n">
        <v>1021.125</v>
      </c>
      <c r="BH42" s="185" t="n">
        <v>246.298</v>
      </c>
      <c r="BI42" s="185" t="n">
        <v>236.302</v>
      </c>
      <c r="BJ42" s="185" t="n">
        <v>230.305</v>
      </c>
      <c r="BK42" s="185" t="n">
        <v>225.891</v>
      </c>
      <c r="BL42" s="185" t="n">
        <v>938.796</v>
      </c>
      <c r="BM42" s="185" t="n">
        <v>215.314</v>
      </c>
      <c r="BN42" s="185" t="n">
        <v>255.322</v>
      </c>
      <c r="BO42" s="185" t="n">
        <v>241.676</v>
      </c>
      <c r="BP42" s="185" t="n">
        <v>216.908</v>
      </c>
      <c r="BQ42" s="185" t="n">
        <v>929.22</v>
      </c>
      <c r="BR42" s="185" t="n">
        <v>224.815</v>
      </c>
      <c r="BS42" s="185" t="n">
        <v>219.706</v>
      </c>
      <c r="BT42" s="185" t="n">
        <v>230.757</v>
      </c>
      <c r="BU42" s="185" t="n">
        <v>209.019</v>
      </c>
      <c r="BV42" s="185" t="n">
        <v>884.297</v>
      </c>
      <c r="BW42" s="185" t="n">
        <v>217.089</v>
      </c>
      <c r="BX42" s="185" t="n">
        <v>290.473</v>
      </c>
      <c r="BY42" s="186">
        <f>BY37+BY39</f>
        <v>281.58078</v>
      </c>
      <c r="BZ42" s="186">
        <f>BZ37+BZ39</f>
        <v>229.15632</v>
      </c>
      <c r="CA42" s="186">
        <f>SUM(BW42,BX42,BY42,BZ42)</f>
        <v>1018.2991</v>
      </c>
      <c r="CB42" s="186">
        <f>CB37+CB39</f>
        <v>986.83187</v>
      </c>
      <c r="CC42" s="186">
        <f>CC37+CC39</f>
        <v>1022.617447458</v>
      </c>
      <c r="CD42" s="186">
        <f>CD37+CD39</f>
        <v>1058.2627929954</v>
      </c>
      <c r="CE42" s="186">
        <f>CE37+CE39</f>
        <v>1095.53262523884</v>
      </c>
      <c r="CF42" s="20" t="n"/>
      <c r="CN42" s="26" t="inlineStr">
        <is>
          <t xml:space="preserve">  2028E</t>
        </is>
      </c>
      <c r="CO42" s="194">
        <f>CP42+$CO$40</f>
        <v>0.055</v>
      </c>
      <c r="CP42" s="195" t="n">
        <v>0.035</v>
      </c>
      <c r="CQ42" s="194">
        <f>CP42+$CQ$40</f>
        <v>0.015</v>
      </c>
      <c r="CR42" s="196" t="n"/>
    </row>
    <row r="43" hidden="1" outlineLevel="2" ht="15" customHeight="1">
      <c r="B43" s="26" t="inlineStr">
        <is>
          <t xml:space="preserve">  Intersegment revenues (expenses), net</t>
        </is>
      </c>
      <c r="C43" s="184" t="n"/>
      <c r="D43" s="184" t="n"/>
      <c r="E43" s="184" t="n"/>
      <c r="F43" s="184" t="n"/>
      <c r="G43" s="184" t="n"/>
      <c r="H43" s="184" t="n"/>
      <c r="I43" s="184" t="n"/>
      <c r="J43" s="184" t="n"/>
      <c r="K43" s="184" t="n"/>
      <c r="L43" s="184" t="n"/>
      <c r="M43" s="184" t="n"/>
      <c r="N43" s="184" t="n"/>
      <c r="O43" s="184" t="n"/>
      <c r="P43" s="184" t="n"/>
      <c r="Q43" s="184" t="n"/>
      <c r="R43" s="184" t="n"/>
      <c r="S43" s="184" t="n"/>
      <c r="T43" s="184" t="n"/>
      <c r="U43" s="184" t="n"/>
      <c r="V43" s="184" t="n"/>
      <c r="W43" s="184" t="n"/>
      <c r="X43" s="184" t="n"/>
      <c r="Y43" s="184" t="n"/>
      <c r="Z43" s="184" t="n"/>
      <c r="AA43" s="184" t="n"/>
      <c r="AB43" s="184" t="n"/>
      <c r="AC43" s="184" t="n"/>
      <c r="AD43" s="185" t="n">
        <v>-32.066</v>
      </c>
      <c r="AE43" s="185" t="n">
        <v>-31.641</v>
      </c>
      <c r="AF43" s="185" t="n">
        <v>-31.754</v>
      </c>
      <c r="AG43" s="185" t="n">
        <v>-30.356</v>
      </c>
      <c r="AH43" s="185" t="n">
        <v>-125.817</v>
      </c>
      <c r="AI43" s="185" t="n">
        <v>-31.954</v>
      </c>
      <c r="AJ43" s="185" t="n">
        <v>-34.28</v>
      </c>
      <c r="AK43" s="185" t="n">
        <v>-33.016</v>
      </c>
      <c r="AL43" s="185" t="n">
        <v>-34.823</v>
      </c>
      <c r="AM43" s="185" t="n">
        <v>-134.073</v>
      </c>
      <c r="AN43" s="185" t="n">
        <v>-34.07</v>
      </c>
      <c r="AO43" s="185" t="n">
        <v>-36.198</v>
      </c>
      <c r="AP43" s="185" t="n">
        <v>-35.272</v>
      </c>
      <c r="AQ43" s="185" t="n">
        <v>-35.022</v>
      </c>
      <c r="AR43" s="185" t="n">
        <v>-140.562</v>
      </c>
      <c r="AS43" s="185" t="n">
        <v>-37.157</v>
      </c>
      <c r="AT43" s="185" t="n">
        <v>-31.034</v>
      </c>
      <c r="AU43" s="185" t="n">
        <v>-29.449</v>
      </c>
      <c r="AV43" s="185" t="n">
        <v>-31.884</v>
      </c>
      <c r="AW43" s="185" t="n">
        <v>-129.524</v>
      </c>
      <c r="AX43" s="185" t="n">
        <v>-1.724</v>
      </c>
      <c r="AY43" s="185" t="n">
        <v>-0.95</v>
      </c>
      <c r="AZ43" s="185" t="n">
        <v>-1.802</v>
      </c>
      <c r="BA43" s="185" t="n">
        <v>-2.071</v>
      </c>
      <c r="BB43" s="185" t="n">
        <v>-6.547</v>
      </c>
      <c r="BC43" s="185" t="n">
        <v>-6.647</v>
      </c>
      <c r="BD43" s="185" t="n">
        <v>-6.237</v>
      </c>
      <c r="BE43" s="185" t="n">
        <v>-6.452</v>
      </c>
      <c r="BF43" s="185" t="n">
        <v>-7.397</v>
      </c>
      <c r="BG43" s="185" t="n">
        <v>-26.733</v>
      </c>
      <c r="BH43" s="185" t="n">
        <v>-9.759</v>
      </c>
      <c r="BI43" s="185" t="n">
        <v>-10.554</v>
      </c>
      <c r="BJ43" s="185" t="n">
        <v>-11.084</v>
      </c>
      <c r="BK43" s="185" t="n">
        <v>-10.136</v>
      </c>
      <c r="BL43" s="185" t="n">
        <v>-41.533</v>
      </c>
      <c r="BM43" s="185" t="n">
        <v>-11.231</v>
      </c>
      <c r="BN43" s="185" t="n">
        <v>-12.085</v>
      </c>
      <c r="BO43" s="185" t="n">
        <v>-9.537000000000001</v>
      </c>
      <c r="BP43" s="185" t="n">
        <v>-11.569</v>
      </c>
      <c r="BQ43" s="185" t="n">
        <v>-44.422</v>
      </c>
      <c r="BR43" s="185" t="n">
        <v>-2.075</v>
      </c>
      <c r="BS43" s="185" t="n">
        <v>-21.976</v>
      </c>
      <c r="BT43" s="185" t="n">
        <v>-12.72</v>
      </c>
      <c r="BU43" s="185" t="n">
        <v>-10.165</v>
      </c>
      <c r="BV43" s="185" t="n">
        <v>-46.936</v>
      </c>
      <c r="BW43" s="185" t="n">
        <v>-10.078</v>
      </c>
      <c r="BX43" s="185" t="n">
        <v>-12.031</v>
      </c>
      <c r="BY43" s="186">
        <f>-BY25</f>
        <v>-11.0545</v>
      </c>
      <c r="BZ43" s="186">
        <f>-BZ25</f>
        <v>-11.0545</v>
      </c>
      <c r="CA43" s="186">
        <f>SUM(BW43,BX43,BY43,BZ43)</f>
        <v>-44.218</v>
      </c>
      <c r="CB43" s="186">
        <f>-CB25</f>
        <v>-46.89407285344</v>
      </c>
      <c r="CC43" s="186">
        <f>-CC25</f>
        <v>-49.6671320473814</v>
      </c>
      <c r="CD43" s="186">
        <f>-CD25</f>
        <v>-52.4246585761627</v>
      </c>
      <c r="CE43" s="186">
        <f>-CE25</f>
        <v>-55.2419796529758</v>
      </c>
      <c r="CF43" s="20" t="n"/>
      <c r="CN43" s="26" t="inlineStr">
        <is>
          <t xml:space="preserve">  2029E</t>
        </is>
      </c>
      <c r="CO43" s="194">
        <f>CP43+$CO$40</f>
        <v>0.055</v>
      </c>
      <c r="CP43" s="195" t="n">
        <v>0.035</v>
      </c>
      <c r="CQ43" s="194">
        <f>CP43+$CQ$40</f>
        <v>0.015</v>
      </c>
      <c r="CR43" s="196" t="n"/>
    </row>
    <row r="44" hidden="1" outlineLevel="2" ht="15" customHeight="1">
      <c r="B44" s="17" t="inlineStr">
        <is>
          <t xml:space="preserve">  SKSS direct revenues (segment revenues)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  <c r="Y44" s="33" t="n"/>
      <c r="Z44" s="33" t="n"/>
      <c r="AA44" s="33" t="n"/>
      <c r="AB44" s="33" t="n"/>
      <c r="AC44" s="33" t="n"/>
      <c r="AD44" s="175" t="n">
        <v>260.835</v>
      </c>
      <c r="AE44" s="175" t="n">
        <v>271.315</v>
      </c>
      <c r="AF44" s="175" t="n">
        <v>283.274</v>
      </c>
      <c r="AG44" s="175" t="n">
        <v>272.462</v>
      </c>
      <c r="AH44" s="175" t="n">
        <v>1087.886</v>
      </c>
      <c r="AI44" s="175" t="n">
        <v>277.964</v>
      </c>
      <c r="AJ44" s="175" t="n">
        <v>294.435</v>
      </c>
      <c r="AK44" s="175" t="n">
        <v>300.885</v>
      </c>
      <c r="AL44" s="175" t="n">
        <v>287.998</v>
      </c>
      <c r="AM44" s="175" t="n">
        <v>1161.282</v>
      </c>
      <c r="AN44" s="175" t="n">
        <v>272.477</v>
      </c>
      <c r="AO44" s="175" t="n">
        <v>305.984</v>
      </c>
      <c r="AP44" s="175" t="n">
        <v>306.145</v>
      </c>
      <c r="AQ44" s="175" t="n">
        <v>293.523</v>
      </c>
      <c r="AR44" s="175" t="n">
        <v>1178.129</v>
      </c>
      <c r="AS44" s="175" t="n">
        <v>293.212</v>
      </c>
      <c r="AT44" s="175" t="n">
        <v>214.556</v>
      </c>
      <c r="AU44" s="175" t="n">
        <v>251.64</v>
      </c>
      <c r="AV44" s="175" t="n">
        <v>250.794</v>
      </c>
      <c r="AW44" s="175" t="n">
        <v>1010.202</v>
      </c>
      <c r="AX44" s="175" t="n">
        <v>153.467</v>
      </c>
      <c r="AY44" s="175" t="n">
        <v>202.282</v>
      </c>
      <c r="AZ44" s="175" t="n">
        <v>205.787</v>
      </c>
      <c r="BA44" s="175" t="n">
        <v>211.277</v>
      </c>
      <c r="BB44" s="175" t="n">
        <v>772.813</v>
      </c>
      <c r="BC44" s="175" t="n">
        <v>221.592</v>
      </c>
      <c r="BD44" s="175" t="n">
        <v>265.49</v>
      </c>
      <c r="BE44" s="175" t="n">
        <v>276.319</v>
      </c>
      <c r="BF44" s="175" t="n">
        <v>230.991</v>
      </c>
      <c r="BG44" s="175" t="n">
        <v>994.3920000000001</v>
      </c>
      <c r="BH44" s="175" t="n">
        <v>236.539</v>
      </c>
      <c r="BI44" s="175" t="n">
        <v>225.748</v>
      </c>
      <c r="BJ44" s="175" t="n">
        <v>219.221</v>
      </c>
      <c r="BK44" s="175" t="n">
        <v>215.755</v>
      </c>
      <c r="BL44" s="175" t="n">
        <v>897.263</v>
      </c>
      <c r="BM44" s="175" t="n">
        <v>204.083</v>
      </c>
      <c r="BN44" s="175" t="n">
        <v>243.237</v>
      </c>
      <c r="BO44" s="175" t="n">
        <v>232.139</v>
      </c>
      <c r="BP44" s="175" t="n">
        <v>205.339</v>
      </c>
      <c r="BQ44" s="175" t="n">
        <v>884.798</v>
      </c>
      <c r="BR44" s="175" t="n">
        <v>222.74</v>
      </c>
      <c r="BS44" s="175" t="n">
        <v>197.73</v>
      </c>
      <c r="BT44" s="175" t="n">
        <v>218.037</v>
      </c>
      <c r="BU44" s="175" t="n">
        <v>198.854</v>
      </c>
      <c r="BV44" s="175" t="n">
        <v>837.361</v>
      </c>
      <c r="BW44" s="175" t="n">
        <v>207.011</v>
      </c>
      <c r="BX44" s="175" t="n">
        <v>278.442</v>
      </c>
      <c r="BY44" s="176">
        <f>BY42+BY43</f>
        <v>270.52628</v>
      </c>
      <c r="BZ44" s="176">
        <f>BZ42+BZ43</f>
        <v>218.10182</v>
      </c>
      <c r="CA44" s="176">
        <f>SUM(BW44,BX44,BY44,BZ44)</f>
        <v>974.0811</v>
      </c>
      <c r="CB44" s="176">
        <f>CB42+CB43</f>
        <v>939.93779714656</v>
      </c>
      <c r="CC44" s="176">
        <f>CC42+CC43</f>
        <v>972.950315410619</v>
      </c>
      <c r="CD44" s="176">
        <f>CD42+CD43</f>
        <v>1005.83813441924</v>
      </c>
      <c r="CE44" s="176">
        <f>CE42+CE43</f>
        <v>1040.29064558587</v>
      </c>
      <c r="CF44" s="177" t="n"/>
      <c r="CH44" s="21">
        <f>IFERROR((CE44/BV44)^(1/5)-1,"n/m")</f>
        <v>0.0443555828238618</v>
      </c>
      <c r="CI44" s="21">
        <f>IFERROR((BV44/AW44)^(1/5)-1,"n/m")</f>
        <v>-0.0368345374065909</v>
      </c>
      <c r="CJ44" s="21" t="str">
        <f>IFERROR((BV44/X44)^(1/10)-1,"n/m")</f>
        <v>n/m</v>
      </c>
      <c r="CK44" s="21" t="str">
        <f>IFERROR((BV44/C44)^(1/19)-1,"n/m")</f>
        <v>n/m</v>
      </c>
      <c r="CN44" s="26" t="inlineStr">
        <is>
          <t xml:space="preserve">  2030E</t>
        </is>
      </c>
      <c r="CO44" s="194">
        <f>CP44+$CO$40</f>
        <v>0.055</v>
      </c>
      <c r="CP44" s="195" t="n">
        <v>0.035</v>
      </c>
      <c r="CQ44" s="194">
        <f>CP44+$CQ$40</f>
        <v>0.015</v>
      </c>
      <c r="CR44" s="196" t="n"/>
    </row>
    <row r="45" hidden="1" outlineLevel="2" ht="15" customHeight="1">
      <c r="B45" s="23" t="inlineStr">
        <is>
          <t xml:space="preserve">  SKSS direct revenues y/y %</t>
        </is>
      </c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178">
        <f>IF(AND(ISNUMBER(AI44),ISNUMBER(AD44)),IFERROR(AI44/AD44-1,""),"")</f>
        <v>0.0656698679241667</v>
      </c>
      <c r="AJ45" s="178">
        <f>IF(AND(ISNUMBER(AJ44),ISNUMBER(AE44)),IFERROR(AJ44/AE44-1,""),"")</f>
        <v>0.085214602952288</v>
      </c>
      <c r="AK45" s="178">
        <f>IF(AND(ISNUMBER(AK44),ISNUMBER(AF44)),IFERROR(AK44/AF44-1,""),"")</f>
        <v>0.0621694896107654</v>
      </c>
      <c r="AL45" s="178">
        <f>IF(AND(ISNUMBER(AL44),ISNUMBER(AG44)),IFERROR(AL44/AG44-1,""),"")</f>
        <v>0.0570207955604818</v>
      </c>
      <c r="AM45" s="178">
        <f>IF(AND(ISNUMBER(AM44),ISNUMBER(AH44)),IFERROR(AM44/AH44-1,""),"")</f>
        <v>0.0674666279371183</v>
      </c>
      <c r="AN45" s="178">
        <f>IF(AND(ISNUMBER(AN44),ISNUMBER(AI44)),IFERROR(AN44/AI44-1,""),"")</f>
        <v>-0.0197399663265747</v>
      </c>
      <c r="AO45" s="178">
        <f>IF(AND(ISNUMBER(AO44),ISNUMBER(AJ44)),IFERROR(AO44/AJ44-1,""),"")</f>
        <v>0.0392242770051114</v>
      </c>
      <c r="AP45" s="178">
        <f>IF(AND(ISNUMBER(AP44),ISNUMBER(AK44)),IFERROR(AP44/AK44-1,""),"")</f>
        <v>0.0174817621350349</v>
      </c>
      <c r="AQ45" s="178">
        <f>IF(AND(ISNUMBER(AQ44),ISNUMBER(AL44)),IFERROR(AQ44/AL44-1,""),"")</f>
        <v>0.0191841610011181</v>
      </c>
      <c r="AR45" s="178">
        <f>IF(AND(ISNUMBER(AR44),ISNUMBER(AM44)),IFERROR(AR44/AM44-1,""),"")</f>
        <v>0.0145072428574626</v>
      </c>
      <c r="AS45" s="178">
        <f>IF(AND(ISNUMBER(AS44),ISNUMBER(AN44)),IFERROR(AS44/AN44-1,""),"")</f>
        <v>0.076098166083743</v>
      </c>
      <c r="AT45" s="178">
        <f>IF(AND(ISNUMBER(AT44),ISNUMBER(AO44)),IFERROR(AT44/AO44-1,""),"")</f>
        <v>-0.298799937251621</v>
      </c>
      <c r="AU45" s="178">
        <f>IF(AND(ISNUMBER(AU44),ISNUMBER(AP44)),IFERROR(AU44/AP44-1,""),"")</f>
        <v>-0.178036551307387</v>
      </c>
      <c r="AV45" s="178">
        <f>IF(AND(ISNUMBER(AV44),ISNUMBER(AQ44)),IFERROR(AV44/AQ44-1,""),"")</f>
        <v>-0.145572919328298</v>
      </c>
      <c r="AW45" s="178">
        <f>IF(AND(ISNUMBER(AW44),ISNUMBER(AR44)),IFERROR(AW44/AR44-1,""),"")</f>
        <v>-0.142537022685971</v>
      </c>
      <c r="AX45" s="178">
        <f>IF(AND(ISNUMBER(AX44),ISNUMBER(AS44)),IFERROR(AX44/AS44-1,""),"")</f>
        <v>-0.47660054840866</v>
      </c>
      <c r="AY45" s="178">
        <f>IF(AND(ISNUMBER(AY44),ISNUMBER(AT44)),IFERROR(AY44/AT44-1,""),"")</f>
        <v>-0.0572065101884822</v>
      </c>
      <c r="AZ45" s="178">
        <f>IF(AND(ISNUMBER(AZ44),ISNUMBER(AU44)),IFERROR(AZ44/AU44-1,""),"")</f>
        <v>-0.182216658718805</v>
      </c>
      <c r="BA45" s="178">
        <f>IF(AND(ISNUMBER(BA44),ISNUMBER(AV44)),IFERROR(BA44/AV44-1,""),"")</f>
        <v>-0.157567565412251</v>
      </c>
      <c r="BB45" s="178">
        <f>IF(AND(ISNUMBER(BB44),ISNUMBER(AW44)),IFERROR(BB44/AW44-1,""),"")</f>
        <v>-0.234991615538279</v>
      </c>
      <c r="BC45" s="178">
        <f>IF(AND(ISNUMBER(BC44),ISNUMBER(AX44)),IFERROR(BC44/AX44-1,""),"")</f>
        <v>0.44390650758795</v>
      </c>
      <c r="BD45" s="178">
        <f>IF(AND(ISNUMBER(BD44),ISNUMBER(AY44)),IFERROR(BD44/AY44-1,""),"")</f>
        <v>0.312474664082815</v>
      </c>
      <c r="BE45" s="178">
        <f>IF(AND(ISNUMBER(BE44),ISNUMBER(AZ44)),IFERROR(BE44/AZ44-1,""),"")</f>
        <v>0.342742738851337</v>
      </c>
      <c r="BF45" s="178">
        <f>IF(AND(ISNUMBER(BF44),ISNUMBER(BA44)),IFERROR(BF44/BA44-1,""),"")</f>
        <v>0.0933087842027291</v>
      </c>
      <c r="BG45" s="178">
        <f>IF(AND(ISNUMBER(BG44),ISNUMBER(BB44)),IFERROR(BG44/BB44-1,""),"")</f>
        <v>0.286717485342509</v>
      </c>
      <c r="BH45" s="178">
        <f>IF(AND(ISNUMBER(BH44),ISNUMBER(BC44)),IFERROR(BH44/BC44-1,""),"")</f>
        <v>0.0674527961298241</v>
      </c>
      <c r="BI45" s="178">
        <f>IF(AND(ISNUMBER(BI44),ISNUMBER(BD44)),IFERROR(BI44/BD44-1,""),"")</f>
        <v>-0.149693020452748</v>
      </c>
      <c r="BJ45" s="178">
        <f>IF(AND(ISNUMBER(BJ44),ISNUMBER(BE44)),IFERROR(BJ44/BE44-1,""),"")</f>
        <v>-0.206637980015851</v>
      </c>
      <c r="BK45" s="178">
        <f>IF(AND(ISNUMBER(BK44),ISNUMBER(BF44)),IFERROR(BK44/BF44-1,""),"")</f>
        <v>-0.0659592797987801</v>
      </c>
      <c r="BL45" s="178">
        <f>IF(AND(ISNUMBER(BL44),ISNUMBER(BG44)),IFERROR(BL44/BG44-1,""),"")</f>
        <v>-0.0976767713336391</v>
      </c>
      <c r="BM45" s="178">
        <f>IF(AND(ISNUMBER(BM44),ISNUMBER(BH44)),IFERROR(BM44/BH44-1,""),"")</f>
        <v>-0.137212045370954</v>
      </c>
      <c r="BN45" s="178">
        <f>IF(AND(ISNUMBER(BN44),ISNUMBER(BI44)),IFERROR(BN44/BI44-1,""),"")</f>
        <v>0.0774713397239399</v>
      </c>
      <c r="BO45" s="178">
        <f>IF(AND(ISNUMBER(BO44),ISNUMBER(BJ44)),IFERROR(BO44/BJ44-1,""),"")</f>
        <v>0.0589268363888495</v>
      </c>
      <c r="BP45" s="178">
        <f>IF(AND(ISNUMBER(BP44),ISNUMBER(BK44)),IFERROR(BP44/BK44-1,""),"")</f>
        <v>-0.0482769808347431</v>
      </c>
      <c r="BQ45" s="178">
        <f>IF(AND(ISNUMBER(BQ44),ISNUMBER(BL44)),IFERROR(BQ44/BL44-1,""),"")</f>
        <v>-0.0138922478693538</v>
      </c>
      <c r="BR45" s="178">
        <f>IF(AND(ISNUMBER(BR44),ISNUMBER(BM44)),IFERROR(BR44/BM44-1,""),"")</f>
        <v>0.0914186874947938</v>
      </c>
      <c r="BS45" s="178">
        <f>IF(AND(ISNUMBER(BS44),ISNUMBER(BN44)),IFERROR(BS44/BN44-1,""),"")</f>
        <v>-0.187089135287806</v>
      </c>
      <c r="BT45" s="178">
        <f>IF(AND(ISNUMBER(BT44),ISNUMBER(BO44)),IFERROR(BT44/BO44-1,""),"")</f>
        <v>-0.060748086275895</v>
      </c>
      <c r="BU45" s="178">
        <f>IF(AND(ISNUMBER(BU44),ISNUMBER(BP44)),IFERROR(BU44/BP44-1,""),"")</f>
        <v>-0.0315819206288137</v>
      </c>
      <c r="BV45" s="178">
        <f>IF(AND(ISNUMBER(BV44),ISNUMBER(BQ44)),IFERROR(BV44/BQ44-1,""),"")</f>
        <v>-0.0536133671188226</v>
      </c>
      <c r="BW45" s="178">
        <f>IF(AND(ISNUMBER(BW44),ISNUMBER(BR44)),IFERROR(BW44/BR44-1,""),"")</f>
        <v>-0.0706159648020114</v>
      </c>
      <c r="BX45" s="178">
        <f>IF(AND(ISNUMBER(BX44),ISNUMBER(BS44)),IFERROR(BX44/BS44-1,""),"")</f>
        <v>0.408192990441511</v>
      </c>
      <c r="BY45" s="179">
        <f>IFERROR(BY44/BT44-1,"")</f>
        <v>0.240735654957645</v>
      </c>
      <c r="BZ45" s="179">
        <f>IFERROR(BZ44/BU44-1,"")</f>
        <v>0.0967937280617941</v>
      </c>
      <c r="CA45" s="179">
        <f>IFERROR(CA44/BV44-1,"")</f>
        <v>0.16327497936971</v>
      </c>
      <c r="CB45" s="179">
        <f>IFERROR(CB44/CA44-1,"")</f>
        <v>-0.0350518071374548</v>
      </c>
      <c r="CC45" s="179">
        <f>IFERROR(CC44/CB44-1,"")</f>
        <v>0.0351220244193575</v>
      </c>
      <c r="CD45" s="179">
        <f>IFERROR(CD44/CC44-1,"")</f>
        <v>0.0338021566853994</v>
      </c>
      <c r="CE45" s="179">
        <f>IFERROR(CE44/CD44-1,"")</f>
        <v>0.0342525402325518</v>
      </c>
      <c r="CF45" s="20" t="n"/>
      <c r="CN45" s="16" t="inlineStr">
        <is>
          <t>SKES_growth (Safety-Kleen Environmental Services y/y)</t>
        </is>
      </c>
      <c r="CO45" s="192" t="n">
        <v>0.02</v>
      </c>
      <c r="CP45" s="22" t="inlineStr">
        <is>
          <t>Δ →</t>
        </is>
      </c>
      <c r="CQ45" s="192" t="n">
        <v>-0.02</v>
      </c>
      <c r="CR45" s="14" t="inlineStr">
        <is>
          <t>Containerized waste, vacuum, parts washers; FY24–25 +8% / +9%.</t>
        </is>
      </c>
    </row>
    <row r="46" hidden="1" outlineLevel="2" ht="15" customHeight="1">
      <c r="B46" s="17" t="inlineStr">
        <is>
          <t xml:space="preserve">  SKSS Adjusted EBITDA (segment profit measure)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33" t="n"/>
      <c r="AC46" s="33" t="n"/>
      <c r="AD46" s="175" t="n">
        <v>52.368</v>
      </c>
      <c r="AE46" s="175" t="n">
        <v>60.281</v>
      </c>
      <c r="AF46" s="175" t="n">
        <v>70.30500000000001</v>
      </c>
      <c r="AG46" s="175" t="n">
        <v>66.857</v>
      </c>
      <c r="AH46" s="175" t="n">
        <v>249.811</v>
      </c>
      <c r="AI46" s="175" t="n">
        <v>61.884</v>
      </c>
      <c r="AJ46" s="175" t="n">
        <v>73.069</v>
      </c>
      <c r="AK46" s="175" t="n">
        <v>79.502</v>
      </c>
      <c r="AL46" s="175" t="n">
        <v>67.574</v>
      </c>
      <c r="AM46" s="175" t="n">
        <v>282.029</v>
      </c>
      <c r="AN46" s="175" t="n">
        <v>54.793</v>
      </c>
      <c r="AO46" s="175" t="n">
        <v>79.459</v>
      </c>
      <c r="AP46" s="175" t="n">
        <v>81.32599999999999</v>
      </c>
      <c r="AQ46" s="175" t="n">
        <v>66.8</v>
      </c>
      <c r="AR46" s="175" t="n">
        <v>282.378</v>
      </c>
      <c r="AS46" s="175" t="n">
        <v>61.148</v>
      </c>
      <c r="AT46" s="175" t="n">
        <v>46.589</v>
      </c>
      <c r="AU46" s="175" t="n">
        <v>68.761</v>
      </c>
      <c r="AV46" s="175" t="n">
        <v>52.674</v>
      </c>
      <c r="AW46" s="175" t="n">
        <v>229.172</v>
      </c>
      <c r="AX46" s="175" t="n">
        <v>31.632</v>
      </c>
      <c r="AY46" s="175" t="n">
        <v>63.314</v>
      </c>
      <c r="AZ46" s="175" t="n">
        <v>70.81</v>
      </c>
      <c r="BA46" s="175" t="n">
        <v>61.598</v>
      </c>
      <c r="BB46" s="175" t="n">
        <v>227.354</v>
      </c>
      <c r="BC46" s="175" t="n">
        <v>51.877</v>
      </c>
      <c r="BD46" s="175" t="n">
        <v>97.01000000000001</v>
      </c>
      <c r="BE46" s="175" t="n">
        <v>103.156</v>
      </c>
      <c r="BF46" s="175" t="n">
        <v>54.284</v>
      </c>
      <c r="BG46" s="175" t="n">
        <v>306.327</v>
      </c>
      <c r="BH46" s="175" t="n">
        <v>41.463</v>
      </c>
      <c r="BI46" s="175" t="n">
        <v>53.415</v>
      </c>
      <c r="BJ46" s="175" t="n">
        <v>31.146</v>
      </c>
      <c r="BK46" s="175" t="n">
        <v>46.849</v>
      </c>
      <c r="BL46" s="175" t="n">
        <v>172.873</v>
      </c>
      <c r="BM46" s="175" t="n">
        <v>29.7</v>
      </c>
      <c r="BN46" s="175" t="n">
        <v>51.476</v>
      </c>
      <c r="BO46" s="175" t="n">
        <v>41.226</v>
      </c>
      <c r="BP46" s="175" t="n">
        <v>24.604</v>
      </c>
      <c r="BQ46" s="175" t="n">
        <v>147.006</v>
      </c>
      <c r="BR46" s="175" t="n">
        <v>28.252</v>
      </c>
      <c r="BS46" s="175" t="n">
        <v>38.313</v>
      </c>
      <c r="BT46" s="175" t="n">
        <v>40.937</v>
      </c>
      <c r="BU46" s="175" t="n">
        <v>29.952</v>
      </c>
      <c r="BV46" s="175" t="n">
        <v>137.454</v>
      </c>
      <c r="BW46" s="175" t="n">
        <v>32.981</v>
      </c>
      <c r="BX46" s="175" t="n">
        <v>92.99299999999999</v>
      </c>
      <c r="BY46" s="176">
        <f>BY44*BY48</f>
        <v>80.7743071843822</v>
      </c>
      <c r="BZ46" s="176">
        <f>BZ44*BZ48</f>
        <v>45.9887743213987</v>
      </c>
      <c r="CA46" s="176">
        <f>SUM(BW46,BX46,BY46,BZ46)</f>
        <v>252.737081505781</v>
      </c>
      <c r="CB46" s="176">
        <f>CB44*CB48</f>
        <v>187.987559429312</v>
      </c>
      <c r="CC46" s="176">
        <f>CC44*CC48</f>
        <v>199.454814659177</v>
      </c>
      <c r="CD46" s="176">
        <f>CD44*CD48</f>
        <v>211.22600822804</v>
      </c>
      <c r="CE46" s="176">
        <f>CE44*CE48</f>
        <v>218.461035573032</v>
      </c>
      <c r="CF46" s="177" t="n"/>
      <c r="CH46" s="21">
        <f>IFERROR((CE46/BV46)^(1/5)-1,"n/m")</f>
        <v>0.0970926893560664</v>
      </c>
      <c r="CI46" s="21">
        <f>IFERROR((BV46/AW46)^(1/5)-1,"n/m")</f>
        <v>-0.097184169706674</v>
      </c>
      <c r="CJ46" s="21" t="str">
        <f>IFERROR((BV46/X46)^(1/10)-1,"n/m")</f>
        <v>n/m</v>
      </c>
      <c r="CK46" s="21" t="str">
        <f>IFERROR((BV46/C46)^(1/19)-1,"n/m")</f>
        <v>n/m</v>
      </c>
      <c r="CN46" s="26" t="inlineStr">
        <is>
          <t xml:space="preserve">  2027E</t>
        </is>
      </c>
      <c r="CO46" s="194">
        <f>CP46+$CO$45</f>
        <v>0.09</v>
      </c>
      <c r="CP46" s="195" t="n">
        <v>0.07000000000000001</v>
      </c>
      <c r="CQ46" s="194">
        <f>CP46+$CQ$45</f>
        <v>0.05</v>
      </c>
      <c r="CR46" s="196" t="n"/>
    </row>
    <row r="47" hidden="1" outlineLevel="2" ht="15" customHeight="1">
      <c r="B47" s="26" t="inlineStr">
        <is>
          <t xml:space="preserve">  Adj. EBITDA margin before outlook calibration % (Q3/Q4-26E helper)</t>
        </is>
      </c>
      <c r="C47" s="181" t="n"/>
      <c r="D47" s="181" t="n"/>
      <c r="E47" s="181" t="n"/>
      <c r="F47" s="181" t="n"/>
      <c r="G47" s="181" t="n"/>
      <c r="H47" s="181" t="n"/>
      <c r="I47" s="181" t="n"/>
      <c r="J47" s="181" t="n"/>
      <c r="K47" s="181" t="n"/>
      <c r="L47" s="181" t="n"/>
      <c r="M47" s="181" t="n"/>
      <c r="N47" s="181" t="n"/>
      <c r="O47" s="181" t="n"/>
      <c r="P47" s="181" t="n"/>
      <c r="Q47" s="181" t="n"/>
      <c r="R47" s="181" t="n"/>
      <c r="S47" s="181" t="n"/>
      <c r="T47" s="181" t="n"/>
      <c r="U47" s="181" t="n"/>
      <c r="V47" s="181" t="n"/>
      <c r="W47" s="181" t="n"/>
      <c r="X47" s="181" t="n"/>
      <c r="Y47" s="181" t="n"/>
      <c r="Z47" s="181" t="n"/>
      <c r="AA47" s="181" t="n"/>
      <c r="AB47" s="181" t="n"/>
      <c r="AC47" s="181" t="n"/>
      <c r="AD47" s="181" t="n"/>
      <c r="AE47" s="181" t="n"/>
      <c r="AF47" s="181" t="n"/>
      <c r="AG47" s="181" t="n"/>
      <c r="AH47" s="181" t="n"/>
      <c r="AI47" s="181" t="n"/>
      <c r="AJ47" s="181" t="n"/>
      <c r="AK47" s="181" t="n"/>
      <c r="AL47" s="181" t="n"/>
      <c r="AM47" s="181" t="n"/>
      <c r="AN47" s="181" t="n"/>
      <c r="AO47" s="181" t="n"/>
      <c r="AP47" s="181" t="n"/>
      <c r="AQ47" s="181" t="n"/>
      <c r="AR47" s="181" t="n"/>
      <c r="AS47" s="181" t="n"/>
      <c r="AT47" s="181" t="n"/>
      <c r="AU47" s="181" t="n"/>
      <c r="AV47" s="181" t="n"/>
      <c r="AW47" s="181" t="n"/>
      <c r="AX47" s="181" t="n"/>
      <c r="AY47" s="181" t="n"/>
      <c r="AZ47" s="181" t="n"/>
      <c r="BA47" s="181" t="n"/>
      <c r="BB47" s="181" t="n"/>
      <c r="BC47" s="181" t="n"/>
      <c r="BD47" s="181" t="n"/>
      <c r="BE47" s="181" t="n"/>
      <c r="BF47" s="181" t="n"/>
      <c r="BG47" s="181" t="n"/>
      <c r="BH47" s="181" t="n"/>
      <c r="BI47" s="181" t="n"/>
      <c r="BJ47" s="181" t="n"/>
      <c r="BK47" s="181" t="n"/>
      <c r="BL47" s="181" t="n"/>
      <c r="BM47" s="181" t="n"/>
      <c r="BN47" s="181" t="n"/>
      <c r="BO47" s="181" t="n"/>
      <c r="BP47" s="181" t="n"/>
      <c r="BQ47" s="181" t="n"/>
      <c r="BR47" s="181" t="n"/>
      <c r="BS47" s="181" t="n"/>
      <c r="BT47" s="181" t="n"/>
      <c r="BU47" s="181" t="n"/>
      <c r="BV47" s="181" t="n"/>
      <c r="BW47" s="181" t="n"/>
      <c r="BX47" s="181" t="n"/>
      <c r="BY47" s="179">
        <f>BT48+((BW46+BX46)/(BW44+BX44)-(BR46+BS46)/(BR44+BS44))</f>
        <v>0.288939429515254</v>
      </c>
      <c r="BZ47" s="179">
        <f>BU48+0.5*((BW46+BX46)/(BW44+BX44)-(BR46+BS46)/(BR44+BS44))</f>
        <v>0.201216516243141</v>
      </c>
      <c r="CA47" s="169" t="n"/>
      <c r="CB47" s="169" t="n"/>
      <c r="CC47" s="169" t="n"/>
      <c r="CD47" s="169" t="n"/>
      <c r="CE47" s="169" t="n"/>
      <c r="CF47" s="20" t="inlineStr">
        <is>
          <t>Prior-year quarter + 1H/26 y/y margin drift (+10pt: 1H/26 26.0% vs 1H/25 15.8%); half the drift in Q4 (spread normalising).</t>
        </is>
      </c>
      <c r="CN47" s="26" t="inlineStr">
        <is>
          <t xml:space="preserve">  2028E</t>
        </is>
      </c>
      <c r="CO47" s="194">
        <f>CP47+$CO$45</f>
        <v>0.085</v>
      </c>
      <c r="CP47" s="195" t="n">
        <v>0.065</v>
      </c>
      <c r="CQ47" s="194">
        <f>CP47+$CQ$45</f>
        <v>0.045</v>
      </c>
      <c r="CR47" s="196" t="n"/>
    </row>
    <row r="48" hidden="1" outlineLevel="2" ht="15" customHeight="1">
      <c r="B48" s="26" t="inlineStr">
        <is>
          <t xml:space="preserve">  SKSS Adjusted EBITDA margin % (on direct revenues)</t>
        </is>
      </c>
      <c r="C48" s="193" t="n"/>
      <c r="D48" s="193" t="n"/>
      <c r="E48" s="193" t="n"/>
      <c r="F48" s="193" t="n"/>
      <c r="G48" s="193" t="n"/>
      <c r="H48" s="193" t="n"/>
      <c r="I48" s="193" t="n"/>
      <c r="J48" s="193" t="n"/>
      <c r="K48" s="193" t="n"/>
      <c r="L48" s="193" t="n"/>
      <c r="M48" s="193" t="n"/>
      <c r="N48" s="193" t="n"/>
      <c r="O48" s="193" t="n"/>
      <c r="P48" s="193" t="n"/>
      <c r="Q48" s="193" t="n"/>
      <c r="R48" s="193" t="n"/>
      <c r="S48" s="193" t="n"/>
      <c r="T48" s="193" t="n"/>
      <c r="U48" s="193" t="n"/>
      <c r="V48" s="193" t="n"/>
      <c r="W48" s="193" t="n"/>
      <c r="X48" s="193" t="n"/>
      <c r="Y48" s="193" t="n"/>
      <c r="Z48" s="193" t="n"/>
      <c r="AA48" s="193" t="n"/>
      <c r="AB48" s="193" t="n"/>
      <c r="AC48" s="193" t="n"/>
      <c r="AD48" s="190">
        <f>IF(AND(ISNUMBER(AD46),ISNUMBER(AD44)),IFERROR(AD46/AD44,""),"")</f>
        <v>0.200770602104779</v>
      </c>
      <c r="AE48" s="190">
        <f>IF(AND(ISNUMBER(AE46),ISNUMBER(AE44)),IFERROR(AE46/AE44,""),"")</f>
        <v>0.22218085988611</v>
      </c>
      <c r="AF48" s="190">
        <f>IF(AND(ISNUMBER(AF46),ISNUMBER(AF44)),IFERROR(AF46/AF44,""),"")</f>
        <v>0.248187267451302</v>
      </c>
      <c r="AG48" s="190">
        <f>IF(AND(ISNUMBER(AG46),ISNUMBER(AG44)),IFERROR(AG46/AG44,""),"")</f>
        <v>0.245381007259728</v>
      </c>
      <c r="AH48" s="190">
        <f>IF(AND(ISNUMBER(AH46),ISNUMBER(AH44)),IFERROR(AH46/AH44,""),"")</f>
        <v>0.229629759000484</v>
      </c>
      <c r="AI48" s="190">
        <f>IF(AND(ISNUMBER(AI46),ISNUMBER(AI44)),IFERROR(AI46/AI44,""),"")</f>
        <v>0.222633146738427</v>
      </c>
      <c r="AJ48" s="190">
        <f>IF(AND(ISNUMBER(AJ46),ISNUMBER(AJ44)),IFERROR(AJ46/AJ44,""),"")</f>
        <v>0.248166827992596</v>
      </c>
      <c r="AK48" s="190">
        <f>IF(AND(ISNUMBER(AK46),ISNUMBER(AK44)),IFERROR(AK46/AK44,""),"")</f>
        <v>0.264227196437177</v>
      </c>
      <c r="AL48" s="190">
        <f>IF(AND(ISNUMBER(AL46),ISNUMBER(AL44)),IFERROR(AL46/AL44,""),"")</f>
        <v>0.234633573844263</v>
      </c>
      <c r="AM48" s="190">
        <f>IF(AND(ISNUMBER(AM46),ISNUMBER(AM44)),IFERROR(AM46/AM44,""),"")</f>
        <v>0.242860046052552</v>
      </c>
      <c r="AN48" s="190">
        <f>IF(AND(ISNUMBER(AN46),ISNUMBER(AN44)),IFERROR(AN46/AN44,""),"")</f>
        <v>0.201092202277623</v>
      </c>
      <c r="AO48" s="190">
        <f>IF(AND(ISNUMBER(AO46),ISNUMBER(AO44)),IFERROR(AO46/AO44,""),"")</f>
        <v>0.259683512863418</v>
      </c>
      <c r="AP48" s="190">
        <f>IF(AND(ISNUMBER(AP46),ISNUMBER(AP44)),IFERROR(AP46/AP44,""),"")</f>
        <v>0.265645364124843</v>
      </c>
      <c r="AQ48" s="190">
        <f>IF(AND(ISNUMBER(AQ46),ISNUMBER(AQ44)),IFERROR(AQ46/AQ44,""),"")</f>
        <v>0.227580121489628</v>
      </c>
      <c r="AR48" s="190">
        <f>IF(AND(ISNUMBER(AR46),ISNUMBER(AR44)),IFERROR(AR46/AR44,""),"")</f>
        <v>0.239683430252545</v>
      </c>
      <c r="AS48" s="190">
        <f>IF(AND(ISNUMBER(AS46),ISNUMBER(AS44)),IFERROR(AS46/AS44,""),"")</f>
        <v>0.208545352850497</v>
      </c>
      <c r="AT48" s="190">
        <f>IF(AND(ISNUMBER(AT46),ISNUMBER(AT44)),IFERROR(AT46/AT44,""),"")</f>
        <v>0.217141445589963</v>
      </c>
      <c r="AU48" s="190">
        <f>IF(AND(ISNUMBER(AU46),ISNUMBER(AU44)),IFERROR(AU46/AU44,""),"")</f>
        <v>0.273251470354475</v>
      </c>
      <c r="AV48" s="190">
        <f>IF(AND(ISNUMBER(AV46),ISNUMBER(AV44)),IFERROR(AV46/AV44,""),"")</f>
        <v>0.210028948060958</v>
      </c>
      <c r="AW48" s="190">
        <f>IF(AND(ISNUMBER(AW46),ISNUMBER(AW44)),IFERROR(AW46/AW44,""),"")</f>
        <v>0.226857598777274</v>
      </c>
      <c r="AX48" s="190">
        <f>IF(AND(ISNUMBER(AX46),ISNUMBER(AX44)),IFERROR(AX46/AX44,""),"")</f>
        <v>0.206115972815003</v>
      </c>
      <c r="AY48" s="190">
        <f>IF(AND(ISNUMBER(AY46),ISNUMBER(AY44)),IFERROR(AY46/AY44,""),"")</f>
        <v>0.312998685004103</v>
      </c>
      <c r="AZ48" s="190">
        <f>IF(AND(ISNUMBER(AZ46),ISNUMBER(AZ44)),IFERROR(AZ46/AZ44,""),"")</f>
        <v>0.344093650230578</v>
      </c>
      <c r="BA48" s="190">
        <f>IF(AND(ISNUMBER(BA46),ISNUMBER(BA44)),IFERROR(BA46/BA44,""),"")</f>
        <v>0.291550902369875</v>
      </c>
      <c r="BB48" s="190">
        <f>IF(AND(ISNUMBER(BB46),ISNUMBER(BB44)),IFERROR(BB46/BB44,""),"")</f>
        <v>0.294190185724101</v>
      </c>
      <c r="BC48" s="190">
        <f>IF(AND(ISNUMBER(BC46),ISNUMBER(BC44)),IFERROR(BC46/BC44,""),"")</f>
        <v>0.234110437199899</v>
      </c>
      <c r="BD48" s="190">
        <f>IF(AND(ISNUMBER(BD46),ISNUMBER(BD44)),IFERROR(BD46/BD44,""),"")</f>
        <v>0.36539982673547</v>
      </c>
      <c r="BE48" s="190">
        <f>IF(AND(ISNUMBER(BE46),ISNUMBER(BE44)),IFERROR(BE46/BE44,""),"")</f>
        <v>0.373322138542771</v>
      </c>
      <c r="BF48" s="190">
        <f>IF(AND(ISNUMBER(BF46),ISNUMBER(BF44)),IFERROR(BF46/BF44,""),"")</f>
        <v>0.235004827027893</v>
      </c>
      <c r="BG48" s="190">
        <f>IF(AND(ISNUMBER(BG46),ISNUMBER(BG44)),IFERROR(BG46/BG44,""),"")</f>
        <v>0.308054570028721</v>
      </c>
      <c r="BH48" s="190">
        <f>IF(AND(ISNUMBER(BH46),ISNUMBER(BH44)),IFERROR(BH46/BH44,""),"")</f>
        <v>0.175290332672413</v>
      </c>
      <c r="BI48" s="190">
        <f>IF(AND(ISNUMBER(BI46),ISNUMBER(BI44)),IFERROR(BI46/BI44,""),"")</f>
        <v>0.236613391923738</v>
      </c>
      <c r="BJ48" s="190">
        <f>IF(AND(ISNUMBER(BJ46),ISNUMBER(BJ44)),IFERROR(BJ46/BJ44,""),"")</f>
        <v>0.142075804781476</v>
      </c>
      <c r="BK48" s="190">
        <f>IF(AND(ISNUMBER(BK46),ISNUMBER(BK44)),IFERROR(BK46/BK44,""),"")</f>
        <v>0.217139811360108</v>
      </c>
      <c r="BL48" s="190">
        <f>IF(AND(ISNUMBER(BL46),ISNUMBER(BL44)),IFERROR(BL46/BL44,""),"")</f>
        <v>0.192667032965808</v>
      </c>
      <c r="BM48" s="190">
        <f>IF(AND(ISNUMBER(BM46),ISNUMBER(BM44)),IFERROR(BM46/BM44,""),"")</f>
        <v>0.145529024955533</v>
      </c>
      <c r="BN48" s="190">
        <f>IF(AND(ISNUMBER(BN46),ISNUMBER(BN44)),IFERROR(BN46/BN44,""),"")</f>
        <v>0.211628987366231</v>
      </c>
      <c r="BO48" s="190">
        <f>IF(AND(ISNUMBER(BO46),ISNUMBER(BO44)),IFERROR(BO46/BO44,""),"")</f>
        <v>0.177591873834211</v>
      </c>
      <c r="BP48" s="190">
        <f>IF(AND(ISNUMBER(BP46),ISNUMBER(BP44)),IFERROR(BP46/BP44,""),"")</f>
        <v>0.119821368566127</v>
      </c>
      <c r="BQ48" s="190">
        <f>IF(AND(ISNUMBER(BQ46),ISNUMBER(BQ44)),IFERROR(BQ46/BQ44,""),"")</f>
        <v>0.166146397256775</v>
      </c>
      <c r="BR48" s="190">
        <f>IF(AND(ISNUMBER(BR46),ISNUMBER(BR44)),IFERROR(BR46/BR44,""),"")</f>
        <v>0.12683846637335</v>
      </c>
      <c r="BS48" s="190">
        <f>IF(AND(ISNUMBER(BS46),ISNUMBER(BS44)),IFERROR(BS46/BS44,""),"")</f>
        <v>0.193764223941739</v>
      </c>
      <c r="BT48" s="190">
        <f>IF(AND(ISNUMBER(BT46),ISNUMBER(BT44)),IFERROR(BT46/BT44,""),"")</f>
        <v>0.187752537413375</v>
      </c>
      <c r="BU48" s="190">
        <f>IF(AND(ISNUMBER(BU46),ISNUMBER(BU44)),IFERROR(BU46/BU44,""),"")</f>
        <v>0.150623070192201</v>
      </c>
      <c r="BV48" s="190">
        <f>IF(AND(ISNUMBER(BV46),ISNUMBER(BV44)),IFERROR(BV46/BV44,""),"")</f>
        <v>0.16415142334071</v>
      </c>
      <c r="BW48" s="190">
        <f>IF(AND(ISNUMBER(BW46),ISNUMBER(BW44)),IFERROR(BW46/BW44,""),"")</f>
        <v>0.159320036133346</v>
      </c>
      <c r="BX48" s="190">
        <f>IF(AND(ISNUMBER(BX46),ISNUMBER(BX44)),IFERROR(BX46/BX44,""),"")</f>
        <v>0.333976196119838</v>
      </c>
      <c r="BY48" s="179">
        <f>BY47+BY101</f>
        <v>0.298582108859746</v>
      </c>
      <c r="BZ48" s="179">
        <f>BZ47+BZ101</f>
        <v>0.210859195587633</v>
      </c>
      <c r="CA48" s="179">
        <f>IF(AND(ISNUMBER(CA46),ISNUMBER(CA44)),IFERROR(CA46/CA44,""),"")</f>
        <v>0.259462052498279</v>
      </c>
      <c r="CB48" s="179">
        <f>CHOOSE(MATCH($CF$2,{"Bull","Base","Bear"},0),$CO$61,$CP$61,$CQ$61)</f>
        <v>0.2</v>
      </c>
      <c r="CC48" s="179">
        <f>CHOOSE(MATCH($CF$2,{"Bull","Base","Bear"},0),$CO$62,$CP$62,$CQ$62)</f>
        <v>0.205</v>
      </c>
      <c r="CD48" s="179">
        <f>CHOOSE(MATCH($CF$2,{"Bull","Base","Bear"},0),$CO$63,$CP$63,$CQ$63)</f>
        <v>0.21</v>
      </c>
      <c r="CE48" s="179">
        <f>CHOOSE(MATCH($CF$2,{"Bull","Base","Bear"},0),$CO$64,$CP$64,$CQ$64)</f>
        <v>0.21</v>
      </c>
      <c r="CF48" s="20" t="inlineStr">
        <is>
          <t>2027E+: scenario lever SKSS_margin (FY24–25 16–17%; 2026 elevated by the base-oil spread).</t>
        </is>
      </c>
      <c r="CH48" s="39">
        <f>IFERROR(AVERAGE(CA48,CB48,CC48,CD48,CE48),"n/m")</f>
        <v>0.216892410499656</v>
      </c>
      <c r="CI48" s="39">
        <f>IFERROR(AVERAGE(BB48,BG48,BL48,BQ48,BV48),"n/m")</f>
        <v>0.225041921863223</v>
      </c>
      <c r="CJ48" s="39">
        <f>IFERROR(AVERAGE(AC48,AH48,AM48,AR48,AW48,BB48,BG48,BL48,BQ48,BV48),"n/m")</f>
        <v>0.229360049266552</v>
      </c>
      <c r="CK48" s="39">
        <f>IFERROR(AVERAGE(C48,D48,E48,F48,G48,H48,I48,N48,S48,X48,AC48,AH48,AM48,AR48,AW48,BB48,BG48,BL48,BQ48,BV48),"n/m")</f>
        <v>0.229360049266552</v>
      </c>
      <c r="CN48" s="26" t="inlineStr">
        <is>
          <t xml:space="preserve">  2029E</t>
        </is>
      </c>
      <c r="CO48" s="194">
        <f>CP48+$CO$45</f>
        <v>0.08</v>
      </c>
      <c r="CP48" s="195" t="n">
        <v>0.06</v>
      </c>
      <c r="CQ48" s="194">
        <f>CP48+$CQ$45</f>
        <v>0.04</v>
      </c>
      <c r="CR48" s="196" t="n"/>
    </row>
    <row r="49" hidden="1" outlineLevel="2" ht="15" customHeight="1">
      <c r="B49" s="26" t="inlineStr">
        <is>
          <t xml:space="preserve">  SKSS incremental margin (Δ Adj. EBITDA / Δ direct revenues, y/y)</t>
        </is>
      </c>
      <c r="C49" s="181" t="n"/>
      <c r="D49" s="181" t="n"/>
      <c r="E49" s="181" t="n"/>
      <c r="F49" s="181" t="n"/>
      <c r="G49" s="181" t="n"/>
      <c r="H49" s="181" t="n"/>
      <c r="I49" s="181" t="n"/>
      <c r="J49" s="181" t="n"/>
      <c r="K49" s="181" t="n"/>
      <c r="L49" s="181" t="n"/>
      <c r="M49" s="181" t="n"/>
      <c r="N49" s="181" t="n"/>
      <c r="O49" s="181" t="n"/>
      <c r="P49" s="181" t="n"/>
      <c r="Q49" s="181" t="n"/>
      <c r="R49" s="181" t="n"/>
      <c r="S49" s="181" t="n"/>
      <c r="T49" s="181" t="n"/>
      <c r="U49" s="181" t="n"/>
      <c r="V49" s="181" t="n"/>
      <c r="W49" s="181" t="n"/>
      <c r="X49" s="181" t="n"/>
      <c r="Y49" s="181" t="n"/>
      <c r="Z49" s="181" t="n"/>
      <c r="AA49" s="181" t="n"/>
      <c r="AB49" s="181" t="n"/>
      <c r="AC49" s="181" t="n"/>
      <c r="AD49" s="181" t="n"/>
      <c r="AE49" s="181" t="n"/>
      <c r="AF49" s="181" t="n"/>
      <c r="AG49" s="181" t="n"/>
      <c r="AH49" s="181" t="n"/>
      <c r="AI49" s="190">
        <f>IFERROR((AI46-AD46)/(AI44-AD44),"")</f>
        <v>0.555549068830637</v>
      </c>
      <c r="AJ49" s="190">
        <f>IFERROR((AJ46-AE46)/(AJ44-AE44),"")</f>
        <v>0.553114186851211</v>
      </c>
      <c r="AK49" s="190">
        <f>IFERROR((AK46-AF46)/(AK44-AF44),"")</f>
        <v>0.522230424166714</v>
      </c>
      <c r="AL49" s="190">
        <f>IFERROR((AL46-AG46)/(AL44-AG44),"")</f>
        <v>0.0461508753861997</v>
      </c>
      <c r="AM49" s="190">
        <f>IFERROR((AM46-AH46)/(AM44-AH44),"")</f>
        <v>0.438961251294349</v>
      </c>
      <c r="AN49" s="190">
        <f>IFERROR((AN46-AI46)/(AN44-AI44),"")</f>
        <v>1.29232731911791</v>
      </c>
      <c r="AO49" s="190">
        <f>IFERROR((AO46-AJ46)/(AO44-AJ44),"")</f>
        <v>0.553294657546109</v>
      </c>
      <c r="AP49" s="190">
        <f>IFERROR((AP46-AK46)/(AP44-AK44),"")</f>
        <v>0.346768060836502</v>
      </c>
      <c r="AQ49" s="190">
        <f>IFERROR((AQ46-AL46)/(AQ44-AL44),"")</f>
        <v>-0.140090497737556</v>
      </c>
      <c r="AR49" s="190">
        <f>IFERROR((AR46-AM46)/(AR44-AM44),"")</f>
        <v>0.0207158544547985</v>
      </c>
      <c r="AS49" s="190">
        <f>IFERROR((AS46-AN46)/(AS44-AN44),"")</f>
        <v>0.306486616831444</v>
      </c>
      <c r="AT49" s="190">
        <f>IFERROR((AT46-AO46)/(AT44-AO44),"")</f>
        <v>0.3595178719867</v>
      </c>
      <c r="AU49" s="190">
        <f>IFERROR((AU46-AP46)/(AU44-AP44),"")</f>
        <v>0.230529309237685</v>
      </c>
      <c r="AV49" s="190">
        <f>IFERROR((AV46-AQ46)/(AV44-AQ44),"")</f>
        <v>0.330595146153666</v>
      </c>
      <c r="AW49" s="190">
        <f>IFERROR((AW46-AR46)/(AW44-AR44),"")</f>
        <v>0.316840055500307</v>
      </c>
      <c r="AX49" s="190">
        <f>IFERROR((AX46-AS46)/(AX44-AS44),"")</f>
        <v>0.211213281333858</v>
      </c>
      <c r="AY49" s="190">
        <f>IFERROR((AY46-AT46)/(AY44-AT44),"")</f>
        <v>-1.36263646732931</v>
      </c>
      <c r="AZ49" s="190">
        <f>IFERROR((AZ46-AU46)/(AZ44-AU44),"")</f>
        <v>-0.0446862800689161</v>
      </c>
      <c r="BA49" s="190">
        <f>IFERROR((BA46-AV46)/(BA44-AV44),"")</f>
        <v>-0.225826859326366</v>
      </c>
      <c r="BB49" s="190">
        <f>IFERROR((BB46-AW46)/(BB44-AW44),"")</f>
        <v>0.00765831609720747</v>
      </c>
      <c r="BC49" s="190">
        <f>IFERROR((BC46-AX46)/(BC44-AX44),"")</f>
        <v>0.297174311926606</v>
      </c>
      <c r="BD49" s="190">
        <f>IFERROR((BD46-AY46)/(BD44-AY44),"")</f>
        <v>0.533097076319453</v>
      </c>
      <c r="BE49" s="190">
        <f>IFERROR((BE46-AZ46)/(BE44-AZ44),"")</f>
        <v>0.458600351613452</v>
      </c>
      <c r="BF49" s="190">
        <f>IFERROR((BF46-BA46)/(BF44-BA44),"")</f>
        <v>-0.37100537688952</v>
      </c>
      <c r="BG49" s="190">
        <f>IFERROR((BG46-BB46)/(BG44-BB44),"")</f>
        <v>0.356410129118734</v>
      </c>
      <c r="BH49" s="190">
        <f>IFERROR((BH46-BC46)/(BH44-BC44),"")</f>
        <v>-0.696728440489732</v>
      </c>
      <c r="BI49" s="190">
        <f>IFERROR((BI46-BD46)/(BI44-BD44),"")</f>
        <v>1.09695032962609</v>
      </c>
      <c r="BJ49" s="190">
        <f>IFERROR((BJ46-BE46)/(BJ44-BE44),"")</f>
        <v>1.26116501453641</v>
      </c>
      <c r="BK49" s="190">
        <f>IFERROR((BK46-BF46)/(BK44-BF44),"")</f>
        <v>0.487988973483854</v>
      </c>
      <c r="BL49" s="190">
        <f>IFERROR((BL46-BG46)/(BL44-BG44),"")</f>
        <v>1.37398717169949</v>
      </c>
      <c r="BM49" s="190">
        <f>IFERROR((BM46-BH46)/(BM44-BH44),"")</f>
        <v>0.362429134828691</v>
      </c>
      <c r="BN49" s="190">
        <f>IFERROR((BN46-BI46)/(BN44-BI44),"")</f>
        <v>-0.110869689519126</v>
      </c>
      <c r="BO49" s="190">
        <f>IFERROR((BO46-BJ46)/(BO44-BJ44),"")</f>
        <v>0.780306549001393</v>
      </c>
      <c r="BP49" s="190">
        <f>IFERROR((BP46-BK46)/(BP44-BK44),"")</f>
        <v>2.13565668202765</v>
      </c>
      <c r="BQ49" s="190">
        <f>IFERROR((BQ46-BL46)/(BQ44-BL44),"")</f>
        <v>2.07517047733654</v>
      </c>
      <c r="BR49" s="190">
        <f>IFERROR((BR46-BM46)/(BR44-BM44),"")</f>
        <v>-0.0776116203033714</v>
      </c>
      <c r="BS49" s="190">
        <f>IFERROR((BS46-BN46)/(BS44-BN44),"")</f>
        <v>0.289252202957787</v>
      </c>
      <c r="BT49" s="190">
        <f>IFERROR((BT46-BO46)/(BT44-BO44),"")</f>
        <v>0.020493547014608</v>
      </c>
      <c r="BU49" s="190">
        <f>IFERROR((BU46-BP46)/(BU44-BP44),"")</f>
        <v>-0.824672320740172</v>
      </c>
      <c r="BV49" s="190">
        <f>IFERROR((BV46-BQ46)/(BV44-BQ44),"")</f>
        <v>0.201361806185045</v>
      </c>
      <c r="BW49" s="190">
        <f>IFERROR((BW46-BR46)/(BW44-BR44),"")</f>
        <v>-0.300654841375803</v>
      </c>
      <c r="BX49" s="190">
        <f>IFERROR((BX46-BS46)/(BX44-BS44),"")</f>
        <v>0.67747051243929</v>
      </c>
      <c r="BY49" s="179">
        <f>IFERROR((BY46-BT46)/(BY44-BT44),"")</f>
        <v>0.758960823703091</v>
      </c>
      <c r="BZ49" s="179">
        <f>IFERROR((BZ46-BU46)/(BZ44-BU44),"")</f>
        <v>0.833173539725471</v>
      </c>
      <c r="CA49" s="179">
        <f>IFERROR((CA46-BV46)/(CA44-BV44),"")</f>
        <v>0.84320507010879</v>
      </c>
      <c r="CB49" s="179">
        <f>IFERROR((CB46-CA46)/(CB44-CA44),"")</f>
        <v>1.89640476067609</v>
      </c>
      <c r="CC49" s="179">
        <f>IFERROR((CC46-CB46)/(CC44-CB44),"")</f>
        <v>0.347360814408074</v>
      </c>
      <c r="CD49" s="179">
        <f>IFERROR((CD46-CC46)/(CD44-CC44),"")</f>
        <v>0.357919555741237</v>
      </c>
      <c r="CE49" s="179">
        <f>IFERROR((CE46-CD46)/(CE44-CD44),"")</f>
        <v>0.21</v>
      </c>
      <c r="CF49" s="20" t="n"/>
      <c r="CN49" s="26" t="inlineStr">
        <is>
          <t xml:space="preserve">  2030E</t>
        </is>
      </c>
      <c r="CO49" s="194">
        <f>CP49+$CO$45</f>
        <v>0.08</v>
      </c>
      <c r="CP49" s="195" t="n">
        <v>0.06</v>
      </c>
      <c r="CQ49" s="194">
        <f>CP49+$CQ$45</f>
        <v>0.04</v>
      </c>
      <c r="CR49" s="196" t="n"/>
    </row>
    <row r="50" hidden="1" outlineLevel="2" ht="15" customHeight="1">
      <c r="B50" s="42" t="inlineStr">
        <is>
          <t xml:space="preserve">  Memo: waste oil collected (million gallons; company, where disclosed)</t>
        </is>
      </c>
      <c r="C50" s="199" t="n"/>
      <c r="D50" s="199" t="n"/>
      <c r="E50" s="199" t="n"/>
      <c r="F50" s="199" t="n"/>
      <c r="G50" s="199" t="n"/>
      <c r="H50" s="199" t="n"/>
      <c r="I50" s="199" t="n"/>
      <c r="J50" s="199" t="n"/>
      <c r="K50" s="199" t="n"/>
      <c r="L50" s="199" t="n"/>
      <c r="M50" s="199" t="n"/>
      <c r="N50" s="199" t="n"/>
      <c r="O50" s="199" t="n"/>
      <c r="P50" s="199" t="n"/>
      <c r="Q50" s="199" t="n"/>
      <c r="R50" s="199" t="n"/>
      <c r="S50" s="199" t="n"/>
      <c r="T50" s="199" t="n"/>
      <c r="U50" s="199" t="n"/>
      <c r="V50" s="199" t="n"/>
      <c r="W50" s="199" t="n"/>
      <c r="X50" s="199" t="n"/>
      <c r="Y50" s="199" t="n"/>
      <c r="Z50" s="199" t="n"/>
      <c r="AA50" s="199" t="n"/>
      <c r="AB50" s="199" t="n"/>
      <c r="AC50" s="199" t="n"/>
      <c r="AD50" s="199" t="n"/>
      <c r="AE50" s="199" t="n"/>
      <c r="AF50" s="199" t="n"/>
      <c r="AG50" s="199" t="n"/>
      <c r="AH50" s="199" t="n"/>
      <c r="AI50" s="199" t="n"/>
      <c r="AJ50" s="199" t="n"/>
      <c r="AK50" s="200" t="n">
        <v>60</v>
      </c>
      <c r="AL50" s="199" t="n"/>
      <c r="AM50" s="199" t="n"/>
      <c r="AN50" s="199" t="n"/>
      <c r="AO50" s="200" t="n">
        <v>63</v>
      </c>
      <c r="AP50" s="200" t="n">
        <v>63</v>
      </c>
      <c r="AQ50" s="200" t="n">
        <v>55</v>
      </c>
      <c r="AR50" s="199" t="n"/>
      <c r="AS50" s="200" t="n">
        <v>55</v>
      </c>
      <c r="AT50" s="199" t="n"/>
      <c r="AU50" s="200" t="n">
        <v>50</v>
      </c>
      <c r="AV50" s="200" t="n">
        <v>49</v>
      </c>
      <c r="AW50" s="199" t="n"/>
      <c r="AX50" s="200" t="n">
        <v>47</v>
      </c>
      <c r="AY50" s="200" t="n">
        <v>57</v>
      </c>
      <c r="AZ50" s="200" t="n">
        <v>60</v>
      </c>
      <c r="BA50" s="200" t="n">
        <v>56</v>
      </c>
      <c r="BB50" s="199" t="n"/>
      <c r="BC50" s="200" t="n">
        <v>53</v>
      </c>
      <c r="BD50" s="199" t="n"/>
      <c r="BE50" s="200" t="n">
        <v>62</v>
      </c>
      <c r="BF50" s="200" t="n">
        <v>57</v>
      </c>
      <c r="BG50" s="199" t="n"/>
      <c r="BH50" s="200" t="n">
        <v>59</v>
      </c>
      <c r="BI50" s="200" t="n">
        <v>64</v>
      </c>
      <c r="BJ50" s="200" t="n">
        <v>59</v>
      </c>
      <c r="BK50" s="200" t="n">
        <v>53</v>
      </c>
      <c r="BL50" s="199" t="n"/>
      <c r="BM50" s="200" t="n">
        <v>55</v>
      </c>
      <c r="BN50" s="200" t="n">
        <v>67</v>
      </c>
      <c r="BO50" s="199" t="n"/>
      <c r="BP50" s="199" t="n"/>
      <c r="BQ50" s="199" t="n"/>
      <c r="BR50" s="199" t="n"/>
      <c r="BS50" s="200" t="n">
        <v>64</v>
      </c>
      <c r="BT50" s="200" t="n">
        <v>64</v>
      </c>
      <c r="BU50" s="200" t="n">
        <v>56</v>
      </c>
      <c r="BV50" s="199" t="n"/>
      <c r="BW50" s="200" t="n">
        <v>53</v>
      </c>
      <c r="BX50" s="200" t="n">
        <v>61</v>
      </c>
      <c r="BY50" s="189" t="n"/>
      <c r="BZ50" s="189" t="n"/>
      <c r="CA50" s="189" t="n"/>
      <c r="CB50" s="189" t="n"/>
      <c r="CC50" s="189" t="n"/>
      <c r="CD50" s="189" t="n"/>
      <c r="CE50" s="189" t="n"/>
      <c r="CF50" s="177" t="n"/>
      <c r="CN50" s="16" t="inlineStr">
        <is>
          <t>SKOIL_growth (Safety-Kleen Oil revenues y/y)</t>
        </is>
      </c>
      <c r="CO50" s="192" t="n">
        <v>0.05</v>
      </c>
      <c r="CP50" s="22" t="inlineStr">
        <is>
          <t>Δ →</t>
        </is>
      </c>
      <c r="CQ50" s="192" t="n">
        <v>-0.05</v>
      </c>
      <c r="CR50" s="14" t="inlineStr">
        <is>
          <t>Base-oil price normalisation in 2027 after the 2026 supply-disruption spike; FY24–25 −2% / −15%.</t>
        </is>
      </c>
    </row>
    <row r="51" hidden="1" outlineLevel="2" ht="15" customHeight="1">
      <c r="CN51" s="26" t="inlineStr">
        <is>
          <t xml:space="preserve">  2027E</t>
        </is>
      </c>
      <c r="CO51" s="194">
        <f>CP51+$CO$50</f>
        <v>-0.03</v>
      </c>
      <c r="CP51" s="195" t="n">
        <v>-0.08</v>
      </c>
      <c r="CQ51" s="194">
        <f>CP51+$CQ$50</f>
        <v>-0.13</v>
      </c>
      <c r="CR51" s="196" t="n"/>
    </row>
    <row r="52" hidden="1" outlineLevel="2" ht="15" customHeight="1">
      <c r="B52" s="139" t="inlineStr">
        <is>
          <t>Corporate (unallocated corporate costs; "Corporate Items")</t>
        </is>
      </c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  <c r="AA52" s="139" t="n"/>
      <c r="AB52" s="139" t="n"/>
      <c r="AC52" s="139" t="n"/>
      <c r="AD52" s="139" t="n"/>
      <c r="AE52" s="139" t="n"/>
      <c r="AF52" s="139" t="n"/>
      <c r="AG52" s="139" t="n"/>
      <c r="AH52" s="139" t="n"/>
      <c r="AI52" s="139" t="n"/>
      <c r="AJ52" s="139" t="n"/>
      <c r="AK52" s="139" t="n"/>
      <c r="AL52" s="139" t="n"/>
      <c r="AM52" s="139" t="n"/>
      <c r="AN52" s="139" t="n"/>
      <c r="AO52" s="139" t="n"/>
      <c r="AP52" s="139" t="n"/>
      <c r="AQ52" s="139" t="n"/>
      <c r="AR52" s="139" t="n"/>
      <c r="AS52" s="139" t="n"/>
      <c r="AT52" s="139" t="n"/>
      <c r="AU52" s="139" t="n"/>
      <c r="AV52" s="139" t="n"/>
      <c r="AW52" s="139" t="n"/>
      <c r="AX52" s="139" t="n"/>
      <c r="AY52" s="139" t="n"/>
      <c r="AZ52" s="139" t="n"/>
      <c r="BA52" s="139" t="n"/>
      <c r="BB52" s="139" t="n"/>
      <c r="BC52" s="139" t="n"/>
      <c r="BD52" s="139" t="n"/>
      <c r="BE52" s="139" t="n"/>
      <c r="BF52" s="139" t="n"/>
      <c r="BG52" s="139" t="n"/>
      <c r="BH52" s="139" t="n"/>
      <c r="BI52" s="139" t="n"/>
      <c r="BJ52" s="139" t="n"/>
      <c r="BK52" s="139" t="n"/>
      <c r="BL52" s="139" t="n"/>
      <c r="BM52" s="139" t="n"/>
      <c r="BN52" s="139" t="n"/>
      <c r="BO52" s="139" t="n"/>
      <c r="BP52" s="139" t="n"/>
      <c r="BQ52" s="139" t="n"/>
      <c r="BR52" s="139" t="n"/>
      <c r="BS52" s="139" t="n"/>
      <c r="BT52" s="139" t="n"/>
      <c r="BU52" s="139" t="n"/>
      <c r="BV52" s="139" t="n"/>
      <c r="BW52" s="139" t="n"/>
      <c r="BX52" s="139" t="n"/>
      <c r="BY52" s="139" t="n"/>
      <c r="BZ52" s="139" t="n"/>
      <c r="CA52" s="139" t="n"/>
      <c r="CB52" s="139" t="n"/>
      <c r="CC52" s="139" t="n"/>
      <c r="CD52" s="139" t="n"/>
      <c r="CE52" s="139" t="n"/>
      <c r="CF52" s="139" t="inlineStr">
        <is>
          <t>CORPORATE — modelling logic</t>
        </is>
      </c>
      <c r="CN52" s="26" t="inlineStr">
        <is>
          <t xml:space="preserve">  2028E</t>
        </is>
      </c>
      <c r="CO52" s="194">
        <f>CP52+$CO$50</f>
        <v>0.07</v>
      </c>
      <c r="CP52" s="195" t="n">
        <v>0.02</v>
      </c>
      <c r="CQ52" s="194">
        <f>CP52+$CQ$50</f>
        <v>-0.03</v>
      </c>
      <c r="CR52" s="196" t="n"/>
    </row>
    <row r="53" hidden="1" outlineLevel="2" ht="15" customHeight="1">
      <c r="B53" s="26" t="inlineStr">
        <is>
          <t xml:space="preserve">  Corporate revenues (direct)</t>
        </is>
      </c>
      <c r="C53" s="184" t="n"/>
      <c r="D53" s="184" t="n"/>
      <c r="E53" s="184" t="n"/>
      <c r="F53" s="184" t="n"/>
      <c r="G53" s="184" t="n"/>
      <c r="H53" s="184" t="n"/>
      <c r="I53" s="184" t="n"/>
      <c r="J53" s="184" t="n"/>
      <c r="K53" s="184" t="n"/>
      <c r="L53" s="184" t="n"/>
      <c r="M53" s="184" t="n"/>
      <c r="N53" s="184" t="n"/>
      <c r="O53" s="184" t="n"/>
      <c r="P53" s="184" t="n"/>
      <c r="Q53" s="184" t="n"/>
      <c r="R53" s="184" t="n"/>
      <c r="S53" s="184" t="n"/>
      <c r="T53" s="184" t="n"/>
      <c r="U53" s="184" t="n"/>
      <c r="V53" s="184" t="n"/>
      <c r="W53" s="184" t="n"/>
      <c r="X53" s="184" t="n"/>
      <c r="Y53" s="184" t="n"/>
      <c r="Z53" s="184" t="n"/>
      <c r="AA53" s="184" t="n"/>
      <c r="AB53" s="184" t="n"/>
      <c r="AC53" s="184" t="n"/>
      <c r="AD53" s="185" t="n">
        <v>-0.79</v>
      </c>
      <c r="AE53" s="185" t="n">
        <v>-0.117</v>
      </c>
      <c r="AF53" s="185" t="n">
        <v>-0.109</v>
      </c>
      <c r="AG53" s="185" t="n">
        <v>0.634</v>
      </c>
      <c r="AH53" s="185" t="n">
        <v>-0.382</v>
      </c>
      <c r="AI53" s="185" t="n">
        <v>-0.633</v>
      </c>
      <c r="AJ53" s="185" t="n">
        <v>-0.109</v>
      </c>
      <c r="AK53" s="185" t="n">
        <v>-0.6840000000000001</v>
      </c>
      <c r="AL53" s="185" t="n">
        <v>-0.747</v>
      </c>
      <c r="AM53" s="185" t="n">
        <v>-2.173</v>
      </c>
      <c r="AN53" s="185" t="n">
        <v>-0.66</v>
      </c>
      <c r="AO53" s="185" t="n">
        <v>-0.382</v>
      </c>
      <c r="AP53" s="185" t="n">
        <v>-1.349</v>
      </c>
      <c r="AQ53" s="185" t="n">
        <v>-0.616</v>
      </c>
      <c r="AR53" s="185" t="n">
        <v>-3.007</v>
      </c>
      <c r="AS53" s="185" t="n">
        <v>-1.011</v>
      </c>
      <c r="AT53" s="185" t="n">
        <v>-1.47</v>
      </c>
      <c r="AU53" s="185" t="n">
        <v>-0.266</v>
      </c>
      <c r="AV53" s="185" t="n">
        <v>-0.664</v>
      </c>
      <c r="AW53" s="185" t="n">
        <v>-3.411</v>
      </c>
      <c r="AX53" s="185" t="n">
        <v>0.079</v>
      </c>
      <c r="AY53" s="185" t="n">
        <v>0.079</v>
      </c>
      <c r="AZ53" s="185" t="n">
        <v>0.059</v>
      </c>
      <c r="BA53" s="185" t="n">
        <v>0.082</v>
      </c>
      <c r="BB53" s="185" t="n">
        <v>0.299</v>
      </c>
      <c r="BC53" s="185" t="n">
        <v>0.07199999999999999</v>
      </c>
      <c r="BD53" s="185" t="n">
        <v>0.079</v>
      </c>
      <c r="BE53" s="185" t="n">
        <v>0.283</v>
      </c>
      <c r="BF53" s="185" t="n">
        <v>0.073</v>
      </c>
      <c r="BG53" s="185" t="n">
        <v>0.507</v>
      </c>
      <c r="BH53" s="185" t="n">
        <v>0.107</v>
      </c>
      <c r="BI53" s="185" t="n">
        <v>0.116</v>
      </c>
      <c r="BJ53" s="185" t="n">
        <v>0.112</v>
      </c>
      <c r="BK53" s="185" t="n">
        <v>0.112</v>
      </c>
      <c r="BL53" s="185" t="n">
        <v>0.447</v>
      </c>
      <c r="BM53" s="185" t="n">
        <v>0.102</v>
      </c>
      <c r="BN53" s="185" t="n">
        <v>0.099</v>
      </c>
      <c r="BO53" s="185" t="n">
        <v>0.096</v>
      </c>
      <c r="BP53" s="185" t="n">
        <v>0.11</v>
      </c>
      <c r="BQ53" s="185" t="n">
        <v>0.407</v>
      </c>
      <c r="BR53" s="185" t="n">
        <v>0.097</v>
      </c>
      <c r="BS53" s="185" t="n">
        <v>0.089</v>
      </c>
      <c r="BT53" s="185" t="n">
        <v>0</v>
      </c>
      <c r="BU53" s="185" t="n">
        <v>0</v>
      </c>
      <c r="BV53" s="185" t="n">
        <v>0.186</v>
      </c>
      <c r="BW53" s="185" t="n">
        <v>0</v>
      </c>
      <c r="BX53" s="185" t="n">
        <v>0</v>
      </c>
      <c r="BY53" s="201" t="n">
        <v>0</v>
      </c>
      <c r="BZ53" s="201" t="n">
        <v>0</v>
      </c>
      <c r="CA53" s="186">
        <f>SUM(BW53,BX53,BY53,BZ53)</f>
        <v>0</v>
      </c>
      <c r="CB53" s="186">
        <f>0</f>
        <v>0</v>
      </c>
      <c r="CC53" s="186">
        <f>0</f>
        <v>0</v>
      </c>
      <c r="CD53" s="186">
        <f>0</f>
        <v>0</v>
      </c>
      <c r="CE53" s="186">
        <f>0</f>
        <v>0</v>
      </c>
      <c r="CF53" s="20" t="n"/>
      <c r="CN53" s="26" t="inlineStr">
        <is>
          <t xml:space="preserve">  2029E</t>
        </is>
      </c>
      <c r="CO53" s="194">
        <f>CP53+$CO$50</f>
        <v>0.07</v>
      </c>
      <c r="CP53" s="195" t="n">
        <v>0.02</v>
      </c>
      <c r="CQ53" s="194">
        <f>CP53+$CQ$50</f>
        <v>-0.03</v>
      </c>
      <c r="CR53" s="196" t="n"/>
    </row>
    <row r="54" hidden="1" outlineLevel="1" collapsed="1" ht="15" customHeight="1">
      <c r="B54" s="17" t="inlineStr">
        <is>
          <t xml:space="preserve">  Corporate Adjusted EBITDA (costs)</t>
        </is>
      </c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  <c r="AB54" s="33" t="n"/>
      <c r="AC54" s="33" t="n"/>
      <c r="AD54" s="175" t="n">
        <v>-32.423</v>
      </c>
      <c r="AE54" s="175" t="n">
        <v>-34.422</v>
      </c>
      <c r="AF54" s="175" t="n">
        <v>-33.811</v>
      </c>
      <c r="AG54" s="175" t="n">
        <v>-44.808</v>
      </c>
      <c r="AH54" s="175" t="n">
        <v>-145.464</v>
      </c>
      <c r="AI54" s="175" t="n">
        <v>-35.036</v>
      </c>
      <c r="AJ54" s="175" t="n">
        <v>-42.707</v>
      </c>
      <c r="AK54" s="175" t="n">
        <v>-40.644</v>
      </c>
      <c r="AL54" s="175" t="n">
        <v>-53.493</v>
      </c>
      <c r="AM54" s="175" t="n">
        <v>-171.88</v>
      </c>
      <c r="AN54" s="175" t="n">
        <v>-42.64</v>
      </c>
      <c r="AO54" s="175" t="n">
        <v>-47.502</v>
      </c>
      <c r="AP54" s="175" t="n">
        <v>-46.371</v>
      </c>
      <c r="AQ54" s="175" t="n">
        <v>-51.832</v>
      </c>
      <c r="AR54" s="175" t="n">
        <v>-188.345</v>
      </c>
      <c r="AS54" s="175" t="n">
        <v>-47.472</v>
      </c>
      <c r="AT54" s="175" t="n">
        <v>-49.192</v>
      </c>
      <c r="AU54" s="175" t="n">
        <v>-48.444</v>
      </c>
      <c r="AV54" s="175" t="n">
        <v>-48.722</v>
      </c>
      <c r="AW54" s="175" t="n">
        <v>-193.83</v>
      </c>
      <c r="AX54" s="175" t="n">
        <v>-42.435</v>
      </c>
      <c r="AY54" s="175" t="n">
        <v>-51.584</v>
      </c>
      <c r="AZ54" s="175" t="n">
        <v>-52.197</v>
      </c>
      <c r="BA54" s="175" t="n">
        <v>-64.25</v>
      </c>
      <c r="BB54" s="175" t="n">
        <v>-210.466</v>
      </c>
      <c r="BC54" s="175" t="n">
        <v>-55.22</v>
      </c>
      <c r="BD54" s="175" t="n">
        <v>-57.281</v>
      </c>
      <c r="BE54" s="175" t="n">
        <v>-55.288</v>
      </c>
      <c r="BF54" s="175" t="n">
        <v>-69.46299999999999</v>
      </c>
      <c r="BG54" s="175" t="n">
        <v>-237.252</v>
      </c>
      <c r="BH54" s="175" t="n">
        <v>-54.67</v>
      </c>
      <c r="BI54" s="175" t="n">
        <v>-71.53100000000001</v>
      </c>
      <c r="BJ54" s="175" t="n">
        <v>-65.111</v>
      </c>
      <c r="BK54" s="175" t="n">
        <v>-70.599</v>
      </c>
      <c r="BL54" s="175" t="n">
        <v>-261.911</v>
      </c>
      <c r="BM54" s="175" t="n">
        <v>-64.08</v>
      </c>
      <c r="BN54" s="175" t="n">
        <v>-83.575</v>
      </c>
      <c r="BO54" s="175" t="n">
        <v>-71.914</v>
      </c>
      <c r="BP54" s="175" t="n">
        <v>-77.965</v>
      </c>
      <c r="BQ54" s="175" t="n">
        <v>-297.534</v>
      </c>
      <c r="BR54" s="175" t="n">
        <v>-67.989</v>
      </c>
      <c r="BS54" s="175" t="n">
        <v>-78.27</v>
      </c>
      <c r="BT54" s="175" t="n">
        <v>-78.00700000000001</v>
      </c>
      <c r="BU54" s="175" t="n">
        <v>-87.02500000000001</v>
      </c>
      <c r="BV54" s="175" t="n">
        <v>-311.291</v>
      </c>
      <c r="BW54" s="175" t="n">
        <v>-75.52800000000001</v>
      </c>
      <c r="BX54" s="175" t="n">
        <v>-90.07299999999999</v>
      </c>
      <c r="BY54" s="176">
        <f>BT54*(BW54+BX54)/(BR54+BS54)</f>
        <v>-88.3230242720106</v>
      </c>
      <c r="BZ54" s="176">
        <f>BU54*(BW54+BX54)/(BR54+BS54)</f>
        <v>-98.5336083591437</v>
      </c>
      <c r="CA54" s="176">
        <f>SUM(BW54,BX54,BY54,BZ54)</f>
        <v>-352.457632631154</v>
      </c>
      <c r="CB54" s="176">
        <f>(CB138-N(CB63)-N(CB80))*CB55</f>
        <v>-354.800056806</v>
      </c>
      <c r="CC54" s="176">
        <f>(CC138-N(CC63)-N(CC80))*CC55</f>
        <v>-374.607339345408</v>
      </c>
      <c r="CD54" s="176">
        <f>(CD138-N(CD63)-N(CD80))*CD55</f>
        <v>-394.30680693397</v>
      </c>
      <c r="CE54" s="176">
        <f>(CE138-N(CE63)-N(CE80))*CE55</f>
        <v>-414.477720753843</v>
      </c>
      <c r="CF54" s="177" t="inlineStr">
        <is>
          <t>Q3/Q4-26E: prior-year quarter × 1H/26 y/y growth (+13%, incl. higher incentive comp). 2027E+: legacy revenues × corporate cost %.</t>
        </is>
      </c>
      <c r="CN54" s="26" t="inlineStr">
        <is>
          <t xml:space="preserve">  2030E</t>
        </is>
      </c>
      <c r="CO54" s="194">
        <f>CP54+$CO$50</f>
        <v>0.07</v>
      </c>
      <c r="CP54" s="195" t="n">
        <v>0.02</v>
      </c>
      <c r="CQ54" s="194">
        <f>CP54+$CQ$50</f>
        <v>-0.03</v>
      </c>
      <c r="CR54" s="196" t="n"/>
    </row>
    <row r="55" hidden="1" outlineLevel="1" ht="15" customHeight="1">
      <c r="B55" s="26" t="inlineStr">
        <is>
          <t xml:space="preserve">  Corporate costs % of revenues</t>
        </is>
      </c>
      <c r="C55" s="181" t="n"/>
      <c r="D55" s="181" t="n"/>
      <c r="E55" s="181" t="n"/>
      <c r="F55" s="181" t="n"/>
      <c r="G55" s="181" t="n"/>
      <c r="H55" s="181" t="n"/>
      <c r="I55" s="181" t="n"/>
      <c r="J55" s="181" t="n"/>
      <c r="K55" s="181" t="n"/>
      <c r="L55" s="181" t="n"/>
      <c r="M55" s="181" t="n"/>
      <c r="N55" s="181" t="n"/>
      <c r="O55" s="181" t="n"/>
      <c r="P55" s="181" t="n"/>
      <c r="Q55" s="181" t="n"/>
      <c r="R55" s="181" t="n"/>
      <c r="S55" s="181" t="n"/>
      <c r="T55" s="181" t="n"/>
      <c r="U55" s="181" t="n"/>
      <c r="V55" s="181" t="n"/>
      <c r="W55" s="181" t="n"/>
      <c r="X55" s="181" t="n"/>
      <c r="Y55" s="181" t="n"/>
      <c r="Z55" s="181" t="n"/>
      <c r="AA55" s="181" t="n"/>
      <c r="AB55" s="181" t="n"/>
      <c r="AC55" s="181" t="n"/>
      <c r="AD55" s="190">
        <f>IF(AND(ISNUMBER(AD54),ISNUMBER(AD138)),IFERROR(AD54/AD138,""),"")</f>
        <v>-0.0470620851422691</v>
      </c>
      <c r="AE55" s="190">
        <f>IF(AND(ISNUMBER(AE54),ISNUMBER(AE138)),IFERROR(AE54/AE138,""),"")</f>
        <v>-0.0457260211374251</v>
      </c>
      <c r="AF55" s="190">
        <f>IF(AND(ISNUMBER(AF54),ISNUMBER(AF138)),IFERROR(AF54/AF138,""),"")</f>
        <v>-0.0447326571814894</v>
      </c>
      <c r="AG55" s="190">
        <f>IF(AND(ISNUMBER(AG54),ISNUMBER(AG138)),IFERROR(AG54/AG138,""),"")</f>
        <v>-0.0599515923805497</v>
      </c>
      <c r="AH55" s="190">
        <f>IF(AND(ISNUMBER(AH54),ISNUMBER(AH138)),IFERROR(AH54/AH138,""),"")</f>
        <v>-0.0493939173739159</v>
      </c>
      <c r="AI55" s="190">
        <f>IF(AND(ISNUMBER(AI54),ISNUMBER(AI138)),IFERROR(AI54/AI138,""),"")</f>
        <v>-0.0467284983021641</v>
      </c>
      <c r="AJ55" s="190">
        <f>IF(AND(ISNUMBER(AJ54),ISNUMBER(AJ138)),IFERROR(AJ54/AJ138,""),"")</f>
        <v>-0.0502944155262972</v>
      </c>
      <c r="AK55" s="190">
        <f>IF(AND(ISNUMBER(AK54),ISNUMBER(AK138)),IFERROR(AK54/AK138,""),"")</f>
        <v>-0.048203173458605</v>
      </c>
      <c r="AL55" s="190">
        <f>IF(AND(ISNUMBER(AL54),ISNUMBER(AL138)),IFERROR(AL54/AL138,""),"")</f>
        <v>-0.0623313338087448</v>
      </c>
      <c r="AM55" s="190">
        <f>IF(AND(ISNUMBER(AM54),ISNUMBER(AM138)),IFERROR(AM54/AM138,""),"")</f>
        <v>-0.0520800665878254</v>
      </c>
      <c r="AN55" s="190">
        <f>IF(AND(ISNUMBER(AN54),ISNUMBER(AN138)),IFERROR(AN54/AN138,""),"")</f>
        <v>-0.0546079281388353</v>
      </c>
      <c r="AO55" s="190">
        <f>IF(AND(ISNUMBER(AO54),ISNUMBER(AO138)),IFERROR(AO54/AO138,""),"")</f>
        <v>-0.0546830931599511</v>
      </c>
      <c r="AP55" s="190">
        <f>IF(AND(ISNUMBER(AP54),ISNUMBER(AP138)),IFERROR(AP54/AP138,""),"")</f>
        <v>-0.052004782048924</v>
      </c>
      <c r="AQ55" s="190">
        <f>IF(AND(ISNUMBER(AQ54),ISNUMBER(AQ138)),IFERROR(AQ54/AQ138,""),"")</f>
        <v>-0.0595082691832998</v>
      </c>
      <c r="AR55" s="190">
        <f>IF(AND(ISNUMBER(AR54),ISNUMBER(AR138)),IFERROR(AR54/AR138,""),"")</f>
        <v>-0.0551976882881668</v>
      </c>
      <c r="AS55" s="190">
        <f>IF(AND(ISNUMBER(AS54),ISNUMBER(AS138)),IFERROR(AS54/AS138,""),"")</f>
        <v>-0.0552923897256229</v>
      </c>
      <c r="AT55" s="190">
        <f>IF(AND(ISNUMBER(AT54),ISNUMBER(AT138)),IFERROR(AT54/AT138,""),"")</f>
        <v>-0.0692845070422535</v>
      </c>
      <c r="AU55" s="190">
        <f>IF(AND(ISNUMBER(AU54),ISNUMBER(AU138)),IFERROR(AU54/AU138,""),"")</f>
        <v>-0.062159970436675</v>
      </c>
      <c r="AV55" s="190">
        <f>IF(AND(ISNUMBER(AV54),ISNUMBER(AV138)),IFERROR(AV54/AV138,""),"")</f>
        <v>-0.0611939361207752</v>
      </c>
      <c r="AW55" s="190">
        <f>IF(AND(ISNUMBER(AW54),ISNUMBER(AW138)),IFERROR(AW54/AW138,""),"")</f>
        <v>-0.0616488613423823</v>
      </c>
      <c r="AX55" s="190">
        <f>IF(AND(ISNUMBER(AX54),ISNUMBER(AX138)),IFERROR(AX54/AX138,""),"")</f>
        <v>-0.0525089463811084</v>
      </c>
      <c r="AY55" s="190">
        <f>IF(AND(ISNUMBER(AY54),ISNUMBER(AY138)),IFERROR(AY54/AY138,""),"")</f>
        <v>-0.0556787247775938</v>
      </c>
      <c r="AZ55" s="190">
        <f>IF(AND(ISNUMBER(AZ54),ISNUMBER(AZ138)),IFERROR(AZ54/AZ138,""),"")</f>
        <v>-0.054858804030357</v>
      </c>
      <c r="BA55" s="190">
        <f>IF(AND(ISNUMBER(BA54),ISNUMBER(BA138)),IFERROR(BA54/BA138,""),"")</f>
        <v>-0.0573926667804099</v>
      </c>
      <c r="BB55" s="190">
        <f>IF(AND(ISNUMBER(BB54),ISNUMBER(BB138)),IFERROR(BB54/BB138,""),"")</f>
        <v>-0.0553047825211808</v>
      </c>
      <c r="BC55" s="190">
        <f>IF(AND(ISNUMBER(BC54),ISNUMBER(BC138)),IFERROR(BC54/BC138,""),"")</f>
        <v>-0.0472325506005</v>
      </c>
      <c r="BD55" s="190">
        <f>IF(AND(ISNUMBER(BD54),ISNUMBER(BD138)),IFERROR(BD54/BD138,""),"")</f>
        <v>-0.0422329080624517</v>
      </c>
      <c r="BE55" s="190">
        <f>IF(AND(ISNUMBER(BE54),ISNUMBER(BE138)),IFERROR(BE54/BE138,""),"")</f>
        <v>-0.0405609037140723</v>
      </c>
      <c r="BF55" s="190">
        <f>IF(AND(ISNUMBER(BF54),ISNUMBER(BF138)),IFERROR(BF54/BF138,""),"")</f>
        <v>-0.0543487275623622</v>
      </c>
      <c r="BG55" s="190">
        <f>IF(AND(ISNUMBER(BG54),ISNUMBER(BG138)),IFERROR(BG54/BG138,""),"")</f>
        <v>-0.0459202900163647</v>
      </c>
      <c r="BH55" s="190">
        <f>IF(AND(ISNUMBER(BH54),ISNUMBER(BH138)),IFERROR(BH54/BH138,""),"")</f>
        <v>-0.0418162334488564</v>
      </c>
      <c r="BI55" s="190">
        <f>IF(AND(ISNUMBER(BI54),ISNUMBER(BI138)),IFERROR(BI54/BI138,""),"")</f>
        <v>-0.0511703269189499</v>
      </c>
      <c r="BJ55" s="190">
        <f>IF(AND(ISNUMBER(BJ54),ISNUMBER(BJ138)),IFERROR(BJ54/BJ138,""),"")</f>
        <v>-0.0476760567505506</v>
      </c>
      <c r="BK55" s="190">
        <f>IF(AND(ISNUMBER(BK54),ISNUMBER(BK138)),IFERROR(BK54/BK138,""),"")</f>
        <v>-0.0527579102490044</v>
      </c>
      <c r="BL55" s="190">
        <f>IF(AND(ISNUMBER(BL54),ISNUMBER(BL138)),IFERROR(BL54/BL138,""),"")</f>
        <v>-0.0484199741475189</v>
      </c>
      <c r="BM55" s="190">
        <f>IF(AND(ISNUMBER(BM54),ISNUMBER(BM138)),IFERROR(BM54/BM138,""),"")</f>
        <v>-0.0465462575225449</v>
      </c>
      <c r="BN55" s="190">
        <f>IF(AND(ISNUMBER(BN54),ISNUMBER(BN138)),IFERROR(BN54/BN138,""),"")</f>
        <v>-0.053824935484141</v>
      </c>
      <c r="BO55" s="190">
        <f>IF(AND(ISNUMBER(BO54),ISNUMBER(BO138)),IFERROR(BO54/BO138,""),"")</f>
        <v>-0.0470203776328574</v>
      </c>
      <c r="BP55" s="190">
        <f>IF(AND(ISNUMBER(BP54),ISNUMBER(BP138)),IFERROR(BP54/BP138,""),"")</f>
        <v>-0.0544784629617725</v>
      </c>
      <c r="BQ55" s="190">
        <f>IF(AND(ISNUMBER(BQ54),ISNUMBER(BQ138)),IFERROR(BQ54/BQ138,""),"")</f>
        <v>-0.0505155220280233</v>
      </c>
      <c r="BR55" s="190">
        <f>IF(AND(ISNUMBER(BR54),ISNUMBER(BR138)),IFERROR(BR54/BR138,""),"")</f>
        <v>-0.0474800097768777</v>
      </c>
      <c r="BS55" s="190">
        <f>IF(AND(ISNUMBER(BS54),ISNUMBER(BS138)),IFERROR(BS54/BS138,""),"")</f>
        <v>-0.0505015311119628</v>
      </c>
      <c r="BT55" s="190">
        <f>IF(AND(ISNUMBER(BT54),ISNUMBER(BT138)),IFERROR(BT54/BT138,""),"")</f>
        <v>-0.0503486329959202</v>
      </c>
      <c r="BU55" s="190">
        <f>IF(AND(ISNUMBER(BU54),ISNUMBER(BU138)),IFERROR(BU54/BU138,""),"")</f>
        <v>-0.0580284270945578</v>
      </c>
      <c r="BV55" s="190">
        <f>IF(AND(ISNUMBER(BV54),ISNUMBER(BV138)),IFERROR(BV54/BV138,""),"")</f>
        <v>-0.0516165500742268</v>
      </c>
      <c r="BW55" s="190">
        <f>IF(AND(ISNUMBER(BW54),ISNUMBER(BW138)),IFERROR(BW54/BW138,""),"")</f>
        <v>-0.0517479173189854</v>
      </c>
      <c r="BX55" s="190">
        <f>IF(AND(ISNUMBER(BX54),ISNUMBER(BX138)),IFERROR(BX54/BX138,""),"")</f>
        <v>-0.0519151241639073</v>
      </c>
      <c r="BY55" s="179">
        <f>IF(AND(ISNUMBER(BY54),ISNUMBER(BY138)),IFERROR(BY54/BY138,""),"")</f>
        <v>-0.0513799776767307</v>
      </c>
      <c r="BZ55" s="179">
        <f>IF(AND(ISNUMBER(BZ54),ISNUMBER(BZ138)),IFERROR(BZ54/BZ138,""),"")</f>
        <v>-0.0586580562584872</v>
      </c>
      <c r="CA55" s="179">
        <f>IF(AND(ISNUMBER(CA54),ISNUMBER(CA138)),IFERROR(CA54/CA138,""),"")</f>
        <v>-0.0534564919008485</v>
      </c>
      <c r="CB55" s="179">
        <f>-0.052</f>
        <v>-0.052</v>
      </c>
      <c r="CC55" s="179">
        <f>-0.052</f>
        <v>-0.052</v>
      </c>
      <c r="CD55" s="179">
        <f>-0.052</f>
        <v>-0.052</v>
      </c>
      <c r="CE55" s="179">
        <f>-0.052</f>
        <v>-0.052</v>
      </c>
      <c r="CF55" s="20" t="inlineStr">
        <is>
          <t>2027E+: −5.2% input (FY25 −5.2%; 1H/26 −5.2%).</t>
        </is>
      </c>
      <c r="CN55" s="16" t="inlineStr">
        <is>
          <t>ES_margin (ES Adjusted EBITDA margin)</t>
        </is>
      </c>
      <c r="CO55" s="192" t="n">
        <v>0.01</v>
      </c>
      <c r="CP55" s="22" t="inlineStr">
        <is>
          <t>Δ →</t>
        </is>
      </c>
      <c r="CQ55" s="192" t="n">
        <v>-0.01</v>
      </c>
      <c r="CR55" s="14" t="inlineStr">
        <is>
          <t>FY23–25 24.4% / 25.3% / 25.9%; 1H/26 25.7%. ~+40bp p.a. (pricing, network utilisation).</t>
        </is>
      </c>
    </row>
    <row r="56" hidden="1" outlineLevel="1" ht="15" customHeight="1">
      <c r="CN56" s="26" t="inlineStr">
        <is>
          <t xml:space="preserve">  2027E</t>
        </is>
      </c>
      <c r="CO56" s="194">
        <f>CP56+$CO$55</f>
        <v>0.286</v>
      </c>
      <c r="CP56" s="195" t="n">
        <v>0.276</v>
      </c>
      <c r="CQ56" s="194">
        <f>CP56+$CQ$55</f>
        <v>0.266</v>
      </c>
      <c r="CR56" s="196" t="n"/>
    </row>
    <row r="57" hidden="1" outlineLevel="1" ht="15" customHeight="1">
      <c r="B57" s="139" t="inlineStr">
        <is>
          <t>Pending acquisitions — ES&amp;H (Gulf ER / Field Services, $305m) &amp; EnviroServe (national waste services, $470m); NOT in FY26 guidance; reported within ES</t>
        </is>
      </c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  <c r="AA57" s="139" t="n"/>
      <c r="AB57" s="139" t="n"/>
      <c r="AC57" s="139" t="n"/>
      <c r="AD57" s="139" t="n"/>
      <c r="AE57" s="139" t="n"/>
      <c r="AF57" s="139" t="n"/>
      <c r="AG57" s="139" t="n"/>
      <c r="AH57" s="139" t="n"/>
      <c r="AI57" s="139" t="n"/>
      <c r="AJ57" s="139" t="n"/>
      <c r="AK57" s="139" t="n"/>
      <c r="AL57" s="139" t="n"/>
      <c r="AM57" s="139" t="n"/>
      <c r="AN57" s="139" t="n"/>
      <c r="AO57" s="139" t="n"/>
      <c r="AP57" s="139" t="n"/>
      <c r="AQ57" s="139" t="n"/>
      <c r="AR57" s="139" t="n"/>
      <c r="AS57" s="139" t="n"/>
      <c r="AT57" s="139" t="n"/>
      <c r="AU57" s="139" t="n"/>
      <c r="AV57" s="139" t="n"/>
      <c r="AW57" s="139" t="n"/>
      <c r="AX57" s="139" t="n"/>
      <c r="AY57" s="139" t="n"/>
      <c r="AZ57" s="139" t="n"/>
      <c r="BA57" s="139" t="n"/>
      <c r="BB57" s="139" t="n"/>
      <c r="BC57" s="139" t="n"/>
      <c r="BD57" s="139" t="n"/>
      <c r="BE57" s="139" t="n"/>
      <c r="BF57" s="139" t="n"/>
      <c r="BG57" s="139" t="n"/>
      <c r="BH57" s="139" t="n"/>
      <c r="BI57" s="139" t="n"/>
      <c r="BJ57" s="139" t="n"/>
      <c r="BK57" s="139" t="n"/>
      <c r="BL57" s="139" t="n"/>
      <c r="BM57" s="139" t="n"/>
      <c r="BN57" s="139" t="n"/>
      <c r="BO57" s="139" t="n"/>
      <c r="BP57" s="139" t="n"/>
      <c r="BQ57" s="139" t="n"/>
      <c r="BR57" s="139" t="n"/>
      <c r="BS57" s="139" t="n"/>
      <c r="BT57" s="139" t="n"/>
      <c r="BU57" s="139" t="n"/>
      <c r="BV57" s="139" t="n"/>
      <c r="BW57" s="139" t="n"/>
      <c r="BX57" s="139" t="n"/>
      <c r="BY57" s="139" t="n"/>
      <c r="BZ57" s="139" t="n"/>
      <c r="CA57" s="139" t="n"/>
      <c r="CB57" s="139" t="n"/>
      <c r="CC57" s="139" t="n"/>
      <c r="CD57" s="139" t="n"/>
      <c r="CE57" s="139" t="n"/>
      <c r="CF57" s="139" t="inlineStr">
        <is>
          <t>PENDING DEALS — modelling logic (8-K 29-Jul-26 &amp; 12-Aug-26; notes 8-K 18-Sep-26). Closing dates are model assumptions.</t>
        </is>
      </c>
      <c r="CN57" s="26" t="inlineStr">
        <is>
          <t xml:space="preserve">  2028E</t>
        </is>
      </c>
      <c r="CO57" s="194">
        <f>CP57+$CO$55</f>
        <v>0.29</v>
      </c>
      <c r="CP57" s="195" t="n">
        <v>0.28</v>
      </c>
      <c r="CQ57" s="194">
        <f>CP57+$CQ$55</f>
        <v>0.27</v>
      </c>
      <c r="CR57" s="196" t="n"/>
    </row>
    <row r="58" hidden="1" outlineLevel="1" ht="15" customHeight="1">
      <c r="B58" s="26" t="inlineStr">
        <is>
          <t xml:space="preserve">  ES&amp;H — days consolidated in period (assumed closing 1-Sep-2026)</t>
        </is>
      </c>
      <c r="C58" s="184" t="n"/>
      <c r="D58" s="184" t="n"/>
      <c r="E58" s="184" t="n"/>
      <c r="F58" s="184" t="n"/>
      <c r="G58" s="184" t="n"/>
      <c r="H58" s="184" t="n"/>
      <c r="I58" s="184" t="n"/>
      <c r="J58" s="184" t="n"/>
      <c r="K58" s="184" t="n"/>
      <c r="L58" s="184" t="n"/>
      <c r="M58" s="184" t="n"/>
      <c r="N58" s="184" t="n"/>
      <c r="O58" s="184" t="n"/>
      <c r="P58" s="184" t="n"/>
      <c r="Q58" s="184" t="n"/>
      <c r="R58" s="184" t="n"/>
      <c r="S58" s="184" t="n"/>
      <c r="T58" s="184" t="n"/>
      <c r="U58" s="184" t="n"/>
      <c r="V58" s="184" t="n"/>
      <c r="W58" s="184" t="n"/>
      <c r="X58" s="184" t="n"/>
      <c r="Y58" s="184" t="n"/>
      <c r="Z58" s="184" t="n"/>
      <c r="AA58" s="184" t="n"/>
      <c r="AB58" s="184" t="n"/>
      <c r="AC58" s="184" t="n"/>
      <c r="AD58" s="184" t="n"/>
      <c r="AE58" s="184" t="n"/>
      <c r="AF58" s="184" t="n"/>
      <c r="AG58" s="184" t="n"/>
      <c r="AH58" s="184" t="n"/>
      <c r="AI58" s="184" t="n"/>
      <c r="AJ58" s="184" t="n"/>
      <c r="AK58" s="184" t="n"/>
      <c r="AL58" s="184" t="n"/>
      <c r="AM58" s="184" t="n"/>
      <c r="AN58" s="184" t="n"/>
      <c r="AO58" s="184" t="n"/>
      <c r="AP58" s="184" t="n"/>
      <c r="AQ58" s="184" t="n"/>
      <c r="AR58" s="184" t="n"/>
      <c r="AS58" s="184" t="n"/>
      <c r="AT58" s="184" t="n"/>
      <c r="AU58" s="184" t="n"/>
      <c r="AV58" s="184" t="n"/>
      <c r="AW58" s="184" t="n"/>
      <c r="AX58" s="184" t="n"/>
      <c r="AY58" s="184" t="n"/>
      <c r="AZ58" s="184" t="n"/>
      <c r="BA58" s="184" t="n"/>
      <c r="BB58" s="184" t="n"/>
      <c r="BC58" s="184" t="n"/>
      <c r="BD58" s="184" t="n"/>
      <c r="BE58" s="184" t="n"/>
      <c r="BF58" s="184" t="n"/>
      <c r="BG58" s="184" t="n"/>
      <c r="BH58" s="184" t="n"/>
      <c r="BI58" s="184" t="n"/>
      <c r="BJ58" s="184" t="n"/>
      <c r="BK58" s="184" t="n"/>
      <c r="BL58" s="184" t="n"/>
      <c r="BM58" s="184" t="n"/>
      <c r="BN58" s="184" t="n"/>
      <c r="BO58" s="184" t="n"/>
      <c r="BP58" s="184" t="n"/>
      <c r="BQ58" s="184" t="n"/>
      <c r="BR58" s="184" t="n"/>
      <c r="BS58" s="184" t="n"/>
      <c r="BT58" s="184" t="n"/>
      <c r="BU58" s="184" t="n"/>
      <c r="BV58" s="184" t="n"/>
      <c r="BW58" s="184" t="n"/>
      <c r="BX58" s="184" t="n"/>
      <c r="BY58" s="201" t="n">
        <v>30</v>
      </c>
      <c r="BZ58" s="201" t="n">
        <v>92</v>
      </c>
      <c r="CA58" s="186">
        <f>SUM(BW58,BX58,BY58,BZ58)</f>
        <v>122</v>
      </c>
      <c r="CB58" s="186">
        <f>365</f>
        <v>365</v>
      </c>
      <c r="CC58" s="186">
        <f>365</f>
        <v>365</v>
      </c>
      <c r="CD58" s="186">
        <f>365</f>
        <v>365</v>
      </c>
      <c r="CE58" s="186">
        <f>365</f>
        <v>365</v>
      </c>
      <c r="CF58" s="20" t="inlineStr">
        <is>
          <t>Signed 17-Jul-26; Sep-26 notes release refers to revolver borrowings incurred for ES&amp;H → assumed closed 1-Sep-26.</t>
        </is>
      </c>
      <c r="CN58" s="26" t="inlineStr">
        <is>
          <t xml:space="preserve">  2029E</t>
        </is>
      </c>
      <c r="CO58" s="194">
        <f>CP58+$CO$55</f>
        <v>0.294</v>
      </c>
      <c r="CP58" s="195" t="n">
        <v>0.284</v>
      </c>
      <c r="CQ58" s="194">
        <f>CP58+$CQ$55</f>
        <v>0.274</v>
      </c>
      <c r="CR58" s="196" t="n"/>
    </row>
    <row r="59" hidden="1" outlineLevel="1" ht="15" customHeight="1">
      <c r="B59" s="26" t="inlineStr">
        <is>
          <t xml:space="preserve">  EnviroServe — days consolidated in period (assumed closing 1-Nov-2026)</t>
        </is>
      </c>
      <c r="C59" s="184" t="n"/>
      <c r="D59" s="184" t="n"/>
      <c r="E59" s="184" t="n"/>
      <c r="F59" s="184" t="n"/>
      <c r="G59" s="184" t="n"/>
      <c r="H59" s="184" t="n"/>
      <c r="I59" s="184" t="n"/>
      <c r="J59" s="184" t="n"/>
      <c r="K59" s="184" t="n"/>
      <c r="L59" s="184" t="n"/>
      <c r="M59" s="184" t="n"/>
      <c r="N59" s="184" t="n"/>
      <c r="O59" s="184" t="n"/>
      <c r="P59" s="184" t="n"/>
      <c r="Q59" s="184" t="n"/>
      <c r="R59" s="184" t="n"/>
      <c r="S59" s="184" t="n"/>
      <c r="T59" s="184" t="n"/>
      <c r="U59" s="184" t="n"/>
      <c r="V59" s="184" t="n"/>
      <c r="W59" s="184" t="n"/>
      <c r="X59" s="184" t="n"/>
      <c r="Y59" s="184" t="n"/>
      <c r="Z59" s="184" t="n"/>
      <c r="AA59" s="184" t="n"/>
      <c r="AB59" s="184" t="n"/>
      <c r="AC59" s="184" t="n"/>
      <c r="AD59" s="184" t="n"/>
      <c r="AE59" s="184" t="n"/>
      <c r="AF59" s="184" t="n"/>
      <c r="AG59" s="184" t="n"/>
      <c r="AH59" s="184" t="n"/>
      <c r="AI59" s="184" t="n"/>
      <c r="AJ59" s="184" t="n"/>
      <c r="AK59" s="184" t="n"/>
      <c r="AL59" s="184" t="n"/>
      <c r="AM59" s="184" t="n"/>
      <c r="AN59" s="184" t="n"/>
      <c r="AO59" s="184" t="n"/>
      <c r="AP59" s="184" t="n"/>
      <c r="AQ59" s="184" t="n"/>
      <c r="AR59" s="184" t="n"/>
      <c r="AS59" s="184" t="n"/>
      <c r="AT59" s="184" t="n"/>
      <c r="AU59" s="184" t="n"/>
      <c r="AV59" s="184" t="n"/>
      <c r="AW59" s="184" t="n"/>
      <c r="AX59" s="184" t="n"/>
      <c r="AY59" s="184" t="n"/>
      <c r="AZ59" s="184" t="n"/>
      <c r="BA59" s="184" t="n"/>
      <c r="BB59" s="184" t="n"/>
      <c r="BC59" s="184" t="n"/>
      <c r="BD59" s="184" t="n"/>
      <c r="BE59" s="184" t="n"/>
      <c r="BF59" s="184" t="n"/>
      <c r="BG59" s="184" t="n"/>
      <c r="BH59" s="184" t="n"/>
      <c r="BI59" s="184" t="n"/>
      <c r="BJ59" s="184" t="n"/>
      <c r="BK59" s="184" t="n"/>
      <c r="BL59" s="184" t="n"/>
      <c r="BM59" s="184" t="n"/>
      <c r="BN59" s="184" t="n"/>
      <c r="BO59" s="184" t="n"/>
      <c r="BP59" s="184" t="n"/>
      <c r="BQ59" s="184" t="n"/>
      <c r="BR59" s="184" t="n"/>
      <c r="BS59" s="184" t="n"/>
      <c r="BT59" s="184" t="n"/>
      <c r="BU59" s="184" t="n"/>
      <c r="BV59" s="184" t="n"/>
      <c r="BW59" s="184" t="n"/>
      <c r="BX59" s="184" t="n"/>
      <c r="BY59" s="201" t="n">
        <v>0</v>
      </c>
      <c r="BZ59" s="201" t="n">
        <v>61</v>
      </c>
      <c r="CA59" s="186">
        <f>SUM(BW59,BX59,BY59,BZ59)</f>
        <v>61</v>
      </c>
      <c r="CB59" s="186">
        <f>365</f>
        <v>365</v>
      </c>
      <c r="CC59" s="186">
        <f>365</f>
        <v>365</v>
      </c>
      <c r="CD59" s="186">
        <f>365</f>
        <v>365</v>
      </c>
      <c r="CE59" s="186">
        <f>365</f>
        <v>365</v>
      </c>
      <c r="CF59" s="20" t="inlineStr">
        <is>
          <t>Signed 12-Aug-26, expected 2H/26 close (regulatory approval); funded by the $600m 6.25% notes due 2034 (closed ~1-Oct-26).</t>
        </is>
      </c>
      <c r="CN59" s="26" t="inlineStr">
        <is>
          <t xml:space="preserve">  2030E</t>
        </is>
      </c>
      <c r="CO59" s="194">
        <f>CP59+$CO$55</f>
        <v>0.297</v>
      </c>
      <c r="CP59" s="195" t="n">
        <v>0.287</v>
      </c>
      <c r="CQ59" s="194">
        <f>CP59+$CQ$55</f>
        <v>0.277</v>
      </c>
      <c r="CR59" s="196" t="n"/>
    </row>
    <row r="60" hidden="1" outlineLevel="1" ht="15" customHeight="1">
      <c r="B60" s="26" t="inlineStr">
        <is>
          <t xml:space="preserve">  ES&amp;H annual revenue run-rate</t>
        </is>
      </c>
      <c r="C60" s="184" t="n"/>
      <c r="D60" s="184" t="n"/>
      <c r="E60" s="184" t="n"/>
      <c r="F60" s="184" t="n"/>
      <c r="G60" s="184" t="n"/>
      <c r="H60" s="184" t="n"/>
      <c r="I60" s="184" t="n"/>
      <c r="J60" s="184" t="n"/>
      <c r="K60" s="184" t="n"/>
      <c r="L60" s="184" t="n"/>
      <c r="M60" s="184" t="n"/>
      <c r="N60" s="184" t="n"/>
      <c r="O60" s="184" t="n"/>
      <c r="P60" s="184" t="n"/>
      <c r="Q60" s="184" t="n"/>
      <c r="R60" s="184" t="n"/>
      <c r="S60" s="184" t="n"/>
      <c r="T60" s="184" t="n"/>
      <c r="U60" s="184" t="n"/>
      <c r="V60" s="184" t="n"/>
      <c r="W60" s="184" t="n"/>
      <c r="X60" s="184" t="n"/>
      <c r="Y60" s="184" t="n"/>
      <c r="Z60" s="184" t="n"/>
      <c r="AA60" s="184" t="n"/>
      <c r="AB60" s="184" t="n"/>
      <c r="AC60" s="184" t="n"/>
      <c r="AD60" s="184" t="n"/>
      <c r="AE60" s="184" t="n"/>
      <c r="AF60" s="184" t="n"/>
      <c r="AG60" s="184" t="n"/>
      <c r="AH60" s="184" t="n"/>
      <c r="AI60" s="184" t="n"/>
      <c r="AJ60" s="184" t="n"/>
      <c r="AK60" s="184" t="n"/>
      <c r="AL60" s="184" t="n"/>
      <c r="AM60" s="184" t="n"/>
      <c r="AN60" s="184" t="n"/>
      <c r="AO60" s="184" t="n"/>
      <c r="AP60" s="184" t="n"/>
      <c r="AQ60" s="184" t="n"/>
      <c r="AR60" s="184" t="n"/>
      <c r="AS60" s="184" t="n"/>
      <c r="AT60" s="184" t="n"/>
      <c r="AU60" s="184" t="n"/>
      <c r="AV60" s="184" t="n"/>
      <c r="AW60" s="184" t="n"/>
      <c r="AX60" s="184" t="n"/>
      <c r="AY60" s="184" t="n"/>
      <c r="AZ60" s="184" t="n"/>
      <c r="BA60" s="184" t="n"/>
      <c r="BB60" s="184" t="n"/>
      <c r="BC60" s="184" t="n"/>
      <c r="BD60" s="184" t="n"/>
      <c r="BE60" s="184" t="n"/>
      <c r="BF60" s="184" t="n"/>
      <c r="BG60" s="184" t="n"/>
      <c r="BH60" s="184" t="n"/>
      <c r="BI60" s="184" t="n"/>
      <c r="BJ60" s="184" t="n"/>
      <c r="BK60" s="184" t="n"/>
      <c r="BL60" s="184" t="n"/>
      <c r="BM60" s="184" t="n"/>
      <c r="BN60" s="184" t="n"/>
      <c r="BO60" s="184" t="n"/>
      <c r="BP60" s="184" t="n"/>
      <c r="BQ60" s="184" t="n"/>
      <c r="BR60" s="184" t="n"/>
      <c r="BS60" s="184" t="n"/>
      <c r="BT60" s="184" t="n"/>
      <c r="BU60" s="184" t="n"/>
      <c r="BV60" s="184" t="n"/>
      <c r="BW60" s="184" t="n"/>
      <c r="BX60" s="184" t="n"/>
      <c r="BY60" s="186">
        <f>$CA$60</f>
        <v>90</v>
      </c>
      <c r="BZ60" s="186">
        <f>$CA$60</f>
        <v>90</v>
      </c>
      <c r="CA60" s="201" t="n">
        <v>90</v>
      </c>
      <c r="CB60" s="186">
        <f>CA60*(1+CB62)</f>
        <v>95.4467989689629</v>
      </c>
      <c r="CC60" s="186">
        <f>CB60*(1+CC62)</f>
        <v>101.091001046278</v>
      </c>
      <c r="CD60" s="186">
        <f>CC60*(1+CD62)</f>
        <v>106.703588399626</v>
      </c>
      <c r="CE60" s="186">
        <f>CD60*(1+CE62)</f>
        <v>112.437879794831</v>
      </c>
      <c r="CF60" s="20" t="inlineStr">
        <is>
          <t>Deal release: ~$90m annual base revenues, ~$30m Adjusted EBITDA.</t>
        </is>
      </c>
      <c r="CN60" s="16" t="inlineStr">
        <is>
          <t>SKSS_margin (SKSS Adjusted EBITDA margin)</t>
        </is>
      </c>
      <c r="CO60" s="192" t="n">
        <v>0.03</v>
      </c>
      <c r="CP60" s="22" t="inlineStr">
        <is>
          <t>Δ →</t>
        </is>
      </c>
      <c r="CQ60" s="192" t="n">
        <v>-0.03</v>
      </c>
      <c r="CR60" s="14" t="inlineStr">
        <is>
          <t>FY23–25 19.3% / 16.6% / 16.4%; 1H/26 26.0% (spread spike). Base normalises to ~20%.</t>
        </is>
      </c>
    </row>
    <row r="61" hidden="1" outlineLevel="1" ht="15" customHeight="1">
      <c r="B61" s="26" t="inlineStr">
        <is>
          <t xml:space="preserve">  EnviroServe annual revenue run-rate</t>
        </is>
      </c>
      <c r="C61" s="184" t="n"/>
      <c r="D61" s="184" t="n"/>
      <c r="E61" s="184" t="n"/>
      <c r="F61" s="184" t="n"/>
      <c r="G61" s="184" t="n"/>
      <c r="H61" s="184" t="n"/>
      <c r="I61" s="184" t="n"/>
      <c r="J61" s="184" t="n"/>
      <c r="K61" s="184" t="n"/>
      <c r="L61" s="184" t="n"/>
      <c r="M61" s="184" t="n"/>
      <c r="N61" s="184" t="n"/>
      <c r="O61" s="184" t="n"/>
      <c r="P61" s="184" t="n"/>
      <c r="Q61" s="184" t="n"/>
      <c r="R61" s="184" t="n"/>
      <c r="S61" s="184" t="n"/>
      <c r="T61" s="184" t="n"/>
      <c r="U61" s="184" t="n"/>
      <c r="V61" s="184" t="n"/>
      <c r="W61" s="184" t="n"/>
      <c r="X61" s="184" t="n"/>
      <c r="Y61" s="184" t="n"/>
      <c r="Z61" s="184" t="n"/>
      <c r="AA61" s="184" t="n"/>
      <c r="AB61" s="184" t="n"/>
      <c r="AC61" s="184" t="n"/>
      <c r="AD61" s="184" t="n"/>
      <c r="AE61" s="184" t="n"/>
      <c r="AF61" s="184" t="n"/>
      <c r="AG61" s="184" t="n"/>
      <c r="AH61" s="184" t="n"/>
      <c r="AI61" s="184" t="n"/>
      <c r="AJ61" s="184" t="n"/>
      <c r="AK61" s="184" t="n"/>
      <c r="AL61" s="184" t="n"/>
      <c r="AM61" s="184" t="n"/>
      <c r="AN61" s="184" t="n"/>
      <c r="AO61" s="184" t="n"/>
      <c r="AP61" s="184" t="n"/>
      <c r="AQ61" s="184" t="n"/>
      <c r="AR61" s="184" t="n"/>
      <c r="AS61" s="184" t="n"/>
      <c r="AT61" s="184" t="n"/>
      <c r="AU61" s="184" t="n"/>
      <c r="AV61" s="184" t="n"/>
      <c r="AW61" s="184" t="n"/>
      <c r="AX61" s="184" t="n"/>
      <c r="AY61" s="184" t="n"/>
      <c r="AZ61" s="184" t="n"/>
      <c r="BA61" s="184" t="n"/>
      <c r="BB61" s="184" t="n"/>
      <c r="BC61" s="184" t="n"/>
      <c r="BD61" s="184" t="n"/>
      <c r="BE61" s="184" t="n"/>
      <c r="BF61" s="184" t="n"/>
      <c r="BG61" s="184" t="n"/>
      <c r="BH61" s="184" t="n"/>
      <c r="BI61" s="184" t="n"/>
      <c r="BJ61" s="184" t="n"/>
      <c r="BK61" s="184" t="n"/>
      <c r="BL61" s="184" t="n"/>
      <c r="BM61" s="184" t="n"/>
      <c r="BN61" s="184" t="n"/>
      <c r="BO61" s="184" t="n"/>
      <c r="BP61" s="184" t="n"/>
      <c r="BQ61" s="184" t="n"/>
      <c r="BR61" s="184" t="n"/>
      <c r="BS61" s="184" t="n"/>
      <c r="BT61" s="184" t="n"/>
      <c r="BU61" s="184" t="n"/>
      <c r="BV61" s="184" t="n"/>
      <c r="BW61" s="184" t="n"/>
      <c r="BX61" s="184" t="n"/>
      <c r="BY61" s="186">
        <f>$CA$61</f>
        <v>250</v>
      </c>
      <c r="BZ61" s="186">
        <f>$CA$61</f>
        <v>250</v>
      </c>
      <c r="CA61" s="201" t="n">
        <v>250</v>
      </c>
      <c r="CB61" s="186">
        <f>CA61*(1+CB62)</f>
        <v>265.129997136008</v>
      </c>
      <c r="CC61" s="186">
        <f>CB61*(1+CC62)</f>
        <v>280.808336239661</v>
      </c>
      <c r="CD61" s="186">
        <f>CC61*(1+CD62)</f>
        <v>296.398856665627</v>
      </c>
      <c r="CE61" s="186">
        <f>CD61*(1+CE62)</f>
        <v>312.327443874529</v>
      </c>
      <c r="CF61" s="20" t="inlineStr">
        <is>
          <t>Deal release: ~$250m revenues, ~$27m Adjusted EBITDA.</t>
        </is>
      </c>
      <c r="CN61" s="26" t="inlineStr">
        <is>
          <t xml:space="preserve">  2027E</t>
        </is>
      </c>
      <c r="CO61" s="194">
        <f>CP61+$CO$60</f>
        <v>0.23</v>
      </c>
      <c r="CP61" s="195" t="n">
        <v>0.2</v>
      </c>
      <c r="CQ61" s="194">
        <f>CP61+$CQ$60</f>
        <v>0.17</v>
      </c>
      <c r="CR61" s="196" t="n"/>
    </row>
    <row r="62" hidden="1" outlineLevel="1" ht="15" customHeight="1">
      <c r="B62" s="26" t="inlineStr">
        <is>
          <t xml:space="preserve">  Revenue growth of acquired businesses y/y %</t>
        </is>
      </c>
      <c r="C62" s="181" t="n"/>
      <c r="D62" s="181" t="n"/>
      <c r="E62" s="181" t="n"/>
      <c r="F62" s="181" t="n"/>
      <c r="G62" s="181" t="n"/>
      <c r="H62" s="181" t="n"/>
      <c r="I62" s="181" t="n"/>
      <c r="J62" s="181" t="n"/>
      <c r="K62" s="181" t="n"/>
      <c r="L62" s="181" t="n"/>
      <c r="M62" s="181" t="n"/>
      <c r="N62" s="181" t="n"/>
      <c r="O62" s="181" t="n"/>
      <c r="P62" s="181" t="n"/>
      <c r="Q62" s="181" t="n"/>
      <c r="R62" s="181" t="n"/>
      <c r="S62" s="181" t="n"/>
      <c r="T62" s="181" t="n"/>
      <c r="U62" s="181" t="n"/>
      <c r="V62" s="181" t="n"/>
      <c r="W62" s="181" t="n"/>
      <c r="X62" s="181" t="n"/>
      <c r="Y62" s="181" t="n"/>
      <c r="Z62" s="181" t="n"/>
      <c r="AA62" s="181" t="n"/>
      <c r="AB62" s="181" t="n"/>
      <c r="AC62" s="181" t="n"/>
      <c r="AD62" s="181" t="n"/>
      <c r="AE62" s="181" t="n"/>
      <c r="AF62" s="181" t="n"/>
      <c r="AG62" s="181" t="n"/>
      <c r="AH62" s="181" t="n"/>
      <c r="AI62" s="181" t="n"/>
      <c r="AJ62" s="181" t="n"/>
      <c r="AK62" s="181" t="n"/>
      <c r="AL62" s="181" t="n"/>
      <c r="AM62" s="181" t="n"/>
      <c r="AN62" s="181" t="n"/>
      <c r="AO62" s="181" t="n"/>
      <c r="AP62" s="181" t="n"/>
      <c r="AQ62" s="181" t="n"/>
      <c r="AR62" s="181" t="n"/>
      <c r="AS62" s="181" t="n"/>
      <c r="AT62" s="181" t="n"/>
      <c r="AU62" s="181" t="n"/>
      <c r="AV62" s="181" t="n"/>
      <c r="AW62" s="181" t="n"/>
      <c r="AX62" s="181" t="n"/>
      <c r="AY62" s="181" t="n"/>
      <c r="AZ62" s="181" t="n"/>
      <c r="BA62" s="181" t="n"/>
      <c r="BB62" s="181" t="n"/>
      <c r="BC62" s="181" t="n"/>
      <c r="BD62" s="181" t="n"/>
      <c r="BE62" s="181" t="n"/>
      <c r="BF62" s="181" t="n"/>
      <c r="BG62" s="181" t="n"/>
      <c r="BH62" s="181" t="n"/>
      <c r="BI62" s="181" t="n"/>
      <c r="BJ62" s="181" t="n"/>
      <c r="BK62" s="181" t="n"/>
      <c r="BL62" s="181" t="n"/>
      <c r="BM62" s="181" t="n"/>
      <c r="BN62" s="181" t="n"/>
      <c r="BO62" s="181" t="n"/>
      <c r="BP62" s="181" t="n"/>
      <c r="BQ62" s="181" t="n"/>
      <c r="BR62" s="181" t="n"/>
      <c r="BS62" s="181" t="n"/>
      <c r="BT62" s="181" t="n"/>
      <c r="BU62" s="181" t="n"/>
      <c r="BV62" s="181" t="n"/>
      <c r="BW62" s="181" t="n"/>
      <c r="BX62" s="181" t="n"/>
      <c r="BY62" s="169" t="n"/>
      <c r="BZ62" s="169" t="n"/>
      <c r="CA62" s="169" t="n"/>
      <c r="CB62" s="179">
        <f>CB28</f>
        <v>0.0605199885440324</v>
      </c>
      <c r="CC62" s="179">
        <f>CC28</f>
        <v>0.0591345350319239</v>
      </c>
      <c r="CD62" s="179">
        <f>CD28</f>
        <v>0.0555201481364125</v>
      </c>
      <c r="CE62" s="179">
        <f>CE28</f>
        <v>0.0537403800679028</v>
      </c>
      <c r="CF62" s="20" t="inlineStr">
        <is>
          <t>2027E+: grows with ES direct revenues.</t>
        </is>
      </c>
      <c r="CN62" s="26" t="inlineStr">
        <is>
          <t xml:space="preserve">  2028E</t>
        </is>
      </c>
      <c r="CO62" s="194">
        <f>CP62+$CO$60</f>
        <v>0.235</v>
      </c>
      <c r="CP62" s="195" t="n">
        <v>0.205</v>
      </c>
      <c r="CQ62" s="194">
        <f>CP62+$CQ$60</f>
        <v>0.175</v>
      </c>
      <c r="CR62" s="196" t="n"/>
    </row>
    <row r="63" hidden="1" outlineLevel="1" ht="15" customHeight="1">
      <c r="B63" s="17" t="inlineStr">
        <is>
          <t xml:space="preserve">  Revenues (consolidated from closing)</t>
        </is>
      </c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33" t="n"/>
      <c r="W63" s="33" t="n"/>
      <c r="X63" s="33" t="n"/>
      <c r="Y63" s="33" t="n"/>
      <c r="Z63" s="33" t="n"/>
      <c r="AA63" s="33" t="n"/>
      <c r="AB63" s="33" t="n"/>
      <c r="AC63" s="33" t="n"/>
      <c r="AD63" s="33" t="n"/>
      <c r="AE63" s="33" t="n"/>
      <c r="AF63" s="33" t="n"/>
      <c r="AG63" s="33" t="n"/>
      <c r="AH63" s="33" t="n"/>
      <c r="AI63" s="33" t="n"/>
      <c r="AJ63" s="33" t="n"/>
      <c r="AK63" s="33" t="n"/>
      <c r="AL63" s="33" t="n"/>
      <c r="AM63" s="33" t="n"/>
      <c r="AN63" s="33" t="n"/>
      <c r="AO63" s="33" t="n"/>
      <c r="AP63" s="33" t="n"/>
      <c r="AQ63" s="33" t="n"/>
      <c r="AR63" s="33" t="n"/>
      <c r="AS63" s="33" t="n"/>
      <c r="AT63" s="33" t="n"/>
      <c r="AU63" s="33" t="n"/>
      <c r="AV63" s="33" t="n"/>
      <c r="AW63" s="33" t="n"/>
      <c r="AX63" s="33" t="n"/>
      <c r="AY63" s="33" t="n"/>
      <c r="AZ63" s="33" t="n"/>
      <c r="BA63" s="33" t="n"/>
      <c r="BB63" s="33" t="n"/>
      <c r="BC63" s="33" t="n"/>
      <c r="BD63" s="33" t="n"/>
      <c r="BE63" s="33" t="n"/>
      <c r="BF63" s="33" t="n"/>
      <c r="BG63" s="33" t="n"/>
      <c r="BH63" s="33" t="n"/>
      <c r="BI63" s="33" t="n"/>
      <c r="BJ63" s="33" t="n"/>
      <c r="BK63" s="33" t="n"/>
      <c r="BL63" s="33" t="n"/>
      <c r="BM63" s="33" t="n"/>
      <c r="BN63" s="33" t="n"/>
      <c r="BO63" s="33" t="n"/>
      <c r="BP63" s="33" t="n"/>
      <c r="BQ63" s="33" t="n"/>
      <c r="BR63" s="33" t="n"/>
      <c r="BS63" s="33" t="n"/>
      <c r="BT63" s="33" t="n"/>
      <c r="BU63" s="33" t="n"/>
      <c r="BV63" s="33" t="n"/>
      <c r="BW63" s="33" t="n"/>
      <c r="BX63" s="33" t="n"/>
      <c r="BY63" s="176">
        <f>(BY60*BY58+BY61*BY59)/365</f>
        <v>7.3972602739726</v>
      </c>
      <c r="BZ63" s="176">
        <f>(BZ60*BZ58+BZ61*BZ59)/365</f>
        <v>64.4657534246575</v>
      </c>
      <c r="CA63" s="176">
        <f>SUM(BW63,BX63,BY63,BZ63)</f>
        <v>71.8630136986301</v>
      </c>
      <c r="CB63" s="176">
        <f>(CB60*CB58+CB61*CB59)/365</f>
        <v>360.576796104971</v>
      </c>
      <c r="CC63" s="176">
        <f>(CC60*CC58+CC61*CC59)/365</f>
        <v>381.899337285939</v>
      </c>
      <c r="CD63" s="176">
        <f>(CD60*CD58+CD61*CD59)/365</f>
        <v>403.102445065253</v>
      </c>
      <c r="CE63" s="176">
        <f>(CE60*CE58+CE61*CE59)/365</f>
        <v>424.76532366936</v>
      </c>
      <c r="CF63" s="177" t="n"/>
      <c r="CN63" s="26" t="inlineStr">
        <is>
          <t xml:space="preserve">  2029E</t>
        </is>
      </c>
      <c r="CO63" s="194">
        <f>CP63+$CO$60</f>
        <v>0.24</v>
      </c>
      <c r="CP63" s="195" t="n">
        <v>0.21</v>
      </c>
      <c r="CQ63" s="194">
        <f>CP63+$CQ$60</f>
        <v>0.18</v>
      </c>
      <c r="CR63" s="196" t="n"/>
    </row>
    <row r="64" hidden="1" outlineLevel="1" ht="15" customHeight="1">
      <c r="B64" s="26" t="inlineStr">
        <is>
          <t xml:space="preserve">  ES&amp;H standalone Adjusted EBITDA margin % ($30m / $90m)</t>
        </is>
      </c>
      <c r="C64" s="181" t="n"/>
      <c r="D64" s="181" t="n"/>
      <c r="E64" s="181" t="n"/>
      <c r="F64" s="181" t="n"/>
      <c r="G64" s="181" t="n"/>
      <c r="H64" s="181" t="n"/>
      <c r="I64" s="181" t="n"/>
      <c r="J64" s="181" t="n"/>
      <c r="K64" s="181" t="n"/>
      <c r="L64" s="181" t="n"/>
      <c r="M64" s="181" t="n"/>
      <c r="N64" s="181" t="n"/>
      <c r="O64" s="181" t="n"/>
      <c r="P64" s="181" t="n"/>
      <c r="Q64" s="181" t="n"/>
      <c r="R64" s="181" t="n"/>
      <c r="S64" s="181" t="n"/>
      <c r="T64" s="181" t="n"/>
      <c r="U64" s="181" t="n"/>
      <c r="V64" s="181" t="n"/>
      <c r="W64" s="181" t="n"/>
      <c r="X64" s="181" t="n"/>
      <c r="Y64" s="181" t="n"/>
      <c r="Z64" s="181" t="n"/>
      <c r="AA64" s="181" t="n"/>
      <c r="AB64" s="181" t="n"/>
      <c r="AC64" s="181" t="n"/>
      <c r="AD64" s="181" t="n"/>
      <c r="AE64" s="181" t="n"/>
      <c r="AF64" s="181" t="n"/>
      <c r="AG64" s="181" t="n"/>
      <c r="AH64" s="181" t="n"/>
      <c r="AI64" s="181" t="n"/>
      <c r="AJ64" s="181" t="n"/>
      <c r="AK64" s="181" t="n"/>
      <c r="AL64" s="181" t="n"/>
      <c r="AM64" s="181" t="n"/>
      <c r="AN64" s="181" t="n"/>
      <c r="AO64" s="181" t="n"/>
      <c r="AP64" s="181" t="n"/>
      <c r="AQ64" s="181" t="n"/>
      <c r="AR64" s="181" t="n"/>
      <c r="AS64" s="181" t="n"/>
      <c r="AT64" s="181" t="n"/>
      <c r="AU64" s="181" t="n"/>
      <c r="AV64" s="181" t="n"/>
      <c r="AW64" s="181" t="n"/>
      <c r="AX64" s="181" t="n"/>
      <c r="AY64" s="181" t="n"/>
      <c r="AZ64" s="181" t="n"/>
      <c r="BA64" s="181" t="n"/>
      <c r="BB64" s="181" t="n"/>
      <c r="BC64" s="181" t="n"/>
      <c r="BD64" s="181" t="n"/>
      <c r="BE64" s="181" t="n"/>
      <c r="BF64" s="181" t="n"/>
      <c r="BG64" s="181" t="n"/>
      <c r="BH64" s="181" t="n"/>
      <c r="BI64" s="181" t="n"/>
      <c r="BJ64" s="181" t="n"/>
      <c r="BK64" s="181" t="n"/>
      <c r="BL64" s="181" t="n"/>
      <c r="BM64" s="181" t="n"/>
      <c r="BN64" s="181" t="n"/>
      <c r="BO64" s="181" t="n"/>
      <c r="BP64" s="181" t="n"/>
      <c r="BQ64" s="181" t="n"/>
      <c r="BR64" s="181" t="n"/>
      <c r="BS64" s="181" t="n"/>
      <c r="BT64" s="181" t="n"/>
      <c r="BU64" s="181" t="n"/>
      <c r="BV64" s="181" t="n"/>
      <c r="BW64" s="181" t="n"/>
      <c r="BX64" s="181" t="n"/>
      <c r="BY64" s="179">
        <f>$CA$64</f>
        <v>0.333333333333333</v>
      </c>
      <c r="BZ64" s="179">
        <f>$CA$64</f>
        <v>0.333333333333333</v>
      </c>
      <c r="CA64" s="179">
        <f>30/90</f>
        <v>0.333333333333333</v>
      </c>
      <c r="CB64" s="179">
        <f>CA64</f>
        <v>0.333333333333333</v>
      </c>
      <c r="CC64" s="179">
        <f>CB64</f>
        <v>0.333333333333333</v>
      </c>
      <c r="CD64" s="179">
        <f>CC64</f>
        <v>0.333333333333333</v>
      </c>
      <c r="CE64" s="179">
        <f>CD64</f>
        <v>0.333333333333333</v>
      </c>
      <c r="CF64" s="20" t="n"/>
      <c r="CN64" s="26" t="inlineStr">
        <is>
          <t xml:space="preserve">  2030E</t>
        </is>
      </c>
      <c r="CO64" s="194">
        <f>CP64+$CO$60</f>
        <v>0.24</v>
      </c>
      <c r="CP64" s="195" t="n">
        <v>0.21</v>
      </c>
      <c r="CQ64" s="194">
        <f>CP64+$CQ$60</f>
        <v>0.18</v>
      </c>
      <c r="CR64" s="196" t="n"/>
    </row>
    <row r="65" hidden="1" outlineLevel="1" ht="15" customHeight="1">
      <c r="B65" s="26" t="inlineStr">
        <is>
          <t xml:space="preserve">  EnviroServe standalone Adjusted EBITDA margin % ($27m / $250m)</t>
        </is>
      </c>
      <c r="C65" s="181" t="n"/>
      <c r="D65" s="181" t="n"/>
      <c r="E65" s="181" t="n"/>
      <c r="F65" s="181" t="n"/>
      <c r="G65" s="181" t="n"/>
      <c r="H65" s="181" t="n"/>
      <c r="I65" s="181" t="n"/>
      <c r="J65" s="181" t="n"/>
      <c r="K65" s="181" t="n"/>
      <c r="L65" s="181" t="n"/>
      <c r="M65" s="181" t="n"/>
      <c r="N65" s="181" t="n"/>
      <c r="O65" s="181" t="n"/>
      <c r="P65" s="181" t="n"/>
      <c r="Q65" s="181" t="n"/>
      <c r="R65" s="181" t="n"/>
      <c r="S65" s="181" t="n"/>
      <c r="T65" s="181" t="n"/>
      <c r="U65" s="181" t="n"/>
      <c r="V65" s="181" t="n"/>
      <c r="W65" s="181" t="n"/>
      <c r="X65" s="181" t="n"/>
      <c r="Y65" s="181" t="n"/>
      <c r="Z65" s="181" t="n"/>
      <c r="AA65" s="181" t="n"/>
      <c r="AB65" s="181" t="n"/>
      <c r="AC65" s="181" t="n"/>
      <c r="AD65" s="181" t="n"/>
      <c r="AE65" s="181" t="n"/>
      <c r="AF65" s="181" t="n"/>
      <c r="AG65" s="181" t="n"/>
      <c r="AH65" s="181" t="n"/>
      <c r="AI65" s="181" t="n"/>
      <c r="AJ65" s="181" t="n"/>
      <c r="AK65" s="181" t="n"/>
      <c r="AL65" s="181" t="n"/>
      <c r="AM65" s="181" t="n"/>
      <c r="AN65" s="181" t="n"/>
      <c r="AO65" s="181" t="n"/>
      <c r="AP65" s="181" t="n"/>
      <c r="AQ65" s="181" t="n"/>
      <c r="AR65" s="181" t="n"/>
      <c r="AS65" s="181" t="n"/>
      <c r="AT65" s="181" t="n"/>
      <c r="AU65" s="181" t="n"/>
      <c r="AV65" s="181" t="n"/>
      <c r="AW65" s="181" t="n"/>
      <c r="AX65" s="181" t="n"/>
      <c r="AY65" s="181" t="n"/>
      <c r="AZ65" s="181" t="n"/>
      <c r="BA65" s="181" t="n"/>
      <c r="BB65" s="181" t="n"/>
      <c r="BC65" s="181" t="n"/>
      <c r="BD65" s="181" t="n"/>
      <c r="BE65" s="181" t="n"/>
      <c r="BF65" s="181" t="n"/>
      <c r="BG65" s="181" t="n"/>
      <c r="BH65" s="181" t="n"/>
      <c r="BI65" s="181" t="n"/>
      <c r="BJ65" s="181" t="n"/>
      <c r="BK65" s="181" t="n"/>
      <c r="BL65" s="181" t="n"/>
      <c r="BM65" s="181" t="n"/>
      <c r="BN65" s="181" t="n"/>
      <c r="BO65" s="181" t="n"/>
      <c r="BP65" s="181" t="n"/>
      <c r="BQ65" s="181" t="n"/>
      <c r="BR65" s="181" t="n"/>
      <c r="BS65" s="181" t="n"/>
      <c r="BT65" s="181" t="n"/>
      <c r="BU65" s="181" t="n"/>
      <c r="BV65" s="181" t="n"/>
      <c r="BW65" s="181" t="n"/>
      <c r="BX65" s="181" t="n"/>
      <c r="BY65" s="179">
        <f>$CA$65</f>
        <v>0.108</v>
      </c>
      <c r="BZ65" s="179">
        <f>$CA$65</f>
        <v>0.108</v>
      </c>
      <c r="CA65" s="179">
        <f>27/250</f>
        <v>0.108</v>
      </c>
      <c r="CB65" s="179">
        <f>CA65</f>
        <v>0.108</v>
      </c>
      <c r="CC65" s="179">
        <f>CB65</f>
        <v>0.108</v>
      </c>
      <c r="CD65" s="179">
        <f>CC65</f>
        <v>0.108</v>
      </c>
      <c r="CE65" s="179">
        <f>CD65</f>
        <v>0.108</v>
      </c>
      <c r="CF65" s="20" t="n"/>
      <c r="CN65" s="16" t="inlineStr">
        <is>
          <t>DEAL_syn (synergy realisation % of $30m run-rate)</t>
        </is>
      </c>
      <c r="CO65" s="192" t="n">
        <v>0.25</v>
      </c>
      <c r="CP65" s="22" t="inlineStr">
        <is>
          <t>Δ →</t>
        </is>
      </c>
      <c r="CQ65" s="192" t="n">
        <v>-0.25</v>
      </c>
      <c r="CR65" s="14" t="inlineStr">
        <is>
          <t>Company: EnviroServe synergies over the first two years.</t>
        </is>
      </c>
    </row>
    <row r="66" hidden="1" outlineLevel="1" ht="15" customHeight="1">
      <c r="B66" s="26" t="inlineStr">
        <is>
          <t xml:space="preserve">  (+) Cost synergies realised (ES&amp;H ~$5m + EnviroServe ~$25m run-rate)</t>
        </is>
      </c>
      <c r="C66" s="184" t="n"/>
      <c r="D66" s="184" t="n"/>
      <c r="E66" s="184" t="n"/>
      <c r="F66" s="184" t="n"/>
      <c r="G66" s="184" t="n"/>
      <c r="H66" s="184" t="n"/>
      <c r="I66" s="184" t="n"/>
      <c r="J66" s="184" t="n"/>
      <c r="K66" s="184" t="n"/>
      <c r="L66" s="184" t="n"/>
      <c r="M66" s="184" t="n"/>
      <c r="N66" s="184" t="n"/>
      <c r="O66" s="184" t="n"/>
      <c r="P66" s="184" t="n"/>
      <c r="Q66" s="184" t="n"/>
      <c r="R66" s="184" t="n"/>
      <c r="S66" s="184" t="n"/>
      <c r="T66" s="184" t="n"/>
      <c r="U66" s="184" t="n"/>
      <c r="V66" s="184" t="n"/>
      <c r="W66" s="184" t="n"/>
      <c r="X66" s="184" t="n"/>
      <c r="Y66" s="184" t="n"/>
      <c r="Z66" s="184" t="n"/>
      <c r="AA66" s="184" t="n"/>
      <c r="AB66" s="184" t="n"/>
      <c r="AC66" s="184" t="n"/>
      <c r="AD66" s="184" t="n"/>
      <c r="AE66" s="184" t="n"/>
      <c r="AF66" s="184" t="n"/>
      <c r="AG66" s="184" t="n"/>
      <c r="AH66" s="184" t="n"/>
      <c r="AI66" s="184" t="n"/>
      <c r="AJ66" s="184" t="n"/>
      <c r="AK66" s="184" t="n"/>
      <c r="AL66" s="184" t="n"/>
      <c r="AM66" s="184" t="n"/>
      <c r="AN66" s="184" t="n"/>
      <c r="AO66" s="184" t="n"/>
      <c r="AP66" s="184" t="n"/>
      <c r="AQ66" s="184" t="n"/>
      <c r="AR66" s="184" t="n"/>
      <c r="AS66" s="184" t="n"/>
      <c r="AT66" s="184" t="n"/>
      <c r="AU66" s="184" t="n"/>
      <c r="AV66" s="184" t="n"/>
      <c r="AW66" s="184" t="n"/>
      <c r="AX66" s="184" t="n"/>
      <c r="AY66" s="184" t="n"/>
      <c r="AZ66" s="184" t="n"/>
      <c r="BA66" s="184" t="n"/>
      <c r="BB66" s="184" t="n"/>
      <c r="BC66" s="184" t="n"/>
      <c r="BD66" s="184" t="n"/>
      <c r="BE66" s="184" t="n"/>
      <c r="BF66" s="184" t="n"/>
      <c r="BG66" s="184" t="n"/>
      <c r="BH66" s="184" t="n"/>
      <c r="BI66" s="184" t="n"/>
      <c r="BJ66" s="184" t="n"/>
      <c r="BK66" s="184" t="n"/>
      <c r="BL66" s="184" t="n"/>
      <c r="BM66" s="184" t="n"/>
      <c r="BN66" s="184" t="n"/>
      <c r="BO66" s="184" t="n"/>
      <c r="BP66" s="184" t="n"/>
      <c r="BQ66" s="184" t="n"/>
      <c r="BR66" s="184" t="n"/>
      <c r="BS66" s="184" t="n"/>
      <c r="BT66" s="184" t="n"/>
      <c r="BU66" s="184" t="n"/>
      <c r="BV66" s="184" t="n"/>
      <c r="BW66" s="184" t="n"/>
      <c r="BX66" s="184" t="n"/>
      <c r="BY66" s="201" t="n">
        <v>0</v>
      </c>
      <c r="BZ66" s="201" t="n">
        <v>0</v>
      </c>
      <c r="CA66" s="186">
        <f>SUM(BW66,BX66,BY66,BZ66)</f>
        <v>0</v>
      </c>
      <c r="CB66" s="186">
        <f>$CP$26*CHOOSE(MATCH($CF$2,{"Bull","Base","Bear"},0),$CO$66,$CP$66,$CQ$66)</f>
        <v>15</v>
      </c>
      <c r="CC66" s="186">
        <f>$CP$26*CHOOSE(MATCH($CF$2,{"Bull","Base","Bear"},0),$CO$67,$CP$67,$CQ$67)</f>
        <v>30</v>
      </c>
      <c r="CD66" s="186">
        <f>$CP$26*CHOOSE(MATCH($CF$2,{"Bull","Base","Bear"},0),$CO$68,$CP$68,$CQ$68)</f>
        <v>30</v>
      </c>
      <c r="CE66" s="186">
        <f>$CP$26*CHOOSE(MATCH($CF$2,{"Bull","Base","Bear"},0),$CO$69,$CP$69,$CQ$69)</f>
        <v>30</v>
      </c>
      <c r="CF66" s="20" t="inlineStr">
        <is>
          <t>EnviroServe ~$25m over the first two years; ES&amp;H ~$5m after the first full year. Realisation % per scenario lever DEAL_syn.</t>
        </is>
      </c>
      <c r="CN66" s="26" t="inlineStr">
        <is>
          <t xml:space="preserve">  2027E</t>
        </is>
      </c>
      <c r="CO66" s="194">
        <f>CP66+$CO$65</f>
        <v>0.75</v>
      </c>
      <c r="CP66" s="195" t="n">
        <v>0.5</v>
      </c>
      <c r="CQ66" s="194">
        <f>CP66+$CQ$65</f>
        <v>0.25</v>
      </c>
      <c r="CR66" s="196" t="n"/>
    </row>
    <row r="67" hidden="1" outlineLevel="2" ht="15" customHeight="1">
      <c r="B67" s="17" t="inlineStr">
        <is>
          <t xml:space="preserve">  Adjusted EBITDA contribution</t>
        </is>
      </c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3" t="n"/>
      <c r="X67" s="33" t="n"/>
      <c r="Y67" s="33" t="n"/>
      <c r="Z67" s="33" t="n"/>
      <c r="AA67" s="33" t="n"/>
      <c r="AB67" s="33" t="n"/>
      <c r="AC67" s="33" t="n"/>
      <c r="AD67" s="33" t="n"/>
      <c r="AE67" s="33" t="n"/>
      <c r="AF67" s="33" t="n"/>
      <c r="AG67" s="33" t="n"/>
      <c r="AH67" s="33" t="n"/>
      <c r="AI67" s="33" t="n"/>
      <c r="AJ67" s="33" t="n"/>
      <c r="AK67" s="33" t="n"/>
      <c r="AL67" s="33" t="n"/>
      <c r="AM67" s="33" t="n"/>
      <c r="AN67" s="33" t="n"/>
      <c r="AO67" s="33" t="n"/>
      <c r="AP67" s="33" t="n"/>
      <c r="AQ67" s="33" t="n"/>
      <c r="AR67" s="33" t="n"/>
      <c r="AS67" s="33" t="n"/>
      <c r="AT67" s="33" t="n"/>
      <c r="AU67" s="33" t="n"/>
      <c r="AV67" s="33" t="n"/>
      <c r="AW67" s="33" t="n"/>
      <c r="AX67" s="33" t="n"/>
      <c r="AY67" s="33" t="n"/>
      <c r="AZ67" s="33" t="n"/>
      <c r="BA67" s="33" t="n"/>
      <c r="BB67" s="33" t="n"/>
      <c r="BC67" s="33" t="n"/>
      <c r="BD67" s="33" t="n"/>
      <c r="BE67" s="33" t="n"/>
      <c r="BF67" s="33" t="n"/>
      <c r="BG67" s="33" t="n"/>
      <c r="BH67" s="33" t="n"/>
      <c r="BI67" s="33" t="n"/>
      <c r="BJ67" s="33" t="n"/>
      <c r="BK67" s="33" t="n"/>
      <c r="BL67" s="33" t="n"/>
      <c r="BM67" s="33" t="n"/>
      <c r="BN67" s="33" t="n"/>
      <c r="BO67" s="33" t="n"/>
      <c r="BP67" s="33" t="n"/>
      <c r="BQ67" s="33" t="n"/>
      <c r="BR67" s="33" t="n"/>
      <c r="BS67" s="33" t="n"/>
      <c r="BT67" s="33" t="n"/>
      <c r="BU67" s="33" t="n"/>
      <c r="BV67" s="33" t="n"/>
      <c r="BW67" s="33" t="n"/>
      <c r="BX67" s="33" t="n"/>
      <c r="BY67" s="176">
        <f>(BY60*BY64*BY58+BY61*BY65*BY59)/365+BY66</f>
        <v>2.46575342465753</v>
      </c>
      <c r="BZ67" s="176">
        <f>(BZ60*BZ64*BZ58+BZ61*BZ65*BZ59)/365+BZ66</f>
        <v>12.0739726027397</v>
      </c>
      <c r="CA67" s="176">
        <f>SUM(BW67,BX67,BY67,BZ67)</f>
        <v>14.5397260273973</v>
      </c>
      <c r="CB67" s="176">
        <f>(CB60*CB64*CB58+CB61*CB65*CB59)/365+CB66</f>
        <v>75.4496393470099</v>
      </c>
      <c r="CC67" s="176">
        <f>(CC60*CC64*CC58+CC61*CC65*CC59)/365+CC66</f>
        <v>94.0243006626428</v>
      </c>
      <c r="CD67" s="176">
        <f>(CD60*CD64*CD58+CD61*CD65*CD59)/365+CD66</f>
        <v>97.5789393197629</v>
      </c>
      <c r="CE67" s="176">
        <f>(CE60*CE64*CE58+CE61*CE65*CE59)/365+CE66</f>
        <v>101.210657203393</v>
      </c>
      <c r="CF67" s="177" t="n"/>
      <c r="CN67" s="26" t="inlineStr">
        <is>
          <t xml:space="preserve">  2028E</t>
        </is>
      </c>
      <c r="CO67" s="194">
        <f>CP67+$CO$65</f>
        <v>1.25</v>
      </c>
      <c r="CP67" s="195" t="n">
        <v>1</v>
      </c>
      <c r="CQ67" s="194">
        <f>CP67+$CQ$65</f>
        <v>0.75</v>
      </c>
      <c r="CR67" s="196" t="n"/>
    </row>
    <row r="68" hidden="1" outlineLevel="2" ht="15" customHeight="1">
      <c r="B68" s="26" t="inlineStr">
        <is>
          <t xml:space="preserve">  Adjusted EBITDA margin %</t>
        </is>
      </c>
      <c r="C68" s="193" t="n"/>
      <c r="D68" s="193" t="n"/>
      <c r="E68" s="193" t="n"/>
      <c r="F68" s="193" t="n"/>
      <c r="G68" s="193" t="n"/>
      <c r="H68" s="193" t="n"/>
      <c r="I68" s="193" t="n"/>
      <c r="J68" s="193" t="n"/>
      <c r="K68" s="193" t="n"/>
      <c r="L68" s="193" t="n"/>
      <c r="M68" s="193" t="n"/>
      <c r="N68" s="193" t="n"/>
      <c r="O68" s="193" t="n"/>
      <c r="P68" s="193" t="n"/>
      <c r="Q68" s="193" t="n"/>
      <c r="R68" s="193" t="n"/>
      <c r="S68" s="193" t="n"/>
      <c r="T68" s="193" t="n"/>
      <c r="U68" s="193" t="n"/>
      <c r="V68" s="193" t="n"/>
      <c r="W68" s="193" t="n"/>
      <c r="X68" s="193" t="n"/>
      <c r="Y68" s="193" t="n"/>
      <c r="Z68" s="193" t="n"/>
      <c r="AA68" s="193" t="n"/>
      <c r="AB68" s="193" t="n"/>
      <c r="AC68" s="193" t="n"/>
      <c r="AD68" s="193" t="n"/>
      <c r="AE68" s="193" t="n"/>
      <c r="AF68" s="193" t="n"/>
      <c r="AG68" s="193" t="n"/>
      <c r="AH68" s="193" t="n"/>
      <c r="AI68" s="193" t="n"/>
      <c r="AJ68" s="193" t="n"/>
      <c r="AK68" s="193" t="n"/>
      <c r="AL68" s="193" t="n"/>
      <c r="AM68" s="193" t="n"/>
      <c r="AN68" s="193" t="n"/>
      <c r="AO68" s="193" t="n"/>
      <c r="AP68" s="193" t="n"/>
      <c r="AQ68" s="193" t="n"/>
      <c r="AR68" s="193" t="n"/>
      <c r="AS68" s="193" t="n"/>
      <c r="AT68" s="193" t="n"/>
      <c r="AU68" s="193" t="n"/>
      <c r="AV68" s="193" t="n"/>
      <c r="AW68" s="193" t="n"/>
      <c r="AX68" s="193" t="n"/>
      <c r="AY68" s="193" t="n"/>
      <c r="AZ68" s="193" t="n"/>
      <c r="BA68" s="193" t="n"/>
      <c r="BB68" s="193" t="n"/>
      <c r="BC68" s="193" t="n"/>
      <c r="BD68" s="193" t="n"/>
      <c r="BE68" s="193" t="n"/>
      <c r="BF68" s="193" t="n"/>
      <c r="BG68" s="193" t="n"/>
      <c r="BH68" s="193" t="n"/>
      <c r="BI68" s="193" t="n"/>
      <c r="BJ68" s="193" t="n"/>
      <c r="BK68" s="193" t="n"/>
      <c r="BL68" s="193" t="n"/>
      <c r="BM68" s="193" t="n"/>
      <c r="BN68" s="193" t="n"/>
      <c r="BO68" s="193" t="n"/>
      <c r="BP68" s="193" t="n"/>
      <c r="BQ68" s="193" t="n"/>
      <c r="BR68" s="193" t="n"/>
      <c r="BS68" s="193" t="n"/>
      <c r="BT68" s="193" t="n"/>
      <c r="BU68" s="193" t="n"/>
      <c r="BV68" s="193" t="n"/>
      <c r="BW68" s="193" t="n"/>
      <c r="BX68" s="193" t="n"/>
      <c r="BY68" s="179">
        <f>IF(AND(ISNUMBER(BY67),ISNUMBER(BY63)),IFERROR(BY67/BY63,""),"")</f>
        <v>0.333333333333333</v>
      </c>
      <c r="BZ68" s="179">
        <f>IF(AND(ISNUMBER(BZ67),ISNUMBER(BZ63)),IFERROR(BZ67/BZ63,""),"")</f>
        <v>0.187292817679558</v>
      </c>
      <c r="CA68" s="179">
        <f>IF(AND(ISNUMBER(CA67),ISNUMBER(CA63)),IFERROR(CA67/CA63,""),"")</f>
        <v>0.202325581395349</v>
      </c>
      <c r="CB68" s="179">
        <f>IF(AND(ISNUMBER(CB67),ISNUMBER(CB63)),IFERROR(CB67/CB63,""),"")</f>
        <v>0.209247073472373</v>
      </c>
      <c r="CC68" s="179">
        <f>IF(AND(ISNUMBER(CC67),ISNUMBER(CC63)),IFERROR(CC67/CC63,""),"")</f>
        <v>0.246201790584004</v>
      </c>
      <c r="CD68" s="179">
        <f>IF(AND(ISNUMBER(CD67),ISNUMBER(CD63)),IFERROR(CD67/CD63,""),"")</f>
        <v>0.242069827445396</v>
      </c>
      <c r="CE68" s="179">
        <f>IF(AND(ISNUMBER(CE67),ISNUMBER(CE63)),IFERROR(CE67/CE63,""),"")</f>
        <v>0.23827429303569</v>
      </c>
      <c r="CF68" s="20" t="n"/>
      <c r="CN68" s="26" t="inlineStr">
        <is>
          <t xml:space="preserve">  2029E</t>
        </is>
      </c>
      <c r="CO68" s="194">
        <f>CP68+$CO$65</f>
        <v>1.25</v>
      </c>
      <c r="CP68" s="195" t="n">
        <v>1</v>
      </c>
      <c r="CQ68" s="194">
        <f>CP68+$CQ$65</f>
        <v>0.75</v>
      </c>
      <c r="CR68" s="196" t="n"/>
    </row>
    <row r="69" hidden="1" outlineLevel="2" ht="15" customHeight="1">
      <c r="B69" s="26" t="inlineStr">
        <is>
          <t xml:space="preserve">  Third-party transaction costs (expensed in SG&amp;A; added back in Adj. EBITDA, as in Q4/25)</t>
        </is>
      </c>
      <c r="C69" s="184" t="n"/>
      <c r="D69" s="184" t="n"/>
      <c r="E69" s="184" t="n"/>
      <c r="F69" s="184" t="n"/>
      <c r="G69" s="184" t="n"/>
      <c r="H69" s="184" t="n"/>
      <c r="I69" s="184" t="n"/>
      <c r="J69" s="184" t="n"/>
      <c r="K69" s="184" t="n"/>
      <c r="L69" s="184" t="n"/>
      <c r="M69" s="184" t="n"/>
      <c r="N69" s="184" t="n"/>
      <c r="O69" s="184" t="n"/>
      <c r="P69" s="184" t="n"/>
      <c r="Q69" s="184" t="n"/>
      <c r="R69" s="184" t="n"/>
      <c r="S69" s="184" t="n"/>
      <c r="T69" s="184" t="n"/>
      <c r="U69" s="184" t="n"/>
      <c r="V69" s="184" t="n"/>
      <c r="W69" s="184" t="n"/>
      <c r="X69" s="184" t="n"/>
      <c r="Y69" s="184" t="n"/>
      <c r="Z69" s="184" t="n"/>
      <c r="AA69" s="184" t="n"/>
      <c r="AB69" s="184" t="n"/>
      <c r="AC69" s="184" t="n"/>
      <c r="AD69" s="184" t="n"/>
      <c r="AE69" s="184" t="n"/>
      <c r="AF69" s="184" t="n"/>
      <c r="AG69" s="184" t="n"/>
      <c r="AH69" s="184" t="n"/>
      <c r="AI69" s="184" t="n"/>
      <c r="AJ69" s="184" t="n"/>
      <c r="AK69" s="184" t="n"/>
      <c r="AL69" s="184" t="n"/>
      <c r="AM69" s="184" t="n"/>
      <c r="AN69" s="184" t="n"/>
      <c r="AO69" s="184" t="n"/>
      <c r="AP69" s="184" t="n"/>
      <c r="AQ69" s="184" t="n"/>
      <c r="AR69" s="184" t="n"/>
      <c r="AS69" s="184" t="n"/>
      <c r="AT69" s="184" t="n"/>
      <c r="AU69" s="184" t="n"/>
      <c r="AV69" s="184" t="n"/>
      <c r="AW69" s="184" t="n"/>
      <c r="AX69" s="184" t="n"/>
      <c r="AY69" s="184" t="n"/>
      <c r="AZ69" s="184" t="n"/>
      <c r="BA69" s="184" t="n"/>
      <c r="BB69" s="184" t="n"/>
      <c r="BC69" s="184" t="n"/>
      <c r="BD69" s="184" t="n"/>
      <c r="BE69" s="184" t="n"/>
      <c r="BF69" s="184" t="n"/>
      <c r="BG69" s="184" t="n"/>
      <c r="BH69" s="184" t="n"/>
      <c r="BI69" s="184" t="n"/>
      <c r="BJ69" s="184" t="n"/>
      <c r="BK69" s="184" t="n"/>
      <c r="BL69" s="184" t="n"/>
      <c r="BM69" s="184" t="n"/>
      <c r="BN69" s="184" t="n"/>
      <c r="BO69" s="184" t="n"/>
      <c r="BP69" s="184" t="n"/>
      <c r="BQ69" s="184" t="n"/>
      <c r="BR69" s="184" t="n"/>
      <c r="BS69" s="184" t="n"/>
      <c r="BT69" s="184" t="n"/>
      <c r="BU69" s="184" t="n"/>
      <c r="BV69" s="184" t="n"/>
      <c r="BW69" s="184" t="n"/>
      <c r="BX69" s="184" t="n"/>
      <c r="BY69" s="201" t="n">
        <v>4</v>
      </c>
      <c r="BZ69" s="201" t="n">
        <v>6</v>
      </c>
      <c r="CA69" s="186">
        <f>SUM(BW69,BX69,BY69,BZ69)</f>
        <v>10</v>
      </c>
      <c r="CB69" s="186">
        <f>0</f>
        <v>0</v>
      </c>
      <c r="CC69" s="186">
        <f>0</f>
        <v>0</v>
      </c>
      <c r="CD69" s="186">
        <f>0</f>
        <v>0</v>
      </c>
      <c r="CE69" s="186">
        <f>0</f>
        <v>0</v>
      </c>
      <c r="CF69" s="20" t="inlineStr">
        <is>
          <t>Q4/25 reconciliation added back third-party transaction-related costs; assumed ~$10m for ES&amp;H / EnviroServe in 2H/26 (same treatment).</t>
        </is>
      </c>
      <c r="CN69" s="26" t="inlineStr">
        <is>
          <t xml:space="preserve">  2030E</t>
        </is>
      </c>
      <c r="CO69" s="194">
        <f>CP69+$CO$65</f>
        <v>1.25</v>
      </c>
      <c r="CP69" s="195" t="n">
        <v>1</v>
      </c>
      <c r="CQ69" s="194">
        <f>CP69+$CQ$65</f>
        <v>0.75</v>
      </c>
      <c r="CR69" s="196" t="n"/>
    </row>
    <row r="70" hidden="1" outlineLevel="2" ht="15" customHeight="1">
      <c r="B70" s="26" t="inlineStr">
        <is>
          <t xml:space="preserve">  Standalone depreciation % of revenues</t>
        </is>
      </c>
      <c r="C70" s="181" t="n"/>
      <c r="D70" s="181" t="n"/>
      <c r="E70" s="181" t="n"/>
      <c r="F70" s="181" t="n"/>
      <c r="G70" s="181" t="n"/>
      <c r="H70" s="181" t="n"/>
      <c r="I70" s="181" t="n"/>
      <c r="J70" s="181" t="n"/>
      <c r="K70" s="181" t="n"/>
      <c r="L70" s="181" t="n"/>
      <c r="M70" s="181" t="n"/>
      <c r="N70" s="181" t="n"/>
      <c r="O70" s="181" t="n"/>
      <c r="P70" s="181" t="n"/>
      <c r="Q70" s="181" t="n"/>
      <c r="R70" s="181" t="n"/>
      <c r="S70" s="181" t="n"/>
      <c r="T70" s="181" t="n"/>
      <c r="U70" s="181" t="n"/>
      <c r="V70" s="181" t="n"/>
      <c r="W70" s="181" t="n"/>
      <c r="X70" s="181" t="n"/>
      <c r="Y70" s="181" t="n"/>
      <c r="Z70" s="181" t="n"/>
      <c r="AA70" s="181" t="n"/>
      <c r="AB70" s="181" t="n"/>
      <c r="AC70" s="181" t="n"/>
      <c r="AD70" s="181" t="n"/>
      <c r="AE70" s="181" t="n"/>
      <c r="AF70" s="181" t="n"/>
      <c r="AG70" s="181" t="n"/>
      <c r="AH70" s="181" t="n"/>
      <c r="AI70" s="181" t="n"/>
      <c r="AJ70" s="181" t="n"/>
      <c r="AK70" s="181" t="n"/>
      <c r="AL70" s="181" t="n"/>
      <c r="AM70" s="181" t="n"/>
      <c r="AN70" s="181" t="n"/>
      <c r="AO70" s="181" t="n"/>
      <c r="AP70" s="181" t="n"/>
      <c r="AQ70" s="181" t="n"/>
      <c r="AR70" s="181" t="n"/>
      <c r="AS70" s="181" t="n"/>
      <c r="AT70" s="181" t="n"/>
      <c r="AU70" s="181" t="n"/>
      <c r="AV70" s="181" t="n"/>
      <c r="AW70" s="181" t="n"/>
      <c r="AX70" s="181" t="n"/>
      <c r="AY70" s="181" t="n"/>
      <c r="AZ70" s="181" t="n"/>
      <c r="BA70" s="181" t="n"/>
      <c r="BB70" s="181" t="n"/>
      <c r="BC70" s="181" t="n"/>
      <c r="BD70" s="181" t="n"/>
      <c r="BE70" s="181" t="n"/>
      <c r="BF70" s="181" t="n"/>
      <c r="BG70" s="181" t="n"/>
      <c r="BH70" s="181" t="n"/>
      <c r="BI70" s="181" t="n"/>
      <c r="BJ70" s="181" t="n"/>
      <c r="BK70" s="181" t="n"/>
      <c r="BL70" s="181" t="n"/>
      <c r="BM70" s="181" t="n"/>
      <c r="BN70" s="181" t="n"/>
      <c r="BO70" s="181" t="n"/>
      <c r="BP70" s="181" t="n"/>
      <c r="BQ70" s="181" t="n"/>
      <c r="BR70" s="181" t="n"/>
      <c r="BS70" s="181" t="n"/>
      <c r="BT70" s="181" t="n"/>
      <c r="BU70" s="181" t="n"/>
      <c r="BV70" s="181" t="n"/>
      <c r="BW70" s="181" t="n"/>
      <c r="BX70" s="181" t="n"/>
      <c r="BY70" s="179">
        <f>$CA$70</f>
        <v>0.06</v>
      </c>
      <c r="BZ70" s="179">
        <f>$CA$70</f>
        <v>0.06</v>
      </c>
      <c r="CA70" s="182" t="n">
        <v>0.06</v>
      </c>
      <c r="CB70" s="179">
        <f>CA70</f>
        <v>0.06</v>
      </c>
      <c r="CC70" s="179">
        <f>CB70</f>
        <v>0.06</v>
      </c>
      <c r="CD70" s="179">
        <f>CC70</f>
        <v>0.06</v>
      </c>
      <c r="CE70" s="179">
        <f>CD70</f>
        <v>0.06</v>
      </c>
      <c r="CF70" s="20" t="inlineStr">
        <is>
          <t>Assumption: asset-light service businesses (fleet, transfer facilities).</t>
        </is>
      </c>
      <c r="CN70" s="16" t="inlineStr">
        <is>
          <t>M&amp;A_spend (bolt-on acquisitions, $m)</t>
        </is>
      </c>
      <c r="CO70" s="202" t="n">
        <v>250</v>
      </c>
      <c r="CP70" s="22" t="inlineStr">
        <is>
          <t>Δ →</t>
        </is>
      </c>
      <c r="CQ70" s="202" t="n">
        <v>-250</v>
      </c>
      <c r="CR70" s="14" t="inlineStr">
        <is>
          <t>CLH averaged ~$0.3bn p.a. of bolt-ons 2022–25 (ex HydroChemPSC).</t>
        </is>
      </c>
    </row>
    <row r="71" hidden="1" outlineLevel="2" ht="15" customHeight="1">
      <c r="B71" s="26" t="inlineStr">
        <is>
          <t xml:space="preserve">  Amortization of acquired intangibles (customer relationships, permits)</t>
        </is>
      </c>
      <c r="C71" s="184" t="n"/>
      <c r="D71" s="184" t="n"/>
      <c r="E71" s="184" t="n"/>
      <c r="F71" s="184" t="n"/>
      <c r="G71" s="184" t="n"/>
      <c r="H71" s="184" t="n"/>
      <c r="I71" s="184" t="n"/>
      <c r="J71" s="184" t="n"/>
      <c r="K71" s="184" t="n"/>
      <c r="L71" s="184" t="n"/>
      <c r="M71" s="184" t="n"/>
      <c r="N71" s="184" t="n"/>
      <c r="O71" s="184" t="n"/>
      <c r="P71" s="184" t="n"/>
      <c r="Q71" s="184" t="n"/>
      <c r="R71" s="184" t="n"/>
      <c r="S71" s="184" t="n"/>
      <c r="T71" s="184" t="n"/>
      <c r="U71" s="184" t="n"/>
      <c r="V71" s="184" t="n"/>
      <c r="W71" s="184" t="n"/>
      <c r="X71" s="184" t="n"/>
      <c r="Y71" s="184" t="n"/>
      <c r="Z71" s="184" t="n"/>
      <c r="AA71" s="184" t="n"/>
      <c r="AB71" s="184" t="n"/>
      <c r="AC71" s="184" t="n"/>
      <c r="AD71" s="184" t="n"/>
      <c r="AE71" s="184" t="n"/>
      <c r="AF71" s="184" t="n"/>
      <c r="AG71" s="184" t="n"/>
      <c r="AH71" s="184" t="n"/>
      <c r="AI71" s="184" t="n"/>
      <c r="AJ71" s="184" t="n"/>
      <c r="AK71" s="184" t="n"/>
      <c r="AL71" s="184" t="n"/>
      <c r="AM71" s="184" t="n"/>
      <c r="AN71" s="184" t="n"/>
      <c r="AO71" s="184" t="n"/>
      <c r="AP71" s="184" t="n"/>
      <c r="AQ71" s="184" t="n"/>
      <c r="AR71" s="184" t="n"/>
      <c r="AS71" s="184" t="n"/>
      <c r="AT71" s="184" t="n"/>
      <c r="AU71" s="184" t="n"/>
      <c r="AV71" s="184" t="n"/>
      <c r="AW71" s="184" t="n"/>
      <c r="AX71" s="184" t="n"/>
      <c r="AY71" s="184" t="n"/>
      <c r="AZ71" s="184" t="n"/>
      <c r="BA71" s="184" t="n"/>
      <c r="BB71" s="184" t="n"/>
      <c r="BC71" s="184" t="n"/>
      <c r="BD71" s="184" t="n"/>
      <c r="BE71" s="184" t="n"/>
      <c r="BF71" s="184" t="n"/>
      <c r="BG71" s="184" t="n"/>
      <c r="BH71" s="184" t="n"/>
      <c r="BI71" s="184" t="n"/>
      <c r="BJ71" s="184" t="n"/>
      <c r="BK71" s="184" t="n"/>
      <c r="BL71" s="184" t="n"/>
      <c r="BM71" s="184" t="n"/>
      <c r="BN71" s="184" t="n"/>
      <c r="BO71" s="184" t="n"/>
      <c r="BP71" s="184" t="n"/>
      <c r="BQ71" s="184" t="n"/>
      <c r="BR71" s="184" t="n"/>
      <c r="BS71" s="184" t="n"/>
      <c r="BT71" s="184" t="n"/>
      <c r="BU71" s="184" t="n"/>
      <c r="BV71" s="184" t="n"/>
      <c r="BW71" s="184" t="n"/>
      <c r="BX71" s="184" t="n"/>
      <c r="BY71" s="186">
        <f>$CA$355/$CA$359*(($CA$348+$CA$350)*BY58+$CA$349*BY59)/$CA$351/365</f>
        <v>0.688356164383562</v>
      </c>
      <c r="BZ71" s="186">
        <f>$CA$355/$CA$359*(($CA$348+$CA$350)*BZ58+$CA$349*BZ59)/$CA$351/365</f>
        <v>4.07465753424658</v>
      </c>
      <c r="CA71" s="186">
        <f>SUM(BW71,BX71,BY71,BZ71)</f>
        <v>4.76301369863014</v>
      </c>
      <c r="CB71" s="186">
        <f>$CA$355/$CA$359*(($CA$348+$CA$350)*CB58+$CA$349*CB59)/$CA$351/365</f>
        <v>20.125</v>
      </c>
      <c r="CC71" s="186">
        <f>$CA$355/$CA$359*(($CA$348+$CA$350)*CC58+$CA$349*CC59)/$CA$351/365</f>
        <v>20.125</v>
      </c>
      <c r="CD71" s="186">
        <f>$CA$355/$CA$359*(($CA$348+$CA$350)*CD58+$CA$349*CD59)/$CA$351/365</f>
        <v>20.125</v>
      </c>
      <c r="CE71" s="186">
        <f>$CA$355/$CA$359*(($CA$348+$CA$350)*CE58+$CA$349*CE59)/$CA$351/365</f>
        <v>20.125</v>
      </c>
      <c r="CF71" s="20" t="n"/>
      <c r="CN71" s="26" t="inlineStr">
        <is>
          <t xml:space="preserve">  2027E</t>
        </is>
      </c>
      <c r="CO71" s="203">
        <f>CP71+$CO$70</f>
        <v>550</v>
      </c>
      <c r="CP71" s="180" t="n">
        <v>300</v>
      </c>
      <c r="CQ71" s="203">
        <f>CP71+$CQ$70</f>
        <v>50</v>
      </c>
      <c r="CR71" s="196" t="n"/>
    </row>
    <row r="72" hidden="1" outlineLevel="1" collapsed="1" ht="15" customHeight="1">
      <c r="B72" s="26" t="inlineStr">
        <is>
          <t xml:space="preserve">  D&amp;A — standalone depreciation + purchase-accounting amortization</t>
        </is>
      </c>
      <c r="C72" s="184" t="n"/>
      <c r="D72" s="184" t="n"/>
      <c r="E72" s="184" t="n"/>
      <c r="F72" s="184" t="n"/>
      <c r="G72" s="184" t="n"/>
      <c r="H72" s="184" t="n"/>
      <c r="I72" s="184" t="n"/>
      <c r="J72" s="184" t="n"/>
      <c r="K72" s="184" t="n"/>
      <c r="L72" s="184" t="n"/>
      <c r="M72" s="184" t="n"/>
      <c r="N72" s="184" t="n"/>
      <c r="O72" s="184" t="n"/>
      <c r="P72" s="184" t="n"/>
      <c r="Q72" s="184" t="n"/>
      <c r="R72" s="184" t="n"/>
      <c r="S72" s="184" t="n"/>
      <c r="T72" s="184" t="n"/>
      <c r="U72" s="184" t="n"/>
      <c r="V72" s="184" t="n"/>
      <c r="W72" s="184" t="n"/>
      <c r="X72" s="184" t="n"/>
      <c r="Y72" s="184" t="n"/>
      <c r="Z72" s="184" t="n"/>
      <c r="AA72" s="184" t="n"/>
      <c r="AB72" s="184" t="n"/>
      <c r="AC72" s="184" t="n"/>
      <c r="AD72" s="184" t="n"/>
      <c r="AE72" s="184" t="n"/>
      <c r="AF72" s="184" t="n"/>
      <c r="AG72" s="184" t="n"/>
      <c r="AH72" s="184" t="n"/>
      <c r="AI72" s="184" t="n"/>
      <c r="AJ72" s="184" t="n"/>
      <c r="AK72" s="184" t="n"/>
      <c r="AL72" s="184" t="n"/>
      <c r="AM72" s="184" t="n"/>
      <c r="AN72" s="184" t="n"/>
      <c r="AO72" s="184" t="n"/>
      <c r="AP72" s="184" t="n"/>
      <c r="AQ72" s="184" t="n"/>
      <c r="AR72" s="184" t="n"/>
      <c r="AS72" s="184" t="n"/>
      <c r="AT72" s="184" t="n"/>
      <c r="AU72" s="184" t="n"/>
      <c r="AV72" s="184" t="n"/>
      <c r="AW72" s="184" t="n"/>
      <c r="AX72" s="184" t="n"/>
      <c r="AY72" s="184" t="n"/>
      <c r="AZ72" s="184" t="n"/>
      <c r="BA72" s="184" t="n"/>
      <c r="BB72" s="184" t="n"/>
      <c r="BC72" s="184" t="n"/>
      <c r="BD72" s="184" t="n"/>
      <c r="BE72" s="184" t="n"/>
      <c r="BF72" s="184" t="n"/>
      <c r="BG72" s="184" t="n"/>
      <c r="BH72" s="184" t="n"/>
      <c r="BI72" s="184" t="n"/>
      <c r="BJ72" s="184" t="n"/>
      <c r="BK72" s="184" t="n"/>
      <c r="BL72" s="184" t="n"/>
      <c r="BM72" s="184" t="n"/>
      <c r="BN72" s="184" t="n"/>
      <c r="BO72" s="184" t="n"/>
      <c r="BP72" s="184" t="n"/>
      <c r="BQ72" s="184" t="n"/>
      <c r="BR72" s="184" t="n"/>
      <c r="BS72" s="184" t="n"/>
      <c r="BT72" s="184" t="n"/>
      <c r="BU72" s="184" t="n"/>
      <c r="BV72" s="184" t="n"/>
      <c r="BW72" s="184" t="n"/>
      <c r="BX72" s="184" t="n"/>
      <c r="BY72" s="186">
        <f>BY63*BY70+BY71</f>
        <v>1.13219178082192</v>
      </c>
      <c r="BZ72" s="186">
        <f>BZ63*BZ70+BZ71</f>
        <v>7.94260273972603</v>
      </c>
      <c r="CA72" s="186">
        <f>SUM(BW72,BX72,BY72,BZ72)</f>
        <v>9.07479452054795</v>
      </c>
      <c r="CB72" s="186">
        <f>CB63*CB70+CB71</f>
        <v>41.7596077662983</v>
      </c>
      <c r="CC72" s="186">
        <f>CC63*CC70+CC71</f>
        <v>43.0389602371564</v>
      </c>
      <c r="CD72" s="186">
        <f>CD63*CD70+CD71</f>
        <v>44.3111467039152</v>
      </c>
      <c r="CE72" s="186">
        <f>CE63*CE70+CE71</f>
        <v>45.6109194201616</v>
      </c>
      <c r="CF72" s="20" t="n"/>
      <c r="CN72" s="26" t="inlineStr">
        <is>
          <t xml:space="preserve">  2028E</t>
        </is>
      </c>
      <c r="CO72" s="203">
        <f>CP72+$CO$70</f>
        <v>550</v>
      </c>
      <c r="CP72" s="180" t="n">
        <v>300</v>
      </c>
      <c r="CQ72" s="203">
        <f>CP72+$CQ$70</f>
        <v>50</v>
      </c>
      <c r="CR72" s="196" t="n"/>
    </row>
    <row r="73" hidden="1" outlineLevel="1" ht="15" customHeight="1">
      <c r="CN73" s="26" t="inlineStr">
        <is>
          <t xml:space="preserve">  2029E</t>
        </is>
      </c>
      <c r="CO73" s="203">
        <f>CP73+$CO$70</f>
        <v>550</v>
      </c>
      <c r="CP73" s="180" t="n">
        <v>300</v>
      </c>
      <c r="CQ73" s="203">
        <f>CP73+$CQ$70</f>
        <v>50</v>
      </c>
      <c r="CR73" s="196" t="n"/>
    </row>
    <row r="74" hidden="1" outlineLevel="1" ht="15" customHeight="1">
      <c r="B74" s="139" t="inlineStr">
        <is>
          <t>Future acquisitions (M&amp;A lever — bolt-ons, unallocated; deals closed from 2027E)</t>
        </is>
      </c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  <c r="T74" s="139" t="n"/>
      <c r="U74" s="139" t="n"/>
      <c r="V74" s="139" t="n"/>
      <c r="W74" s="139" t="n"/>
      <c r="X74" s="139" t="n"/>
      <c r="Y74" s="139" t="n"/>
      <c r="Z74" s="139" t="n"/>
      <c r="AA74" s="139" t="n"/>
      <c r="AB74" s="139" t="n"/>
      <c r="AC74" s="139" t="n"/>
      <c r="AD74" s="139" t="n"/>
      <c r="AE74" s="139" t="n"/>
      <c r="AF74" s="139" t="n"/>
      <c r="AG74" s="139" t="n"/>
      <c r="AH74" s="139" t="n"/>
      <c r="AI74" s="139" t="n"/>
      <c r="AJ74" s="139" t="n"/>
      <c r="AK74" s="139" t="n"/>
      <c r="AL74" s="139" t="n"/>
      <c r="AM74" s="139" t="n"/>
      <c r="AN74" s="139" t="n"/>
      <c r="AO74" s="139" t="n"/>
      <c r="AP74" s="139" t="n"/>
      <c r="AQ74" s="139" t="n"/>
      <c r="AR74" s="139" t="n"/>
      <c r="AS74" s="139" t="n"/>
      <c r="AT74" s="139" t="n"/>
      <c r="AU74" s="139" t="n"/>
      <c r="AV74" s="139" t="n"/>
      <c r="AW74" s="139" t="n"/>
      <c r="AX74" s="139" t="n"/>
      <c r="AY74" s="139" t="n"/>
      <c r="AZ74" s="139" t="n"/>
      <c r="BA74" s="139" t="n"/>
      <c r="BB74" s="139" t="n"/>
      <c r="BC74" s="139" t="n"/>
      <c r="BD74" s="139" t="n"/>
      <c r="BE74" s="139" t="n"/>
      <c r="BF74" s="139" t="n"/>
      <c r="BG74" s="139" t="n"/>
      <c r="BH74" s="139" t="n"/>
      <c r="BI74" s="139" t="n"/>
      <c r="BJ74" s="139" t="n"/>
      <c r="BK74" s="139" t="n"/>
      <c r="BL74" s="139" t="n"/>
      <c r="BM74" s="139" t="n"/>
      <c r="BN74" s="139" t="n"/>
      <c r="BO74" s="139" t="n"/>
      <c r="BP74" s="139" t="n"/>
      <c r="BQ74" s="139" t="n"/>
      <c r="BR74" s="139" t="n"/>
      <c r="BS74" s="139" t="n"/>
      <c r="BT74" s="139" t="n"/>
      <c r="BU74" s="139" t="n"/>
      <c r="BV74" s="139" t="n"/>
      <c r="BW74" s="139" t="n"/>
      <c r="BX74" s="139" t="n"/>
      <c r="BY74" s="139" t="n"/>
      <c r="BZ74" s="139" t="n"/>
      <c r="CA74" s="139" t="n"/>
      <c r="CB74" s="139" t="n"/>
      <c r="CC74" s="139" t="n"/>
      <c r="CD74" s="139" t="n"/>
      <c r="CE74" s="139" t="n"/>
      <c r="CF74" s="139" t="inlineStr">
        <is>
          <t>M&amp;A LEVER — acquired revenues = spend ÷ EV/revenues; mid-year convention</t>
        </is>
      </c>
      <c r="CN74" s="26" t="inlineStr">
        <is>
          <t xml:space="preserve">  2030E</t>
        </is>
      </c>
      <c r="CO74" s="203">
        <f>CP74+$CO$70</f>
        <v>550</v>
      </c>
      <c r="CP74" s="180" t="n">
        <v>300</v>
      </c>
      <c r="CQ74" s="203">
        <f>CP74+$CQ$70</f>
        <v>50</v>
      </c>
      <c r="CR74" s="196" t="n"/>
    </row>
    <row r="75" hidden="1" outlineLevel="1" ht="15" customHeight="1">
      <c r="B75" s="26" t="inlineStr">
        <is>
          <t xml:space="preserve">  Acquisition spend (USDm, scenario)</t>
        </is>
      </c>
      <c r="C75" s="184" t="n"/>
      <c r="D75" s="184" t="n"/>
      <c r="E75" s="184" t="n"/>
      <c r="F75" s="184" t="n"/>
      <c r="G75" s="184" t="n"/>
      <c r="H75" s="184" t="n"/>
      <c r="I75" s="184" t="n"/>
      <c r="J75" s="184" t="n"/>
      <c r="K75" s="184" t="n"/>
      <c r="L75" s="184" t="n"/>
      <c r="M75" s="184" t="n"/>
      <c r="N75" s="184" t="n"/>
      <c r="O75" s="184" t="n"/>
      <c r="P75" s="184" t="n"/>
      <c r="Q75" s="184" t="n"/>
      <c r="R75" s="184" t="n"/>
      <c r="S75" s="184" t="n"/>
      <c r="T75" s="184" t="n"/>
      <c r="U75" s="184" t="n"/>
      <c r="V75" s="184" t="n"/>
      <c r="W75" s="184" t="n"/>
      <c r="X75" s="184" t="n"/>
      <c r="Y75" s="184" t="n"/>
      <c r="Z75" s="184" t="n"/>
      <c r="AA75" s="184" t="n"/>
      <c r="AB75" s="184" t="n"/>
      <c r="AC75" s="184" t="n"/>
      <c r="AD75" s="184" t="n"/>
      <c r="AE75" s="184" t="n"/>
      <c r="AF75" s="184" t="n"/>
      <c r="AG75" s="184" t="n"/>
      <c r="AH75" s="184" t="n"/>
      <c r="AI75" s="184" t="n"/>
      <c r="AJ75" s="184" t="n"/>
      <c r="AK75" s="184" t="n"/>
      <c r="AL75" s="184" t="n"/>
      <c r="AM75" s="184" t="n"/>
      <c r="AN75" s="184" t="n"/>
      <c r="AO75" s="184" t="n"/>
      <c r="AP75" s="184" t="n"/>
      <c r="AQ75" s="184" t="n"/>
      <c r="AR75" s="184" t="n"/>
      <c r="AS75" s="184" t="n"/>
      <c r="AT75" s="184" t="n"/>
      <c r="AU75" s="184" t="n"/>
      <c r="AV75" s="184" t="n"/>
      <c r="AW75" s="184" t="n"/>
      <c r="AX75" s="184" t="n"/>
      <c r="AY75" s="184" t="n"/>
      <c r="AZ75" s="184" t="n"/>
      <c r="BA75" s="184" t="n"/>
      <c r="BB75" s="184" t="n"/>
      <c r="BC75" s="184" t="n"/>
      <c r="BD75" s="184" t="n"/>
      <c r="BE75" s="184" t="n"/>
      <c r="BF75" s="184" t="n"/>
      <c r="BG75" s="184" t="n"/>
      <c r="BH75" s="184" t="n"/>
      <c r="BI75" s="184" t="n"/>
      <c r="BJ75" s="184" t="n"/>
      <c r="BK75" s="184" t="n"/>
      <c r="BL75" s="184" t="n"/>
      <c r="BM75" s="184" t="n"/>
      <c r="BN75" s="184" t="n"/>
      <c r="BO75" s="184" t="n"/>
      <c r="BP75" s="184" t="n"/>
      <c r="BQ75" s="184" t="n"/>
      <c r="BR75" s="184" t="n"/>
      <c r="BS75" s="184" t="n"/>
      <c r="BT75" s="184" t="n"/>
      <c r="BU75" s="184" t="n"/>
      <c r="BV75" s="184" t="n"/>
      <c r="BW75" s="184" t="n"/>
      <c r="BX75" s="184" t="n"/>
      <c r="BY75" s="168" t="n"/>
      <c r="BZ75" s="168" t="n"/>
      <c r="CA75" s="201" t="n">
        <v>0</v>
      </c>
      <c r="CB75" s="186">
        <f>MAX(0,CHOOSE(MATCH($CF$2,{"Bull","Base","Bear"},0),$CO$71,$CP$71,$CQ$71))</f>
        <v>300</v>
      </c>
      <c r="CC75" s="186">
        <f>MAX(0,CHOOSE(MATCH($CF$2,{"Bull","Base","Bear"},0),$CO$72,$CP$72,$CQ$72))</f>
        <v>300</v>
      </c>
      <c r="CD75" s="186">
        <f>MAX(0,CHOOSE(MATCH($CF$2,{"Bull","Base","Bear"},0),$CO$73,$CP$73,$CQ$73))</f>
        <v>300</v>
      </c>
      <c r="CE75" s="186">
        <f>MAX(0,CHOOSE(MATCH($CF$2,{"Bull","Base","Bear"},0),$CO$74,$CP$74,$CQ$74))</f>
        <v>300</v>
      </c>
      <c r="CF75" s="20" t="inlineStr">
        <is>
          <t>Scenario lever M&amp;A_spend. CLH deployed ~$0.1–1.3bn p.a. on acquisitions 2017–26 (HydroChemPSC $1.25bn 2021; Thompson $110m 2023; Noble Oil 2024; DCI, Terra Nova, ES&amp;H, EnviroServe 2026).</t>
        </is>
      </c>
    </row>
    <row r="76" hidden="1" outlineLevel="2" ht="15" customHeight="1">
      <c r="B76" s="26" t="inlineStr">
        <is>
          <t xml:space="preserve">  Purchase multiple — EV / revenues (x)</t>
        </is>
      </c>
      <c r="C76" s="204" t="n"/>
      <c r="D76" s="204" t="n"/>
      <c r="E76" s="204" t="n"/>
      <c r="F76" s="204" t="n"/>
      <c r="G76" s="204" t="n"/>
      <c r="H76" s="204" t="n"/>
      <c r="I76" s="204" t="n"/>
      <c r="J76" s="204" t="n"/>
      <c r="K76" s="204" t="n"/>
      <c r="L76" s="204" t="n"/>
      <c r="M76" s="204" t="n"/>
      <c r="N76" s="204" t="n"/>
      <c r="O76" s="204" t="n"/>
      <c r="P76" s="204" t="n"/>
      <c r="Q76" s="204" t="n"/>
      <c r="R76" s="204" t="n"/>
      <c r="S76" s="204" t="n"/>
      <c r="T76" s="204" t="n"/>
      <c r="U76" s="204" t="n"/>
      <c r="V76" s="204" t="n"/>
      <c r="W76" s="204" t="n"/>
      <c r="X76" s="204" t="n"/>
      <c r="Y76" s="204" t="n"/>
      <c r="Z76" s="204" t="n"/>
      <c r="AA76" s="204" t="n"/>
      <c r="AB76" s="204" t="n"/>
      <c r="AC76" s="204" t="n"/>
      <c r="AD76" s="204" t="n"/>
      <c r="AE76" s="204" t="n"/>
      <c r="AF76" s="204" t="n"/>
      <c r="AG76" s="204" t="n"/>
      <c r="AH76" s="204" t="n"/>
      <c r="AI76" s="204" t="n"/>
      <c r="AJ76" s="204" t="n"/>
      <c r="AK76" s="204" t="n"/>
      <c r="AL76" s="204" t="n"/>
      <c r="AM76" s="204" t="n"/>
      <c r="AN76" s="204" t="n"/>
      <c r="AO76" s="204" t="n"/>
      <c r="AP76" s="204" t="n"/>
      <c r="AQ76" s="204" t="n"/>
      <c r="AR76" s="204" t="n"/>
      <c r="AS76" s="204" t="n"/>
      <c r="AT76" s="204" t="n"/>
      <c r="AU76" s="204" t="n"/>
      <c r="AV76" s="204" t="n"/>
      <c r="AW76" s="204" t="n"/>
      <c r="AX76" s="204" t="n"/>
      <c r="AY76" s="204" t="n"/>
      <c r="AZ76" s="204" t="n"/>
      <c r="BA76" s="204" t="n"/>
      <c r="BB76" s="204" t="n"/>
      <c r="BC76" s="204" t="n"/>
      <c r="BD76" s="204" t="n"/>
      <c r="BE76" s="204" t="n"/>
      <c r="BF76" s="204" t="n"/>
      <c r="BG76" s="204" t="n"/>
      <c r="BH76" s="204" t="n"/>
      <c r="BI76" s="204" t="n"/>
      <c r="BJ76" s="204" t="n"/>
      <c r="BK76" s="204" t="n"/>
      <c r="BL76" s="204" t="n"/>
      <c r="BM76" s="204" t="n"/>
      <c r="BN76" s="204" t="n"/>
      <c r="BO76" s="204" t="n"/>
      <c r="BP76" s="204" t="n"/>
      <c r="BQ76" s="204" t="n"/>
      <c r="BR76" s="204" t="n"/>
      <c r="BS76" s="204" t="n"/>
      <c r="BT76" s="204" t="n"/>
      <c r="BU76" s="204" t="n"/>
      <c r="BV76" s="204" t="n"/>
      <c r="BW76" s="204" t="n"/>
      <c r="BX76" s="204" t="n"/>
      <c r="BY76" s="205" t="n"/>
      <c r="BZ76" s="205" t="n"/>
      <c r="CA76" s="206" t="n">
        <v>0</v>
      </c>
      <c r="CB76" s="207">
        <f>1.6</f>
        <v>1.6</v>
      </c>
      <c r="CC76" s="207">
        <f>1.6</f>
        <v>1.6</v>
      </c>
      <c r="CD76" s="207">
        <f>1.6</f>
        <v>1.6</v>
      </c>
      <c r="CE76" s="207">
        <f>1.6</f>
        <v>1.6</v>
      </c>
      <c r="CF76" s="20" t="inlineStr">
        <is>
          <t>CLH bolt-ons at ~9–12x Adj. EBITDA post-synergy on ~15–20% margins → ~1.6x revenues.</t>
        </is>
      </c>
    </row>
    <row r="77" hidden="1" outlineLevel="2" ht="15" customHeight="1">
      <c r="B77" s="26" t="inlineStr">
        <is>
          <t xml:space="preserve">  Annualised revenues acquired in the year</t>
        </is>
      </c>
      <c r="C77" s="184" t="n"/>
      <c r="D77" s="184" t="n"/>
      <c r="E77" s="184" t="n"/>
      <c r="F77" s="184" t="n"/>
      <c r="G77" s="184" t="n"/>
      <c r="H77" s="184" t="n"/>
      <c r="I77" s="184" t="n"/>
      <c r="J77" s="184" t="n"/>
      <c r="K77" s="184" t="n"/>
      <c r="L77" s="184" t="n"/>
      <c r="M77" s="184" t="n"/>
      <c r="N77" s="184" t="n"/>
      <c r="O77" s="184" t="n"/>
      <c r="P77" s="184" t="n"/>
      <c r="Q77" s="184" t="n"/>
      <c r="R77" s="184" t="n"/>
      <c r="S77" s="184" t="n"/>
      <c r="T77" s="184" t="n"/>
      <c r="U77" s="184" t="n"/>
      <c r="V77" s="184" t="n"/>
      <c r="W77" s="184" t="n"/>
      <c r="X77" s="184" t="n"/>
      <c r="Y77" s="184" t="n"/>
      <c r="Z77" s="184" t="n"/>
      <c r="AA77" s="184" t="n"/>
      <c r="AB77" s="184" t="n"/>
      <c r="AC77" s="184" t="n"/>
      <c r="AD77" s="184" t="n"/>
      <c r="AE77" s="184" t="n"/>
      <c r="AF77" s="184" t="n"/>
      <c r="AG77" s="184" t="n"/>
      <c r="AH77" s="184" t="n"/>
      <c r="AI77" s="184" t="n"/>
      <c r="AJ77" s="184" t="n"/>
      <c r="AK77" s="184" t="n"/>
      <c r="AL77" s="184" t="n"/>
      <c r="AM77" s="184" t="n"/>
      <c r="AN77" s="184" t="n"/>
      <c r="AO77" s="184" t="n"/>
      <c r="AP77" s="184" t="n"/>
      <c r="AQ77" s="184" t="n"/>
      <c r="AR77" s="184" t="n"/>
      <c r="AS77" s="184" t="n"/>
      <c r="AT77" s="184" t="n"/>
      <c r="AU77" s="184" t="n"/>
      <c r="AV77" s="184" t="n"/>
      <c r="AW77" s="184" t="n"/>
      <c r="AX77" s="184" t="n"/>
      <c r="AY77" s="184" t="n"/>
      <c r="AZ77" s="184" t="n"/>
      <c r="BA77" s="184" t="n"/>
      <c r="BB77" s="184" t="n"/>
      <c r="BC77" s="184" t="n"/>
      <c r="BD77" s="184" t="n"/>
      <c r="BE77" s="184" t="n"/>
      <c r="BF77" s="184" t="n"/>
      <c r="BG77" s="184" t="n"/>
      <c r="BH77" s="184" t="n"/>
      <c r="BI77" s="184" t="n"/>
      <c r="BJ77" s="184" t="n"/>
      <c r="BK77" s="184" t="n"/>
      <c r="BL77" s="184" t="n"/>
      <c r="BM77" s="184" t="n"/>
      <c r="BN77" s="184" t="n"/>
      <c r="BO77" s="184" t="n"/>
      <c r="BP77" s="184" t="n"/>
      <c r="BQ77" s="184" t="n"/>
      <c r="BR77" s="184" t="n"/>
      <c r="BS77" s="184" t="n"/>
      <c r="BT77" s="184" t="n"/>
      <c r="BU77" s="184" t="n"/>
      <c r="BV77" s="184" t="n"/>
      <c r="BW77" s="184" t="n"/>
      <c r="BX77" s="184" t="n"/>
      <c r="BY77" s="168" t="n"/>
      <c r="BZ77" s="168" t="n"/>
      <c r="CA77" s="201" t="n">
        <v>0</v>
      </c>
      <c r="CB77" s="186">
        <f>IFERROR(CB75/CB76,0)</f>
        <v>187.5</v>
      </c>
      <c r="CC77" s="186">
        <f>IFERROR(CC75/CC76,0)</f>
        <v>187.5</v>
      </c>
      <c r="CD77" s="186">
        <f>IFERROR(CD75/CD76,0)</f>
        <v>187.5</v>
      </c>
      <c r="CE77" s="186">
        <f>IFERROR(CE75/CE76,0)</f>
        <v>187.5</v>
      </c>
      <c r="CF77" s="20" t="n"/>
    </row>
    <row r="78" hidden="1" outlineLevel="2" ht="15" customHeight="1">
      <c r="B78" s="26" t="inlineStr">
        <is>
          <t xml:space="preserve">  Growth of acquired businesses after acquisition %</t>
        </is>
      </c>
      <c r="C78" s="181" t="n"/>
      <c r="D78" s="181" t="n"/>
      <c r="E78" s="181" t="n"/>
      <c r="F78" s="181" t="n"/>
      <c r="G78" s="181" t="n"/>
      <c r="H78" s="181" t="n"/>
      <c r="I78" s="181" t="n"/>
      <c r="J78" s="181" t="n"/>
      <c r="K78" s="181" t="n"/>
      <c r="L78" s="181" t="n"/>
      <c r="M78" s="181" t="n"/>
      <c r="N78" s="181" t="n"/>
      <c r="O78" s="181" t="n"/>
      <c r="P78" s="181" t="n"/>
      <c r="Q78" s="181" t="n"/>
      <c r="R78" s="181" t="n"/>
      <c r="S78" s="181" t="n"/>
      <c r="T78" s="181" t="n"/>
      <c r="U78" s="181" t="n"/>
      <c r="V78" s="181" t="n"/>
      <c r="W78" s="181" t="n"/>
      <c r="X78" s="181" t="n"/>
      <c r="Y78" s="181" t="n"/>
      <c r="Z78" s="181" t="n"/>
      <c r="AA78" s="181" t="n"/>
      <c r="AB78" s="181" t="n"/>
      <c r="AC78" s="181" t="n"/>
      <c r="AD78" s="181" t="n"/>
      <c r="AE78" s="181" t="n"/>
      <c r="AF78" s="181" t="n"/>
      <c r="AG78" s="181" t="n"/>
      <c r="AH78" s="181" t="n"/>
      <c r="AI78" s="181" t="n"/>
      <c r="AJ78" s="181" t="n"/>
      <c r="AK78" s="181" t="n"/>
      <c r="AL78" s="181" t="n"/>
      <c r="AM78" s="181" t="n"/>
      <c r="AN78" s="181" t="n"/>
      <c r="AO78" s="181" t="n"/>
      <c r="AP78" s="181" t="n"/>
      <c r="AQ78" s="181" t="n"/>
      <c r="AR78" s="181" t="n"/>
      <c r="AS78" s="181" t="n"/>
      <c r="AT78" s="181" t="n"/>
      <c r="AU78" s="181" t="n"/>
      <c r="AV78" s="181" t="n"/>
      <c r="AW78" s="181" t="n"/>
      <c r="AX78" s="181" t="n"/>
      <c r="AY78" s="181" t="n"/>
      <c r="AZ78" s="181" t="n"/>
      <c r="BA78" s="181" t="n"/>
      <c r="BB78" s="181" t="n"/>
      <c r="BC78" s="181" t="n"/>
      <c r="BD78" s="181" t="n"/>
      <c r="BE78" s="181" t="n"/>
      <c r="BF78" s="181" t="n"/>
      <c r="BG78" s="181" t="n"/>
      <c r="BH78" s="181" t="n"/>
      <c r="BI78" s="181" t="n"/>
      <c r="BJ78" s="181" t="n"/>
      <c r="BK78" s="181" t="n"/>
      <c r="BL78" s="181" t="n"/>
      <c r="BM78" s="181" t="n"/>
      <c r="BN78" s="181" t="n"/>
      <c r="BO78" s="181" t="n"/>
      <c r="BP78" s="181" t="n"/>
      <c r="BQ78" s="181" t="n"/>
      <c r="BR78" s="181" t="n"/>
      <c r="BS78" s="181" t="n"/>
      <c r="BT78" s="181" t="n"/>
      <c r="BU78" s="181" t="n"/>
      <c r="BV78" s="181" t="n"/>
      <c r="BW78" s="181" t="n"/>
      <c r="BX78" s="181" t="n"/>
      <c r="BY78" s="169" t="n"/>
      <c r="BZ78" s="169" t="n"/>
      <c r="CA78" s="182" t="n">
        <v>0</v>
      </c>
      <c r="CB78" s="179">
        <f>0.05</f>
        <v>0.05</v>
      </c>
      <c r="CC78" s="179">
        <f>0.05</f>
        <v>0.05</v>
      </c>
      <c r="CD78" s="179">
        <f>0.05</f>
        <v>0.05</v>
      </c>
      <c r="CE78" s="179">
        <f>0.05</f>
        <v>0.05</v>
      </c>
      <c r="CF78" s="20" t="n"/>
    </row>
    <row r="79" hidden="1" outlineLevel="2" ht="15" customHeight="1">
      <c r="B79" s="26" t="inlineStr">
        <is>
          <t xml:space="preserve">  Run-rate revenues of businesses acquired (year end)</t>
        </is>
      </c>
      <c r="C79" s="184" t="n"/>
      <c r="D79" s="184" t="n"/>
      <c r="E79" s="184" t="n"/>
      <c r="F79" s="184" t="n"/>
      <c r="G79" s="184" t="n"/>
      <c r="H79" s="184" t="n"/>
      <c r="I79" s="184" t="n"/>
      <c r="J79" s="184" t="n"/>
      <c r="K79" s="184" t="n"/>
      <c r="L79" s="184" t="n"/>
      <c r="M79" s="184" t="n"/>
      <c r="N79" s="184" t="n"/>
      <c r="O79" s="184" t="n"/>
      <c r="P79" s="184" t="n"/>
      <c r="Q79" s="184" t="n"/>
      <c r="R79" s="184" t="n"/>
      <c r="S79" s="184" t="n"/>
      <c r="T79" s="184" t="n"/>
      <c r="U79" s="184" t="n"/>
      <c r="V79" s="184" t="n"/>
      <c r="W79" s="184" t="n"/>
      <c r="X79" s="184" t="n"/>
      <c r="Y79" s="184" t="n"/>
      <c r="Z79" s="184" t="n"/>
      <c r="AA79" s="184" t="n"/>
      <c r="AB79" s="184" t="n"/>
      <c r="AC79" s="184" t="n"/>
      <c r="AD79" s="184" t="n"/>
      <c r="AE79" s="184" t="n"/>
      <c r="AF79" s="184" t="n"/>
      <c r="AG79" s="184" t="n"/>
      <c r="AH79" s="184" t="n"/>
      <c r="AI79" s="184" t="n"/>
      <c r="AJ79" s="184" t="n"/>
      <c r="AK79" s="184" t="n"/>
      <c r="AL79" s="184" t="n"/>
      <c r="AM79" s="184" t="n"/>
      <c r="AN79" s="184" t="n"/>
      <c r="AO79" s="184" t="n"/>
      <c r="AP79" s="184" t="n"/>
      <c r="AQ79" s="184" t="n"/>
      <c r="AR79" s="184" t="n"/>
      <c r="AS79" s="184" t="n"/>
      <c r="AT79" s="184" t="n"/>
      <c r="AU79" s="184" t="n"/>
      <c r="AV79" s="184" t="n"/>
      <c r="AW79" s="184" t="n"/>
      <c r="AX79" s="184" t="n"/>
      <c r="AY79" s="184" t="n"/>
      <c r="AZ79" s="184" t="n"/>
      <c r="BA79" s="184" t="n"/>
      <c r="BB79" s="184" t="n"/>
      <c r="BC79" s="184" t="n"/>
      <c r="BD79" s="184" t="n"/>
      <c r="BE79" s="184" t="n"/>
      <c r="BF79" s="184" t="n"/>
      <c r="BG79" s="184" t="n"/>
      <c r="BH79" s="184" t="n"/>
      <c r="BI79" s="184" t="n"/>
      <c r="BJ79" s="184" t="n"/>
      <c r="BK79" s="184" t="n"/>
      <c r="BL79" s="184" t="n"/>
      <c r="BM79" s="184" t="n"/>
      <c r="BN79" s="184" t="n"/>
      <c r="BO79" s="184" t="n"/>
      <c r="BP79" s="184" t="n"/>
      <c r="BQ79" s="184" t="n"/>
      <c r="BR79" s="184" t="n"/>
      <c r="BS79" s="184" t="n"/>
      <c r="BT79" s="184" t="n"/>
      <c r="BU79" s="184" t="n"/>
      <c r="BV79" s="184" t="n"/>
      <c r="BW79" s="184" t="n"/>
      <c r="BX79" s="184" t="n"/>
      <c r="BY79" s="168" t="n"/>
      <c r="BZ79" s="168" t="n"/>
      <c r="CA79" s="201" t="n">
        <v>0</v>
      </c>
      <c r="CB79" s="186">
        <f>CA79*(1+CB78)+CB77</f>
        <v>187.5</v>
      </c>
      <c r="CC79" s="186">
        <f>CB79*(1+CC78)+CC77</f>
        <v>384.375</v>
      </c>
      <c r="CD79" s="186">
        <f>CC79*(1+CD78)+CD77</f>
        <v>591.09375</v>
      </c>
      <c r="CE79" s="186">
        <f>CD79*(1+CE78)+CE77</f>
        <v>808.1484375</v>
      </c>
      <c r="CF79" s="20" t="n"/>
    </row>
    <row r="80" hidden="1" outlineLevel="1" collapsed="1" ht="15" customHeight="1">
      <c r="B80" s="17" t="inlineStr">
        <is>
          <t xml:space="preserve">  Revenues from future acquisitions</t>
        </is>
      </c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3" t="n"/>
      <c r="P80" s="33" t="n"/>
      <c r="Q80" s="33" t="n"/>
      <c r="R80" s="33" t="n"/>
      <c r="S80" s="33" t="n"/>
      <c r="T80" s="33" t="n"/>
      <c r="U80" s="33" t="n"/>
      <c r="V80" s="33" t="n"/>
      <c r="W80" s="33" t="n"/>
      <c r="X80" s="33" t="n"/>
      <c r="Y80" s="33" t="n"/>
      <c r="Z80" s="33" t="n"/>
      <c r="AA80" s="33" t="n"/>
      <c r="AB80" s="33" t="n"/>
      <c r="AC80" s="33" t="n"/>
      <c r="AD80" s="33" t="n"/>
      <c r="AE80" s="33" t="n"/>
      <c r="AF80" s="33" t="n"/>
      <c r="AG80" s="33" t="n"/>
      <c r="AH80" s="33" t="n"/>
      <c r="AI80" s="33" t="n"/>
      <c r="AJ80" s="33" t="n"/>
      <c r="AK80" s="33" t="n"/>
      <c r="AL80" s="33" t="n"/>
      <c r="AM80" s="33" t="n"/>
      <c r="AN80" s="33" t="n"/>
      <c r="AO80" s="33" t="n"/>
      <c r="AP80" s="33" t="n"/>
      <c r="AQ80" s="33" t="n"/>
      <c r="AR80" s="33" t="n"/>
      <c r="AS80" s="33" t="n"/>
      <c r="AT80" s="33" t="n"/>
      <c r="AU80" s="33" t="n"/>
      <c r="AV80" s="33" t="n"/>
      <c r="AW80" s="33" t="n"/>
      <c r="AX80" s="33" t="n"/>
      <c r="AY80" s="33" t="n"/>
      <c r="AZ80" s="33" t="n"/>
      <c r="BA80" s="33" t="n"/>
      <c r="BB80" s="33" t="n"/>
      <c r="BC80" s="33" t="n"/>
      <c r="BD80" s="33" t="n"/>
      <c r="BE80" s="33" t="n"/>
      <c r="BF80" s="33" t="n"/>
      <c r="BG80" s="33" t="n"/>
      <c r="BH80" s="33" t="n"/>
      <c r="BI80" s="33" t="n"/>
      <c r="BJ80" s="33" t="n"/>
      <c r="BK80" s="33" t="n"/>
      <c r="BL80" s="33" t="n"/>
      <c r="BM80" s="33" t="n"/>
      <c r="BN80" s="33" t="n"/>
      <c r="BO80" s="33" t="n"/>
      <c r="BP80" s="33" t="n"/>
      <c r="BQ80" s="33" t="n"/>
      <c r="BR80" s="33" t="n"/>
      <c r="BS80" s="33" t="n"/>
      <c r="BT80" s="33" t="n"/>
      <c r="BU80" s="33" t="n"/>
      <c r="BV80" s="33" t="n"/>
      <c r="BW80" s="33" t="n"/>
      <c r="BX80" s="33" t="n"/>
      <c r="BY80" s="34" t="n"/>
      <c r="BZ80" s="34" t="n"/>
      <c r="CA80" s="208" t="n">
        <v>0</v>
      </c>
      <c r="CB80" s="176">
        <f>CA79*(1+CB78)+0.5*CB77</f>
        <v>93.75</v>
      </c>
      <c r="CC80" s="176">
        <f>CB79*(1+CC78)+0.5*CC77</f>
        <v>290.625</v>
      </c>
      <c r="CD80" s="176">
        <f>CC79*(1+CD78)+0.5*CD77</f>
        <v>497.34375</v>
      </c>
      <c r="CE80" s="176">
        <f>CD79*(1+CE78)+0.5*CE77</f>
        <v>714.3984375</v>
      </c>
      <c r="CF80" s="177" t="inlineStr">
        <is>
          <t>Mid-year convention: half a year of revenues in the year of acquisition.</t>
        </is>
      </c>
    </row>
    <row r="81" hidden="1" outlineLevel="1" ht="15" customHeight="1">
      <c r="B81" s="26" t="inlineStr">
        <is>
          <t xml:space="preserve">  Adjusted EBITDA margin of acquired businesses % (incl. synergies)</t>
        </is>
      </c>
      <c r="C81" s="181" t="n"/>
      <c r="D81" s="181" t="n"/>
      <c r="E81" s="181" t="n"/>
      <c r="F81" s="181" t="n"/>
      <c r="G81" s="181" t="n"/>
      <c r="H81" s="181" t="n"/>
      <c r="I81" s="181" t="n"/>
      <c r="J81" s="181" t="n"/>
      <c r="K81" s="181" t="n"/>
      <c r="L81" s="181" t="n"/>
      <c r="M81" s="181" t="n"/>
      <c r="N81" s="181" t="n"/>
      <c r="O81" s="181" t="n"/>
      <c r="P81" s="181" t="n"/>
      <c r="Q81" s="181" t="n"/>
      <c r="R81" s="181" t="n"/>
      <c r="S81" s="181" t="n"/>
      <c r="T81" s="181" t="n"/>
      <c r="U81" s="181" t="n"/>
      <c r="V81" s="181" t="n"/>
      <c r="W81" s="181" t="n"/>
      <c r="X81" s="181" t="n"/>
      <c r="Y81" s="181" t="n"/>
      <c r="Z81" s="181" t="n"/>
      <c r="AA81" s="181" t="n"/>
      <c r="AB81" s="181" t="n"/>
      <c r="AC81" s="181" t="n"/>
      <c r="AD81" s="181" t="n"/>
      <c r="AE81" s="181" t="n"/>
      <c r="AF81" s="181" t="n"/>
      <c r="AG81" s="181" t="n"/>
      <c r="AH81" s="181" t="n"/>
      <c r="AI81" s="181" t="n"/>
      <c r="AJ81" s="181" t="n"/>
      <c r="AK81" s="181" t="n"/>
      <c r="AL81" s="181" t="n"/>
      <c r="AM81" s="181" t="n"/>
      <c r="AN81" s="181" t="n"/>
      <c r="AO81" s="181" t="n"/>
      <c r="AP81" s="181" t="n"/>
      <c r="AQ81" s="181" t="n"/>
      <c r="AR81" s="181" t="n"/>
      <c r="AS81" s="181" t="n"/>
      <c r="AT81" s="181" t="n"/>
      <c r="AU81" s="181" t="n"/>
      <c r="AV81" s="181" t="n"/>
      <c r="AW81" s="181" t="n"/>
      <c r="AX81" s="181" t="n"/>
      <c r="AY81" s="181" t="n"/>
      <c r="AZ81" s="181" t="n"/>
      <c r="BA81" s="181" t="n"/>
      <c r="BB81" s="181" t="n"/>
      <c r="BC81" s="181" t="n"/>
      <c r="BD81" s="181" t="n"/>
      <c r="BE81" s="181" t="n"/>
      <c r="BF81" s="181" t="n"/>
      <c r="BG81" s="181" t="n"/>
      <c r="BH81" s="181" t="n"/>
      <c r="BI81" s="181" t="n"/>
      <c r="BJ81" s="181" t="n"/>
      <c r="BK81" s="181" t="n"/>
      <c r="BL81" s="181" t="n"/>
      <c r="BM81" s="181" t="n"/>
      <c r="BN81" s="181" t="n"/>
      <c r="BO81" s="181" t="n"/>
      <c r="BP81" s="181" t="n"/>
      <c r="BQ81" s="181" t="n"/>
      <c r="BR81" s="181" t="n"/>
      <c r="BS81" s="181" t="n"/>
      <c r="BT81" s="181" t="n"/>
      <c r="BU81" s="181" t="n"/>
      <c r="BV81" s="181" t="n"/>
      <c r="BW81" s="181" t="n"/>
      <c r="BX81" s="181" t="n"/>
      <c r="BY81" s="169" t="n"/>
      <c r="BZ81" s="169" t="n"/>
      <c r="CA81" s="182" t="n">
        <v>0</v>
      </c>
      <c r="CB81" s="179">
        <f>0.19</f>
        <v>0.19</v>
      </c>
      <c r="CC81" s="179">
        <f>0.19</f>
        <v>0.19</v>
      </c>
      <c r="CD81" s="179">
        <f>0.19</f>
        <v>0.19</v>
      </c>
      <c r="CE81" s="179">
        <f>0.19</f>
        <v>0.19</v>
      </c>
      <c r="CF81" s="20" t="n"/>
    </row>
    <row r="82" hidden="1" outlineLevel="2" ht="15" customHeight="1">
      <c r="B82" s="26" t="inlineStr">
        <is>
          <t xml:space="preserve">  Adjusted EBITDA from future acquisitions</t>
        </is>
      </c>
      <c r="C82" s="184" t="n"/>
      <c r="D82" s="184" t="n"/>
      <c r="E82" s="184" t="n"/>
      <c r="F82" s="184" t="n"/>
      <c r="G82" s="184" t="n"/>
      <c r="H82" s="184" t="n"/>
      <c r="I82" s="184" t="n"/>
      <c r="J82" s="184" t="n"/>
      <c r="K82" s="184" t="n"/>
      <c r="L82" s="184" t="n"/>
      <c r="M82" s="184" t="n"/>
      <c r="N82" s="184" t="n"/>
      <c r="O82" s="184" t="n"/>
      <c r="P82" s="184" t="n"/>
      <c r="Q82" s="184" t="n"/>
      <c r="R82" s="184" t="n"/>
      <c r="S82" s="184" t="n"/>
      <c r="T82" s="184" t="n"/>
      <c r="U82" s="184" t="n"/>
      <c r="V82" s="184" t="n"/>
      <c r="W82" s="184" t="n"/>
      <c r="X82" s="184" t="n"/>
      <c r="Y82" s="184" t="n"/>
      <c r="Z82" s="184" t="n"/>
      <c r="AA82" s="184" t="n"/>
      <c r="AB82" s="184" t="n"/>
      <c r="AC82" s="184" t="n"/>
      <c r="AD82" s="184" t="n"/>
      <c r="AE82" s="184" t="n"/>
      <c r="AF82" s="184" t="n"/>
      <c r="AG82" s="184" t="n"/>
      <c r="AH82" s="184" t="n"/>
      <c r="AI82" s="184" t="n"/>
      <c r="AJ82" s="184" t="n"/>
      <c r="AK82" s="184" t="n"/>
      <c r="AL82" s="184" t="n"/>
      <c r="AM82" s="184" t="n"/>
      <c r="AN82" s="184" t="n"/>
      <c r="AO82" s="184" t="n"/>
      <c r="AP82" s="184" t="n"/>
      <c r="AQ82" s="184" t="n"/>
      <c r="AR82" s="184" t="n"/>
      <c r="AS82" s="184" t="n"/>
      <c r="AT82" s="184" t="n"/>
      <c r="AU82" s="184" t="n"/>
      <c r="AV82" s="184" t="n"/>
      <c r="AW82" s="184" t="n"/>
      <c r="AX82" s="184" t="n"/>
      <c r="AY82" s="184" t="n"/>
      <c r="AZ82" s="184" t="n"/>
      <c r="BA82" s="184" t="n"/>
      <c r="BB82" s="184" t="n"/>
      <c r="BC82" s="184" t="n"/>
      <c r="BD82" s="184" t="n"/>
      <c r="BE82" s="184" t="n"/>
      <c r="BF82" s="184" t="n"/>
      <c r="BG82" s="184" t="n"/>
      <c r="BH82" s="184" t="n"/>
      <c r="BI82" s="184" t="n"/>
      <c r="BJ82" s="184" t="n"/>
      <c r="BK82" s="184" t="n"/>
      <c r="BL82" s="184" t="n"/>
      <c r="BM82" s="184" t="n"/>
      <c r="BN82" s="184" t="n"/>
      <c r="BO82" s="184" t="n"/>
      <c r="BP82" s="184" t="n"/>
      <c r="BQ82" s="184" t="n"/>
      <c r="BR82" s="184" t="n"/>
      <c r="BS82" s="184" t="n"/>
      <c r="BT82" s="184" t="n"/>
      <c r="BU82" s="184" t="n"/>
      <c r="BV82" s="184" t="n"/>
      <c r="BW82" s="184" t="n"/>
      <c r="BX82" s="184" t="n"/>
      <c r="BY82" s="168" t="n"/>
      <c r="BZ82" s="168" t="n"/>
      <c r="CA82" s="201" t="n">
        <v>0</v>
      </c>
      <c r="CB82" s="186">
        <f>CB80*CB81</f>
        <v>17.8125</v>
      </c>
      <c r="CC82" s="186">
        <f>CC80*CC81</f>
        <v>55.21875</v>
      </c>
      <c r="CD82" s="186">
        <f>CD80*CD81</f>
        <v>94.4953125</v>
      </c>
      <c r="CE82" s="186">
        <f>CE80*CE81</f>
        <v>135.735703125</v>
      </c>
      <c r="CF82" s="20" t="n"/>
    </row>
    <row r="83" hidden="1" outlineLevel="2" ht="15" customHeight="1">
      <c r="B83" s="26" t="inlineStr">
        <is>
          <t xml:space="preserve">  D&amp;A of acquired businesses % of revenues (incl. step-ups)</t>
        </is>
      </c>
      <c r="C83" s="181" t="n"/>
      <c r="D83" s="181" t="n"/>
      <c r="E83" s="181" t="n"/>
      <c r="F83" s="181" t="n"/>
      <c r="G83" s="181" t="n"/>
      <c r="H83" s="181" t="n"/>
      <c r="I83" s="181" t="n"/>
      <c r="J83" s="181" t="n"/>
      <c r="K83" s="181" t="n"/>
      <c r="L83" s="181" t="n"/>
      <c r="M83" s="181" t="n"/>
      <c r="N83" s="181" t="n"/>
      <c r="O83" s="181" t="n"/>
      <c r="P83" s="181" t="n"/>
      <c r="Q83" s="181" t="n"/>
      <c r="R83" s="181" t="n"/>
      <c r="S83" s="181" t="n"/>
      <c r="T83" s="181" t="n"/>
      <c r="U83" s="181" t="n"/>
      <c r="V83" s="181" t="n"/>
      <c r="W83" s="181" t="n"/>
      <c r="X83" s="181" t="n"/>
      <c r="Y83" s="181" t="n"/>
      <c r="Z83" s="181" t="n"/>
      <c r="AA83" s="181" t="n"/>
      <c r="AB83" s="181" t="n"/>
      <c r="AC83" s="181" t="n"/>
      <c r="AD83" s="181" t="n"/>
      <c r="AE83" s="181" t="n"/>
      <c r="AF83" s="181" t="n"/>
      <c r="AG83" s="181" t="n"/>
      <c r="AH83" s="181" t="n"/>
      <c r="AI83" s="181" t="n"/>
      <c r="AJ83" s="181" t="n"/>
      <c r="AK83" s="181" t="n"/>
      <c r="AL83" s="181" t="n"/>
      <c r="AM83" s="181" t="n"/>
      <c r="AN83" s="181" t="n"/>
      <c r="AO83" s="181" t="n"/>
      <c r="AP83" s="181" t="n"/>
      <c r="AQ83" s="181" t="n"/>
      <c r="AR83" s="181" t="n"/>
      <c r="AS83" s="181" t="n"/>
      <c r="AT83" s="181" t="n"/>
      <c r="AU83" s="181" t="n"/>
      <c r="AV83" s="181" t="n"/>
      <c r="AW83" s="181" t="n"/>
      <c r="AX83" s="181" t="n"/>
      <c r="AY83" s="181" t="n"/>
      <c r="AZ83" s="181" t="n"/>
      <c r="BA83" s="181" t="n"/>
      <c r="BB83" s="181" t="n"/>
      <c r="BC83" s="181" t="n"/>
      <c r="BD83" s="181" t="n"/>
      <c r="BE83" s="181" t="n"/>
      <c r="BF83" s="181" t="n"/>
      <c r="BG83" s="181" t="n"/>
      <c r="BH83" s="181" t="n"/>
      <c r="BI83" s="181" t="n"/>
      <c r="BJ83" s="181" t="n"/>
      <c r="BK83" s="181" t="n"/>
      <c r="BL83" s="181" t="n"/>
      <c r="BM83" s="181" t="n"/>
      <c r="BN83" s="181" t="n"/>
      <c r="BO83" s="181" t="n"/>
      <c r="BP83" s="181" t="n"/>
      <c r="BQ83" s="181" t="n"/>
      <c r="BR83" s="181" t="n"/>
      <c r="BS83" s="181" t="n"/>
      <c r="BT83" s="181" t="n"/>
      <c r="BU83" s="181" t="n"/>
      <c r="BV83" s="181" t="n"/>
      <c r="BW83" s="181" t="n"/>
      <c r="BX83" s="181" t="n"/>
      <c r="BY83" s="169" t="n"/>
      <c r="BZ83" s="169" t="n"/>
      <c r="CA83" s="182" t="n">
        <v>0</v>
      </c>
      <c r="CB83" s="179">
        <f>0.09</f>
        <v>0.09</v>
      </c>
      <c r="CC83" s="179">
        <f>0.09</f>
        <v>0.09</v>
      </c>
      <c r="CD83" s="179">
        <f>0.09</f>
        <v>0.09</v>
      </c>
      <c r="CE83" s="179">
        <f>0.09</f>
        <v>0.09</v>
      </c>
      <c r="CF83" s="20" t="n"/>
    </row>
    <row r="84" hidden="1" outlineLevel="2" ht="15" customHeight="1">
      <c r="B84" s="26" t="inlineStr">
        <is>
          <t xml:space="preserve">  D&amp;A from future acquisitions</t>
        </is>
      </c>
      <c r="C84" s="184" t="n"/>
      <c r="D84" s="184" t="n"/>
      <c r="E84" s="184" t="n"/>
      <c r="F84" s="184" t="n"/>
      <c r="G84" s="184" t="n"/>
      <c r="H84" s="184" t="n"/>
      <c r="I84" s="184" t="n"/>
      <c r="J84" s="184" t="n"/>
      <c r="K84" s="184" t="n"/>
      <c r="L84" s="184" t="n"/>
      <c r="M84" s="184" t="n"/>
      <c r="N84" s="184" t="n"/>
      <c r="O84" s="184" t="n"/>
      <c r="P84" s="184" t="n"/>
      <c r="Q84" s="184" t="n"/>
      <c r="R84" s="184" t="n"/>
      <c r="S84" s="184" t="n"/>
      <c r="T84" s="184" t="n"/>
      <c r="U84" s="184" t="n"/>
      <c r="V84" s="184" t="n"/>
      <c r="W84" s="184" t="n"/>
      <c r="X84" s="184" t="n"/>
      <c r="Y84" s="184" t="n"/>
      <c r="Z84" s="184" t="n"/>
      <c r="AA84" s="184" t="n"/>
      <c r="AB84" s="184" t="n"/>
      <c r="AC84" s="184" t="n"/>
      <c r="AD84" s="184" t="n"/>
      <c r="AE84" s="184" t="n"/>
      <c r="AF84" s="184" t="n"/>
      <c r="AG84" s="184" t="n"/>
      <c r="AH84" s="184" t="n"/>
      <c r="AI84" s="184" t="n"/>
      <c r="AJ84" s="184" t="n"/>
      <c r="AK84" s="184" t="n"/>
      <c r="AL84" s="184" t="n"/>
      <c r="AM84" s="184" t="n"/>
      <c r="AN84" s="184" t="n"/>
      <c r="AO84" s="184" t="n"/>
      <c r="AP84" s="184" t="n"/>
      <c r="AQ84" s="184" t="n"/>
      <c r="AR84" s="184" t="n"/>
      <c r="AS84" s="184" t="n"/>
      <c r="AT84" s="184" t="n"/>
      <c r="AU84" s="184" t="n"/>
      <c r="AV84" s="184" t="n"/>
      <c r="AW84" s="184" t="n"/>
      <c r="AX84" s="184" t="n"/>
      <c r="AY84" s="184" t="n"/>
      <c r="AZ84" s="184" t="n"/>
      <c r="BA84" s="184" t="n"/>
      <c r="BB84" s="184" t="n"/>
      <c r="BC84" s="184" t="n"/>
      <c r="BD84" s="184" t="n"/>
      <c r="BE84" s="184" t="n"/>
      <c r="BF84" s="184" t="n"/>
      <c r="BG84" s="184" t="n"/>
      <c r="BH84" s="184" t="n"/>
      <c r="BI84" s="184" t="n"/>
      <c r="BJ84" s="184" t="n"/>
      <c r="BK84" s="184" t="n"/>
      <c r="BL84" s="184" t="n"/>
      <c r="BM84" s="184" t="n"/>
      <c r="BN84" s="184" t="n"/>
      <c r="BO84" s="184" t="n"/>
      <c r="BP84" s="184" t="n"/>
      <c r="BQ84" s="184" t="n"/>
      <c r="BR84" s="184" t="n"/>
      <c r="BS84" s="184" t="n"/>
      <c r="BT84" s="184" t="n"/>
      <c r="BU84" s="184" t="n"/>
      <c r="BV84" s="184" t="n"/>
      <c r="BW84" s="184" t="n"/>
      <c r="BX84" s="184" t="n"/>
      <c r="BY84" s="168" t="n"/>
      <c r="BZ84" s="168" t="n"/>
      <c r="CA84" s="201" t="n">
        <v>0</v>
      </c>
      <c r="CB84" s="186">
        <f>CB80*CB83</f>
        <v>8.4375</v>
      </c>
      <c r="CC84" s="186">
        <f>CC80*CC83</f>
        <v>26.15625</v>
      </c>
      <c r="CD84" s="186">
        <f>CD80*CD83</f>
        <v>44.7609375</v>
      </c>
      <c r="CE84" s="186">
        <f>CE80*CE83</f>
        <v>64.295859375</v>
      </c>
      <c r="CF84" s="20" t="n"/>
    </row>
    <row r="85" hidden="1" outlineLevel="2" ht="15" customHeight="1">
      <c r="B85" s="26" t="inlineStr">
        <is>
          <t xml:space="preserve">  PP&amp;E % of spend</t>
        </is>
      </c>
      <c r="C85" s="181" t="n"/>
      <c r="D85" s="181" t="n"/>
      <c r="E85" s="181" t="n"/>
      <c r="F85" s="181" t="n"/>
      <c r="G85" s="181" t="n"/>
      <c r="H85" s="181" t="n"/>
      <c r="I85" s="181" t="n"/>
      <c r="J85" s="181" t="n"/>
      <c r="K85" s="181" t="n"/>
      <c r="L85" s="181" t="n"/>
      <c r="M85" s="181" t="n"/>
      <c r="N85" s="181" t="n"/>
      <c r="O85" s="181" t="n"/>
      <c r="P85" s="181" t="n"/>
      <c r="Q85" s="181" t="n"/>
      <c r="R85" s="181" t="n"/>
      <c r="S85" s="181" t="n"/>
      <c r="T85" s="181" t="n"/>
      <c r="U85" s="181" t="n"/>
      <c r="V85" s="181" t="n"/>
      <c r="W85" s="181" t="n"/>
      <c r="X85" s="181" t="n"/>
      <c r="Y85" s="181" t="n"/>
      <c r="Z85" s="181" t="n"/>
      <c r="AA85" s="181" t="n"/>
      <c r="AB85" s="181" t="n"/>
      <c r="AC85" s="181" t="n"/>
      <c r="AD85" s="181" t="n"/>
      <c r="AE85" s="181" t="n"/>
      <c r="AF85" s="181" t="n"/>
      <c r="AG85" s="181" t="n"/>
      <c r="AH85" s="181" t="n"/>
      <c r="AI85" s="181" t="n"/>
      <c r="AJ85" s="181" t="n"/>
      <c r="AK85" s="181" t="n"/>
      <c r="AL85" s="181" t="n"/>
      <c r="AM85" s="181" t="n"/>
      <c r="AN85" s="181" t="n"/>
      <c r="AO85" s="181" t="n"/>
      <c r="AP85" s="181" t="n"/>
      <c r="AQ85" s="181" t="n"/>
      <c r="AR85" s="181" t="n"/>
      <c r="AS85" s="181" t="n"/>
      <c r="AT85" s="181" t="n"/>
      <c r="AU85" s="181" t="n"/>
      <c r="AV85" s="181" t="n"/>
      <c r="AW85" s="181" t="n"/>
      <c r="AX85" s="181" t="n"/>
      <c r="AY85" s="181" t="n"/>
      <c r="AZ85" s="181" t="n"/>
      <c r="BA85" s="181" t="n"/>
      <c r="BB85" s="181" t="n"/>
      <c r="BC85" s="181" t="n"/>
      <c r="BD85" s="181" t="n"/>
      <c r="BE85" s="181" t="n"/>
      <c r="BF85" s="181" t="n"/>
      <c r="BG85" s="181" t="n"/>
      <c r="BH85" s="181" t="n"/>
      <c r="BI85" s="181" t="n"/>
      <c r="BJ85" s="181" t="n"/>
      <c r="BK85" s="181" t="n"/>
      <c r="BL85" s="181" t="n"/>
      <c r="BM85" s="181" t="n"/>
      <c r="BN85" s="181" t="n"/>
      <c r="BO85" s="181" t="n"/>
      <c r="BP85" s="181" t="n"/>
      <c r="BQ85" s="181" t="n"/>
      <c r="BR85" s="181" t="n"/>
      <c r="BS85" s="181" t="n"/>
      <c r="BT85" s="181" t="n"/>
      <c r="BU85" s="181" t="n"/>
      <c r="BV85" s="181" t="n"/>
      <c r="BW85" s="181" t="n"/>
      <c r="BX85" s="181" t="n"/>
      <c r="BY85" s="169" t="n"/>
      <c r="BZ85" s="169" t="n"/>
      <c r="CA85" s="182" t="n">
        <v>0</v>
      </c>
      <c r="CB85" s="179">
        <f>0.35</f>
        <v>0.35</v>
      </c>
      <c r="CC85" s="179">
        <f>0.35</f>
        <v>0.35</v>
      </c>
      <c r="CD85" s="179">
        <f>0.35</f>
        <v>0.35</v>
      </c>
      <c r="CE85" s="179">
        <f>0.35</f>
        <v>0.35</v>
      </c>
      <c r="CF85" s="20" t="n"/>
    </row>
    <row r="86" hidden="1" outlineLevel="2" ht="15" customHeight="1">
      <c r="B86" s="26" t="inlineStr">
        <is>
          <t xml:space="preserve">  Acquired intangibles % of spend</t>
        </is>
      </c>
      <c r="C86" s="181" t="n"/>
      <c r="D86" s="181" t="n"/>
      <c r="E86" s="181" t="n"/>
      <c r="F86" s="181" t="n"/>
      <c r="G86" s="181" t="n"/>
      <c r="H86" s="181" t="n"/>
      <c r="I86" s="181" t="n"/>
      <c r="J86" s="181" t="n"/>
      <c r="K86" s="181" t="n"/>
      <c r="L86" s="181" t="n"/>
      <c r="M86" s="181" t="n"/>
      <c r="N86" s="181" t="n"/>
      <c r="O86" s="181" t="n"/>
      <c r="P86" s="181" t="n"/>
      <c r="Q86" s="181" t="n"/>
      <c r="R86" s="181" t="n"/>
      <c r="S86" s="181" t="n"/>
      <c r="T86" s="181" t="n"/>
      <c r="U86" s="181" t="n"/>
      <c r="V86" s="181" t="n"/>
      <c r="W86" s="181" t="n"/>
      <c r="X86" s="181" t="n"/>
      <c r="Y86" s="181" t="n"/>
      <c r="Z86" s="181" t="n"/>
      <c r="AA86" s="181" t="n"/>
      <c r="AB86" s="181" t="n"/>
      <c r="AC86" s="181" t="n"/>
      <c r="AD86" s="181" t="n"/>
      <c r="AE86" s="181" t="n"/>
      <c r="AF86" s="181" t="n"/>
      <c r="AG86" s="181" t="n"/>
      <c r="AH86" s="181" t="n"/>
      <c r="AI86" s="181" t="n"/>
      <c r="AJ86" s="181" t="n"/>
      <c r="AK86" s="181" t="n"/>
      <c r="AL86" s="181" t="n"/>
      <c r="AM86" s="181" t="n"/>
      <c r="AN86" s="181" t="n"/>
      <c r="AO86" s="181" t="n"/>
      <c r="AP86" s="181" t="n"/>
      <c r="AQ86" s="181" t="n"/>
      <c r="AR86" s="181" t="n"/>
      <c r="AS86" s="181" t="n"/>
      <c r="AT86" s="181" t="n"/>
      <c r="AU86" s="181" t="n"/>
      <c r="AV86" s="181" t="n"/>
      <c r="AW86" s="181" t="n"/>
      <c r="AX86" s="181" t="n"/>
      <c r="AY86" s="181" t="n"/>
      <c r="AZ86" s="181" t="n"/>
      <c r="BA86" s="181" t="n"/>
      <c r="BB86" s="181" t="n"/>
      <c r="BC86" s="181" t="n"/>
      <c r="BD86" s="181" t="n"/>
      <c r="BE86" s="181" t="n"/>
      <c r="BF86" s="181" t="n"/>
      <c r="BG86" s="181" t="n"/>
      <c r="BH86" s="181" t="n"/>
      <c r="BI86" s="181" t="n"/>
      <c r="BJ86" s="181" t="n"/>
      <c r="BK86" s="181" t="n"/>
      <c r="BL86" s="181" t="n"/>
      <c r="BM86" s="181" t="n"/>
      <c r="BN86" s="181" t="n"/>
      <c r="BO86" s="181" t="n"/>
      <c r="BP86" s="181" t="n"/>
      <c r="BQ86" s="181" t="n"/>
      <c r="BR86" s="181" t="n"/>
      <c r="BS86" s="181" t="n"/>
      <c r="BT86" s="181" t="n"/>
      <c r="BU86" s="181" t="n"/>
      <c r="BV86" s="181" t="n"/>
      <c r="BW86" s="181" t="n"/>
      <c r="BX86" s="181" t="n"/>
      <c r="BY86" s="169" t="n"/>
      <c r="BZ86" s="169" t="n"/>
      <c r="CA86" s="182" t="n">
        <v>0</v>
      </c>
      <c r="CB86" s="179">
        <f>0.25</f>
        <v>0.25</v>
      </c>
      <c r="CC86" s="179">
        <f>0.25</f>
        <v>0.25</v>
      </c>
      <c r="CD86" s="179">
        <f>0.25</f>
        <v>0.25</v>
      </c>
      <c r="CE86" s="179">
        <f>0.25</f>
        <v>0.25</v>
      </c>
      <c r="CF86" s="20" t="n"/>
    </row>
    <row r="87" hidden="1" outlineLevel="2" ht="15" customHeight="1">
      <c r="B87" s="26" t="inlineStr">
        <is>
          <t xml:space="preserve">  Intangible amortization life (years)</t>
        </is>
      </c>
      <c r="C87" s="184" t="n"/>
      <c r="D87" s="184" t="n"/>
      <c r="E87" s="184" t="n"/>
      <c r="F87" s="184" t="n"/>
      <c r="G87" s="184" t="n"/>
      <c r="H87" s="184" t="n"/>
      <c r="I87" s="184" t="n"/>
      <c r="J87" s="184" t="n"/>
      <c r="K87" s="184" t="n"/>
      <c r="L87" s="184" t="n"/>
      <c r="M87" s="184" t="n"/>
      <c r="N87" s="184" t="n"/>
      <c r="O87" s="184" t="n"/>
      <c r="P87" s="184" t="n"/>
      <c r="Q87" s="184" t="n"/>
      <c r="R87" s="184" t="n"/>
      <c r="S87" s="184" t="n"/>
      <c r="T87" s="184" t="n"/>
      <c r="U87" s="184" t="n"/>
      <c r="V87" s="184" t="n"/>
      <c r="W87" s="184" t="n"/>
      <c r="X87" s="184" t="n"/>
      <c r="Y87" s="184" t="n"/>
      <c r="Z87" s="184" t="n"/>
      <c r="AA87" s="184" t="n"/>
      <c r="AB87" s="184" t="n"/>
      <c r="AC87" s="184" t="n"/>
      <c r="AD87" s="184" t="n"/>
      <c r="AE87" s="184" t="n"/>
      <c r="AF87" s="184" t="n"/>
      <c r="AG87" s="184" t="n"/>
      <c r="AH87" s="184" t="n"/>
      <c r="AI87" s="184" t="n"/>
      <c r="AJ87" s="184" t="n"/>
      <c r="AK87" s="184" t="n"/>
      <c r="AL87" s="184" t="n"/>
      <c r="AM87" s="184" t="n"/>
      <c r="AN87" s="184" t="n"/>
      <c r="AO87" s="184" t="n"/>
      <c r="AP87" s="184" t="n"/>
      <c r="AQ87" s="184" t="n"/>
      <c r="AR87" s="184" t="n"/>
      <c r="AS87" s="184" t="n"/>
      <c r="AT87" s="184" t="n"/>
      <c r="AU87" s="184" t="n"/>
      <c r="AV87" s="184" t="n"/>
      <c r="AW87" s="184" t="n"/>
      <c r="AX87" s="184" t="n"/>
      <c r="AY87" s="184" t="n"/>
      <c r="AZ87" s="184" t="n"/>
      <c r="BA87" s="184" t="n"/>
      <c r="BB87" s="184" t="n"/>
      <c r="BC87" s="184" t="n"/>
      <c r="BD87" s="184" t="n"/>
      <c r="BE87" s="184" t="n"/>
      <c r="BF87" s="184" t="n"/>
      <c r="BG87" s="184" t="n"/>
      <c r="BH87" s="184" t="n"/>
      <c r="BI87" s="184" t="n"/>
      <c r="BJ87" s="184" t="n"/>
      <c r="BK87" s="184" t="n"/>
      <c r="BL87" s="184" t="n"/>
      <c r="BM87" s="184" t="n"/>
      <c r="BN87" s="184" t="n"/>
      <c r="BO87" s="184" t="n"/>
      <c r="BP87" s="184" t="n"/>
      <c r="BQ87" s="184" t="n"/>
      <c r="BR87" s="184" t="n"/>
      <c r="BS87" s="184" t="n"/>
      <c r="BT87" s="184" t="n"/>
      <c r="BU87" s="184" t="n"/>
      <c r="BV87" s="184" t="n"/>
      <c r="BW87" s="184" t="n"/>
      <c r="BX87" s="184" t="n"/>
      <c r="BY87" s="168" t="n"/>
      <c r="BZ87" s="168" t="n"/>
      <c r="CA87" s="201" t="n">
        <v>0</v>
      </c>
      <c r="CB87" s="186">
        <f>12</f>
        <v>12</v>
      </c>
      <c r="CC87" s="186">
        <f>12</f>
        <v>12</v>
      </c>
      <c r="CD87" s="186">
        <f>12</f>
        <v>12</v>
      </c>
      <c r="CE87" s="186">
        <f>12</f>
        <v>12</v>
      </c>
      <c r="CF87" s="20" t="n"/>
    </row>
    <row r="88" hidden="1" outlineLevel="1" collapsed="1" ht="15" customHeight="1">
      <c r="B88" s="26" t="inlineStr">
        <is>
          <t xml:space="preserve">  Cumulative acquired intangibles (gross)</t>
        </is>
      </c>
      <c r="C88" s="184" t="n"/>
      <c r="D88" s="184" t="n"/>
      <c r="E88" s="184" t="n"/>
      <c r="F88" s="184" t="n"/>
      <c r="G88" s="184" t="n"/>
      <c r="H88" s="184" t="n"/>
      <c r="I88" s="184" t="n"/>
      <c r="J88" s="184" t="n"/>
      <c r="K88" s="184" t="n"/>
      <c r="L88" s="184" t="n"/>
      <c r="M88" s="184" t="n"/>
      <c r="N88" s="184" t="n"/>
      <c r="O88" s="184" t="n"/>
      <c r="P88" s="184" t="n"/>
      <c r="Q88" s="184" t="n"/>
      <c r="R88" s="184" t="n"/>
      <c r="S88" s="184" t="n"/>
      <c r="T88" s="184" t="n"/>
      <c r="U88" s="184" t="n"/>
      <c r="V88" s="184" t="n"/>
      <c r="W88" s="184" t="n"/>
      <c r="X88" s="184" t="n"/>
      <c r="Y88" s="184" t="n"/>
      <c r="Z88" s="184" t="n"/>
      <c r="AA88" s="184" t="n"/>
      <c r="AB88" s="184" t="n"/>
      <c r="AC88" s="184" t="n"/>
      <c r="AD88" s="184" t="n"/>
      <c r="AE88" s="184" t="n"/>
      <c r="AF88" s="184" t="n"/>
      <c r="AG88" s="184" t="n"/>
      <c r="AH88" s="184" t="n"/>
      <c r="AI88" s="184" t="n"/>
      <c r="AJ88" s="184" t="n"/>
      <c r="AK88" s="184" t="n"/>
      <c r="AL88" s="184" t="n"/>
      <c r="AM88" s="184" t="n"/>
      <c r="AN88" s="184" t="n"/>
      <c r="AO88" s="184" t="n"/>
      <c r="AP88" s="184" t="n"/>
      <c r="AQ88" s="184" t="n"/>
      <c r="AR88" s="184" t="n"/>
      <c r="AS88" s="184" t="n"/>
      <c r="AT88" s="184" t="n"/>
      <c r="AU88" s="184" t="n"/>
      <c r="AV88" s="184" t="n"/>
      <c r="AW88" s="184" t="n"/>
      <c r="AX88" s="184" t="n"/>
      <c r="AY88" s="184" t="n"/>
      <c r="AZ88" s="184" t="n"/>
      <c r="BA88" s="184" t="n"/>
      <c r="BB88" s="184" t="n"/>
      <c r="BC88" s="184" t="n"/>
      <c r="BD88" s="184" t="n"/>
      <c r="BE88" s="184" t="n"/>
      <c r="BF88" s="184" t="n"/>
      <c r="BG88" s="184" t="n"/>
      <c r="BH88" s="184" t="n"/>
      <c r="BI88" s="184" t="n"/>
      <c r="BJ88" s="184" t="n"/>
      <c r="BK88" s="184" t="n"/>
      <c r="BL88" s="184" t="n"/>
      <c r="BM88" s="184" t="n"/>
      <c r="BN88" s="184" t="n"/>
      <c r="BO88" s="184" t="n"/>
      <c r="BP88" s="184" t="n"/>
      <c r="BQ88" s="184" t="n"/>
      <c r="BR88" s="184" t="n"/>
      <c r="BS88" s="184" t="n"/>
      <c r="BT88" s="184" t="n"/>
      <c r="BU88" s="184" t="n"/>
      <c r="BV88" s="184" t="n"/>
      <c r="BW88" s="184" t="n"/>
      <c r="BX88" s="184" t="n"/>
      <c r="BY88" s="168" t="n"/>
      <c r="BZ88" s="168" t="n"/>
      <c r="CA88" s="201" t="n">
        <v>0</v>
      </c>
      <c r="CB88" s="186">
        <f>CA88+CB75*CB86</f>
        <v>75</v>
      </c>
      <c r="CC88" s="186">
        <f>CB88+CC75*CC86</f>
        <v>150</v>
      </c>
      <c r="CD88" s="186">
        <f>CC88+CD75*CD86</f>
        <v>225</v>
      </c>
      <c r="CE88" s="186">
        <f>CD88+CE75*CE86</f>
        <v>300</v>
      </c>
      <c r="CF88" s="20" t="n"/>
    </row>
    <row r="89" hidden="1" outlineLevel="1" ht="15" customHeight="1">
      <c r="B89" s="26" t="inlineStr">
        <is>
          <t xml:space="preserve">  Amortization of future-acquisition intangibles (within D&amp;A)</t>
        </is>
      </c>
      <c r="C89" s="184" t="n"/>
      <c r="D89" s="184" t="n"/>
      <c r="E89" s="184" t="n"/>
      <c r="F89" s="184" t="n"/>
      <c r="G89" s="184" t="n"/>
      <c r="H89" s="184" t="n"/>
      <c r="I89" s="184" t="n"/>
      <c r="J89" s="184" t="n"/>
      <c r="K89" s="184" t="n"/>
      <c r="L89" s="184" t="n"/>
      <c r="M89" s="184" t="n"/>
      <c r="N89" s="184" t="n"/>
      <c r="O89" s="184" t="n"/>
      <c r="P89" s="184" t="n"/>
      <c r="Q89" s="184" t="n"/>
      <c r="R89" s="184" t="n"/>
      <c r="S89" s="184" t="n"/>
      <c r="T89" s="184" t="n"/>
      <c r="U89" s="184" t="n"/>
      <c r="V89" s="184" t="n"/>
      <c r="W89" s="184" t="n"/>
      <c r="X89" s="184" t="n"/>
      <c r="Y89" s="184" t="n"/>
      <c r="Z89" s="184" t="n"/>
      <c r="AA89" s="184" t="n"/>
      <c r="AB89" s="184" t="n"/>
      <c r="AC89" s="184" t="n"/>
      <c r="AD89" s="184" t="n"/>
      <c r="AE89" s="184" t="n"/>
      <c r="AF89" s="184" t="n"/>
      <c r="AG89" s="184" t="n"/>
      <c r="AH89" s="184" t="n"/>
      <c r="AI89" s="184" t="n"/>
      <c r="AJ89" s="184" t="n"/>
      <c r="AK89" s="184" t="n"/>
      <c r="AL89" s="184" t="n"/>
      <c r="AM89" s="184" t="n"/>
      <c r="AN89" s="184" t="n"/>
      <c r="AO89" s="184" t="n"/>
      <c r="AP89" s="184" t="n"/>
      <c r="AQ89" s="184" t="n"/>
      <c r="AR89" s="184" t="n"/>
      <c r="AS89" s="184" t="n"/>
      <c r="AT89" s="184" t="n"/>
      <c r="AU89" s="184" t="n"/>
      <c r="AV89" s="184" t="n"/>
      <c r="AW89" s="184" t="n"/>
      <c r="AX89" s="184" t="n"/>
      <c r="AY89" s="184" t="n"/>
      <c r="AZ89" s="184" t="n"/>
      <c r="BA89" s="184" t="n"/>
      <c r="BB89" s="184" t="n"/>
      <c r="BC89" s="184" t="n"/>
      <c r="BD89" s="184" t="n"/>
      <c r="BE89" s="184" t="n"/>
      <c r="BF89" s="184" t="n"/>
      <c r="BG89" s="184" t="n"/>
      <c r="BH89" s="184" t="n"/>
      <c r="BI89" s="184" t="n"/>
      <c r="BJ89" s="184" t="n"/>
      <c r="BK89" s="184" t="n"/>
      <c r="BL89" s="184" t="n"/>
      <c r="BM89" s="184" t="n"/>
      <c r="BN89" s="184" t="n"/>
      <c r="BO89" s="184" t="n"/>
      <c r="BP89" s="184" t="n"/>
      <c r="BQ89" s="184" t="n"/>
      <c r="BR89" s="184" t="n"/>
      <c r="BS89" s="184" t="n"/>
      <c r="BT89" s="184" t="n"/>
      <c r="BU89" s="184" t="n"/>
      <c r="BV89" s="184" t="n"/>
      <c r="BW89" s="184" t="n"/>
      <c r="BX89" s="184" t="n"/>
      <c r="BY89" s="168" t="n"/>
      <c r="BZ89" s="168" t="n"/>
      <c r="CA89" s="201" t="n">
        <v>0</v>
      </c>
      <c r="CB89" s="186">
        <f>(CA88+0.5*CB75*CB86)/CB87</f>
        <v>3.125</v>
      </c>
      <c r="CC89" s="186">
        <f>(CB88+0.5*CC75*CC86)/CC87</f>
        <v>9.375</v>
      </c>
      <c r="CD89" s="186">
        <f>(CC88+0.5*CD75*CD86)/CD87</f>
        <v>15.625</v>
      </c>
      <c r="CE89" s="186">
        <f>(CD88+0.5*CE75*CE86)/CE87</f>
        <v>21.875</v>
      </c>
      <c r="CF89" s="20" t="n"/>
    </row>
    <row r="90" hidden="1" outlineLevel="1" ht="15" customHeight="1"/>
    <row r="91" hidden="1" outlineLevel="1" ht="15" customHeight="1">
      <c r="B91" s="139" t="inlineStr">
        <is>
          <t>Group total — revenues &amp; Adjusted EBITDA (segment build) → consolidated (Adjusted EBITDA is CLH's primary profit KPI and segment measure)</t>
        </is>
      </c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  <c r="T91" s="139" t="n"/>
      <c r="U91" s="139" t="n"/>
      <c r="V91" s="139" t="n"/>
      <c r="W91" s="139" t="n"/>
      <c r="X91" s="139" t="n"/>
      <c r="Y91" s="139" t="n"/>
      <c r="Z91" s="139" t="n"/>
      <c r="AA91" s="139" t="n"/>
      <c r="AB91" s="139" t="n"/>
      <c r="AC91" s="139" t="n"/>
      <c r="AD91" s="139" t="n"/>
      <c r="AE91" s="139" t="n"/>
      <c r="AF91" s="139" t="n"/>
      <c r="AG91" s="139" t="n"/>
      <c r="AH91" s="139" t="n"/>
      <c r="AI91" s="139" t="n"/>
      <c r="AJ91" s="139" t="n"/>
      <c r="AK91" s="139" t="n"/>
      <c r="AL91" s="139" t="n"/>
      <c r="AM91" s="139" t="n"/>
      <c r="AN91" s="139" t="n"/>
      <c r="AO91" s="139" t="n"/>
      <c r="AP91" s="139" t="n"/>
      <c r="AQ91" s="139" t="n"/>
      <c r="AR91" s="139" t="n"/>
      <c r="AS91" s="139" t="n"/>
      <c r="AT91" s="139" t="n"/>
      <c r="AU91" s="139" t="n"/>
      <c r="AV91" s="139" t="n"/>
      <c r="AW91" s="139" t="n"/>
      <c r="AX91" s="139" t="n"/>
      <c r="AY91" s="139" t="n"/>
      <c r="AZ91" s="139" t="n"/>
      <c r="BA91" s="139" t="n"/>
      <c r="BB91" s="139" t="n"/>
      <c r="BC91" s="139" t="n"/>
      <c r="BD91" s="139" t="n"/>
      <c r="BE91" s="139" t="n"/>
      <c r="BF91" s="139" t="n"/>
      <c r="BG91" s="139" t="n"/>
      <c r="BH91" s="139" t="n"/>
      <c r="BI91" s="139" t="n"/>
      <c r="BJ91" s="139" t="n"/>
      <c r="BK91" s="139" t="n"/>
      <c r="BL91" s="139" t="n"/>
      <c r="BM91" s="139" t="n"/>
      <c r="BN91" s="139" t="n"/>
      <c r="BO91" s="139" t="n"/>
      <c r="BP91" s="139" t="n"/>
      <c r="BQ91" s="139" t="n"/>
      <c r="BR91" s="139" t="n"/>
      <c r="BS91" s="139" t="n"/>
      <c r="BT91" s="139" t="n"/>
      <c r="BU91" s="139" t="n"/>
      <c r="BV91" s="139" t="n"/>
      <c r="BW91" s="139" t="n"/>
      <c r="BX91" s="139" t="n"/>
      <c r="BY91" s="139" t="n"/>
      <c r="BZ91" s="139" t="n"/>
      <c r="CA91" s="139" t="n"/>
      <c r="CB91" s="139" t="n"/>
      <c r="CC91" s="139" t="n"/>
      <c r="CD91" s="139" t="n"/>
      <c r="CE91" s="139" t="n"/>
      <c r="CF91" s="139" t="inlineStr">
        <is>
          <t>GROUP TOTAL (CONSOLIDATED) — modelling logic</t>
        </is>
      </c>
    </row>
    <row r="92" hidden="1" outlineLevel="1" ht="15" customHeight="1">
      <c r="B92" s="209" t="inlineStr">
        <is>
          <t>Revenues (segment build)</t>
        </is>
      </c>
      <c r="C92" s="210">
        <f>N(C106)+N(C107)+N(C108)+N(C109)+N(C110)+N(C111)+N(C112)+N(C113)+N(C114)+N(C115)+N(C116)</f>
        <v>829.809</v>
      </c>
      <c r="D92" s="210">
        <f>N(D106)+N(D107)+N(D108)+N(D109)+N(D110)+N(D111)+N(D112)+N(D113)+N(D114)+N(D115)+N(D116)</f>
        <v>946.917</v>
      </c>
      <c r="E92" s="210">
        <f>N(E106)+N(E107)+N(E108)+N(E109)+N(E110)+N(E111)+N(E112)+N(E113)+N(E114)+N(E115)+N(E116)</f>
        <v>1030.713</v>
      </c>
      <c r="F92" s="210">
        <f>N(F106)+N(F107)+N(F108)+N(F109)+N(F110)+N(F111)+N(F112)+N(F113)+N(F114)+N(F115)+N(F116)</f>
        <v>1074.22</v>
      </c>
      <c r="G92" s="210">
        <f>N(G106)+N(G107)+N(G108)+N(G109)+N(G110)+N(G111)+N(G112)+N(G113)+N(G114)+N(G115)+N(G116)</f>
        <v>1731.244</v>
      </c>
      <c r="H92" s="210">
        <f>N(H106)+N(H107)+N(H108)+N(H109)+N(H110)+N(H111)+N(H112)+N(H113)+N(H114)+N(H115)+N(H116)</f>
        <v>1984.136</v>
      </c>
      <c r="I92" s="210">
        <f>N(I106)+N(I107)+N(I108)+N(I109)+N(I110)+N(I111)+N(I112)+N(I113)+N(I114)+N(I115)+N(I116)</f>
        <v>2187.908</v>
      </c>
      <c r="J92" s="210">
        <f>N(J106)+N(J107)+N(J108)+N(J109)+N(J110)+N(J111)+N(J112)+N(J113)+N(J114)+N(J115)+N(J116)</f>
        <v>862.163</v>
      </c>
      <c r="K92" s="210">
        <f>N(K106)+N(K107)+N(K108)+N(K109)+N(K110)+N(K111)+N(K112)+N(K113)+N(K114)+N(K115)+N(K116)</f>
        <v>860.528</v>
      </c>
      <c r="L92" s="210">
        <f>N(L106)+N(L107)+N(L108)+N(L109)+N(L110)+N(L111)+N(L112)+N(L113)+N(L114)+N(L115)+N(L116)</f>
        <v>907.535</v>
      </c>
      <c r="M92" s="210">
        <f>N(M106)+N(M107)+N(M108)+N(M109)+N(M110)+N(M111)+N(M112)+N(M113)+N(M114)+N(M115)+N(M116)</f>
        <v>879.43</v>
      </c>
      <c r="N92" s="210">
        <f>N(N106)+N(N107)+N(N108)+N(N109)+N(N110)+N(N111)+N(N112)+N(N113)+N(N114)+N(N115)+N(N116)</f>
        <v>3509.656</v>
      </c>
      <c r="O92" s="210">
        <f>N(O106)+N(O107)+N(O108)+N(O109)+N(O110)+N(O111)+N(O112)+N(O113)+N(O114)+N(O115)+N(O116)</f>
        <v>846.667</v>
      </c>
      <c r="P92" s="210">
        <f>N(P106)+N(P107)+N(P108)+N(P109)+N(P110)+N(P111)+N(P112)+N(P113)+N(P114)+N(P115)+N(P116)</f>
        <v>858.48</v>
      </c>
      <c r="Q92" s="210">
        <f>N(Q106)+N(Q107)+N(Q108)+N(Q109)+N(Q110)+N(Q111)+N(Q112)+N(Q113)+N(Q114)+N(Q115)+N(Q116)</f>
        <v>851.465</v>
      </c>
      <c r="R92" s="210">
        <f>N(R106)+N(R107)+N(R108)+N(R109)+N(R110)+N(R111)+N(R112)+N(R113)+N(R114)+N(R115)+N(R116)</f>
        <v>845.024</v>
      </c>
      <c r="S92" s="210">
        <f>N(S106)+N(S107)+N(S108)+N(S109)+N(S110)+N(S111)+N(S112)+N(S113)+N(S114)+N(S115)+N(S116)</f>
        <v>3401.636</v>
      </c>
      <c r="T92" s="210">
        <f>N(T106)+N(T107)+N(T108)+N(T109)+N(T110)+N(T111)+N(T112)+N(T113)+N(T114)+N(T115)+N(T116)</f>
        <v>732.499</v>
      </c>
      <c r="U92" s="210">
        <f>N(U106)+N(U107)+N(U108)+N(U109)+N(U110)+N(U111)+N(U112)+N(U113)+N(U114)+N(U115)+N(U116)</f>
        <v>936.228</v>
      </c>
      <c r="V92" s="210">
        <f>N(V106)+N(V107)+N(V108)+N(V109)+N(V110)+N(V111)+N(V112)+N(V113)+N(V114)+N(V115)+N(V116)</f>
        <v>893.366</v>
      </c>
      <c r="W92" s="210">
        <f>N(W106)+N(W107)+N(W108)+N(W109)+N(W110)+N(W111)+N(W112)+N(W113)+N(W114)+N(W115)+N(W116)</f>
        <v>713.044</v>
      </c>
      <c r="X92" s="210">
        <f>N(X106)+N(X107)+N(X108)+N(X109)+N(X110)+N(X111)+N(X112)+N(X113)+N(X114)+N(X115)+N(X116)</f>
        <v>3275.137</v>
      </c>
      <c r="Y92" s="210">
        <f>N(Y106)+N(Y107)+N(Y108)+N(Y109)+N(Y110)+N(Y111)+N(Y112)+N(Y113)+N(Y114)+N(Y115)+N(Y116)</f>
        <v>636.083</v>
      </c>
      <c r="Z92" s="210">
        <f>N(Z106)+N(Z107)+N(Z108)+N(Z109)+N(Z110)+N(Z111)+N(Z112)+N(Z113)+N(Z114)+N(Z115)+N(Z116)</f>
        <v>697.51</v>
      </c>
      <c r="AA92" s="210">
        <f>N(AA106)+N(AA107)+N(AA108)+N(AA109)+N(AA110)+N(AA111)+N(AA112)+N(AA113)+N(AA114)+N(AA115)+N(AA116)</f>
        <v>729.52</v>
      </c>
      <c r="AB92" s="210">
        <f>N(AB106)+N(AB107)+N(AB108)+N(AB109)+N(AB110)+N(AB111)+N(AB112)+N(AB113)+N(AB114)+N(AB115)+N(AB116)</f>
        <v>692.113</v>
      </c>
      <c r="AC92" s="210">
        <f>N(AC106)+N(AC107)+N(AC108)+N(AC109)+N(AC110)+N(AC111)+N(AC112)+N(AC113)+N(AC114)+N(AC115)+N(AC116)</f>
        <v>2755.226</v>
      </c>
      <c r="AD92" s="210">
        <f>N(AD27)+N(AD44)+N(AD53)</f>
        <v>688.941</v>
      </c>
      <c r="AE92" s="210">
        <f>N(AE27)+N(AE44)+N(AE53)</f>
        <v>752.788</v>
      </c>
      <c r="AF92" s="210">
        <f>N(AF27)+N(AF44)+N(AF53)</f>
        <v>755.846</v>
      </c>
      <c r="AG92" s="210">
        <f>N(AG27)+N(AG44)+N(AG53)</f>
        <v>747.403</v>
      </c>
      <c r="AH92" s="210">
        <f>N(AH27)+N(AH44)+N(AH53)</f>
        <v>2944.978</v>
      </c>
      <c r="AI92" s="210">
        <f>N(AI27)+N(AI44)+N(AI53)</f>
        <v>749.778</v>
      </c>
      <c r="AJ92" s="210">
        <f>N(AJ27)+N(AJ44)+N(AJ53)</f>
        <v>849.14</v>
      </c>
      <c r="AK92" s="210">
        <f>N(AK27)+N(AK44)+N(AK53)</f>
        <v>843.181</v>
      </c>
      <c r="AL92" s="210">
        <f>N(AL27)+N(AL44)+N(AL53)</f>
        <v>858.204</v>
      </c>
      <c r="AM92" s="210">
        <f>N(AM27)+N(AM44)+N(AM53)</f>
        <v>3300.303</v>
      </c>
      <c r="AN92" s="210">
        <f>N(AN27)+N(AN44)+N(AN53)</f>
        <v>780.839</v>
      </c>
      <c r="AO92" s="210">
        <f>N(AO27)+N(AO44)+N(AO53)</f>
        <v>868.678</v>
      </c>
      <c r="AP92" s="210">
        <f>N(AP27)+N(AP44)+N(AP53)</f>
        <v>891.668</v>
      </c>
      <c r="AQ92" s="210">
        <f>N(AQ27)+N(AQ44)+N(AQ53)</f>
        <v>871.005</v>
      </c>
      <c r="AR92" s="210">
        <f>N(AR27)+N(AR44)+N(AR53)</f>
        <v>3412.19</v>
      </c>
      <c r="AS92" s="210">
        <f>N(AS27)+N(AS44)+N(AS53)</f>
        <v>858.563</v>
      </c>
      <c r="AT92" s="210">
        <f>N(AT27)+N(AT44)+N(AT53)</f>
        <v>710</v>
      </c>
      <c r="AU92" s="210">
        <f>N(AU27)+N(AU44)+N(AU53)</f>
        <v>779.344</v>
      </c>
      <c r="AV92" s="210">
        <f>N(AV27)+N(AV44)+N(AV53)</f>
        <v>796.19</v>
      </c>
      <c r="AW92" s="210">
        <f>N(AW27)+N(AW44)+N(AW53)</f>
        <v>3144.097</v>
      </c>
      <c r="AX92" s="210">
        <f>N(AX27)+N(AX44)+N(AX53)</f>
        <v>808.148</v>
      </c>
      <c r="AY92" s="210">
        <f>N(AY27)+N(AY44)+N(AY53)</f>
        <v>926.458</v>
      </c>
      <c r="AZ92" s="210">
        <f>N(AZ27)+N(AZ44)+N(AZ53)</f>
        <v>951.479</v>
      </c>
      <c r="BA92" s="210">
        <f>N(BA27)+N(BA44)+N(BA53)</f>
        <v>1119.481</v>
      </c>
      <c r="BB92" s="210">
        <f>N(BB27)+N(BB44)+N(BB53)</f>
        <v>3805.566</v>
      </c>
      <c r="BC92" s="210">
        <f>N(BC27)+N(BC44)+N(BC53)</f>
        <v>1169.109</v>
      </c>
      <c r="BD92" s="210">
        <f>N(BD27)+N(BD44)+N(BD53)</f>
        <v>1356.312</v>
      </c>
      <c r="BE92" s="210">
        <f>N(BE27)+N(BE44)+N(BE53)</f>
        <v>1363.086</v>
      </c>
      <c r="BF92" s="210">
        <f>N(BF27)+N(BF44)+N(BF53)</f>
        <v>1278.098</v>
      </c>
      <c r="BG92" s="210">
        <f>N(BG27)+N(BG44)+N(BG53)</f>
        <v>5166.605</v>
      </c>
      <c r="BH92" s="210">
        <f>N(BH27)+N(BH44)+N(BH53)</f>
        <v>1307.387</v>
      </c>
      <c r="BI92" s="210">
        <f>N(BI27)+N(BI44)+N(BI53)</f>
        <v>1397.9</v>
      </c>
      <c r="BJ92" s="210">
        <f>N(BJ27)+N(BJ44)+N(BJ53)</f>
        <v>1365.696</v>
      </c>
      <c r="BK92" s="210">
        <f>N(BK27)+N(BK44)+N(BK53)</f>
        <v>1338.169</v>
      </c>
      <c r="BL92" s="210">
        <f>N(BL27)+N(BL44)+N(BL53)</f>
        <v>5409.152</v>
      </c>
      <c r="BM92" s="210">
        <f>N(BM27)+N(BM44)+N(BM53)</f>
        <v>1376.695</v>
      </c>
      <c r="BN92" s="210">
        <f>N(BN27)+N(BN44)+N(BN53)</f>
        <v>1552.719</v>
      </c>
      <c r="BO92" s="210">
        <f>N(BO27)+N(BO44)+N(BO53)</f>
        <v>1529.422</v>
      </c>
      <c r="BP92" s="210">
        <f>N(BP27)+N(BP44)+N(BP53)</f>
        <v>1431.116</v>
      </c>
      <c r="BQ92" s="210">
        <f>N(BQ27)+N(BQ44)+N(BQ53)</f>
        <v>5889.952</v>
      </c>
      <c r="BR92" s="210">
        <f>N(BR27)+N(BR44)+N(BR53)</f>
        <v>1431.95</v>
      </c>
      <c r="BS92" s="210">
        <f>N(BS27)+N(BS44)+N(BS53)</f>
        <v>1549.854</v>
      </c>
      <c r="BT92" s="210">
        <f>N(BT27)+N(BT44)+N(BT53)</f>
        <v>1549.337</v>
      </c>
      <c r="BU92" s="210">
        <f>N(BU27)+N(BU44)+N(BU53)</f>
        <v>1499.696</v>
      </c>
      <c r="BV92" s="210">
        <f>N(BV27)+N(BV44)+N(BV53)</f>
        <v>6030.837</v>
      </c>
      <c r="BW92" s="210">
        <f>N(BW27)+N(BW44)+N(BW53)</f>
        <v>1459.537</v>
      </c>
      <c r="BX92" s="210">
        <f>N(BX27)+N(BX44)+N(BX53)</f>
        <v>1735.005</v>
      </c>
      <c r="BY92" s="210">
        <f>N(BY27)+N(BY44)+N(BY53)+N(BY63)+N(BY80)</f>
        <v>1719.01640027397</v>
      </c>
      <c r="BZ92" s="210">
        <f>N(BZ27)+N(BZ44)+N(BZ53)+N(BZ63)+N(BZ80)</f>
        <v>1679.79668342466</v>
      </c>
      <c r="CA92" s="210">
        <f>N(CA27)+N(CA44)+N(CA53)+N(CA63)+N(CA80)</f>
        <v>6593.35508369863</v>
      </c>
      <c r="CB92" s="210">
        <f>N(CB27)+N(CB44)+N(CB53)+N(CB63)+N(CB80)</f>
        <v>7277.40481160497</v>
      </c>
      <c r="CC92" s="210">
        <f>N(CC27)+N(CC44)+N(CC53)+N(CC63)+N(CC80)</f>
        <v>7876.51163238994</v>
      </c>
      <c r="CD92" s="210">
        <f>N(CD27)+N(CD44)+N(CD53)+N(CD63)+N(CD80)</f>
        <v>8483.26940533391</v>
      </c>
      <c r="CE92" s="210">
        <f>N(CE27)+N(CE44)+N(CE53)+N(CE63)+N(CE80)</f>
        <v>9109.88916028172</v>
      </c>
      <c r="CF92" s="20" t="inlineStr">
        <is>
          <t>Σ ES + SKSS + Corporate direct revenues (+ pending deals + future M&amp;A); before 2017: Σ legacy segments as originally reported.</t>
        </is>
      </c>
      <c r="CH92" s="21">
        <f>IFERROR((CE92/BV92)^(1/5)-1,"n/m")</f>
        <v>0.0859931864017398</v>
      </c>
      <c r="CI92" s="21">
        <f>IFERROR((BV92/AW92)^(1/5)-1,"n/m")</f>
        <v>0.139137977304301</v>
      </c>
      <c r="CJ92" s="21">
        <f>IFERROR((BV92/X92)^(1/10)-1,"n/m")</f>
        <v>0.0629548354932021</v>
      </c>
      <c r="CK92" s="21">
        <f>IFERROR((BV92/C92)^(1/19)-1,"n/m")</f>
        <v>0.110035359383654</v>
      </c>
    </row>
    <row r="93" hidden="1" outlineLevel="1" ht="15" customHeight="1">
      <c r="B93" s="209" t="inlineStr">
        <is>
          <t>Adjusted EBITDA (segment build)</t>
        </is>
      </c>
      <c r="C93" s="210">
        <f>N(C117)+N(C118)+N(C119)+N(C120)+N(C121)+N(C122)+N(C123)+N(C124)+N(C125)+N(C126)+N(C127)</f>
        <v>119.935</v>
      </c>
      <c r="D93" s="210">
        <f>N(D117)+N(D118)+N(D119)+N(D120)+N(D121)+N(D122)+N(D123)+N(D124)+N(D125)+N(D126)+N(D127)</f>
        <v>133.297</v>
      </c>
      <c r="E93" s="210">
        <f>N(E117)+N(E118)+N(E119)+N(E120)+N(E121)+N(E122)+N(E123)+N(E124)+N(E125)+N(E126)+N(E127)</f>
        <v>163.219</v>
      </c>
      <c r="F93" s="210">
        <f>N(F117)+N(F118)+N(F119)+N(F120)+N(F121)+N(F122)+N(F123)+N(F124)+N(F125)+N(F126)+N(F127)</f>
        <v>157.58</v>
      </c>
      <c r="G93" s="210">
        <f>N(G117)+N(G118)+N(G119)+N(G120)+N(G121)+N(G122)+N(G123)+N(G124)+N(G125)+N(G126)+N(G127)</f>
        <v>314.692</v>
      </c>
      <c r="H93" s="210">
        <f>N(H117)+N(H118)+N(H119)+N(H120)+N(H121)+N(H122)+N(H123)+N(H124)+N(H125)+N(H126)+N(H127)</f>
        <v>350.008</v>
      </c>
      <c r="I93" s="210">
        <f>N(I117)+N(I118)+N(I119)+N(I120)+N(I121)+N(I122)+N(I123)+N(I124)+N(I125)+N(I126)+N(I127)</f>
        <v>373.767</v>
      </c>
      <c r="J93" s="210">
        <f>N(J117)+N(J118)+N(J119)+N(J120)+N(J121)+N(J122)+N(J123)+N(J124)+N(J125)+N(J126)+N(J127)</f>
        <v>111.228</v>
      </c>
      <c r="K93" s="210">
        <f>N(K117)+N(K118)+N(K119)+N(K120)+N(K121)+N(K122)+N(K123)+N(K124)+N(K125)+N(K126)+N(K127)</f>
        <v>123.59</v>
      </c>
      <c r="L93" s="210">
        <f>N(L117)+N(L118)+N(L119)+N(L120)+N(L121)+N(L122)+N(L123)+N(L124)+N(L125)+N(L126)+N(L127)</f>
        <v>145.952</v>
      </c>
      <c r="M93" s="210">
        <f>N(M117)+N(M118)+N(M119)+N(M120)+N(M121)+N(M122)+N(M123)+N(M124)+N(M125)+N(M126)+N(M127)</f>
        <v>129.335</v>
      </c>
      <c r="N93" s="210">
        <f>N(N117)+N(N118)+N(N119)+N(N120)+N(N121)+N(N122)+N(N123)+N(N124)+N(N125)+N(N126)+N(N127)</f>
        <v>510.105</v>
      </c>
      <c r="O93" s="210">
        <f>N(O117)+N(O118)+N(O119)+N(O120)+N(O121)+N(O122)+N(O123)+N(O124)+N(O125)+N(O126)+N(O127)</f>
        <v>101.986</v>
      </c>
      <c r="P93" s="210">
        <f>N(P117)+N(P118)+N(P119)+N(P120)+N(P121)+N(P122)+N(P123)+N(P124)+N(P125)+N(P126)+N(P127)</f>
        <v>135.799</v>
      </c>
      <c r="Q93" s="210">
        <f>N(Q117)+N(Q118)+N(Q119)+N(Q120)+N(Q121)+N(Q122)+N(Q123)+N(Q124)+N(Q125)+N(Q126)+N(Q127)</f>
        <v>153.357</v>
      </c>
      <c r="R93" s="210">
        <f>N(R117)+N(R118)+N(R119)+N(R120)+N(R121)+N(R122)+N(R123)+N(R124)+N(R125)+N(R126)+N(R127)</f>
        <v>130.777</v>
      </c>
      <c r="S93" s="210">
        <f>N(S117)+N(S118)+N(S119)+N(S120)+N(S121)+N(S122)+N(S123)+N(S124)+N(S125)+N(S126)+N(S127)</f>
        <v>521.919</v>
      </c>
      <c r="T93" s="210">
        <f>N(T117)+N(T118)+N(T119)+N(T120)+N(T121)+N(T122)+N(T123)+N(T124)+N(T125)+N(T126)+N(T127)</f>
        <v>78.277</v>
      </c>
      <c r="U93" s="210">
        <f>N(U117)+N(U118)+N(U119)+N(U120)+N(U121)+N(U122)+N(U123)+N(U124)+N(U125)+N(U126)+N(U127)</f>
        <v>163.122</v>
      </c>
      <c r="V93" s="210">
        <f>N(V117)+N(V118)+N(V119)+N(V120)+N(V121)+N(V122)+N(V123)+N(V124)+N(V125)+N(V126)+N(V127)</f>
        <v>165.607</v>
      </c>
      <c r="W93" s="210">
        <f>N(W117)+N(W118)+N(W119)+N(W120)+N(W121)+N(W122)+N(W123)+N(W124)+N(W125)+N(W126)+N(W127)</f>
        <v>97.161</v>
      </c>
      <c r="X93" s="210">
        <f>N(X117)+N(X118)+N(X119)+N(X120)+N(X121)+N(X122)+N(X123)+N(X124)+N(X125)+N(X126)+N(X127)</f>
        <v>504.167</v>
      </c>
      <c r="Y93" s="210">
        <f>N(Y117)+N(Y118)+N(Y119)+N(Y120)+N(Y121)+N(Y122)+N(Y123)+N(Y124)+N(Y125)+N(Y126)+N(Y127)</f>
        <v>67.32</v>
      </c>
      <c r="Z93" s="210">
        <f>N(Z117)+N(Z118)+N(Z119)+N(Z120)+N(Z121)+N(Z122)+N(Z123)+N(Z124)+N(Z125)+N(Z126)+N(Z127)</f>
        <v>110.445</v>
      </c>
      <c r="AA93" s="210">
        <f>N(AA117)+N(AA118)+N(AA119)+N(AA120)+N(AA121)+N(AA122)+N(AA123)+N(AA124)+N(AA125)+N(AA126)+N(AA127)</f>
        <v>126.651</v>
      </c>
      <c r="AB93" s="210">
        <f>N(AB117)+N(AB118)+N(AB119)+N(AB120)+N(AB121)+N(AB122)+N(AB123)+N(AB124)+N(AB125)+N(AB126)+N(AB127)</f>
        <v>95.938</v>
      </c>
      <c r="AC93" s="210">
        <f>N(AC117)+N(AC118)+N(AC119)+N(AC120)+N(AC121)+N(AC122)+N(AC123)+N(AC124)+N(AC125)+N(AC126)+N(AC127)</f>
        <v>400.354</v>
      </c>
      <c r="AD93" s="210">
        <f>N(AD29)+N(AD46)+N(AD54)</f>
        <v>80.135</v>
      </c>
      <c r="AE93" s="210">
        <f>N(AE29)+N(AE46)+N(AE54)</f>
        <v>120.691</v>
      </c>
      <c r="AF93" s="210">
        <f>N(AF29)+N(AF46)+N(AF54)</f>
        <v>122.999</v>
      </c>
      <c r="AG93" s="210">
        <f>N(AG29)+N(AG46)+N(AG54)</f>
        <v>101.832</v>
      </c>
      <c r="AH93" s="210">
        <f>N(AH29)+N(AH46)+N(AH54)</f>
        <v>425.657</v>
      </c>
      <c r="AI93" s="210">
        <f>N(AI29)+N(AI46)+N(AI54)</f>
        <v>88.265</v>
      </c>
      <c r="AJ93" s="210">
        <f>N(AJ29)+N(AJ46)+N(AJ54)</f>
        <v>139.561</v>
      </c>
      <c r="AK93" s="210">
        <f>N(AK29)+N(AK46)+N(AK54)</f>
        <v>141.277</v>
      </c>
      <c r="AL93" s="210">
        <f>N(AL29)+N(AL46)+N(AL54)</f>
        <v>121.902</v>
      </c>
      <c r="AM93" s="210">
        <f>N(AM29)+N(AM46)+N(AM54)</f>
        <v>491.005</v>
      </c>
      <c r="AN93" s="210">
        <f>N(AN29)+N(AN46)+N(AN54)</f>
        <v>101.663</v>
      </c>
      <c r="AO93" s="210">
        <f>N(AO29)+N(AO46)+N(AO54)</f>
        <v>149.825</v>
      </c>
      <c r="AP93" s="210">
        <f>N(AP29)+N(AP46)+N(AP54)</f>
        <v>156.613</v>
      </c>
      <c r="AQ93" s="210">
        <f>N(AQ29)+N(AQ46)+N(AQ54)</f>
        <v>132.216</v>
      </c>
      <c r="AR93" s="210">
        <f>N(AR29)+N(AR46)+N(AR54)</f>
        <v>540.317</v>
      </c>
      <c r="AS93" s="210">
        <f>N(AS29)+N(AS46)+N(AS54)</f>
        <v>122.59</v>
      </c>
      <c r="AT93" s="210">
        <f>N(AT29)+N(AT46)+N(AT54)</f>
        <v>135.48</v>
      </c>
      <c r="AU93" s="210">
        <f>N(AU29)+N(AU46)+N(AU54)</f>
        <v>161.171</v>
      </c>
      <c r="AV93" s="210">
        <f>N(AV29)+N(AV46)+N(AV54)</f>
        <v>136.061</v>
      </c>
      <c r="AW93" s="210">
        <f>N(AW29)+N(AW46)+N(AW54)</f>
        <v>555.302</v>
      </c>
      <c r="AX93" s="210">
        <f>N(AX29)+N(AX46)+N(AX54)</f>
        <v>129.451</v>
      </c>
      <c r="AY93" s="210">
        <f>N(AY29)+N(AY46)+N(AY54)</f>
        <v>187.771</v>
      </c>
      <c r="AZ93" s="210">
        <f>N(AZ29)+N(AZ46)+N(AZ54)</f>
        <v>185.084</v>
      </c>
      <c r="BA93" s="210">
        <f>N(BA29)+N(BA46)+N(BA54)</f>
        <v>174.3</v>
      </c>
      <c r="BB93" s="210">
        <f>N(BB29)+N(BB46)+N(BB54)</f>
        <v>676.606</v>
      </c>
      <c r="BC93" s="210">
        <f>N(BC29)+N(BC46)+N(BC54)</f>
        <v>180.259</v>
      </c>
      <c r="BD93" s="210">
        <f>N(BD29)+N(BD46)+N(BD54)</f>
        <v>309.07</v>
      </c>
      <c r="BE93" s="210">
        <f>N(BE29)+N(BE46)+N(BE54)</f>
        <v>308.555</v>
      </c>
      <c r="BF93" s="210">
        <f>N(BF29)+N(BF46)+N(BF54)</f>
        <v>224.244</v>
      </c>
      <c r="BG93" s="210">
        <f>N(BG29)+N(BG46)+N(BG54)</f>
        <v>1022.128</v>
      </c>
      <c r="BH93" s="210">
        <f>N(BH29)+N(BH46)+N(BH54)</f>
        <v>215.138</v>
      </c>
      <c r="BI93" s="210">
        <f>N(BI29)+N(BI46)+N(BI54)</f>
        <v>287.506</v>
      </c>
      <c r="BJ93" s="210">
        <f>N(BJ29)+N(BJ46)+N(BJ54)</f>
        <v>255.017</v>
      </c>
      <c r="BK93" s="210">
        <f>N(BK29)+N(BK46)+N(BK54)</f>
        <v>254.909</v>
      </c>
      <c r="BL93" s="210">
        <f>N(BL29)+N(BL46)+N(BL54)</f>
        <v>1012.57</v>
      </c>
      <c r="BM93" s="210">
        <f>N(BM29)+N(BM46)+N(BM54)</f>
        <v>230.095</v>
      </c>
      <c r="BN93" s="210">
        <f>N(BN29)+N(BN46)+N(BN54)</f>
        <v>327.816</v>
      </c>
      <c r="BO93" s="210">
        <f>N(BO29)+N(BO46)+N(BO54)</f>
        <v>301.814</v>
      </c>
      <c r="BP93" s="210">
        <f>N(BP29)+N(BP46)+N(BP54)</f>
        <v>257.209</v>
      </c>
      <c r="BQ93" s="210">
        <f>N(BQ29)+N(BQ46)+N(BQ54)</f>
        <v>1116.934</v>
      </c>
      <c r="BR93" s="210">
        <f>N(BR29)+N(BR46)+N(BR54)</f>
        <v>234.854</v>
      </c>
      <c r="BS93" s="210">
        <f>N(BS29)+N(BS46)+N(BS54)</f>
        <v>336.237</v>
      </c>
      <c r="BT93" s="210">
        <f>N(BT29)+N(BT46)+N(BT54)</f>
        <v>320.159</v>
      </c>
      <c r="BU93" s="210">
        <f>N(BU29)+N(BU46)+N(BU54)</f>
        <v>278.689</v>
      </c>
      <c r="BV93" s="210">
        <f>N(BV29)+N(BV46)+N(BV54)</f>
        <v>1169.939</v>
      </c>
      <c r="BW93" s="210">
        <f>N(BW29)+N(BW46)+N(BW54)</f>
        <v>247.854</v>
      </c>
      <c r="BX93" s="210">
        <f>N(BX29)+N(BX46)+N(BX54)</f>
        <v>409.024</v>
      </c>
      <c r="BY93" s="210">
        <f>N(BY29)+N(BY46)+N(BY54)+N(BY67)+N(BY82)</f>
        <v>399.826709385798</v>
      </c>
      <c r="BZ93" s="210">
        <f>N(BZ29)+N(BZ46)+N(BZ54)+N(BZ67)+N(BZ82)</f>
        <v>337.835016641599</v>
      </c>
      <c r="CA93" s="210">
        <f>N(CA29)+N(CA46)+N(CA54)+N(CA67)+N(CA82)</f>
        <v>1394.5397260274</v>
      </c>
      <c r="CB93" s="210">
        <f>N(CB29)+N(CB46)+N(CB54)+N(CB67)+N(CB82)</f>
        <v>1550.19634223587</v>
      </c>
      <c r="CC93" s="210">
        <f>N(CC29)+N(CC46)+N(CC54)+N(CC67)+N(CC82)</f>
        <v>1718.78088029056</v>
      </c>
      <c r="CD93" s="210">
        <f>N(CD29)+N(CD46)+N(CD54)+N(CD67)+N(CD82)</f>
        <v>1876.85721465507</v>
      </c>
      <c r="CE93" s="210">
        <f>N(CE29)+N(CE46)+N(CE54)+N(CE67)+N(CE82)</f>
        <v>2029.96444940969</v>
      </c>
      <c r="CF93" s="20" t="n"/>
      <c r="CH93" s="21">
        <f>IFERROR((CE93/BV93)^(1/5)-1,"n/m")</f>
        <v>0.116516235838015</v>
      </c>
      <c r="CI93" s="21">
        <f>IFERROR((BV93/AW93)^(1/5)-1,"n/m")</f>
        <v>0.160718205216312</v>
      </c>
      <c r="CJ93" s="21">
        <f>IFERROR((BV93/X93)^(1/10)-1,"n/m")</f>
        <v>0.0878246114509576</v>
      </c>
      <c r="CK93" s="21">
        <f>IFERROR((BV93/C93)^(1/19)-1,"n/m")</f>
        <v>0.127363753110838</v>
      </c>
    </row>
    <row r="94" hidden="1" outlineLevel="1" ht="15" customHeight="1">
      <c r="B94" s="26" t="inlineStr">
        <is>
          <t xml:space="preserve">  Adjusted EBITDA margin %</t>
        </is>
      </c>
      <c r="C94" s="190">
        <f>IF(AND(ISNUMBER(C93),ISNUMBER(C92)),IFERROR(C93/C92,""),"")</f>
        <v>0.14453326006346</v>
      </c>
      <c r="D94" s="190">
        <f>IF(AND(ISNUMBER(D93),ISNUMBER(D92)),IFERROR(D93/D92,""),"")</f>
        <v>0.140769465539218</v>
      </c>
      <c r="E94" s="190">
        <f>IF(AND(ISNUMBER(E93),ISNUMBER(E92)),IFERROR(E93/E92,""),"")</f>
        <v>0.158355429687993</v>
      </c>
      <c r="F94" s="190">
        <f>IF(AND(ISNUMBER(F93),ISNUMBER(F92)),IFERROR(F93/F92,""),"")</f>
        <v>0.146692483848746</v>
      </c>
      <c r="G94" s="190">
        <f>IF(AND(ISNUMBER(G93),ISNUMBER(G92)),IFERROR(G93/G92,""),"")</f>
        <v>0.181772182315145</v>
      </c>
      <c r="H94" s="190">
        <f>IF(AND(ISNUMBER(H93),ISNUMBER(H92)),IFERROR(H93/H92,""),"")</f>
        <v>0.176403230423721</v>
      </c>
      <c r="I94" s="190">
        <f>IF(AND(ISNUMBER(I93),ISNUMBER(I92)),IFERROR(I93/I92,""),"")</f>
        <v>0.170833051481141</v>
      </c>
      <c r="J94" s="190">
        <f>IF(AND(ISNUMBER(J93),ISNUMBER(J92)),IFERROR(J93/J92,""),"")</f>
        <v>0.129010407544745</v>
      </c>
      <c r="K94" s="190">
        <f>IF(AND(ISNUMBER(K93),ISNUMBER(K92)),IFERROR(K93/K92,""),"")</f>
        <v>0.143621125634494</v>
      </c>
      <c r="L94" s="190">
        <f>IF(AND(ISNUMBER(L93),ISNUMBER(L92)),IFERROR(L93/L92,""),"")</f>
        <v>0.1608224476191</v>
      </c>
      <c r="M94" s="190">
        <f>IF(AND(ISNUMBER(M93),ISNUMBER(M92)),IFERROR(M93/M92,""),"")</f>
        <v>0.147066850118827</v>
      </c>
      <c r="N94" s="190">
        <f>IF(AND(ISNUMBER(N93),ISNUMBER(N92)),IFERROR(N93/N92,""),"")</f>
        <v>0.145343304301048</v>
      </c>
      <c r="O94" s="190">
        <f>IF(AND(ISNUMBER(O93),ISNUMBER(O92)),IFERROR(O93/O92,""),"")</f>
        <v>0.120455858088245</v>
      </c>
      <c r="P94" s="190">
        <f>IF(AND(ISNUMBER(P93),ISNUMBER(P92)),IFERROR(P93/P92,""),"")</f>
        <v>0.15818539744665</v>
      </c>
      <c r="Q94" s="190">
        <f>IF(AND(ISNUMBER(Q93),ISNUMBER(Q92)),IFERROR(Q93/Q92,""),"")</f>
        <v>0.180109575848684</v>
      </c>
      <c r="R94" s="190">
        <f>IF(AND(ISNUMBER(R93),ISNUMBER(R92)),IFERROR(R93/R92,""),"")</f>
        <v>0.154761284886583</v>
      </c>
      <c r="S94" s="190">
        <f>IF(AND(ISNUMBER(S93),ISNUMBER(S92)),IFERROR(S93/S92,""),"")</f>
        <v>0.153431760482309</v>
      </c>
      <c r="T94" s="190">
        <f>IF(AND(ISNUMBER(T93),ISNUMBER(T92)),IFERROR(T93/T92,""),"")</f>
        <v>0.106862944522791</v>
      </c>
      <c r="U94" s="190">
        <f>IF(AND(ISNUMBER(U93),ISNUMBER(U92)),IFERROR(U93/U92,""),"")</f>
        <v>0.174233199605224</v>
      </c>
      <c r="V94" s="190">
        <f>IF(AND(ISNUMBER(V93),ISNUMBER(V92)),IFERROR(V93/V92,""),"")</f>
        <v>0.185374191540757</v>
      </c>
      <c r="W94" s="190">
        <f>IF(AND(ISNUMBER(W93),ISNUMBER(W92)),IFERROR(W93/W92,""),"")</f>
        <v>0.136262278344674</v>
      </c>
      <c r="X94" s="190">
        <f>IF(AND(ISNUMBER(X93),ISNUMBER(X92)),IFERROR(X93/X92,""),"")</f>
        <v>0.153937682606865</v>
      </c>
      <c r="Y94" s="190">
        <f>IF(AND(ISNUMBER(Y93),ISNUMBER(Y92)),IFERROR(Y93/Y92,""),"")</f>
        <v>0.105835244771516</v>
      </c>
      <c r="Z94" s="190">
        <f>IF(AND(ISNUMBER(Z93),ISNUMBER(Z92)),IFERROR(Z93/Z92,""),"")</f>
        <v>0.158341815887944</v>
      </c>
      <c r="AA94" s="190">
        <f>IF(AND(ISNUMBER(AA93),ISNUMBER(AA92)),IFERROR(AA93/AA92,""),"")</f>
        <v>0.173608674196732</v>
      </c>
      <c r="AB94" s="190">
        <f>IF(AND(ISNUMBER(AB93),ISNUMBER(AB92)),IFERROR(AB93/AB92,""),"")</f>
        <v>0.138616093036831</v>
      </c>
      <c r="AC94" s="190">
        <f>IF(AND(ISNUMBER(AC93),ISNUMBER(AC92)),IFERROR(AC93/AC92,""),"")</f>
        <v>0.145307136329288</v>
      </c>
      <c r="AD94" s="190">
        <f>IF(AND(ISNUMBER(AD93),ISNUMBER(AD92)),IFERROR(AD93/AD92,""),"")</f>
        <v>0.116316201242196</v>
      </c>
      <c r="AE94" s="190">
        <f>IF(AND(ISNUMBER(AE93),ISNUMBER(AE92)),IFERROR(AE93/AE92,""),"")</f>
        <v>0.160325350563505</v>
      </c>
      <c r="AF94" s="190">
        <f>IF(AND(ISNUMBER(AF93),ISNUMBER(AF92)),IFERROR(AF93/AF92,""),"")</f>
        <v>0.162730238699418</v>
      </c>
      <c r="AG94" s="190">
        <f>IF(AND(ISNUMBER(AG93),ISNUMBER(AG92)),IFERROR(AG93/AG92,""),"")</f>
        <v>0.136247780648459</v>
      </c>
      <c r="AH94" s="190">
        <f>IF(AND(ISNUMBER(AH93),ISNUMBER(AH92)),IFERROR(AH93/AH92,""),"")</f>
        <v>0.144536563600815</v>
      </c>
      <c r="AI94" s="190">
        <f>IF(AND(ISNUMBER(AI93),ISNUMBER(AI92)),IFERROR(AI93/AI92,""),"")</f>
        <v>0.117721512234288</v>
      </c>
      <c r="AJ94" s="190">
        <f>IF(AND(ISNUMBER(AJ93),ISNUMBER(AJ92)),IFERROR(AJ93/AJ92,""),"")</f>
        <v>0.164355701062251</v>
      </c>
      <c r="AK94" s="190">
        <f>IF(AND(ISNUMBER(AK93),ISNUMBER(AK92)),IFERROR(AK93/AK92,""),"")</f>
        <v>0.167552399781304</v>
      </c>
      <c r="AL94" s="190">
        <f>IF(AND(ISNUMBER(AL93),ISNUMBER(AL92)),IFERROR(AL93/AL92,""),"")</f>
        <v>0.142043150579582</v>
      </c>
      <c r="AM94" s="190">
        <f>IF(AND(ISNUMBER(AM93),ISNUMBER(AM92)),IFERROR(AM93/AM92,""),"")</f>
        <v>0.148775733622034</v>
      </c>
      <c r="AN94" s="190">
        <f>IF(AND(ISNUMBER(AN93),ISNUMBER(AN92)),IFERROR(AN93/AN92,""),"")</f>
        <v>0.130197134108312</v>
      </c>
      <c r="AO94" s="190">
        <f>IF(AND(ISNUMBER(AO93),ISNUMBER(AO92)),IFERROR(AO93/AO92,""),"")</f>
        <v>0.1724747259629</v>
      </c>
      <c r="AP94" s="190">
        <f>IF(AND(ISNUMBER(AP93),ISNUMBER(AP92)),IFERROR(AP93/AP92,""),"")</f>
        <v>0.175640485023574</v>
      </c>
      <c r="AQ94" s="190">
        <f>IF(AND(ISNUMBER(AQ93),ISNUMBER(AQ92)),IFERROR(AQ93/AQ92,""),"")</f>
        <v>0.151797062014569</v>
      </c>
      <c r="AR94" s="190">
        <f>IF(AND(ISNUMBER(AR93),ISNUMBER(AR92)),IFERROR(AR93/AR92,""),"")</f>
        <v>0.158349036835581</v>
      </c>
      <c r="AS94" s="190">
        <f>IF(AND(ISNUMBER(AS93),ISNUMBER(AS92)),IFERROR(AS93/AS92,""),"")</f>
        <v>0.142785095560838</v>
      </c>
      <c r="AT94" s="190">
        <f>IF(AND(ISNUMBER(AT93),ISNUMBER(AT92)),IFERROR(AT93/AT92,""),"")</f>
        <v>0.190816901408451</v>
      </c>
      <c r="AU94" s="190">
        <f>IF(AND(ISNUMBER(AU93),ISNUMBER(AU92)),IFERROR(AU93/AU92,""),"")</f>
        <v>0.206803414153442</v>
      </c>
      <c r="AV94" s="190">
        <f>IF(AND(ISNUMBER(AV93),ISNUMBER(AV92)),IFERROR(AV93/AV92,""),"")</f>
        <v>0.170890114168729</v>
      </c>
      <c r="AW94" s="190">
        <f>IF(AND(ISNUMBER(AW93),ISNUMBER(AW92)),IFERROR(AW93/AW92,""),"")</f>
        <v>0.176617324465498</v>
      </c>
      <c r="AX94" s="190">
        <f>IF(AND(ISNUMBER(AX93),ISNUMBER(AX92)),IFERROR(AX93/AX92,""),"")</f>
        <v>0.160182293342309</v>
      </c>
      <c r="AY94" s="190">
        <f>IF(AND(ISNUMBER(AY93),ISNUMBER(AY92)),IFERROR(AY93/AY92,""),"")</f>
        <v>0.202676214140306</v>
      </c>
      <c r="AZ94" s="190">
        <f>IF(AND(ISNUMBER(AZ93),ISNUMBER(AZ92)),IFERROR(AZ93/AZ92,""),"")</f>
        <v>0.194522422460191</v>
      </c>
      <c r="BA94" s="190">
        <f>IF(AND(ISNUMBER(BA93),ISNUMBER(BA92)),IFERROR(BA93/BA92,""),"")</f>
        <v>0.155697148946699</v>
      </c>
      <c r="BB94" s="190">
        <f>IF(AND(ISNUMBER(BB93),ISNUMBER(BB92)),IFERROR(BB93/BB92,""),"")</f>
        <v>0.177793789412666</v>
      </c>
      <c r="BC94" s="190">
        <f>IF(AND(ISNUMBER(BC93),ISNUMBER(BC92)),IFERROR(BC93/BC92,""),"")</f>
        <v>0.154184939128858</v>
      </c>
      <c r="BD94" s="190">
        <f>IF(AND(ISNUMBER(BD93),ISNUMBER(BD92)),IFERROR(BD93/BD92,""),"")</f>
        <v>0.227875297129274</v>
      </c>
      <c r="BE94" s="190">
        <f>IF(AND(ISNUMBER(BE93),ISNUMBER(BE92)),IFERROR(BE93/BE92,""),"")</f>
        <v>0.226365027591803</v>
      </c>
      <c r="BF94" s="190">
        <f>IF(AND(ISNUMBER(BF93),ISNUMBER(BF92)),IFERROR(BF93/BF92,""),"")</f>
        <v>0.175451334717682</v>
      </c>
      <c r="BG94" s="190">
        <f>IF(AND(ISNUMBER(BG93),ISNUMBER(BG92)),IFERROR(BG93/BG92,""),"")</f>
        <v>0.197833587046039</v>
      </c>
      <c r="BH94" s="190">
        <f>IF(AND(ISNUMBER(BH93),ISNUMBER(BH92)),IFERROR(BH93/BH92,""),"")</f>
        <v>0.164555713036767</v>
      </c>
      <c r="BI94" s="190">
        <f>IF(AND(ISNUMBER(BI93),ISNUMBER(BI92)),IFERROR(BI93/BI92,""),"")</f>
        <v>0.205669933471636</v>
      </c>
      <c r="BJ94" s="190">
        <f>IF(AND(ISNUMBER(BJ93),ISNUMBER(BJ92)),IFERROR(BJ93/BJ92,""),"")</f>
        <v>0.186730429026665</v>
      </c>
      <c r="BK94" s="190">
        <f>IF(AND(ISNUMBER(BK93),ISNUMBER(BK92)),IFERROR(BK93/BK92,""),"")</f>
        <v>0.190490887174938</v>
      </c>
      <c r="BL94" s="190">
        <f>IF(AND(ISNUMBER(BL93),ISNUMBER(BL92)),IFERROR(BL93/BL92,""),"")</f>
        <v>0.187195700915781</v>
      </c>
      <c r="BM94" s="190">
        <f>IF(AND(ISNUMBER(BM93),ISNUMBER(BM92)),IFERROR(BM93/BM92,""),"")</f>
        <v>0.16713578534098</v>
      </c>
      <c r="BN94" s="190">
        <f>IF(AND(ISNUMBER(BN93),ISNUMBER(BN92)),IFERROR(BN93/BN92,""),"")</f>
        <v>0.211123841467774</v>
      </c>
      <c r="BO94" s="190">
        <f>IF(AND(ISNUMBER(BO93),ISNUMBER(BO92)),IFERROR(BO93/BO92,""),"")</f>
        <v>0.197338602426276</v>
      </c>
      <c r="BP94" s="190">
        <f>IF(AND(ISNUMBER(BP93),ISNUMBER(BP92)),IFERROR(BP93/BP92,""),"")</f>
        <v>0.179726171742892</v>
      </c>
      <c r="BQ94" s="190">
        <f>IF(AND(ISNUMBER(BQ93),ISNUMBER(BQ92)),IFERROR(BQ93/BQ92,""),"")</f>
        <v>0.189633803467329</v>
      </c>
      <c r="BR94" s="190">
        <f>IF(AND(ISNUMBER(BR93),ISNUMBER(BR92)),IFERROR(BR93/BR92,""),"")</f>
        <v>0.164009916547366</v>
      </c>
      <c r="BS94" s="190">
        <f>IF(AND(ISNUMBER(BS93),ISNUMBER(BS92)),IFERROR(BS93/BS92,""),"")</f>
        <v>0.216947531832031</v>
      </c>
      <c r="BT94" s="190">
        <f>IF(AND(ISNUMBER(BT93),ISNUMBER(BT92)),IFERROR(BT93/BT92,""),"")</f>
        <v>0.206642583246899</v>
      </c>
      <c r="BU94" s="190">
        <f>IF(AND(ISNUMBER(BU93),ISNUMBER(BU92)),IFERROR(BU93/BU92,""),"")</f>
        <v>0.185830328279865</v>
      </c>
      <c r="BV94" s="190">
        <f>IF(AND(ISNUMBER(BV93),ISNUMBER(BV92)),IFERROR(BV93/BV92,""),"")</f>
        <v>0.193992807300214</v>
      </c>
      <c r="BW94" s="190">
        <f>IF(AND(ISNUMBER(BW93),ISNUMBER(BW92)),IFERROR(BW93/BW92,""),"")</f>
        <v>0.169816866581663</v>
      </c>
      <c r="BX94" s="190">
        <f>IF(AND(ISNUMBER(BX93),ISNUMBER(BX92)),IFERROR(BX93/BX92,""),"")</f>
        <v>0.235748023780911</v>
      </c>
      <c r="BY94" s="179">
        <f>IF(AND(ISNUMBER(BY93),ISNUMBER(BY92)),IFERROR(BY93/BY92,""),"")</f>
        <v>0.232590398394148</v>
      </c>
      <c r="BZ94" s="179">
        <f>IF(AND(ISNUMBER(BZ93),ISNUMBER(BZ92)),IFERROR(BZ93/BZ92,""),"")</f>
        <v>0.20111661129896</v>
      </c>
      <c r="CA94" s="179">
        <f>IF(AND(ISNUMBER(CA93),ISNUMBER(CA92)),IFERROR(CA93/CA92,""),"")</f>
        <v>0.211506844136948</v>
      </c>
      <c r="CB94" s="179">
        <f>IF(AND(ISNUMBER(CB93),ISNUMBER(CB92)),IFERROR(CB93/CB92,""),"")</f>
        <v>0.213014993993991</v>
      </c>
      <c r="CC94" s="179">
        <f>IF(AND(ISNUMBER(CC93),ISNUMBER(CC92)),IFERROR(CC93/CC92,""),"")</f>
        <v>0.218216002274732</v>
      </c>
      <c r="CD94" s="179">
        <f>IF(AND(ISNUMBER(CD93),ISNUMBER(CD92)),IFERROR(CD93/CD92,""),"")</f>
        <v>0.221242203327291</v>
      </c>
      <c r="CE94" s="179">
        <f>IF(AND(ISNUMBER(CE93),ISNUMBER(CE92)),IFERROR(CE93/CE92,""),"")</f>
        <v>0.222830861462085</v>
      </c>
      <c r="CF94" s="20" t="n"/>
      <c r="CH94" s="39">
        <f>IFERROR(AVERAGE(CA94,CB94,CC94,CD94,CE94),"n/m")</f>
        <v>0.217362181039009</v>
      </c>
      <c r="CI94" s="39">
        <f>IFERROR(AVERAGE(BB94,BG94,BL94,BQ94,BV94),"n/m")</f>
        <v>0.189289937628406</v>
      </c>
      <c r="CJ94" s="39">
        <f>IFERROR(AVERAGE(AC94,AH94,AM94,AR94,AW94,BB94,BG94,BL94,BQ94,BV94),"n/m")</f>
        <v>0.172003548299524</v>
      </c>
      <c r="CK94" s="39">
        <f>IFERROR(AVERAGE(C94,D94,E94,F94,G94,H94,I94,N94,S94,X94,AC94,AH94,AM94,AR94,AW94,BB94,BG94,BL94,BQ94,BV94),"n/m")</f>
        <v>0.164605366687245</v>
      </c>
    </row>
    <row r="95" hidden="1" outlineLevel="2" ht="15" customHeight="1">
      <c r="B95" s="23" t="inlineStr">
        <is>
          <t xml:space="preserve">  Revenues y/y %</t>
        </is>
      </c>
      <c r="C95" s="24" t="n"/>
      <c r="D95" s="178">
        <f>IF(AND(ISNUMBER(D92),ISNUMBER(C92)),IFERROR(D92/C92-1,""),"")</f>
        <v>0.141126451990759</v>
      </c>
      <c r="E95" s="178">
        <f>IF(AND(ISNUMBER(E92),ISNUMBER(D92)),IFERROR(E92/D92-1,""),"")</f>
        <v>0.088493500486315</v>
      </c>
      <c r="F95" s="178">
        <f>IF(AND(ISNUMBER(F92),ISNUMBER(E92)),IFERROR(F92/E92-1,""),"")</f>
        <v>0.0422105862640716</v>
      </c>
      <c r="G95" s="178">
        <f>IF(AND(ISNUMBER(G92),ISNUMBER(F92)),IFERROR(G92/F92-1,""),"")</f>
        <v>0.611628902831822</v>
      </c>
      <c r="H95" s="178">
        <f>IF(AND(ISNUMBER(H92),ISNUMBER(G92)),IFERROR(H92/G92-1,""),"")</f>
        <v>0.146075307697817</v>
      </c>
      <c r="I95" s="178">
        <f>IF(AND(ISNUMBER(I92),ISNUMBER(H92)),IFERROR(I92/H92-1,""),"")</f>
        <v>0.102700621328377</v>
      </c>
      <c r="J95" s="24" t="n"/>
      <c r="K95" s="24" t="n"/>
      <c r="L95" s="24" t="n"/>
      <c r="M95" s="24" t="n"/>
      <c r="N95" s="178">
        <f>IF(AND(ISNUMBER(N92),ISNUMBER(I92)),IFERROR(N92/I92-1,""),"")</f>
        <v>0.604114981068674</v>
      </c>
      <c r="O95" s="178">
        <f>IF(AND(ISNUMBER(O92),ISNUMBER(J92)),IFERROR(O92/J92-1,""),"")</f>
        <v>-0.0179733994615867</v>
      </c>
      <c r="P95" s="178">
        <f>IF(AND(ISNUMBER(P92),ISNUMBER(K92)),IFERROR(P92/K92-1,""),"")</f>
        <v>-0.00237993417994531</v>
      </c>
      <c r="Q95" s="178">
        <f>IF(AND(ISNUMBER(Q92),ISNUMBER(L92)),IFERROR(Q92/L92-1,""),"")</f>
        <v>-0.0617827411614978</v>
      </c>
      <c r="R95" s="178">
        <f>IF(AND(ISNUMBER(R92),ISNUMBER(M92)),IFERROR(R92/M92-1,""),"")</f>
        <v>-0.039123068351091</v>
      </c>
      <c r="S95" s="178">
        <f>IF(AND(ISNUMBER(S92),ISNUMBER(N92)),IFERROR(S92/N92-1,""),"")</f>
        <v>-0.0307779451889301</v>
      </c>
      <c r="T95" s="178">
        <f>IF(AND(ISNUMBER(T92),ISNUMBER(O92)),IFERROR(T92/O92-1,""),"")</f>
        <v>-0.134844041399984</v>
      </c>
      <c r="U95" s="178">
        <f>IF(AND(ISNUMBER(U92),ISNUMBER(P92)),IFERROR(U92/P92-1,""),"")</f>
        <v>0.0905647190383003</v>
      </c>
      <c r="V95" s="178">
        <f>IF(AND(ISNUMBER(V92),ISNUMBER(Q92)),IFERROR(V92/Q92-1,""),"")</f>
        <v>0.049210478410739</v>
      </c>
      <c r="W95" s="178">
        <f>IF(AND(ISNUMBER(W92),ISNUMBER(R92)),IFERROR(W92/R92-1,""),"")</f>
        <v>-0.156184913091226</v>
      </c>
      <c r="X95" s="178">
        <f>IF(AND(ISNUMBER(X92),ISNUMBER(S92)),IFERROR(X92/S92-1,""),"")</f>
        <v>-0.0371876943917573</v>
      </c>
      <c r="Y95" s="178">
        <f>IF(AND(ISNUMBER(Y92),ISNUMBER(T92)),IFERROR(Y92/T92-1,""),"")</f>
        <v>-0.131626118260912</v>
      </c>
      <c r="Z95" s="178">
        <f>IF(AND(ISNUMBER(Z92),ISNUMBER(U92)),IFERROR(Z92/U92-1,""),"")</f>
        <v>-0.25497848814605</v>
      </c>
      <c r="AA95" s="178">
        <f>IF(AND(ISNUMBER(AA92),ISNUMBER(V92)),IFERROR(AA92/V92-1,""),"")</f>
        <v>-0.18340299496511</v>
      </c>
      <c r="AB95" s="178">
        <f>IF(AND(ISNUMBER(AB92),ISNUMBER(W92)),IFERROR(AB92/W92-1,""),"")</f>
        <v>-0.0293544297406609</v>
      </c>
      <c r="AC95" s="178">
        <f>IF(AND(ISNUMBER(AC92),ISNUMBER(X92)),IFERROR(AC92/X92-1,""),"")</f>
        <v>-0.158744809759103</v>
      </c>
      <c r="AD95" s="178">
        <f>IF(AND(ISNUMBER(AD92),ISNUMBER(Y92)),IFERROR(AD92/Y92-1,""),"")</f>
        <v>0.0830992181837906</v>
      </c>
      <c r="AE95" s="178">
        <f>IF(AND(ISNUMBER(AE92),ISNUMBER(Z92)),IFERROR(AE92/Z92-1,""),"")</f>
        <v>0.0792504766956745</v>
      </c>
      <c r="AF95" s="178">
        <f>IF(AND(ISNUMBER(AF92),ISNUMBER(AA92)),IFERROR(AF92/AA92-1,""),"")</f>
        <v>0.036086741967321</v>
      </c>
      <c r="AG95" s="178">
        <f>IF(AND(ISNUMBER(AG92),ISNUMBER(AB92)),IFERROR(AG92/AB92-1,""),"")</f>
        <v>0.0798857989952506</v>
      </c>
      <c r="AH95" s="178">
        <f>IF(AND(ISNUMBER(AH92),ISNUMBER(AC92)),IFERROR(AH92/AC92-1,""),"")</f>
        <v>0.068869849515067</v>
      </c>
      <c r="AI95" s="178">
        <f>IF(AND(ISNUMBER(AI92),ISNUMBER(AD92)),IFERROR(AI92/AD92-1,""),"")</f>
        <v>0.0883050943404442</v>
      </c>
      <c r="AJ95" s="178">
        <f>IF(AND(ISNUMBER(AJ92),ISNUMBER(AE92)),IFERROR(AJ92/AE92-1,""),"")</f>
        <v>0.127993538685526</v>
      </c>
      <c r="AK95" s="178">
        <f>IF(AND(ISNUMBER(AK92),ISNUMBER(AF92)),IFERROR(AK92/AF92-1,""),"")</f>
        <v>0.115546023925509</v>
      </c>
      <c r="AL95" s="178">
        <f>IF(AND(ISNUMBER(AL92),ISNUMBER(AG92)),IFERROR(AL92/AG92-1,""),"")</f>
        <v>0.148248000074926</v>
      </c>
      <c r="AM95" s="178">
        <f>IF(AND(ISNUMBER(AM92),ISNUMBER(AH92)),IFERROR(AM92/AH92-1,""),"")</f>
        <v>0.120654551578993</v>
      </c>
      <c r="AN95" s="178">
        <f>IF(AND(ISNUMBER(AN92),ISNUMBER(AI92)),IFERROR(AN92/AI92-1,""),"")</f>
        <v>0.0414269290376619</v>
      </c>
      <c r="AO95" s="178">
        <f>IF(AND(ISNUMBER(AO92),ISNUMBER(AJ92)),IFERROR(AO92/AJ92-1,""),"")</f>
        <v>0.0230091622111783</v>
      </c>
      <c r="AP95" s="178">
        <f>IF(AND(ISNUMBER(AP92),ISNUMBER(AK92)),IFERROR(AP92/AK92-1,""),"")</f>
        <v>0.0575048536435236</v>
      </c>
      <c r="AQ95" s="178">
        <f>IF(AND(ISNUMBER(AQ92),ISNUMBER(AL92)),IFERROR(AQ92/AL92-1,""),"")</f>
        <v>0.0149160339499699</v>
      </c>
      <c r="AR95" s="178">
        <f>IF(AND(ISNUMBER(AR92),ISNUMBER(AM92)),IFERROR(AR92/AM92-1,""),"")</f>
        <v>0.0339020386915989</v>
      </c>
      <c r="AS95" s="178">
        <f>IF(AND(ISNUMBER(AS92),ISNUMBER(AN92)),IFERROR(AS92/AN92-1,""),"")</f>
        <v>0.0995390855221114</v>
      </c>
      <c r="AT95" s="178">
        <f>IF(AND(ISNUMBER(AT92),ISNUMBER(AO92)),IFERROR(AT92/AO92-1,""),"")</f>
        <v>-0.182666074195502</v>
      </c>
      <c r="AU95" s="178">
        <f>IF(AND(ISNUMBER(AU92),ISNUMBER(AP92)),IFERROR(AU92/AP92-1,""),"")</f>
        <v>-0.125970652754164</v>
      </c>
      <c r="AV95" s="178">
        <f>IF(AND(ISNUMBER(AV92),ISNUMBER(AQ92)),IFERROR(AV92/AQ92-1,""),"")</f>
        <v>-0.085895029305228</v>
      </c>
      <c r="AW95" s="178">
        <f>IF(AND(ISNUMBER(AW92),ISNUMBER(AR92)),IFERROR(AW92/AR92-1,""),"")</f>
        <v>-0.0785691887028566</v>
      </c>
      <c r="AX95" s="178">
        <f>IF(AND(ISNUMBER(AX92),ISNUMBER(AS92)),IFERROR(AX92/AS92-1,""),"")</f>
        <v>-0.0587202103980722</v>
      </c>
      <c r="AY95" s="178">
        <f>IF(AND(ISNUMBER(AY92),ISNUMBER(AT92)),IFERROR(AY92/AT92-1,""),"")</f>
        <v>0.304870422535211</v>
      </c>
      <c r="AZ95" s="178">
        <f>IF(AND(ISNUMBER(AZ92),ISNUMBER(AU92)),IFERROR(AZ92/AU92-1,""),"")</f>
        <v>0.220871656162106</v>
      </c>
      <c r="BA95" s="178">
        <f>IF(AND(ISNUMBER(BA92),ISNUMBER(AV92)),IFERROR(BA92/AV92-1,""),"")</f>
        <v>0.406047551463847</v>
      </c>
      <c r="BB95" s="178">
        <f>IF(AND(ISNUMBER(BB92),ISNUMBER(AW92)),IFERROR(BB92/AW92-1,""),"")</f>
        <v>0.210384412440202</v>
      </c>
      <c r="BC95" s="178">
        <f>IF(AND(ISNUMBER(BC92),ISNUMBER(AX92)),IFERROR(BC92/AX92-1,""),"")</f>
        <v>0.44665209837802</v>
      </c>
      <c r="BD95" s="178">
        <f>IF(AND(ISNUMBER(BD92),ISNUMBER(AY92)),IFERROR(BD92/AY92-1,""),"")</f>
        <v>0.463975701003176</v>
      </c>
      <c r="BE95" s="178">
        <f>IF(AND(ISNUMBER(BE92),ISNUMBER(AZ92)),IFERROR(BE92/AZ92-1,""),"")</f>
        <v>0.432597041027705</v>
      </c>
      <c r="BF95" s="178">
        <f>IF(AND(ISNUMBER(BF92),ISNUMBER(BA92)),IFERROR(BF92/BA92-1,""),"")</f>
        <v>0.14168797862581</v>
      </c>
      <c r="BG95" s="178">
        <f>IF(AND(ISNUMBER(BG92),ISNUMBER(BB92)),IFERROR(BG92/BB92-1,""),"")</f>
        <v>0.357644303107606</v>
      </c>
      <c r="BH95" s="178">
        <f>IF(AND(ISNUMBER(BH92),ISNUMBER(BC92)),IFERROR(BH92/BC92-1,""),"")</f>
        <v>0.118276396811589</v>
      </c>
      <c r="BI95" s="178">
        <f>IF(AND(ISNUMBER(BI92),ISNUMBER(BD92)),IFERROR(BI92/BD92-1,""),"")</f>
        <v>0.0306625614165474</v>
      </c>
      <c r="BJ95" s="178">
        <f>IF(AND(ISNUMBER(BJ92),ISNUMBER(BE92)),IFERROR(BJ92/BE92-1,""),"")</f>
        <v>0.00191477280230323</v>
      </c>
      <c r="BK95" s="178">
        <f>IF(AND(ISNUMBER(BK92),ISNUMBER(BF92)),IFERROR(BK92/BF92-1,""),"")</f>
        <v>0.0470003082705706</v>
      </c>
      <c r="BL95" s="178">
        <f>IF(AND(ISNUMBER(BL92),ISNUMBER(BG92)),IFERROR(BL92/BG92-1,""),"")</f>
        <v>0.0469451409581341</v>
      </c>
      <c r="BM95" s="178">
        <f>IF(AND(ISNUMBER(BM92),ISNUMBER(BH92)),IFERROR(BM92/BH92-1,""),"")</f>
        <v>0.0530126121798673</v>
      </c>
      <c r="BN95" s="178">
        <f>IF(AND(ISNUMBER(BN92),ISNUMBER(BI92)),IFERROR(BN92/BI92-1,""),"")</f>
        <v>0.110751126690035</v>
      </c>
      <c r="BO95" s="178">
        <f>IF(AND(ISNUMBER(BO92),ISNUMBER(BJ92)),IFERROR(BO92/BJ92-1,""),"")</f>
        <v>0.119884659543559</v>
      </c>
      <c r="BP95" s="178">
        <f>IF(AND(ISNUMBER(BP92),ISNUMBER(BK92)),IFERROR(BP92/BK92-1,""),"")</f>
        <v>0.0694583419583026</v>
      </c>
      <c r="BQ95" s="178">
        <f>IF(AND(ISNUMBER(BQ92),ISNUMBER(BL92)),IFERROR(BQ92/BL92-1,""),"")</f>
        <v>0.0888863910646254</v>
      </c>
      <c r="BR95" s="178">
        <f>IF(AND(ISNUMBER(BR92),ISNUMBER(BM92)),IFERROR(BR92/BM92-1,""),"")</f>
        <v>0.0401359778309647</v>
      </c>
      <c r="BS95" s="178">
        <f>IF(AND(ISNUMBER(BS92),ISNUMBER(BN92)),IFERROR(BS92/BN92-1,""),"")</f>
        <v>-0.00184515034594157</v>
      </c>
      <c r="BT95" s="178">
        <f>IF(AND(ISNUMBER(BT92),ISNUMBER(BO92)),IFERROR(BT92/BO92-1,""),"")</f>
        <v>0.0130212590115744</v>
      </c>
      <c r="BU95" s="178">
        <f>IF(AND(ISNUMBER(BU92),ISNUMBER(BP92)),IFERROR(BU92/BP92-1,""),"")</f>
        <v>0.047920643749354</v>
      </c>
      <c r="BV95" s="178">
        <f>IF(AND(ISNUMBER(BV92),ISNUMBER(BQ92)),IFERROR(BV92/BQ92-1,""),"")</f>
        <v>0.0239195497688265</v>
      </c>
      <c r="BW95" s="178">
        <f>IF(AND(ISNUMBER(BW92),ISNUMBER(BR92)),IFERROR(BW92/BR92-1,""),"")</f>
        <v>0.0192653374768672</v>
      </c>
      <c r="BX95" s="178">
        <f>IF(AND(ISNUMBER(BX92),ISNUMBER(BS92)),IFERROR(BX92/BS92-1,""),"")</f>
        <v>0.119463510756497</v>
      </c>
      <c r="BY95" s="179">
        <f>IFERROR(BY92/BT92-1,"")</f>
        <v>0.109517426017692</v>
      </c>
      <c r="BZ95" s="179">
        <f>IFERROR(BZ92/BU92-1,"")</f>
        <v>0.120091460819164</v>
      </c>
      <c r="CA95" s="179">
        <f>IFERROR(CA92/BV92-1,"")</f>
        <v>0.0932736341072775</v>
      </c>
      <c r="CB95" s="179">
        <f>IFERROR(CB92/CA92-1,"")</f>
        <v>0.103748352579642</v>
      </c>
      <c r="CC95" s="179">
        <f>IFERROR(CC92/CB92-1,"")</f>
        <v>0.0823242400683273</v>
      </c>
      <c r="CD95" s="179">
        <f>IFERROR(CD92/CC92-1,"")</f>
        <v>0.0770338191908271</v>
      </c>
      <c r="CE95" s="179">
        <f>IFERROR(CE92/CD92-1,"")</f>
        <v>0.0738653607480411</v>
      </c>
      <c r="CF95" s="20" t="n"/>
    </row>
    <row r="96" hidden="1" outlineLevel="2" ht="15" customHeight="1">
      <c r="B96" s="61" t="inlineStr">
        <is>
          <t xml:space="preserve">  Check: segment build vs consolidated revenues (should be 0)</t>
        </is>
      </c>
      <c r="C96" s="188">
        <f>ROUND(C92-C138,1)</f>
        <v>0</v>
      </c>
      <c r="D96" s="188">
        <f>ROUND(D92-D138,1)</f>
        <v>0</v>
      </c>
      <c r="E96" s="188">
        <f>ROUND(E92-E138,1)</f>
        <v>0</v>
      </c>
      <c r="F96" s="188">
        <f>ROUND(F92-F138,1)</f>
        <v>0</v>
      </c>
      <c r="G96" s="188">
        <f>ROUND(G92-G138,1)</f>
        <v>0</v>
      </c>
      <c r="H96" s="188">
        <f>ROUND(H92-H138,1)</f>
        <v>0</v>
      </c>
      <c r="I96" s="188">
        <f>ROUND(I92-I138,1)</f>
        <v>0</v>
      </c>
      <c r="J96" s="188">
        <f>ROUND(J92-J138,1)</f>
        <v>0</v>
      </c>
      <c r="K96" s="188">
        <f>ROUND(K92-K138,1)</f>
        <v>0</v>
      </c>
      <c r="L96" s="188">
        <f>ROUND(L92-L138,1)</f>
        <v>0</v>
      </c>
      <c r="M96" s="188">
        <f>ROUND(M92-M138,1)</f>
        <v>0</v>
      </c>
      <c r="N96" s="188">
        <f>ROUND(N92-N138,1)</f>
        <v>0</v>
      </c>
      <c r="O96" s="188">
        <f>ROUND(O92-O138,1)</f>
        <v>0</v>
      </c>
      <c r="P96" s="188">
        <f>ROUND(P92-P138,1)</f>
        <v>0</v>
      </c>
      <c r="Q96" s="188">
        <f>ROUND(Q92-Q138,1)</f>
        <v>0</v>
      </c>
      <c r="R96" s="188">
        <f>ROUND(R92-R138,1)</f>
        <v>0</v>
      </c>
      <c r="S96" s="188">
        <f>ROUND(S92-S138,1)</f>
        <v>0</v>
      </c>
      <c r="T96" s="188">
        <f>ROUND(T92-T138,1)</f>
        <v>0</v>
      </c>
      <c r="U96" s="188">
        <f>ROUND(U92-U138,1)</f>
        <v>0</v>
      </c>
      <c r="V96" s="188">
        <f>ROUND(V92-V138,1)</f>
        <v>0</v>
      </c>
      <c r="W96" s="188">
        <f>ROUND(W92-W138,1)</f>
        <v>0</v>
      </c>
      <c r="X96" s="188">
        <f>ROUND(X92-X138,1)</f>
        <v>0</v>
      </c>
      <c r="Y96" s="188">
        <f>ROUND(Y92-Y138,1)</f>
        <v>0</v>
      </c>
      <c r="Z96" s="188">
        <f>ROUND(Z92-Z138,1)</f>
        <v>0</v>
      </c>
      <c r="AA96" s="188">
        <f>ROUND(AA92-AA138,1)</f>
        <v>0</v>
      </c>
      <c r="AB96" s="188">
        <f>ROUND(AB92-AB138,1)</f>
        <v>0</v>
      </c>
      <c r="AC96" s="188">
        <f>ROUND(AC92-AC138,1)</f>
        <v>0</v>
      </c>
      <c r="AD96" s="188">
        <f>ROUND(AD92-AD138,1)</f>
        <v>0</v>
      </c>
      <c r="AE96" s="188">
        <f>ROUND(AE92-AE138,1)</f>
        <v>0</v>
      </c>
      <c r="AF96" s="188">
        <f>ROUND(AF92-AF138,1)</f>
        <v>0</v>
      </c>
      <c r="AG96" s="188">
        <f>ROUND(AG92-AG138,1)</f>
        <v>0</v>
      </c>
      <c r="AH96" s="188">
        <f>ROUND(AH92-AH138,1)</f>
        <v>0</v>
      </c>
      <c r="AI96" s="188">
        <f>ROUND(AI92-AI138,1)</f>
        <v>0</v>
      </c>
      <c r="AJ96" s="188">
        <f>ROUND(AJ92-AJ138,1)</f>
        <v>0</v>
      </c>
      <c r="AK96" s="188">
        <f>ROUND(AK92-AK138,1)</f>
        <v>0</v>
      </c>
      <c r="AL96" s="188">
        <f>ROUND(AL92-AL138,1)</f>
        <v>0</v>
      </c>
      <c r="AM96" s="188">
        <f>ROUND(AM92-AM138,1)</f>
        <v>0</v>
      </c>
      <c r="AN96" s="188">
        <f>ROUND(AN92-AN138,1)</f>
        <v>0</v>
      </c>
      <c r="AO96" s="188">
        <f>ROUND(AO92-AO138,1)</f>
        <v>0</v>
      </c>
      <c r="AP96" s="188">
        <f>ROUND(AP92-AP138,1)</f>
        <v>0</v>
      </c>
      <c r="AQ96" s="188">
        <f>ROUND(AQ92-AQ138,1)</f>
        <v>0</v>
      </c>
      <c r="AR96" s="188">
        <f>ROUND(AR92-AR138,1)</f>
        <v>0</v>
      </c>
      <c r="AS96" s="188">
        <f>ROUND(AS92-AS138,1)</f>
        <v>0</v>
      </c>
      <c r="AT96" s="188">
        <f>ROUND(AT92-AT138,1)</f>
        <v>0</v>
      </c>
      <c r="AU96" s="188">
        <f>ROUND(AU92-AU138,1)</f>
        <v>0</v>
      </c>
      <c r="AV96" s="188">
        <f>ROUND(AV92-AV138,1)</f>
        <v>0</v>
      </c>
      <c r="AW96" s="188">
        <f>ROUND(AW92-AW138,1)</f>
        <v>0</v>
      </c>
      <c r="AX96" s="188">
        <f>ROUND(AX92-AX138,1)</f>
        <v>0</v>
      </c>
      <c r="AY96" s="188">
        <f>ROUND(AY92-AY138,1)</f>
        <v>0</v>
      </c>
      <c r="AZ96" s="188">
        <f>ROUND(AZ92-AZ138,1)</f>
        <v>0</v>
      </c>
      <c r="BA96" s="188">
        <f>ROUND(BA92-BA138,1)</f>
        <v>0</v>
      </c>
      <c r="BB96" s="188">
        <f>ROUND(BB92-BB138,1)</f>
        <v>0</v>
      </c>
      <c r="BC96" s="188">
        <f>ROUND(BC92-BC138,1)</f>
        <v>0</v>
      </c>
      <c r="BD96" s="188">
        <f>ROUND(BD92-BD138,1)</f>
        <v>0</v>
      </c>
      <c r="BE96" s="188">
        <f>ROUND(BE92-BE138,1)</f>
        <v>0</v>
      </c>
      <c r="BF96" s="188">
        <f>ROUND(BF92-BF138,1)</f>
        <v>0</v>
      </c>
      <c r="BG96" s="188">
        <f>ROUND(BG92-BG138,1)</f>
        <v>0</v>
      </c>
      <c r="BH96" s="188">
        <f>ROUND(BH92-BH138,1)</f>
        <v>0</v>
      </c>
      <c r="BI96" s="188">
        <f>ROUND(BI92-BI138,1)</f>
        <v>0</v>
      </c>
      <c r="BJ96" s="188">
        <f>ROUND(BJ92-BJ138,1)</f>
        <v>0</v>
      </c>
      <c r="BK96" s="188">
        <f>ROUND(BK92-BK138,1)</f>
        <v>0</v>
      </c>
      <c r="BL96" s="188">
        <f>ROUND(BL92-BL138,1)</f>
        <v>0</v>
      </c>
      <c r="BM96" s="188">
        <f>ROUND(BM92-BM138,1)</f>
        <v>0</v>
      </c>
      <c r="BN96" s="188">
        <f>ROUND(BN92-BN138,1)</f>
        <v>0</v>
      </c>
      <c r="BO96" s="188">
        <f>ROUND(BO92-BO138,1)</f>
        <v>0</v>
      </c>
      <c r="BP96" s="188">
        <f>ROUND(BP92-BP138,1)</f>
        <v>0</v>
      </c>
      <c r="BQ96" s="188">
        <f>ROUND(BQ92-BQ138,1)</f>
        <v>0</v>
      </c>
      <c r="BR96" s="188">
        <f>ROUND(BR92-BR138,1)</f>
        <v>0</v>
      </c>
      <c r="BS96" s="188">
        <f>ROUND(BS92-BS138,1)</f>
        <v>0</v>
      </c>
      <c r="BT96" s="188">
        <f>ROUND(BT92-BT138,1)</f>
        <v>0</v>
      </c>
      <c r="BU96" s="188">
        <f>ROUND(BU92-BU138,1)</f>
        <v>0</v>
      </c>
      <c r="BV96" s="188">
        <f>ROUND(BV92-BV138,1)</f>
        <v>0</v>
      </c>
      <c r="BW96" s="188">
        <f>ROUND(BW92-BW138,1)</f>
        <v>0</v>
      </c>
      <c r="BX96" s="188">
        <f>ROUND(BX92-BX138,1)</f>
        <v>0</v>
      </c>
      <c r="BY96" s="211">
        <f>ROUND(BY92-BY138,1)</f>
        <v>0</v>
      </c>
      <c r="BZ96" s="211">
        <f>ROUND(BZ92-BZ138,1)</f>
        <v>0</v>
      </c>
      <c r="CA96" s="211">
        <f>ROUND(CA92-CA138,1)</f>
        <v>0</v>
      </c>
      <c r="CB96" s="211">
        <f>ROUND(CB92-CB138,1)</f>
        <v>0</v>
      </c>
      <c r="CC96" s="211">
        <f>ROUND(CC92-CC138,1)</f>
        <v>0</v>
      </c>
      <c r="CD96" s="211">
        <f>ROUND(CD92-CD138,1)</f>
        <v>0</v>
      </c>
      <c r="CE96" s="211">
        <f>ROUND(CE92-CE138,1)</f>
        <v>0</v>
      </c>
      <c r="CF96" s="177" t="n"/>
    </row>
    <row r="97" hidden="1" outlineLevel="2" ht="15" customHeight="1">
      <c r="B97" s="61" t="inlineStr">
        <is>
          <t xml:space="preserve">  Check: segment build vs Adjusted EBITDA bridge (should be 0)</t>
        </is>
      </c>
      <c r="C97" s="188">
        <f>ROUND(C93-C187,1)</f>
        <v>0</v>
      </c>
      <c r="D97" s="188">
        <f>ROUND(D93-D187,1)</f>
        <v>0</v>
      </c>
      <c r="E97" s="188">
        <f>ROUND(E93-E187,1)</f>
        <v>0</v>
      </c>
      <c r="F97" s="188">
        <f>ROUND(F93-F187,1)</f>
        <v>0</v>
      </c>
      <c r="G97" s="188">
        <f>ROUND(G93-G187,1)</f>
        <v>0</v>
      </c>
      <c r="H97" s="188">
        <f>ROUND(H93-H187,1)</f>
        <v>0</v>
      </c>
      <c r="I97" s="188">
        <f>ROUND(I93-I187,1)</f>
        <v>0</v>
      </c>
      <c r="J97" s="188">
        <f>ROUND(J93-J187,1)</f>
        <v>0</v>
      </c>
      <c r="K97" s="188">
        <f>ROUND(K93-K187,1)</f>
        <v>0</v>
      </c>
      <c r="L97" s="188">
        <f>ROUND(L93-L187,1)</f>
        <v>0</v>
      </c>
      <c r="M97" s="188">
        <f>ROUND(M93-M187,1)</f>
        <v>0</v>
      </c>
      <c r="N97" s="188">
        <f>ROUND(N93-N187,1)</f>
        <v>0</v>
      </c>
      <c r="O97" s="188">
        <f>ROUND(O93-O187,1)</f>
        <v>0</v>
      </c>
      <c r="P97" s="188">
        <f>ROUND(P93-P187,1)</f>
        <v>0</v>
      </c>
      <c r="Q97" s="188">
        <f>ROUND(Q93-Q187,1)</f>
        <v>0</v>
      </c>
      <c r="R97" s="188">
        <f>ROUND(R93-R187,1)</f>
        <v>0</v>
      </c>
      <c r="S97" s="188">
        <f>ROUND(S93-S187,1)</f>
        <v>0</v>
      </c>
      <c r="T97" s="188">
        <f>ROUND(T93-T187,1)</f>
        <v>0</v>
      </c>
      <c r="U97" s="188">
        <f>ROUND(U93-U187,1)</f>
        <v>0</v>
      </c>
      <c r="V97" s="188">
        <f>ROUND(V93-V187,1)</f>
        <v>0</v>
      </c>
      <c r="W97" s="188">
        <f>ROUND(W93-W187,1)</f>
        <v>0</v>
      </c>
      <c r="X97" s="188">
        <f>ROUND(X93-X187,1)</f>
        <v>0</v>
      </c>
      <c r="Y97" s="188">
        <f>ROUND(Y93-Y187,1)</f>
        <v>0</v>
      </c>
      <c r="Z97" s="188">
        <f>ROUND(Z93-Z187,1)</f>
        <v>0</v>
      </c>
      <c r="AA97" s="188">
        <f>ROUND(AA93-AA187,1)</f>
        <v>0</v>
      </c>
      <c r="AB97" s="188">
        <f>ROUND(AB93-AB187,1)</f>
        <v>0</v>
      </c>
      <c r="AC97" s="188">
        <f>ROUND(AC93-AC187,1)</f>
        <v>0</v>
      </c>
      <c r="AD97" s="188">
        <f>ROUND(AD93-AD187,1)</f>
        <v>0</v>
      </c>
      <c r="AE97" s="188">
        <f>ROUND(AE93-AE187,1)</f>
        <v>0</v>
      </c>
      <c r="AF97" s="188">
        <f>ROUND(AF93-AF187,1)</f>
        <v>0</v>
      </c>
      <c r="AG97" s="188">
        <f>ROUND(AG93-AG187,1)</f>
        <v>0</v>
      </c>
      <c r="AH97" s="188">
        <f>ROUND(AH93-AH187,1)</f>
        <v>0</v>
      </c>
      <c r="AI97" s="188">
        <f>ROUND(AI93-AI187,1)</f>
        <v>0</v>
      </c>
      <c r="AJ97" s="188">
        <f>ROUND(AJ93-AJ187,1)</f>
        <v>0</v>
      </c>
      <c r="AK97" s="188">
        <f>ROUND(AK93-AK187,1)</f>
        <v>0</v>
      </c>
      <c r="AL97" s="188">
        <f>ROUND(AL93-AL187,1)</f>
        <v>0</v>
      </c>
      <c r="AM97" s="188">
        <f>ROUND(AM93-AM187,1)</f>
        <v>0</v>
      </c>
      <c r="AN97" s="188">
        <f>ROUND(AN93-AN187,1)</f>
        <v>0</v>
      </c>
      <c r="AO97" s="188">
        <f>ROUND(AO93-AO187,1)</f>
        <v>0</v>
      </c>
      <c r="AP97" s="188">
        <f>ROUND(AP93-AP187,1)</f>
        <v>0</v>
      </c>
      <c r="AQ97" s="188">
        <f>ROUND(AQ93-AQ187,1)</f>
        <v>0</v>
      </c>
      <c r="AR97" s="188">
        <f>ROUND(AR93-AR187,1)</f>
        <v>0</v>
      </c>
      <c r="AS97" s="188">
        <f>ROUND(AS93-AS187,1)</f>
        <v>0</v>
      </c>
      <c r="AT97" s="188">
        <f>ROUND(AT93-AT187,1)</f>
        <v>0</v>
      </c>
      <c r="AU97" s="188">
        <f>ROUND(AU93-AU187,1)</f>
        <v>0</v>
      </c>
      <c r="AV97" s="188">
        <f>ROUND(AV93-AV187,1)</f>
        <v>0</v>
      </c>
      <c r="AW97" s="188">
        <f>ROUND(AW93-AW187,1)</f>
        <v>0</v>
      </c>
      <c r="AX97" s="188">
        <f>ROUND(AX93-AX187,1)</f>
        <v>0</v>
      </c>
      <c r="AY97" s="188">
        <f>ROUND(AY93-AY187,1)</f>
        <v>0</v>
      </c>
      <c r="AZ97" s="188">
        <f>ROUND(AZ93-AZ187,1)</f>
        <v>0</v>
      </c>
      <c r="BA97" s="188">
        <f>ROUND(BA93-BA187,1)</f>
        <v>0</v>
      </c>
      <c r="BB97" s="188">
        <f>ROUND(BB93-BB187,1)</f>
        <v>0</v>
      </c>
      <c r="BC97" s="188">
        <f>ROUND(BC93-BC187,1)</f>
        <v>0</v>
      </c>
      <c r="BD97" s="188">
        <f>ROUND(BD93-BD187,1)</f>
        <v>0</v>
      </c>
      <c r="BE97" s="188">
        <f>ROUND(BE93-BE187,1)</f>
        <v>0</v>
      </c>
      <c r="BF97" s="188">
        <f>ROUND(BF93-BF187,1)</f>
        <v>0</v>
      </c>
      <c r="BG97" s="188">
        <f>ROUND(BG93-BG187,1)</f>
        <v>0</v>
      </c>
      <c r="BH97" s="188">
        <f>ROUND(BH93-BH187,1)</f>
        <v>0</v>
      </c>
      <c r="BI97" s="188">
        <f>ROUND(BI93-BI187,1)</f>
        <v>0</v>
      </c>
      <c r="BJ97" s="188">
        <f>ROUND(BJ93-BJ187,1)</f>
        <v>0</v>
      </c>
      <c r="BK97" s="188">
        <f>ROUND(BK93-BK187,1)</f>
        <v>0</v>
      </c>
      <c r="BL97" s="188">
        <f>ROUND(BL93-BL187,1)</f>
        <v>0</v>
      </c>
      <c r="BM97" s="188">
        <f>ROUND(BM93-BM187,1)</f>
        <v>0</v>
      </c>
      <c r="BN97" s="188">
        <f>ROUND(BN93-BN187,1)</f>
        <v>0</v>
      </c>
      <c r="BO97" s="188">
        <f>ROUND(BO93-BO187,1)</f>
        <v>0</v>
      </c>
      <c r="BP97" s="188">
        <f>ROUND(BP93-BP187,1)</f>
        <v>0</v>
      </c>
      <c r="BQ97" s="188">
        <f>ROUND(BQ93-BQ187,1)</f>
        <v>0</v>
      </c>
      <c r="BR97" s="188">
        <f>ROUND(BR93-BR187,1)</f>
        <v>0</v>
      </c>
      <c r="BS97" s="188">
        <f>ROUND(BS93-BS187,1)</f>
        <v>0</v>
      </c>
      <c r="BT97" s="188">
        <f>ROUND(BT93-BT187,1)</f>
        <v>0</v>
      </c>
      <c r="BU97" s="188">
        <f>ROUND(BU93-BU187,1)</f>
        <v>0</v>
      </c>
      <c r="BV97" s="188">
        <f>ROUND(BV93-BV187,1)</f>
        <v>0</v>
      </c>
      <c r="BW97" s="188">
        <f>ROUND(BW93-BW187,1)</f>
        <v>0</v>
      </c>
      <c r="BX97" s="188">
        <f>ROUND(BX93-BX187,1)</f>
        <v>0</v>
      </c>
      <c r="BY97" s="211">
        <f>ROUND(BY93-BY187,1)</f>
        <v>0</v>
      </c>
      <c r="BZ97" s="211">
        <f>ROUND(BZ93-BZ187,1)</f>
        <v>0</v>
      </c>
      <c r="CA97" s="211">
        <f>ROUND(CA93-CA187,1)</f>
        <v>0</v>
      </c>
      <c r="CB97" s="211">
        <f>ROUND(CB93-CB187,1)</f>
        <v>0</v>
      </c>
      <c r="CC97" s="211">
        <f>ROUND(CC93-CC187,1)</f>
        <v>0</v>
      </c>
      <c r="CD97" s="211">
        <f>ROUND(CD93-CD187,1)</f>
        <v>0</v>
      </c>
      <c r="CE97" s="211">
        <f>ROUND(CE93-CE187,1)</f>
        <v>0</v>
      </c>
      <c r="CF97" s="177" t="n"/>
    </row>
    <row r="98" hidden="1" outlineLevel="2" ht="15" customHeight="1">
      <c r="B98" s="26" t="inlineStr">
        <is>
          <t xml:space="preserve">  Memo: Adjusted EBITDA — legacy CLH (ex pending acquisitions &amp; future M&amp;A)</t>
        </is>
      </c>
      <c r="C98" s="184" t="n"/>
      <c r="D98" s="184" t="n"/>
      <c r="E98" s="184" t="n"/>
      <c r="F98" s="184" t="n"/>
      <c r="G98" s="184" t="n"/>
      <c r="H98" s="184" t="n"/>
      <c r="I98" s="184" t="n"/>
      <c r="J98" s="184" t="n"/>
      <c r="K98" s="184" t="n"/>
      <c r="L98" s="184" t="n"/>
      <c r="M98" s="184" t="n"/>
      <c r="N98" s="184" t="n"/>
      <c r="O98" s="184" t="n"/>
      <c r="P98" s="184" t="n"/>
      <c r="Q98" s="184" t="n"/>
      <c r="R98" s="184" t="n"/>
      <c r="S98" s="184" t="n"/>
      <c r="T98" s="184" t="n"/>
      <c r="U98" s="184" t="n"/>
      <c r="V98" s="184" t="n"/>
      <c r="W98" s="184" t="n"/>
      <c r="X98" s="184" t="n"/>
      <c r="Y98" s="184" t="n"/>
      <c r="Z98" s="184" t="n"/>
      <c r="AA98" s="184" t="n"/>
      <c r="AB98" s="184" t="n"/>
      <c r="AC98" s="184" t="n"/>
      <c r="AD98" s="184" t="n"/>
      <c r="AE98" s="184" t="n"/>
      <c r="AF98" s="184" t="n"/>
      <c r="AG98" s="184" t="n"/>
      <c r="AH98" s="184" t="n"/>
      <c r="AI98" s="184" t="n"/>
      <c r="AJ98" s="184" t="n"/>
      <c r="AK98" s="184" t="n"/>
      <c r="AL98" s="184" t="n"/>
      <c r="AM98" s="184" t="n"/>
      <c r="AN98" s="184" t="n"/>
      <c r="AO98" s="184" t="n"/>
      <c r="AP98" s="184" t="n"/>
      <c r="AQ98" s="184" t="n"/>
      <c r="AR98" s="184" t="n"/>
      <c r="AS98" s="184" t="n"/>
      <c r="AT98" s="184" t="n"/>
      <c r="AU98" s="184" t="n"/>
      <c r="AV98" s="184" t="n"/>
      <c r="AW98" s="184" t="n"/>
      <c r="AX98" s="184" t="n"/>
      <c r="AY98" s="184" t="n"/>
      <c r="AZ98" s="184" t="n"/>
      <c r="BA98" s="184" t="n"/>
      <c r="BB98" s="184" t="n"/>
      <c r="BC98" s="184" t="n"/>
      <c r="BD98" s="184" t="n"/>
      <c r="BE98" s="184" t="n"/>
      <c r="BF98" s="184" t="n"/>
      <c r="BG98" s="184" t="n"/>
      <c r="BH98" s="184" t="n"/>
      <c r="BI98" s="184" t="n"/>
      <c r="BJ98" s="184" t="n"/>
      <c r="BK98" s="184" t="n"/>
      <c r="BL98" s="184" t="n"/>
      <c r="BM98" s="184" t="n"/>
      <c r="BN98" s="184" t="n"/>
      <c r="BO98" s="184" t="n"/>
      <c r="BP98" s="184" t="n"/>
      <c r="BQ98" s="184" t="n"/>
      <c r="BR98" s="184" t="n"/>
      <c r="BS98" s="184" t="n"/>
      <c r="BT98" s="184" t="n"/>
      <c r="BU98" s="184" t="n"/>
      <c r="BV98" s="184" t="n"/>
      <c r="BW98" s="212">
        <f>BW93</f>
        <v>247.854</v>
      </c>
      <c r="BX98" s="212">
        <f>BX93</f>
        <v>409.024</v>
      </c>
      <c r="BY98" s="186">
        <f>BY93-N(BY67)-N(BY82)</f>
        <v>397.360955961141</v>
      </c>
      <c r="BZ98" s="186">
        <f>BZ93-N(BZ67)-N(BZ82)</f>
        <v>325.761044038859</v>
      </c>
      <c r="CA98" s="186">
        <f>CA93-N(CA67)-N(CA82)</f>
        <v>1380</v>
      </c>
      <c r="CB98" s="186">
        <f>CB93-N(CB67)-N(CB82)</f>
        <v>1456.93420288886</v>
      </c>
      <c r="CC98" s="186">
        <f>CC93-N(CC67)-N(CC82)</f>
        <v>1569.53782962792</v>
      </c>
      <c r="CD98" s="186">
        <f>CD93-N(CD67)-N(CD82)</f>
        <v>1684.78296283531</v>
      </c>
      <c r="CE98" s="186">
        <f>CE93-N(CE67)-N(CE82)</f>
        <v>1793.01808908129</v>
      </c>
      <c r="CF98" s="20" t="n"/>
    </row>
    <row r="99" hidden="1" outlineLevel="2" ht="15" customHeight="1">
      <c r="B99" s="26" t="inlineStr">
        <is>
          <t xml:space="preserve">  Memo: FY26 Adjusted EBITDA guidance — ex pending ES&amp;H / EnviroServe (scenario end-point)</t>
        </is>
      </c>
      <c r="C99" s="184" t="n"/>
      <c r="D99" s="184" t="n"/>
      <c r="E99" s="184" t="n"/>
      <c r="F99" s="184" t="n"/>
      <c r="G99" s="184" t="n"/>
      <c r="H99" s="184" t="n"/>
      <c r="I99" s="184" t="n"/>
      <c r="J99" s="184" t="n"/>
      <c r="K99" s="184" t="n"/>
      <c r="L99" s="184" t="n"/>
      <c r="M99" s="184" t="n"/>
      <c r="N99" s="184" t="n"/>
      <c r="O99" s="184" t="n"/>
      <c r="P99" s="184" t="n"/>
      <c r="Q99" s="184" t="n"/>
      <c r="R99" s="184" t="n"/>
      <c r="S99" s="184" t="n"/>
      <c r="T99" s="184" t="n"/>
      <c r="U99" s="184" t="n"/>
      <c r="V99" s="184" t="n"/>
      <c r="W99" s="184" t="n"/>
      <c r="X99" s="184" t="n"/>
      <c r="Y99" s="184" t="n"/>
      <c r="Z99" s="184" t="n"/>
      <c r="AA99" s="184" t="n"/>
      <c r="AB99" s="184" t="n"/>
      <c r="AC99" s="184" t="n"/>
      <c r="AD99" s="184" t="n"/>
      <c r="AE99" s="184" t="n"/>
      <c r="AF99" s="184" t="n"/>
      <c r="AG99" s="184" t="n"/>
      <c r="AH99" s="184" t="n"/>
      <c r="AI99" s="184" t="n"/>
      <c r="AJ99" s="184" t="n"/>
      <c r="AK99" s="184" t="n"/>
      <c r="AL99" s="184" t="n"/>
      <c r="AM99" s="184" t="n"/>
      <c r="AN99" s="184" t="n"/>
      <c r="AO99" s="184" t="n"/>
      <c r="AP99" s="184" t="n"/>
      <c r="AQ99" s="184" t="n"/>
      <c r="AR99" s="184" t="n"/>
      <c r="AS99" s="184" t="n"/>
      <c r="AT99" s="184" t="n"/>
      <c r="AU99" s="184" t="n"/>
      <c r="AV99" s="184" t="n"/>
      <c r="AW99" s="184" t="n"/>
      <c r="AX99" s="184" t="n"/>
      <c r="AY99" s="184" t="n"/>
      <c r="AZ99" s="184" t="n"/>
      <c r="BA99" s="184" t="n"/>
      <c r="BB99" s="184" t="n"/>
      <c r="BC99" s="184" t="n"/>
      <c r="BD99" s="184" t="n"/>
      <c r="BE99" s="184" t="n"/>
      <c r="BF99" s="184" t="n"/>
      <c r="BG99" s="184" t="n"/>
      <c r="BH99" s="184" t="n"/>
      <c r="BI99" s="184" t="n"/>
      <c r="BJ99" s="184" t="n"/>
      <c r="BK99" s="184" t="n"/>
      <c r="BL99" s="184" t="n"/>
      <c r="BM99" s="184" t="n"/>
      <c r="BN99" s="184" t="n"/>
      <c r="BO99" s="184" t="n"/>
      <c r="BP99" s="184" t="n"/>
      <c r="BQ99" s="184" t="n"/>
      <c r="BR99" s="184" t="n"/>
      <c r="BS99" s="184" t="n"/>
      <c r="BT99" s="184" t="n"/>
      <c r="BU99" s="184" t="n"/>
      <c r="BV99" s="184" t="n"/>
      <c r="BW99" s="184" t="n"/>
      <c r="BX99" s="184" t="n"/>
      <c r="BY99" s="168" t="n"/>
      <c r="BZ99" s="168" t="n"/>
      <c r="CA99" s="186">
        <f>CHOOSE(MATCH($CF$2,{"Bull","Base","Bear"},0),$CO$12,$CP$12,$CQ$12)</f>
        <v>1380</v>
      </c>
      <c r="CB99" s="168" t="n"/>
      <c r="CC99" s="168" t="n"/>
      <c r="CD99" s="168" t="n"/>
      <c r="CE99" s="168" t="n"/>
      <c r="CF99" s="20" t="inlineStr">
        <is>
          <t>Q2-26 release (29-Jul-26): raised to $1,350–1,410m (mid $1,380m, +$110m); excludes ES&amp;H / EnviroServe. Drives the Q3/Q4-26E margin calibration.</t>
        </is>
      </c>
    </row>
    <row r="100" hidden="1" outlineLevel="2" ht="15" customHeight="1">
      <c r="B100" s="26" t="inlineStr">
        <is>
          <t xml:space="preserve">  Legacy Adjusted EBITDA before margin calibration (Q3/Q4-26E helper)</t>
        </is>
      </c>
      <c r="C100" s="184" t="n"/>
      <c r="D100" s="184" t="n"/>
      <c r="E100" s="184" t="n"/>
      <c r="F100" s="184" t="n"/>
      <c r="G100" s="184" t="n"/>
      <c r="H100" s="184" t="n"/>
      <c r="I100" s="184" t="n"/>
      <c r="J100" s="184" t="n"/>
      <c r="K100" s="184" t="n"/>
      <c r="L100" s="184" t="n"/>
      <c r="M100" s="184" t="n"/>
      <c r="N100" s="184" t="n"/>
      <c r="O100" s="184" t="n"/>
      <c r="P100" s="184" t="n"/>
      <c r="Q100" s="184" t="n"/>
      <c r="R100" s="184" t="n"/>
      <c r="S100" s="184" t="n"/>
      <c r="T100" s="184" t="n"/>
      <c r="U100" s="184" t="n"/>
      <c r="V100" s="184" t="n"/>
      <c r="W100" s="184" t="n"/>
      <c r="X100" s="184" t="n"/>
      <c r="Y100" s="184" t="n"/>
      <c r="Z100" s="184" t="n"/>
      <c r="AA100" s="184" t="n"/>
      <c r="AB100" s="184" t="n"/>
      <c r="AC100" s="184" t="n"/>
      <c r="AD100" s="184" t="n"/>
      <c r="AE100" s="184" t="n"/>
      <c r="AF100" s="184" t="n"/>
      <c r="AG100" s="184" t="n"/>
      <c r="AH100" s="184" t="n"/>
      <c r="AI100" s="184" t="n"/>
      <c r="AJ100" s="184" t="n"/>
      <c r="AK100" s="184" t="n"/>
      <c r="AL100" s="184" t="n"/>
      <c r="AM100" s="184" t="n"/>
      <c r="AN100" s="184" t="n"/>
      <c r="AO100" s="184" t="n"/>
      <c r="AP100" s="184" t="n"/>
      <c r="AQ100" s="184" t="n"/>
      <c r="AR100" s="184" t="n"/>
      <c r="AS100" s="184" t="n"/>
      <c r="AT100" s="184" t="n"/>
      <c r="AU100" s="184" t="n"/>
      <c r="AV100" s="184" t="n"/>
      <c r="AW100" s="184" t="n"/>
      <c r="AX100" s="184" t="n"/>
      <c r="AY100" s="184" t="n"/>
      <c r="AZ100" s="184" t="n"/>
      <c r="BA100" s="184" t="n"/>
      <c r="BB100" s="184" t="n"/>
      <c r="BC100" s="184" t="n"/>
      <c r="BD100" s="184" t="n"/>
      <c r="BE100" s="184" t="n"/>
      <c r="BF100" s="184" t="n"/>
      <c r="BG100" s="184" t="n"/>
      <c r="BH100" s="184" t="n"/>
      <c r="BI100" s="184" t="n"/>
      <c r="BJ100" s="184" t="n"/>
      <c r="BK100" s="184" t="n"/>
      <c r="BL100" s="184" t="n"/>
      <c r="BM100" s="184" t="n"/>
      <c r="BN100" s="184" t="n"/>
      <c r="BO100" s="184" t="n"/>
      <c r="BP100" s="184" t="n"/>
      <c r="BQ100" s="184" t="n"/>
      <c r="BR100" s="184" t="n"/>
      <c r="BS100" s="184" t="n"/>
      <c r="BT100" s="184" t="n"/>
      <c r="BU100" s="184" t="n"/>
      <c r="BV100" s="184" t="n"/>
      <c r="BW100" s="184" t="n"/>
      <c r="BX100" s="184" t="n"/>
      <c r="BY100" s="186">
        <f>BY27*BY30+BY44*BY47+BY54</f>
        <v>380.856361434226</v>
      </c>
      <c r="BZ100" s="186">
        <f>BZ27*BZ30+BZ44*BZ47+BZ54</f>
        <v>310.18492584563</v>
      </c>
      <c r="CA100" s="168" t="n"/>
      <c r="CB100" s="168" t="n"/>
      <c r="CC100" s="168" t="n"/>
      <c r="CD100" s="168" t="n"/>
      <c r="CE100" s="168" t="n"/>
      <c r="CF100" s="20" t="n"/>
    </row>
    <row r="101" hidden="1" outlineLevel="2" ht="15" customHeight="1">
      <c r="B101" s="26" t="inlineStr">
        <is>
          <t xml:space="preserve">  Outlook calibration: Δ Adj. EBITDA margin applied to ES &amp; SKSS (Q3/Q4-26E)</t>
        </is>
      </c>
      <c r="C101" s="181" t="n"/>
      <c r="D101" s="181" t="n"/>
      <c r="E101" s="181" t="n"/>
      <c r="F101" s="181" t="n"/>
      <c r="G101" s="181" t="n"/>
      <c r="H101" s="181" t="n"/>
      <c r="I101" s="181" t="n"/>
      <c r="J101" s="181" t="n"/>
      <c r="K101" s="181" t="n"/>
      <c r="L101" s="181" t="n"/>
      <c r="M101" s="181" t="n"/>
      <c r="N101" s="181" t="n"/>
      <c r="O101" s="181" t="n"/>
      <c r="P101" s="181" t="n"/>
      <c r="Q101" s="181" t="n"/>
      <c r="R101" s="181" t="n"/>
      <c r="S101" s="181" t="n"/>
      <c r="T101" s="181" t="n"/>
      <c r="U101" s="181" t="n"/>
      <c r="V101" s="181" t="n"/>
      <c r="W101" s="181" t="n"/>
      <c r="X101" s="181" t="n"/>
      <c r="Y101" s="181" t="n"/>
      <c r="Z101" s="181" t="n"/>
      <c r="AA101" s="181" t="n"/>
      <c r="AB101" s="181" t="n"/>
      <c r="AC101" s="181" t="n"/>
      <c r="AD101" s="181" t="n"/>
      <c r="AE101" s="181" t="n"/>
      <c r="AF101" s="181" t="n"/>
      <c r="AG101" s="181" t="n"/>
      <c r="AH101" s="181" t="n"/>
      <c r="AI101" s="181" t="n"/>
      <c r="AJ101" s="181" t="n"/>
      <c r="AK101" s="181" t="n"/>
      <c r="AL101" s="181" t="n"/>
      <c r="AM101" s="181" t="n"/>
      <c r="AN101" s="181" t="n"/>
      <c r="AO101" s="181" t="n"/>
      <c r="AP101" s="181" t="n"/>
      <c r="AQ101" s="181" t="n"/>
      <c r="AR101" s="181" t="n"/>
      <c r="AS101" s="181" t="n"/>
      <c r="AT101" s="181" t="n"/>
      <c r="AU101" s="181" t="n"/>
      <c r="AV101" s="181" t="n"/>
      <c r="AW101" s="181" t="n"/>
      <c r="AX101" s="181" t="n"/>
      <c r="AY101" s="181" t="n"/>
      <c r="AZ101" s="181" t="n"/>
      <c r="BA101" s="181" t="n"/>
      <c r="BB101" s="181" t="n"/>
      <c r="BC101" s="181" t="n"/>
      <c r="BD101" s="181" t="n"/>
      <c r="BE101" s="181" t="n"/>
      <c r="BF101" s="181" t="n"/>
      <c r="BG101" s="181" t="n"/>
      <c r="BH101" s="181" t="n"/>
      <c r="BI101" s="181" t="n"/>
      <c r="BJ101" s="181" t="n"/>
      <c r="BK101" s="181" t="n"/>
      <c r="BL101" s="181" t="n"/>
      <c r="BM101" s="181" t="n"/>
      <c r="BN101" s="181" t="n"/>
      <c r="BO101" s="181" t="n"/>
      <c r="BP101" s="181" t="n"/>
      <c r="BQ101" s="181" t="n"/>
      <c r="BR101" s="181" t="n"/>
      <c r="BS101" s="181" t="n"/>
      <c r="BT101" s="181" t="n"/>
      <c r="BU101" s="181" t="n"/>
      <c r="BV101" s="181" t="n"/>
      <c r="BW101" s="181" t="n"/>
      <c r="BX101" s="181" t="n"/>
      <c r="BY101" s="179">
        <f>(CA99-BW98-BX98-BY100-BZ100)/(BY27+BZ27+BY44+BZ44)</f>
        <v>0.00964267934449177</v>
      </c>
      <c r="BZ101" s="179">
        <f>BY101</f>
        <v>0.00964267934449177</v>
      </c>
      <c r="CA101" s="169" t="n"/>
      <c r="CB101" s="169" t="n"/>
      <c r="CC101" s="169" t="n"/>
      <c r="CD101" s="169" t="n"/>
      <c r="CE101" s="169" t="n"/>
      <c r="CF101" s="20" t="inlineStr">
        <is>
          <t>Solves the uniform margin shift (vs. prior-year quarter + 1H drift) so legacy FY26 Adjusted EBITDA = guidance end-point for the active scenario (High / Mid / Low).</t>
        </is>
      </c>
    </row>
    <row r="102" hidden="1" outlineLevel="2" ht="15" customHeight="1">
      <c r="B102" s="61" t="inlineStr">
        <is>
          <t xml:space="preserve">  Check: legacy FY26 Adjusted EBITDA vs guidance end-point (should be 0)</t>
        </is>
      </c>
      <c r="C102" s="187" t="n"/>
      <c r="D102" s="187" t="n"/>
      <c r="E102" s="187" t="n"/>
      <c r="F102" s="187" t="n"/>
      <c r="G102" s="187" t="n"/>
      <c r="H102" s="187" t="n"/>
      <c r="I102" s="187" t="n"/>
      <c r="J102" s="187" t="n"/>
      <c r="K102" s="187" t="n"/>
      <c r="L102" s="187" t="n"/>
      <c r="M102" s="187" t="n"/>
      <c r="N102" s="187" t="n"/>
      <c r="O102" s="187" t="n"/>
      <c r="P102" s="187" t="n"/>
      <c r="Q102" s="187" t="n"/>
      <c r="R102" s="187" t="n"/>
      <c r="S102" s="187" t="n"/>
      <c r="T102" s="187" t="n"/>
      <c r="U102" s="187" t="n"/>
      <c r="V102" s="187" t="n"/>
      <c r="W102" s="187" t="n"/>
      <c r="X102" s="187" t="n"/>
      <c r="Y102" s="187" t="n"/>
      <c r="Z102" s="187" t="n"/>
      <c r="AA102" s="187" t="n"/>
      <c r="AB102" s="187" t="n"/>
      <c r="AC102" s="187" t="n"/>
      <c r="AD102" s="187" t="n"/>
      <c r="AE102" s="187" t="n"/>
      <c r="AF102" s="187" t="n"/>
      <c r="AG102" s="187" t="n"/>
      <c r="AH102" s="187" t="n"/>
      <c r="AI102" s="187" t="n"/>
      <c r="AJ102" s="187" t="n"/>
      <c r="AK102" s="187" t="n"/>
      <c r="AL102" s="187" t="n"/>
      <c r="AM102" s="187" t="n"/>
      <c r="AN102" s="187" t="n"/>
      <c r="AO102" s="187" t="n"/>
      <c r="AP102" s="187" t="n"/>
      <c r="AQ102" s="187" t="n"/>
      <c r="AR102" s="187" t="n"/>
      <c r="AS102" s="187" t="n"/>
      <c r="AT102" s="187" t="n"/>
      <c r="AU102" s="187" t="n"/>
      <c r="AV102" s="187" t="n"/>
      <c r="AW102" s="187" t="n"/>
      <c r="AX102" s="187" t="n"/>
      <c r="AY102" s="187" t="n"/>
      <c r="AZ102" s="187" t="n"/>
      <c r="BA102" s="187" t="n"/>
      <c r="BB102" s="187" t="n"/>
      <c r="BC102" s="187" t="n"/>
      <c r="BD102" s="187" t="n"/>
      <c r="BE102" s="187" t="n"/>
      <c r="BF102" s="187" t="n"/>
      <c r="BG102" s="187" t="n"/>
      <c r="BH102" s="187" t="n"/>
      <c r="BI102" s="187" t="n"/>
      <c r="BJ102" s="187" t="n"/>
      <c r="BK102" s="187" t="n"/>
      <c r="BL102" s="187" t="n"/>
      <c r="BM102" s="187" t="n"/>
      <c r="BN102" s="187" t="n"/>
      <c r="BO102" s="187" t="n"/>
      <c r="BP102" s="187" t="n"/>
      <c r="BQ102" s="187" t="n"/>
      <c r="BR102" s="187" t="n"/>
      <c r="BS102" s="187" t="n"/>
      <c r="BT102" s="187" t="n"/>
      <c r="BU102" s="187" t="n"/>
      <c r="BV102" s="187" t="n"/>
      <c r="BW102" s="187" t="n"/>
      <c r="BX102" s="187" t="n"/>
      <c r="BY102" s="189" t="n"/>
      <c r="BZ102" s="189" t="n"/>
      <c r="CA102" s="211">
        <f>ROUND(CA98-CA99,1)</f>
        <v>0</v>
      </c>
      <c r="CB102" s="189" t="n"/>
      <c r="CC102" s="189" t="n"/>
      <c r="CD102" s="189" t="n"/>
      <c r="CE102" s="189" t="n"/>
      <c r="CF102" s="177" t="n"/>
    </row>
    <row r="103" hidden="1" outlineLevel="2" ht="15" customHeight="1">
      <c r="B103" s="26" t="inlineStr">
        <is>
          <t xml:space="preserve">  Memo: Q3/26 Adjusted EBITDA y/y — model vs company guide (+24% to +28%)</t>
        </is>
      </c>
      <c r="C103" s="181" t="n"/>
      <c r="D103" s="181" t="n"/>
      <c r="E103" s="181" t="n"/>
      <c r="F103" s="181" t="n"/>
      <c r="G103" s="181" t="n"/>
      <c r="H103" s="181" t="n"/>
      <c r="I103" s="181" t="n"/>
      <c r="J103" s="181" t="n"/>
      <c r="K103" s="181" t="n"/>
      <c r="L103" s="181" t="n"/>
      <c r="M103" s="181" t="n"/>
      <c r="N103" s="181" t="n"/>
      <c r="O103" s="181" t="n"/>
      <c r="P103" s="181" t="n"/>
      <c r="Q103" s="181" t="n"/>
      <c r="R103" s="181" t="n"/>
      <c r="S103" s="181" t="n"/>
      <c r="T103" s="181" t="n"/>
      <c r="U103" s="181" t="n"/>
      <c r="V103" s="181" t="n"/>
      <c r="W103" s="181" t="n"/>
      <c r="X103" s="181" t="n"/>
      <c r="Y103" s="181" t="n"/>
      <c r="Z103" s="181" t="n"/>
      <c r="AA103" s="181" t="n"/>
      <c r="AB103" s="181" t="n"/>
      <c r="AC103" s="181" t="n"/>
      <c r="AD103" s="181" t="n"/>
      <c r="AE103" s="181" t="n"/>
      <c r="AF103" s="181" t="n"/>
      <c r="AG103" s="181" t="n"/>
      <c r="AH103" s="181" t="n"/>
      <c r="AI103" s="181" t="n"/>
      <c r="AJ103" s="181" t="n"/>
      <c r="AK103" s="181" t="n"/>
      <c r="AL103" s="181" t="n"/>
      <c r="AM103" s="181" t="n"/>
      <c r="AN103" s="181" t="n"/>
      <c r="AO103" s="181" t="n"/>
      <c r="AP103" s="181" t="n"/>
      <c r="AQ103" s="181" t="n"/>
      <c r="AR103" s="181" t="n"/>
      <c r="AS103" s="181" t="n"/>
      <c r="AT103" s="181" t="n"/>
      <c r="AU103" s="181" t="n"/>
      <c r="AV103" s="181" t="n"/>
      <c r="AW103" s="181" t="n"/>
      <c r="AX103" s="181" t="n"/>
      <c r="AY103" s="181" t="n"/>
      <c r="AZ103" s="181" t="n"/>
      <c r="BA103" s="181" t="n"/>
      <c r="BB103" s="181" t="n"/>
      <c r="BC103" s="181" t="n"/>
      <c r="BD103" s="181" t="n"/>
      <c r="BE103" s="181" t="n"/>
      <c r="BF103" s="181" t="n"/>
      <c r="BG103" s="181" t="n"/>
      <c r="BH103" s="181" t="n"/>
      <c r="BI103" s="181" t="n"/>
      <c r="BJ103" s="181" t="n"/>
      <c r="BK103" s="181" t="n"/>
      <c r="BL103" s="181" t="n"/>
      <c r="BM103" s="181" t="n"/>
      <c r="BN103" s="181" t="n"/>
      <c r="BO103" s="181" t="n"/>
      <c r="BP103" s="181" t="n"/>
      <c r="BQ103" s="181" t="n"/>
      <c r="BR103" s="181" t="n"/>
      <c r="BS103" s="181" t="n"/>
      <c r="BT103" s="181" t="n"/>
      <c r="BU103" s="181" t="n"/>
      <c r="BV103" s="181" t="n"/>
      <c r="BW103" s="181" t="n"/>
      <c r="BX103" s="181" t="n"/>
      <c r="BY103" s="179">
        <f>BY93/BT93-1</f>
        <v>0.248837950473978</v>
      </c>
      <c r="BZ103" s="169" t="n"/>
      <c r="CA103" s="169" t="n"/>
      <c r="CB103" s="169" t="n"/>
      <c r="CC103" s="169" t="n"/>
      <c r="CD103" s="169" t="n"/>
      <c r="CE103" s="169" t="n"/>
      <c r="CF103" s="20" t="inlineStr">
        <is>
          <t>Q2-26 release: Q3/26 Adjusted EBITDA expected to grow 24–28% y/y.</t>
        </is>
      </c>
    </row>
    <row r="104" hidden="1" outlineLevel="2" ht="15" customHeight="1"/>
    <row r="105" hidden="1" outlineLevel="2" ht="15" customHeight="1">
      <c r="B105" s="139" t="inlineStr">
        <is>
          <t>Reportable segments — legacy structures as originally reported (revenues = direct revenues; segment profit = Adjusted EBITDA)</t>
        </is>
      </c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  <c r="T105" s="139" t="n"/>
      <c r="U105" s="139" t="n"/>
      <c r="V105" s="139" t="n"/>
      <c r="W105" s="139" t="n"/>
      <c r="X105" s="139" t="n"/>
      <c r="Y105" s="139" t="n"/>
      <c r="Z105" s="139" t="n"/>
      <c r="AA105" s="139" t="n"/>
      <c r="AB105" s="139" t="n"/>
      <c r="AC105" s="139" t="n"/>
      <c r="AD105" s="139" t="n"/>
      <c r="AE105" s="139" t="n"/>
      <c r="AF105" s="139" t="n"/>
      <c r="AG105" s="139" t="n"/>
      <c r="AH105" s="139" t="n"/>
      <c r="AI105" s="139" t="n"/>
      <c r="AJ105" s="139" t="n"/>
      <c r="AK105" s="139" t="n"/>
      <c r="AL105" s="139" t="n"/>
      <c r="AM105" s="139" t="n"/>
      <c r="AN105" s="139" t="n"/>
      <c r="AO105" s="139" t="n"/>
      <c r="AP105" s="139" t="n"/>
      <c r="AQ105" s="139" t="n"/>
      <c r="AR105" s="139" t="n"/>
      <c r="AS105" s="139" t="n"/>
      <c r="AT105" s="139" t="n"/>
      <c r="AU105" s="139" t="n"/>
      <c r="AV105" s="139" t="n"/>
      <c r="AW105" s="139" t="n"/>
      <c r="AX105" s="139" t="n"/>
      <c r="AY105" s="139" t="n"/>
      <c r="AZ105" s="139" t="n"/>
      <c r="BA105" s="139" t="n"/>
      <c r="BB105" s="139" t="n"/>
      <c r="BC105" s="139" t="n"/>
      <c r="BD105" s="139" t="n"/>
      <c r="BE105" s="139" t="n"/>
      <c r="BF105" s="139" t="n"/>
      <c r="BG105" s="139" t="n"/>
      <c r="BH105" s="139" t="n"/>
      <c r="BI105" s="139" t="n"/>
      <c r="BJ105" s="139" t="n"/>
      <c r="BK105" s="139" t="n"/>
      <c r="BL105" s="139" t="n"/>
      <c r="BM105" s="139" t="n"/>
      <c r="BN105" s="139" t="n"/>
      <c r="BO105" s="139" t="n"/>
      <c r="BP105" s="139" t="n"/>
      <c r="BQ105" s="139" t="n"/>
      <c r="BR105" s="139" t="n"/>
      <c r="BS105" s="139" t="n"/>
      <c r="BT105" s="139" t="n"/>
      <c r="BU105" s="139" t="n"/>
      <c r="BV105" s="139" t="n"/>
      <c r="BW105" s="139" t="n"/>
      <c r="BX105" s="139" t="n"/>
      <c r="BY105" s="139" t="n"/>
      <c r="BZ105" s="139" t="n"/>
      <c r="CA105" s="139" t="n"/>
      <c r="CB105" s="139" t="n"/>
      <c r="CC105" s="139" t="n"/>
      <c r="CD105" s="139" t="n"/>
      <c r="CE105" s="139" t="n"/>
      <c r="CF105" s="139" t="inlineStr">
        <is>
          <t>LEGACY SEGMENTS — historical disclosure only (not forecast). Two-segment ES / Safety-Kleen structure from Q1/18 (2017 recast shown above).</t>
        </is>
      </c>
    </row>
    <row r="106" hidden="1" outlineLevel="2" ht="15" customHeight="1">
      <c r="B106" s="26" t="inlineStr">
        <is>
          <t xml:space="preserve">  Technical Services (2006–2017) — revenues</t>
        </is>
      </c>
      <c r="C106" s="185" t="n">
        <v>558.407</v>
      </c>
      <c r="D106" s="185" t="n">
        <v>672.213</v>
      </c>
      <c r="E106" s="185" t="n">
        <v>712.29</v>
      </c>
      <c r="F106" s="185" t="n">
        <v>672.9690000000001</v>
      </c>
      <c r="G106" s="185" t="n">
        <v>720.603</v>
      </c>
      <c r="H106" s="185" t="n">
        <v>830.527</v>
      </c>
      <c r="I106" s="185" t="n">
        <v>937.754</v>
      </c>
      <c r="J106" s="185" t="n">
        <v>259.21</v>
      </c>
      <c r="K106" s="185" t="n">
        <v>283.39</v>
      </c>
      <c r="L106" s="185" t="n">
        <v>305.835</v>
      </c>
      <c r="M106" s="185" t="n">
        <v>299.38</v>
      </c>
      <c r="N106" s="185" t="n">
        <v>1147.815</v>
      </c>
      <c r="O106" s="185" t="n">
        <v>274.614</v>
      </c>
      <c r="P106" s="185" t="n">
        <v>297.658</v>
      </c>
      <c r="Q106" s="185" t="n">
        <v>313.402</v>
      </c>
      <c r="R106" s="185" t="n">
        <v>319.709</v>
      </c>
      <c r="S106" s="185" t="n">
        <v>1205.383</v>
      </c>
      <c r="T106" s="185" t="n">
        <v>276.526</v>
      </c>
      <c r="U106" s="185" t="n">
        <v>287.422</v>
      </c>
      <c r="V106" s="185" t="n">
        <v>288.394</v>
      </c>
      <c r="W106" s="185" t="n">
        <v>286.738</v>
      </c>
      <c r="X106" s="185" t="n">
        <v>1139.08</v>
      </c>
      <c r="Y106" s="185" t="n">
        <v>254.337</v>
      </c>
      <c r="Z106" s="185" t="n">
        <v>265.375</v>
      </c>
      <c r="AA106" s="185" t="n">
        <v>271.769</v>
      </c>
      <c r="AB106" s="185" t="n">
        <v>265.254</v>
      </c>
      <c r="AC106" s="185" t="n">
        <v>1056.735</v>
      </c>
      <c r="AD106" s="185" t="n">
        <v>270.984</v>
      </c>
      <c r="AE106" s="185" t="n">
        <v>294.896</v>
      </c>
      <c r="AF106" s="185" t="n">
        <v>288.332</v>
      </c>
      <c r="AG106" s="185" t="n">
        <v>289.937</v>
      </c>
      <c r="AH106" s="185" t="n">
        <v>1144.149</v>
      </c>
      <c r="AI106" s="184" t="n"/>
      <c r="AJ106" s="184" t="n"/>
      <c r="AK106" s="184" t="n"/>
      <c r="AL106" s="184" t="n"/>
      <c r="AM106" s="184" t="n"/>
      <c r="AN106" s="184" t="n"/>
      <c r="AO106" s="184" t="n"/>
      <c r="AP106" s="184" t="n"/>
      <c r="AQ106" s="184" t="n"/>
      <c r="AR106" s="184" t="n"/>
      <c r="AS106" s="184" t="n"/>
      <c r="AT106" s="184" t="n"/>
      <c r="AU106" s="184" t="n"/>
      <c r="AV106" s="184" t="n"/>
      <c r="AW106" s="184" t="n"/>
      <c r="AX106" s="184" t="n"/>
      <c r="AY106" s="184" t="n"/>
      <c r="AZ106" s="184" t="n"/>
      <c r="BA106" s="184" t="n"/>
      <c r="BB106" s="184" t="n"/>
      <c r="BC106" s="184" t="n"/>
      <c r="BD106" s="184" t="n"/>
      <c r="BE106" s="184" t="n"/>
      <c r="BF106" s="184" t="n"/>
      <c r="BG106" s="184" t="n"/>
      <c r="BH106" s="184" t="n"/>
      <c r="BI106" s="184" t="n"/>
      <c r="BJ106" s="184" t="n"/>
      <c r="BK106" s="184" t="n"/>
      <c r="BL106" s="184" t="n"/>
      <c r="BM106" s="184" t="n"/>
      <c r="BN106" s="184" t="n"/>
      <c r="BO106" s="184" t="n"/>
      <c r="BP106" s="184" t="n"/>
      <c r="BQ106" s="184" t="n"/>
      <c r="BR106" s="184" t="n"/>
      <c r="BS106" s="184" t="n"/>
      <c r="BT106" s="184" t="n"/>
      <c r="BU106" s="184" t="n"/>
      <c r="BV106" s="184" t="n"/>
      <c r="BW106" s="184" t="n"/>
      <c r="BX106" s="184" t="n"/>
      <c r="BY106" s="168" t="n"/>
      <c r="BZ106" s="168" t="n"/>
      <c r="CA106" s="168" t="n"/>
      <c r="CB106" s="168" t="n"/>
      <c r="CC106" s="168" t="n"/>
      <c r="CD106" s="168" t="n"/>
      <c r="CE106" s="168" t="n"/>
      <c r="CF106" s="20" t="n"/>
    </row>
    <row r="107" hidden="1" outlineLevel="2" ht="15" customHeight="1">
      <c r="B107" s="26" t="inlineStr">
        <is>
          <t xml:space="preserve">  Site Services (2006–08) / Field Services (2009–12) — revenues</t>
        </is>
      </c>
      <c r="C107" s="185" t="n">
        <v>271.092</v>
      </c>
      <c r="D107" s="185" t="n">
        <v>275.815</v>
      </c>
      <c r="E107" s="185" t="n">
        <v>320.59</v>
      </c>
      <c r="F107" s="185" t="n">
        <v>202.745</v>
      </c>
      <c r="G107" s="185" t="n">
        <v>460.864</v>
      </c>
      <c r="H107" s="185" t="n">
        <v>305.616</v>
      </c>
      <c r="I107" s="185" t="n">
        <v>239.968</v>
      </c>
      <c r="J107" s="184" t="n"/>
      <c r="K107" s="184" t="n"/>
      <c r="L107" s="184" t="n"/>
      <c r="M107" s="184" t="n"/>
      <c r="N107" s="184" t="n"/>
      <c r="O107" s="184" t="n"/>
      <c r="P107" s="184" t="n"/>
      <c r="Q107" s="184" t="n"/>
      <c r="R107" s="184" t="n"/>
      <c r="S107" s="184" t="n"/>
      <c r="T107" s="184" t="n"/>
      <c r="U107" s="184" t="n"/>
      <c r="V107" s="184" t="n"/>
      <c r="W107" s="184" t="n"/>
      <c r="X107" s="184" t="n"/>
      <c r="Y107" s="184" t="n"/>
      <c r="Z107" s="184" t="n"/>
      <c r="AA107" s="184" t="n"/>
      <c r="AB107" s="184" t="n"/>
      <c r="AC107" s="184" t="n"/>
      <c r="AD107" s="184" t="n"/>
      <c r="AE107" s="184" t="n"/>
      <c r="AF107" s="184" t="n"/>
      <c r="AG107" s="184" t="n"/>
      <c r="AH107" s="184" t="n"/>
      <c r="AI107" s="184" t="n"/>
      <c r="AJ107" s="184" t="n"/>
      <c r="AK107" s="184" t="n"/>
      <c r="AL107" s="184" t="n"/>
      <c r="AM107" s="184" t="n"/>
      <c r="AN107" s="184" t="n"/>
      <c r="AO107" s="184" t="n"/>
      <c r="AP107" s="184" t="n"/>
      <c r="AQ107" s="184" t="n"/>
      <c r="AR107" s="184" t="n"/>
      <c r="AS107" s="184" t="n"/>
      <c r="AT107" s="184" t="n"/>
      <c r="AU107" s="184" t="n"/>
      <c r="AV107" s="184" t="n"/>
      <c r="AW107" s="184" t="n"/>
      <c r="AX107" s="184" t="n"/>
      <c r="AY107" s="184" t="n"/>
      <c r="AZ107" s="184" t="n"/>
      <c r="BA107" s="184" t="n"/>
      <c r="BB107" s="184" t="n"/>
      <c r="BC107" s="184" t="n"/>
      <c r="BD107" s="184" t="n"/>
      <c r="BE107" s="184" t="n"/>
      <c r="BF107" s="184" t="n"/>
      <c r="BG107" s="184" t="n"/>
      <c r="BH107" s="184" t="n"/>
      <c r="BI107" s="184" t="n"/>
      <c r="BJ107" s="184" t="n"/>
      <c r="BK107" s="184" t="n"/>
      <c r="BL107" s="184" t="n"/>
      <c r="BM107" s="184" t="n"/>
      <c r="BN107" s="184" t="n"/>
      <c r="BO107" s="184" t="n"/>
      <c r="BP107" s="184" t="n"/>
      <c r="BQ107" s="184" t="n"/>
      <c r="BR107" s="184" t="n"/>
      <c r="BS107" s="184" t="n"/>
      <c r="BT107" s="184" t="n"/>
      <c r="BU107" s="184" t="n"/>
      <c r="BV107" s="184" t="n"/>
      <c r="BW107" s="184" t="n"/>
      <c r="BX107" s="184" t="n"/>
      <c r="BY107" s="168" t="n"/>
      <c r="BZ107" s="168" t="n"/>
      <c r="CA107" s="168" t="n"/>
      <c r="CB107" s="168" t="n"/>
      <c r="CC107" s="168" t="n"/>
      <c r="CD107" s="168" t="n"/>
      <c r="CE107" s="168" t="n"/>
      <c r="CF107" s="20" t="n"/>
    </row>
    <row r="108" hidden="1" outlineLevel="2" ht="15" customHeight="1">
      <c r="B108" s="26" t="inlineStr">
        <is>
          <t xml:space="preserve">  Industrial Services (2009–12) — revenues</t>
        </is>
      </c>
      <c r="C108" s="184" t="n"/>
      <c r="D108" s="184" t="n"/>
      <c r="E108" s="184" t="n"/>
      <c r="F108" s="185" t="n">
        <v>181.826</v>
      </c>
      <c r="G108" s="185" t="n">
        <v>504.788</v>
      </c>
      <c r="H108" s="185" t="n">
        <v>455.842</v>
      </c>
      <c r="I108" s="185" t="n">
        <v>581.648</v>
      </c>
      <c r="J108" s="184" t="n"/>
      <c r="K108" s="184" t="n"/>
      <c r="L108" s="184" t="n"/>
      <c r="M108" s="184" t="n"/>
      <c r="N108" s="184" t="n"/>
      <c r="O108" s="184" t="n"/>
      <c r="P108" s="184" t="n"/>
      <c r="Q108" s="184" t="n"/>
      <c r="R108" s="184" t="n"/>
      <c r="S108" s="184" t="n"/>
      <c r="T108" s="184" t="n"/>
      <c r="U108" s="184" t="n"/>
      <c r="V108" s="184" t="n"/>
      <c r="W108" s="184" t="n"/>
      <c r="X108" s="184" t="n"/>
      <c r="Y108" s="184" t="n"/>
      <c r="Z108" s="184" t="n"/>
      <c r="AA108" s="184" t="n"/>
      <c r="AB108" s="184" t="n"/>
      <c r="AC108" s="184" t="n"/>
      <c r="AD108" s="184" t="n"/>
      <c r="AE108" s="184" t="n"/>
      <c r="AF108" s="184" t="n"/>
      <c r="AG108" s="184" t="n"/>
      <c r="AH108" s="184" t="n"/>
      <c r="AI108" s="184" t="n"/>
      <c r="AJ108" s="184" t="n"/>
      <c r="AK108" s="184" t="n"/>
      <c r="AL108" s="184" t="n"/>
      <c r="AM108" s="184" t="n"/>
      <c r="AN108" s="184" t="n"/>
      <c r="AO108" s="184" t="n"/>
      <c r="AP108" s="184" t="n"/>
      <c r="AQ108" s="184" t="n"/>
      <c r="AR108" s="184" t="n"/>
      <c r="AS108" s="184" t="n"/>
      <c r="AT108" s="184" t="n"/>
      <c r="AU108" s="184" t="n"/>
      <c r="AV108" s="184" t="n"/>
      <c r="AW108" s="184" t="n"/>
      <c r="AX108" s="184" t="n"/>
      <c r="AY108" s="184" t="n"/>
      <c r="AZ108" s="184" t="n"/>
      <c r="BA108" s="184" t="n"/>
      <c r="BB108" s="184" t="n"/>
      <c r="BC108" s="184" t="n"/>
      <c r="BD108" s="184" t="n"/>
      <c r="BE108" s="184" t="n"/>
      <c r="BF108" s="184" t="n"/>
      <c r="BG108" s="184" t="n"/>
      <c r="BH108" s="184" t="n"/>
      <c r="BI108" s="184" t="n"/>
      <c r="BJ108" s="184" t="n"/>
      <c r="BK108" s="184" t="n"/>
      <c r="BL108" s="184" t="n"/>
      <c r="BM108" s="184" t="n"/>
      <c r="BN108" s="184" t="n"/>
      <c r="BO108" s="184" t="n"/>
      <c r="BP108" s="184" t="n"/>
      <c r="BQ108" s="184" t="n"/>
      <c r="BR108" s="184" t="n"/>
      <c r="BS108" s="184" t="n"/>
      <c r="BT108" s="184" t="n"/>
      <c r="BU108" s="184" t="n"/>
      <c r="BV108" s="184" t="n"/>
      <c r="BW108" s="184" t="n"/>
      <c r="BX108" s="184" t="n"/>
      <c r="BY108" s="168" t="n"/>
      <c r="BZ108" s="168" t="n"/>
      <c r="CA108" s="168" t="n"/>
      <c r="CB108" s="168" t="n"/>
      <c r="CC108" s="168" t="n"/>
      <c r="CD108" s="168" t="n"/>
      <c r="CE108" s="168" t="n"/>
      <c r="CF108" s="20" t="n"/>
    </row>
    <row r="109" hidden="1" outlineLevel="2" ht="15" customHeight="1">
      <c r="B109" s="26" t="inlineStr">
        <is>
          <t xml:space="preserve">  Industrial and Field Services (2013–2017) — revenues</t>
        </is>
      </c>
      <c r="C109" s="184" t="n"/>
      <c r="D109" s="184" t="n"/>
      <c r="E109" s="184" t="n"/>
      <c r="F109" s="184" t="n"/>
      <c r="G109" s="184" t="n"/>
      <c r="H109" s="184" t="n"/>
      <c r="I109" s="184" t="n"/>
      <c r="J109" s="185" t="n">
        <v>208.2</v>
      </c>
      <c r="K109" s="185" t="n">
        <v>232.83</v>
      </c>
      <c r="L109" s="185" t="n">
        <v>220.505</v>
      </c>
      <c r="M109" s="185" t="n">
        <v>205.444</v>
      </c>
      <c r="N109" s="185" t="n">
        <v>866.979</v>
      </c>
      <c r="O109" s="185" t="n">
        <v>204.719</v>
      </c>
      <c r="P109" s="185" t="n">
        <v>174.143</v>
      </c>
      <c r="Q109" s="185" t="n">
        <v>154.377</v>
      </c>
      <c r="R109" s="185" t="n">
        <v>160.492</v>
      </c>
      <c r="S109" s="185" t="n">
        <v>639.369</v>
      </c>
      <c r="T109" s="185" t="n">
        <v>140.385</v>
      </c>
      <c r="U109" s="185" t="n">
        <v>341.698</v>
      </c>
      <c r="V109" s="185" t="n">
        <v>299.94</v>
      </c>
      <c r="W109" s="185" t="n">
        <v>141.576</v>
      </c>
      <c r="X109" s="185" t="n">
        <v>923.599</v>
      </c>
      <c r="Y109" s="185" t="n">
        <v>114.094</v>
      </c>
      <c r="Z109" s="185" t="n">
        <v>144.51</v>
      </c>
      <c r="AA109" s="185" t="n">
        <v>149.352</v>
      </c>
      <c r="AB109" s="185" t="n">
        <v>141.008</v>
      </c>
      <c r="AC109" s="185" t="n">
        <v>582.215</v>
      </c>
      <c r="AD109" s="185" t="n">
        <v>125.302</v>
      </c>
      <c r="AE109" s="185" t="n">
        <v>158.699</v>
      </c>
      <c r="AF109" s="185" t="n">
        <v>153.591</v>
      </c>
      <c r="AG109" s="185" t="n">
        <v>156.13</v>
      </c>
      <c r="AH109" s="185" t="n">
        <v>593.722</v>
      </c>
      <c r="AI109" s="184" t="n"/>
      <c r="AJ109" s="184" t="n"/>
      <c r="AK109" s="184" t="n"/>
      <c r="AL109" s="184" t="n"/>
      <c r="AM109" s="184" t="n"/>
      <c r="AN109" s="184" t="n"/>
      <c r="AO109" s="184" t="n"/>
      <c r="AP109" s="184" t="n"/>
      <c r="AQ109" s="184" t="n"/>
      <c r="AR109" s="184" t="n"/>
      <c r="AS109" s="184" t="n"/>
      <c r="AT109" s="184" t="n"/>
      <c r="AU109" s="184" t="n"/>
      <c r="AV109" s="184" t="n"/>
      <c r="AW109" s="184" t="n"/>
      <c r="AX109" s="184" t="n"/>
      <c r="AY109" s="184" t="n"/>
      <c r="AZ109" s="184" t="n"/>
      <c r="BA109" s="184" t="n"/>
      <c r="BB109" s="184" t="n"/>
      <c r="BC109" s="184" t="n"/>
      <c r="BD109" s="184" t="n"/>
      <c r="BE109" s="184" t="n"/>
      <c r="BF109" s="184" t="n"/>
      <c r="BG109" s="184" t="n"/>
      <c r="BH109" s="184" t="n"/>
      <c r="BI109" s="184" t="n"/>
      <c r="BJ109" s="184" t="n"/>
      <c r="BK109" s="184" t="n"/>
      <c r="BL109" s="184" t="n"/>
      <c r="BM109" s="184" t="n"/>
      <c r="BN109" s="184" t="n"/>
      <c r="BO109" s="184" t="n"/>
      <c r="BP109" s="184" t="n"/>
      <c r="BQ109" s="184" t="n"/>
      <c r="BR109" s="184" t="n"/>
      <c r="BS109" s="184" t="n"/>
      <c r="BT109" s="184" t="n"/>
      <c r="BU109" s="184" t="n"/>
      <c r="BV109" s="184" t="n"/>
      <c r="BW109" s="184" t="n"/>
      <c r="BX109" s="184" t="n"/>
      <c r="BY109" s="168" t="n"/>
      <c r="BZ109" s="168" t="n"/>
      <c r="CA109" s="168" t="n"/>
      <c r="CB109" s="168" t="n"/>
      <c r="CC109" s="168" t="n"/>
      <c r="CD109" s="168" t="n"/>
      <c r="CE109" s="168" t="n"/>
      <c r="CF109" s="20" t="n"/>
    </row>
    <row r="110" hidden="1" outlineLevel="2" ht="15" customHeight="1">
      <c r="B110" s="26" t="inlineStr">
        <is>
          <t xml:space="preserve">  Exploration Services (2009–10) / Oil &amp; Gas Field Services (2011–Q3/16) — revenues</t>
        </is>
      </c>
      <c r="C110" s="184" t="n"/>
      <c r="D110" s="184" t="n"/>
      <c r="E110" s="184" t="n"/>
      <c r="F110" s="185" t="n">
        <v>18.392</v>
      </c>
      <c r="G110" s="185" t="n">
        <v>46.829</v>
      </c>
      <c r="H110" s="185" t="n">
        <v>392.841</v>
      </c>
      <c r="I110" s="185" t="n">
        <v>428.932</v>
      </c>
      <c r="J110" s="185" t="n">
        <v>120.638</v>
      </c>
      <c r="K110" s="185" t="n">
        <v>71.714</v>
      </c>
      <c r="L110" s="185" t="n">
        <v>107.831</v>
      </c>
      <c r="M110" s="185" t="n">
        <v>99.31699999999999</v>
      </c>
      <c r="N110" s="185" t="n">
        <v>399.5</v>
      </c>
      <c r="O110" s="185" t="n">
        <v>105.601</v>
      </c>
      <c r="P110" s="185" t="n">
        <v>59.774</v>
      </c>
      <c r="Q110" s="185" t="n">
        <v>68.009</v>
      </c>
      <c r="R110" s="185" t="n">
        <v>77.614</v>
      </c>
      <c r="S110" s="185" t="n">
        <v>308.27</v>
      </c>
      <c r="T110" s="185" t="n">
        <v>54.928</v>
      </c>
      <c r="U110" s="185" t="n">
        <v>40.811</v>
      </c>
      <c r="V110" s="185" t="n">
        <v>47.982</v>
      </c>
      <c r="W110" s="185" t="n">
        <v>38.059</v>
      </c>
      <c r="X110" s="185" t="n">
        <v>181.78</v>
      </c>
      <c r="Y110" s="185" t="n">
        <v>32.982</v>
      </c>
      <c r="Z110" s="185" t="n">
        <v>21.712</v>
      </c>
      <c r="AA110" s="185" t="n">
        <v>24.705</v>
      </c>
      <c r="AB110" s="184" t="n"/>
      <c r="AC110" s="184" t="n"/>
      <c r="AD110" s="184" t="n"/>
      <c r="AE110" s="184" t="n"/>
      <c r="AF110" s="184" t="n"/>
      <c r="AG110" s="184" t="n"/>
      <c r="AH110" s="184" t="n"/>
      <c r="AI110" s="184" t="n"/>
      <c r="AJ110" s="184" t="n"/>
      <c r="AK110" s="184" t="n"/>
      <c r="AL110" s="184" t="n"/>
      <c r="AM110" s="184" t="n"/>
      <c r="AN110" s="184" t="n"/>
      <c r="AO110" s="184" t="n"/>
      <c r="AP110" s="184" t="n"/>
      <c r="AQ110" s="184" t="n"/>
      <c r="AR110" s="184" t="n"/>
      <c r="AS110" s="184" t="n"/>
      <c r="AT110" s="184" t="n"/>
      <c r="AU110" s="184" t="n"/>
      <c r="AV110" s="184" t="n"/>
      <c r="AW110" s="184" t="n"/>
      <c r="AX110" s="184" t="n"/>
      <c r="AY110" s="184" t="n"/>
      <c r="AZ110" s="184" t="n"/>
      <c r="BA110" s="184" t="n"/>
      <c r="BB110" s="184" t="n"/>
      <c r="BC110" s="184" t="n"/>
      <c r="BD110" s="184" t="n"/>
      <c r="BE110" s="184" t="n"/>
      <c r="BF110" s="184" t="n"/>
      <c r="BG110" s="184" t="n"/>
      <c r="BH110" s="184" t="n"/>
      <c r="BI110" s="184" t="n"/>
      <c r="BJ110" s="184" t="n"/>
      <c r="BK110" s="184" t="n"/>
      <c r="BL110" s="184" t="n"/>
      <c r="BM110" s="184" t="n"/>
      <c r="BN110" s="184" t="n"/>
      <c r="BO110" s="184" t="n"/>
      <c r="BP110" s="184" t="n"/>
      <c r="BQ110" s="184" t="n"/>
      <c r="BR110" s="184" t="n"/>
      <c r="BS110" s="184" t="n"/>
      <c r="BT110" s="184" t="n"/>
      <c r="BU110" s="184" t="n"/>
      <c r="BV110" s="184" t="n"/>
      <c r="BW110" s="184" t="n"/>
      <c r="BX110" s="184" t="n"/>
      <c r="BY110" s="168" t="n"/>
      <c r="BZ110" s="168" t="n"/>
      <c r="CA110" s="168" t="n"/>
      <c r="CB110" s="168" t="n"/>
      <c r="CC110" s="168" t="n"/>
      <c r="CD110" s="168" t="n"/>
      <c r="CE110" s="168" t="n"/>
      <c r="CF110" s="20" t="n"/>
    </row>
    <row r="111" hidden="1" outlineLevel="2" ht="15" customHeight="1">
      <c r="B111" s="26" t="inlineStr">
        <is>
          <t xml:space="preserve">  Lodging Services (Q2/14–Q3/16) — revenues</t>
        </is>
      </c>
      <c r="C111" s="184" t="n"/>
      <c r="D111" s="184" t="n"/>
      <c r="E111" s="184" t="n"/>
      <c r="F111" s="184" t="n"/>
      <c r="G111" s="184" t="n"/>
      <c r="H111" s="184" t="n"/>
      <c r="I111" s="184" t="n"/>
      <c r="J111" s="184" t="n"/>
      <c r="K111" s="184" t="n"/>
      <c r="L111" s="184" t="n"/>
      <c r="M111" s="184" t="n"/>
      <c r="N111" s="184" t="n"/>
      <c r="O111" s="184" t="n"/>
      <c r="P111" s="185" t="n">
        <v>43.797</v>
      </c>
      <c r="Q111" s="185" t="n">
        <v>37.305</v>
      </c>
      <c r="R111" s="185" t="n">
        <v>36.541</v>
      </c>
      <c r="S111" s="185" t="n">
        <v>174.732</v>
      </c>
      <c r="T111" s="185" t="n">
        <v>34.285</v>
      </c>
      <c r="U111" s="185" t="n">
        <v>22.243</v>
      </c>
      <c r="V111" s="185" t="n">
        <v>14.28</v>
      </c>
      <c r="W111" s="185" t="n">
        <v>20.905</v>
      </c>
      <c r="X111" s="185" t="n">
        <v>91.71299999999999</v>
      </c>
      <c r="Y111" s="185" t="n">
        <v>15.93</v>
      </c>
      <c r="Z111" s="185" t="n">
        <v>16.569</v>
      </c>
      <c r="AA111" s="185" t="n">
        <v>15.772</v>
      </c>
      <c r="AB111" s="184" t="n"/>
      <c r="AC111" s="184" t="n"/>
      <c r="AD111" s="184" t="n"/>
      <c r="AE111" s="184" t="n"/>
      <c r="AF111" s="184" t="n"/>
      <c r="AG111" s="184" t="n"/>
      <c r="AH111" s="184" t="n"/>
      <c r="AI111" s="184" t="n"/>
      <c r="AJ111" s="184" t="n"/>
      <c r="AK111" s="184" t="n"/>
      <c r="AL111" s="184" t="n"/>
      <c r="AM111" s="184" t="n"/>
      <c r="AN111" s="184" t="n"/>
      <c r="AO111" s="184" t="n"/>
      <c r="AP111" s="184" t="n"/>
      <c r="AQ111" s="184" t="n"/>
      <c r="AR111" s="184" t="n"/>
      <c r="AS111" s="184" t="n"/>
      <c r="AT111" s="184" t="n"/>
      <c r="AU111" s="184" t="n"/>
      <c r="AV111" s="184" t="n"/>
      <c r="AW111" s="184" t="n"/>
      <c r="AX111" s="184" t="n"/>
      <c r="AY111" s="184" t="n"/>
      <c r="AZ111" s="184" t="n"/>
      <c r="BA111" s="184" t="n"/>
      <c r="BB111" s="184" t="n"/>
      <c r="BC111" s="184" t="n"/>
      <c r="BD111" s="184" t="n"/>
      <c r="BE111" s="184" t="n"/>
      <c r="BF111" s="184" t="n"/>
      <c r="BG111" s="184" t="n"/>
      <c r="BH111" s="184" t="n"/>
      <c r="BI111" s="184" t="n"/>
      <c r="BJ111" s="184" t="n"/>
      <c r="BK111" s="184" t="n"/>
      <c r="BL111" s="184" t="n"/>
      <c r="BM111" s="184" t="n"/>
      <c r="BN111" s="184" t="n"/>
      <c r="BO111" s="184" t="n"/>
      <c r="BP111" s="184" t="n"/>
      <c r="BQ111" s="184" t="n"/>
      <c r="BR111" s="184" t="n"/>
      <c r="BS111" s="184" t="n"/>
      <c r="BT111" s="184" t="n"/>
      <c r="BU111" s="184" t="n"/>
      <c r="BV111" s="184" t="n"/>
      <c r="BW111" s="184" t="n"/>
      <c r="BX111" s="184" t="n"/>
      <c r="BY111" s="168" t="n"/>
      <c r="BZ111" s="168" t="n"/>
      <c r="CA111" s="168" t="n"/>
      <c r="CB111" s="168" t="n"/>
      <c r="CC111" s="168" t="n"/>
      <c r="CD111" s="168" t="n"/>
      <c r="CE111" s="168" t="n"/>
      <c r="CF111" s="20" t="n"/>
    </row>
    <row r="112" hidden="1" outlineLevel="1" ht="15" customHeight="1">
      <c r="B112" s="26" t="inlineStr">
        <is>
          <t xml:space="preserve">  Oil, Gas and Lodging Services (Q4/16–2017) — revenues</t>
        </is>
      </c>
      <c r="C112" s="184" t="n"/>
      <c r="D112" s="184" t="n"/>
      <c r="E112" s="184" t="n"/>
      <c r="F112" s="184" t="n"/>
      <c r="G112" s="184" t="n"/>
      <c r="H112" s="184" t="n"/>
      <c r="I112" s="184" t="n"/>
      <c r="J112" s="184" t="n"/>
      <c r="K112" s="184" t="n"/>
      <c r="L112" s="184" t="n"/>
      <c r="M112" s="184" t="n"/>
      <c r="N112" s="184" t="n"/>
      <c r="O112" s="184" t="n"/>
      <c r="P112" s="184" t="n"/>
      <c r="Q112" s="184" t="n"/>
      <c r="R112" s="184" t="n"/>
      <c r="S112" s="184" t="n"/>
      <c r="T112" s="184" t="n"/>
      <c r="U112" s="184" t="n"/>
      <c r="V112" s="184" t="n"/>
      <c r="W112" s="184" t="n"/>
      <c r="X112" s="184" t="n"/>
      <c r="Y112" s="184" t="n"/>
      <c r="Z112" s="184" t="n"/>
      <c r="AA112" s="184" t="n"/>
      <c r="AB112" s="185" t="n">
        <v>25.464</v>
      </c>
      <c r="AC112" s="185" t="n">
        <v>119.883</v>
      </c>
      <c r="AD112" s="185" t="n">
        <v>32.61</v>
      </c>
      <c r="AE112" s="185" t="n">
        <v>27.995</v>
      </c>
      <c r="AF112" s="185" t="n">
        <v>30.758</v>
      </c>
      <c r="AG112" s="185" t="n">
        <v>28.24</v>
      </c>
      <c r="AH112" s="185" t="n">
        <v>119.603</v>
      </c>
      <c r="AI112" s="184" t="n"/>
      <c r="AJ112" s="184" t="n"/>
      <c r="AK112" s="184" t="n"/>
      <c r="AL112" s="184" t="n"/>
      <c r="AM112" s="184" t="n"/>
      <c r="AN112" s="184" t="n"/>
      <c r="AO112" s="184" t="n"/>
      <c r="AP112" s="184" t="n"/>
      <c r="AQ112" s="184" t="n"/>
      <c r="AR112" s="184" t="n"/>
      <c r="AS112" s="184" t="n"/>
      <c r="AT112" s="184" t="n"/>
      <c r="AU112" s="184" t="n"/>
      <c r="AV112" s="184" t="n"/>
      <c r="AW112" s="184" t="n"/>
      <c r="AX112" s="184" t="n"/>
      <c r="AY112" s="184" t="n"/>
      <c r="AZ112" s="184" t="n"/>
      <c r="BA112" s="184" t="n"/>
      <c r="BB112" s="184" t="n"/>
      <c r="BC112" s="184" t="n"/>
      <c r="BD112" s="184" t="n"/>
      <c r="BE112" s="184" t="n"/>
      <c r="BF112" s="184" t="n"/>
      <c r="BG112" s="184" t="n"/>
      <c r="BH112" s="184" t="n"/>
      <c r="BI112" s="184" t="n"/>
      <c r="BJ112" s="184" t="n"/>
      <c r="BK112" s="184" t="n"/>
      <c r="BL112" s="184" t="n"/>
      <c r="BM112" s="184" t="n"/>
      <c r="BN112" s="184" t="n"/>
      <c r="BO112" s="184" t="n"/>
      <c r="BP112" s="184" t="n"/>
      <c r="BQ112" s="184" t="n"/>
      <c r="BR112" s="184" t="n"/>
      <c r="BS112" s="184" t="n"/>
      <c r="BT112" s="184" t="n"/>
      <c r="BU112" s="184" t="n"/>
      <c r="BV112" s="184" t="n"/>
      <c r="BW112" s="184" t="n"/>
      <c r="BX112" s="184" t="n"/>
      <c r="BY112" s="168" t="n"/>
      <c r="BZ112" s="168" t="n"/>
      <c r="CA112" s="168" t="n"/>
      <c r="CB112" s="168" t="n"/>
      <c r="CC112" s="168" t="n"/>
      <c r="CD112" s="168" t="n"/>
      <c r="CE112" s="168" t="n"/>
      <c r="CF112" s="20" t="n"/>
    </row>
    <row r="113" hidden="1" outlineLevel="2" ht="15" customHeight="1">
      <c r="B113" s="26" t="inlineStr">
        <is>
          <t xml:space="preserve">  Oil Re-refining &amp; Recycling (2013–Q2/15) / Kleen Performance Products (Q3/15–Q3/16) — revenues</t>
        </is>
      </c>
      <c r="C113" s="184" t="n"/>
      <c r="D113" s="184" t="n"/>
      <c r="E113" s="184" t="n"/>
      <c r="F113" s="184" t="n"/>
      <c r="G113" s="184" t="n"/>
      <c r="H113" s="184" t="n"/>
      <c r="I113" s="184" t="n"/>
      <c r="J113" s="185" t="n">
        <v>90.37</v>
      </c>
      <c r="K113" s="185" t="n">
        <v>75.121</v>
      </c>
      <c r="L113" s="185" t="n">
        <v>86.64700000000001</v>
      </c>
      <c r="M113" s="185" t="n">
        <v>84.843</v>
      </c>
      <c r="N113" s="185" t="n">
        <v>336.981</v>
      </c>
      <c r="O113" s="185" t="n">
        <v>81.773</v>
      </c>
      <c r="P113" s="185" t="n">
        <v>89.15000000000001</v>
      </c>
      <c r="Q113" s="185" t="n">
        <v>87.739</v>
      </c>
      <c r="R113" s="185" t="n">
        <v>74.029</v>
      </c>
      <c r="S113" s="185" t="n">
        <v>331.723</v>
      </c>
      <c r="T113" s="185" t="n">
        <v>78.54900000000001</v>
      </c>
      <c r="U113" s="185" t="n">
        <v>77.675</v>
      </c>
      <c r="V113" s="185" t="n">
        <v>77.077</v>
      </c>
      <c r="W113" s="185" t="n">
        <v>73.524</v>
      </c>
      <c r="X113" s="185" t="n">
        <v>306.825</v>
      </c>
      <c r="Y113" s="185" t="n">
        <v>58.135</v>
      </c>
      <c r="Z113" s="185" t="n">
        <v>79.111</v>
      </c>
      <c r="AA113" s="185" t="n">
        <v>92.557</v>
      </c>
      <c r="AB113" s="184" t="n"/>
      <c r="AC113" s="184" t="n"/>
      <c r="AD113" s="184" t="n"/>
      <c r="AE113" s="184" t="n"/>
      <c r="AF113" s="184" t="n"/>
      <c r="AG113" s="184" t="n"/>
      <c r="AH113" s="184" t="n"/>
      <c r="AI113" s="184" t="n"/>
      <c r="AJ113" s="184" t="n"/>
      <c r="AK113" s="184" t="n"/>
      <c r="AL113" s="184" t="n"/>
      <c r="AM113" s="184" t="n"/>
      <c r="AN113" s="184" t="n"/>
      <c r="AO113" s="184" t="n"/>
      <c r="AP113" s="184" t="n"/>
      <c r="AQ113" s="184" t="n"/>
      <c r="AR113" s="184" t="n"/>
      <c r="AS113" s="184" t="n"/>
      <c r="AT113" s="184" t="n"/>
      <c r="AU113" s="184" t="n"/>
      <c r="AV113" s="184" t="n"/>
      <c r="AW113" s="184" t="n"/>
      <c r="AX113" s="184" t="n"/>
      <c r="AY113" s="184" t="n"/>
      <c r="AZ113" s="184" t="n"/>
      <c r="BA113" s="184" t="n"/>
      <c r="BB113" s="184" t="n"/>
      <c r="BC113" s="184" t="n"/>
      <c r="BD113" s="184" t="n"/>
      <c r="BE113" s="184" t="n"/>
      <c r="BF113" s="184" t="n"/>
      <c r="BG113" s="184" t="n"/>
      <c r="BH113" s="184" t="n"/>
      <c r="BI113" s="184" t="n"/>
      <c r="BJ113" s="184" t="n"/>
      <c r="BK113" s="184" t="n"/>
      <c r="BL113" s="184" t="n"/>
      <c r="BM113" s="184" t="n"/>
      <c r="BN113" s="184" t="n"/>
      <c r="BO113" s="184" t="n"/>
      <c r="BP113" s="184" t="n"/>
      <c r="BQ113" s="184" t="n"/>
      <c r="BR113" s="184" t="n"/>
      <c r="BS113" s="184" t="n"/>
      <c r="BT113" s="184" t="n"/>
      <c r="BU113" s="184" t="n"/>
      <c r="BV113" s="184" t="n"/>
      <c r="BW113" s="184" t="n"/>
      <c r="BX113" s="184" t="n"/>
      <c r="BY113" s="168" t="n"/>
      <c r="BZ113" s="168" t="n"/>
      <c r="CA113" s="168" t="n"/>
      <c r="CB113" s="168" t="n"/>
      <c r="CC113" s="168" t="n"/>
      <c r="CD113" s="168" t="n"/>
      <c r="CE113" s="168" t="n"/>
      <c r="CF113" s="20" t="n"/>
    </row>
    <row r="114" hidden="1" outlineLevel="2" ht="15" customHeight="1">
      <c r="B114" s="26" t="inlineStr">
        <is>
          <t xml:space="preserve">  SK Environmental Services (2013–Q3/16) — revenues</t>
        </is>
      </c>
      <c r="C114" s="184" t="n"/>
      <c r="D114" s="184" t="n"/>
      <c r="E114" s="184" t="n"/>
      <c r="F114" s="184" t="n"/>
      <c r="G114" s="184" t="n"/>
      <c r="H114" s="184" t="n"/>
      <c r="I114" s="184" t="n"/>
      <c r="J114" s="185" t="n">
        <v>194.444</v>
      </c>
      <c r="K114" s="185" t="n">
        <v>198.355</v>
      </c>
      <c r="L114" s="185" t="n">
        <v>187.051</v>
      </c>
      <c r="M114" s="185" t="n">
        <v>190.895</v>
      </c>
      <c r="N114" s="185" t="n">
        <v>770.745</v>
      </c>
      <c r="O114" s="185" t="n">
        <v>180.318</v>
      </c>
      <c r="P114" s="185" t="n">
        <v>194.631</v>
      </c>
      <c r="Q114" s="185" t="n">
        <v>192.192</v>
      </c>
      <c r="R114" s="185" t="n">
        <v>179.629</v>
      </c>
      <c r="S114" s="185" t="n">
        <v>747.739</v>
      </c>
      <c r="T114" s="185" t="n">
        <v>149.102</v>
      </c>
      <c r="U114" s="185" t="n">
        <v>167.077</v>
      </c>
      <c r="V114" s="185" t="n">
        <v>165.887</v>
      </c>
      <c r="W114" s="185" t="n">
        <v>152.798</v>
      </c>
      <c r="X114" s="185" t="n">
        <v>634.864</v>
      </c>
      <c r="Y114" s="185" t="n">
        <v>160.671</v>
      </c>
      <c r="Z114" s="185" t="n">
        <v>169.513</v>
      </c>
      <c r="AA114" s="185" t="n">
        <v>175.81</v>
      </c>
      <c r="AB114" s="184" t="n"/>
      <c r="AC114" s="184" t="n"/>
      <c r="AD114" s="184" t="n"/>
      <c r="AE114" s="184" t="n"/>
      <c r="AF114" s="184" t="n"/>
      <c r="AG114" s="184" t="n"/>
      <c r="AH114" s="184" t="n"/>
      <c r="AI114" s="184" t="n"/>
      <c r="AJ114" s="184" t="n"/>
      <c r="AK114" s="184" t="n"/>
      <c r="AL114" s="184" t="n"/>
      <c r="AM114" s="184" t="n"/>
      <c r="AN114" s="184" t="n"/>
      <c r="AO114" s="184" t="n"/>
      <c r="AP114" s="184" t="n"/>
      <c r="AQ114" s="184" t="n"/>
      <c r="AR114" s="184" t="n"/>
      <c r="AS114" s="184" t="n"/>
      <c r="AT114" s="184" t="n"/>
      <c r="AU114" s="184" t="n"/>
      <c r="AV114" s="184" t="n"/>
      <c r="AW114" s="184" t="n"/>
      <c r="AX114" s="184" t="n"/>
      <c r="AY114" s="184" t="n"/>
      <c r="AZ114" s="184" t="n"/>
      <c r="BA114" s="184" t="n"/>
      <c r="BB114" s="184" t="n"/>
      <c r="BC114" s="184" t="n"/>
      <c r="BD114" s="184" t="n"/>
      <c r="BE114" s="184" t="n"/>
      <c r="BF114" s="184" t="n"/>
      <c r="BG114" s="184" t="n"/>
      <c r="BH114" s="184" t="n"/>
      <c r="BI114" s="184" t="n"/>
      <c r="BJ114" s="184" t="n"/>
      <c r="BK114" s="184" t="n"/>
      <c r="BL114" s="184" t="n"/>
      <c r="BM114" s="184" t="n"/>
      <c r="BN114" s="184" t="n"/>
      <c r="BO114" s="184" t="n"/>
      <c r="BP114" s="184" t="n"/>
      <c r="BQ114" s="184" t="n"/>
      <c r="BR114" s="184" t="n"/>
      <c r="BS114" s="184" t="n"/>
      <c r="BT114" s="184" t="n"/>
      <c r="BU114" s="184" t="n"/>
      <c r="BV114" s="184" t="n"/>
      <c r="BW114" s="184" t="n"/>
      <c r="BX114" s="184" t="n"/>
      <c r="BY114" s="168" t="n"/>
      <c r="BZ114" s="168" t="n"/>
      <c r="CA114" s="168" t="n"/>
      <c r="CB114" s="168" t="n"/>
      <c r="CC114" s="168" t="n"/>
      <c r="CD114" s="168" t="n"/>
      <c r="CE114" s="168" t="n"/>
      <c r="CF114" s="20" t="n"/>
    </row>
    <row r="115" hidden="1" outlineLevel="2" ht="15" customHeight="1">
      <c r="B115" s="26" t="inlineStr">
        <is>
          <t xml:space="preserve">  Safety-Kleen (Q4/16–2017) — revenues</t>
        </is>
      </c>
      <c r="C115" s="184" t="n"/>
      <c r="D115" s="184" t="n"/>
      <c r="E115" s="184" t="n"/>
      <c r="F115" s="184" t="n"/>
      <c r="G115" s="184" t="n"/>
      <c r="H115" s="184" t="n"/>
      <c r="I115" s="184" t="n"/>
      <c r="J115" s="184" t="n"/>
      <c r="K115" s="184" t="n"/>
      <c r="L115" s="184" t="n"/>
      <c r="M115" s="184" t="n"/>
      <c r="N115" s="184" t="n"/>
      <c r="O115" s="184" t="n"/>
      <c r="P115" s="184" t="n"/>
      <c r="Q115" s="184" t="n"/>
      <c r="R115" s="184" t="n"/>
      <c r="S115" s="184" t="n"/>
      <c r="T115" s="184" t="n"/>
      <c r="U115" s="184" t="n"/>
      <c r="V115" s="184" t="n"/>
      <c r="W115" s="184" t="n"/>
      <c r="X115" s="184" t="n"/>
      <c r="Y115" s="184" t="n"/>
      <c r="Z115" s="184" t="n"/>
      <c r="AA115" s="184" t="n"/>
      <c r="AB115" s="185" t="n">
        <v>260.286</v>
      </c>
      <c r="AC115" s="185" t="n">
        <v>996.083</v>
      </c>
      <c r="AD115" s="185" t="n">
        <v>260.835</v>
      </c>
      <c r="AE115" s="185" t="n">
        <v>271.315</v>
      </c>
      <c r="AF115" s="185" t="n">
        <v>283.274</v>
      </c>
      <c r="AG115" s="185" t="n">
        <v>272.462</v>
      </c>
      <c r="AH115" s="185" t="n">
        <v>1087.886</v>
      </c>
      <c r="AI115" s="184" t="n"/>
      <c r="AJ115" s="184" t="n"/>
      <c r="AK115" s="184" t="n"/>
      <c r="AL115" s="184" t="n"/>
      <c r="AM115" s="184" t="n"/>
      <c r="AN115" s="184" t="n"/>
      <c r="AO115" s="184" t="n"/>
      <c r="AP115" s="184" t="n"/>
      <c r="AQ115" s="184" t="n"/>
      <c r="AR115" s="184" t="n"/>
      <c r="AS115" s="184" t="n"/>
      <c r="AT115" s="184" t="n"/>
      <c r="AU115" s="184" t="n"/>
      <c r="AV115" s="184" t="n"/>
      <c r="AW115" s="184" t="n"/>
      <c r="AX115" s="184" t="n"/>
      <c r="AY115" s="184" t="n"/>
      <c r="AZ115" s="184" t="n"/>
      <c r="BA115" s="184" t="n"/>
      <c r="BB115" s="184" t="n"/>
      <c r="BC115" s="184" t="n"/>
      <c r="BD115" s="184" t="n"/>
      <c r="BE115" s="184" t="n"/>
      <c r="BF115" s="184" t="n"/>
      <c r="BG115" s="184" t="n"/>
      <c r="BH115" s="184" t="n"/>
      <c r="BI115" s="184" t="n"/>
      <c r="BJ115" s="184" t="n"/>
      <c r="BK115" s="184" t="n"/>
      <c r="BL115" s="184" t="n"/>
      <c r="BM115" s="184" t="n"/>
      <c r="BN115" s="184" t="n"/>
      <c r="BO115" s="184" t="n"/>
      <c r="BP115" s="184" t="n"/>
      <c r="BQ115" s="184" t="n"/>
      <c r="BR115" s="184" t="n"/>
      <c r="BS115" s="184" t="n"/>
      <c r="BT115" s="184" t="n"/>
      <c r="BU115" s="184" t="n"/>
      <c r="BV115" s="184" t="n"/>
      <c r="BW115" s="184" t="n"/>
      <c r="BX115" s="184" t="n"/>
      <c r="BY115" s="168" t="n"/>
      <c r="BZ115" s="168" t="n"/>
      <c r="CA115" s="168" t="n"/>
      <c r="CB115" s="168" t="n"/>
      <c r="CC115" s="168" t="n"/>
      <c r="CD115" s="168" t="n"/>
      <c r="CE115" s="168" t="n"/>
      <c r="CF115" s="20" t="n"/>
    </row>
    <row r="116" hidden="1" outlineLevel="2" ht="15" customHeight="1">
      <c r="B116" s="26" t="inlineStr">
        <is>
          <t xml:space="preserve">  Corporate Items — revenues</t>
        </is>
      </c>
      <c r="C116" s="185" t="n">
        <v>0.31</v>
      </c>
      <c r="D116" s="185" t="n">
        <v>-1.111</v>
      </c>
      <c r="E116" s="185" t="n">
        <v>-2.167</v>
      </c>
      <c r="F116" s="185" t="n">
        <v>-1.712</v>
      </c>
      <c r="G116" s="185" t="n">
        <v>-1.84</v>
      </c>
      <c r="H116" s="185" t="n">
        <v>-0.6899999999999999</v>
      </c>
      <c r="I116" s="185" t="n">
        <v>-0.394</v>
      </c>
      <c r="J116" s="185" t="n">
        <v>-10.699</v>
      </c>
      <c r="K116" s="185" t="n">
        <v>-0.882</v>
      </c>
      <c r="L116" s="185" t="n">
        <v>-0.334</v>
      </c>
      <c r="M116" s="185" t="n">
        <v>-0.449</v>
      </c>
      <c r="N116" s="185" t="n">
        <v>-12.364</v>
      </c>
      <c r="O116" s="185" t="n">
        <v>-0.358</v>
      </c>
      <c r="P116" s="185" t="n">
        <v>-0.673</v>
      </c>
      <c r="Q116" s="185" t="n">
        <v>-1.559</v>
      </c>
      <c r="R116" s="185" t="n">
        <v>-2.99</v>
      </c>
      <c r="S116" s="185" t="n">
        <v>-5.58</v>
      </c>
      <c r="T116" s="185" t="n">
        <v>-1.276</v>
      </c>
      <c r="U116" s="185" t="n">
        <v>-0.698</v>
      </c>
      <c r="V116" s="185" t="n">
        <v>-0.194</v>
      </c>
      <c r="W116" s="185" t="n">
        <v>-0.556</v>
      </c>
      <c r="X116" s="185" t="n">
        <v>-2.724</v>
      </c>
      <c r="Y116" s="185" t="n">
        <v>-0.066</v>
      </c>
      <c r="Z116" s="185" t="n">
        <v>0.72</v>
      </c>
      <c r="AA116" s="185" t="n">
        <v>-0.445</v>
      </c>
      <c r="AB116" s="185" t="n">
        <v>0.101</v>
      </c>
      <c r="AC116" s="185" t="n">
        <v>0.31</v>
      </c>
      <c r="AD116" s="185" t="n">
        <v>-0.79</v>
      </c>
      <c r="AE116" s="185" t="n">
        <v>-0.117</v>
      </c>
      <c r="AF116" s="185" t="n">
        <v>-0.109</v>
      </c>
      <c r="AG116" s="185" t="n">
        <v>0.634</v>
      </c>
      <c r="AH116" s="185" t="n">
        <v>-0.382</v>
      </c>
      <c r="AI116" s="184" t="n"/>
      <c r="AJ116" s="184" t="n"/>
      <c r="AK116" s="184" t="n"/>
      <c r="AL116" s="184" t="n"/>
      <c r="AM116" s="184" t="n"/>
      <c r="AN116" s="184" t="n"/>
      <c r="AO116" s="184" t="n"/>
      <c r="AP116" s="184" t="n"/>
      <c r="AQ116" s="184" t="n"/>
      <c r="AR116" s="184" t="n"/>
      <c r="AS116" s="184" t="n"/>
      <c r="AT116" s="184" t="n"/>
      <c r="AU116" s="184" t="n"/>
      <c r="AV116" s="184" t="n"/>
      <c r="AW116" s="184" t="n"/>
      <c r="AX116" s="184" t="n"/>
      <c r="AY116" s="184" t="n"/>
      <c r="AZ116" s="184" t="n"/>
      <c r="BA116" s="184" t="n"/>
      <c r="BB116" s="184" t="n"/>
      <c r="BC116" s="184" t="n"/>
      <c r="BD116" s="184" t="n"/>
      <c r="BE116" s="184" t="n"/>
      <c r="BF116" s="184" t="n"/>
      <c r="BG116" s="184" t="n"/>
      <c r="BH116" s="184" t="n"/>
      <c r="BI116" s="184" t="n"/>
      <c r="BJ116" s="184" t="n"/>
      <c r="BK116" s="184" t="n"/>
      <c r="BL116" s="184" t="n"/>
      <c r="BM116" s="184" t="n"/>
      <c r="BN116" s="184" t="n"/>
      <c r="BO116" s="184" t="n"/>
      <c r="BP116" s="184" t="n"/>
      <c r="BQ116" s="184" t="n"/>
      <c r="BR116" s="184" t="n"/>
      <c r="BS116" s="184" t="n"/>
      <c r="BT116" s="184" t="n"/>
      <c r="BU116" s="184" t="n"/>
      <c r="BV116" s="184" t="n"/>
      <c r="BW116" s="184" t="n"/>
      <c r="BX116" s="184" t="n"/>
      <c r="BY116" s="168" t="n"/>
      <c r="BZ116" s="168" t="n"/>
      <c r="CA116" s="168" t="n"/>
      <c r="CB116" s="168" t="n"/>
      <c r="CC116" s="168" t="n"/>
      <c r="CD116" s="168" t="n"/>
      <c r="CE116" s="168" t="n"/>
      <c r="CF116" s="20" t="n"/>
    </row>
    <row r="117" hidden="1" outlineLevel="2" ht="15" customHeight="1">
      <c r="B117" s="26" t="inlineStr">
        <is>
          <t xml:space="preserve">  Technical Services (2006–2017) — Adjusted EBITDA</t>
        </is>
      </c>
      <c r="C117" s="185" t="n">
        <v>123.566</v>
      </c>
      <c r="D117" s="185" t="n">
        <v>157.782</v>
      </c>
      <c r="E117" s="185" t="n">
        <v>179.993</v>
      </c>
      <c r="F117" s="185" t="n">
        <v>177.683</v>
      </c>
      <c r="G117" s="185" t="n">
        <v>180.693</v>
      </c>
      <c r="H117" s="185" t="n">
        <v>221.298</v>
      </c>
      <c r="I117" s="185" t="n">
        <v>244.989</v>
      </c>
      <c r="J117" s="185" t="n">
        <v>60.045</v>
      </c>
      <c r="K117" s="185" t="n">
        <v>69.39</v>
      </c>
      <c r="L117" s="185" t="n">
        <v>78.849</v>
      </c>
      <c r="M117" s="185" t="n">
        <v>77.236</v>
      </c>
      <c r="N117" s="185" t="n">
        <v>285.52</v>
      </c>
      <c r="O117" s="185" t="n">
        <v>62.177</v>
      </c>
      <c r="P117" s="185" t="n">
        <v>84.297</v>
      </c>
      <c r="Q117" s="185" t="n">
        <v>86.928</v>
      </c>
      <c r="R117" s="185" t="n">
        <v>94.72799999999999</v>
      </c>
      <c r="S117" s="185" t="n">
        <v>328.13</v>
      </c>
      <c r="T117" s="185" t="n">
        <v>63.401</v>
      </c>
      <c r="U117" s="185" t="n">
        <v>76.80800000000001</v>
      </c>
      <c r="V117" s="185" t="n">
        <v>79.048</v>
      </c>
      <c r="W117" s="185" t="n">
        <v>72.48</v>
      </c>
      <c r="X117" s="185" t="n">
        <v>291.737</v>
      </c>
      <c r="Y117" s="185" t="n">
        <v>60.398</v>
      </c>
      <c r="Z117" s="185" t="n">
        <v>68.89100000000001</v>
      </c>
      <c r="AA117" s="185" t="n">
        <v>72.333</v>
      </c>
      <c r="AB117" s="185" t="n">
        <v>69.554</v>
      </c>
      <c r="AC117" s="185" t="n">
        <v>271.176</v>
      </c>
      <c r="AD117" s="185" t="n">
        <v>58.488</v>
      </c>
      <c r="AE117" s="185" t="n">
        <v>73.08</v>
      </c>
      <c r="AF117" s="185" t="n">
        <v>72.33799999999999</v>
      </c>
      <c r="AG117" s="185" t="n">
        <v>72.68600000000001</v>
      </c>
      <c r="AH117" s="185" t="n">
        <v>276.592</v>
      </c>
      <c r="AI117" s="184" t="n"/>
      <c r="AJ117" s="184" t="n"/>
      <c r="AK117" s="184" t="n"/>
      <c r="AL117" s="184" t="n"/>
      <c r="AM117" s="184" t="n"/>
      <c r="AN117" s="184" t="n"/>
      <c r="AO117" s="184" t="n"/>
      <c r="AP117" s="184" t="n"/>
      <c r="AQ117" s="184" t="n"/>
      <c r="AR117" s="184" t="n"/>
      <c r="AS117" s="184" t="n"/>
      <c r="AT117" s="184" t="n"/>
      <c r="AU117" s="184" t="n"/>
      <c r="AV117" s="184" t="n"/>
      <c r="AW117" s="184" t="n"/>
      <c r="AX117" s="184" t="n"/>
      <c r="AY117" s="184" t="n"/>
      <c r="AZ117" s="184" t="n"/>
      <c r="BA117" s="184" t="n"/>
      <c r="BB117" s="184" t="n"/>
      <c r="BC117" s="184" t="n"/>
      <c r="BD117" s="184" t="n"/>
      <c r="BE117" s="184" t="n"/>
      <c r="BF117" s="184" t="n"/>
      <c r="BG117" s="184" t="n"/>
      <c r="BH117" s="184" t="n"/>
      <c r="BI117" s="184" t="n"/>
      <c r="BJ117" s="184" t="n"/>
      <c r="BK117" s="184" t="n"/>
      <c r="BL117" s="184" t="n"/>
      <c r="BM117" s="184" t="n"/>
      <c r="BN117" s="184" t="n"/>
      <c r="BO117" s="184" t="n"/>
      <c r="BP117" s="184" t="n"/>
      <c r="BQ117" s="184" t="n"/>
      <c r="BR117" s="184" t="n"/>
      <c r="BS117" s="184" t="n"/>
      <c r="BT117" s="184" t="n"/>
      <c r="BU117" s="184" t="n"/>
      <c r="BV117" s="184" t="n"/>
      <c r="BW117" s="184" t="n"/>
      <c r="BX117" s="184" t="n"/>
      <c r="BY117" s="168" t="n"/>
      <c r="BZ117" s="168" t="n"/>
      <c r="CA117" s="168" t="n"/>
      <c r="CB117" s="168" t="n"/>
      <c r="CC117" s="168" t="n"/>
      <c r="CD117" s="168" t="n"/>
      <c r="CE117" s="168" t="n"/>
      <c r="CF117" s="20" t="n"/>
    </row>
    <row r="118" hidden="1" outlineLevel="2" ht="15" customHeight="1">
      <c r="B118" s="26" t="inlineStr">
        <is>
          <t xml:space="preserve">  Site Services (2006–08) / Field Services (2009–12) — Adjusted EBITDA</t>
        </is>
      </c>
      <c r="C118" s="185" t="n">
        <v>44.743</v>
      </c>
      <c r="D118" s="185" t="n">
        <v>46.044</v>
      </c>
      <c r="E118" s="185" t="n">
        <v>52.587</v>
      </c>
      <c r="F118" s="185" t="n">
        <v>24.438</v>
      </c>
      <c r="G118" s="185" t="n">
        <v>114.104</v>
      </c>
      <c r="H118" s="185" t="n">
        <v>52.584</v>
      </c>
      <c r="I118" s="185" t="n">
        <v>25.087</v>
      </c>
      <c r="J118" s="184" t="n"/>
      <c r="K118" s="184" t="n"/>
      <c r="L118" s="184" t="n"/>
      <c r="M118" s="184" t="n"/>
      <c r="N118" s="184" t="n"/>
      <c r="O118" s="184" t="n"/>
      <c r="P118" s="184" t="n"/>
      <c r="Q118" s="184" t="n"/>
      <c r="R118" s="184" t="n"/>
      <c r="S118" s="184" t="n"/>
      <c r="T118" s="184" t="n"/>
      <c r="U118" s="184" t="n"/>
      <c r="V118" s="184" t="n"/>
      <c r="W118" s="184" t="n"/>
      <c r="X118" s="184" t="n"/>
      <c r="Y118" s="184" t="n"/>
      <c r="Z118" s="184" t="n"/>
      <c r="AA118" s="184" t="n"/>
      <c r="AB118" s="184" t="n"/>
      <c r="AC118" s="184" t="n"/>
      <c r="AD118" s="184" t="n"/>
      <c r="AE118" s="184" t="n"/>
      <c r="AF118" s="184" t="n"/>
      <c r="AG118" s="184" t="n"/>
      <c r="AH118" s="184" t="n"/>
      <c r="AI118" s="184" t="n"/>
      <c r="AJ118" s="184" t="n"/>
      <c r="AK118" s="184" t="n"/>
      <c r="AL118" s="184" t="n"/>
      <c r="AM118" s="184" t="n"/>
      <c r="AN118" s="184" t="n"/>
      <c r="AO118" s="184" t="n"/>
      <c r="AP118" s="184" t="n"/>
      <c r="AQ118" s="184" t="n"/>
      <c r="AR118" s="184" t="n"/>
      <c r="AS118" s="184" t="n"/>
      <c r="AT118" s="184" t="n"/>
      <c r="AU118" s="184" t="n"/>
      <c r="AV118" s="184" t="n"/>
      <c r="AW118" s="184" t="n"/>
      <c r="AX118" s="184" t="n"/>
      <c r="AY118" s="184" t="n"/>
      <c r="AZ118" s="184" t="n"/>
      <c r="BA118" s="184" t="n"/>
      <c r="BB118" s="184" t="n"/>
      <c r="BC118" s="184" t="n"/>
      <c r="BD118" s="184" t="n"/>
      <c r="BE118" s="184" t="n"/>
      <c r="BF118" s="184" t="n"/>
      <c r="BG118" s="184" t="n"/>
      <c r="BH118" s="184" t="n"/>
      <c r="BI118" s="184" t="n"/>
      <c r="BJ118" s="184" t="n"/>
      <c r="BK118" s="184" t="n"/>
      <c r="BL118" s="184" t="n"/>
      <c r="BM118" s="184" t="n"/>
      <c r="BN118" s="184" t="n"/>
      <c r="BO118" s="184" t="n"/>
      <c r="BP118" s="184" t="n"/>
      <c r="BQ118" s="184" t="n"/>
      <c r="BR118" s="184" t="n"/>
      <c r="BS118" s="184" t="n"/>
      <c r="BT118" s="184" t="n"/>
      <c r="BU118" s="184" t="n"/>
      <c r="BV118" s="184" t="n"/>
      <c r="BW118" s="184" t="n"/>
      <c r="BX118" s="184" t="n"/>
      <c r="BY118" s="168" t="n"/>
      <c r="BZ118" s="168" t="n"/>
      <c r="CA118" s="168" t="n"/>
      <c r="CB118" s="168" t="n"/>
      <c r="CC118" s="168" t="n"/>
      <c r="CD118" s="168" t="n"/>
      <c r="CE118" s="168" t="n"/>
      <c r="CF118" s="20" t="n"/>
    </row>
    <row r="119" hidden="1" outlineLevel="2" ht="15" customHeight="1">
      <c r="B119" s="26" t="inlineStr">
        <is>
          <t xml:space="preserve">  Industrial Services (2009–12) — Adjusted EBITDA</t>
        </is>
      </c>
      <c r="C119" s="184" t="n"/>
      <c r="D119" s="184" t="n"/>
      <c r="E119" s="184" t="n"/>
      <c r="F119" s="185" t="n">
        <v>20.63</v>
      </c>
      <c r="G119" s="185" t="n">
        <v>95.283</v>
      </c>
      <c r="H119" s="185" t="n">
        <v>95.58799999999999</v>
      </c>
      <c r="I119" s="185" t="n">
        <v>139.923</v>
      </c>
      <c r="J119" s="184" t="n"/>
      <c r="K119" s="184" t="n"/>
      <c r="L119" s="184" t="n"/>
      <c r="M119" s="184" t="n"/>
      <c r="N119" s="184" t="n"/>
      <c r="O119" s="184" t="n"/>
      <c r="P119" s="184" t="n"/>
      <c r="Q119" s="184" t="n"/>
      <c r="R119" s="184" t="n"/>
      <c r="S119" s="184" t="n"/>
      <c r="T119" s="184" t="n"/>
      <c r="U119" s="184" t="n"/>
      <c r="V119" s="184" t="n"/>
      <c r="W119" s="184" t="n"/>
      <c r="X119" s="184" t="n"/>
      <c r="Y119" s="184" t="n"/>
      <c r="Z119" s="184" t="n"/>
      <c r="AA119" s="184" t="n"/>
      <c r="AB119" s="184" t="n"/>
      <c r="AC119" s="184" t="n"/>
      <c r="AD119" s="184" t="n"/>
      <c r="AE119" s="184" t="n"/>
      <c r="AF119" s="184" t="n"/>
      <c r="AG119" s="184" t="n"/>
      <c r="AH119" s="184" t="n"/>
      <c r="AI119" s="184" t="n"/>
      <c r="AJ119" s="184" t="n"/>
      <c r="AK119" s="184" t="n"/>
      <c r="AL119" s="184" t="n"/>
      <c r="AM119" s="184" t="n"/>
      <c r="AN119" s="184" t="n"/>
      <c r="AO119" s="184" t="n"/>
      <c r="AP119" s="184" t="n"/>
      <c r="AQ119" s="184" t="n"/>
      <c r="AR119" s="184" t="n"/>
      <c r="AS119" s="184" t="n"/>
      <c r="AT119" s="184" t="n"/>
      <c r="AU119" s="184" t="n"/>
      <c r="AV119" s="184" t="n"/>
      <c r="AW119" s="184" t="n"/>
      <c r="AX119" s="184" t="n"/>
      <c r="AY119" s="184" t="n"/>
      <c r="AZ119" s="184" t="n"/>
      <c r="BA119" s="184" t="n"/>
      <c r="BB119" s="184" t="n"/>
      <c r="BC119" s="184" t="n"/>
      <c r="BD119" s="184" t="n"/>
      <c r="BE119" s="184" t="n"/>
      <c r="BF119" s="184" t="n"/>
      <c r="BG119" s="184" t="n"/>
      <c r="BH119" s="184" t="n"/>
      <c r="BI119" s="184" t="n"/>
      <c r="BJ119" s="184" t="n"/>
      <c r="BK119" s="184" t="n"/>
      <c r="BL119" s="184" t="n"/>
      <c r="BM119" s="184" t="n"/>
      <c r="BN119" s="184" t="n"/>
      <c r="BO119" s="184" t="n"/>
      <c r="BP119" s="184" t="n"/>
      <c r="BQ119" s="184" t="n"/>
      <c r="BR119" s="184" t="n"/>
      <c r="BS119" s="184" t="n"/>
      <c r="BT119" s="184" t="n"/>
      <c r="BU119" s="184" t="n"/>
      <c r="BV119" s="184" t="n"/>
      <c r="BW119" s="184" t="n"/>
      <c r="BX119" s="184" t="n"/>
      <c r="BY119" s="168" t="n"/>
      <c r="BZ119" s="168" t="n"/>
      <c r="CA119" s="168" t="n"/>
      <c r="CB119" s="168" t="n"/>
      <c r="CC119" s="168" t="n"/>
      <c r="CD119" s="168" t="n"/>
      <c r="CE119" s="168" t="n"/>
      <c r="CF119" s="20" t="n"/>
    </row>
    <row r="120" hidden="1" outlineLevel="2" ht="15" customHeight="1">
      <c r="B120" s="26" t="inlineStr">
        <is>
          <t xml:space="preserve">  Industrial and Field Services (2013–2017) — Adjusted EBITDA</t>
        </is>
      </c>
      <c r="C120" s="184" t="n"/>
      <c r="D120" s="184" t="n"/>
      <c r="E120" s="184" t="n"/>
      <c r="F120" s="184" t="n"/>
      <c r="G120" s="184" t="n"/>
      <c r="H120" s="184" t="n"/>
      <c r="I120" s="184" t="n"/>
      <c r="J120" s="185" t="n">
        <v>36.346</v>
      </c>
      <c r="K120" s="185" t="n">
        <v>54.196</v>
      </c>
      <c r="L120" s="185" t="n">
        <v>48.096</v>
      </c>
      <c r="M120" s="185" t="n">
        <v>38.314</v>
      </c>
      <c r="N120" s="185" t="n">
        <v>176.952</v>
      </c>
      <c r="O120" s="185" t="n">
        <v>34.141</v>
      </c>
      <c r="P120" s="185" t="n">
        <v>30.716</v>
      </c>
      <c r="Q120" s="185" t="n">
        <v>20.303</v>
      </c>
      <c r="R120" s="185" t="n">
        <v>20.2</v>
      </c>
      <c r="S120" s="185" t="n">
        <v>87.59099999999999</v>
      </c>
      <c r="T120" s="185" t="n">
        <v>10.309</v>
      </c>
      <c r="U120" s="185" t="n">
        <v>73.081</v>
      </c>
      <c r="V120" s="185" t="n">
        <v>62.46</v>
      </c>
      <c r="W120" s="185" t="n">
        <v>11.65</v>
      </c>
      <c r="X120" s="185" t="n">
        <v>157.5</v>
      </c>
      <c r="Y120" s="185" t="n">
        <v>2.118</v>
      </c>
      <c r="Z120" s="185" t="n">
        <v>19.946</v>
      </c>
      <c r="AA120" s="185" t="n">
        <v>18.579</v>
      </c>
      <c r="AB120" s="185" t="n">
        <v>12.564</v>
      </c>
      <c r="AC120" s="185" t="n">
        <v>51.191</v>
      </c>
      <c r="AD120" s="185" t="n">
        <v>1.913</v>
      </c>
      <c r="AE120" s="185" t="n">
        <v>21.484</v>
      </c>
      <c r="AF120" s="185" t="n">
        <v>13.255</v>
      </c>
      <c r="AG120" s="185" t="n">
        <v>6.358</v>
      </c>
      <c r="AH120" s="185" t="n">
        <v>43.01</v>
      </c>
      <c r="AI120" s="184" t="n"/>
      <c r="AJ120" s="184" t="n"/>
      <c r="AK120" s="184" t="n"/>
      <c r="AL120" s="184" t="n"/>
      <c r="AM120" s="184" t="n"/>
      <c r="AN120" s="184" t="n"/>
      <c r="AO120" s="184" t="n"/>
      <c r="AP120" s="184" t="n"/>
      <c r="AQ120" s="184" t="n"/>
      <c r="AR120" s="184" t="n"/>
      <c r="AS120" s="184" t="n"/>
      <c r="AT120" s="184" t="n"/>
      <c r="AU120" s="184" t="n"/>
      <c r="AV120" s="184" t="n"/>
      <c r="AW120" s="184" t="n"/>
      <c r="AX120" s="184" t="n"/>
      <c r="AY120" s="184" t="n"/>
      <c r="AZ120" s="184" t="n"/>
      <c r="BA120" s="184" t="n"/>
      <c r="BB120" s="184" t="n"/>
      <c r="BC120" s="184" t="n"/>
      <c r="BD120" s="184" t="n"/>
      <c r="BE120" s="184" t="n"/>
      <c r="BF120" s="184" t="n"/>
      <c r="BG120" s="184" t="n"/>
      <c r="BH120" s="184" t="n"/>
      <c r="BI120" s="184" t="n"/>
      <c r="BJ120" s="184" t="n"/>
      <c r="BK120" s="184" t="n"/>
      <c r="BL120" s="184" t="n"/>
      <c r="BM120" s="184" t="n"/>
      <c r="BN120" s="184" t="n"/>
      <c r="BO120" s="184" t="n"/>
      <c r="BP120" s="184" t="n"/>
      <c r="BQ120" s="184" t="n"/>
      <c r="BR120" s="184" t="n"/>
      <c r="BS120" s="184" t="n"/>
      <c r="BT120" s="184" t="n"/>
      <c r="BU120" s="184" t="n"/>
      <c r="BV120" s="184" t="n"/>
      <c r="BW120" s="184" t="n"/>
      <c r="BX120" s="184" t="n"/>
      <c r="BY120" s="168" t="n"/>
      <c r="BZ120" s="168" t="n"/>
      <c r="CA120" s="168" t="n"/>
      <c r="CB120" s="168" t="n"/>
      <c r="CC120" s="168" t="n"/>
      <c r="CD120" s="168" t="n"/>
      <c r="CE120" s="168" t="n"/>
      <c r="CF120" s="20" t="n"/>
    </row>
    <row r="121" hidden="1" outlineLevel="2" ht="15" customHeight="1">
      <c r="B121" s="26" t="inlineStr">
        <is>
          <t xml:space="preserve">  Exploration Services (2009–10) / Oil &amp; Gas Field Services (2011–Q3/16) — Adjusted EBITDA</t>
        </is>
      </c>
      <c r="C121" s="184" t="n"/>
      <c r="D121" s="184" t="n"/>
      <c r="E121" s="184" t="n"/>
      <c r="F121" s="185" t="n">
        <v>0.623</v>
      </c>
      <c r="G121" s="185" t="n">
        <v>11.474</v>
      </c>
      <c r="H121" s="185" t="n">
        <v>85.274</v>
      </c>
      <c r="I121" s="185" t="n">
        <v>75.809</v>
      </c>
      <c r="J121" s="185" t="n">
        <v>27.551</v>
      </c>
      <c r="K121" s="185" t="n">
        <v>3.967</v>
      </c>
      <c r="L121" s="185" t="n">
        <v>20.854</v>
      </c>
      <c r="M121" s="185" t="n">
        <v>15.691</v>
      </c>
      <c r="N121" s="185" t="n">
        <v>68.063</v>
      </c>
      <c r="O121" s="185" t="n">
        <v>16.299</v>
      </c>
      <c r="P121" s="185" t="n">
        <v>1.812</v>
      </c>
      <c r="Q121" s="185" t="n">
        <v>9.545</v>
      </c>
      <c r="R121" s="185" t="n">
        <v>12.426</v>
      </c>
      <c r="S121" s="185" t="n">
        <v>40.114</v>
      </c>
      <c r="T121" s="185" t="n">
        <v>1.403</v>
      </c>
      <c r="U121" s="185" t="n">
        <v>-2.182</v>
      </c>
      <c r="V121" s="185" t="n">
        <v>1.579</v>
      </c>
      <c r="W121" s="185" t="n">
        <v>-1.627</v>
      </c>
      <c r="X121" s="185" t="n">
        <v>-0.827</v>
      </c>
      <c r="Y121" s="185" t="n">
        <v>-1.394</v>
      </c>
      <c r="Z121" s="185" t="n">
        <v>-4.207</v>
      </c>
      <c r="AA121" s="185" t="n">
        <v>-4.425</v>
      </c>
      <c r="AB121" s="184" t="n"/>
      <c r="AC121" s="184" t="n"/>
      <c r="AD121" s="184" t="n"/>
      <c r="AE121" s="184" t="n"/>
      <c r="AF121" s="184" t="n"/>
      <c r="AG121" s="184" t="n"/>
      <c r="AH121" s="184" t="n"/>
      <c r="AI121" s="184" t="n"/>
      <c r="AJ121" s="184" t="n"/>
      <c r="AK121" s="184" t="n"/>
      <c r="AL121" s="184" t="n"/>
      <c r="AM121" s="184" t="n"/>
      <c r="AN121" s="184" t="n"/>
      <c r="AO121" s="184" t="n"/>
      <c r="AP121" s="184" t="n"/>
      <c r="AQ121" s="184" t="n"/>
      <c r="AR121" s="184" t="n"/>
      <c r="AS121" s="184" t="n"/>
      <c r="AT121" s="184" t="n"/>
      <c r="AU121" s="184" t="n"/>
      <c r="AV121" s="184" t="n"/>
      <c r="AW121" s="184" t="n"/>
      <c r="AX121" s="184" t="n"/>
      <c r="AY121" s="184" t="n"/>
      <c r="AZ121" s="184" t="n"/>
      <c r="BA121" s="184" t="n"/>
      <c r="BB121" s="184" t="n"/>
      <c r="BC121" s="184" t="n"/>
      <c r="BD121" s="184" t="n"/>
      <c r="BE121" s="184" t="n"/>
      <c r="BF121" s="184" t="n"/>
      <c r="BG121" s="184" t="n"/>
      <c r="BH121" s="184" t="n"/>
      <c r="BI121" s="184" t="n"/>
      <c r="BJ121" s="184" t="n"/>
      <c r="BK121" s="184" t="n"/>
      <c r="BL121" s="184" t="n"/>
      <c r="BM121" s="184" t="n"/>
      <c r="BN121" s="184" t="n"/>
      <c r="BO121" s="184" t="n"/>
      <c r="BP121" s="184" t="n"/>
      <c r="BQ121" s="184" t="n"/>
      <c r="BR121" s="184" t="n"/>
      <c r="BS121" s="184" t="n"/>
      <c r="BT121" s="184" t="n"/>
      <c r="BU121" s="184" t="n"/>
      <c r="BV121" s="184" t="n"/>
      <c r="BW121" s="184" t="n"/>
      <c r="BX121" s="184" t="n"/>
      <c r="BY121" s="168" t="n"/>
      <c r="BZ121" s="168" t="n"/>
      <c r="CA121" s="168" t="n"/>
      <c r="CB121" s="168" t="n"/>
      <c r="CC121" s="168" t="n"/>
      <c r="CD121" s="168" t="n"/>
      <c r="CE121" s="168" t="n"/>
      <c r="CF121" s="20" t="n"/>
    </row>
    <row r="122" hidden="1" outlineLevel="2" ht="15" customHeight="1">
      <c r="B122" s="26" t="inlineStr">
        <is>
          <t xml:space="preserve">  Lodging Services (Q2/14–Q3/16) — Adjusted EBITDA</t>
        </is>
      </c>
      <c r="C122" s="184" t="n"/>
      <c r="D122" s="184" t="n"/>
      <c r="E122" s="184" t="n"/>
      <c r="F122" s="184" t="n"/>
      <c r="G122" s="184" t="n"/>
      <c r="H122" s="184" t="n"/>
      <c r="I122" s="184" t="n"/>
      <c r="J122" s="184" t="n"/>
      <c r="K122" s="184" t="n"/>
      <c r="L122" s="184" t="n"/>
      <c r="M122" s="184" t="n"/>
      <c r="N122" s="184" t="n"/>
      <c r="O122" s="184" t="n"/>
      <c r="P122" s="185" t="n">
        <v>15.487</v>
      </c>
      <c r="Q122" s="185" t="n">
        <v>15.972</v>
      </c>
      <c r="R122" s="185" t="n">
        <v>12.242</v>
      </c>
      <c r="S122" s="185" t="n">
        <v>61.438</v>
      </c>
      <c r="T122" s="185" t="n">
        <v>6.91</v>
      </c>
      <c r="U122" s="185" t="n">
        <v>3.852</v>
      </c>
      <c r="V122" s="185" t="n">
        <v>1.827</v>
      </c>
      <c r="W122" s="185" t="n">
        <v>3.889</v>
      </c>
      <c r="X122" s="185" t="n">
        <v>16.478</v>
      </c>
      <c r="Y122" s="185" t="n">
        <v>1.019</v>
      </c>
      <c r="Z122" s="185" t="n">
        <v>3.022</v>
      </c>
      <c r="AA122" s="185" t="n">
        <v>4.104</v>
      </c>
      <c r="AB122" s="184" t="n"/>
      <c r="AC122" s="184" t="n"/>
      <c r="AD122" s="184" t="n"/>
      <c r="AE122" s="184" t="n"/>
      <c r="AF122" s="184" t="n"/>
      <c r="AG122" s="184" t="n"/>
      <c r="AH122" s="184" t="n"/>
      <c r="AI122" s="184" t="n"/>
      <c r="AJ122" s="184" t="n"/>
      <c r="AK122" s="184" t="n"/>
      <c r="AL122" s="184" t="n"/>
      <c r="AM122" s="184" t="n"/>
      <c r="AN122" s="184" t="n"/>
      <c r="AO122" s="184" t="n"/>
      <c r="AP122" s="184" t="n"/>
      <c r="AQ122" s="184" t="n"/>
      <c r="AR122" s="184" t="n"/>
      <c r="AS122" s="184" t="n"/>
      <c r="AT122" s="184" t="n"/>
      <c r="AU122" s="184" t="n"/>
      <c r="AV122" s="184" t="n"/>
      <c r="AW122" s="184" t="n"/>
      <c r="AX122" s="184" t="n"/>
      <c r="AY122" s="184" t="n"/>
      <c r="AZ122" s="184" t="n"/>
      <c r="BA122" s="184" t="n"/>
      <c r="BB122" s="184" t="n"/>
      <c r="BC122" s="184" t="n"/>
      <c r="BD122" s="184" t="n"/>
      <c r="BE122" s="184" t="n"/>
      <c r="BF122" s="184" t="n"/>
      <c r="BG122" s="184" t="n"/>
      <c r="BH122" s="184" t="n"/>
      <c r="BI122" s="184" t="n"/>
      <c r="BJ122" s="184" t="n"/>
      <c r="BK122" s="184" t="n"/>
      <c r="BL122" s="184" t="n"/>
      <c r="BM122" s="184" t="n"/>
      <c r="BN122" s="184" t="n"/>
      <c r="BO122" s="184" t="n"/>
      <c r="BP122" s="184" t="n"/>
      <c r="BQ122" s="184" t="n"/>
      <c r="BR122" s="184" t="n"/>
      <c r="BS122" s="184" t="n"/>
      <c r="BT122" s="184" t="n"/>
      <c r="BU122" s="184" t="n"/>
      <c r="BV122" s="184" t="n"/>
      <c r="BW122" s="184" t="n"/>
      <c r="BX122" s="184" t="n"/>
      <c r="BY122" s="168" t="n"/>
      <c r="BZ122" s="168" t="n"/>
      <c r="CA122" s="168" t="n"/>
      <c r="CB122" s="168" t="n"/>
      <c r="CC122" s="168" t="n"/>
      <c r="CD122" s="168" t="n"/>
      <c r="CE122" s="168" t="n"/>
      <c r="CF122" s="20" t="n"/>
    </row>
    <row r="123" hidden="1" outlineLevel="2" ht="15" customHeight="1">
      <c r="B123" s="26" t="inlineStr">
        <is>
          <t xml:space="preserve">  Oil, Gas and Lodging Services (Q4/16–2017) — Adjusted EBITDA</t>
        </is>
      </c>
      <c r="C123" s="184" t="n"/>
      <c r="D123" s="184" t="n"/>
      <c r="E123" s="184" t="n"/>
      <c r="F123" s="184" t="n"/>
      <c r="G123" s="184" t="n"/>
      <c r="H123" s="184" t="n"/>
      <c r="I123" s="184" t="n"/>
      <c r="J123" s="184" t="n"/>
      <c r="K123" s="184" t="n"/>
      <c r="L123" s="184" t="n"/>
      <c r="M123" s="184" t="n"/>
      <c r="N123" s="184" t="n"/>
      <c r="O123" s="184" t="n"/>
      <c r="P123" s="184" t="n"/>
      <c r="Q123" s="184" t="n"/>
      <c r="R123" s="184" t="n"/>
      <c r="S123" s="184" t="n"/>
      <c r="T123" s="184" t="n"/>
      <c r="U123" s="184" t="n"/>
      <c r="V123" s="184" t="n"/>
      <c r="W123" s="184" t="n"/>
      <c r="X123" s="184" t="n"/>
      <c r="Y123" s="184" t="n"/>
      <c r="Z123" s="184" t="n"/>
      <c r="AA123" s="184" t="n"/>
      <c r="AB123" s="185" t="n">
        <v>-3.427</v>
      </c>
      <c r="AC123" s="185" t="n">
        <v>-3.292</v>
      </c>
      <c r="AD123" s="185" t="n">
        <v>-0.211</v>
      </c>
      <c r="AE123" s="185" t="n">
        <v>0.268</v>
      </c>
      <c r="AF123" s="185" t="n">
        <v>0.912</v>
      </c>
      <c r="AG123" s="185" t="n">
        <v>0.739</v>
      </c>
      <c r="AH123" s="185" t="n">
        <v>1.708</v>
      </c>
      <c r="AI123" s="184" t="n"/>
      <c r="AJ123" s="184" t="n"/>
      <c r="AK123" s="184" t="n"/>
      <c r="AL123" s="184" t="n"/>
      <c r="AM123" s="184" t="n"/>
      <c r="AN123" s="184" t="n"/>
      <c r="AO123" s="184" t="n"/>
      <c r="AP123" s="184" t="n"/>
      <c r="AQ123" s="184" t="n"/>
      <c r="AR123" s="184" t="n"/>
      <c r="AS123" s="184" t="n"/>
      <c r="AT123" s="184" t="n"/>
      <c r="AU123" s="184" t="n"/>
      <c r="AV123" s="184" t="n"/>
      <c r="AW123" s="184" t="n"/>
      <c r="AX123" s="184" t="n"/>
      <c r="AY123" s="184" t="n"/>
      <c r="AZ123" s="184" t="n"/>
      <c r="BA123" s="184" t="n"/>
      <c r="BB123" s="184" t="n"/>
      <c r="BC123" s="184" t="n"/>
      <c r="BD123" s="184" t="n"/>
      <c r="BE123" s="184" t="n"/>
      <c r="BF123" s="184" t="n"/>
      <c r="BG123" s="184" t="n"/>
      <c r="BH123" s="184" t="n"/>
      <c r="BI123" s="184" t="n"/>
      <c r="BJ123" s="184" t="n"/>
      <c r="BK123" s="184" t="n"/>
      <c r="BL123" s="184" t="n"/>
      <c r="BM123" s="184" t="n"/>
      <c r="BN123" s="184" t="n"/>
      <c r="BO123" s="184" t="n"/>
      <c r="BP123" s="184" t="n"/>
      <c r="BQ123" s="184" t="n"/>
      <c r="BR123" s="184" t="n"/>
      <c r="BS123" s="184" t="n"/>
      <c r="BT123" s="184" t="n"/>
      <c r="BU123" s="184" t="n"/>
      <c r="BV123" s="184" t="n"/>
      <c r="BW123" s="184" t="n"/>
      <c r="BX123" s="184" t="n"/>
      <c r="BY123" s="168" t="n"/>
      <c r="BZ123" s="168" t="n"/>
      <c r="CA123" s="168" t="n"/>
      <c r="CB123" s="168" t="n"/>
      <c r="CC123" s="168" t="n"/>
      <c r="CD123" s="168" t="n"/>
      <c r="CE123" s="168" t="n"/>
      <c r="CF123" s="20" t="n"/>
    </row>
    <row r="124" hidden="1" outlineLevel="2" ht="15" customHeight="1">
      <c r="B124" s="26" t="inlineStr">
        <is>
          <t xml:space="preserve">  Oil Re-refining &amp; Recycling (2013–Q2/15) / Kleen Performance Products (Q3/15–Q3/16) — Adjusted EBITDA</t>
        </is>
      </c>
      <c r="C124" s="184" t="n"/>
      <c r="D124" s="184" t="n"/>
      <c r="E124" s="184" t="n"/>
      <c r="F124" s="184" t="n"/>
      <c r="G124" s="184" t="n"/>
      <c r="H124" s="184" t="n"/>
      <c r="I124" s="184" t="n"/>
      <c r="J124" s="185" t="n">
        <v>15.312</v>
      </c>
      <c r="K124" s="185" t="n">
        <v>12.657</v>
      </c>
      <c r="L124" s="185" t="n">
        <v>18.892</v>
      </c>
      <c r="M124" s="185" t="n">
        <v>10.453</v>
      </c>
      <c r="N124" s="185" t="n">
        <v>57.314</v>
      </c>
      <c r="O124" s="185" t="n">
        <v>13.432</v>
      </c>
      <c r="P124" s="185" t="n">
        <v>15.196</v>
      </c>
      <c r="Q124" s="185" t="n">
        <v>21.473</v>
      </c>
      <c r="R124" s="185" t="n">
        <v>2.309</v>
      </c>
      <c r="S124" s="185" t="n">
        <v>51.561</v>
      </c>
      <c r="T124" s="185" t="n">
        <v>-4.476</v>
      </c>
      <c r="U124" s="185" t="n">
        <v>15.824</v>
      </c>
      <c r="V124" s="185" t="n">
        <v>12.123</v>
      </c>
      <c r="W124" s="185" t="n">
        <v>8.718</v>
      </c>
      <c r="X124" s="185" t="n">
        <v>32.189</v>
      </c>
      <c r="Y124" s="185" t="n">
        <v>4.56</v>
      </c>
      <c r="Z124" s="185" t="n">
        <v>9.994999999999999</v>
      </c>
      <c r="AA124" s="185" t="n">
        <v>22.803</v>
      </c>
      <c r="AB124" s="184" t="n"/>
      <c r="AC124" s="184" t="n"/>
      <c r="AD124" s="184" t="n"/>
      <c r="AE124" s="184" t="n"/>
      <c r="AF124" s="184" t="n"/>
      <c r="AG124" s="184" t="n"/>
      <c r="AH124" s="184" t="n"/>
      <c r="AI124" s="184" t="n"/>
      <c r="AJ124" s="184" t="n"/>
      <c r="AK124" s="184" t="n"/>
      <c r="AL124" s="184" t="n"/>
      <c r="AM124" s="184" t="n"/>
      <c r="AN124" s="184" t="n"/>
      <c r="AO124" s="184" t="n"/>
      <c r="AP124" s="184" t="n"/>
      <c r="AQ124" s="184" t="n"/>
      <c r="AR124" s="184" t="n"/>
      <c r="AS124" s="184" t="n"/>
      <c r="AT124" s="184" t="n"/>
      <c r="AU124" s="184" t="n"/>
      <c r="AV124" s="184" t="n"/>
      <c r="AW124" s="184" t="n"/>
      <c r="AX124" s="184" t="n"/>
      <c r="AY124" s="184" t="n"/>
      <c r="AZ124" s="184" t="n"/>
      <c r="BA124" s="184" t="n"/>
      <c r="BB124" s="184" t="n"/>
      <c r="BC124" s="184" t="n"/>
      <c r="BD124" s="184" t="n"/>
      <c r="BE124" s="184" t="n"/>
      <c r="BF124" s="184" t="n"/>
      <c r="BG124" s="184" t="n"/>
      <c r="BH124" s="184" t="n"/>
      <c r="BI124" s="184" t="n"/>
      <c r="BJ124" s="184" t="n"/>
      <c r="BK124" s="184" t="n"/>
      <c r="BL124" s="184" t="n"/>
      <c r="BM124" s="184" t="n"/>
      <c r="BN124" s="184" t="n"/>
      <c r="BO124" s="184" t="n"/>
      <c r="BP124" s="184" t="n"/>
      <c r="BQ124" s="184" t="n"/>
      <c r="BR124" s="184" t="n"/>
      <c r="BS124" s="184" t="n"/>
      <c r="BT124" s="184" t="n"/>
      <c r="BU124" s="184" t="n"/>
      <c r="BV124" s="184" t="n"/>
      <c r="BW124" s="184" t="n"/>
      <c r="BX124" s="184" t="n"/>
      <c r="BY124" s="168" t="n"/>
      <c r="BZ124" s="168" t="n"/>
      <c r="CA124" s="168" t="n"/>
      <c r="CB124" s="168" t="n"/>
      <c r="CC124" s="168" t="n"/>
      <c r="CD124" s="168" t="n"/>
      <c r="CE124" s="168" t="n"/>
      <c r="CF124" s="20" t="n"/>
    </row>
    <row r="125" hidden="1" outlineLevel="2" ht="15" customHeight="1">
      <c r="B125" s="26" t="inlineStr">
        <is>
          <t xml:space="preserve">  SK Environmental Services (2013–Q3/16) — Adjusted EBITDA</t>
        </is>
      </c>
      <c r="C125" s="184" t="n"/>
      <c r="D125" s="184" t="n"/>
      <c r="E125" s="184" t="n"/>
      <c r="F125" s="184" t="n"/>
      <c r="G125" s="184" t="n"/>
      <c r="H125" s="184" t="n"/>
      <c r="I125" s="184" t="n"/>
      <c r="J125" s="185" t="n">
        <v>27.04</v>
      </c>
      <c r="K125" s="185" t="n">
        <v>34.171</v>
      </c>
      <c r="L125" s="185" t="n">
        <v>22.951</v>
      </c>
      <c r="M125" s="185" t="n">
        <v>28.251</v>
      </c>
      <c r="N125" s="185" t="n">
        <v>112.413</v>
      </c>
      <c r="O125" s="185" t="n">
        <v>21.976</v>
      </c>
      <c r="P125" s="185" t="n">
        <v>31.307</v>
      </c>
      <c r="Q125" s="185" t="n">
        <v>30.853</v>
      </c>
      <c r="R125" s="185" t="n">
        <v>29.001</v>
      </c>
      <c r="S125" s="185" t="n">
        <v>113.986</v>
      </c>
      <c r="T125" s="185" t="n">
        <v>27.249</v>
      </c>
      <c r="U125" s="185" t="n">
        <v>41.195</v>
      </c>
      <c r="V125" s="185" t="n">
        <v>40.096</v>
      </c>
      <c r="W125" s="185" t="n">
        <v>31.533</v>
      </c>
      <c r="X125" s="185" t="n">
        <v>140.073</v>
      </c>
      <c r="Y125" s="185" t="n">
        <v>35.495</v>
      </c>
      <c r="Z125" s="185" t="n">
        <v>45.239</v>
      </c>
      <c r="AA125" s="185" t="n">
        <v>47.25</v>
      </c>
      <c r="AB125" s="184" t="n"/>
      <c r="AC125" s="184" t="n"/>
      <c r="AD125" s="184" t="n"/>
      <c r="AE125" s="184" t="n"/>
      <c r="AF125" s="184" t="n"/>
      <c r="AG125" s="184" t="n"/>
      <c r="AH125" s="184" t="n"/>
      <c r="AI125" s="184" t="n"/>
      <c r="AJ125" s="184" t="n"/>
      <c r="AK125" s="184" t="n"/>
      <c r="AL125" s="184" t="n"/>
      <c r="AM125" s="184" t="n"/>
      <c r="AN125" s="184" t="n"/>
      <c r="AO125" s="184" t="n"/>
      <c r="AP125" s="184" t="n"/>
      <c r="AQ125" s="184" t="n"/>
      <c r="AR125" s="184" t="n"/>
      <c r="AS125" s="184" t="n"/>
      <c r="AT125" s="184" t="n"/>
      <c r="AU125" s="184" t="n"/>
      <c r="AV125" s="184" t="n"/>
      <c r="AW125" s="184" t="n"/>
      <c r="AX125" s="184" t="n"/>
      <c r="AY125" s="184" t="n"/>
      <c r="AZ125" s="184" t="n"/>
      <c r="BA125" s="184" t="n"/>
      <c r="BB125" s="184" t="n"/>
      <c r="BC125" s="184" t="n"/>
      <c r="BD125" s="184" t="n"/>
      <c r="BE125" s="184" t="n"/>
      <c r="BF125" s="184" t="n"/>
      <c r="BG125" s="184" t="n"/>
      <c r="BH125" s="184" t="n"/>
      <c r="BI125" s="184" t="n"/>
      <c r="BJ125" s="184" t="n"/>
      <c r="BK125" s="184" t="n"/>
      <c r="BL125" s="184" t="n"/>
      <c r="BM125" s="184" t="n"/>
      <c r="BN125" s="184" t="n"/>
      <c r="BO125" s="184" t="n"/>
      <c r="BP125" s="184" t="n"/>
      <c r="BQ125" s="184" t="n"/>
      <c r="BR125" s="184" t="n"/>
      <c r="BS125" s="184" t="n"/>
      <c r="BT125" s="184" t="n"/>
      <c r="BU125" s="184" t="n"/>
      <c r="BV125" s="184" t="n"/>
      <c r="BW125" s="184" t="n"/>
      <c r="BX125" s="184" t="n"/>
      <c r="BY125" s="168" t="n"/>
      <c r="BZ125" s="168" t="n"/>
      <c r="CA125" s="168" t="n"/>
      <c r="CB125" s="168" t="n"/>
      <c r="CC125" s="168" t="n"/>
      <c r="CD125" s="168" t="n"/>
      <c r="CE125" s="168" t="n"/>
      <c r="CF125" s="20" t="n"/>
    </row>
    <row r="126" hidden="1" outlineLevel="2" ht="15" customHeight="1">
      <c r="B126" s="26" t="inlineStr">
        <is>
          <t xml:space="preserve">  Safety-Kleen (Q4/16–2017) — Adjusted EBITDA</t>
        </is>
      </c>
      <c r="C126" s="184" t="n"/>
      <c r="D126" s="184" t="n"/>
      <c r="E126" s="184" t="n"/>
      <c r="F126" s="184" t="n"/>
      <c r="G126" s="184" t="n"/>
      <c r="H126" s="184" t="n"/>
      <c r="I126" s="184" t="n"/>
      <c r="J126" s="184" t="n"/>
      <c r="K126" s="184" t="n"/>
      <c r="L126" s="184" t="n"/>
      <c r="M126" s="184" t="n"/>
      <c r="N126" s="184" t="n"/>
      <c r="O126" s="184" t="n"/>
      <c r="P126" s="184" t="n"/>
      <c r="Q126" s="184" t="n"/>
      <c r="R126" s="184" t="n"/>
      <c r="S126" s="184" t="n"/>
      <c r="T126" s="184" t="n"/>
      <c r="U126" s="184" t="n"/>
      <c r="V126" s="184" t="n"/>
      <c r="W126" s="184" t="n"/>
      <c r="X126" s="184" t="n"/>
      <c r="Y126" s="184" t="n"/>
      <c r="Z126" s="184" t="n"/>
      <c r="AA126" s="184" t="n"/>
      <c r="AB126" s="185" t="n">
        <v>54.204</v>
      </c>
      <c r="AC126" s="185" t="n">
        <v>219.546</v>
      </c>
      <c r="AD126" s="185" t="n">
        <v>52.368</v>
      </c>
      <c r="AE126" s="185" t="n">
        <v>60.281</v>
      </c>
      <c r="AF126" s="185" t="n">
        <v>70.30500000000001</v>
      </c>
      <c r="AG126" s="185" t="n">
        <v>66.857</v>
      </c>
      <c r="AH126" s="185" t="n">
        <v>249.811</v>
      </c>
      <c r="AI126" s="184" t="n"/>
      <c r="AJ126" s="184" t="n"/>
      <c r="AK126" s="184" t="n"/>
      <c r="AL126" s="184" t="n"/>
      <c r="AM126" s="184" t="n"/>
      <c r="AN126" s="184" t="n"/>
      <c r="AO126" s="184" t="n"/>
      <c r="AP126" s="184" t="n"/>
      <c r="AQ126" s="184" t="n"/>
      <c r="AR126" s="184" t="n"/>
      <c r="AS126" s="184" t="n"/>
      <c r="AT126" s="184" t="n"/>
      <c r="AU126" s="184" t="n"/>
      <c r="AV126" s="184" t="n"/>
      <c r="AW126" s="184" t="n"/>
      <c r="AX126" s="184" t="n"/>
      <c r="AY126" s="184" t="n"/>
      <c r="AZ126" s="184" t="n"/>
      <c r="BA126" s="184" t="n"/>
      <c r="BB126" s="184" t="n"/>
      <c r="BC126" s="184" t="n"/>
      <c r="BD126" s="184" t="n"/>
      <c r="BE126" s="184" t="n"/>
      <c r="BF126" s="184" t="n"/>
      <c r="BG126" s="184" t="n"/>
      <c r="BH126" s="184" t="n"/>
      <c r="BI126" s="184" t="n"/>
      <c r="BJ126" s="184" t="n"/>
      <c r="BK126" s="184" t="n"/>
      <c r="BL126" s="184" t="n"/>
      <c r="BM126" s="184" t="n"/>
      <c r="BN126" s="184" t="n"/>
      <c r="BO126" s="184" t="n"/>
      <c r="BP126" s="184" t="n"/>
      <c r="BQ126" s="184" t="n"/>
      <c r="BR126" s="184" t="n"/>
      <c r="BS126" s="184" t="n"/>
      <c r="BT126" s="184" t="n"/>
      <c r="BU126" s="184" t="n"/>
      <c r="BV126" s="184" t="n"/>
      <c r="BW126" s="184" t="n"/>
      <c r="BX126" s="184" t="n"/>
      <c r="BY126" s="168" t="n"/>
      <c r="BZ126" s="168" t="n"/>
      <c r="CA126" s="168" t="n"/>
      <c r="CB126" s="168" t="n"/>
      <c r="CC126" s="168" t="n"/>
      <c r="CD126" s="168" t="n"/>
      <c r="CE126" s="168" t="n"/>
      <c r="CF126" s="20" t="n"/>
    </row>
    <row r="127" hidden="1" outlineLevel="2" ht="15" customHeight="1">
      <c r="B127" s="26" t="inlineStr">
        <is>
          <t xml:space="preserve">  Corporate Items — Adjusted EBITDA</t>
        </is>
      </c>
      <c r="C127" s="185" t="n">
        <v>-48.374</v>
      </c>
      <c r="D127" s="185" t="n">
        <v>-70.529</v>
      </c>
      <c r="E127" s="185" t="n">
        <v>-69.361</v>
      </c>
      <c r="F127" s="185" t="n">
        <v>-65.794</v>
      </c>
      <c r="G127" s="185" t="n">
        <v>-86.86199999999999</v>
      </c>
      <c r="H127" s="185" t="n">
        <v>-104.736</v>
      </c>
      <c r="I127" s="185" t="n">
        <v>-112.041</v>
      </c>
      <c r="J127" s="185" t="n">
        <v>-55.066</v>
      </c>
      <c r="K127" s="185" t="n">
        <v>-50.791</v>
      </c>
      <c r="L127" s="185" t="n">
        <v>-43.69</v>
      </c>
      <c r="M127" s="185" t="n">
        <v>-40.61</v>
      </c>
      <c r="N127" s="185" t="n">
        <v>-190.157</v>
      </c>
      <c r="O127" s="185" t="n">
        <v>-46.039</v>
      </c>
      <c r="P127" s="185" t="n">
        <v>-43.016</v>
      </c>
      <c r="Q127" s="185" t="n">
        <v>-31.717</v>
      </c>
      <c r="R127" s="185" t="n">
        <v>-40.129</v>
      </c>
      <c r="S127" s="185" t="n">
        <v>-160.901</v>
      </c>
      <c r="T127" s="185" t="n">
        <v>-26.519</v>
      </c>
      <c r="U127" s="185" t="n">
        <v>-45.456</v>
      </c>
      <c r="V127" s="185" t="n">
        <v>-31.526</v>
      </c>
      <c r="W127" s="185" t="n">
        <v>-29.482</v>
      </c>
      <c r="X127" s="185" t="n">
        <v>-132.983</v>
      </c>
      <c r="Y127" s="185" t="n">
        <v>-34.876</v>
      </c>
      <c r="Z127" s="185" t="n">
        <v>-32.441</v>
      </c>
      <c r="AA127" s="185" t="n">
        <v>-33.993</v>
      </c>
      <c r="AB127" s="185" t="n">
        <v>-36.957</v>
      </c>
      <c r="AC127" s="185" t="n">
        <v>-138.267</v>
      </c>
      <c r="AD127" s="185" t="n">
        <v>-32.423</v>
      </c>
      <c r="AE127" s="185" t="n">
        <v>-34.422</v>
      </c>
      <c r="AF127" s="185" t="n">
        <v>-33.811</v>
      </c>
      <c r="AG127" s="185" t="n">
        <v>-44.808</v>
      </c>
      <c r="AH127" s="185" t="n">
        <v>-145.464</v>
      </c>
      <c r="AI127" s="184" t="n"/>
      <c r="AJ127" s="184" t="n"/>
      <c r="AK127" s="184" t="n"/>
      <c r="AL127" s="184" t="n"/>
      <c r="AM127" s="184" t="n"/>
      <c r="AN127" s="184" t="n"/>
      <c r="AO127" s="184" t="n"/>
      <c r="AP127" s="184" t="n"/>
      <c r="AQ127" s="184" t="n"/>
      <c r="AR127" s="184" t="n"/>
      <c r="AS127" s="184" t="n"/>
      <c r="AT127" s="184" t="n"/>
      <c r="AU127" s="184" t="n"/>
      <c r="AV127" s="184" t="n"/>
      <c r="AW127" s="184" t="n"/>
      <c r="AX127" s="184" t="n"/>
      <c r="AY127" s="184" t="n"/>
      <c r="AZ127" s="184" t="n"/>
      <c r="BA127" s="184" t="n"/>
      <c r="BB127" s="184" t="n"/>
      <c r="BC127" s="184" t="n"/>
      <c r="BD127" s="184" t="n"/>
      <c r="BE127" s="184" t="n"/>
      <c r="BF127" s="184" t="n"/>
      <c r="BG127" s="184" t="n"/>
      <c r="BH127" s="184" t="n"/>
      <c r="BI127" s="184" t="n"/>
      <c r="BJ127" s="184" t="n"/>
      <c r="BK127" s="184" t="n"/>
      <c r="BL127" s="184" t="n"/>
      <c r="BM127" s="184" t="n"/>
      <c r="BN127" s="184" t="n"/>
      <c r="BO127" s="184" t="n"/>
      <c r="BP127" s="184" t="n"/>
      <c r="BQ127" s="184" t="n"/>
      <c r="BR127" s="184" t="n"/>
      <c r="BS127" s="184" t="n"/>
      <c r="BT127" s="184" t="n"/>
      <c r="BU127" s="184" t="n"/>
      <c r="BV127" s="184" t="n"/>
      <c r="BW127" s="184" t="n"/>
      <c r="BX127" s="184" t="n"/>
      <c r="BY127" s="168" t="n"/>
      <c r="BZ127" s="168" t="n"/>
      <c r="CA127" s="168" t="n"/>
      <c r="CB127" s="168" t="n"/>
      <c r="CC127" s="168" t="n"/>
      <c r="CD127" s="168" t="n"/>
      <c r="CE127" s="168" t="n"/>
      <c r="CF127" s="20" t="n"/>
    </row>
    <row r="128" hidden="1" outlineLevel="2" ht="15" customHeight="1">
      <c r="B128" s="61" t="inlineStr">
        <is>
          <t xml:space="preserve">  Check: Σ legacy segment Adjusted EBITDA vs consolidated (should be 0)</t>
        </is>
      </c>
      <c r="C128" s="188">
        <f>ROUND(N(C117)+N(C118)+N(C119)+N(C120)+N(C121)+N(C122)+N(C123)+N(C124)+N(C125)+N(C126)+N(C127)-C189,1)</f>
        <v>0</v>
      </c>
      <c r="D128" s="188">
        <f>ROUND(N(D117)+N(D118)+N(D119)+N(D120)+N(D121)+N(D122)+N(D123)+N(D124)+N(D125)+N(D126)+N(D127)-D189,1)</f>
        <v>0</v>
      </c>
      <c r="E128" s="188">
        <f>ROUND(N(E117)+N(E118)+N(E119)+N(E120)+N(E121)+N(E122)+N(E123)+N(E124)+N(E125)+N(E126)+N(E127)-E189,1)</f>
        <v>0</v>
      </c>
      <c r="F128" s="188">
        <f>ROUND(N(F117)+N(F118)+N(F119)+N(F120)+N(F121)+N(F122)+N(F123)+N(F124)+N(F125)+N(F126)+N(F127)-F189,1)</f>
        <v>0</v>
      </c>
      <c r="G128" s="188">
        <f>ROUND(N(G117)+N(G118)+N(G119)+N(G120)+N(G121)+N(G122)+N(G123)+N(G124)+N(G125)+N(G126)+N(G127)-G189,1)</f>
        <v>0</v>
      </c>
      <c r="H128" s="188">
        <f>ROUND(N(H117)+N(H118)+N(H119)+N(H120)+N(H121)+N(H122)+N(H123)+N(H124)+N(H125)+N(H126)+N(H127)-H189,1)</f>
        <v>0</v>
      </c>
      <c r="I128" s="188">
        <f>ROUND(N(I117)+N(I118)+N(I119)+N(I120)+N(I121)+N(I122)+N(I123)+N(I124)+N(I125)+N(I126)+N(I127)-I189,1)</f>
        <v>0</v>
      </c>
      <c r="J128" s="188">
        <f>ROUND(N(J117)+N(J118)+N(J119)+N(J120)+N(J121)+N(J122)+N(J123)+N(J124)+N(J125)+N(J126)+N(J127)-J189,1)</f>
        <v>0</v>
      </c>
      <c r="K128" s="188">
        <f>ROUND(N(K117)+N(K118)+N(K119)+N(K120)+N(K121)+N(K122)+N(K123)+N(K124)+N(K125)+N(K126)+N(K127)-K189,1)</f>
        <v>0</v>
      </c>
      <c r="L128" s="188">
        <f>ROUND(N(L117)+N(L118)+N(L119)+N(L120)+N(L121)+N(L122)+N(L123)+N(L124)+N(L125)+N(L126)+N(L127)-L189,1)</f>
        <v>0</v>
      </c>
      <c r="M128" s="188">
        <f>ROUND(N(M117)+N(M118)+N(M119)+N(M120)+N(M121)+N(M122)+N(M123)+N(M124)+N(M125)+N(M126)+N(M127)-M189,1)</f>
        <v>0</v>
      </c>
      <c r="N128" s="188">
        <f>ROUND(N(N117)+N(N118)+N(N119)+N(N120)+N(N121)+N(N122)+N(N123)+N(N124)+N(N125)+N(N126)+N(N127)-N189,1)</f>
        <v>0</v>
      </c>
      <c r="O128" s="188">
        <f>ROUND(N(O117)+N(O118)+N(O119)+N(O120)+N(O121)+N(O122)+N(O123)+N(O124)+N(O125)+N(O126)+N(O127)-O189,1)</f>
        <v>0</v>
      </c>
      <c r="P128" s="188">
        <f>ROUND(N(P117)+N(P118)+N(P119)+N(P120)+N(P121)+N(P122)+N(P123)+N(P124)+N(P125)+N(P126)+N(P127)-P189,1)</f>
        <v>0</v>
      </c>
      <c r="Q128" s="188">
        <f>ROUND(N(Q117)+N(Q118)+N(Q119)+N(Q120)+N(Q121)+N(Q122)+N(Q123)+N(Q124)+N(Q125)+N(Q126)+N(Q127)-Q189,1)</f>
        <v>0</v>
      </c>
      <c r="R128" s="188">
        <f>ROUND(N(R117)+N(R118)+N(R119)+N(R120)+N(R121)+N(R122)+N(R123)+N(R124)+N(R125)+N(R126)+N(R127)-R189,1)</f>
        <v>0</v>
      </c>
      <c r="S128" s="188">
        <f>ROUND(N(S117)+N(S118)+N(S119)+N(S120)+N(S121)+N(S122)+N(S123)+N(S124)+N(S125)+N(S126)+N(S127)-S189,1)</f>
        <v>0</v>
      </c>
      <c r="T128" s="188">
        <f>ROUND(N(T117)+N(T118)+N(T119)+N(T120)+N(T121)+N(T122)+N(T123)+N(T124)+N(T125)+N(T126)+N(T127)-T189,1)</f>
        <v>0</v>
      </c>
      <c r="U128" s="188">
        <f>ROUND(N(U117)+N(U118)+N(U119)+N(U120)+N(U121)+N(U122)+N(U123)+N(U124)+N(U125)+N(U126)+N(U127)-U189,1)</f>
        <v>0</v>
      </c>
      <c r="V128" s="188">
        <f>ROUND(N(V117)+N(V118)+N(V119)+N(V120)+N(V121)+N(V122)+N(V123)+N(V124)+N(V125)+N(V126)+N(V127)-V189,1)</f>
        <v>0</v>
      </c>
      <c r="W128" s="188">
        <f>ROUND(N(W117)+N(W118)+N(W119)+N(W120)+N(W121)+N(W122)+N(W123)+N(W124)+N(W125)+N(W126)+N(W127)-W189,1)</f>
        <v>0</v>
      </c>
      <c r="X128" s="188">
        <f>ROUND(N(X117)+N(X118)+N(X119)+N(X120)+N(X121)+N(X122)+N(X123)+N(X124)+N(X125)+N(X126)+N(X127)-X189,1)</f>
        <v>0</v>
      </c>
      <c r="Y128" s="188">
        <f>ROUND(N(Y117)+N(Y118)+N(Y119)+N(Y120)+N(Y121)+N(Y122)+N(Y123)+N(Y124)+N(Y125)+N(Y126)+N(Y127)-Y189,1)</f>
        <v>0</v>
      </c>
      <c r="Z128" s="188">
        <f>ROUND(N(Z117)+N(Z118)+N(Z119)+N(Z120)+N(Z121)+N(Z122)+N(Z123)+N(Z124)+N(Z125)+N(Z126)+N(Z127)-Z189,1)</f>
        <v>0</v>
      </c>
      <c r="AA128" s="188">
        <f>ROUND(N(AA117)+N(AA118)+N(AA119)+N(AA120)+N(AA121)+N(AA122)+N(AA123)+N(AA124)+N(AA125)+N(AA126)+N(AA127)-AA189,1)</f>
        <v>0</v>
      </c>
      <c r="AB128" s="188">
        <f>ROUND(N(AB117)+N(AB118)+N(AB119)+N(AB120)+N(AB121)+N(AB122)+N(AB123)+N(AB124)+N(AB125)+N(AB126)+N(AB127)-AB189,1)</f>
        <v>0</v>
      </c>
      <c r="AC128" s="188">
        <f>ROUND(N(AC117)+N(AC118)+N(AC119)+N(AC120)+N(AC121)+N(AC122)+N(AC123)+N(AC124)+N(AC125)+N(AC126)+N(AC127)-AC189,1)</f>
        <v>0</v>
      </c>
      <c r="AD128" s="188">
        <f>ROUND(N(AD117)+N(AD118)+N(AD119)+N(AD120)+N(AD121)+N(AD122)+N(AD123)+N(AD124)+N(AD125)+N(AD126)+N(AD127)-AD189,1)</f>
        <v>0</v>
      </c>
      <c r="AE128" s="188">
        <f>ROUND(N(AE117)+N(AE118)+N(AE119)+N(AE120)+N(AE121)+N(AE122)+N(AE123)+N(AE124)+N(AE125)+N(AE126)+N(AE127)-AE189,1)</f>
        <v>0</v>
      </c>
      <c r="AF128" s="188">
        <f>ROUND(N(AF117)+N(AF118)+N(AF119)+N(AF120)+N(AF121)+N(AF122)+N(AF123)+N(AF124)+N(AF125)+N(AF126)+N(AF127)-AF189,1)</f>
        <v>0</v>
      </c>
      <c r="AG128" s="188">
        <f>ROUND(N(AG117)+N(AG118)+N(AG119)+N(AG120)+N(AG121)+N(AG122)+N(AG123)+N(AG124)+N(AG125)+N(AG126)+N(AG127)-AG189,1)</f>
        <v>0</v>
      </c>
      <c r="AH128" s="188">
        <f>ROUND(N(AH117)+N(AH118)+N(AH119)+N(AH120)+N(AH121)+N(AH122)+N(AH123)+N(AH124)+N(AH125)+N(AH126)+N(AH127)-AH189,1)</f>
        <v>0</v>
      </c>
      <c r="AI128" s="187" t="n"/>
      <c r="AJ128" s="187" t="n"/>
      <c r="AK128" s="187" t="n"/>
      <c r="AL128" s="187" t="n"/>
      <c r="AM128" s="187" t="n"/>
      <c r="AN128" s="187" t="n"/>
      <c r="AO128" s="187" t="n"/>
      <c r="AP128" s="187" t="n"/>
      <c r="AQ128" s="187" t="n"/>
      <c r="AR128" s="187" t="n"/>
      <c r="AS128" s="187" t="n"/>
      <c r="AT128" s="187" t="n"/>
      <c r="AU128" s="187" t="n"/>
      <c r="AV128" s="187" t="n"/>
      <c r="AW128" s="187" t="n"/>
      <c r="AX128" s="187" t="n"/>
      <c r="AY128" s="187" t="n"/>
      <c r="AZ128" s="187" t="n"/>
      <c r="BA128" s="187" t="n"/>
      <c r="BB128" s="187" t="n"/>
      <c r="BC128" s="187" t="n"/>
      <c r="BD128" s="187" t="n"/>
      <c r="BE128" s="187" t="n"/>
      <c r="BF128" s="187" t="n"/>
      <c r="BG128" s="187" t="n"/>
      <c r="BH128" s="187" t="n"/>
      <c r="BI128" s="187" t="n"/>
      <c r="BJ128" s="187" t="n"/>
      <c r="BK128" s="187" t="n"/>
      <c r="BL128" s="187" t="n"/>
      <c r="BM128" s="187" t="n"/>
      <c r="BN128" s="187" t="n"/>
      <c r="BO128" s="187" t="n"/>
      <c r="BP128" s="187" t="n"/>
      <c r="BQ128" s="187" t="n"/>
      <c r="BR128" s="187" t="n"/>
      <c r="BS128" s="187" t="n"/>
      <c r="BT128" s="187" t="n"/>
      <c r="BU128" s="187" t="n"/>
      <c r="BV128" s="187" t="n"/>
      <c r="BW128" s="187" t="n"/>
      <c r="BX128" s="187" t="n"/>
      <c r="BY128" s="189" t="n"/>
      <c r="BZ128" s="189" t="n"/>
      <c r="CA128" s="189" t="n"/>
      <c r="CB128" s="189" t="n"/>
      <c r="CC128" s="189" t="n"/>
      <c r="CD128" s="189" t="n"/>
      <c r="CE128" s="189" t="n"/>
      <c r="CF128" s="177" t="n"/>
    </row>
    <row r="129" hidden="1" outlineLevel="2" ht="15" customHeight="1"/>
    <row r="130" hidden="1" outlineLevel="2" ht="15" customHeight="1">
      <c r="B130" s="139" t="inlineStr">
        <is>
          <t>Cost drivers &amp; D&amp;A</t>
        </is>
      </c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  <c r="T130" s="139" t="n"/>
      <c r="U130" s="139" t="n"/>
      <c r="V130" s="139" t="n"/>
      <c r="W130" s="139" t="n"/>
      <c r="X130" s="139" t="n"/>
      <c r="Y130" s="139" t="n"/>
      <c r="Z130" s="139" t="n"/>
      <c r="AA130" s="139" t="n"/>
      <c r="AB130" s="139" t="n"/>
      <c r="AC130" s="139" t="n"/>
      <c r="AD130" s="139" t="n"/>
      <c r="AE130" s="139" t="n"/>
      <c r="AF130" s="139" t="n"/>
      <c r="AG130" s="139" t="n"/>
      <c r="AH130" s="139" t="n"/>
      <c r="AI130" s="139" t="n"/>
      <c r="AJ130" s="139" t="n"/>
      <c r="AK130" s="139" t="n"/>
      <c r="AL130" s="139" t="n"/>
      <c r="AM130" s="139" t="n"/>
      <c r="AN130" s="139" t="n"/>
      <c r="AO130" s="139" t="n"/>
      <c r="AP130" s="139" t="n"/>
      <c r="AQ130" s="139" t="n"/>
      <c r="AR130" s="139" t="n"/>
      <c r="AS130" s="139" t="n"/>
      <c r="AT130" s="139" t="n"/>
      <c r="AU130" s="139" t="n"/>
      <c r="AV130" s="139" t="n"/>
      <c r="AW130" s="139" t="n"/>
      <c r="AX130" s="139" t="n"/>
      <c r="AY130" s="139" t="n"/>
      <c r="AZ130" s="139" t="n"/>
      <c r="BA130" s="139" t="n"/>
      <c r="BB130" s="139" t="n"/>
      <c r="BC130" s="139" t="n"/>
      <c r="BD130" s="139" t="n"/>
      <c r="BE130" s="139" t="n"/>
      <c r="BF130" s="139" t="n"/>
      <c r="BG130" s="139" t="n"/>
      <c r="BH130" s="139" t="n"/>
      <c r="BI130" s="139" t="n"/>
      <c r="BJ130" s="139" t="n"/>
      <c r="BK130" s="139" t="n"/>
      <c r="BL130" s="139" t="n"/>
      <c r="BM130" s="139" t="n"/>
      <c r="BN130" s="139" t="n"/>
      <c r="BO130" s="139" t="n"/>
      <c r="BP130" s="139" t="n"/>
      <c r="BQ130" s="139" t="n"/>
      <c r="BR130" s="139" t="n"/>
      <c r="BS130" s="139" t="n"/>
      <c r="BT130" s="139" t="n"/>
      <c r="BU130" s="139" t="n"/>
      <c r="BV130" s="139" t="n"/>
      <c r="BW130" s="139" t="n"/>
      <c r="BX130" s="139" t="n"/>
      <c r="BY130" s="139" t="n"/>
      <c r="BZ130" s="139" t="n"/>
      <c r="CA130" s="139" t="n"/>
      <c r="CB130" s="139" t="n"/>
      <c r="CC130" s="139" t="n"/>
      <c r="CD130" s="139" t="n"/>
      <c r="CE130" s="139" t="n"/>
      <c r="CF130" s="139" t="inlineStr">
        <is>
          <t>COST DRIVERS — inputs that drive forecast cost lines</t>
        </is>
      </c>
    </row>
    <row r="131" hidden="1" outlineLevel="2" ht="15" customHeight="1">
      <c r="B131" s="26" t="inlineStr">
        <is>
          <t xml:space="preserve">  D&amp;A — legacy CLH (ex pending acquisitions &amp; future M&amp;A)</t>
        </is>
      </c>
      <c r="C131" s="212">
        <f>C145</f>
        <v>35.339</v>
      </c>
      <c r="D131" s="212">
        <f>D145</f>
        <v>37.59</v>
      </c>
      <c r="E131" s="212">
        <f>E145</f>
        <v>44.471</v>
      </c>
      <c r="F131" s="212">
        <f>F145</f>
        <v>64.898</v>
      </c>
      <c r="G131" s="212">
        <f>G145</f>
        <v>92.473</v>
      </c>
      <c r="H131" s="212">
        <f>H145</f>
        <v>122.663</v>
      </c>
      <c r="I131" s="212">
        <f>I145</f>
        <v>161.646</v>
      </c>
      <c r="J131" s="212">
        <f>J145</f>
        <v>60.006</v>
      </c>
      <c r="K131" s="212">
        <f>K145</f>
        <v>67.468</v>
      </c>
      <c r="L131" s="212">
        <f>L145</f>
        <v>69.43</v>
      </c>
      <c r="M131" s="212">
        <f>M145</f>
        <v>67.545</v>
      </c>
      <c r="N131" s="212">
        <f>N145</f>
        <v>264.449</v>
      </c>
      <c r="O131" s="212">
        <f>O145</f>
        <v>69.356</v>
      </c>
      <c r="P131" s="212">
        <f>P145</f>
        <v>66.075</v>
      </c>
      <c r="Q131" s="212">
        <f>Q145</f>
        <v>70.049</v>
      </c>
      <c r="R131" s="212">
        <f>R145</f>
        <v>70.603</v>
      </c>
      <c r="S131" s="212">
        <f>S145</f>
        <v>276.083</v>
      </c>
      <c r="T131" s="212">
        <f>T145</f>
        <v>68.356</v>
      </c>
      <c r="U131" s="212">
        <f>U145</f>
        <v>67.773</v>
      </c>
      <c r="V131" s="212">
        <f>V145</f>
        <v>69.06</v>
      </c>
      <c r="W131" s="212">
        <f>W145</f>
        <v>69.005</v>
      </c>
      <c r="X131" s="212">
        <f>X145</f>
        <v>274.194</v>
      </c>
      <c r="Y131" s="212">
        <f>Y145</f>
        <v>68.902</v>
      </c>
      <c r="Z131" s="212">
        <f>Z145</f>
        <v>73.393</v>
      </c>
      <c r="AA131" s="212">
        <f>AA145</f>
        <v>73.36</v>
      </c>
      <c r="AB131" s="212">
        <f>AB145</f>
        <v>71.347</v>
      </c>
      <c r="AC131" s="212">
        <f>AC145</f>
        <v>287.002</v>
      </c>
      <c r="AD131" s="212">
        <f>AD145</f>
        <v>72.412</v>
      </c>
      <c r="AE131" s="212">
        <f>AE145</f>
        <v>71.531</v>
      </c>
      <c r="AF131" s="212">
        <f>AF145</f>
        <v>72.989</v>
      </c>
      <c r="AG131" s="212">
        <f>AG145</f>
        <v>71.49</v>
      </c>
      <c r="AH131" s="212">
        <f>AH145</f>
        <v>288.422</v>
      </c>
      <c r="AI131" s="212">
        <f>AI145</f>
        <v>74.844</v>
      </c>
      <c r="AJ131" s="212">
        <f>AJ145</f>
        <v>72.76</v>
      </c>
      <c r="AK131" s="212">
        <f>AK145</f>
        <v>73.082</v>
      </c>
      <c r="AL131" s="212">
        <f>AL145</f>
        <v>77.939</v>
      </c>
      <c r="AM131" s="212">
        <f>AM145</f>
        <v>298.625</v>
      </c>
      <c r="AN131" s="212">
        <f>AN145</f>
        <v>75.355</v>
      </c>
      <c r="AO131" s="212">
        <f>AO145</f>
        <v>74.217</v>
      </c>
      <c r="AP131" s="212">
        <f>AP145</f>
        <v>73.756</v>
      </c>
      <c r="AQ131" s="212">
        <f>AQ145</f>
        <v>77.397</v>
      </c>
      <c r="AR131" s="212">
        <f>AR145</f>
        <v>300.725</v>
      </c>
      <c r="AS131" s="212">
        <f>AS145</f>
        <v>74.533</v>
      </c>
      <c r="AT131" s="212">
        <f>AT145</f>
        <v>72.494</v>
      </c>
      <c r="AU131" s="212">
        <f>AU145</f>
        <v>74.47</v>
      </c>
      <c r="AV131" s="212">
        <f>AV145</f>
        <v>71.418</v>
      </c>
      <c r="AW131" s="212">
        <f>AW145</f>
        <v>292.915</v>
      </c>
      <c r="AX131" s="212">
        <f>AX145</f>
        <v>72.163</v>
      </c>
      <c r="AY131" s="212">
        <f>AY145</f>
        <v>71.592</v>
      </c>
      <c r="AZ131" s="212">
        <f>AZ145</f>
        <v>71.451</v>
      </c>
      <c r="BA131" s="212">
        <f>BA145</f>
        <v>82.929</v>
      </c>
      <c r="BB131" s="212">
        <f>BB145</f>
        <v>298.135</v>
      </c>
      <c r="BC131" s="212">
        <f>BC145</f>
        <v>84.298</v>
      </c>
      <c r="BD131" s="212">
        <f>BD145</f>
        <v>87.868</v>
      </c>
      <c r="BE131" s="212">
        <f>BE145</f>
        <v>88.394</v>
      </c>
      <c r="BF131" s="212">
        <f>BF145</f>
        <v>87.034</v>
      </c>
      <c r="BG131" s="212">
        <f>BG145</f>
        <v>347.594</v>
      </c>
      <c r="BH131" s="212">
        <f>BH145</f>
        <v>84.758</v>
      </c>
      <c r="BI131" s="212">
        <f>BI145</f>
        <v>89.697</v>
      </c>
      <c r="BJ131" s="212">
        <f>BJ145</f>
        <v>92.97</v>
      </c>
      <c r="BK131" s="212">
        <f>BK145</f>
        <v>98.336</v>
      </c>
      <c r="BL131" s="212">
        <f>BL145</f>
        <v>365.761</v>
      </c>
      <c r="BM131" s="212">
        <f>BM145</f>
        <v>95.065</v>
      </c>
      <c r="BN131" s="212">
        <f>BN145</f>
        <v>100.504</v>
      </c>
      <c r="BO131" s="212">
        <f>BO145</f>
        <v>100.063</v>
      </c>
      <c r="BP131" s="212">
        <f>BP145</f>
        <v>105.29</v>
      </c>
      <c r="BQ131" s="212">
        <f>BQ145</f>
        <v>400.922</v>
      </c>
      <c r="BR131" s="212">
        <f>BR145</f>
        <v>111.98</v>
      </c>
      <c r="BS131" s="212">
        <f>BS145</f>
        <v>116.285</v>
      </c>
      <c r="BT131" s="212">
        <f>BT145</f>
        <v>114.729</v>
      </c>
      <c r="BU131" s="212">
        <f>BU145</f>
        <v>103.012</v>
      </c>
      <c r="BV131" s="212">
        <f>BV145</f>
        <v>446.006</v>
      </c>
      <c r="BW131" s="212">
        <f>BW145</f>
        <v>115.799</v>
      </c>
      <c r="BX131" s="212">
        <f>BX145</f>
        <v>121.807</v>
      </c>
      <c r="BY131" s="186">
        <f>($CP$19-BW145-BX145)/2</f>
        <v>121.197</v>
      </c>
      <c r="BZ131" s="186">
        <f>($CP$19-BW145-BX145)/2</f>
        <v>121.197</v>
      </c>
      <c r="CA131" s="186">
        <f>SUM(BW131,BX131,BY131,BZ131)</f>
        <v>480</v>
      </c>
      <c r="CB131" s="186">
        <f>(CB138-N(CB63)-N(CB80))*CB132</f>
        <v>498.0846951315</v>
      </c>
      <c r="CC131" s="186">
        <f>(CC138-N(CC63)-N(CC80))*CC132</f>
        <v>525.891072542592</v>
      </c>
      <c r="CD131" s="186">
        <f>(CD138-N(CD63)-N(CD80))*CD132</f>
        <v>553.546094349612</v>
      </c>
      <c r="CE131" s="186">
        <f>(CE138-N(CE63)-N(CE80))*CE132</f>
        <v>581.862954135202</v>
      </c>
      <c r="CF131" s="20" t="inlineStr">
        <is>
          <t>Q3/Q4-26E = (FY26 guidance D&amp;A mid $480m − 1H/26 actual) ÷ 2. 2027E+: legacy revenues × D&amp;A %.</t>
        </is>
      </c>
    </row>
    <row r="132" hidden="1" outlineLevel="2" ht="15" customHeight="1">
      <c r="B132" s="26" t="inlineStr">
        <is>
          <t xml:space="preserve">  D&amp;A (legacy) % of revenues</t>
        </is>
      </c>
      <c r="C132" s="190">
        <f>IF(AND(ISNUMBER(C145),ISNUMBER(C138)),IFERROR(C145/C138,""),"")</f>
        <v>0.0425869085536551</v>
      </c>
      <c r="D132" s="190">
        <f>IF(AND(ISNUMBER(D145),ISNUMBER(D138)),IFERROR(D145/D138,""),"")</f>
        <v>0.0396972490725164</v>
      </c>
      <c r="E132" s="190">
        <f>IF(AND(ISNUMBER(E145),ISNUMBER(E138)),IFERROR(E145/E138,""),"")</f>
        <v>0.0431458611660084</v>
      </c>
      <c r="F132" s="190">
        <f>IF(AND(ISNUMBER(F145),ISNUMBER(F138)),IFERROR(F145/F138,""),"")</f>
        <v>0.0604140678818119</v>
      </c>
      <c r="G132" s="190">
        <f>IF(AND(ISNUMBER(G145),ISNUMBER(G138)),IFERROR(G145/G138,""),"")</f>
        <v>0.0534141923379951</v>
      </c>
      <c r="H132" s="190">
        <f>IF(AND(ISNUMBER(H145),ISNUMBER(H138)),IFERROR(H145/H138,""),"")</f>
        <v>0.0618218710814178</v>
      </c>
      <c r="I132" s="190">
        <f>IF(AND(ISNUMBER(I145),ISNUMBER(I138)),IFERROR(I145/I138,""),"")</f>
        <v>0.0738815343241124</v>
      </c>
      <c r="J132" s="190">
        <f>IF(AND(ISNUMBER(J145),ISNUMBER(J138)),IFERROR(J145/J138,""),"")</f>
        <v>0.0695993681009276</v>
      </c>
      <c r="K132" s="190">
        <f>IF(AND(ISNUMBER(K145),ISNUMBER(K138)),IFERROR(K145/K138,""),"")</f>
        <v>0.0784030269787851</v>
      </c>
      <c r="L132" s="190">
        <f>IF(AND(ISNUMBER(L145),ISNUMBER(L138)),IFERROR(L145/L138,""),"")</f>
        <v>0.076503936487298</v>
      </c>
      <c r="M132" s="190">
        <f>IF(AND(ISNUMBER(M145),ISNUMBER(M138)),IFERROR(M145/M138,""),"")</f>
        <v>0.0768054307903983</v>
      </c>
      <c r="N132" s="190">
        <f>IF(AND(ISNUMBER(N145),ISNUMBER(N138)),IFERROR(N145/N138,""),"")</f>
        <v>0.0753489800709813</v>
      </c>
      <c r="O132" s="190">
        <f>IF(AND(ISNUMBER(O145),ISNUMBER(O138)),IFERROR(O145/O138,""),"")</f>
        <v>0.0819165031824791</v>
      </c>
      <c r="P132" s="190">
        <f>IF(AND(ISNUMBER(P145),ISNUMBER(P138)),IFERROR(P145/P138,""),"")</f>
        <v>0.0769674308079396</v>
      </c>
      <c r="Q132" s="190">
        <f>IF(AND(ISNUMBER(Q145),ISNUMBER(Q138)),IFERROR(Q145/Q138,""),"")</f>
        <v>0.0822687955464993</v>
      </c>
      <c r="R132" s="190">
        <f>IF(AND(ISNUMBER(R145),ISNUMBER(R138)),IFERROR(R145/R138,""),"")</f>
        <v>0.0835514730942553</v>
      </c>
      <c r="S132" s="190">
        <f>IF(AND(ISNUMBER(S145),ISNUMBER(S138)),IFERROR(S145/S138,""),"")</f>
        <v>0.0811618291904249</v>
      </c>
      <c r="T132" s="190">
        <f>IF(AND(ISNUMBER(T145),ISNUMBER(T138)),IFERROR(T145/T138,""),"")</f>
        <v>0.093318898728872</v>
      </c>
      <c r="U132" s="190">
        <f>IF(AND(ISNUMBER(U145),ISNUMBER(U138)),IFERROR(U145/U138,""),"")</f>
        <v>0.0723894179622912</v>
      </c>
      <c r="V132" s="190">
        <f>IF(AND(ISNUMBER(V145),ISNUMBER(V138)),IFERROR(V145/V138,""),"")</f>
        <v>0.0773031433925178</v>
      </c>
      <c r="W132" s="190">
        <f>IF(AND(ISNUMBER(W145),ISNUMBER(W138)),IFERROR(W145/W138,""),"")</f>
        <v>0.0967752340669019</v>
      </c>
      <c r="X132" s="190">
        <f>IF(AND(ISNUMBER(X145),ISNUMBER(X138)),IFERROR(X145/X138,""),"")</f>
        <v>0.0837198566044718</v>
      </c>
      <c r="Y132" s="190">
        <f>IF(AND(ISNUMBER(Y145),ISNUMBER(Y138)),IFERROR(Y145/Y138,""),"")</f>
        <v>0.108322341581209</v>
      </c>
      <c r="Z132" s="190">
        <f>IF(AND(ISNUMBER(Z145),ISNUMBER(Z138)),IFERROR(Z145/Z138,""),"")</f>
        <v>0.105221430517125</v>
      </c>
      <c r="AA132" s="190">
        <f>IF(AND(ISNUMBER(AA145),ISNUMBER(AA138)),IFERROR(AA145/AA138,""),"")</f>
        <v>0.100559271849984</v>
      </c>
      <c r="AB132" s="190">
        <f>IF(AND(ISNUMBER(AB145),ISNUMBER(AB138)),IFERROR(AB145/AB138,""),"")</f>
        <v>0.103085767786474</v>
      </c>
      <c r="AC132" s="190">
        <f>IF(AND(ISNUMBER(AC145),ISNUMBER(AC138)),IFERROR(AC145/AC138,""),"")</f>
        <v>0.104166409579468</v>
      </c>
      <c r="AD132" s="190">
        <f>IF(AND(ISNUMBER(AD145),ISNUMBER(AD138)),IFERROR(AD145/AD138,""),"")</f>
        <v>0.1051062427697</v>
      </c>
      <c r="AE132" s="190">
        <f>IF(AND(ISNUMBER(AE145),ISNUMBER(AE138)),IFERROR(AE145/AE138,""),"")</f>
        <v>0.0950214402992609</v>
      </c>
      <c r="AF132" s="190">
        <f>IF(AND(ISNUMBER(AF145),ISNUMBER(AF138)),IFERROR(AF145/AF138,""),"")</f>
        <v>0.0965659671414547</v>
      </c>
      <c r="AG132" s="190">
        <f>IF(AND(ISNUMBER(AG145),ISNUMBER(AG138)),IFERROR(AG145/AG138,""),"")</f>
        <v>0.0956512082504352</v>
      </c>
      <c r="AH132" s="190">
        <f>IF(AND(ISNUMBER(AH145),ISNUMBER(AH138)),IFERROR(AH145/AH138,""),"")</f>
        <v>0.0979368946049852</v>
      </c>
      <c r="AI132" s="190">
        <f>IF(AND(ISNUMBER(AI145),ISNUMBER(AI138)),IFERROR(AI145/AI138,""),"")</f>
        <v>0.0998215471779647</v>
      </c>
      <c r="AJ132" s="190">
        <f>IF(AND(ISNUMBER(AJ145),ISNUMBER(AJ138)),IFERROR(AJ145/AJ138,""),"")</f>
        <v>0.0856866947735356</v>
      </c>
      <c r="AK132" s="190">
        <f>IF(AND(ISNUMBER(AK145),ISNUMBER(AK138)),IFERROR(AK145/AK138,""),"")</f>
        <v>0.0866741541851631</v>
      </c>
      <c r="AL132" s="190">
        <f>IF(AND(ISNUMBER(AL145),ISNUMBER(AL138)),IFERROR(AL145/AL138,""),"")</f>
        <v>0.0908164026268813</v>
      </c>
      <c r="AM132" s="190">
        <f>IF(AND(ISNUMBER(AM145),ISNUMBER(AM138)),IFERROR(AM145/AM138,""),"")</f>
        <v>0.0904841161553954</v>
      </c>
      <c r="AN132" s="190">
        <f>IF(AND(ISNUMBER(AN145),ISNUMBER(AN138)),IFERROR(AN145/AN138,""),"")</f>
        <v>0.0965051694395388</v>
      </c>
      <c r="AO132" s="190">
        <f>IF(AND(ISNUMBER(AO145),ISNUMBER(AO138)),IFERROR(AO145/AO138,""),"")</f>
        <v>0.0854367210865246</v>
      </c>
      <c r="AP132" s="190">
        <f>IF(AND(ISNUMBER(AP145),ISNUMBER(AP138)),IFERROR(AP145/AP138,""),"")</f>
        <v>0.0827168856569934</v>
      </c>
      <c r="AQ132" s="190">
        <f>IF(AND(ISNUMBER(AQ145),ISNUMBER(AQ138)),IFERROR(AQ145/AQ138,""),"")</f>
        <v>0.0888594210136566</v>
      </c>
      <c r="AR132" s="190">
        <f>IF(AND(ISNUMBER(AR145),ISNUMBER(AR138)),IFERROR(AR145/AR138,""),"")</f>
        <v>0.0881325483047544</v>
      </c>
      <c r="AS132" s="190">
        <f>IF(AND(ISNUMBER(AS145),ISNUMBER(AS138)),IFERROR(AS145/AS138,""),"")</f>
        <v>0.0868113347535359</v>
      </c>
      <c r="AT132" s="190">
        <f>IF(AND(ISNUMBER(AT145),ISNUMBER(AT138)),IFERROR(AT145/AT138,""),"")</f>
        <v>0.102104225352113</v>
      </c>
      <c r="AU132" s="190">
        <f>IF(AND(ISNUMBER(AU145),ISNUMBER(AU138)),IFERROR(AU145/AU138,""),"")</f>
        <v>0.0955547229464781</v>
      </c>
      <c r="AV132" s="190">
        <f>IF(AND(ISNUMBER(AV145),ISNUMBER(AV138)),IFERROR(AV145/AV138,""),"")</f>
        <v>0.0896996947964682</v>
      </c>
      <c r="AW132" s="190">
        <f>IF(AND(ISNUMBER(AW145),ISNUMBER(AW138)),IFERROR(AW145/AW138,""),"")</f>
        <v>0.093163474282123</v>
      </c>
      <c r="AX132" s="190">
        <f>IF(AND(ISNUMBER(AX145),ISNUMBER(AX138)),IFERROR(AX145/AX138,""),"")</f>
        <v>0.0892942876799794</v>
      </c>
      <c r="AY132" s="190">
        <f>IF(AND(ISNUMBER(AY145),ISNUMBER(AY138)),IFERROR(AY145/AY138,""),"")</f>
        <v>0.0772749547200197</v>
      </c>
      <c r="AZ132" s="190">
        <f>IF(AND(ISNUMBER(AZ145),ISNUMBER(AZ138)),IFERROR(AZ145/AZ138,""),"")</f>
        <v>0.0750946684057136</v>
      </c>
      <c r="BA132" s="190">
        <f>IF(AND(ISNUMBER(BA145),ISNUMBER(BA138)),IFERROR(BA145/BA138,""),"")</f>
        <v>0.0740780772518694</v>
      </c>
      <c r="BB132" s="190">
        <f>IF(AND(ISNUMBER(BB145),ISNUMBER(BB138)),IFERROR(BB145/BB138,""),"")</f>
        <v>0.0783418287844699</v>
      </c>
      <c r="BC132" s="190">
        <f>IF(AND(ISNUMBER(BC145),ISNUMBER(BC138)),IFERROR(BC145/BC138,""),"")</f>
        <v>0.0721044829866163</v>
      </c>
      <c r="BD132" s="190">
        <f>IF(AND(ISNUMBER(BD145),ISNUMBER(BD138)),IFERROR(BD145/BD138,""),"")</f>
        <v>0.0647845038604687</v>
      </c>
      <c r="BE132" s="190">
        <f>IF(AND(ISNUMBER(BE145),ISNUMBER(BE138)),IFERROR(BE145/BE138,""),"")</f>
        <v>0.0648484394968476</v>
      </c>
      <c r="BF132" s="190">
        <f>IF(AND(ISNUMBER(BF145),ISNUMBER(BF138)),IFERROR(BF145/BF138,""),"")</f>
        <v>0.0680964996424374</v>
      </c>
      <c r="BG132" s="190">
        <f>IF(AND(ISNUMBER(BG145),ISNUMBER(BG138)),IFERROR(BG145/BG138,""),"")</f>
        <v>0.0672770610487932</v>
      </c>
      <c r="BH132" s="190">
        <f>IF(AND(ISNUMBER(BH145),ISNUMBER(BH138)),IFERROR(BH145/BH138,""),"")</f>
        <v>0.0648300770927048</v>
      </c>
      <c r="BI132" s="190">
        <f>IF(AND(ISNUMBER(BI145),ISNUMBER(BI138)),IFERROR(BI145/BI138,""),"")</f>
        <v>0.0641655340153087</v>
      </c>
      <c r="BJ132" s="190">
        <f>IF(AND(ISNUMBER(BJ145),ISNUMBER(BJ138)),IFERROR(BJ145/BJ138,""),"")</f>
        <v>0.0680751792492619</v>
      </c>
      <c r="BK132" s="190">
        <f>IF(AND(ISNUMBER(BK145),ISNUMBER(BK138)),IFERROR(BK145/BK138,""),"")</f>
        <v>0.0734854865117934</v>
      </c>
      <c r="BL132" s="190">
        <f>IF(AND(ISNUMBER(BL145),ISNUMBER(BL138)),IFERROR(BL145/BL138,""),"")</f>
        <v>0.0676189169762654</v>
      </c>
      <c r="BM132" s="190">
        <f>IF(AND(ISNUMBER(BM145),ISNUMBER(BM138)),IFERROR(BM145/BM138,""),"")</f>
        <v>0.0690530582300364</v>
      </c>
      <c r="BN132" s="190">
        <f>IF(AND(ISNUMBER(BN145),ISNUMBER(BN138)),IFERROR(BN145/BN138,""),"")</f>
        <v>0.0647277453293223</v>
      </c>
      <c r="BO132" s="190">
        <f>IF(AND(ISNUMBER(BO145),ISNUMBER(BO138)),IFERROR(BO145/BO138,""),"")</f>
        <v>0.0654253698456018</v>
      </c>
      <c r="BP132" s="190">
        <f>IF(AND(ISNUMBER(BP145),ISNUMBER(BP138)),IFERROR(BP145/BP138,""),"")</f>
        <v>0.0735719536361832</v>
      </c>
      <c r="BQ132" s="190">
        <f>IF(AND(ISNUMBER(BQ145),ISNUMBER(BQ138)),IFERROR(BQ145/BQ138,""),"")</f>
        <v>0.0680688059936652</v>
      </c>
      <c r="BR132" s="190">
        <f>IF(AND(ISNUMBER(BR145),ISNUMBER(BR138)),IFERROR(BR145/BR138,""),"")</f>
        <v>0.0782010545060931</v>
      </c>
      <c r="BS132" s="190">
        <f>IF(AND(ISNUMBER(BS145),ISNUMBER(BS138)),IFERROR(BS145/BS138,""),"")</f>
        <v>0.0750296479539363</v>
      </c>
      <c r="BT132" s="190">
        <f>IF(AND(ISNUMBER(BT145),ISNUMBER(BT138)),IFERROR(BT145/BT138,""),"")</f>
        <v>0.0740503841320513</v>
      </c>
      <c r="BU132" s="190">
        <f>IF(AND(ISNUMBER(BU145),ISNUMBER(BU138)),IFERROR(BU145/BU138,""),"")</f>
        <v>0.0686885875537442</v>
      </c>
      <c r="BV132" s="190">
        <f>IF(AND(ISNUMBER(BV145),ISNUMBER(BV138)),IFERROR(BV145/BV138,""),"")</f>
        <v>0.0739542454886444</v>
      </c>
      <c r="BW132" s="190">
        <f>IF(AND(ISNUMBER(BW145),ISNUMBER(BW138)),IFERROR(BW145/BW138,""),"")</f>
        <v>0.0793395439786727</v>
      </c>
      <c r="BX132" s="190">
        <f>IF(AND(ISNUMBER(BX145),ISNUMBER(BX138)),IFERROR(BX145/BX138,""),"")</f>
        <v>0.0702055613672583</v>
      </c>
      <c r="BY132" s="179">
        <f>IFERROR(BY131/(BY138-N(BY63)),"")</f>
        <v>0.0708083925726608</v>
      </c>
      <c r="BZ132" s="179">
        <f>IFERROR(BZ131/(BZ138-N(BZ63)),"")</f>
        <v>0.0750292077921148</v>
      </c>
      <c r="CA132" s="179">
        <f>IFERROR(CA131/(CA138-N(CA63)),"")</f>
        <v>0.0736027882649867</v>
      </c>
      <c r="CB132" s="179">
        <f>0.073</f>
        <v>0.073</v>
      </c>
      <c r="CC132" s="179">
        <f>0.073</f>
        <v>0.073</v>
      </c>
      <c r="CD132" s="179">
        <f>0.073</f>
        <v>0.073</v>
      </c>
      <c r="CE132" s="179">
        <f>0.073</f>
        <v>0.073</v>
      </c>
      <c r="CF132" s="20" t="inlineStr">
        <is>
          <t>2027E+: 7.3% input (FY25 7.4%; FY26 guidance-implied ~7.3%).</t>
        </is>
      </c>
    </row>
    <row r="133" hidden="1" outlineLevel="2" ht="15" customHeight="1">
      <c r="B133" s="26" t="inlineStr">
        <is>
          <t xml:space="preserve">  SG&amp;A % of revenues (incl. stock-based compensation)</t>
        </is>
      </c>
      <c r="C133" s="190">
        <f>IF(AND(ISNUMBER(C143),ISNUMBER(C138)),IFERROR(C143/C138,""),"")</f>
        <v>0.150684073081878</v>
      </c>
      <c r="D133" s="190">
        <f>IF(AND(ISNUMBER(D143),ISNUMBER(D138)),IFERROR(D143/D138,""),"")</f>
        <v>0.157542846944347</v>
      </c>
      <c r="E133" s="190">
        <f>IF(AND(ISNUMBER(E143),ISNUMBER(E138)),IFERROR(E143/E138,""),"")</f>
        <v>0.15491606295836</v>
      </c>
      <c r="F133" s="190">
        <f>IF(AND(ISNUMBER(F143),ISNUMBER(F138)),IFERROR(F143/F138,""),"")</f>
        <v>0.151884157807525</v>
      </c>
      <c r="G133" s="190">
        <f>IF(AND(ISNUMBER(G143),ISNUMBER(G138)),IFERROR(G143/G138,""),"")</f>
        <v>0.118880989623646</v>
      </c>
      <c r="H133" s="190">
        <f>IF(AND(ISNUMBER(H143),ISNUMBER(H138)),IFERROR(H143/H138,""),"")</f>
        <v>0.128084465984187</v>
      </c>
      <c r="I133" s="190">
        <f>IF(AND(ISNUMBER(I143),ISNUMBER(I138)),IFERROR(I143/I138,""),"")</f>
        <v>0.125014397314695</v>
      </c>
      <c r="J133" s="190">
        <f>IF(AND(ISNUMBER(J143),ISNUMBER(J138)),IFERROR(J143/J138,""),"")</f>
        <v>0.149008946104159</v>
      </c>
      <c r="K133" s="190">
        <f>IF(AND(ISNUMBER(K143),ISNUMBER(K138)),IFERROR(K143/K138,""),"")</f>
        <v>0.142484614097391</v>
      </c>
      <c r="L133" s="190">
        <f>IF(AND(ISNUMBER(L143),ISNUMBER(L138)),IFERROR(L143/L138,""),"")</f>
        <v>0.126126265102723</v>
      </c>
      <c r="M133" s="190">
        <f>IF(AND(ISNUMBER(M143),ISNUMBER(M138)),IFERROR(M143/M138,""),"")</f>
        <v>0.119317057639607</v>
      </c>
      <c r="N133" s="190">
        <f>IF(AND(ISNUMBER(N143),ISNUMBER(N138)),IFERROR(N143/N138,""),"")</f>
        <v>0.134052169215444</v>
      </c>
      <c r="O133" s="190">
        <f>IF(AND(ISNUMBER(O143),ISNUMBER(O138)),IFERROR(O143/O138,""),"")</f>
        <v>0.14050624389518</v>
      </c>
      <c r="P133" s="190">
        <f>IF(AND(ISNUMBER(P143),ISNUMBER(P138)),IFERROR(P143/P138,""),"")</f>
        <v>0.134809197651663</v>
      </c>
      <c r="Q133" s="190">
        <f>IF(AND(ISNUMBER(Q143),ISNUMBER(Q138)),IFERROR(Q143/Q138,""),"")</f>
        <v>0.117093480060836</v>
      </c>
      <c r="R133" s="190">
        <f>IF(AND(ISNUMBER(R143),ISNUMBER(R138)),IFERROR(R143/R138,""),"")</f>
        <v>0.122513680084826</v>
      </c>
      <c r="S133" s="190">
        <f>IF(AND(ISNUMBER(S143),ISNUMBER(S138)),IFERROR(S143/S138,""),"")</f>
        <v>0.128738348253605</v>
      </c>
      <c r="T133" s="190">
        <f>IF(AND(ISNUMBER(T143),ISNUMBER(T138)),IFERROR(T143/T138,""),"")</f>
        <v>0.147051395292007</v>
      </c>
      <c r="U133" s="190">
        <f>IF(AND(ISNUMBER(U143),ISNUMBER(U138)),IFERROR(U143/U138,""),"")</f>
        <v>0.128620378796618</v>
      </c>
      <c r="V133" s="190">
        <f>IF(AND(ISNUMBER(V143),ISNUMBER(V138)),IFERROR(V143/V138,""),"")</f>
        <v>0.104227158857624</v>
      </c>
      <c r="W133" s="190">
        <f>IF(AND(ISNUMBER(W143),ISNUMBER(W138)),IFERROR(W143/W138,""),"")</f>
        <v>0.130311733918244</v>
      </c>
      <c r="X133" s="190">
        <f>IF(AND(ISNUMBER(X143),ISNUMBER(X138)),IFERROR(X143/X138,""),"")</f>
        <v>0.126457000119384</v>
      </c>
      <c r="Y133" s="190">
        <f>IF(AND(ISNUMBER(Y143),ISNUMBER(Y138)),IFERROR(Y143/Y138,""),"")</f>
        <v>0.1642615822149</v>
      </c>
      <c r="Z133" s="190">
        <f>IF(AND(ISNUMBER(Z143),ISNUMBER(Z138)),IFERROR(Z143/Z138,""),"")</f>
        <v>0.153493139883299</v>
      </c>
      <c r="AA133" s="190">
        <f>IF(AND(ISNUMBER(AA143),ISNUMBER(AA138)),IFERROR(AA143/AA138,""),"")</f>
        <v>0.152091786380086</v>
      </c>
      <c r="AB133" s="190">
        <f>IF(AND(ISNUMBER(AB143),ISNUMBER(AB138)),IFERROR(AB143/AB138,""),"")</f>
        <v>0.143782879385303</v>
      </c>
      <c r="AC133" s="190">
        <f>IF(AND(ISNUMBER(AC143),ISNUMBER(AC138)),IFERROR(AC143/AC138,""),"")</f>
        <v>0.153168923347849</v>
      </c>
      <c r="AD133" s="190">
        <f>IF(AND(ISNUMBER(AD143),ISNUMBER(AD138)),IFERROR(AD143/AD138,""),"")</f>
        <v>0.162889129838404</v>
      </c>
      <c r="AE133" s="190">
        <f>IF(AND(ISNUMBER(AE143),ISNUMBER(AE138)),IFERROR(AE143/AE138,""),"")</f>
        <v>0.149170815687816</v>
      </c>
      <c r="AF133" s="190">
        <f>IF(AND(ISNUMBER(AF143),ISNUMBER(AF138)),IFERROR(AF143/AF138,""),"")</f>
        <v>0.149834754698708</v>
      </c>
      <c r="AG133" s="190">
        <f>IF(AND(ISNUMBER(AG143),ISNUMBER(AG138)),IFERROR(AG143/AG138,""),"")</f>
        <v>0.159058767492236</v>
      </c>
      <c r="AH133" s="190">
        <f>IF(AND(ISNUMBER(AH143),ISNUMBER(AH138)),IFERROR(AH143/AH138,""),"")</f>
        <v>0.155059901975499</v>
      </c>
      <c r="AI133" s="190">
        <f>IF(AND(ISNUMBER(AI143),ISNUMBER(AI138)),IFERROR(AI143/AI138,""),"")</f>
        <v>0.153496101512714</v>
      </c>
      <c r="AJ133" s="190">
        <f>IF(AND(ISNUMBER(AJ143),ISNUMBER(AJ138)),IFERROR(AJ143/AJ138,""),"")</f>
        <v>0.14837953694326</v>
      </c>
      <c r="AK133" s="190">
        <f>IF(AND(ISNUMBER(AK143),ISNUMBER(AK138)),IFERROR(AK143/AK138,""),"")</f>
        <v>0.143763913086277</v>
      </c>
      <c r="AL133" s="190">
        <f>IF(AND(ISNUMBER(AL143),ISNUMBER(AL138)),IFERROR(AL143/AL138,""),"")</f>
        <v>0.164815125541247</v>
      </c>
      <c r="AM133" s="190">
        <f>IF(AND(ISNUMBER(AM143),ISNUMBER(AM138)),IFERROR(AM143/AM138,""),"")</f>
        <v>0.152636591246319</v>
      </c>
      <c r="AN133" s="190">
        <f>IF(AND(ISNUMBER(AN143),ISNUMBER(AN138)),IFERROR(AN143/AN138,""),"")</f>
        <v>0.147036713074014</v>
      </c>
      <c r="AO133" s="190">
        <f>IF(AND(ISNUMBER(AO143),ISNUMBER(AO138)),IFERROR(AO143/AO138,""),"")</f>
        <v>0.14265354941647</v>
      </c>
      <c r="AP133" s="190">
        <f>IF(AND(ISNUMBER(AP143),ISNUMBER(AP138)),IFERROR(AP143/AP138,""),"")</f>
        <v>0.137159794901241</v>
      </c>
      <c r="AQ133" s="190">
        <f>IF(AND(ISNUMBER(AQ143),ISNUMBER(AQ138)),IFERROR(AQ143/AQ138,""),"")</f>
        <v>0.141240291387535</v>
      </c>
      <c r="AR133" s="190">
        <f>IF(AND(ISNUMBER(AR143),ISNUMBER(AR138)),IFERROR(AR143/AR138,""),"")</f>
        <v>0.141860212942421</v>
      </c>
      <c r="AS133" s="190">
        <f>IF(AND(ISNUMBER(AS143),ISNUMBER(AS138)),IFERROR(AS143/AS138,""),"")</f>
        <v>0.150608633262789</v>
      </c>
      <c r="AT133" s="190">
        <f>IF(AND(ISNUMBER(AT143),ISNUMBER(AT138)),IFERROR(AT143/AT138,""),"")</f>
        <v>0.146252112676056</v>
      </c>
      <c r="AU133" s="190">
        <f>IF(AND(ISNUMBER(AU143),ISNUMBER(AU138)),IFERROR(AU143/AU138,""),"")</f>
        <v>0.136709848282658</v>
      </c>
      <c r="AV133" s="190">
        <f>IF(AND(ISNUMBER(AV143),ISNUMBER(AV138)),IFERROR(AV143/AV138,""),"")</f>
        <v>0.13985857647044</v>
      </c>
      <c r="AW133" s="190">
        <f>IF(AND(ISNUMBER(AW143),ISNUMBER(AW138)),IFERROR(AW143/AW138,""),"")</f>
        <v>0.143457406053312</v>
      </c>
      <c r="AX133" s="190">
        <f>IF(AND(ISNUMBER(AX143),ISNUMBER(AX138)),IFERROR(AX143/AX138,""),"")</f>
        <v>0.150518221909848</v>
      </c>
      <c r="AY133" s="190">
        <f>IF(AND(ISNUMBER(AY143),ISNUMBER(AY138)),IFERROR(AY143/AY138,""),"")</f>
        <v>0.133957502660671</v>
      </c>
      <c r="AZ133" s="190">
        <f>IF(AND(ISNUMBER(AZ143),ISNUMBER(AZ138)),IFERROR(AZ143/AZ138,""),"")</f>
        <v>0.139954744140438</v>
      </c>
      <c r="BA133" s="190">
        <f>IF(AND(ISNUMBER(BA143),ISNUMBER(BA138)),IFERROR(BA143/BA138,""),"")</f>
        <v>0.142075658273789</v>
      </c>
      <c r="BB133" s="190">
        <f>IF(AND(ISNUMBER(BB143),ISNUMBER(BB138)),IFERROR(BB143/BB138,""),"")</f>
        <v>0.141361889400946</v>
      </c>
      <c r="BC133" s="190">
        <f>IF(AND(ISNUMBER(BC143),ISNUMBER(BC138)),IFERROR(BC143/BC138,""),"")</f>
        <v>0.129306163924835</v>
      </c>
      <c r="BD133" s="190">
        <f>IF(AND(ISNUMBER(BD143),ISNUMBER(BD138)),IFERROR(BD143/BD138,""),"")</f>
        <v>0.114728764473071</v>
      </c>
      <c r="BE133" s="190">
        <f>IF(AND(ISNUMBER(BE143),ISNUMBER(BE138)),IFERROR(BE143/BE138,""),"")</f>
        <v>0.111299653873637</v>
      </c>
      <c r="BF133" s="190">
        <f>IF(AND(ISNUMBER(BF143),ISNUMBER(BF138)),IFERROR(BF143/BF138,""),"")</f>
        <v>0.132148708471494</v>
      </c>
      <c r="BG133" s="190">
        <f>IF(AND(ISNUMBER(BG143),ISNUMBER(BG138)),IFERROR(BG143/BG138,""),"")</f>
        <v>0.121431965478298</v>
      </c>
      <c r="BH133" s="190">
        <f>IF(AND(ISNUMBER(BH143),ISNUMBER(BH138)),IFERROR(BH143/BH138,""),"")</f>
        <v>0.127546778421386</v>
      </c>
      <c r="BI133" s="190">
        <f>IF(AND(ISNUMBER(BI143),ISNUMBER(BI138)),IFERROR(BI143/BI138,""),"")</f>
        <v>0.119738178696616</v>
      </c>
      <c r="BJ133" s="190">
        <f>IF(AND(ISNUMBER(BJ143),ISNUMBER(BJ138)),IFERROR(BJ143/BJ138,""),"")</f>
        <v>0.125224793804771</v>
      </c>
      <c r="BK133" s="190">
        <f>IF(AND(ISNUMBER(BK143),ISNUMBER(BK138)),IFERROR(BK143/BK138,""),"")</f>
        <v>0.124055332323496</v>
      </c>
      <c r="BL133" s="190">
        <f>IF(AND(ISNUMBER(BL143),ISNUMBER(BL138)),IFERROR(BL143/BL138,""),"")</f>
        <v>0.124078783513571</v>
      </c>
      <c r="BM133" s="190">
        <f>IF(AND(ISNUMBER(BM143),ISNUMBER(BM138)),IFERROR(BM143/BM138,""),"")</f>
        <v>0.13210478718961</v>
      </c>
      <c r="BN133" s="190">
        <f>IF(AND(ISNUMBER(BN143),ISNUMBER(BN138)),IFERROR(BN143/BN138,""),"")</f>
        <v>0.127438383893029</v>
      </c>
      <c r="BO133" s="190">
        <f>IF(AND(ISNUMBER(BO143),ISNUMBER(BO138)),IFERROR(BO143/BO138,""),"")</f>
        <v>0.116283144874338</v>
      </c>
      <c r="BP133" s="190">
        <f>IF(AND(ISNUMBER(BP143),ISNUMBER(BP138)),IFERROR(BP143/BP138,""),"")</f>
        <v>0.127200730059618</v>
      </c>
      <c r="BQ133" s="190">
        <f>IF(AND(ISNUMBER(BQ143),ISNUMBER(BQ138)),IFERROR(BQ143/BQ138,""),"")</f>
        <v>0.125574707569773</v>
      </c>
      <c r="BR133" s="190">
        <f>IF(AND(ISNUMBER(BR143),ISNUMBER(BR138)),IFERROR(BR143/BR138,""),"")</f>
        <v>0.127690910995496</v>
      </c>
      <c r="BS133" s="190">
        <f>IF(AND(ISNUMBER(BS143),ISNUMBER(BS138)),IFERROR(BS143/BS138,""),"")</f>
        <v>0.12012937992869</v>
      </c>
      <c r="BT133" s="190">
        <f>IF(AND(ISNUMBER(BT143),ISNUMBER(BT138)),IFERROR(BT143/BT138,""),"")</f>
        <v>0.122381379906373</v>
      </c>
      <c r="BU133" s="190">
        <f>IF(AND(ISNUMBER(BU143),ISNUMBER(BU138)),IFERROR(BU143/BU138,""),"")</f>
        <v>0.129288869210827</v>
      </c>
      <c r="BV133" s="190">
        <f>IF(AND(ISNUMBER(BV143),ISNUMBER(BV138)),IFERROR(BV143/BV138,""),"")</f>
        <v>0.124781021274493</v>
      </c>
      <c r="BW133" s="190">
        <f>IF(AND(ISNUMBER(BW143),ISNUMBER(BW138)),IFERROR(BW143/BW138,""),"")</f>
        <v>0.141922404159675</v>
      </c>
      <c r="BX133" s="190">
        <f>IF(AND(ISNUMBER(BX143),ISNUMBER(BX138)),IFERROR(BX143/BX138,""),"")</f>
        <v>0.123673418808591</v>
      </c>
      <c r="BY133" s="179">
        <f>BT133+((BW143+BX143)/(BW138+BX138)-(BR143+BS143)/(BR138+BS138))</f>
        <v>0.130631829243653</v>
      </c>
      <c r="BZ133" s="179">
        <f>BU133+((BW143+BX143)/(BW138+BX138)-(BR143+BS143)/(BR138+BS138))</f>
        <v>0.137539318548107</v>
      </c>
      <c r="CA133" s="179">
        <f>IF(AND(ISNUMBER(CA143),ISNUMBER(CA138)),IFERROR(CA143/CA138,""),"")</f>
        <v>0.133059927285622</v>
      </c>
      <c r="CB133" s="179">
        <f>0.128</f>
        <v>0.128</v>
      </c>
      <c r="CC133" s="179">
        <f>0.128</f>
        <v>0.128</v>
      </c>
      <c r="CD133" s="179">
        <f>0.128</f>
        <v>0.128</v>
      </c>
      <c r="CE133" s="179">
        <f>0.128</f>
        <v>0.128</v>
      </c>
      <c r="CF133" s="20" t="inlineStr">
        <is>
          <t>Q3/Q4-26E: prior-year quarter + 1H/26 y/y change. 2027E+: 12.8% input (FY25 12.5%; 1H/26 13.2%). Cost of revenues is the residual to the Adjusted EBITDA build.</t>
        </is>
      </c>
    </row>
    <row r="134" hidden="1" outlineLevel="2" ht="15" customHeight="1">
      <c r="B134" s="26" t="inlineStr">
        <is>
          <t xml:space="preserve">  Stock-based compensation % of revenues</t>
        </is>
      </c>
      <c r="C134" s="190">
        <f>IF(AND(ISNUMBER(C162),ISNUMBER(C138)),IFERROR(C162/C138,""),"")</f>
        <v>0.00408166216563089</v>
      </c>
      <c r="D134" s="190">
        <f>IF(AND(ISNUMBER(D162),ISNUMBER(D138)),IFERROR(D162/D138,""),"")</f>
        <v>0.00506802602551227</v>
      </c>
      <c r="E134" s="190">
        <f>IF(AND(ISNUMBER(E162),ISNUMBER(E138)),IFERROR(E162/E138,""),"")</f>
        <v>0.00345877077324144</v>
      </c>
      <c r="F134" s="190">
        <f>IF(AND(ISNUMBER(F162),ISNUMBER(F138)),IFERROR(F162/F138,""),"")</f>
        <v>0.00090111895142522</v>
      </c>
      <c r="G134" s="190">
        <f>IF(AND(ISNUMBER(G162),ISNUMBER(G138)),IFERROR(G162/G138,""),"")</f>
        <v>0.0041698339459949</v>
      </c>
      <c r="H134" s="190">
        <f>IF(AND(ISNUMBER(H162),ISNUMBER(H138)),IFERROR(H162/H138,""),"")</f>
        <v>0.00411463730308809</v>
      </c>
      <c r="I134" s="190">
        <f>IF(AND(ISNUMBER(I162),ISNUMBER(I138)),IFERROR(I162/I138,""),"")</f>
        <v>0.00342518972461365</v>
      </c>
      <c r="J134" s="190">
        <f>IF(AND(ISNUMBER(J162),ISNUMBER(J138)),IFERROR(J162/J138,""),"")</f>
        <v>0.00218868125864831</v>
      </c>
      <c r="K134" s="190">
        <f>IF(AND(ISNUMBER(K162),ISNUMBER(K138)),IFERROR(K162/K138,""),"")</f>
        <v>0.00236715133034602</v>
      </c>
      <c r="L134" s="190">
        <f>IF(AND(ISNUMBER(L162),ISNUMBER(L138)),IFERROR(L162/L138,""),"")</f>
        <v>0.00271614868848033</v>
      </c>
      <c r="M134" s="190">
        <f>IF(AND(ISNUMBER(M162),ISNUMBER(M138)),IFERROR(M162/M138,""),"")</f>
        <v>0.00290756512741207</v>
      </c>
      <c r="N134" s="190">
        <f>IF(AND(ISNUMBER(N162),ISNUMBER(N138)),IFERROR(N162/N138,""),"")</f>
        <v>0.00254896776208267</v>
      </c>
      <c r="O134" s="190">
        <f>IF(AND(ISNUMBER(O162),ISNUMBER(O138)),IFERROR(O162/O138,""),"")</f>
        <v>0.00269055012183066</v>
      </c>
      <c r="P134" s="190">
        <f>IF(AND(ISNUMBER(P162),ISNUMBER(P138)),IFERROR(P162/P138,""),"")</f>
        <v>0.00240191967197838</v>
      </c>
      <c r="Q134" s="190">
        <f>IF(AND(ISNUMBER(Q162),ISNUMBER(Q138)),IFERROR(Q162/Q138,""),"")</f>
        <v>0.00247338410856582</v>
      </c>
      <c r="R134" s="190">
        <f>IF(AND(ISNUMBER(R162),ISNUMBER(R138)),IFERROR(R162/R138,""),"")</f>
        <v>0.00278571969553527</v>
      </c>
      <c r="S134" s="190">
        <f>IF(AND(ISNUMBER(S162),ISNUMBER(S138)),IFERROR(S162/S138,""),"")</f>
        <v>0.00258699049516174</v>
      </c>
      <c r="T134" s="190">
        <f>IF(AND(ISNUMBER(T162),ISNUMBER(T138)),IFERROR(T162/T138,""),"")</f>
        <v>0.00252560071754364</v>
      </c>
      <c r="U134" s="190">
        <f>IF(AND(ISNUMBER(U162),ISNUMBER(U138)),IFERROR(U162/U138,""),"")</f>
        <v>0.00458862584754996</v>
      </c>
      <c r="V134" s="190">
        <f>IF(AND(ISNUMBER(V162),ISNUMBER(V138)),IFERROR(V162/V138,""),"")</f>
        <v>0.000452222269484176</v>
      </c>
      <c r="W134" s="190">
        <f>IF(AND(ISNUMBER(W162),ISNUMBER(W138)),IFERROR(W162/W138,""),"")</f>
        <v>0.0028048759964322</v>
      </c>
      <c r="X134" s="190">
        <f>IF(AND(ISNUMBER(X162),ISNUMBER(X138)),IFERROR(X162/X138,""),"")</f>
        <v>0.0026105778170501</v>
      </c>
      <c r="Y134" s="190">
        <f>IF(AND(ISNUMBER(Y162),ISNUMBER(Y138)),IFERROR(Y162/Y138,""),"")</f>
        <v>0.00329045108893022</v>
      </c>
      <c r="Z134" s="190">
        <f>IF(AND(ISNUMBER(Z162),ISNUMBER(Z138)),IFERROR(Z162/Z138,""),"")</f>
        <v>0.00379349400008602</v>
      </c>
      <c r="AA134" s="190">
        <f>IF(AND(ISNUMBER(AA162),ISNUMBER(AA138)),IFERROR(AA162/AA138,""),"")</f>
        <v>0.00410680995723215</v>
      </c>
      <c r="AB134" s="190">
        <f>IF(AND(ISNUMBER(AB162),ISNUMBER(AB138)),IFERROR(AB162/AB138,""),"")</f>
        <v>0.00396756021054365</v>
      </c>
      <c r="AC134" s="190">
        <f>IF(AND(ISNUMBER(AC162),ISNUMBER(AC138)),IFERROR(AC162/AC138,""),"")</f>
        <v>0.00380404366102817</v>
      </c>
      <c r="AD134" s="190">
        <f>IF(AND(ISNUMBER(AD162),ISNUMBER(AD138)),IFERROR(AD162/AD138,""),"")</f>
        <v>0.00329636354927345</v>
      </c>
      <c r="AE134" s="190">
        <f>IF(AND(ISNUMBER(AE162),ISNUMBER(AE138)),IFERROR(AE162/AE138,""),"")</f>
        <v>0.00385367460692785</v>
      </c>
      <c r="AF134" s="190">
        <f>IF(AND(ISNUMBER(AF162),ISNUMBER(AF138)),IFERROR(AF162/AF138,""),"")</f>
        <v>0.00534500414105519</v>
      </c>
      <c r="AG134" s="190">
        <f>IF(AND(ISNUMBER(AG162),ISNUMBER(AG138)),IFERROR(AG162/AG138,""),"")</f>
        <v>0.0052635592846162</v>
      </c>
      <c r="AH134" s="190">
        <f>IF(AND(ISNUMBER(AH162),ISNUMBER(AH138)),IFERROR(AH162/AH138,""),"")</f>
        <v>0.00446387035828451</v>
      </c>
      <c r="AI134" s="190">
        <f>IF(AND(ISNUMBER(AI162),ISNUMBER(AI138)),IFERROR(AI162/AI138,""),"")</f>
        <v>0.00410388141556567</v>
      </c>
      <c r="AJ134" s="190">
        <f>IF(AND(ISNUMBER(AJ162),ISNUMBER(AJ138)),IFERROR(AJ162/AJ138,""),"")</f>
        <v>0.00419483241868243</v>
      </c>
      <c r="AK134" s="190">
        <f>IF(AND(ISNUMBER(AK162),ISNUMBER(AK138)),IFERROR(AK162/AK138,""),"")</f>
        <v>0.0048471206063704</v>
      </c>
      <c r="AL134" s="190">
        <f>IF(AND(ISNUMBER(AL162),ISNUMBER(AL138)),IFERROR(AL162/AL138,""),"")</f>
        <v>0.0070682495071102</v>
      </c>
      <c r="AM134" s="190">
        <f>IF(AND(ISNUMBER(AM162),ISNUMBER(AM138)),IFERROR(AM162/AM138,""),"")</f>
        <v>0.00508801767595278</v>
      </c>
      <c r="AN134" s="190">
        <f>IF(AND(ISNUMBER(AN162),ISNUMBER(AN138)),IFERROR(AN162/AN138,""),"")</f>
        <v>0.00743943373730052</v>
      </c>
      <c r="AO134" s="190">
        <f>IF(AND(ISNUMBER(AO162),ISNUMBER(AO138)),IFERROR(AO162/AO138,""),"")</f>
        <v>0.00441360319934429</v>
      </c>
      <c r="AP134" s="190">
        <f>IF(AND(ISNUMBER(AP162),ISNUMBER(AP138)),IFERROR(AP162/AP138,""),"")</f>
        <v>0.00563101961716693</v>
      </c>
      <c r="AQ134" s="190">
        <f>IF(AND(ISNUMBER(AQ162),ISNUMBER(AQ138)),IFERROR(AQ162/AQ138,""),"")</f>
        <v>0.00361880815839174</v>
      </c>
      <c r="AR134" s="190">
        <f>IF(AND(ISNUMBER(AR162),ISNUMBER(AR138)),IFERROR(AR162/AR138,""),"")</f>
        <v>0.00522128017490234</v>
      </c>
      <c r="AS134" s="190">
        <f>IF(AND(ISNUMBER(AS162),ISNUMBER(AS138)),IFERROR(AS162/AS138,""),"")</f>
        <v>0.00383314911078162</v>
      </c>
      <c r="AT134" s="190">
        <f>IF(AND(ISNUMBER(AT162),ISNUMBER(AT138)),IFERROR(AT162/AT138,""),"")</f>
        <v>0.00392394366197183</v>
      </c>
      <c r="AU134" s="190">
        <f>IF(AND(ISNUMBER(AU162),ISNUMBER(AU138)),IFERROR(AU162/AU138,""),"")</f>
        <v>0.00854821490894906</v>
      </c>
      <c r="AV134" s="190">
        <f>IF(AND(ISNUMBER(AV162),ISNUMBER(AV138)),IFERROR(AV162/AV138,""),"")</f>
        <v>0.00723822203242944</v>
      </c>
      <c r="AW134" s="190">
        <f>IF(AND(ISNUMBER(AW162),ISNUMBER(AW138)),IFERROR(AW162/AW138,""),"")</f>
        <v>0.00588467849433398</v>
      </c>
      <c r="AX134" s="190">
        <f>IF(AND(ISNUMBER(AX162),ISNUMBER(AX138)),IFERROR(AX162/AX138,""),"")</f>
        <v>0.00430614194429733</v>
      </c>
      <c r="AY134" s="190">
        <f>IF(AND(ISNUMBER(AY162),ISNUMBER(AY138)),IFERROR(AY162/AY138,""),"")</f>
        <v>0.00356735005796269</v>
      </c>
      <c r="AZ134" s="190">
        <f>IF(AND(ISNUMBER(AZ162),ISNUMBER(AZ138)),IFERROR(AZ162/AZ138,""),"")</f>
        <v>0.00630702306619484</v>
      </c>
      <c r="BA134" s="190">
        <f>IF(AND(ISNUMBER(BA162),ISNUMBER(BA138)),IFERROR(BA162/BA138,""),"")</f>
        <v>0.0054069698369155</v>
      </c>
      <c r="BB134" s="190">
        <f>IF(AND(ISNUMBER(BB162),ISNUMBER(BB138)),IFERROR(BB162/BB138,""),"")</f>
        <v>0.00495038057413799</v>
      </c>
      <c r="BC134" s="190">
        <f>IF(AND(ISNUMBER(BC162),ISNUMBER(BC138)),IFERROR(BC162/BC138,""),"")</f>
        <v>0.00488577198533242</v>
      </c>
      <c r="BD134" s="190">
        <f>IF(AND(ISNUMBER(BD162),ISNUMBER(BD138)),IFERROR(BD162/BD138,""),"")</f>
        <v>0.00503940096379004</v>
      </c>
      <c r="BE134" s="190">
        <f>IF(AND(ISNUMBER(BE162),ISNUMBER(BE138)),IFERROR(BE162/BE138,""),"")</f>
        <v>0.00574285114805669</v>
      </c>
      <c r="BF134" s="190">
        <f>IF(AND(ISNUMBER(BF162),ISNUMBER(BF138)),IFERROR(BF162/BF138,""),"")</f>
        <v>0.00506142721450155</v>
      </c>
      <c r="BG134" s="190">
        <f>IF(AND(ISNUMBER(BG162),ISNUMBER(BG138)),IFERROR(BG162/BG138,""),"")</f>
        <v>0.00519567491611997</v>
      </c>
      <c r="BH134" s="190">
        <f>IF(AND(ISNUMBER(BH162),ISNUMBER(BH138)),IFERROR(BH162/BH138,""),"")</f>
        <v>0.00460307468255383</v>
      </c>
      <c r="BI134" s="190">
        <f>IF(AND(ISNUMBER(BI162),ISNUMBER(BI138)),IFERROR(BI162/BI138,""),"")</f>
        <v>0.00321911438586451</v>
      </c>
      <c r="BJ134" s="190">
        <f>IF(AND(ISNUMBER(BJ162),ISNUMBER(BJ138)),IFERROR(BJ162/BJ138,""),"")</f>
        <v>0.00314198767514879</v>
      </c>
      <c r="BK134" s="190">
        <f>IF(AND(ISNUMBER(BK162),ISNUMBER(BK138)),IFERROR(BK162/BK138,""),"")</f>
        <v>0.00440452588574388</v>
      </c>
      <c r="BL134" s="190">
        <f>IF(AND(ISNUMBER(BL162),ISNUMBER(BL138)),IFERROR(BL162/BL138,""),"")</f>
        <v>0.00382740215102108</v>
      </c>
      <c r="BM134" s="190">
        <f>IF(AND(ISNUMBER(BM162),ISNUMBER(BM138)),IFERROR(BM162/BM138,""),"")</f>
        <v>0.00460377934110315</v>
      </c>
      <c r="BN134" s="190">
        <f>IF(AND(ISNUMBER(BN162),ISNUMBER(BN138)),IFERROR(BN162/BN138,""),"")</f>
        <v>0.00548392851507581</v>
      </c>
      <c r="BO134" s="190">
        <f>IF(AND(ISNUMBER(BO162),ISNUMBER(BO138)),IFERROR(BO162/BO138,""),"")</f>
        <v>0.00381647445897862</v>
      </c>
      <c r="BP134" s="190">
        <f>IF(AND(ISNUMBER(BP162),ISNUMBER(BP138)),IFERROR(BP162/BP138,""),"")</f>
        <v>0.00509462545314286</v>
      </c>
      <c r="BQ134" s="190">
        <f>IF(AND(ISNUMBER(BQ162),ISNUMBER(BQ138)),IFERROR(BQ162/BQ138,""),"")</f>
        <v>0.00475063294233977</v>
      </c>
      <c r="BR134" s="190">
        <f>IF(AND(ISNUMBER(BR162),ISNUMBER(BR138)),IFERROR(BR162/BR138,""),"")</f>
        <v>0.00533189007996089</v>
      </c>
      <c r="BS134" s="190">
        <f>IF(AND(ISNUMBER(BS162),ISNUMBER(BS138)),IFERROR(BS162/BS138,""),"")</f>
        <v>0.00391198138663384</v>
      </c>
      <c r="BT134" s="190">
        <f>IF(AND(ISNUMBER(BT162),ISNUMBER(BT138)),IFERROR(BT162/BT138,""),"")</f>
        <v>0.00575859222364147</v>
      </c>
      <c r="BU134" s="190">
        <f>IF(AND(ISNUMBER(BU162),ISNUMBER(BU138)),IFERROR(BU162/BU138,""),"")</f>
        <v>0.00672269579968207</v>
      </c>
      <c r="BV134" s="190">
        <f>IF(AND(ISNUMBER(BV162),ISNUMBER(BV138)),IFERROR(BV162/BV138,""),"")</f>
        <v>0.00542246457664168</v>
      </c>
      <c r="BW134" s="190">
        <f>IF(AND(ISNUMBER(BW162),ISNUMBER(BW138)),IFERROR(BW162/BW138,""),"")</f>
        <v>0.00656235504821049</v>
      </c>
      <c r="BX134" s="190">
        <f>IF(AND(ISNUMBER(BX162),ISNUMBER(BX138)),IFERROR(BX162/BX138,""),"")</f>
        <v>0.0085406093930565</v>
      </c>
      <c r="BY134" s="179">
        <f>IF(AND(ISNUMBER(BY162),ISNUMBER(BY138)),IFERROR(BY162/BY138,""),"")</f>
        <v>0.00730185005681126</v>
      </c>
      <c r="BZ134" s="179">
        <f>IF(AND(ISNUMBER(BZ162),ISNUMBER(BZ138)),IFERROR(BZ162/BZ138,""),"")</f>
        <v>0.00747233288638826</v>
      </c>
      <c r="CA134" s="179">
        <f>IF(AND(ISNUMBER(CA162),ISNUMBER(CA138)),IFERROR(CA162/CA138,""),"")</f>
        <v>0.0075075586513433</v>
      </c>
      <c r="CB134" s="179">
        <f>0.0075</f>
        <v>0.0075</v>
      </c>
      <c r="CC134" s="179">
        <f>0.0075</f>
        <v>0.0075</v>
      </c>
      <c r="CD134" s="179">
        <f>0.0075</f>
        <v>0.0075</v>
      </c>
      <c r="CE134" s="179">
        <f>0.0075</f>
        <v>0.0075</v>
      </c>
      <c r="CF134" s="20" t="inlineStr">
        <is>
          <t>2027E+: 0.75% input (FY26 guidance $48–51m ≈ 0.75%).</t>
        </is>
      </c>
    </row>
    <row r="135" hidden="1" outlineLevel="2" ht="15" customHeight="1">
      <c r="B135" s="26" t="inlineStr">
        <is>
          <t xml:space="preserve">  Accretion of environmental liabilities % of revenues</t>
        </is>
      </c>
      <c r="C135" s="190">
        <f>IF(AND(ISNUMBER(C144),ISNUMBER(C138)),IFERROR(C144/C138,""),"")</f>
        <v>0.0123160871959692</v>
      </c>
      <c r="D135" s="190">
        <f>IF(AND(ISNUMBER(D144),ISNUMBER(D138)),IFERROR(D144/D138,""),"")</f>
        <v>0.0110326459446815</v>
      </c>
      <c r="E135" s="190">
        <f>IF(AND(ISNUMBER(E144),ISNUMBER(E138)),IFERROR(E144/E138,""),"")</f>
        <v>0.0104548986963393</v>
      </c>
      <c r="F135" s="190">
        <f>IF(AND(ISNUMBER(F144),ISNUMBER(F138)),IFERROR(F144/F138,""),"")</f>
        <v>0.00988345031743963</v>
      </c>
      <c r="G135" s="190">
        <f>IF(AND(ISNUMBER(G144),ISNUMBER(G138)),IFERROR(G144/G138,""),"")</f>
        <v>0.00595352243820051</v>
      </c>
      <c r="H135" s="190">
        <f>IF(AND(ISNUMBER(H144),ISNUMBER(H138)),IFERROR(H144/H138,""),"")</f>
        <v>0.00487869783119706</v>
      </c>
      <c r="I135" s="190">
        <f>IF(AND(ISNUMBER(I144),ISNUMBER(I138)),IFERROR(I144/I138,""),"")</f>
        <v>0.0045326403121155</v>
      </c>
      <c r="J135" s="190">
        <f>IF(AND(ISNUMBER(J144),ISNUMBER(J138)),IFERROR(J144/J138,""),"")</f>
        <v>0.00328824131863696</v>
      </c>
      <c r="K135" s="190">
        <f>IF(AND(ISNUMBER(K144),ISNUMBER(K138)),IFERROR(K144/K138,""),"")</f>
        <v>0.00334562036331183</v>
      </c>
      <c r="L135" s="190">
        <f>IF(AND(ISNUMBER(L144),ISNUMBER(L138)),IFERROR(L144/L138,""),"")</f>
        <v>0.0032108954475585</v>
      </c>
      <c r="M135" s="190">
        <f>IF(AND(ISNUMBER(M144),ISNUMBER(M138)),IFERROR(M144/M138,""),"")</f>
        <v>0.0033123727869188</v>
      </c>
      <c r="N135" s="190">
        <f>IF(AND(ISNUMBER(N144),ISNUMBER(N138)),IFERROR(N144/N138,""),"")</f>
        <v>0.0032883564657049</v>
      </c>
      <c r="O135" s="190">
        <f>IF(AND(ISNUMBER(O144),ISNUMBER(O138)),IFERROR(O144/O138,""),"")</f>
        <v>0.00321732156798364</v>
      </c>
      <c r="P135" s="190">
        <f>IF(AND(ISNUMBER(P144),ISNUMBER(P138)),IFERROR(P144/P138,""),"")</f>
        <v>0.00303909234926847</v>
      </c>
      <c r="Q135" s="190">
        <f>IF(AND(ISNUMBER(Q144),ISNUMBER(Q138)),IFERROR(Q144/Q138,""),"")</f>
        <v>0.00310288737646292</v>
      </c>
      <c r="R135" s="190">
        <f>IF(AND(ISNUMBER(R144),ISNUMBER(R138)),IFERROR(R144/R138,""),"")</f>
        <v>0.00312062142613701</v>
      </c>
      <c r="S135" s="190">
        <f>IF(AND(ISNUMBER(S144),ISNUMBER(S138)),IFERROR(S144/S138,""),"")</f>
        <v>0.00311967535621095</v>
      </c>
      <c r="T135" s="190">
        <f>IF(AND(ISNUMBER(T144),ISNUMBER(T138)),IFERROR(T144/T138,""),"")</f>
        <v>0.00357543150229557</v>
      </c>
      <c r="U135" s="190">
        <f>IF(AND(ISNUMBER(U144),ISNUMBER(U138)),IFERROR(U144/U138,""),"")</f>
        <v>0.00277603318849682</v>
      </c>
      <c r="V135" s="190">
        <f>IF(AND(ISNUMBER(V144),ISNUMBER(V138)),IFERROR(V144/V138,""),"")</f>
        <v>0.00288459601104139</v>
      </c>
      <c r="W135" s="190">
        <f>IF(AND(ISNUMBER(W144),ISNUMBER(W138)),IFERROR(W144/W138,""),"")</f>
        <v>0.00365615586134937</v>
      </c>
      <c r="X135" s="190">
        <f>IF(AND(ISNUMBER(X144),ISNUMBER(X138)),IFERROR(X144/X138,""),"")</f>
        <v>0.00317605034537486</v>
      </c>
      <c r="Y135" s="190">
        <f>IF(AND(ISNUMBER(Y144),ISNUMBER(Y138)),IFERROR(Y144/Y138,""),"")</f>
        <v>0.0039381653023269</v>
      </c>
      <c r="Z135" s="190">
        <f>IF(AND(ISNUMBER(Z144),ISNUMBER(Z138)),IFERROR(Z144/Z138,""),"")</f>
        <v>0.00365299422230506</v>
      </c>
      <c r="AA135" s="190">
        <f>IF(AND(ISNUMBER(AA144),ISNUMBER(AA138)),IFERROR(AA144/AA138,""),"")</f>
        <v>0.00339401250137076</v>
      </c>
      <c r="AB135" s="190">
        <f>IF(AND(ISNUMBER(AB144),ISNUMBER(AB138)),IFERROR(AB144/AB138,""),"")</f>
        <v>0.00382596483522199</v>
      </c>
      <c r="AC135" s="190">
        <f>IF(AND(ISNUMBER(AC144),ISNUMBER(AC138)),IFERROR(AC144/AC138,""),"")</f>
        <v>0.00369370788458007</v>
      </c>
      <c r="AD135" s="190">
        <f>IF(AND(ISNUMBER(AD144),ISNUMBER(AD138)),IFERROR(AD144/AD138,""),"")</f>
        <v>0.0033239421082502</v>
      </c>
      <c r="AE135" s="190">
        <f>IF(AND(ISNUMBER(AE144),ISNUMBER(AE138)),IFERROR(AE144/AE138,""),"")</f>
        <v>0.00320940291290509</v>
      </c>
      <c r="AF135" s="190">
        <f>IF(AND(ISNUMBER(AF144),ISNUMBER(AF138)),IFERROR(AF144/AF138,""),"")</f>
        <v>0.00310512988095459</v>
      </c>
      <c r="AG135" s="190">
        <f>IF(AND(ISNUMBER(AG144),ISNUMBER(AG138)),IFERROR(AG144/AG138,""),"")</f>
        <v>0.00322048479869629</v>
      </c>
      <c r="AH135" s="190">
        <f>IF(AND(ISNUMBER(AH144),ISNUMBER(AH138)),IFERROR(AH144/AH138,""),"")</f>
        <v>0.00321224810507922</v>
      </c>
      <c r="AI135" s="190">
        <f>IF(AND(ISNUMBER(AI144),ISNUMBER(AI138)),IFERROR(AI144/AI138,""),"")</f>
        <v>0.00324095932395989</v>
      </c>
      <c r="AJ135" s="190">
        <f>IF(AND(ISNUMBER(AJ144),ISNUMBER(AJ138)),IFERROR(AJ144/AJ138,""),"")</f>
        <v>0.00288291683350213</v>
      </c>
      <c r="AK135" s="190">
        <f>IF(AND(ISNUMBER(AK144),ISNUMBER(AK138)),IFERROR(AK144/AK138,""),"")</f>
        <v>0.00290566319686995</v>
      </c>
      <c r="AL135" s="190">
        <f>IF(AND(ISNUMBER(AL144),ISNUMBER(AL138)),IFERROR(AL144/AL138,""),"")</f>
        <v>0.00288742536739517</v>
      </c>
      <c r="AM135" s="190">
        <f>IF(AND(ISNUMBER(AM144),ISNUMBER(AM138)),IFERROR(AM144/AM138,""),"")</f>
        <v>0.00297124233744599</v>
      </c>
      <c r="AN135" s="190">
        <f>IF(AND(ISNUMBER(AN144),ISNUMBER(AN138)),IFERROR(AN144/AN138,""),"")</f>
        <v>0.00329645419862481</v>
      </c>
      <c r="AO135" s="190">
        <f>IF(AND(ISNUMBER(AO144),ISNUMBER(AO138)),IFERROR(AO144/AO138,""),"")</f>
        <v>0.00294700683106974</v>
      </c>
      <c r="AP135" s="190">
        <f>IF(AND(ISNUMBER(AP144),ISNUMBER(AP138)),IFERROR(AP144/AP138,""),"")</f>
        <v>0.00279251918875635</v>
      </c>
      <c r="AQ135" s="190">
        <f>IF(AND(ISNUMBER(AQ144),ISNUMBER(AQ138)),IFERROR(AQ144/AQ138,""),"")</f>
        <v>0.00288402477597718</v>
      </c>
      <c r="AR135" s="190">
        <f>IF(AND(ISNUMBER(AR144),ISNUMBER(AR138)),IFERROR(AR144/AR138,""),"")</f>
        <v>0.00297052626026101</v>
      </c>
      <c r="AS135" s="190">
        <f>IF(AND(ISNUMBER(AS144),ISNUMBER(AS138)),IFERROR(AS144/AS138,""),"")</f>
        <v>0.00298289117979694</v>
      </c>
      <c r="AT135" s="190">
        <f>IF(AND(ISNUMBER(AT144),ISNUMBER(AT138)),IFERROR(AT144/AT138,""),"")</f>
        <v>0.00389577464788732</v>
      </c>
      <c r="AU135" s="190">
        <f>IF(AND(ISNUMBER(AU144),ISNUMBER(AU138)),IFERROR(AU144/AU138,""),"")</f>
        <v>0.0036209940668049</v>
      </c>
      <c r="AV135" s="190">
        <f>IF(AND(ISNUMBER(AV144),ISNUMBER(AV138)),IFERROR(AV144/AV138,""),"")</f>
        <v>0.00364485863926952</v>
      </c>
      <c r="AW135" s="190">
        <f>IF(AND(ISNUMBER(AW144),ISNUMBER(AW138)),IFERROR(AW144/AW138,""),"")</f>
        <v>0.00351484066808371</v>
      </c>
      <c r="AX135" s="190">
        <f>IF(AND(ISNUMBER(AX144),ISNUMBER(AX138)),IFERROR(AX144/AX138,""),"")</f>
        <v>0.00365403366710058</v>
      </c>
      <c r="AY135" s="190">
        <f>IF(AND(ISNUMBER(AY144),ISNUMBER(AY138)),IFERROR(AY144/AY138,""),"")</f>
        <v>0.00310105800802627</v>
      </c>
      <c r="AZ135" s="190">
        <f>IF(AND(ISNUMBER(AZ144),ISNUMBER(AZ138)),IFERROR(AZ144/AZ138,""),"")</f>
        <v>0.00294173597105138</v>
      </c>
      <c r="BA135" s="190">
        <f>IF(AND(ISNUMBER(BA144),ISNUMBER(BA138)),IFERROR(BA144/BA138,""),"")</f>
        <v>0.00278700576427827</v>
      </c>
      <c r="BB135" s="190">
        <f>IF(AND(ISNUMBER(BB144),ISNUMBER(BB138)),IFERROR(BB144/BB138,""),"")</f>
        <v>0.00308626890191893</v>
      </c>
      <c r="BC135" s="190">
        <f>IF(AND(ISNUMBER(BC144),ISNUMBER(BC138)),IFERROR(BC144/BC138,""),"")</f>
        <v>0.00269949166416476</v>
      </c>
      <c r="BD135" s="190">
        <f>IF(AND(ISNUMBER(BD144),ISNUMBER(BD138)),IFERROR(BD144/BD138,""),"")</f>
        <v>0.00235712726865205</v>
      </c>
      <c r="BE135" s="190">
        <f>IF(AND(ISNUMBER(BE144),ISNUMBER(BE138)),IFERROR(BE144/BE138,""),"")</f>
        <v>0.00238136111734696</v>
      </c>
      <c r="BF135" s="190">
        <f>IF(AND(ISNUMBER(BF144),ISNUMBER(BF138)),IFERROR(BF144/BF138,""),"")</f>
        <v>0.00261638778872982</v>
      </c>
      <c r="BG135" s="190">
        <f>IF(AND(ISNUMBER(BG144),ISNUMBER(BG138)),IFERROR(BG144/BG138,""),"")</f>
        <v>0.00250512667409256</v>
      </c>
      <c r="BH135" s="190">
        <f>IF(AND(ISNUMBER(BH144),ISNUMBER(BH138)),IFERROR(BH144/BH138,""),"")</f>
        <v>0.00260596135650729</v>
      </c>
      <c r="BI135" s="190">
        <f>IF(AND(ISNUMBER(BI144),ISNUMBER(BI138)),IFERROR(BI144/BI138,""),"")</f>
        <v>0.00249374061091637</v>
      </c>
      <c r="BJ135" s="190">
        <f>IF(AND(ISNUMBER(BJ144),ISNUMBER(BJ138)),IFERROR(BJ144/BJ138,""),"")</f>
        <v>0.00248078635362482</v>
      </c>
      <c r="BK135" s="190">
        <f>IF(AND(ISNUMBER(BK144),ISNUMBER(BK138)),IFERROR(BK144/BK138,""),"")</f>
        <v>0.00253032315051387</v>
      </c>
      <c r="BL135" s="190">
        <f>IF(AND(ISNUMBER(BL144),ISNUMBER(BL138)),IFERROR(BL144/BL138,""),"")</f>
        <v>0.00252664373269599</v>
      </c>
      <c r="BM135" s="190">
        <f>IF(AND(ISNUMBER(BM144),ISNUMBER(BM138)),IFERROR(BM144/BM138,""),"")</f>
        <v>0.00233675578105535</v>
      </c>
      <c r="BN135" s="190">
        <f>IF(AND(ISNUMBER(BN144),ISNUMBER(BN138)),IFERROR(BN144/BN138,""),"")</f>
        <v>0.0021278801895256</v>
      </c>
      <c r="BO135" s="190">
        <f>IF(AND(ISNUMBER(BO144),ISNUMBER(BO138)),IFERROR(BO144/BO138,""),"")</f>
        <v>0.0023655995532953</v>
      </c>
      <c r="BP135" s="190">
        <f>IF(AND(ISNUMBER(BP144),ISNUMBER(BP138)),IFERROR(BP144/BP138,""),"")</f>
        <v>0.00231777158525235</v>
      </c>
      <c r="BQ135" s="190">
        <f>IF(AND(ISNUMBER(BQ144),ISNUMBER(BQ138)),IFERROR(BQ144/BQ138,""),"")</f>
        <v>0.00228456870276702</v>
      </c>
      <c r="BR135" s="190">
        <f>IF(AND(ISNUMBER(BR144),ISNUMBER(BR138)),IFERROR(BR144/BR138,""),"")</f>
        <v>0.00252802122979154</v>
      </c>
      <c r="BS135" s="190">
        <f>IF(AND(ISNUMBER(BS144),ISNUMBER(BS138)),IFERROR(BS144/BS138,""),"")</f>
        <v>0.00231699243928783</v>
      </c>
      <c r="BT135" s="190">
        <f>IF(AND(ISNUMBER(BT144),ISNUMBER(BT138)),IFERROR(BT144/BT138,""),"")</f>
        <v>0.00225838536096408</v>
      </c>
      <c r="BU135" s="190">
        <f>IF(AND(ISNUMBER(BU144),ISNUMBER(BU138)),IFERROR(BU144/BU138,""),"")</f>
        <v>0.0024111553274797</v>
      </c>
      <c r="BV135" s="190">
        <f>IF(AND(ISNUMBER(BV144),ISNUMBER(BV138)),IFERROR(BV144/BV138,""),"")</f>
        <v>0.00237545800027426</v>
      </c>
      <c r="BW135" s="190">
        <f>IF(AND(ISNUMBER(BW144),ISNUMBER(BW138)),IFERROR(BW144/BW138,""),"")</f>
        <v>0.0024267969911006</v>
      </c>
      <c r="BX135" s="190">
        <f>IF(AND(ISNUMBER(BX144),ISNUMBER(BX138)),IFERROR(BX144/BX138,""),"")</f>
        <v>0.00201843798721041</v>
      </c>
      <c r="BY135" s="179">
        <f>IF(AND(ISNUMBER(BY144),ISNUMBER(BY138)),IFERROR(BY144/BY138,""),"")</f>
        <v>0.00245954605164102</v>
      </c>
      <c r="BZ135" s="179">
        <f>IF(AND(ISNUMBER(BZ144),ISNUMBER(BZ138)),IFERROR(BZ144/BZ138,""),"")</f>
        <v>0.00251697127498802</v>
      </c>
      <c r="CA135" s="179">
        <f>IF(AND(ISNUMBER(CA144),ISNUMBER(CA138)),IFERROR(CA144/CA138,""),"")</f>
        <v>0.00235085169890548</v>
      </c>
      <c r="CB135" s="179">
        <f>0.0023</f>
        <v>0.0023</v>
      </c>
      <c r="CC135" s="179">
        <f>0.0023</f>
        <v>0.0023</v>
      </c>
      <c r="CD135" s="179">
        <f>0.0023</f>
        <v>0.0023</v>
      </c>
      <c r="CE135" s="179">
        <f>0.0023</f>
        <v>0.0023</v>
      </c>
      <c r="CF135" s="20" t="n"/>
    </row>
    <row r="136" hidden="1" outlineLevel="2" ht="15" customHeight="1"/>
    <row r="137" hidden="1" outlineLevel="2" ht="15" customHeight="1">
      <c r="B137" s="11" t="inlineStr">
        <is>
          <t>CONSOLIDATED STATEMENT OF OPERATIONS (US GAAP as reported)</t>
        </is>
      </c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  <c r="AP137" s="11" t="n"/>
      <c r="AQ137" s="11" t="n"/>
      <c r="AR137" s="11" t="n"/>
      <c r="AS137" s="11" t="n"/>
      <c r="AT137" s="11" t="n"/>
      <c r="AU137" s="11" t="n"/>
      <c r="AV137" s="11" t="n"/>
      <c r="AW137" s="11" t="n"/>
      <c r="AX137" s="11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  <c r="BK137" s="11" t="n"/>
      <c r="BL137" s="11" t="n"/>
      <c r="BM137" s="11" t="n"/>
      <c r="BN137" s="11" t="n"/>
      <c r="BO137" s="11" t="n"/>
      <c r="BP137" s="11" t="n"/>
      <c r="BQ137" s="11" t="n"/>
      <c r="BR137" s="11" t="n"/>
      <c r="BS137" s="11" t="n"/>
      <c r="BT137" s="11" t="n"/>
      <c r="BU137" s="11" t="n"/>
      <c r="BV137" s="11" t="n"/>
      <c r="BW137" s="11" t="n"/>
      <c r="BX137" s="11" t="n"/>
      <c r="BY137" s="11" t="n"/>
      <c r="BZ137" s="11" t="n"/>
      <c r="CA137" s="11" t="n"/>
      <c r="CB137" s="11" t="n"/>
      <c r="CC137" s="11" t="n"/>
      <c r="CD137" s="11" t="n"/>
      <c r="CE137" s="11" t="n"/>
      <c r="CF137" s="11" t="inlineStr">
        <is>
          <t>CONSOLIDATED IS — forecast logic</t>
        </is>
      </c>
    </row>
    <row r="138" hidden="1" outlineLevel="2" ht="15" customHeight="1">
      <c r="B138" s="209" t="inlineStr">
        <is>
          <t>Total revenues</t>
        </is>
      </c>
      <c r="C138" s="213" t="n">
        <v>829.809</v>
      </c>
      <c r="D138" s="213" t="n">
        <v>946.917</v>
      </c>
      <c r="E138" s="213" t="n">
        <v>1030.713</v>
      </c>
      <c r="F138" s="213" t="n">
        <v>1074.22</v>
      </c>
      <c r="G138" s="213" t="n">
        <v>1731.244</v>
      </c>
      <c r="H138" s="213" t="n">
        <v>1984.136</v>
      </c>
      <c r="I138" s="213" t="n">
        <v>2187.908</v>
      </c>
      <c r="J138" s="213" t="n">
        <v>862.163</v>
      </c>
      <c r="K138" s="213" t="n">
        <v>860.528</v>
      </c>
      <c r="L138" s="213" t="n">
        <v>907.535</v>
      </c>
      <c r="M138" s="213" t="n">
        <v>879.4299999999999</v>
      </c>
      <c r="N138" s="213" t="n">
        <v>3509.656</v>
      </c>
      <c r="O138" s="213" t="n">
        <v>846.667</v>
      </c>
      <c r="P138" s="213" t="n">
        <v>858.48</v>
      </c>
      <c r="Q138" s="213" t="n">
        <v>851.465</v>
      </c>
      <c r="R138" s="213" t="n">
        <v>845.024</v>
      </c>
      <c r="S138" s="213" t="n">
        <v>3401.636</v>
      </c>
      <c r="T138" s="213" t="n">
        <v>732.499</v>
      </c>
      <c r="U138" s="213" t="n">
        <v>936.228</v>
      </c>
      <c r="V138" s="213" t="n">
        <v>893.366</v>
      </c>
      <c r="W138" s="213" t="n">
        <v>713.044</v>
      </c>
      <c r="X138" s="213" t="n">
        <v>3275.137</v>
      </c>
      <c r="Y138" s="213" t="n">
        <v>636.083</v>
      </c>
      <c r="Z138" s="213" t="n">
        <v>697.51</v>
      </c>
      <c r="AA138" s="213" t="n">
        <v>729.52</v>
      </c>
      <c r="AB138" s="213" t="n">
        <v>692.1130000000001</v>
      </c>
      <c r="AC138" s="213" t="n">
        <v>2755.226</v>
      </c>
      <c r="AD138" s="213" t="n">
        <v>688.941</v>
      </c>
      <c r="AE138" s="213" t="n">
        <v>752.788</v>
      </c>
      <c r="AF138" s="213" t="n">
        <v>755.846</v>
      </c>
      <c r="AG138" s="213" t="n">
        <v>747.403</v>
      </c>
      <c r="AH138" s="213" t="n">
        <v>2944.978</v>
      </c>
      <c r="AI138" s="213" t="n">
        <v>749.778</v>
      </c>
      <c r="AJ138" s="213" t="n">
        <v>849.14</v>
      </c>
      <c r="AK138" s="213" t="n">
        <v>843.181</v>
      </c>
      <c r="AL138" s="213" t="n">
        <v>858.204</v>
      </c>
      <c r="AM138" s="213" t="n">
        <v>3300.303</v>
      </c>
      <c r="AN138" s="213" t="n">
        <v>780.8390000000001</v>
      </c>
      <c r="AO138" s="213" t="n">
        <v>868.678</v>
      </c>
      <c r="AP138" s="213" t="n">
        <v>891.668</v>
      </c>
      <c r="AQ138" s="213" t="n">
        <v>871.005</v>
      </c>
      <c r="AR138" s="213" t="n">
        <v>3412.19</v>
      </c>
      <c r="AS138" s="213" t="n">
        <v>858.563</v>
      </c>
      <c r="AT138" s="213" t="n">
        <v>710</v>
      </c>
      <c r="AU138" s="213" t="n">
        <v>779.3440000000001</v>
      </c>
      <c r="AV138" s="213" t="n">
        <v>796.1900000000001</v>
      </c>
      <c r="AW138" s="213" t="n">
        <v>3144.097</v>
      </c>
      <c r="AX138" s="213" t="n">
        <v>808.148</v>
      </c>
      <c r="AY138" s="213" t="n">
        <v>926.458</v>
      </c>
      <c r="AZ138" s="213" t="n">
        <v>951.479</v>
      </c>
      <c r="BA138" s="213" t="n">
        <v>1119.481</v>
      </c>
      <c r="BB138" s="213" t="n">
        <v>3805.566</v>
      </c>
      <c r="BC138" s="213" t="n">
        <v>1169.109</v>
      </c>
      <c r="BD138" s="213" t="n">
        <v>1356.312</v>
      </c>
      <c r="BE138" s="213" t="n">
        <v>1363.086</v>
      </c>
      <c r="BF138" s="213" t="n">
        <v>1278.098</v>
      </c>
      <c r="BG138" s="213" t="n">
        <v>5166.605</v>
      </c>
      <c r="BH138" s="213" t="n">
        <v>1307.387</v>
      </c>
      <c r="BI138" s="213" t="n">
        <v>1397.9</v>
      </c>
      <c r="BJ138" s="213" t="n">
        <v>1365.696</v>
      </c>
      <c r="BK138" s="213" t="n">
        <v>1338.169</v>
      </c>
      <c r="BL138" s="213" t="n">
        <v>5409.152</v>
      </c>
      <c r="BM138" s="213" t="n">
        <v>1376.695</v>
      </c>
      <c r="BN138" s="213" t="n">
        <v>1552.719</v>
      </c>
      <c r="BO138" s="213" t="n">
        <v>1529.422</v>
      </c>
      <c r="BP138" s="213" t="n">
        <v>1431.116</v>
      </c>
      <c r="BQ138" s="213" t="n">
        <v>5889.952</v>
      </c>
      <c r="BR138" s="213" t="n">
        <v>1431.95</v>
      </c>
      <c r="BS138" s="213" t="n">
        <v>1549.854</v>
      </c>
      <c r="BT138" s="213" t="n">
        <v>1549.337</v>
      </c>
      <c r="BU138" s="213" t="n">
        <v>1499.696</v>
      </c>
      <c r="BV138" s="213" t="n">
        <v>6030.837</v>
      </c>
      <c r="BW138" s="213" t="n">
        <v>1459.537</v>
      </c>
      <c r="BX138" s="213" t="n">
        <v>1735.005</v>
      </c>
      <c r="BY138" s="210">
        <f>BY92</f>
        <v>1719.01640027397</v>
      </c>
      <c r="BZ138" s="210">
        <f>BZ92</f>
        <v>1679.79668342466</v>
      </c>
      <c r="CA138" s="210">
        <f>CA92</f>
        <v>6593.35508369863</v>
      </c>
      <c r="CB138" s="210">
        <f>CB92</f>
        <v>7277.40481160497</v>
      </c>
      <c r="CC138" s="210">
        <f>CC92</f>
        <v>7876.51163238994</v>
      </c>
      <c r="CD138" s="210">
        <f>CD92</f>
        <v>8483.26940533391</v>
      </c>
      <c r="CE138" s="210">
        <f>CE92</f>
        <v>9109.88916028172</v>
      </c>
      <c r="CF138" s="20" t="inlineStr">
        <is>
          <t>Forecast linked to the segment build.</t>
        </is>
      </c>
      <c r="CH138" s="21">
        <f>IFERROR((CE138/BV138)^(1/5)-1,"n/m")</f>
        <v>0.0859931864017398</v>
      </c>
      <c r="CI138" s="21">
        <f>IFERROR((BV138/AW138)^(1/5)-1,"n/m")</f>
        <v>0.139137977304301</v>
      </c>
      <c r="CJ138" s="21">
        <f>IFERROR((BV138/X138)^(1/10)-1,"n/m")</f>
        <v>0.0629548354932021</v>
      </c>
      <c r="CK138" s="21">
        <f>IFERROR((BV138/C138)^(1/19)-1,"n/m")</f>
        <v>0.110035359383654</v>
      </c>
    </row>
    <row r="139" hidden="1" outlineLevel="2" ht="15" customHeight="1">
      <c r="B139" s="26" t="inlineStr">
        <is>
          <t xml:space="preserve">  of which: service revenues</t>
        </is>
      </c>
      <c r="C139" s="184" t="n"/>
      <c r="D139" s="184" t="n"/>
      <c r="E139" s="184" t="n"/>
      <c r="F139" s="184" t="n"/>
      <c r="G139" s="184" t="n"/>
      <c r="H139" s="184" t="n"/>
      <c r="I139" s="184" t="n"/>
      <c r="J139" s="185" t="n">
        <v>672.622</v>
      </c>
      <c r="K139" s="185" t="n">
        <v>673.872</v>
      </c>
      <c r="L139" s="185" t="n">
        <v>702.033</v>
      </c>
      <c r="M139" s="185" t="n">
        <v>680.678</v>
      </c>
      <c r="N139" s="185" t="n">
        <v>2729.205</v>
      </c>
      <c r="O139" s="185" t="n">
        <v>660.095</v>
      </c>
      <c r="P139" s="185" t="n">
        <v>665.275</v>
      </c>
      <c r="Q139" s="185" t="n">
        <v>657.221</v>
      </c>
      <c r="R139" s="185" t="n">
        <v>657.205</v>
      </c>
      <c r="S139" s="185" t="n">
        <v>2639.796</v>
      </c>
      <c r="T139" s="185" t="n">
        <v>596.33</v>
      </c>
      <c r="U139" s="185" t="n">
        <v>801.347</v>
      </c>
      <c r="V139" s="185" t="n">
        <v>760.667</v>
      </c>
      <c r="W139" s="185" t="n">
        <v>585.928</v>
      </c>
      <c r="X139" s="185" t="n">
        <v>2744.272</v>
      </c>
      <c r="Y139" s="185" t="n">
        <v>530.231</v>
      </c>
      <c r="Z139" s="185" t="n">
        <v>584.562</v>
      </c>
      <c r="AA139" s="185" t="n">
        <v>594.225</v>
      </c>
      <c r="AB139" s="185" t="n">
        <v>571.7910000000001</v>
      </c>
      <c r="AC139" s="185" t="n">
        <v>2280.809</v>
      </c>
      <c r="AD139" s="185" t="n">
        <v>560.2140000000001</v>
      </c>
      <c r="AE139" s="185" t="n">
        <v>610.9400000000001</v>
      </c>
      <c r="AF139" s="185" t="n">
        <v>612.352</v>
      </c>
      <c r="AG139" s="185" t="n">
        <v>615.144</v>
      </c>
      <c r="AH139" s="185" t="n">
        <v>2398.65</v>
      </c>
      <c r="AI139" s="185" t="n">
        <v>619.7190000000001</v>
      </c>
      <c r="AJ139" s="185" t="n">
        <v>696.779</v>
      </c>
      <c r="AK139" s="185" t="n">
        <v>685.183</v>
      </c>
      <c r="AL139" s="185" t="n">
        <v>707.558</v>
      </c>
      <c r="AM139" s="185" t="n">
        <v>2709.239</v>
      </c>
      <c r="AN139" s="185" t="n">
        <v>656.658</v>
      </c>
      <c r="AO139" s="185" t="n">
        <v>715.085</v>
      </c>
      <c r="AP139" s="185" t="n">
        <v>739.919</v>
      </c>
      <c r="AQ139" s="185" t="n">
        <v>731.2190000000001</v>
      </c>
      <c r="AR139" s="185" t="n">
        <v>2842.881</v>
      </c>
      <c r="AS139" s="185" t="n">
        <v>719.867</v>
      </c>
      <c r="AT139" s="185" t="n">
        <v>637.8390000000001</v>
      </c>
      <c r="AU139" s="185" t="n">
        <v>681.306</v>
      </c>
      <c r="AV139" s="185" t="n">
        <v>685.572</v>
      </c>
      <c r="AW139" s="185" t="n">
        <v>2724.584</v>
      </c>
      <c r="AX139" s="185" t="n">
        <v>662.708</v>
      </c>
      <c r="AY139" s="185" t="n">
        <v>734.563</v>
      </c>
      <c r="AZ139" s="185" t="n">
        <v>744.549</v>
      </c>
      <c r="BA139" s="185" t="n">
        <v>906.199</v>
      </c>
      <c r="BB139" s="185" t="n">
        <v>3048.019</v>
      </c>
      <c r="BC139" s="185" t="n">
        <v>942.061</v>
      </c>
      <c r="BD139" s="185" t="n">
        <v>1085.043</v>
      </c>
      <c r="BE139" s="185" t="n">
        <v>1073.81</v>
      </c>
      <c r="BF139" s="185" t="n">
        <v>1032.27</v>
      </c>
      <c r="BG139" s="185" t="n">
        <v>4133.184</v>
      </c>
      <c r="BH139" s="185" t="n">
        <v>1053.233</v>
      </c>
      <c r="BI139" s="185" t="n">
        <v>1159.09</v>
      </c>
      <c r="BJ139" s="185" t="n">
        <v>1129.216</v>
      </c>
      <c r="BK139" s="185" t="n">
        <v>1108.003</v>
      </c>
      <c r="BL139" s="185" t="n">
        <v>4449.542</v>
      </c>
      <c r="BM139" s="185" t="n">
        <v>1151.858</v>
      </c>
      <c r="BN139" s="185" t="n">
        <v>1288.37</v>
      </c>
      <c r="BO139" s="185" t="n">
        <v>1278.955</v>
      </c>
      <c r="BP139" s="185" t="n">
        <v>1208.84</v>
      </c>
      <c r="BQ139" s="185" t="n">
        <v>4928.023</v>
      </c>
      <c r="BR139" s="185" t="n">
        <v>1201.454</v>
      </c>
      <c r="BS139" s="185" t="n">
        <v>1336.948</v>
      </c>
      <c r="BT139" s="185" t="n">
        <v>1321.865</v>
      </c>
      <c r="BU139" s="185" t="n">
        <v>1294.401</v>
      </c>
      <c r="BV139" s="185" t="n">
        <v>5154.668</v>
      </c>
      <c r="BW139" s="185" t="n">
        <v>1247.434</v>
      </c>
      <c r="BX139" s="185" t="n">
        <v>1432.855</v>
      </c>
      <c r="BY139" s="168" t="n"/>
      <c r="BZ139" s="168" t="n"/>
      <c r="CA139" s="168" t="n"/>
      <c r="CB139" s="168" t="n"/>
      <c r="CC139" s="168" t="n"/>
      <c r="CD139" s="168" t="n"/>
      <c r="CE139" s="168" t="n"/>
      <c r="CF139" s="20" t="n"/>
    </row>
    <row r="140" hidden="1" outlineLevel="2" ht="15" customHeight="1">
      <c r="B140" s="26" t="inlineStr">
        <is>
          <t xml:space="preserve">  of which: product revenues (re-refined base &amp; blended oil, other products; from 2013)</t>
        </is>
      </c>
      <c r="C140" s="184" t="n"/>
      <c r="D140" s="184" t="n"/>
      <c r="E140" s="184" t="n"/>
      <c r="F140" s="184" t="n"/>
      <c r="G140" s="184" t="n"/>
      <c r="H140" s="184" t="n"/>
      <c r="I140" s="184" t="n"/>
      <c r="J140" s="185" t="n">
        <v>189.541</v>
      </c>
      <c r="K140" s="185" t="n">
        <v>186.656</v>
      </c>
      <c r="L140" s="185" t="n">
        <v>205.502</v>
      </c>
      <c r="M140" s="185" t="n">
        <v>198.752</v>
      </c>
      <c r="N140" s="185" t="n">
        <v>780.451</v>
      </c>
      <c r="O140" s="185" t="n">
        <v>186.572</v>
      </c>
      <c r="P140" s="185" t="n">
        <v>193.205</v>
      </c>
      <c r="Q140" s="185" t="n">
        <v>194.244</v>
      </c>
      <c r="R140" s="185" t="n">
        <v>187.819</v>
      </c>
      <c r="S140" s="185" t="n">
        <v>761.84</v>
      </c>
      <c r="T140" s="185" t="n">
        <v>136.169</v>
      </c>
      <c r="U140" s="185" t="n">
        <v>134.881</v>
      </c>
      <c r="V140" s="185" t="n">
        <v>132.699</v>
      </c>
      <c r="W140" s="185" t="n">
        <v>127.116</v>
      </c>
      <c r="X140" s="185" t="n">
        <v>530.865</v>
      </c>
      <c r="Y140" s="185" t="n">
        <v>105.852</v>
      </c>
      <c r="Z140" s="185" t="n">
        <v>112.948</v>
      </c>
      <c r="AA140" s="185" t="n">
        <v>135.295</v>
      </c>
      <c r="AB140" s="185" t="n">
        <v>120.322</v>
      </c>
      <c r="AC140" s="185" t="n">
        <v>474.417</v>
      </c>
      <c r="AD140" s="185" t="n">
        <v>128.727</v>
      </c>
      <c r="AE140" s="185" t="n">
        <v>141.848</v>
      </c>
      <c r="AF140" s="185" t="n">
        <v>143.494</v>
      </c>
      <c r="AG140" s="185" t="n">
        <v>132.259</v>
      </c>
      <c r="AH140" s="185" t="n">
        <v>546.328</v>
      </c>
      <c r="AI140" s="185" t="n">
        <v>130.059</v>
      </c>
      <c r="AJ140" s="185" t="n">
        <v>152.361</v>
      </c>
      <c r="AK140" s="185" t="n">
        <v>157.998</v>
      </c>
      <c r="AL140" s="185" t="n">
        <v>150.646</v>
      </c>
      <c r="AM140" s="185" t="n">
        <v>591.064</v>
      </c>
      <c r="AN140" s="185" t="n">
        <v>124.181</v>
      </c>
      <c r="AO140" s="185" t="n">
        <v>153.593</v>
      </c>
      <c r="AP140" s="185" t="n">
        <v>151.749</v>
      </c>
      <c r="AQ140" s="185" t="n">
        <v>139.786</v>
      </c>
      <c r="AR140" s="185" t="n">
        <v>569.309</v>
      </c>
      <c r="AS140" s="185" t="n">
        <v>138.696</v>
      </c>
      <c r="AT140" s="185" t="n">
        <v>72.161</v>
      </c>
      <c r="AU140" s="185" t="n">
        <v>98.038</v>
      </c>
      <c r="AV140" s="185" t="n">
        <v>110.618</v>
      </c>
      <c r="AW140" s="185" t="n">
        <v>419.513</v>
      </c>
      <c r="AX140" s="185" t="n">
        <v>145.44</v>
      </c>
      <c r="AY140" s="185" t="n">
        <v>191.895</v>
      </c>
      <c r="AZ140" s="185" t="n">
        <v>206.93</v>
      </c>
      <c r="BA140" s="185" t="n">
        <v>213.282</v>
      </c>
      <c r="BB140" s="185" t="n">
        <v>757.547</v>
      </c>
      <c r="BC140" s="185" t="n">
        <v>227.048</v>
      </c>
      <c r="BD140" s="185" t="n">
        <v>271.269</v>
      </c>
      <c r="BE140" s="185" t="n">
        <v>289.276</v>
      </c>
      <c r="BF140" s="185" t="n">
        <v>245.828</v>
      </c>
      <c r="BG140" s="185" t="n">
        <v>1033.421</v>
      </c>
      <c r="BH140" s="185" t="n">
        <v>254.154</v>
      </c>
      <c r="BI140" s="185" t="n">
        <v>238.81</v>
      </c>
      <c r="BJ140" s="185" t="n">
        <v>236.48</v>
      </c>
      <c r="BK140" s="185" t="n">
        <v>230.166</v>
      </c>
      <c r="BL140" s="185" t="n">
        <v>959.61</v>
      </c>
      <c r="BM140" s="185" t="n">
        <v>224.837</v>
      </c>
      <c r="BN140" s="185" t="n">
        <v>264.349</v>
      </c>
      <c r="BO140" s="185" t="n">
        <v>250.467</v>
      </c>
      <c r="BP140" s="185" t="n">
        <v>222.276</v>
      </c>
      <c r="BQ140" s="185" t="n">
        <v>961.929</v>
      </c>
      <c r="BR140" s="185" t="n">
        <v>230.496</v>
      </c>
      <c r="BS140" s="185" t="n">
        <v>212.906</v>
      </c>
      <c r="BT140" s="185" t="n">
        <v>227.472</v>
      </c>
      <c r="BU140" s="185" t="n">
        <v>205.295</v>
      </c>
      <c r="BV140" s="185" t="n">
        <v>876.169</v>
      </c>
      <c r="BW140" s="185" t="n">
        <v>212.103</v>
      </c>
      <c r="BX140" s="185" t="n">
        <v>302.15</v>
      </c>
      <c r="BY140" s="168" t="n"/>
      <c r="BZ140" s="168" t="n"/>
      <c r="CA140" s="168" t="n"/>
      <c r="CB140" s="168" t="n"/>
      <c r="CC140" s="168" t="n"/>
      <c r="CD140" s="168" t="n"/>
      <c r="CE140" s="168" t="n"/>
      <c r="CF140" s="20" t="n"/>
    </row>
    <row r="141" hidden="1" outlineLevel="2" ht="15" customHeight="1">
      <c r="B141" s="26" t="inlineStr">
        <is>
          <t>Cost of revenues (exclusive of D&amp;A shown separately)</t>
        </is>
      </c>
      <c r="C141" s="185" t="n">
        <v>584.835</v>
      </c>
      <c r="D141" s="185" t="n">
        <v>664.4400000000001</v>
      </c>
      <c r="E141" s="185" t="n">
        <v>707.8200000000001</v>
      </c>
      <c r="F141" s="185" t="n">
        <v>753.4829999999999</v>
      </c>
      <c r="G141" s="185" t="n">
        <v>1210.74</v>
      </c>
      <c r="H141" s="185" t="n">
        <v>1379.991</v>
      </c>
      <c r="I141" s="185" t="n">
        <v>1540.621</v>
      </c>
      <c r="J141" s="185" t="n">
        <v>636.024</v>
      </c>
      <c r="K141" s="185" t="n">
        <v>614.326</v>
      </c>
      <c r="L141" s="185" t="n">
        <v>647.119</v>
      </c>
      <c r="M141" s="185" t="n">
        <v>645.164</v>
      </c>
      <c r="N141" s="185" t="n">
        <v>2542.633</v>
      </c>
      <c r="O141" s="185" t="n">
        <v>625.7190000000001</v>
      </c>
      <c r="P141" s="185" t="n">
        <v>606.95</v>
      </c>
      <c r="Q141" s="185" t="n">
        <v>598.407</v>
      </c>
      <c r="R141" s="185" t="n">
        <v>610.72</v>
      </c>
      <c r="S141" s="185" t="n">
        <v>2441.796</v>
      </c>
      <c r="T141" s="185" t="n">
        <v>546.5069999999999</v>
      </c>
      <c r="U141" s="185" t="n">
        <v>652.688</v>
      </c>
      <c r="V141" s="185" t="n">
        <v>634.646</v>
      </c>
      <c r="W141" s="185" t="n">
        <v>522.965</v>
      </c>
      <c r="X141" s="185" t="n">
        <v>2356.806</v>
      </c>
      <c r="Y141" s="185" t="n">
        <v>464.279</v>
      </c>
      <c r="Z141" s="185" t="n">
        <v>480.002</v>
      </c>
      <c r="AA141" s="185" t="n">
        <v>491.915</v>
      </c>
      <c r="AB141" s="185" t="n">
        <v>496.661</v>
      </c>
      <c r="AC141" s="185" t="n">
        <v>1932.857</v>
      </c>
      <c r="AD141" s="185" t="n">
        <v>496.585</v>
      </c>
      <c r="AE141" s="185" t="n">
        <v>519.803</v>
      </c>
      <c r="AF141" s="185" t="n">
        <v>519.595</v>
      </c>
      <c r="AG141" s="185" t="n">
        <v>526.6900000000001</v>
      </c>
      <c r="AH141" s="185" t="n">
        <v>2062.673</v>
      </c>
      <c r="AI141" s="185" t="n">
        <v>546.425</v>
      </c>
      <c r="AJ141" s="185" t="n">
        <v>583.5839999999999</v>
      </c>
      <c r="AK141" s="185" t="n">
        <v>580.6849999999999</v>
      </c>
      <c r="AL141" s="185" t="n">
        <v>594.857</v>
      </c>
      <c r="AM141" s="185" t="n">
        <v>2305.551</v>
      </c>
      <c r="AN141" s="185" t="n">
        <v>564.364</v>
      </c>
      <c r="AO141" s="185" t="n">
        <v>594.933</v>
      </c>
      <c r="AP141" s="185" t="n">
        <v>612.754</v>
      </c>
      <c r="AQ141" s="185" t="n">
        <v>615.768</v>
      </c>
      <c r="AR141" s="185" t="n">
        <v>2387.819</v>
      </c>
      <c r="AS141" s="185" t="n">
        <v>606.6660000000001</v>
      </c>
      <c r="AT141" s="185" t="n">
        <v>470.681</v>
      </c>
      <c r="AU141" s="185" t="n">
        <v>511.629</v>
      </c>
      <c r="AV141" s="185" t="n">
        <v>548.775</v>
      </c>
      <c r="AW141" s="185" t="n">
        <v>2137.751</v>
      </c>
      <c r="AX141" s="185" t="n">
        <v>560.5359999999999</v>
      </c>
      <c r="AY141" s="185" t="n">
        <v>617.886</v>
      </c>
      <c r="AZ141" s="185" t="n">
        <v>639.232</v>
      </c>
      <c r="BA141" s="185" t="n">
        <v>792.183</v>
      </c>
      <c r="BB141" s="185" t="n">
        <v>2609.837</v>
      </c>
      <c r="BC141" s="185" t="n">
        <v>843.389</v>
      </c>
      <c r="BD141" s="185" t="n">
        <v>898.4690000000001</v>
      </c>
      <c r="BE141" s="185" t="n">
        <v>910.648</v>
      </c>
      <c r="BF141" s="185" t="n">
        <v>891.424</v>
      </c>
      <c r="BG141" s="185" t="n">
        <v>3543.93</v>
      </c>
      <c r="BH141" s="185" t="n">
        <v>931.514</v>
      </c>
      <c r="BI141" s="185" t="n">
        <v>947.5119999999999</v>
      </c>
      <c r="BJ141" s="185" t="n">
        <v>943.951</v>
      </c>
      <c r="BK141" s="185" t="n">
        <v>923.147</v>
      </c>
      <c r="BL141" s="185" t="n">
        <v>3746.124</v>
      </c>
      <c r="BM141" s="185" t="n">
        <v>971.0700000000001</v>
      </c>
      <c r="BN141" s="185" t="n">
        <v>1035.542</v>
      </c>
      <c r="BO141" s="185" t="n">
        <v>1055.599</v>
      </c>
      <c r="BP141" s="185" t="n">
        <v>1003.502</v>
      </c>
      <c r="BQ141" s="185" t="n">
        <v>4065.713</v>
      </c>
      <c r="BR141" s="185" t="n">
        <v>1021.884</v>
      </c>
      <c r="BS141" s="185" t="n">
        <v>1033.497</v>
      </c>
      <c r="BT141" s="185" t="n">
        <v>1048.49</v>
      </c>
      <c r="BU141" s="185" t="n">
        <v>1040.728</v>
      </c>
      <c r="BV141" s="185" t="n">
        <v>4144.599</v>
      </c>
      <c r="BW141" s="185" t="n">
        <v>1014.12</v>
      </c>
      <c r="BX141" s="185" t="n">
        <v>1126.225</v>
      </c>
      <c r="BY141" s="186">
        <f>BY138-BY143-BY93+BY162+N(BY69)</f>
        <v>1111.18343402055</v>
      </c>
      <c r="BZ141" s="186">
        <f>BZ138-BZ143-BZ93+BZ162+N(BZ69)</f>
        <v>1129.47557564546</v>
      </c>
      <c r="CA141" s="186">
        <f>SUM(BW141,BX141,BY141,BZ141)</f>
        <v>4381.00400966601</v>
      </c>
      <c r="CB141" s="186">
        <f>CB138-CB143-CB93+CB162+N(CB69)</f>
        <v>4850.2811895707</v>
      </c>
      <c r="CC141" s="186">
        <f>CC138-CC143-CC93+CC162+N(CC69)</f>
        <v>5208.61110039639</v>
      </c>
      <c r="CD141" s="186">
        <f>CD138-CD143-CD93+CD162+N(CD69)</f>
        <v>5584.17822733611</v>
      </c>
      <c r="CE141" s="186">
        <f>CE138-CE143-CE93+CE162+N(CE69)</f>
        <v>5982.18306705809</v>
      </c>
      <c r="CF141" s="20" t="inlineStr">
        <is>
          <t>Forecast = residual: revenues − SG&amp;A − Adjusted EBITDA + stock-based compensation + transaction costs (both expensed but added back in Adjusted EBITDA).</t>
        </is>
      </c>
    </row>
    <row r="142" hidden="1" outlineLevel="2" ht="15" customHeight="1">
      <c r="B142" s="17" t="inlineStr">
        <is>
          <t>Gross profit (revenues − cost of revenues, before D&amp;A)</t>
        </is>
      </c>
      <c r="C142" s="214">
        <f>IF(ISNUMBER(C141),C138-C141,"")</f>
        <v>244.974</v>
      </c>
      <c r="D142" s="214">
        <f>IF(ISNUMBER(D141),D138-D141,"")</f>
        <v>282.477</v>
      </c>
      <c r="E142" s="214">
        <f>IF(ISNUMBER(E141),E138-E141,"")</f>
        <v>322.893</v>
      </c>
      <c r="F142" s="214">
        <f>IF(ISNUMBER(F141),F138-F141,"")</f>
        <v>320.737</v>
      </c>
      <c r="G142" s="214">
        <f>IF(ISNUMBER(G141),G138-G141,"")</f>
        <v>520.504</v>
      </c>
      <c r="H142" s="214">
        <f>IF(ISNUMBER(H141),H138-H141,"")</f>
        <v>604.145</v>
      </c>
      <c r="I142" s="214">
        <f>IF(ISNUMBER(I141),I138-I141,"")</f>
        <v>647.287</v>
      </c>
      <c r="J142" s="214">
        <f>IF(ISNUMBER(J141),J138-J141,"")</f>
        <v>226.139</v>
      </c>
      <c r="K142" s="214">
        <f>IF(ISNUMBER(K141),K138-K141,"")</f>
        <v>246.202</v>
      </c>
      <c r="L142" s="214">
        <f>IF(ISNUMBER(L141),L138-L141,"")</f>
        <v>260.416</v>
      </c>
      <c r="M142" s="214">
        <f>IF(ISNUMBER(M141),M138-M141,"")</f>
        <v>234.266</v>
      </c>
      <c r="N142" s="214">
        <f>IF(ISNUMBER(N141),N138-N141,"")</f>
        <v>967.023</v>
      </c>
      <c r="O142" s="214">
        <f>IF(ISNUMBER(O141),O138-O141,"")</f>
        <v>220.948</v>
      </c>
      <c r="P142" s="214">
        <f>IF(ISNUMBER(P141),P138-P141,"")</f>
        <v>251.53</v>
      </c>
      <c r="Q142" s="214">
        <f>IF(ISNUMBER(Q141),Q138-Q141,"")</f>
        <v>253.058</v>
      </c>
      <c r="R142" s="214">
        <f>IF(ISNUMBER(R141),R138-R141,"")</f>
        <v>234.304</v>
      </c>
      <c r="S142" s="214">
        <f>IF(ISNUMBER(S141),S138-S141,"")</f>
        <v>959.84</v>
      </c>
      <c r="T142" s="214">
        <f>IF(ISNUMBER(T141),T138-T141,"")</f>
        <v>185.992</v>
      </c>
      <c r="U142" s="214">
        <f>IF(ISNUMBER(U141),U138-U141,"")</f>
        <v>283.54</v>
      </c>
      <c r="V142" s="214">
        <f>IF(ISNUMBER(V141),V138-V141,"")</f>
        <v>258.72</v>
      </c>
      <c r="W142" s="214">
        <f>IF(ISNUMBER(W141),W138-W141,"")</f>
        <v>190.079</v>
      </c>
      <c r="X142" s="214">
        <f>IF(ISNUMBER(X141),X138-X141,"")</f>
        <v>918.331</v>
      </c>
      <c r="Y142" s="214">
        <f>IF(ISNUMBER(Y141),Y138-Y141,"")</f>
        <v>171.804</v>
      </c>
      <c r="Z142" s="214">
        <f>IF(ISNUMBER(Z141),Z138-Z141,"")</f>
        <v>217.508</v>
      </c>
      <c r="AA142" s="214">
        <f>IF(ISNUMBER(AA141),AA138-AA141,"")</f>
        <v>237.605</v>
      </c>
      <c r="AB142" s="214">
        <f>IF(ISNUMBER(AB141),AB138-AB141,"")</f>
        <v>195.452</v>
      </c>
      <c r="AC142" s="214">
        <f>IF(ISNUMBER(AC141),AC138-AC141,"")</f>
        <v>822.369</v>
      </c>
      <c r="AD142" s="214">
        <f>IF(ISNUMBER(AD141),AD138-AD141,"")</f>
        <v>192.356</v>
      </c>
      <c r="AE142" s="214">
        <f>IF(ISNUMBER(AE141),AE138-AE141,"")</f>
        <v>232.985</v>
      </c>
      <c r="AF142" s="214">
        <f>IF(ISNUMBER(AF141),AF138-AF141,"")</f>
        <v>236.251</v>
      </c>
      <c r="AG142" s="214">
        <f>IF(ISNUMBER(AG141),AG138-AG141,"")</f>
        <v>220.713</v>
      </c>
      <c r="AH142" s="214">
        <f>IF(ISNUMBER(AH141),AH138-AH141,"")</f>
        <v>882.305</v>
      </c>
      <c r="AI142" s="214">
        <f>IF(ISNUMBER(AI141),AI138-AI141,"")</f>
        <v>203.353</v>
      </c>
      <c r="AJ142" s="214">
        <f>IF(ISNUMBER(AJ141),AJ138-AJ141,"")</f>
        <v>265.556</v>
      </c>
      <c r="AK142" s="214">
        <f>IF(ISNUMBER(AK141),AK138-AK141,"")</f>
        <v>262.496</v>
      </c>
      <c r="AL142" s="214">
        <f>IF(ISNUMBER(AL141),AL138-AL141,"")</f>
        <v>263.347</v>
      </c>
      <c r="AM142" s="214">
        <f>IF(ISNUMBER(AM141),AM138-AM141,"")</f>
        <v>994.752</v>
      </c>
      <c r="AN142" s="214">
        <f>IF(ISNUMBER(AN141),AN138-AN141,"")</f>
        <v>216.475</v>
      </c>
      <c r="AO142" s="214">
        <f>IF(ISNUMBER(AO141),AO138-AO141,"")</f>
        <v>273.745</v>
      </c>
      <c r="AP142" s="214">
        <f>IF(ISNUMBER(AP141),AP138-AP141,"")</f>
        <v>278.914</v>
      </c>
      <c r="AQ142" s="214">
        <f>IF(ISNUMBER(AQ141),AQ138-AQ141,"")</f>
        <v>255.237</v>
      </c>
      <c r="AR142" s="214">
        <f>IF(ISNUMBER(AR141),AR138-AR141,"")</f>
        <v>1024.371</v>
      </c>
      <c r="AS142" s="214">
        <f>IF(ISNUMBER(AS141),AS138-AS141,"")</f>
        <v>251.897</v>
      </c>
      <c r="AT142" s="214">
        <f>IF(ISNUMBER(AT141),AT138-AT141,"")</f>
        <v>239.319</v>
      </c>
      <c r="AU142" s="214">
        <f>IF(ISNUMBER(AU141),AU138-AU141,"")</f>
        <v>267.715</v>
      </c>
      <c r="AV142" s="214">
        <f>IF(ISNUMBER(AV141),AV138-AV141,"")</f>
        <v>247.415</v>
      </c>
      <c r="AW142" s="214">
        <f>IF(ISNUMBER(AW141),AW138-AW141,"")</f>
        <v>1006.346</v>
      </c>
      <c r="AX142" s="214">
        <f>IF(ISNUMBER(AX141),AX138-AX141,"")</f>
        <v>247.612</v>
      </c>
      <c r="AY142" s="214">
        <f>IF(ISNUMBER(AY141),AY138-AY141,"")</f>
        <v>308.572</v>
      </c>
      <c r="AZ142" s="214">
        <f>IF(ISNUMBER(AZ141),AZ138-AZ141,"")</f>
        <v>312.247</v>
      </c>
      <c r="BA142" s="214">
        <f>IF(ISNUMBER(BA141),BA138-BA141,"")</f>
        <v>327.298</v>
      </c>
      <c r="BB142" s="214">
        <f>IF(ISNUMBER(BB141),BB138-BB141,"")</f>
        <v>1195.729</v>
      </c>
      <c r="BC142" s="214">
        <f>IF(ISNUMBER(BC141),BC138-BC141,"")</f>
        <v>325.72</v>
      </c>
      <c r="BD142" s="214">
        <f>IF(ISNUMBER(BD141),BD138-BD141,"")</f>
        <v>457.843</v>
      </c>
      <c r="BE142" s="214">
        <f>IF(ISNUMBER(BE141),BE138-BE141,"")</f>
        <v>452.438</v>
      </c>
      <c r="BF142" s="214">
        <f>IF(ISNUMBER(BF141),BF138-BF141,"")</f>
        <v>386.674</v>
      </c>
      <c r="BG142" s="214">
        <f>IF(ISNUMBER(BG141),BG138-BG141,"")</f>
        <v>1622.675</v>
      </c>
      <c r="BH142" s="214">
        <f>IF(ISNUMBER(BH141),BH138-BH141,"")</f>
        <v>375.873</v>
      </c>
      <c r="BI142" s="214">
        <f>IF(ISNUMBER(BI141),BI138-BI141,"")</f>
        <v>450.388</v>
      </c>
      <c r="BJ142" s="214">
        <f>IF(ISNUMBER(BJ141),BJ138-BJ141,"")</f>
        <v>421.745</v>
      </c>
      <c r="BK142" s="214">
        <f>IF(ISNUMBER(BK141),BK138-BK141,"")</f>
        <v>415.022</v>
      </c>
      <c r="BL142" s="214">
        <f>IF(ISNUMBER(BL141),BL138-BL141,"")</f>
        <v>1663.028</v>
      </c>
      <c r="BM142" s="214">
        <f>IF(ISNUMBER(BM141),BM138-BM141,"")</f>
        <v>405.625</v>
      </c>
      <c r="BN142" s="214">
        <f>IF(ISNUMBER(BN141),BN138-BN141,"")</f>
        <v>517.177</v>
      </c>
      <c r="BO142" s="214">
        <f>IF(ISNUMBER(BO141),BO138-BO141,"")</f>
        <v>473.823</v>
      </c>
      <c r="BP142" s="214">
        <f>IF(ISNUMBER(BP141),BP138-BP141,"")</f>
        <v>427.614</v>
      </c>
      <c r="BQ142" s="214">
        <f>IF(ISNUMBER(BQ141),BQ138-BQ141,"")</f>
        <v>1824.239</v>
      </c>
      <c r="BR142" s="214">
        <f>IF(ISNUMBER(BR141),BR138-BR141,"")</f>
        <v>410.066</v>
      </c>
      <c r="BS142" s="214">
        <f>IF(ISNUMBER(BS141),BS138-BS141,"")</f>
        <v>516.357</v>
      </c>
      <c r="BT142" s="214">
        <f>IF(ISNUMBER(BT141),BT138-BT141,"")</f>
        <v>500.847</v>
      </c>
      <c r="BU142" s="214">
        <f>IF(ISNUMBER(BU141),BU138-BU141,"")</f>
        <v>458.968</v>
      </c>
      <c r="BV142" s="214">
        <f>IF(ISNUMBER(BV141),BV138-BV141,"")</f>
        <v>1886.238</v>
      </c>
      <c r="BW142" s="214">
        <f>IF(ISNUMBER(BW141),BW138-BW141,"")</f>
        <v>445.417</v>
      </c>
      <c r="BX142" s="214">
        <f>IF(ISNUMBER(BX141),BX138-BX141,"")</f>
        <v>608.78</v>
      </c>
      <c r="BY142" s="176">
        <f>BY138-BY141</f>
        <v>607.832966253427</v>
      </c>
      <c r="BZ142" s="176">
        <f>BZ138-BZ141</f>
        <v>550.321107779196</v>
      </c>
      <c r="CA142" s="176">
        <f>CA138-CA141</f>
        <v>2212.35107403262</v>
      </c>
      <c r="CB142" s="176">
        <f>CB138-CB141</f>
        <v>2427.12362203427</v>
      </c>
      <c r="CC142" s="176">
        <f>CC138-CC141</f>
        <v>2667.90053199355</v>
      </c>
      <c r="CD142" s="176">
        <f>CD138-CD141</f>
        <v>2899.09117799781</v>
      </c>
      <c r="CE142" s="176">
        <f>CE138-CE141</f>
        <v>3127.70609322363</v>
      </c>
      <c r="CF142" s="177" t="n"/>
      <c r="CH142" s="21">
        <f>IFERROR((CE142/BV142)^(1/5)-1,"n/m")</f>
        <v>0.106434958855484</v>
      </c>
      <c r="CI142" s="21">
        <f>IFERROR((BV142/AW142)^(1/5)-1,"n/m")</f>
        <v>0.133887148528622</v>
      </c>
      <c r="CJ142" s="21">
        <f>IFERROR((BV142/X142)^(1/10)-1,"n/m")</f>
        <v>0.074631890627983</v>
      </c>
      <c r="CK142" s="21">
        <f>IFERROR((BV142/C142)^(1/19)-1,"n/m")</f>
        <v>0.113413948480723</v>
      </c>
    </row>
    <row r="143" hidden="1" outlineLevel="2" ht="15" customHeight="1">
      <c r="B143" s="26" t="inlineStr">
        <is>
          <t>Selling, general &amp; administrative expenses</t>
        </is>
      </c>
      <c r="C143" s="185" t="n">
        <v>125.039</v>
      </c>
      <c r="D143" s="185" t="n">
        <v>149.18</v>
      </c>
      <c r="E143" s="185" t="n">
        <v>159.674</v>
      </c>
      <c r="F143" s="185" t="n">
        <v>163.157</v>
      </c>
      <c r="G143" s="185" t="n">
        <v>205.812</v>
      </c>
      <c r="H143" s="185" t="n">
        <v>254.137</v>
      </c>
      <c r="I143" s="185" t="n">
        <v>273.52</v>
      </c>
      <c r="J143" s="185" t="n">
        <v>128.47</v>
      </c>
      <c r="K143" s="185" t="n">
        <v>122.612</v>
      </c>
      <c r="L143" s="185" t="n">
        <v>114.464</v>
      </c>
      <c r="M143" s="185" t="n">
        <v>104.931</v>
      </c>
      <c r="N143" s="185" t="n">
        <v>470.477</v>
      </c>
      <c r="O143" s="185" t="n">
        <v>118.962</v>
      </c>
      <c r="P143" s="185" t="n">
        <v>115.731</v>
      </c>
      <c r="Q143" s="185" t="n">
        <v>99.70099999999999</v>
      </c>
      <c r="R143" s="185" t="n">
        <v>103.527</v>
      </c>
      <c r="S143" s="185" t="n">
        <v>437.921</v>
      </c>
      <c r="T143" s="185" t="n">
        <v>107.715</v>
      </c>
      <c r="U143" s="185" t="n">
        <v>120.418</v>
      </c>
      <c r="V143" s="185" t="n">
        <v>93.113</v>
      </c>
      <c r="W143" s="185" t="n">
        <v>92.91800000000001</v>
      </c>
      <c r="X143" s="185" t="n">
        <v>414.164</v>
      </c>
      <c r="Y143" s="185" t="n">
        <v>104.484</v>
      </c>
      <c r="Z143" s="185" t="n">
        <v>107.063</v>
      </c>
      <c r="AA143" s="185" t="n">
        <v>110.954</v>
      </c>
      <c r="AB143" s="185" t="n">
        <v>99.514</v>
      </c>
      <c r="AC143" s="185" t="n">
        <v>422.015</v>
      </c>
      <c r="AD143" s="185" t="n">
        <v>112.221</v>
      </c>
      <c r="AE143" s="185" t="n">
        <v>112.294</v>
      </c>
      <c r="AF143" s="185" t="n">
        <v>113.252</v>
      </c>
      <c r="AG143" s="185" t="n">
        <v>118.881</v>
      </c>
      <c r="AH143" s="185" t="n">
        <v>456.648</v>
      </c>
      <c r="AI143" s="185" t="n">
        <v>115.088</v>
      </c>
      <c r="AJ143" s="185" t="n">
        <v>125.995</v>
      </c>
      <c r="AK143" s="185" t="n">
        <v>121.219</v>
      </c>
      <c r="AL143" s="185" t="n">
        <v>141.445</v>
      </c>
      <c r="AM143" s="185" t="n">
        <v>503.747</v>
      </c>
      <c r="AN143" s="185" t="n">
        <v>114.812</v>
      </c>
      <c r="AO143" s="185" t="n">
        <v>123.92</v>
      </c>
      <c r="AP143" s="185" t="n">
        <v>122.301</v>
      </c>
      <c r="AQ143" s="185" t="n">
        <v>123.021</v>
      </c>
      <c r="AR143" s="185" t="n">
        <v>484.054</v>
      </c>
      <c r="AS143" s="185" t="n">
        <v>129.307</v>
      </c>
      <c r="AT143" s="185" t="n">
        <v>103.839</v>
      </c>
      <c r="AU143" s="185" t="n">
        <v>106.544</v>
      </c>
      <c r="AV143" s="185" t="n">
        <v>111.354</v>
      </c>
      <c r="AW143" s="185" t="n">
        <v>451.044</v>
      </c>
      <c r="AX143" s="185" t="n">
        <v>121.641</v>
      </c>
      <c r="AY143" s="185" t="n">
        <v>124.106</v>
      </c>
      <c r="AZ143" s="185" t="n">
        <v>133.164</v>
      </c>
      <c r="BA143" s="185" t="n">
        <v>159.051</v>
      </c>
      <c r="BB143" s="185" t="n">
        <v>537.962</v>
      </c>
      <c r="BC143" s="185" t="n">
        <v>151.173</v>
      </c>
      <c r="BD143" s="185" t="n">
        <v>155.608</v>
      </c>
      <c r="BE143" s="185" t="n">
        <v>151.711</v>
      </c>
      <c r="BF143" s="185" t="n">
        <v>168.899</v>
      </c>
      <c r="BG143" s="185" t="n">
        <v>627.391</v>
      </c>
      <c r="BH143" s="185" t="n">
        <v>166.753</v>
      </c>
      <c r="BI143" s="185" t="n">
        <v>167.382</v>
      </c>
      <c r="BJ143" s="185" t="n">
        <v>171.019</v>
      </c>
      <c r="BK143" s="185" t="n">
        <v>166.007</v>
      </c>
      <c r="BL143" s="185" t="n">
        <v>671.1609999999999</v>
      </c>
      <c r="BM143" s="185" t="n">
        <v>181.868</v>
      </c>
      <c r="BN143" s="185" t="n">
        <v>197.876</v>
      </c>
      <c r="BO143" s="185" t="n">
        <v>177.846</v>
      </c>
      <c r="BP143" s="185" t="n">
        <v>182.039</v>
      </c>
      <c r="BQ143" s="185" t="n">
        <v>739.629</v>
      </c>
      <c r="BR143" s="185" t="n">
        <v>182.847</v>
      </c>
      <c r="BS143" s="185" t="n">
        <v>186.183</v>
      </c>
      <c r="BT143" s="185" t="n">
        <v>189.61</v>
      </c>
      <c r="BU143" s="185" t="n">
        <v>193.894</v>
      </c>
      <c r="BV143" s="185" t="n">
        <v>752.534</v>
      </c>
      <c r="BW143" s="185" t="n">
        <v>207.141</v>
      </c>
      <c r="BX143" s="185" t="n">
        <v>214.574</v>
      </c>
      <c r="BY143" s="186">
        <f>BY138*BY133</f>
        <v>224.558256867629</v>
      </c>
      <c r="BZ143" s="186">
        <f>BZ138*BZ133</f>
        <v>231.038091137597</v>
      </c>
      <c r="CA143" s="186">
        <f>SUM(BW143,BX143,BY143,BZ143)</f>
        <v>877.311348005226</v>
      </c>
      <c r="CB143" s="186">
        <f>CB138*CB133</f>
        <v>931.507815885436</v>
      </c>
      <c r="CC143" s="186">
        <f>CC138*CC133</f>
        <v>1008.19348894591</v>
      </c>
      <c r="CD143" s="186">
        <f>CD138*CD133</f>
        <v>1085.85848388274</v>
      </c>
      <c r="CE143" s="186">
        <f>CE138*CE133</f>
        <v>1166.06581251606</v>
      </c>
      <c r="CF143" s="20" t="n"/>
    </row>
    <row r="144" hidden="1" outlineLevel="2" ht="15" customHeight="1">
      <c r="B144" s="26" t="inlineStr">
        <is>
          <t>Accretion of environmental liabilities</t>
        </is>
      </c>
      <c r="C144" s="185" t="n">
        <v>10.22</v>
      </c>
      <c r="D144" s="185" t="n">
        <v>10.447</v>
      </c>
      <c r="E144" s="185" t="n">
        <v>10.776</v>
      </c>
      <c r="F144" s="185" t="n">
        <v>10.617</v>
      </c>
      <c r="G144" s="185" t="n">
        <v>10.307</v>
      </c>
      <c r="H144" s="185" t="n">
        <v>9.68</v>
      </c>
      <c r="I144" s="185" t="n">
        <v>9.917</v>
      </c>
      <c r="J144" s="185" t="n">
        <v>2.835</v>
      </c>
      <c r="K144" s="185" t="n">
        <v>2.879</v>
      </c>
      <c r="L144" s="185" t="n">
        <v>2.914</v>
      </c>
      <c r="M144" s="185" t="n">
        <v>2.913</v>
      </c>
      <c r="N144" s="185" t="n">
        <v>11.541</v>
      </c>
      <c r="O144" s="185" t="n">
        <v>2.724</v>
      </c>
      <c r="P144" s="185" t="n">
        <v>2.609</v>
      </c>
      <c r="Q144" s="185" t="n">
        <v>2.642</v>
      </c>
      <c r="R144" s="185" t="n">
        <v>2.637</v>
      </c>
      <c r="S144" s="185" t="n">
        <v>10.612</v>
      </c>
      <c r="T144" s="185" t="n">
        <v>2.619</v>
      </c>
      <c r="U144" s="185" t="n">
        <v>2.599</v>
      </c>
      <c r="V144" s="185" t="n">
        <v>2.577</v>
      </c>
      <c r="W144" s="185" t="n">
        <v>2.607</v>
      </c>
      <c r="X144" s="185" t="n">
        <v>10.402</v>
      </c>
      <c r="Y144" s="185" t="n">
        <v>2.505</v>
      </c>
      <c r="Z144" s="185" t="n">
        <v>2.548</v>
      </c>
      <c r="AA144" s="185" t="n">
        <v>2.476</v>
      </c>
      <c r="AB144" s="185" t="n">
        <v>2.648</v>
      </c>
      <c r="AC144" s="185" t="n">
        <v>10.177</v>
      </c>
      <c r="AD144" s="185" t="n">
        <v>2.29</v>
      </c>
      <c r="AE144" s="185" t="n">
        <v>2.416</v>
      </c>
      <c r="AF144" s="185" t="n">
        <v>2.347</v>
      </c>
      <c r="AG144" s="185" t="n">
        <v>2.407</v>
      </c>
      <c r="AH144" s="185" t="n">
        <v>9.460000000000001</v>
      </c>
      <c r="AI144" s="185" t="n">
        <v>2.43</v>
      </c>
      <c r="AJ144" s="185" t="n">
        <v>2.448</v>
      </c>
      <c r="AK144" s="185" t="n">
        <v>2.45</v>
      </c>
      <c r="AL144" s="185" t="n">
        <v>2.478</v>
      </c>
      <c r="AM144" s="185" t="n">
        <v>9.805999999999999</v>
      </c>
      <c r="AN144" s="185" t="n">
        <v>2.574</v>
      </c>
      <c r="AO144" s="185" t="n">
        <v>2.56</v>
      </c>
      <c r="AP144" s="185" t="n">
        <v>2.49</v>
      </c>
      <c r="AQ144" s="185" t="n">
        <v>2.512</v>
      </c>
      <c r="AR144" s="185" t="n">
        <v>10.136</v>
      </c>
      <c r="AS144" s="185" t="n">
        <v>2.561</v>
      </c>
      <c r="AT144" s="185" t="n">
        <v>2.766</v>
      </c>
      <c r="AU144" s="185" t="n">
        <v>2.822</v>
      </c>
      <c r="AV144" s="185" t="n">
        <v>2.902</v>
      </c>
      <c r="AW144" s="185" t="n">
        <v>11.051</v>
      </c>
      <c r="AX144" s="185" t="n">
        <v>2.953</v>
      </c>
      <c r="AY144" s="185" t="n">
        <v>2.873</v>
      </c>
      <c r="AZ144" s="185" t="n">
        <v>2.799</v>
      </c>
      <c r="BA144" s="185" t="n">
        <v>3.12</v>
      </c>
      <c r="BB144" s="185" t="n">
        <v>11.745</v>
      </c>
      <c r="BC144" s="185" t="n">
        <v>3.156</v>
      </c>
      <c r="BD144" s="185" t="n">
        <v>3.197</v>
      </c>
      <c r="BE144" s="185" t="n">
        <v>3.246</v>
      </c>
      <c r="BF144" s="185" t="n">
        <v>3.344</v>
      </c>
      <c r="BG144" s="185" t="n">
        <v>12.943</v>
      </c>
      <c r="BH144" s="185" t="n">
        <v>3.407</v>
      </c>
      <c r="BI144" s="185" t="n">
        <v>3.486</v>
      </c>
      <c r="BJ144" s="185" t="n">
        <v>3.388</v>
      </c>
      <c r="BK144" s="185" t="n">
        <v>3.386</v>
      </c>
      <c r="BL144" s="185" t="n">
        <v>13.667</v>
      </c>
      <c r="BM144" s="185" t="n">
        <v>3.217</v>
      </c>
      <c r="BN144" s="185" t="n">
        <v>3.304</v>
      </c>
      <c r="BO144" s="185" t="n">
        <v>3.618</v>
      </c>
      <c r="BP144" s="185" t="n">
        <v>3.317</v>
      </c>
      <c r="BQ144" s="185" t="n">
        <v>13.456</v>
      </c>
      <c r="BR144" s="185" t="n">
        <v>3.62</v>
      </c>
      <c r="BS144" s="185" t="n">
        <v>3.591</v>
      </c>
      <c r="BT144" s="185" t="n">
        <v>3.499</v>
      </c>
      <c r="BU144" s="185" t="n">
        <v>3.616</v>
      </c>
      <c r="BV144" s="185" t="n">
        <v>14.326</v>
      </c>
      <c r="BW144" s="185" t="n">
        <v>3.542</v>
      </c>
      <c r="BX144" s="185" t="n">
        <v>3.502</v>
      </c>
      <c r="BY144" s="186">
        <f>($CP$20-BW144-BX144)/2</f>
        <v>4.228</v>
      </c>
      <c r="BZ144" s="186">
        <f>($CP$20-BW144-BX144)/2</f>
        <v>4.228</v>
      </c>
      <c r="CA144" s="186">
        <f>SUM(BW144,BX144,BY144,BZ144)</f>
        <v>15.5</v>
      </c>
      <c r="CB144" s="186">
        <f>CB138*CB135</f>
        <v>16.7380310666914</v>
      </c>
      <c r="CC144" s="186">
        <f>CC138*CC135</f>
        <v>18.1159767544969</v>
      </c>
      <c r="CD144" s="186">
        <f>CD138*CD135</f>
        <v>19.511519632268</v>
      </c>
      <c r="CE144" s="186">
        <f>CE138*CE135</f>
        <v>20.952745068648</v>
      </c>
      <c r="CF144" s="20" t="inlineStr">
        <is>
          <t>Q3/Q4-26E: (FY26 guidance mid $15.5m − 1H/26) ÷ 2.</t>
        </is>
      </c>
    </row>
    <row r="145" hidden="1" outlineLevel="2" ht="15" customHeight="1">
      <c r="B145" s="26" t="inlineStr">
        <is>
          <t>Depreciation &amp; amortization</t>
        </is>
      </c>
      <c r="C145" s="185" t="n">
        <v>35.339</v>
      </c>
      <c r="D145" s="185" t="n">
        <v>37.59</v>
      </c>
      <c r="E145" s="185" t="n">
        <v>44.471</v>
      </c>
      <c r="F145" s="185" t="n">
        <v>64.898</v>
      </c>
      <c r="G145" s="185" t="n">
        <v>92.473</v>
      </c>
      <c r="H145" s="185" t="n">
        <v>122.663</v>
      </c>
      <c r="I145" s="185" t="n">
        <v>161.646</v>
      </c>
      <c r="J145" s="185" t="n">
        <v>60.006</v>
      </c>
      <c r="K145" s="185" t="n">
        <v>67.468</v>
      </c>
      <c r="L145" s="185" t="n">
        <v>69.43000000000001</v>
      </c>
      <c r="M145" s="185" t="n">
        <v>67.545</v>
      </c>
      <c r="N145" s="185" t="n">
        <v>264.449</v>
      </c>
      <c r="O145" s="185" t="n">
        <v>69.35599999999999</v>
      </c>
      <c r="P145" s="185" t="n">
        <v>66.075</v>
      </c>
      <c r="Q145" s="185" t="n">
        <v>70.04900000000001</v>
      </c>
      <c r="R145" s="185" t="n">
        <v>70.60299999999999</v>
      </c>
      <c r="S145" s="185" t="n">
        <v>276.083</v>
      </c>
      <c r="T145" s="185" t="n">
        <v>68.35599999999999</v>
      </c>
      <c r="U145" s="185" t="n">
        <v>67.773</v>
      </c>
      <c r="V145" s="185" t="n">
        <v>69.06</v>
      </c>
      <c r="W145" s="185" t="n">
        <v>69.005</v>
      </c>
      <c r="X145" s="185" t="n">
        <v>274.194</v>
      </c>
      <c r="Y145" s="185" t="n">
        <v>68.902</v>
      </c>
      <c r="Z145" s="185" t="n">
        <v>73.393</v>
      </c>
      <c r="AA145" s="185" t="n">
        <v>73.36</v>
      </c>
      <c r="AB145" s="185" t="n">
        <v>71.34699999999999</v>
      </c>
      <c r="AC145" s="185" t="n">
        <v>287.002</v>
      </c>
      <c r="AD145" s="185" t="n">
        <v>72.41200000000001</v>
      </c>
      <c r="AE145" s="185" t="n">
        <v>71.53100000000001</v>
      </c>
      <c r="AF145" s="185" t="n">
        <v>72.989</v>
      </c>
      <c r="AG145" s="185" t="n">
        <v>71.48999999999999</v>
      </c>
      <c r="AH145" s="185" t="n">
        <v>288.422</v>
      </c>
      <c r="AI145" s="185" t="n">
        <v>74.84399999999999</v>
      </c>
      <c r="AJ145" s="185" t="n">
        <v>72.76000000000001</v>
      </c>
      <c r="AK145" s="185" t="n">
        <v>73.08199999999999</v>
      </c>
      <c r="AL145" s="185" t="n">
        <v>77.93899999999999</v>
      </c>
      <c r="AM145" s="185" t="n">
        <v>298.625</v>
      </c>
      <c r="AN145" s="185" t="n">
        <v>75.355</v>
      </c>
      <c r="AO145" s="185" t="n">
        <v>74.217</v>
      </c>
      <c r="AP145" s="185" t="n">
        <v>73.756</v>
      </c>
      <c r="AQ145" s="185" t="n">
        <v>77.39700000000001</v>
      </c>
      <c r="AR145" s="185" t="n">
        <v>300.725</v>
      </c>
      <c r="AS145" s="185" t="n">
        <v>74.533</v>
      </c>
      <c r="AT145" s="185" t="n">
        <v>72.494</v>
      </c>
      <c r="AU145" s="185" t="n">
        <v>74.47</v>
      </c>
      <c r="AV145" s="185" t="n">
        <v>71.41800000000001</v>
      </c>
      <c r="AW145" s="185" t="n">
        <v>292.915</v>
      </c>
      <c r="AX145" s="185" t="n">
        <v>72.163</v>
      </c>
      <c r="AY145" s="185" t="n">
        <v>71.592</v>
      </c>
      <c r="AZ145" s="185" t="n">
        <v>71.45099999999999</v>
      </c>
      <c r="BA145" s="185" t="n">
        <v>82.929</v>
      </c>
      <c r="BB145" s="185" t="n">
        <v>298.135</v>
      </c>
      <c r="BC145" s="185" t="n">
        <v>84.298</v>
      </c>
      <c r="BD145" s="185" t="n">
        <v>87.86799999999999</v>
      </c>
      <c r="BE145" s="185" t="n">
        <v>88.39400000000001</v>
      </c>
      <c r="BF145" s="185" t="n">
        <v>87.03400000000001</v>
      </c>
      <c r="BG145" s="185" t="n">
        <v>347.594</v>
      </c>
      <c r="BH145" s="185" t="n">
        <v>84.758</v>
      </c>
      <c r="BI145" s="185" t="n">
        <v>89.697</v>
      </c>
      <c r="BJ145" s="185" t="n">
        <v>92.97</v>
      </c>
      <c r="BK145" s="185" t="n">
        <v>98.336</v>
      </c>
      <c r="BL145" s="185" t="n">
        <v>365.761</v>
      </c>
      <c r="BM145" s="185" t="n">
        <v>95.065</v>
      </c>
      <c r="BN145" s="185" t="n">
        <v>100.504</v>
      </c>
      <c r="BO145" s="185" t="n">
        <v>100.063</v>
      </c>
      <c r="BP145" s="185" t="n">
        <v>105.29</v>
      </c>
      <c r="BQ145" s="185" t="n">
        <v>400.922</v>
      </c>
      <c r="BR145" s="185" t="n">
        <v>111.98</v>
      </c>
      <c r="BS145" s="185" t="n">
        <v>116.285</v>
      </c>
      <c r="BT145" s="185" t="n">
        <v>114.729</v>
      </c>
      <c r="BU145" s="185" t="n">
        <v>103.012</v>
      </c>
      <c r="BV145" s="185" t="n">
        <v>446.006</v>
      </c>
      <c r="BW145" s="185" t="n">
        <v>115.799</v>
      </c>
      <c r="BX145" s="185" t="n">
        <v>121.807</v>
      </c>
      <c r="BY145" s="186">
        <f>BY131+N(BY72)+N(BY84)</f>
        <v>122.329191780822</v>
      </c>
      <c r="BZ145" s="186">
        <f>BZ131+N(BZ72)+N(BZ84)</f>
        <v>129.139602739726</v>
      </c>
      <c r="CA145" s="186">
        <f>SUM(BW145,BX145,BY145,BZ145)</f>
        <v>489.074794520548</v>
      </c>
      <c r="CB145" s="186">
        <f>CB131+N(CB72)+N(CB84)</f>
        <v>548.281802897798</v>
      </c>
      <c r="CC145" s="186">
        <f>CC131+N(CC72)+N(CC84)</f>
        <v>595.086282779748</v>
      </c>
      <c r="CD145" s="186">
        <f>CD131+N(CD72)+N(CD84)</f>
        <v>642.618178553527</v>
      </c>
      <c r="CE145" s="186">
        <f>CE131+N(CE72)+N(CE84)</f>
        <v>691.769732930364</v>
      </c>
      <c r="CF145" s="20" t="inlineStr">
        <is>
          <t>Forecast = legacy D&amp;A + pending-deal D&amp;A (incl. purchase accounting) + future-M&amp;A D&amp;A.</t>
        </is>
      </c>
    </row>
    <row r="146" hidden="1" outlineLevel="2" ht="15" customHeight="1">
      <c r="B146" s="26" t="inlineStr">
        <is>
          <t>Goodwill impairment charges &amp; restructuring</t>
        </is>
      </c>
      <c r="C146" s="185" t="n">
        <v>0</v>
      </c>
      <c r="D146" s="185" t="n">
        <v>0</v>
      </c>
      <c r="E146" s="185" t="n">
        <v>0</v>
      </c>
      <c r="F146" s="185" t="n">
        <v>0</v>
      </c>
      <c r="G146" s="185" t="n">
        <v>0</v>
      </c>
      <c r="H146" s="185" t="n">
        <v>0</v>
      </c>
      <c r="I146" s="185" t="n">
        <v>0</v>
      </c>
      <c r="J146" s="185" t="n">
        <v>0</v>
      </c>
      <c r="K146" s="185" t="n">
        <v>0</v>
      </c>
      <c r="L146" s="185" t="n">
        <v>0</v>
      </c>
      <c r="M146" s="185" t="n">
        <v>0</v>
      </c>
      <c r="N146" s="185" t="n">
        <v>0</v>
      </c>
      <c r="O146" s="185" t="n">
        <v>0</v>
      </c>
      <c r="P146" s="185" t="n">
        <v>0</v>
      </c>
      <c r="Q146" s="185" t="n">
        <v>123.414</v>
      </c>
      <c r="R146" s="185" t="n">
        <v>0</v>
      </c>
      <c r="S146" s="185" t="n">
        <v>123.414</v>
      </c>
      <c r="T146" s="185" t="n">
        <v>0</v>
      </c>
      <c r="U146" s="185" t="n">
        <v>31.992</v>
      </c>
      <c r="V146" s="185" t="n">
        <v>0</v>
      </c>
      <c r="W146" s="185" t="n">
        <v>0</v>
      </c>
      <c r="X146" s="185" t="n">
        <v>31.992</v>
      </c>
      <c r="Y146" s="185" t="n">
        <v>0</v>
      </c>
      <c r="Z146" s="185" t="n">
        <v>0</v>
      </c>
      <c r="AA146" s="185" t="n">
        <v>34.013</v>
      </c>
      <c r="AB146" s="185" t="n">
        <v>0</v>
      </c>
      <c r="AC146" s="185" t="n">
        <v>34.013</v>
      </c>
      <c r="AD146" s="185" t="n">
        <v>0</v>
      </c>
      <c r="AE146" s="185" t="n">
        <v>0</v>
      </c>
      <c r="AF146" s="185" t="n">
        <v>0</v>
      </c>
      <c r="AG146" s="185" t="n">
        <v>0</v>
      </c>
      <c r="AH146" s="185" t="n">
        <v>0</v>
      </c>
      <c r="AI146" s="185" t="n">
        <v>0</v>
      </c>
      <c r="AJ146" s="185" t="n">
        <v>0</v>
      </c>
      <c r="AK146" s="185" t="n">
        <v>0</v>
      </c>
      <c r="AL146" s="185" t="n">
        <v>0</v>
      </c>
      <c r="AM146" s="185" t="n">
        <v>0</v>
      </c>
      <c r="AN146" s="185" t="n">
        <v>0</v>
      </c>
      <c r="AO146" s="185" t="n">
        <v>0</v>
      </c>
      <c r="AP146" s="185" t="n">
        <v>0</v>
      </c>
      <c r="AQ146" s="185" t="n">
        <v>0</v>
      </c>
      <c r="AR146" s="185" t="n">
        <v>0</v>
      </c>
      <c r="AS146" s="185" t="n">
        <v>0</v>
      </c>
      <c r="AT146" s="185" t="n">
        <v>0</v>
      </c>
      <c r="AU146" s="185" t="n">
        <v>0</v>
      </c>
      <c r="AV146" s="185" t="n">
        <v>0</v>
      </c>
      <c r="AW146" s="185" t="n">
        <v>0</v>
      </c>
      <c r="AX146" s="185" t="n">
        <v>0</v>
      </c>
      <c r="AY146" s="185" t="n">
        <v>0</v>
      </c>
      <c r="AZ146" s="185" t="n">
        <v>0</v>
      </c>
      <c r="BA146" s="185" t="n">
        <v>0</v>
      </c>
      <c r="BB146" s="185" t="n">
        <v>0</v>
      </c>
      <c r="BC146" s="185" t="n">
        <v>0</v>
      </c>
      <c r="BD146" s="185" t="n">
        <v>0</v>
      </c>
      <c r="BE146" s="185" t="n">
        <v>0</v>
      </c>
      <c r="BF146" s="185" t="n">
        <v>0</v>
      </c>
      <c r="BG146" s="185" t="n">
        <v>0</v>
      </c>
      <c r="BH146" s="185" t="n">
        <v>0</v>
      </c>
      <c r="BI146" s="185" t="n">
        <v>0</v>
      </c>
      <c r="BJ146" s="185" t="n">
        <v>0</v>
      </c>
      <c r="BK146" s="185" t="n">
        <v>0</v>
      </c>
      <c r="BL146" s="185" t="n">
        <v>0</v>
      </c>
      <c r="BM146" s="185" t="n">
        <v>0</v>
      </c>
      <c r="BN146" s="185" t="n">
        <v>0</v>
      </c>
      <c r="BO146" s="185" t="n">
        <v>0</v>
      </c>
      <c r="BP146" s="185" t="n">
        <v>0</v>
      </c>
      <c r="BQ146" s="185" t="n">
        <v>0</v>
      </c>
      <c r="BR146" s="185" t="n">
        <v>0</v>
      </c>
      <c r="BS146" s="185" t="n">
        <v>0</v>
      </c>
      <c r="BT146" s="185" t="n">
        <v>0</v>
      </c>
      <c r="BU146" s="185" t="n">
        <v>0</v>
      </c>
      <c r="BV146" s="185" t="n">
        <v>0</v>
      </c>
      <c r="BW146" s="185" t="n">
        <v>0</v>
      </c>
      <c r="BX146" s="185" t="n">
        <v>0</v>
      </c>
      <c r="BY146" s="201" t="n">
        <v>0</v>
      </c>
      <c r="BZ146" s="201" t="n">
        <v>0</v>
      </c>
      <c r="CA146" s="186">
        <f>SUM(BW146,BX146,BY146,BZ146)</f>
        <v>0</v>
      </c>
      <c r="CB146" s="186">
        <f>0</f>
        <v>0</v>
      </c>
      <c r="CC146" s="186">
        <f>0</f>
        <v>0</v>
      </c>
      <c r="CD146" s="186">
        <f>0</f>
        <v>0</v>
      </c>
      <c r="CE146" s="186">
        <f>0</f>
        <v>0</v>
      </c>
      <c r="CF146" s="20" t="inlineStr">
        <is>
          <t>Goodwill impairments: Oil &amp; Gas Field Services / Lodging 2014–17. None forecast.</t>
        </is>
      </c>
    </row>
    <row r="147" hidden="1" outlineLevel="2" ht="15" customHeight="1">
      <c r="B147" s="17" t="inlineStr">
        <is>
          <t>Income from operations</t>
        </is>
      </c>
      <c r="C147" s="214">
        <f>C138-C141-C143-C144-C145-C146</f>
        <v>74.3759999999999</v>
      </c>
      <c r="D147" s="214">
        <f>D138-D141-D143-D144-D145-D146</f>
        <v>85.26</v>
      </c>
      <c r="E147" s="214">
        <f>E138-E141-E143-E144-E145-E146</f>
        <v>107.972</v>
      </c>
      <c r="F147" s="214">
        <f>F138-F141-F143-F144-F145-F146</f>
        <v>82.0650000000001</v>
      </c>
      <c r="G147" s="214">
        <f>G138-G141-G143-G144-G145-G146</f>
        <v>211.912</v>
      </c>
      <c r="H147" s="214">
        <f>H138-H141-H143-H144-H145-H146</f>
        <v>217.665</v>
      </c>
      <c r="I147" s="214">
        <f>I138-I141-I143-I144-I145-I146</f>
        <v>202.204</v>
      </c>
      <c r="J147" s="214">
        <f>J138-J141-J143-J144-J145-J146</f>
        <v>34.828</v>
      </c>
      <c r="K147" s="214">
        <f>K138-K141-K143-K144-K145-K146</f>
        <v>53.243</v>
      </c>
      <c r="L147" s="214">
        <f>L138-L141-L143-L144-L145-L146</f>
        <v>73.608</v>
      </c>
      <c r="M147" s="214">
        <f>M138-M141-M143-M144-M145-M146</f>
        <v>58.877</v>
      </c>
      <c r="N147" s="214">
        <f>N138-N141-N143-N144-N145-N146</f>
        <v>220.556</v>
      </c>
      <c r="O147" s="214">
        <f>O138-O141-O143-O144-O145-O146</f>
        <v>29.906</v>
      </c>
      <c r="P147" s="214">
        <f>P138-P141-P143-P144-P145-P146</f>
        <v>67.115</v>
      </c>
      <c r="Q147" s="214">
        <f>Q138-Q141-Q143-Q144-Q145-Q146</f>
        <v>-42.748</v>
      </c>
      <c r="R147" s="214">
        <f>R138-R141-R143-R144-R145-R146</f>
        <v>57.537</v>
      </c>
      <c r="S147" s="214">
        <f>S138-S141-S143-S144-S145-S146</f>
        <v>111.81</v>
      </c>
      <c r="T147" s="214">
        <f>T138-T141-T143-T144-T145-T146</f>
        <v>7.30200000000008</v>
      </c>
      <c r="U147" s="214">
        <f>U138-U141-U143-U144-U145-U146</f>
        <v>60.758</v>
      </c>
      <c r="V147" s="214">
        <f>V138-V141-V143-V144-V145-V146</f>
        <v>93.97</v>
      </c>
      <c r="W147" s="214">
        <f>W138-W141-W143-W144-W145-W146</f>
        <v>25.549</v>
      </c>
      <c r="X147" s="214">
        <f>X138-X141-X143-X144-X145-X146</f>
        <v>187.579</v>
      </c>
      <c r="Y147" s="214">
        <f>Y138-Y141-Y143-Y144-Y145-Y146</f>
        <v>-4.08700000000002</v>
      </c>
      <c r="Z147" s="214">
        <f>Z138-Z141-Z143-Z144-Z145-Z146</f>
        <v>34.504</v>
      </c>
      <c r="AA147" s="214">
        <f>AA138-AA141-AA143-AA144-AA145-AA146</f>
        <v>16.802</v>
      </c>
      <c r="AB147" s="214">
        <f>AB138-AB141-AB143-AB144-AB145-AB146</f>
        <v>21.9430000000001</v>
      </c>
      <c r="AC147" s="214">
        <f>AC138-AC141-AC143-AC144-AC145-AC146</f>
        <v>69.1620000000001</v>
      </c>
      <c r="AD147" s="214">
        <f>AD138-AD141-AD143-AD144-AD145-AD146</f>
        <v>5.43300000000004</v>
      </c>
      <c r="AE147" s="214">
        <f>AE138-AE141-AE143-AE144-AE145-AE146</f>
        <v>46.744</v>
      </c>
      <c r="AF147" s="214">
        <f>AF138-AF141-AF143-AF144-AF145-AF146</f>
        <v>47.663</v>
      </c>
      <c r="AG147" s="214">
        <f>AG138-AG141-AG143-AG144-AG145-AG146</f>
        <v>27.935</v>
      </c>
      <c r="AH147" s="214">
        <f>AH138-AH141-AH143-AH144-AH145-AH146</f>
        <v>127.775</v>
      </c>
      <c r="AI147" s="214">
        <f>AI138-AI141-AI143-AI144-AI145-AI146</f>
        <v>10.9910000000001</v>
      </c>
      <c r="AJ147" s="214">
        <f>AJ138-AJ141-AJ143-AJ144-AJ145-AJ146</f>
        <v>64.353</v>
      </c>
      <c r="AK147" s="214">
        <f>AK138-AK141-AK143-AK144-AK145-AK146</f>
        <v>65.7450000000001</v>
      </c>
      <c r="AL147" s="214">
        <f>AL138-AL141-AL143-AL144-AL145-AL146</f>
        <v>41.485</v>
      </c>
      <c r="AM147" s="214">
        <f>AM138-AM141-AM143-AM144-AM145-AM146</f>
        <v>182.574</v>
      </c>
      <c r="AN147" s="214">
        <f>AN138-AN141-AN143-AN144-AN145-AN146</f>
        <v>23.734</v>
      </c>
      <c r="AO147" s="214">
        <f>AO138-AO141-AO143-AO144-AO145-AO146</f>
        <v>73.048</v>
      </c>
      <c r="AP147" s="214">
        <f>AP138-AP141-AP143-AP144-AP145-AP146</f>
        <v>80.367</v>
      </c>
      <c r="AQ147" s="214">
        <f>AQ138-AQ141-AQ143-AQ144-AQ145-AQ146</f>
        <v>52.3069999999999</v>
      </c>
      <c r="AR147" s="214">
        <f>AR138-AR141-AR143-AR144-AR145-AR146</f>
        <v>229.456</v>
      </c>
      <c r="AS147" s="214">
        <f>AS138-AS141-AS143-AS144-AS145-AS146</f>
        <v>45.4959999999999</v>
      </c>
      <c r="AT147" s="214">
        <f>AT138-AT141-AT143-AT144-AT145-AT146</f>
        <v>60.22</v>
      </c>
      <c r="AU147" s="214">
        <f>AU138-AU141-AU143-AU144-AU145-AU146</f>
        <v>83.8790000000001</v>
      </c>
      <c r="AV147" s="214">
        <f>AV138-AV141-AV143-AV144-AV145-AV146</f>
        <v>61.7410000000001</v>
      </c>
      <c r="AW147" s="214">
        <f>AW138-AW141-AW143-AW144-AW145-AW146</f>
        <v>251.336</v>
      </c>
      <c r="AX147" s="214">
        <f>AX138-AX141-AX143-AX144-AX145-AX146</f>
        <v>50.8550000000001</v>
      </c>
      <c r="AY147" s="214">
        <f>AY138-AY141-AY143-AY144-AY145-AY146</f>
        <v>110.001</v>
      </c>
      <c r="AZ147" s="214">
        <f>AZ138-AZ141-AZ143-AZ144-AZ145-AZ146</f>
        <v>104.833</v>
      </c>
      <c r="BA147" s="214">
        <f>BA138-BA141-BA143-BA144-BA145-BA146</f>
        <v>82.198</v>
      </c>
      <c r="BB147" s="214">
        <f>BB138-BB141-BB143-BB144-BB145-BB146</f>
        <v>347.887</v>
      </c>
      <c r="BC147" s="214">
        <f>BC138-BC141-BC143-BC144-BC145-BC146</f>
        <v>87.0929999999999</v>
      </c>
      <c r="BD147" s="214">
        <f>BD138-BD141-BD143-BD144-BD145-BD146</f>
        <v>211.17</v>
      </c>
      <c r="BE147" s="214">
        <f>BE138-BE141-BE143-BE144-BE145-BE146</f>
        <v>209.087</v>
      </c>
      <c r="BF147" s="214">
        <f>BF138-BF141-BF143-BF144-BF145-BF146</f>
        <v>127.397</v>
      </c>
      <c r="BG147" s="214">
        <f>BG138-BG141-BG143-BG144-BG145-BG146</f>
        <v>634.747</v>
      </c>
      <c r="BH147" s="214">
        <f>BH138-BH141-BH143-BH144-BH145-BH146</f>
        <v>120.955</v>
      </c>
      <c r="BI147" s="214">
        <f>BI138-BI141-BI143-BI144-BI145-BI146</f>
        <v>189.823</v>
      </c>
      <c r="BJ147" s="214">
        <f>BJ138-BJ141-BJ143-BJ144-BJ145-BJ146</f>
        <v>154.368</v>
      </c>
      <c r="BK147" s="214">
        <f>BK138-BK141-BK143-BK144-BK145-BK146</f>
        <v>147.293</v>
      </c>
      <c r="BL147" s="214">
        <f>BL138-BL141-BL143-BL144-BL145-BL146</f>
        <v>612.439</v>
      </c>
      <c r="BM147" s="214">
        <f>BM138-BM141-BM143-BM144-BM145-BM146</f>
        <v>125.475</v>
      </c>
      <c r="BN147" s="214">
        <f>BN138-BN141-BN143-BN144-BN145-BN146</f>
        <v>215.493</v>
      </c>
      <c r="BO147" s="214">
        <f>BO138-BO141-BO143-BO144-BO145-BO146</f>
        <v>192.296</v>
      </c>
      <c r="BP147" s="214">
        <f>BP138-BP141-BP143-BP144-BP145-BP146</f>
        <v>136.968</v>
      </c>
      <c r="BQ147" s="214">
        <f>BQ138-BQ141-BQ143-BQ144-BQ145-BQ146</f>
        <v>670.232</v>
      </c>
      <c r="BR147" s="214">
        <f>BR138-BR141-BR143-BR144-BR145-BR146</f>
        <v>111.619</v>
      </c>
      <c r="BS147" s="214">
        <f>BS138-BS141-BS143-BS144-BS145-BS146</f>
        <v>210.298</v>
      </c>
      <c r="BT147" s="214">
        <f>BT138-BT141-BT143-BT144-BT145-BT146</f>
        <v>193.009</v>
      </c>
      <c r="BU147" s="214">
        <f>BU138-BU141-BU143-BU144-BU145-BU146</f>
        <v>158.446</v>
      </c>
      <c r="BV147" s="214">
        <f>BV138-BV141-BV143-BV144-BV145-BV146</f>
        <v>673.372</v>
      </c>
      <c r="BW147" s="214">
        <f>BW138-BW141-BW143-BW144-BW145-BW146</f>
        <v>118.935</v>
      </c>
      <c r="BX147" s="214">
        <f>BX138-BX141-BX143-BX144-BX145-BX146</f>
        <v>268.897</v>
      </c>
      <c r="BY147" s="176">
        <f>BY138-BY141-BY143-BY144-BY145-BY146</f>
        <v>256.717517604977</v>
      </c>
      <c r="BZ147" s="176">
        <f>BZ138-BZ141-BZ143-BZ144-BZ145-BZ146</f>
        <v>185.915413901873</v>
      </c>
      <c r="CA147" s="176">
        <f>CA138-CA141-CA143-CA144-CA145-CA146</f>
        <v>830.46493150685</v>
      </c>
      <c r="CB147" s="176">
        <f>CB138-CB141-CB143-CB144-CB145-CB146</f>
        <v>930.595972184345</v>
      </c>
      <c r="CC147" s="176">
        <f>CC138-CC141-CC143-CC144-CC145-CC146</f>
        <v>1046.50478351339</v>
      </c>
      <c r="CD147" s="176">
        <f>CD138-CD141-CD143-CD144-CD145-CD146</f>
        <v>1151.10299592927</v>
      </c>
      <c r="CE147" s="176">
        <f>CE138-CE141-CE143-CE144-CE145-CE146</f>
        <v>1248.91780270856</v>
      </c>
      <c r="CF147" s="177" t="n"/>
      <c r="CH147" s="21">
        <f>IFERROR((CE147/BV147)^(1/5)-1,"n/m")</f>
        <v>0.13150313226795</v>
      </c>
      <c r="CI147" s="21">
        <f>IFERROR((BV147/AW147)^(1/5)-1,"n/m")</f>
        <v>0.217867583807098</v>
      </c>
      <c r="CJ147" s="21">
        <f>IFERROR((BV147/X147)^(1/10)-1,"n/m")</f>
        <v>0.136336832215473</v>
      </c>
      <c r="CK147" s="21">
        <f>IFERROR((BV147/C147)^(1/19)-1,"n/m")</f>
        <v>0.122946497848475</v>
      </c>
    </row>
    <row r="148" hidden="1" outlineLevel="2" ht="15" customHeight="1">
      <c r="B148" s="26" t="inlineStr">
        <is>
          <t>Other income (expense), net (income = +)</t>
        </is>
      </c>
      <c r="C148" s="185" t="n">
        <v>-0.447</v>
      </c>
      <c r="D148" s="185" t="n">
        <v>0.135</v>
      </c>
      <c r="E148" s="185" t="n">
        <v>-0.119</v>
      </c>
      <c r="F148" s="185" t="n">
        <v>0.259</v>
      </c>
      <c r="G148" s="185" t="n">
        <v>2.795</v>
      </c>
      <c r="H148" s="185" t="n">
        <v>6.402</v>
      </c>
      <c r="I148" s="185" t="n">
        <v>-0.802</v>
      </c>
      <c r="J148" s="185" t="n">
        <v>0.525</v>
      </c>
      <c r="K148" s="185" t="n">
        <v>1.655</v>
      </c>
      <c r="L148" s="185" t="n">
        <v>-0.15</v>
      </c>
      <c r="M148" s="185" t="n">
        <v>-0.325</v>
      </c>
      <c r="N148" s="185" t="n">
        <v>1.705</v>
      </c>
      <c r="O148" s="185" t="n">
        <v>4.178</v>
      </c>
      <c r="P148" s="185" t="n">
        <v>-0.655</v>
      </c>
      <c r="Q148" s="185" t="n">
        <v>0.613</v>
      </c>
      <c r="R148" s="185" t="n">
        <v>0.244</v>
      </c>
      <c r="S148" s="185" t="n">
        <v>4.38</v>
      </c>
      <c r="T148" s="185" t="n">
        <v>0.409</v>
      </c>
      <c r="U148" s="185" t="n">
        <v>-0.66</v>
      </c>
      <c r="V148" s="185" t="n">
        <v>-0.139</v>
      </c>
      <c r="W148" s="185" t="n">
        <v>-0.99</v>
      </c>
      <c r="X148" s="185" t="n">
        <v>-1.38</v>
      </c>
      <c r="Y148" s="185" t="n">
        <v>-0.35</v>
      </c>
      <c r="Z148" s="185" t="n">
        <v>-0.189</v>
      </c>
      <c r="AA148" s="185" t="n">
        <v>-0.198</v>
      </c>
      <c r="AB148" s="185" t="n">
        <v>6.932</v>
      </c>
      <c r="AC148" s="185" t="n">
        <v>6.195</v>
      </c>
      <c r="AD148" s="185" t="n">
        <v>-1.549</v>
      </c>
      <c r="AE148" s="185" t="n">
        <v>-0.833</v>
      </c>
      <c r="AF148" s="185" t="n">
        <v>-0.432</v>
      </c>
      <c r="AG148" s="185" t="n">
        <v>-3.305</v>
      </c>
      <c r="AH148" s="185" t="n">
        <v>-6.119</v>
      </c>
      <c r="AI148" s="185" t="n">
        <v>-0.299</v>
      </c>
      <c r="AJ148" s="185" t="n">
        <v>0.846</v>
      </c>
      <c r="AK148" s="185" t="n">
        <v>-0.996</v>
      </c>
      <c r="AL148" s="185" t="n">
        <v>-4.061</v>
      </c>
      <c r="AM148" s="185" t="n">
        <v>-4.51</v>
      </c>
      <c r="AN148" s="185" t="n">
        <v>2.983</v>
      </c>
      <c r="AO148" s="185" t="n">
        <v>-0.5639999999999999</v>
      </c>
      <c r="AP148" s="185" t="n">
        <v>-0.427</v>
      </c>
      <c r="AQ148" s="185" t="n">
        <v>0.905</v>
      </c>
      <c r="AR148" s="185" t="n">
        <v>2.897</v>
      </c>
      <c r="AS148" s="185" t="n">
        <v>-2.365</v>
      </c>
      <c r="AT148" s="185" t="n">
        <v>-0.5</v>
      </c>
      <c r="AU148" s="185" t="n">
        <v>2.268</v>
      </c>
      <c r="AV148" s="185" t="n">
        <v>0.307</v>
      </c>
      <c r="AW148" s="185" t="n">
        <v>-0.29</v>
      </c>
      <c r="AX148" s="185" t="n">
        <v>-1.228</v>
      </c>
      <c r="AY148" s="185" t="n">
        <v>-1.48</v>
      </c>
      <c r="AZ148" s="185" t="n">
        <v>0.199</v>
      </c>
      <c r="BA148" s="185" t="n">
        <v>1.994</v>
      </c>
      <c r="BB148" s="185" t="n">
        <v>-0.515</v>
      </c>
      <c r="BC148" s="185" t="n">
        <v>0.704</v>
      </c>
      <c r="BD148" s="185" t="n">
        <v>1.265</v>
      </c>
      <c r="BE148" s="185" t="n">
        <v>0.104</v>
      </c>
      <c r="BF148" s="185" t="n">
        <v>0.399</v>
      </c>
      <c r="BG148" s="185" t="n">
        <v>2.472</v>
      </c>
      <c r="BH148" s="185" t="n">
        <v>0.116</v>
      </c>
      <c r="BI148" s="185" t="n">
        <v>-1.283</v>
      </c>
      <c r="BJ148" s="185" t="n">
        <v>0.334</v>
      </c>
      <c r="BK148" s="185" t="n">
        <v>3.148</v>
      </c>
      <c r="BL148" s="185" t="n">
        <v>2.315</v>
      </c>
      <c r="BM148" s="185" t="n">
        <v>-1.141</v>
      </c>
      <c r="BN148" s="185" t="n">
        <v>-0.167</v>
      </c>
      <c r="BO148" s="185" t="n">
        <v>-1.123</v>
      </c>
      <c r="BP148" s="185" t="n">
        <v>0.977</v>
      </c>
      <c r="BQ148" s="185" t="n">
        <v>-1.454</v>
      </c>
      <c r="BR148" s="185" t="n">
        <v>-0.9320000000000001</v>
      </c>
      <c r="BS148" s="185" t="n">
        <v>-0.603</v>
      </c>
      <c r="BT148" s="185" t="n">
        <v>3.517</v>
      </c>
      <c r="BU148" s="185" t="n">
        <v>3.218</v>
      </c>
      <c r="BV148" s="185" t="n">
        <v>5.2</v>
      </c>
      <c r="BW148" s="185" t="n">
        <v>-0.731</v>
      </c>
      <c r="BX148" s="185" t="n">
        <v>0.43</v>
      </c>
      <c r="BY148" s="201" t="n">
        <v>0</v>
      </c>
      <c r="BZ148" s="201" t="n">
        <v>0</v>
      </c>
      <c r="CA148" s="186">
        <f>SUM(BW148,BX148,BY148,BZ148)</f>
        <v>-0.301</v>
      </c>
      <c r="CB148" s="186">
        <f>0</f>
        <v>0</v>
      </c>
      <c r="CC148" s="186">
        <f>0</f>
        <v>0</v>
      </c>
      <c r="CD148" s="186">
        <f>0</f>
        <v>0</v>
      </c>
      <c r="CE148" s="186">
        <f>0</f>
        <v>0</v>
      </c>
      <c r="CF148" s="20" t="n"/>
    </row>
    <row r="149" hidden="1" outlineLevel="2" collapsed="1" ht="15" customHeight="1">
      <c r="B149" s="26" t="inlineStr">
        <is>
          <t>Loss on early extinguishment of debt / refinancing (loss = −)</t>
        </is>
      </c>
      <c r="C149" s="185" t="n">
        <v>-8.529</v>
      </c>
      <c r="D149" s="185" t="n">
        <v>0</v>
      </c>
      <c r="E149" s="185" t="n">
        <v>-5.473</v>
      </c>
      <c r="F149" s="185" t="n">
        <v>-4.853</v>
      </c>
      <c r="G149" s="185" t="n">
        <v>-2.294</v>
      </c>
      <c r="H149" s="185" t="n">
        <v>0</v>
      </c>
      <c r="I149" s="185" t="n">
        <v>-26.385</v>
      </c>
      <c r="J149" s="184" t="n"/>
      <c r="K149" s="184" t="n"/>
      <c r="L149" s="185" t="n">
        <v>0</v>
      </c>
      <c r="M149" s="185" t="n">
        <v>0</v>
      </c>
      <c r="N149" s="185" t="n">
        <v>0</v>
      </c>
      <c r="O149" s="184" t="n"/>
      <c r="P149" s="184" t="n"/>
      <c r="Q149" s="184" t="n"/>
      <c r="R149" s="185" t="n">
        <v>0</v>
      </c>
      <c r="S149" s="185" t="n">
        <v>0</v>
      </c>
      <c r="T149" s="184" t="n"/>
      <c r="U149" s="184" t="n"/>
      <c r="V149" s="184" t="n"/>
      <c r="W149" s="184" t="n"/>
      <c r="X149" s="184" t="n"/>
      <c r="Y149" s="184" t="n"/>
      <c r="Z149" s="184" t="n"/>
      <c r="AA149" s="184" t="n"/>
      <c r="AB149" s="184" t="n"/>
      <c r="AC149" s="184" t="n"/>
      <c r="AD149" s="184" t="n"/>
      <c r="AE149" s="185" t="n">
        <v>-6.045</v>
      </c>
      <c r="AF149" s="185" t="n">
        <v>-1.846</v>
      </c>
      <c r="AG149" s="185" t="n">
        <v>0</v>
      </c>
      <c r="AH149" s="185" t="n">
        <v>-7.891</v>
      </c>
      <c r="AI149" s="184" t="n"/>
      <c r="AJ149" s="185" t="n">
        <v>0</v>
      </c>
      <c r="AK149" s="185" t="n">
        <v>-2.469</v>
      </c>
      <c r="AL149" s="185" t="n">
        <v>-0.019</v>
      </c>
      <c r="AM149" s="185" t="n">
        <v>-2.488</v>
      </c>
      <c r="AN149" s="184" t="n"/>
      <c r="AO149" s="184" t="n"/>
      <c r="AP149" s="185" t="n">
        <v>-6.119</v>
      </c>
      <c r="AQ149" s="185" t="n">
        <v>-0.012</v>
      </c>
      <c r="AR149" s="185" t="n">
        <v>-6.131</v>
      </c>
      <c r="AS149" s="184" t="n"/>
      <c r="AT149" s="184" t="n"/>
      <c r="AU149" s="185" t="n">
        <v>0</v>
      </c>
      <c r="AV149" s="185" t="n">
        <v>0</v>
      </c>
      <c r="AW149" s="185" t="n">
        <v>0</v>
      </c>
      <c r="AX149" s="184" t="n"/>
      <c r="AY149" s="184" t="n"/>
      <c r="AZ149" s="184" t="n"/>
      <c r="BA149" s="185" t="n">
        <v>0</v>
      </c>
      <c r="BB149" s="185" t="n">
        <v>0</v>
      </c>
      <c r="BC149" s="184" t="n"/>
      <c r="BD149" s="184" t="n"/>
      <c r="BE149" s="184" t="n"/>
      <c r="BF149" s="185" t="n">
        <v>-0.422</v>
      </c>
      <c r="BG149" s="185" t="n">
        <v>-0.422</v>
      </c>
      <c r="BH149" s="185" t="n">
        <v>-2.362</v>
      </c>
      <c r="BI149" s="185" t="n">
        <v>0</v>
      </c>
      <c r="BJ149" s="185" t="n">
        <v>0</v>
      </c>
      <c r="BK149" s="185" t="n">
        <v>-0.518</v>
      </c>
      <c r="BL149" s="185" t="n">
        <v>-2.88</v>
      </c>
      <c r="BM149" s="185" t="n">
        <v>0</v>
      </c>
      <c r="BN149" s="185" t="n">
        <v>0</v>
      </c>
      <c r="BO149" s="185" t="n">
        <v>0</v>
      </c>
      <c r="BP149" s="185" t="n">
        <v>-0.371</v>
      </c>
      <c r="BQ149" s="185" t="n">
        <v>-0.371</v>
      </c>
      <c r="BR149" s="184" t="n"/>
      <c r="BS149" s="184" t="n"/>
      <c r="BT149" s="184" t="n"/>
      <c r="BU149" s="185" t="n">
        <v>-8.276999999999999</v>
      </c>
      <c r="BV149" s="185" t="n">
        <v>-8.276999999999999</v>
      </c>
      <c r="BW149" s="184" t="n"/>
      <c r="BX149" s="184" t="n"/>
      <c r="BY149" s="201" t="n">
        <v>0</v>
      </c>
      <c r="BZ149" s="201" t="n">
        <v>0</v>
      </c>
      <c r="CA149" s="186">
        <f>SUM(BW149,BX149,BY149,BZ149)</f>
        <v>0</v>
      </c>
      <c r="CB149" s="186">
        <f>0</f>
        <v>0</v>
      </c>
      <c r="CC149" s="186">
        <f>0</f>
        <v>0</v>
      </c>
      <c r="CD149" s="186">
        <f>0</f>
        <v>0</v>
      </c>
      <c r="CE149" s="186">
        <f>0</f>
        <v>0</v>
      </c>
      <c r="CF149" s="20" t="n"/>
    </row>
    <row r="150" hidden="1" outlineLevel="2" ht="15" customHeight="1">
      <c r="B150" s="26" t="inlineStr">
        <is>
          <t>Gain (loss) on sale of businesses</t>
        </is>
      </c>
      <c r="C150" s="184" t="n"/>
      <c r="D150" s="184" t="n"/>
      <c r="E150" s="184" t="n"/>
      <c r="F150" s="184" t="n"/>
      <c r="G150" s="184" t="n"/>
      <c r="H150" s="184" t="n"/>
      <c r="I150" s="184" t="n"/>
      <c r="J150" s="184" t="n"/>
      <c r="K150" s="184" t="n"/>
      <c r="L150" s="184" t="n"/>
      <c r="M150" s="184" t="n"/>
      <c r="N150" s="184" t="n"/>
      <c r="O150" s="184" t="n"/>
      <c r="P150" s="184" t="n"/>
      <c r="Q150" s="184" t="n"/>
      <c r="R150" s="184" t="n"/>
      <c r="S150" s="184" t="n"/>
      <c r="T150" s="184" t="n"/>
      <c r="U150" s="184" t="n"/>
      <c r="V150" s="184" t="n"/>
      <c r="W150" s="184" t="n"/>
      <c r="X150" s="184" t="n"/>
      <c r="Y150" s="184" t="n"/>
      <c r="Z150" s="184" t="n"/>
      <c r="AA150" s="185" t="n">
        <v>16.431</v>
      </c>
      <c r="AB150" s="185" t="n">
        <v>0.453</v>
      </c>
      <c r="AC150" s="185" t="n">
        <v>16.884</v>
      </c>
      <c r="AD150" s="184" t="n"/>
      <c r="AE150" s="185" t="n">
        <v>31.722</v>
      </c>
      <c r="AF150" s="185" t="n">
        <v>-0.077</v>
      </c>
      <c r="AG150" s="185" t="n">
        <v>-0.913</v>
      </c>
      <c r="AH150" s="185" t="n">
        <v>30.732</v>
      </c>
      <c r="AI150" s="184" t="n"/>
      <c r="AJ150" s="185" t="n">
        <v>0</v>
      </c>
      <c r="AK150" s="185" t="n">
        <v>0</v>
      </c>
      <c r="AL150" s="185" t="n">
        <v>0</v>
      </c>
      <c r="AM150" s="185" t="n">
        <v>0</v>
      </c>
      <c r="AN150" s="184" t="n"/>
      <c r="AO150" s="184" t="n"/>
      <c r="AP150" s="184" t="n"/>
      <c r="AQ150" s="185" t="n">
        <v>0.6870000000000001</v>
      </c>
      <c r="AR150" s="185" t="n">
        <v>0.6870000000000001</v>
      </c>
      <c r="AS150" s="185" t="n">
        <v>-3.074</v>
      </c>
      <c r="AT150" s="185" t="n">
        <v>-0.184</v>
      </c>
      <c r="AU150" s="185" t="n">
        <v>-0.118</v>
      </c>
      <c r="AV150" s="185" t="n">
        <v>0</v>
      </c>
      <c r="AW150" s="185" t="n">
        <v>-3.376</v>
      </c>
      <c r="AX150" s="185" t="n">
        <v>0</v>
      </c>
      <c r="AY150" s="185" t="n">
        <v>0</v>
      </c>
      <c r="AZ150" s="185" t="n">
        <v>0</v>
      </c>
      <c r="BA150" s="185" t="n">
        <v>0</v>
      </c>
      <c r="BB150" s="185" t="n">
        <v>0</v>
      </c>
      <c r="BC150" s="184" t="n"/>
      <c r="BD150" s="185" t="n">
        <v>8.864000000000001</v>
      </c>
      <c r="BE150" s="185" t="n">
        <v>0</v>
      </c>
      <c r="BF150" s="185" t="n">
        <v>0</v>
      </c>
      <c r="BG150" s="185" t="n">
        <v>8.864000000000001</v>
      </c>
      <c r="BH150" s="184" t="n"/>
      <c r="BI150" s="185" t="n">
        <v>0</v>
      </c>
      <c r="BJ150" s="185" t="n">
        <v>0</v>
      </c>
      <c r="BK150" s="185" t="n">
        <v>0</v>
      </c>
      <c r="BL150" s="185" t="n">
        <v>0</v>
      </c>
      <c r="BM150" s="184" t="n"/>
      <c r="BN150" s="184" t="n"/>
      <c r="BO150" s="184" t="n"/>
      <c r="BP150" s="185" t="n">
        <v>0</v>
      </c>
      <c r="BQ150" s="185" t="n">
        <v>0</v>
      </c>
      <c r="BR150" s="184" t="n"/>
      <c r="BS150" s="184" t="n"/>
      <c r="BT150" s="184" t="n"/>
      <c r="BU150" s="185" t="n">
        <v>0.776</v>
      </c>
      <c r="BV150" s="185" t="n">
        <v>0.776</v>
      </c>
      <c r="BW150" s="184" t="n"/>
      <c r="BX150" s="184" t="n"/>
      <c r="BY150" s="201" t="n">
        <v>0</v>
      </c>
      <c r="BZ150" s="201" t="n">
        <v>0</v>
      </c>
      <c r="CA150" s="186">
        <f>SUM(BW150,BX150,BY150,BZ150)</f>
        <v>0</v>
      </c>
      <c r="CB150" s="186">
        <f>0</f>
        <v>0</v>
      </c>
      <c r="CC150" s="186">
        <f>0</f>
        <v>0</v>
      </c>
      <c r="CD150" s="186">
        <f>0</f>
        <v>0</v>
      </c>
      <c r="CE150" s="186">
        <f>0</f>
        <v>0</v>
      </c>
      <c r="CF150" s="20" t="n"/>
    </row>
    <row r="151" hidden="1" outlineLevel="2" ht="15" customHeight="1">
      <c r="B151" s="26" t="inlineStr">
        <is>
          <t>Interest expense, net of interest income (expense = −)</t>
        </is>
      </c>
      <c r="C151" s="185" t="n">
        <v>-12.447</v>
      </c>
      <c r="D151" s="185" t="n">
        <v>-13.157</v>
      </c>
      <c r="E151" s="185" t="n">
        <v>-8.403</v>
      </c>
      <c r="F151" s="185" t="n">
        <v>-15.999</v>
      </c>
      <c r="G151" s="185" t="n">
        <v>-27.936</v>
      </c>
      <c r="H151" s="185" t="n">
        <v>-39.389</v>
      </c>
      <c r="I151" s="185" t="n">
        <v>-47.287</v>
      </c>
      <c r="J151" s="185" t="n">
        <v>-19.873</v>
      </c>
      <c r="K151" s="185" t="n">
        <v>-19.585</v>
      </c>
      <c r="L151" s="185" t="n">
        <v>-19.326</v>
      </c>
      <c r="M151" s="185" t="n">
        <v>-19.592</v>
      </c>
      <c r="N151" s="185" t="n">
        <v>-78.376</v>
      </c>
      <c r="O151" s="185" t="n">
        <v>-19.554</v>
      </c>
      <c r="P151" s="185" t="n">
        <v>-19.382</v>
      </c>
      <c r="Q151" s="185" t="n">
        <v>-19.494</v>
      </c>
      <c r="R151" s="185" t="n">
        <v>-19.238</v>
      </c>
      <c r="S151" s="185" t="n">
        <v>-77.66800000000001</v>
      </c>
      <c r="T151" s="185" t="n">
        <v>-19.438</v>
      </c>
      <c r="U151" s="185" t="n">
        <v>-19.249</v>
      </c>
      <c r="V151" s="185" t="n">
        <v>-19.017</v>
      </c>
      <c r="W151" s="185" t="n">
        <v>-18.849</v>
      </c>
      <c r="X151" s="185" t="n">
        <v>-76.553</v>
      </c>
      <c r="Y151" s="185" t="n">
        <v>-18.98</v>
      </c>
      <c r="Z151" s="185" t="n">
        <v>-21.647</v>
      </c>
      <c r="AA151" s="185" t="n">
        <v>-21.565</v>
      </c>
      <c r="AB151" s="185" t="n">
        <v>-21.333</v>
      </c>
      <c r="AC151" s="185" t="n">
        <v>-83.52500000000001</v>
      </c>
      <c r="AD151" s="185" t="n">
        <v>-22.576</v>
      </c>
      <c r="AE151" s="185" t="n">
        <v>-22.492</v>
      </c>
      <c r="AF151" s="185" t="n">
        <v>-20.675</v>
      </c>
      <c r="AG151" s="185" t="n">
        <v>-20.065</v>
      </c>
      <c r="AH151" s="185" t="n">
        <v>-85.80800000000001</v>
      </c>
      <c r="AI151" s="185" t="n">
        <v>-20.27</v>
      </c>
      <c r="AJ151" s="185" t="n">
        <v>-20.769</v>
      </c>
      <c r="AK151" s="185" t="n">
        <v>-19.916</v>
      </c>
      <c r="AL151" s="185" t="n">
        <v>-20.139</v>
      </c>
      <c r="AM151" s="185" t="n">
        <v>-81.09399999999999</v>
      </c>
      <c r="AN151" s="185" t="n">
        <v>-19.764</v>
      </c>
      <c r="AO151" s="185" t="n">
        <v>-20.215</v>
      </c>
      <c r="AP151" s="185" t="n">
        <v>-19.702</v>
      </c>
      <c r="AQ151" s="185" t="n">
        <v>-18.989</v>
      </c>
      <c r="AR151" s="185" t="n">
        <v>-78.67</v>
      </c>
      <c r="AS151" s="185" t="n">
        <v>-18.787</v>
      </c>
      <c r="AT151" s="185" t="n">
        <v>-18.654</v>
      </c>
      <c r="AU151" s="185" t="n">
        <v>-17.407</v>
      </c>
      <c r="AV151" s="185" t="n">
        <v>-18.272</v>
      </c>
      <c r="AW151" s="185" t="n">
        <v>-73.12</v>
      </c>
      <c r="AX151" s="185" t="n">
        <v>-17.918</v>
      </c>
      <c r="AY151" s="185" t="n">
        <v>-18.051</v>
      </c>
      <c r="AZ151" s="185" t="n">
        <v>-17.984</v>
      </c>
      <c r="BA151" s="185" t="n">
        <v>-23.704</v>
      </c>
      <c r="BB151" s="185" t="n">
        <v>-77.657</v>
      </c>
      <c r="BC151" s="185" t="n">
        <v>-25.017</v>
      </c>
      <c r="BD151" s="185" t="n">
        <v>-26.256</v>
      </c>
      <c r="BE151" s="185" t="n">
        <v>-28.081</v>
      </c>
      <c r="BF151" s="185" t="n">
        <v>-28.309</v>
      </c>
      <c r="BG151" s="185" t="n">
        <v>-107.663</v>
      </c>
      <c r="BH151" s="185" t="n">
        <v>-20.632</v>
      </c>
      <c r="BI151" s="185" t="n">
        <v>-30.072</v>
      </c>
      <c r="BJ151" s="185" t="n">
        <v>-29.696</v>
      </c>
      <c r="BK151" s="185" t="n">
        <v>-28.195</v>
      </c>
      <c r="BL151" s="185" t="n">
        <v>-108.595</v>
      </c>
      <c r="BM151" s="185" t="n">
        <v>-28.539</v>
      </c>
      <c r="BN151" s="185" t="n">
        <v>-36.449</v>
      </c>
      <c r="BO151" s="185" t="n">
        <v>-35.779</v>
      </c>
      <c r="BP151" s="185" t="n">
        <v>-34.197</v>
      </c>
      <c r="BQ151" s="185" t="n">
        <v>-134.964</v>
      </c>
      <c r="BR151" s="185" t="n">
        <v>-36.077</v>
      </c>
      <c r="BS151" s="185" t="n">
        <v>-37.106</v>
      </c>
      <c r="BT151" s="185" t="n">
        <v>-35.7</v>
      </c>
      <c r="BU151" s="185" t="n">
        <v>-34.221</v>
      </c>
      <c r="BV151" s="185" t="n">
        <v>-143.104</v>
      </c>
      <c r="BW151" s="185" t="n">
        <v>-33.854</v>
      </c>
      <c r="BX151" s="185" t="n">
        <v>-37.208</v>
      </c>
      <c r="BY151" s="186">
        <f>-($CP$21+BW151+BX151)/2</f>
        <v>-38.719</v>
      </c>
      <c r="BZ151" s="186">
        <f>-($CP$21+BW151+BX151)/2-$CA$370*$CA$360*92/365</f>
        <v>-48.1710547945206</v>
      </c>
      <c r="CA151" s="186">
        <f>SUM(BW151,BX151,BY151,BZ151)</f>
        <v>-157.952054794521</v>
      </c>
      <c r="CB151" s="186">
        <f>-(CA369*CB381+(CA375+CA378)*CB382)+CB152</f>
        <v>-173.2584498663</v>
      </c>
      <c r="CC151" s="186">
        <f>-(CB369*CC381+(CB375+CB378)*CC382)+CC152</f>
        <v>-176.799480961947</v>
      </c>
      <c r="CD151" s="186">
        <f>-(CC369*CD381+(CC375+CC378)*CD382)+CD152</f>
        <v>-187.428896349492</v>
      </c>
      <c r="CE151" s="186">
        <f>-(CD369*CE381+(CD375+CD378)*CE382)+CE152</f>
        <v>-203.473644287489</v>
      </c>
      <c r="CF151" s="20" t="inlineStr">
        <is>
          <t>Q3/Q4-26E: (FY26 guidance mid $148.5m − 1H/26) ÷ 2, + Q4 coupon on the $600m 6.25% notes (closed ~1-Oct-26; not in the July guidance). 2027E+: rates × opening balances − interest income (no circularity).</t>
        </is>
      </c>
    </row>
    <row r="152" hidden="1" outlineLevel="2" ht="15" customHeight="1">
      <c r="B152" s="42" t="inlineStr">
        <is>
          <t xml:space="preserve">  Memo: interest income (netted in interest expense)</t>
        </is>
      </c>
      <c r="C152" s="200" t="n">
        <v>3.589</v>
      </c>
      <c r="D152" s="200" t="n">
        <v>4.023</v>
      </c>
      <c r="E152" s="200" t="n">
        <v>5.094</v>
      </c>
      <c r="F152" s="200" t="n">
        <v>0.825</v>
      </c>
      <c r="G152" s="200" t="n">
        <v>0.874</v>
      </c>
      <c r="H152" s="200" t="n">
        <v>0.798</v>
      </c>
      <c r="I152" s="200" t="n">
        <v>0.846</v>
      </c>
      <c r="J152" s="200" t="n">
        <v>0.111</v>
      </c>
      <c r="K152" s="200" t="n">
        <v>0.155</v>
      </c>
      <c r="L152" s="200" t="n">
        <v>0.096</v>
      </c>
      <c r="M152" s="200" t="n">
        <v>0.145</v>
      </c>
      <c r="N152" s="200" t="n">
        <v>0.507</v>
      </c>
      <c r="O152" s="200" t="n">
        <v>0.205</v>
      </c>
      <c r="P152" s="200" t="n">
        <v>0.211</v>
      </c>
      <c r="Q152" s="200" t="n">
        <v>0.174</v>
      </c>
      <c r="R152" s="200" t="n">
        <v>0.229</v>
      </c>
      <c r="S152" s="200" t="n">
        <v>0.819</v>
      </c>
      <c r="T152" s="200" t="n">
        <v>0.151</v>
      </c>
      <c r="U152" s="200" t="n">
        <v>0.188</v>
      </c>
      <c r="V152" s="200" t="n">
        <v>0.126</v>
      </c>
      <c r="W152" s="200" t="n">
        <v>0.161</v>
      </c>
      <c r="X152" s="200" t="n">
        <v>0.626</v>
      </c>
      <c r="Y152" s="200" t="n">
        <v>0.15</v>
      </c>
      <c r="Z152" s="200" t="n">
        <v>0.225</v>
      </c>
      <c r="AA152" s="200" t="n">
        <v>0.196</v>
      </c>
      <c r="AB152" s="200" t="n">
        <v>0.213</v>
      </c>
      <c r="AC152" s="200" t="n">
        <v>0.784</v>
      </c>
      <c r="AD152" s="200" t="n">
        <v>0.215</v>
      </c>
      <c r="AE152" s="200" t="n">
        <v>0.311</v>
      </c>
      <c r="AF152" s="200" t="n">
        <v>0.573</v>
      </c>
      <c r="AG152" s="200" t="n">
        <v>0.798</v>
      </c>
      <c r="AH152" s="200" t="n">
        <v>1.897</v>
      </c>
      <c r="AI152" s="200" t="n">
        <v>0.764</v>
      </c>
      <c r="AJ152" s="200" t="n">
        <v>0.587</v>
      </c>
      <c r="AK152" s="200" t="n">
        <v>0.736</v>
      </c>
      <c r="AL152" s="200" t="n">
        <v>0.871</v>
      </c>
      <c r="AM152" s="200" t="n">
        <v>2.958</v>
      </c>
      <c r="AN152" s="200" t="n">
        <v>0.926</v>
      </c>
      <c r="AO152" s="200" t="n">
        <v>0.903</v>
      </c>
      <c r="AP152" s="200" t="n">
        <v>1.152</v>
      </c>
      <c r="AQ152" s="200" t="n">
        <v>1.246</v>
      </c>
      <c r="AR152" s="200" t="n">
        <v>4.227</v>
      </c>
      <c r="AS152" s="200" t="n">
        <v>0.998</v>
      </c>
      <c r="AT152" s="200" t="n">
        <v>0.668</v>
      </c>
      <c r="AU152" s="200" t="n">
        <v>1.236</v>
      </c>
      <c r="AV152" s="200" t="n">
        <v>0.5600000000000001</v>
      </c>
      <c r="AW152" s="200" t="n">
        <v>3.462</v>
      </c>
      <c r="AX152" s="200" t="n">
        <v>0.479</v>
      </c>
      <c r="AY152" s="200" t="n">
        <v>0.58</v>
      </c>
      <c r="AZ152" s="200" t="n">
        <v>0.653</v>
      </c>
      <c r="BA152" s="200" t="n">
        <v>0.506</v>
      </c>
      <c r="BB152" s="200" t="n">
        <v>2.218</v>
      </c>
      <c r="BC152" s="200" t="n">
        <v>0.493</v>
      </c>
      <c r="BD152" s="200" t="n">
        <v>0.5629999999999999</v>
      </c>
      <c r="BE152" s="200" t="n">
        <v>1.103</v>
      </c>
      <c r="BF152" s="200" t="n">
        <v>2.448</v>
      </c>
      <c r="BG152" s="200" t="n">
        <v>4.607</v>
      </c>
      <c r="BH152" s="200" t="n">
        <v>2.955</v>
      </c>
      <c r="BI152" s="200" t="n">
        <v>2.001</v>
      </c>
      <c r="BJ152" s="200" t="n">
        <v>2.877</v>
      </c>
      <c r="BK152" s="200" t="n">
        <v>4.097</v>
      </c>
      <c r="BL152" s="200" t="n">
        <v>11.93</v>
      </c>
      <c r="BM152" s="200" t="n">
        <v>3.514</v>
      </c>
      <c r="BN152" s="200" t="n">
        <v>4.352</v>
      </c>
      <c r="BO152" s="200" t="n">
        <v>5.391</v>
      </c>
      <c r="BP152" s="200" t="n">
        <v>6.18</v>
      </c>
      <c r="BQ152" s="200" t="n">
        <v>19.437</v>
      </c>
      <c r="BR152" s="200" t="n">
        <v>5.628</v>
      </c>
      <c r="BS152" s="200" t="n">
        <v>5.086</v>
      </c>
      <c r="BT152" s="200" t="n">
        <v>6.497</v>
      </c>
      <c r="BU152" s="200" t="n">
        <v>8.538</v>
      </c>
      <c r="BV152" s="200" t="n">
        <v>25.749</v>
      </c>
      <c r="BW152" s="200" t="n">
        <v>6.413</v>
      </c>
      <c r="BX152" s="200" t="n">
        <v>3.628</v>
      </c>
      <c r="BY152" s="211">
        <f>BX152</f>
        <v>3.628</v>
      </c>
      <c r="BZ152" s="211">
        <f>BX152</f>
        <v>3.628</v>
      </c>
      <c r="CA152" s="211">
        <f>SUM(BW152,BX152,BY152,BZ152)</f>
        <v>17.297</v>
      </c>
      <c r="CB152" s="211">
        <f>(CA292+CA293)*CB383</f>
        <v>22.9360501336998</v>
      </c>
      <c r="CC152" s="211">
        <f>(CB292+CB293)*CC383</f>
        <v>22.4064190380529</v>
      </c>
      <c r="CD152" s="211">
        <f>(CC292+CC293)*CD383</f>
        <v>12.542635</v>
      </c>
      <c r="CE152" s="211">
        <f>(CD292+CD293)*CE383</f>
        <v>12.542635</v>
      </c>
      <c r="CF152" s="177" t="n"/>
    </row>
    <row r="153" hidden="1" outlineLevel="2" ht="15" customHeight="1">
      <c r="B153" s="17" t="inlineStr">
        <is>
          <t>Income before provision for income taxes</t>
        </is>
      </c>
      <c r="C153" s="214">
        <f>C147+C148+C149+C150+C151</f>
        <v>52.9529999999999</v>
      </c>
      <c r="D153" s="214">
        <f>D147+D148+D149+D150+D151</f>
        <v>72.238</v>
      </c>
      <c r="E153" s="214">
        <f>E147+E148+E149+E150+E151</f>
        <v>93.9769999999999</v>
      </c>
      <c r="F153" s="214">
        <f>F147+F148+F149+F150+F151</f>
        <v>61.4720000000001</v>
      </c>
      <c r="G153" s="214">
        <f>G147+G148+G149+G150+G151</f>
        <v>184.477</v>
      </c>
      <c r="H153" s="214">
        <f>H147+H148+H149+H150+H151</f>
        <v>184.678</v>
      </c>
      <c r="I153" s="214">
        <f>I147+I148+I149+I150+I151</f>
        <v>127.73</v>
      </c>
      <c r="J153" s="214">
        <f>J147+J148+J149+J150+J151</f>
        <v>15.48</v>
      </c>
      <c r="K153" s="214">
        <f>K147+K148+K149+K150+K151</f>
        <v>35.313</v>
      </c>
      <c r="L153" s="214">
        <f>L147+L148+L149+L150+L151</f>
        <v>54.1319999999999</v>
      </c>
      <c r="M153" s="214">
        <f>M147+M148+M149+M150+M151</f>
        <v>38.96</v>
      </c>
      <c r="N153" s="214">
        <f>N147+N148+N149+N150+N151</f>
        <v>143.885</v>
      </c>
      <c r="O153" s="214">
        <f>O147+O148+O149+O150+O151</f>
        <v>14.53</v>
      </c>
      <c r="P153" s="214">
        <f>P147+P148+P149+P150+P151</f>
        <v>47.078</v>
      </c>
      <c r="Q153" s="214">
        <f>Q147+Q148+Q149+Q150+Q151</f>
        <v>-61.629</v>
      </c>
      <c r="R153" s="214">
        <f>R147+R148+R149+R150+R151</f>
        <v>38.543</v>
      </c>
      <c r="S153" s="214">
        <f>S147+S148+S149+S150+S151</f>
        <v>38.522</v>
      </c>
      <c r="T153" s="214">
        <f>T147+T148+T149+T150+T151</f>
        <v>-11.7269999999999</v>
      </c>
      <c r="U153" s="214">
        <f>U147+U148+U149+U150+U151</f>
        <v>40.849</v>
      </c>
      <c r="V153" s="214">
        <f>V147+V148+V149+V150+V151</f>
        <v>74.814</v>
      </c>
      <c r="W153" s="214">
        <f>W147+W148+W149+W150+W151</f>
        <v>5.70999999999995</v>
      </c>
      <c r="X153" s="214">
        <f>X147+X148+X149+X150+X151</f>
        <v>109.646</v>
      </c>
      <c r="Y153" s="214">
        <f>Y147+Y148+Y149+Y150+Y151</f>
        <v>-23.417</v>
      </c>
      <c r="Z153" s="214">
        <f>Z147+Z148+Z149+Z150+Z151</f>
        <v>12.668</v>
      </c>
      <c r="AA153" s="214">
        <f>AA147+AA148+AA149+AA150+AA151</f>
        <v>11.47</v>
      </c>
      <c r="AB153" s="214">
        <f>AB147+AB148+AB149+AB150+AB151</f>
        <v>7.99500000000007</v>
      </c>
      <c r="AC153" s="214">
        <f>AC147+AC148+AC149+AC150+AC151</f>
        <v>8.71600000000011</v>
      </c>
      <c r="AD153" s="214">
        <f>AD147+AD148+AD149+AD150+AD151</f>
        <v>-18.692</v>
      </c>
      <c r="AE153" s="214">
        <f>AE147+AE148+AE149+AE150+AE151</f>
        <v>49.096</v>
      </c>
      <c r="AF153" s="214">
        <f>AF147+AF148+AF149+AF150+AF151</f>
        <v>24.633</v>
      </c>
      <c r="AG153" s="214">
        <f>AG147+AG148+AG149+AG150+AG151</f>
        <v>3.65199999999997</v>
      </c>
      <c r="AH153" s="214">
        <f>AH147+AH148+AH149+AH150+AH151</f>
        <v>58.6890000000002</v>
      </c>
      <c r="AI153" s="214">
        <f>AI147+AI148+AI149+AI150+AI151</f>
        <v>-9.57799999999993</v>
      </c>
      <c r="AJ153" s="214">
        <f>AJ147+AJ148+AJ149+AJ150+AJ151</f>
        <v>44.43</v>
      </c>
      <c r="AK153" s="214">
        <f>AK147+AK148+AK149+AK150+AK151</f>
        <v>42.3640000000001</v>
      </c>
      <c r="AL153" s="214">
        <f>AL147+AL148+AL149+AL150+AL151</f>
        <v>17.266</v>
      </c>
      <c r="AM153" s="214">
        <f>AM147+AM148+AM149+AM150+AM151</f>
        <v>94.482</v>
      </c>
      <c r="AN153" s="214">
        <f>AN147+AN148+AN149+AN150+AN151</f>
        <v>6.95300000000002</v>
      </c>
      <c r="AO153" s="214">
        <f>AO147+AO148+AO149+AO150+AO151</f>
        <v>52.269</v>
      </c>
      <c r="AP153" s="214">
        <f>AP147+AP148+AP149+AP150+AP151</f>
        <v>54.119</v>
      </c>
      <c r="AQ153" s="214">
        <f>AQ147+AQ148+AQ149+AQ150+AQ151</f>
        <v>34.8979999999999</v>
      </c>
      <c r="AR153" s="214">
        <f>AR147+AR148+AR149+AR150+AR151</f>
        <v>148.239</v>
      </c>
      <c r="AS153" s="214">
        <f>AS147+AS148+AS149+AS150+AS151</f>
        <v>21.2699999999999</v>
      </c>
      <c r="AT153" s="214">
        <f>AT147+AT148+AT149+AT150+AT151</f>
        <v>40.882</v>
      </c>
      <c r="AU153" s="214">
        <f>AU147+AU148+AU149+AU150+AU151</f>
        <v>68.6220000000001</v>
      </c>
      <c r="AV153" s="214">
        <f>AV147+AV148+AV149+AV150+AV151</f>
        <v>43.7760000000001</v>
      </c>
      <c r="AW153" s="214">
        <f>AW147+AW148+AW149+AW150+AW151</f>
        <v>174.55</v>
      </c>
      <c r="AX153" s="214">
        <f>AX147+AX148+AX149+AX150+AX151</f>
        <v>31.7090000000001</v>
      </c>
      <c r="AY153" s="214">
        <f>AY147+AY148+AY149+AY150+AY151</f>
        <v>90.47</v>
      </c>
      <c r="AZ153" s="214">
        <f>AZ147+AZ148+AZ149+AZ150+AZ151</f>
        <v>87.0480000000001</v>
      </c>
      <c r="BA153" s="214">
        <f>BA147+BA148+BA149+BA150+BA151</f>
        <v>60.488</v>
      </c>
      <c r="BB153" s="214">
        <f>BB147+BB148+BB149+BB150+BB151</f>
        <v>269.715</v>
      </c>
      <c r="BC153" s="214">
        <f>BC147+BC148+BC149+BC150+BC151</f>
        <v>62.7799999999999</v>
      </c>
      <c r="BD153" s="214">
        <f>BD147+BD148+BD149+BD150+BD151</f>
        <v>195.043</v>
      </c>
      <c r="BE153" s="214">
        <f>BE147+BE148+BE149+BE150+BE151</f>
        <v>181.11</v>
      </c>
      <c r="BF153" s="214">
        <f>BF147+BF148+BF149+BF150+BF151</f>
        <v>99.065</v>
      </c>
      <c r="BG153" s="214">
        <f>BG147+BG148+BG149+BG150+BG151</f>
        <v>537.998</v>
      </c>
      <c r="BH153" s="214">
        <f>BH147+BH148+BH149+BH150+BH151</f>
        <v>98.0769999999999</v>
      </c>
      <c r="BI153" s="214">
        <f>BI147+BI148+BI149+BI150+BI151</f>
        <v>158.468</v>
      </c>
      <c r="BJ153" s="214">
        <f>BJ147+BJ148+BJ149+BJ150+BJ151</f>
        <v>125.006</v>
      </c>
      <c r="BK153" s="214">
        <f>BK147+BK148+BK149+BK150+BK151</f>
        <v>121.728</v>
      </c>
      <c r="BL153" s="214">
        <f>BL147+BL148+BL149+BL150+BL151</f>
        <v>503.279</v>
      </c>
      <c r="BM153" s="214">
        <f>BM147+BM148+BM149+BM150+BM151</f>
        <v>95.7949999999999</v>
      </c>
      <c r="BN153" s="214">
        <f>BN147+BN148+BN149+BN150+BN151</f>
        <v>178.877</v>
      </c>
      <c r="BO153" s="214">
        <f>BO147+BO148+BO149+BO150+BO151</f>
        <v>155.394</v>
      </c>
      <c r="BP153" s="214">
        <f>BP147+BP148+BP149+BP150+BP151</f>
        <v>103.377</v>
      </c>
      <c r="BQ153" s="214">
        <f>BQ147+BQ148+BQ149+BQ150+BQ151</f>
        <v>533.443</v>
      </c>
      <c r="BR153" s="214">
        <f>BR147+BR148+BR149+BR150+BR151</f>
        <v>74.61</v>
      </c>
      <c r="BS153" s="214">
        <f>BS147+BS148+BS149+BS150+BS151</f>
        <v>172.589</v>
      </c>
      <c r="BT153" s="214">
        <f>BT147+BT148+BT149+BT150+BT151</f>
        <v>160.826</v>
      </c>
      <c r="BU153" s="214">
        <f>BU147+BU148+BU149+BU150+BU151</f>
        <v>119.942</v>
      </c>
      <c r="BV153" s="214">
        <f>BV147+BV148+BV149+BV150+BV151</f>
        <v>527.967</v>
      </c>
      <c r="BW153" s="214">
        <f>BW147+BW148+BW149+BW150+BW151</f>
        <v>84.35</v>
      </c>
      <c r="BX153" s="214">
        <f>BX147+BX148+BX149+BX150+BX151</f>
        <v>232.119</v>
      </c>
      <c r="BY153" s="176">
        <f>BY147+BY148+BY149+BY150+BY151</f>
        <v>217.998517604976</v>
      </c>
      <c r="BZ153" s="176">
        <f>BZ147+BZ148+BZ149+BZ150+BZ151</f>
        <v>137.744359107352</v>
      </c>
      <c r="CA153" s="176">
        <f>CA147+CA148+CA149+CA150+CA151</f>
        <v>672.211876712329</v>
      </c>
      <c r="CB153" s="176">
        <f>CB147+CB148+CB149+CB150+CB151</f>
        <v>757.337522318045</v>
      </c>
      <c r="CC153" s="176">
        <f>CC147+CC148+CC149+CC150+CC151</f>
        <v>869.705302551443</v>
      </c>
      <c r="CD153" s="176">
        <f>CD147+CD148+CD149+CD150+CD151</f>
        <v>963.674099579777</v>
      </c>
      <c r="CE153" s="176">
        <f>CE147+CE148+CE149+CE150+CE151</f>
        <v>1045.44415842107</v>
      </c>
      <c r="CF153" s="177" t="n"/>
    </row>
    <row r="154" hidden="1" outlineLevel="2" ht="15" customHeight="1">
      <c r="B154" s="26" t="inlineStr">
        <is>
          <t>Provision for (benefit from) income taxes</t>
        </is>
      </c>
      <c r="C154" s="185" t="n">
        <v>6.339</v>
      </c>
      <c r="D154" s="185" t="n">
        <v>28.04</v>
      </c>
      <c r="E154" s="185" t="n">
        <v>36.491</v>
      </c>
      <c r="F154" s="185" t="n">
        <v>26.225</v>
      </c>
      <c r="G154" s="185" t="n">
        <v>56.756</v>
      </c>
      <c r="H154" s="185" t="n">
        <v>57.426</v>
      </c>
      <c r="I154" s="185" t="n">
        <v>-1.944</v>
      </c>
      <c r="J154" s="185" t="n">
        <v>4.978</v>
      </c>
      <c r="K154" s="185" t="n">
        <v>12.411</v>
      </c>
      <c r="L154" s="185" t="n">
        <v>18.771</v>
      </c>
      <c r="M154" s="185" t="n">
        <v>12.159</v>
      </c>
      <c r="N154" s="185" t="n">
        <v>48.319</v>
      </c>
      <c r="O154" s="185" t="n">
        <v>5.57</v>
      </c>
      <c r="P154" s="185" t="n">
        <v>18.406</v>
      </c>
      <c r="Q154" s="185" t="n">
        <v>31.708</v>
      </c>
      <c r="R154" s="185" t="n">
        <v>11.166</v>
      </c>
      <c r="S154" s="185" t="n">
        <v>66.84999999999999</v>
      </c>
      <c r="T154" s="185" t="n">
        <v>-4.638</v>
      </c>
      <c r="U154" s="185" t="n">
        <v>30.454</v>
      </c>
      <c r="V154" s="185" t="n">
        <v>34.586</v>
      </c>
      <c r="W154" s="185" t="n">
        <v>5.142</v>
      </c>
      <c r="X154" s="185" t="n">
        <v>65.544</v>
      </c>
      <c r="Y154" s="185" t="n">
        <v>-2.546</v>
      </c>
      <c r="Z154" s="185" t="n">
        <v>8.702</v>
      </c>
      <c r="AA154" s="185" t="n">
        <v>21.725</v>
      </c>
      <c r="AB154" s="185" t="n">
        <v>20.708</v>
      </c>
      <c r="AC154" s="185" t="n">
        <v>48.589</v>
      </c>
      <c r="AD154" s="185" t="n">
        <v>2.701</v>
      </c>
      <c r="AE154" s="185" t="n">
        <v>23.216</v>
      </c>
      <c r="AF154" s="185" t="n">
        <v>12.575</v>
      </c>
      <c r="AG154" s="185" t="n">
        <v>-80.542</v>
      </c>
      <c r="AH154" s="185" t="n">
        <v>-42.05</v>
      </c>
      <c r="AI154" s="185" t="n">
        <v>3.053</v>
      </c>
      <c r="AJ154" s="185" t="n">
        <v>13.683</v>
      </c>
      <c r="AK154" s="185" t="n">
        <v>11.275</v>
      </c>
      <c r="AL154" s="185" t="n">
        <v>0.835</v>
      </c>
      <c r="AM154" s="185" t="n">
        <v>28.846</v>
      </c>
      <c r="AN154" s="185" t="n">
        <v>5.977</v>
      </c>
      <c r="AO154" s="185" t="n">
        <v>16.025</v>
      </c>
      <c r="AP154" s="185" t="n">
        <v>17.75</v>
      </c>
      <c r="AQ154" s="185" t="n">
        <v>10.747</v>
      </c>
      <c r="AR154" s="185" t="n">
        <v>50.499</v>
      </c>
      <c r="AS154" s="185" t="n">
        <v>9.698</v>
      </c>
      <c r="AT154" s="185" t="n">
        <v>11.859</v>
      </c>
      <c r="AU154" s="185" t="n">
        <v>13.712</v>
      </c>
      <c r="AV154" s="185" t="n">
        <v>4.444</v>
      </c>
      <c r="AW154" s="185" t="n">
        <v>39.713</v>
      </c>
      <c r="AX154" s="185" t="n">
        <v>9.973000000000001</v>
      </c>
      <c r="AY154" s="185" t="n">
        <v>23.395</v>
      </c>
      <c r="AZ154" s="185" t="n">
        <v>21.605</v>
      </c>
      <c r="BA154" s="185" t="n">
        <v>11.495</v>
      </c>
      <c r="BB154" s="185" t="n">
        <v>66.468</v>
      </c>
      <c r="BC154" s="185" t="n">
        <v>17.466</v>
      </c>
      <c r="BD154" s="185" t="n">
        <v>46.886</v>
      </c>
      <c r="BE154" s="185" t="n">
        <v>45.311</v>
      </c>
      <c r="BF154" s="185" t="n">
        <v>16.591</v>
      </c>
      <c r="BG154" s="185" t="n">
        <v>126.254</v>
      </c>
      <c r="BH154" s="185" t="n">
        <v>25.676</v>
      </c>
      <c r="BI154" s="185" t="n">
        <v>42.702</v>
      </c>
      <c r="BJ154" s="185" t="n">
        <v>33.666</v>
      </c>
      <c r="BK154" s="185" t="n">
        <v>23.379</v>
      </c>
      <c r="BL154" s="185" t="n">
        <v>125.423</v>
      </c>
      <c r="BM154" s="185" t="n">
        <v>25.963</v>
      </c>
      <c r="BN154" s="185" t="n">
        <v>45.597</v>
      </c>
      <c r="BO154" s="185" t="n">
        <v>40.181</v>
      </c>
      <c r="BP154" s="185" t="n">
        <v>19.403</v>
      </c>
      <c r="BQ154" s="185" t="n">
        <v>131.144</v>
      </c>
      <c r="BR154" s="185" t="n">
        <v>15.93</v>
      </c>
      <c r="BS154" s="185" t="n">
        <v>45.684</v>
      </c>
      <c r="BT154" s="185" t="n">
        <v>42.027</v>
      </c>
      <c r="BU154" s="185" t="n">
        <v>33.352</v>
      </c>
      <c r="BV154" s="185" t="n">
        <v>136.993</v>
      </c>
      <c r="BW154" s="185" t="n">
        <v>21.149</v>
      </c>
      <c r="BX154" s="185" t="n">
        <v>61.655</v>
      </c>
      <c r="BY154" s="186">
        <f>BY153*BY155</f>
        <v>57.3178913731948</v>
      </c>
      <c r="BZ154" s="186">
        <f>BZ153*BZ155</f>
        <v>36.2168344047736</v>
      </c>
      <c r="CA154" s="186">
        <f>SUM(BW154,BX154,BY154,BZ154)</f>
        <v>176.338725777968</v>
      </c>
      <c r="CB154" s="186">
        <f>CB153*CB155</f>
        <v>196.907755802692</v>
      </c>
      <c r="CC154" s="186">
        <f>CC153*CC155</f>
        <v>226.123378663375</v>
      </c>
      <c r="CD154" s="186">
        <f>CD153*CD155</f>
        <v>250.555265890742</v>
      </c>
      <c r="CE154" s="186">
        <f>CE153*CE155</f>
        <v>271.815481189479</v>
      </c>
      <c r="CF154" s="20" t="inlineStr">
        <is>
          <t>Q3/Q4-26E at the FY26 guidance-implied rate (tax $180.5m / pre-tax $686.5m at the mid-point = 26.3%); 2027E+ input ETR.</t>
        </is>
      </c>
    </row>
    <row r="155" hidden="1" outlineLevel="2" ht="15" customHeight="1">
      <c r="B155" s="26" t="inlineStr">
        <is>
          <t xml:space="preserve">  Effective tax rate</t>
        </is>
      </c>
      <c r="C155" s="190">
        <f>IF(AND(ISNUMBER(C154),ISNUMBER(C153)),IFERROR(C154/C153,""),"")</f>
        <v>0.119709931448643</v>
      </c>
      <c r="D155" s="190">
        <f>IF(AND(ISNUMBER(D154),ISNUMBER(D153)),IFERROR(D154/D153,""),"")</f>
        <v>0.388161355519256</v>
      </c>
      <c r="E155" s="190">
        <f>IF(AND(ISNUMBER(E154),ISNUMBER(E153)),IFERROR(E154/E153,""),"")</f>
        <v>0.388297136533408</v>
      </c>
      <c r="F155" s="190">
        <f>IF(AND(ISNUMBER(F154),ISNUMBER(F153)),IFERROR(F154/F153,""),"")</f>
        <v>0.426616996356064</v>
      </c>
      <c r="G155" s="190">
        <f>IF(AND(ISNUMBER(G154),ISNUMBER(G153)),IFERROR(G154/G153,""),"")</f>
        <v>0.30765894935412</v>
      </c>
      <c r="H155" s="190">
        <f>IF(AND(ISNUMBER(H154),ISNUMBER(H153)),IFERROR(H154/H153,""),"")</f>
        <v>0.310952035434649</v>
      </c>
      <c r="I155" s="190">
        <f>IF(AND(ISNUMBER(I154),ISNUMBER(I153)),IFERROR(I154/I153,""),"")</f>
        <v>-0.0152196038518751</v>
      </c>
      <c r="J155" s="190">
        <f>IF(AND(ISNUMBER(J154),ISNUMBER(J153)),IFERROR(J154/J153,""),"")</f>
        <v>0.321576227390181</v>
      </c>
      <c r="K155" s="190">
        <f>IF(AND(ISNUMBER(K154),ISNUMBER(K153)),IFERROR(K154/K153,""),"")</f>
        <v>0.351456970520771</v>
      </c>
      <c r="L155" s="190">
        <f>IF(AND(ISNUMBER(L154),ISNUMBER(L153)),IFERROR(L154/L153,""),"")</f>
        <v>0.34676346708047</v>
      </c>
      <c r="M155" s="190">
        <f>IF(AND(ISNUMBER(M154),ISNUMBER(M153)),IFERROR(M154/M153,""),"")</f>
        <v>0.31208932238193</v>
      </c>
      <c r="N155" s="190">
        <f>IF(AND(ISNUMBER(N154),ISNUMBER(N153)),IFERROR(N154/N153,""),"")</f>
        <v>0.335816798137401</v>
      </c>
      <c r="O155" s="190">
        <f>IF(AND(ISNUMBER(O154),ISNUMBER(O153)),IFERROR(O154/O153,""),"")</f>
        <v>0.383344803854096</v>
      </c>
      <c r="P155" s="190">
        <f>IF(AND(ISNUMBER(P154),ISNUMBER(P153)),IFERROR(P154/P153,""),"")</f>
        <v>0.39096818046646</v>
      </c>
      <c r="Q155" s="190">
        <f>IF(AND(ISNUMBER(Q154),ISNUMBER(Q153)),IFERROR(Q154/Q153,""),"")</f>
        <v>-0.514498044751659</v>
      </c>
      <c r="R155" s="190">
        <f>IF(AND(ISNUMBER(R154),ISNUMBER(R153)),IFERROR(R154/R153,""),"")</f>
        <v>0.289702410294995</v>
      </c>
      <c r="S155" s="190">
        <f>IF(AND(ISNUMBER(S154),ISNUMBER(S153)),IFERROR(S154/S153,""),"")</f>
        <v>1.73537199522351</v>
      </c>
      <c r="T155" s="190">
        <f>IF(AND(ISNUMBER(T154),ISNUMBER(T153)),IFERROR(T154/T153,""),"")</f>
        <v>0.395497569710926</v>
      </c>
      <c r="U155" s="190">
        <f>IF(AND(ISNUMBER(U154),ISNUMBER(U153)),IFERROR(U154/U153,""),"")</f>
        <v>0.74552620627188</v>
      </c>
      <c r="V155" s="190">
        <f>IF(AND(ISNUMBER(V154),ISNUMBER(V153)),IFERROR(V154/V153,""),"")</f>
        <v>0.462293153687812</v>
      </c>
      <c r="W155" s="190">
        <f>IF(AND(ISNUMBER(W154),ISNUMBER(W153)),IFERROR(W154/W153,""),"")</f>
        <v>0.900525394045542</v>
      </c>
      <c r="X155" s="190">
        <f>IF(AND(ISNUMBER(X154),ISNUMBER(X153)),IFERROR(X154/X153,""),"")</f>
        <v>0.597778304726118</v>
      </c>
      <c r="Y155" s="190">
        <f>IF(AND(ISNUMBER(Y154),ISNUMBER(Y153)),IFERROR(Y154/Y153,""),"")</f>
        <v>0.108724430968954</v>
      </c>
      <c r="Z155" s="190">
        <f>IF(AND(ISNUMBER(Z154),ISNUMBER(Z153)),IFERROR(Z154/Z153,""),"")</f>
        <v>0.686927691821915</v>
      </c>
      <c r="AA155" s="190">
        <f>IF(AND(ISNUMBER(AA154),ISNUMBER(AA153)),IFERROR(AA154/AA153,""),"")</f>
        <v>1.89407149084569</v>
      </c>
      <c r="AB155" s="190">
        <f>IF(AND(ISNUMBER(AB154),ISNUMBER(AB153)),IFERROR(AB154/AB153,""),"")</f>
        <v>2.59011882426514</v>
      </c>
      <c r="AC155" s="190">
        <f>IF(AND(ISNUMBER(AC154),ISNUMBER(AC153)),IFERROR(AC154/AC153,""),"")</f>
        <v>5.57469022487373</v>
      </c>
      <c r="AD155" s="190">
        <f>IF(AND(ISNUMBER(AD154),ISNUMBER(AD153)),IFERROR(AD154/AD153,""),"")</f>
        <v>-0.144500320992938</v>
      </c>
      <c r="AE155" s="190">
        <f>IF(AND(ISNUMBER(AE154),ISNUMBER(AE153)),IFERROR(AE154/AE153,""),"")</f>
        <v>0.472869480202053</v>
      </c>
      <c r="AF155" s="190">
        <f>IF(AND(ISNUMBER(AF154),ISNUMBER(AF153)),IFERROR(AF154/AF153,""),"")</f>
        <v>0.510494052693542</v>
      </c>
      <c r="AG155" s="190">
        <f>IF(AND(ISNUMBER(AG154),ISNUMBER(AG153)),IFERROR(AG154/AG153,""),"")</f>
        <v>-22.05421686747</v>
      </c>
      <c r="AH155" s="190">
        <f>IF(AND(ISNUMBER(AH154),ISNUMBER(AH153)),IFERROR(AH154/AH153,""),"")</f>
        <v>-0.716488609449809</v>
      </c>
      <c r="AI155" s="190">
        <f>IF(AND(ISNUMBER(AI154),ISNUMBER(AI153)),IFERROR(AI154/AI153,""),"")</f>
        <v>-0.318751305074131</v>
      </c>
      <c r="AJ155" s="190">
        <f>IF(AND(ISNUMBER(AJ154),ISNUMBER(AJ153)),IFERROR(AJ154/AJ153,""),"")</f>
        <v>0.307967589466576</v>
      </c>
      <c r="AK155" s="190">
        <f>IF(AND(ISNUMBER(AK154),ISNUMBER(AK153)),IFERROR(AK154/AK153,""),"")</f>
        <v>0.266145784156358</v>
      </c>
      <c r="AL155" s="190">
        <f>IF(AND(ISNUMBER(AL154),ISNUMBER(AL153)),IFERROR(AL154/AL153,""),"")</f>
        <v>0.0483609405768562</v>
      </c>
      <c r="AM155" s="190">
        <f>IF(AND(ISNUMBER(AM154),ISNUMBER(AM153)),IFERROR(AM154/AM153,""),"")</f>
        <v>0.305306830930759</v>
      </c>
      <c r="AN155" s="190">
        <f>IF(AND(ISNUMBER(AN154),ISNUMBER(AN153)),IFERROR(AN154/AN153,""),"")</f>
        <v>0.859628937149429</v>
      </c>
      <c r="AO155" s="190">
        <f>IF(AND(ISNUMBER(AO154),ISNUMBER(AO153)),IFERROR(AO154/AO153,""),"")</f>
        <v>0.30658707838298</v>
      </c>
      <c r="AP155" s="190">
        <f>IF(AND(ISNUMBER(AP154),ISNUMBER(AP153)),IFERROR(AP154/AP153,""),"")</f>
        <v>0.32798093091151</v>
      </c>
      <c r="AQ155" s="190">
        <f>IF(AND(ISNUMBER(AQ154),ISNUMBER(AQ153)),IFERROR(AQ154/AQ153,""),"")</f>
        <v>0.307954610579403</v>
      </c>
      <c r="AR155" s="190">
        <f>IF(AND(ISNUMBER(AR154),ISNUMBER(AR153)),IFERROR(AR154/AR153,""),"")</f>
        <v>0.34065934065934</v>
      </c>
      <c r="AS155" s="190">
        <f>IF(AND(ISNUMBER(AS154),ISNUMBER(AS153)),IFERROR(AS154/AS153,""),"")</f>
        <v>0.455947343676541</v>
      </c>
      <c r="AT155" s="190">
        <f>IF(AND(ISNUMBER(AT154),ISNUMBER(AT153)),IFERROR(AT154/AT153,""),"")</f>
        <v>0.290078763269899</v>
      </c>
      <c r="AU155" s="190">
        <f>IF(AND(ISNUMBER(AU154),ISNUMBER(AU153)),IFERROR(AU154/AU153,""),"")</f>
        <v>0.199819299932966</v>
      </c>
      <c r="AV155" s="190">
        <f>IF(AND(ISNUMBER(AV154),ISNUMBER(AV153)),IFERROR(AV154/AV153,""),"")</f>
        <v>0.101516812865497</v>
      </c>
      <c r="AW155" s="190">
        <f>IF(AND(ISNUMBER(AW154),ISNUMBER(AW153)),IFERROR(AW154/AW153,""),"")</f>
        <v>0.227516470925236</v>
      </c>
      <c r="AX155" s="190">
        <f>IF(AND(ISNUMBER(AX154),ISNUMBER(AX153)),IFERROR(AX154/AX153,""),"")</f>
        <v>0.31451638336119</v>
      </c>
      <c r="AY155" s="190">
        <f>IF(AND(ISNUMBER(AY154),ISNUMBER(AY153)),IFERROR(AY154/AY153,""),"")</f>
        <v>0.258594009063778</v>
      </c>
      <c r="AZ155" s="190">
        <f>IF(AND(ISNUMBER(AZ154),ISNUMBER(AZ153)),IFERROR(AZ154/AZ153,""),"")</f>
        <v>0.248196397389946</v>
      </c>
      <c r="BA155" s="190">
        <f>IF(AND(ISNUMBER(BA154),ISNUMBER(BA153)),IFERROR(BA154/BA153,""),"")</f>
        <v>0.190037693426795</v>
      </c>
      <c r="BB155" s="190">
        <f>IF(AND(ISNUMBER(BB154),ISNUMBER(BB153)),IFERROR(BB154/BB153,""),"")</f>
        <v>0.246437906679273</v>
      </c>
      <c r="BC155" s="190">
        <f>IF(AND(ISNUMBER(BC154),ISNUMBER(BC153)),IFERROR(BC154/BC153,""),"")</f>
        <v>0.278209620898376</v>
      </c>
      <c r="BD155" s="190">
        <f>IF(AND(ISNUMBER(BD154),ISNUMBER(BD153)),IFERROR(BD154/BD153,""),"")</f>
        <v>0.240388017001379</v>
      </c>
      <c r="BE155" s="190">
        <f>IF(AND(ISNUMBER(BE154),ISNUMBER(BE153)),IFERROR(BE154/BE153,""),"")</f>
        <v>0.250184970459942</v>
      </c>
      <c r="BF155" s="190">
        <f>IF(AND(ISNUMBER(BF154),ISNUMBER(BF153)),IFERROR(BF154/BF153,""),"")</f>
        <v>0.167475899661838</v>
      </c>
      <c r="BG155" s="190">
        <f>IF(AND(ISNUMBER(BG154),ISNUMBER(BG153)),IFERROR(BG154/BG153,""),"")</f>
        <v>0.234673734846598</v>
      </c>
      <c r="BH155" s="190">
        <f>IF(AND(ISNUMBER(BH154),ISNUMBER(BH153)),IFERROR(BH154/BH153,""),"")</f>
        <v>0.261794304475056</v>
      </c>
      <c r="BI155" s="190">
        <f>IF(AND(ISNUMBER(BI154),ISNUMBER(BI153)),IFERROR(BI154/BI153,""),"")</f>
        <v>0.269467652775323</v>
      </c>
      <c r="BJ155" s="190">
        <f>IF(AND(ISNUMBER(BJ154),ISNUMBER(BJ153)),IFERROR(BJ154/BJ153,""),"")</f>
        <v>0.269315072876502</v>
      </c>
      <c r="BK155" s="190">
        <f>IF(AND(ISNUMBER(BK154),ISNUMBER(BK153)),IFERROR(BK154/BK153,""),"")</f>
        <v>0.192059345425867</v>
      </c>
      <c r="BL155" s="190">
        <f>IF(AND(ISNUMBER(BL154),ISNUMBER(BL153)),IFERROR(BL154/BL153,""),"")</f>
        <v>0.249211669868999</v>
      </c>
      <c r="BM155" s="190">
        <f>IF(AND(ISNUMBER(BM154),ISNUMBER(BM153)),IFERROR(BM154/BM153,""),"")</f>
        <v>0.271026671538181</v>
      </c>
      <c r="BN155" s="190">
        <f>IF(AND(ISNUMBER(BN154),ISNUMBER(BN153)),IFERROR(BN154/BN153,""),"")</f>
        <v>0.254907003136233</v>
      </c>
      <c r="BO155" s="190">
        <f>IF(AND(ISNUMBER(BO154),ISNUMBER(BO153)),IFERROR(BO154/BO153,""),"")</f>
        <v>0.258574977154845</v>
      </c>
      <c r="BP155" s="190">
        <f>IF(AND(ISNUMBER(BP154),ISNUMBER(BP153)),IFERROR(BP154/BP153,""),"")</f>
        <v>0.187691652882169</v>
      </c>
      <c r="BQ155" s="190">
        <f>IF(AND(ISNUMBER(BQ154),ISNUMBER(BQ153)),IFERROR(BQ154/BQ153,""),"")</f>
        <v>0.245844448235332</v>
      </c>
      <c r="BR155" s="190">
        <f>IF(AND(ISNUMBER(BR154),ISNUMBER(BR153)),IFERROR(BR154/BR153,""),"")</f>
        <v>0.21351025331725</v>
      </c>
      <c r="BS155" s="190">
        <f>IF(AND(ISNUMBER(BS154),ISNUMBER(BS153)),IFERROR(BS154/BS153,""),"")</f>
        <v>0.264698213675263</v>
      </c>
      <c r="BT155" s="190">
        <f>IF(AND(ISNUMBER(BT154),ISNUMBER(BT153)),IFERROR(BT154/BT153,""),"")</f>
        <v>0.261319687115268</v>
      </c>
      <c r="BU155" s="190">
        <f>IF(AND(ISNUMBER(BU154),ISNUMBER(BU153)),IFERROR(BU154/BU153,""),"")</f>
        <v>0.27806773273749</v>
      </c>
      <c r="BV155" s="190">
        <f>IF(AND(ISNUMBER(BV154),ISNUMBER(BV153)),IFERROR(BV154/BV153,""),"")</f>
        <v>0.259472656434967</v>
      </c>
      <c r="BW155" s="190">
        <f>IF(AND(ISNUMBER(BW154),ISNUMBER(BW153)),IFERROR(BW154/BW153,""),"")</f>
        <v>0.250729104919976</v>
      </c>
      <c r="BX155" s="190">
        <f>IF(AND(ISNUMBER(BX154),ISNUMBER(BX153)),IFERROR(BX154/BX153,""),"")</f>
        <v>0.265618066595151</v>
      </c>
      <c r="BY155" s="179">
        <f>$CP$22</f>
        <v>0.262927895120175</v>
      </c>
      <c r="BZ155" s="179">
        <f>$CP$22</f>
        <v>0.262927895120175</v>
      </c>
      <c r="CA155" s="179">
        <f>IF(AND(ISNUMBER(CA154),ISNUMBER(CA153)),IFERROR(CA154/CA153,""),"")</f>
        <v>0.262326108607915</v>
      </c>
      <c r="CB155" s="179">
        <f>0.26</f>
        <v>0.26</v>
      </c>
      <c r="CC155" s="179">
        <f>0.26</f>
        <v>0.26</v>
      </c>
      <c r="CD155" s="179">
        <f>0.26</f>
        <v>0.26</v>
      </c>
      <c r="CE155" s="179">
        <f>0.26</f>
        <v>0.26</v>
      </c>
      <c r="CF155" s="20" t="n"/>
      <c r="CH155" s="39">
        <f>IFERROR(AVERAGE(CA155,CB155,CC155,CD155,CE155),"n/m")</f>
        <v>0.260465221721583</v>
      </c>
      <c r="CI155" s="39">
        <f>IFERROR(AVERAGE(BB155,BG155,BL155,BQ155,BV155),"n/m")</f>
        <v>0.247128083213034</v>
      </c>
      <c r="CJ155" s="39">
        <f>IFERROR(AVERAGE(AC155,AH155,AM155,AR155,AW155,BB155,BG155,BL155,BQ155,BV155),"n/m")</f>
        <v>0.696732467400442</v>
      </c>
      <c r="CK155" s="39">
        <f>IFERROR(AVERAGE(C155,D155,E155,F155,G155,H155,I155,N155,S155,X155,AC155,AH155,AM155,AR155,AW155,BB155,BG155,BL155,BQ155,BV155),"n/m")</f>
        <v>0.578123428644286</v>
      </c>
    </row>
    <row r="156" collapsed="1" ht="15" customHeight="1">
      <c r="B156" s="26" t="inlineStr">
        <is>
          <t>Equity in joint venture, discontinued operations &amp; cumulative effect (net of tax)</t>
        </is>
      </c>
      <c r="C156" s="185" t="n">
        <v>0.061</v>
      </c>
      <c r="D156" s="185" t="n">
        <v>0</v>
      </c>
      <c r="E156" s="185" t="n">
        <v>0</v>
      </c>
      <c r="F156" s="185" t="n">
        <v>1.439</v>
      </c>
      <c r="G156" s="185" t="n">
        <v>2.794</v>
      </c>
      <c r="H156" s="185" t="n">
        <v>0</v>
      </c>
      <c r="I156" s="185" t="n">
        <v>0</v>
      </c>
      <c r="J156" s="185" t="n">
        <v>0</v>
      </c>
      <c r="K156" s="185" t="n">
        <v>0</v>
      </c>
      <c r="L156" s="185" t="n">
        <v>0</v>
      </c>
      <c r="M156" s="185" t="n">
        <v>0</v>
      </c>
      <c r="N156" s="185" t="n">
        <v>0</v>
      </c>
      <c r="O156" s="185" t="n">
        <v>0</v>
      </c>
      <c r="P156" s="185" t="n">
        <v>0</v>
      </c>
      <c r="Q156" s="185" t="n">
        <v>0</v>
      </c>
      <c r="R156" s="185" t="n">
        <v>0</v>
      </c>
      <c r="S156" s="185" t="n">
        <v>0</v>
      </c>
      <c r="T156" s="185" t="n">
        <v>0</v>
      </c>
      <c r="U156" s="185" t="n">
        <v>0</v>
      </c>
      <c r="V156" s="185" t="n">
        <v>0</v>
      </c>
      <c r="W156" s="185" t="n">
        <v>0</v>
      </c>
      <c r="X156" s="185" t="n">
        <v>0</v>
      </c>
      <c r="Y156" s="185" t="n">
        <v>0</v>
      </c>
      <c r="Z156" s="185" t="n">
        <v>0</v>
      </c>
      <c r="AA156" s="185" t="n">
        <v>0</v>
      </c>
      <c r="AB156" s="185" t="n">
        <v>0</v>
      </c>
      <c r="AC156" s="185" t="n">
        <v>0</v>
      </c>
      <c r="AD156" s="185" t="n">
        <v>0</v>
      </c>
      <c r="AE156" s="185" t="n">
        <v>0</v>
      </c>
      <c r="AF156" s="185" t="n">
        <v>0</v>
      </c>
      <c r="AG156" s="185" t="n">
        <v>0</v>
      </c>
      <c r="AH156" s="185" t="n">
        <v>0</v>
      </c>
      <c r="AI156" s="185" t="n">
        <v>0</v>
      </c>
      <c r="AJ156" s="185" t="n">
        <v>0</v>
      </c>
      <c r="AK156" s="185" t="n">
        <v>0</v>
      </c>
      <c r="AL156" s="185" t="n">
        <v>0</v>
      </c>
      <c r="AM156" s="185" t="n">
        <v>0</v>
      </c>
      <c r="AN156" s="185" t="n">
        <v>0</v>
      </c>
      <c r="AO156" s="185" t="n">
        <v>0</v>
      </c>
      <c r="AP156" s="185" t="n">
        <v>0</v>
      </c>
      <c r="AQ156" s="185" t="n">
        <v>0</v>
      </c>
      <c r="AR156" s="185" t="n">
        <v>0</v>
      </c>
      <c r="AS156" s="185" t="n">
        <v>0</v>
      </c>
      <c r="AT156" s="185" t="n">
        <v>0</v>
      </c>
      <c r="AU156" s="185" t="n">
        <v>0</v>
      </c>
      <c r="AV156" s="185" t="n">
        <v>0</v>
      </c>
      <c r="AW156" s="185" t="n">
        <v>0</v>
      </c>
      <c r="AX156" s="185" t="n">
        <v>0</v>
      </c>
      <c r="AY156" s="185" t="n">
        <v>0</v>
      </c>
      <c r="AZ156" s="185" t="n">
        <v>0</v>
      </c>
      <c r="BA156" s="185" t="n">
        <v>0</v>
      </c>
      <c r="BB156" s="185" t="n">
        <v>0</v>
      </c>
      <c r="BC156" s="185" t="n">
        <v>0</v>
      </c>
      <c r="BD156" s="185" t="n">
        <v>0</v>
      </c>
      <c r="BE156" s="185" t="n">
        <v>0</v>
      </c>
      <c r="BF156" s="185" t="n">
        <v>0</v>
      </c>
      <c r="BG156" s="185" t="n">
        <v>0</v>
      </c>
      <c r="BH156" s="185" t="n">
        <v>0</v>
      </c>
      <c r="BI156" s="185" t="n">
        <v>0</v>
      </c>
      <c r="BJ156" s="185" t="n">
        <v>0</v>
      </c>
      <c r="BK156" s="185" t="n">
        <v>0</v>
      </c>
      <c r="BL156" s="185" t="n">
        <v>0</v>
      </c>
      <c r="BM156" s="185" t="n">
        <v>0</v>
      </c>
      <c r="BN156" s="185" t="n">
        <v>0</v>
      </c>
      <c r="BO156" s="185" t="n">
        <v>0</v>
      </c>
      <c r="BP156" s="185" t="n">
        <v>0</v>
      </c>
      <c r="BQ156" s="185" t="n">
        <v>0</v>
      </c>
      <c r="BR156" s="185" t="n">
        <v>0</v>
      </c>
      <c r="BS156" s="185" t="n">
        <v>0</v>
      </c>
      <c r="BT156" s="185" t="n">
        <v>0</v>
      </c>
      <c r="BU156" s="185" t="n">
        <v>0</v>
      </c>
      <c r="BV156" s="185" t="n">
        <v>0</v>
      </c>
      <c r="BW156" s="185" t="n">
        <v>0</v>
      </c>
      <c r="BX156" s="185" t="n">
        <v>0</v>
      </c>
      <c r="BY156" s="201" t="n">
        <v>0</v>
      </c>
      <c r="BZ156" s="201" t="n">
        <v>0</v>
      </c>
      <c r="CA156" s="186">
        <f>SUM(BW156,BX156,BY156,BZ156)</f>
        <v>0</v>
      </c>
      <c r="CB156" s="186">
        <f>0</f>
        <v>0</v>
      </c>
      <c r="CC156" s="186">
        <f>0</f>
        <v>0</v>
      </c>
      <c r="CD156" s="186">
        <f>0</f>
        <v>0</v>
      </c>
      <c r="CE156" s="186">
        <f>0</f>
        <v>0</v>
      </c>
      <c r="CF156" s="20" t="inlineStr">
        <is>
          <t>Discontinued operations 2009–10 (Eveready / divested businesses); JV 2006.</t>
        </is>
      </c>
    </row>
    <row r="157" ht="15" customHeight="1">
      <c r="B157" s="209" t="inlineStr">
        <is>
          <t>Net income</t>
        </is>
      </c>
      <c r="C157" s="210">
        <f>C153-C154+C156</f>
        <v>46.6749999999999</v>
      </c>
      <c r="D157" s="210">
        <f>D153-D154+D156</f>
        <v>44.198</v>
      </c>
      <c r="E157" s="210">
        <f>E153-E154+E156</f>
        <v>57.4859999999999</v>
      </c>
      <c r="F157" s="210">
        <f>F153-F154+F156</f>
        <v>36.6860000000001</v>
      </c>
      <c r="G157" s="210">
        <f>G153-G154+G156</f>
        <v>130.515</v>
      </c>
      <c r="H157" s="210">
        <f>H153-H154+H156</f>
        <v>127.252</v>
      </c>
      <c r="I157" s="210">
        <f>I153-I154+I156</f>
        <v>129.674</v>
      </c>
      <c r="J157" s="210">
        <f>J153-J154+J156</f>
        <v>10.502</v>
      </c>
      <c r="K157" s="210">
        <f>K153-K154+K156</f>
        <v>22.902</v>
      </c>
      <c r="L157" s="210">
        <f>L153-L154+L156</f>
        <v>35.3609999999999</v>
      </c>
      <c r="M157" s="210">
        <f>M153-M154+M156</f>
        <v>26.801</v>
      </c>
      <c r="N157" s="210">
        <f>N153-N154+N156</f>
        <v>95.5660000000002</v>
      </c>
      <c r="O157" s="210">
        <f>O153-O154+O156</f>
        <v>8.95999999999998</v>
      </c>
      <c r="P157" s="210">
        <f>P153-P154+P156</f>
        <v>28.672</v>
      </c>
      <c r="Q157" s="210">
        <f>Q153-Q154+Q156</f>
        <v>-93.337</v>
      </c>
      <c r="R157" s="210">
        <f>R153-R154+R156</f>
        <v>27.377</v>
      </c>
      <c r="S157" s="210">
        <f>S153-S154+S156</f>
        <v>-28.328</v>
      </c>
      <c r="T157" s="210">
        <f>T153-T154+T156</f>
        <v>-7.08899999999992</v>
      </c>
      <c r="U157" s="210">
        <f>U153-U154+U156</f>
        <v>10.395</v>
      </c>
      <c r="V157" s="210">
        <f>V153-V154+V156</f>
        <v>40.228</v>
      </c>
      <c r="W157" s="210">
        <f>W153-W154+W156</f>
        <v>0.567999999999951</v>
      </c>
      <c r="X157" s="210">
        <f>X153-X154+X156</f>
        <v>44.1020000000002</v>
      </c>
      <c r="Y157" s="210">
        <f>Y153-Y154+Y156</f>
        <v>-20.871</v>
      </c>
      <c r="Z157" s="210">
        <f>Z153-Z154+Z156</f>
        <v>3.96599999999998</v>
      </c>
      <c r="AA157" s="210">
        <f>AA153-AA154+AA156</f>
        <v>-10.255</v>
      </c>
      <c r="AB157" s="210">
        <f>AB153-AB154+AB156</f>
        <v>-12.7129999999999</v>
      </c>
      <c r="AC157" s="210">
        <f>AC153-AC154+AC156</f>
        <v>-39.8729999999999</v>
      </c>
      <c r="AD157" s="210">
        <f>AD153-AD154+AD156</f>
        <v>-21.393</v>
      </c>
      <c r="AE157" s="210">
        <f>AE153-AE154+AE156</f>
        <v>25.88</v>
      </c>
      <c r="AF157" s="210">
        <f>AF153-AF154+AF156</f>
        <v>12.058</v>
      </c>
      <c r="AG157" s="210">
        <f>AG153-AG154+AG156</f>
        <v>84.194</v>
      </c>
      <c r="AH157" s="210">
        <f>AH153-AH154+AH156</f>
        <v>100.739</v>
      </c>
      <c r="AI157" s="210">
        <f>AI153-AI154+AI156</f>
        <v>-12.6309999999999</v>
      </c>
      <c r="AJ157" s="210">
        <f>AJ153-AJ154+AJ156</f>
        <v>30.747</v>
      </c>
      <c r="AK157" s="210">
        <f>AK153-AK154+AK156</f>
        <v>31.0890000000001</v>
      </c>
      <c r="AL157" s="210">
        <f>AL153-AL154+AL156</f>
        <v>16.431</v>
      </c>
      <c r="AM157" s="210">
        <f>AM153-AM154+AM156</f>
        <v>65.636</v>
      </c>
      <c r="AN157" s="210">
        <f>AN153-AN154+AN156</f>
        <v>0.976000000000024</v>
      </c>
      <c r="AO157" s="210">
        <f>AO153-AO154+AO156</f>
        <v>36.244</v>
      </c>
      <c r="AP157" s="210">
        <f>AP153-AP154+AP156</f>
        <v>36.369</v>
      </c>
      <c r="AQ157" s="210">
        <f>AQ153-AQ154+AQ156</f>
        <v>24.1509999999999</v>
      </c>
      <c r="AR157" s="210">
        <f>AR153-AR154+AR156</f>
        <v>97.7400000000002</v>
      </c>
      <c r="AS157" s="210">
        <f>AS153-AS154+AS156</f>
        <v>11.5719999999999</v>
      </c>
      <c r="AT157" s="210">
        <f>AT153-AT154+AT156</f>
        <v>29.023</v>
      </c>
      <c r="AU157" s="210">
        <f>AU153-AU154+AU156</f>
        <v>54.9100000000001</v>
      </c>
      <c r="AV157" s="210">
        <f>AV153-AV154+AV156</f>
        <v>39.3320000000001</v>
      </c>
      <c r="AW157" s="210">
        <f>AW153-AW154+AW156</f>
        <v>134.837</v>
      </c>
      <c r="AX157" s="210">
        <f>AX153-AX154+AX156</f>
        <v>21.7360000000001</v>
      </c>
      <c r="AY157" s="210">
        <f>AY153-AY154+AY156</f>
        <v>67.075</v>
      </c>
      <c r="AZ157" s="210">
        <f>AZ153-AZ154+AZ156</f>
        <v>65.4430000000001</v>
      </c>
      <c r="BA157" s="210">
        <f>BA153-BA154+BA156</f>
        <v>48.993</v>
      </c>
      <c r="BB157" s="210">
        <f>BB153-BB154+BB156</f>
        <v>203.247</v>
      </c>
      <c r="BC157" s="210">
        <f>BC153-BC154+BC156</f>
        <v>45.3139999999999</v>
      </c>
      <c r="BD157" s="210">
        <f>BD153-BD154+BD156</f>
        <v>148.157</v>
      </c>
      <c r="BE157" s="210">
        <f>BE153-BE154+BE156</f>
        <v>135.799</v>
      </c>
      <c r="BF157" s="210">
        <f>BF153-BF154+BF156</f>
        <v>82.474</v>
      </c>
      <c r="BG157" s="210">
        <f>BG153-BG154+BG156</f>
        <v>411.744</v>
      </c>
      <c r="BH157" s="210">
        <f>BH153-BH154+BH156</f>
        <v>72.4009999999999</v>
      </c>
      <c r="BI157" s="210">
        <f>BI153-BI154+BI156</f>
        <v>115.766</v>
      </c>
      <c r="BJ157" s="210">
        <f>BJ153-BJ154+BJ156</f>
        <v>91.3399999999999</v>
      </c>
      <c r="BK157" s="210">
        <f>BK153-BK154+BK156</f>
        <v>98.3490000000001</v>
      </c>
      <c r="BL157" s="210">
        <f>BL153-BL154+BL156</f>
        <v>377.856</v>
      </c>
      <c r="BM157" s="210">
        <f>BM153-BM154+BM156</f>
        <v>69.8319999999999</v>
      </c>
      <c r="BN157" s="210">
        <f>BN153-BN154+BN156</f>
        <v>133.28</v>
      </c>
      <c r="BO157" s="210">
        <f>BO153-BO154+BO156</f>
        <v>115.213</v>
      </c>
      <c r="BP157" s="210">
        <f>BP153-BP154+BP156</f>
        <v>83.974</v>
      </c>
      <c r="BQ157" s="210">
        <f>BQ153-BQ154+BQ156</f>
        <v>402.299</v>
      </c>
      <c r="BR157" s="210">
        <f>BR153-BR154+BR156</f>
        <v>58.68</v>
      </c>
      <c r="BS157" s="210">
        <f>BS153-BS154+BS156</f>
        <v>126.905</v>
      </c>
      <c r="BT157" s="210">
        <f>BT153-BT154+BT156</f>
        <v>118.799</v>
      </c>
      <c r="BU157" s="210">
        <f>BU153-BU154+BU156</f>
        <v>86.5899999999999</v>
      </c>
      <c r="BV157" s="210">
        <f>BV153-BV154+BV156</f>
        <v>390.974</v>
      </c>
      <c r="BW157" s="210">
        <f>BW153-BW154+BW156</f>
        <v>63.201</v>
      </c>
      <c r="BX157" s="210">
        <f>BX153-BX154+BX156</f>
        <v>170.464</v>
      </c>
      <c r="BY157" s="210">
        <f>BY153-BY154+BY156</f>
        <v>160.680626231782</v>
      </c>
      <c r="BZ157" s="210">
        <f>BZ153-BZ154+BZ156</f>
        <v>101.527524702579</v>
      </c>
      <c r="CA157" s="210">
        <f>CA153-CA154+CA156</f>
        <v>495.873150934361</v>
      </c>
      <c r="CB157" s="210">
        <f>CB153-CB154+CB156</f>
        <v>560.429766515353</v>
      </c>
      <c r="CC157" s="210">
        <f>CC153-CC154+CC156</f>
        <v>643.581923888068</v>
      </c>
      <c r="CD157" s="210">
        <f>CD153-CD154+CD156</f>
        <v>713.118833689035</v>
      </c>
      <c r="CE157" s="210">
        <f>CE153-CE154+CE156</f>
        <v>773.628677231593</v>
      </c>
      <c r="CF157" s="20" t="n"/>
      <c r="CH157" s="21">
        <f>IFERROR((CE157/BV157)^(1/5)-1,"n/m")</f>
        <v>0.146243633457006</v>
      </c>
      <c r="CI157" s="21">
        <f>IFERROR((BV157/AW157)^(1/5)-1,"n/m")</f>
        <v>0.237279334514368</v>
      </c>
      <c r="CJ157" s="21">
        <f>IFERROR((BV157/X157)^(1/10)-1,"n/m")</f>
        <v>0.243852717320895</v>
      </c>
      <c r="CK157" s="21">
        <f>IFERROR((BV157/C157)^(1/19)-1,"n/m")</f>
        <v>0.118361716924521</v>
      </c>
    </row>
    <row r="158" ht="15" customHeight="1">
      <c r="B158" s="61" t="inlineStr">
        <is>
          <t xml:space="preserve">  Check: net income vs reported (should be 0; ±0.1 rounding tolerated)</t>
        </is>
      </c>
      <c r="C158" s="188">
        <f>IF(ISNUMBER(C159),IF(ABS(C157-C159)&lt;=0.15,0,ROUND(C157-C159,1)),"")</f>
        <v>0</v>
      </c>
      <c r="D158" s="188">
        <f>IF(ISNUMBER(D159),IF(ABS(D157-D159)&lt;=0.15,0,ROUND(D157-D159,1)),"")</f>
        <v>0</v>
      </c>
      <c r="E158" s="188">
        <f>IF(ISNUMBER(E159),IF(ABS(E157-E159)&lt;=0.15,0,ROUND(E157-E159,1)),"")</f>
        <v>0</v>
      </c>
      <c r="F158" s="188">
        <f>IF(ISNUMBER(F159),IF(ABS(F157-F159)&lt;=0.15,0,ROUND(F157-F159,1)),"")</f>
        <v>0</v>
      </c>
      <c r="G158" s="188">
        <f>IF(ISNUMBER(G159),IF(ABS(G157-G159)&lt;=0.15,0,ROUND(G157-G159,1)),"")</f>
        <v>0</v>
      </c>
      <c r="H158" s="188">
        <f>IF(ISNUMBER(H159),IF(ABS(H157-H159)&lt;=0.15,0,ROUND(H157-H159,1)),"")</f>
        <v>0</v>
      </c>
      <c r="I158" s="188">
        <f>IF(ISNUMBER(I159),IF(ABS(I157-I159)&lt;=0.15,0,ROUND(I157-I159,1)),"")</f>
        <v>0</v>
      </c>
      <c r="J158" s="188">
        <f>IF(ISNUMBER(J159),IF(ABS(J157-J159)&lt;=0.15,0,ROUND(J157-J159,1)),"")</f>
        <v>0</v>
      </c>
      <c r="K158" s="188">
        <f>IF(ISNUMBER(K159),IF(ABS(K157-K159)&lt;=0.15,0,ROUND(K157-K159,1)),"")</f>
        <v>0</v>
      </c>
      <c r="L158" s="188">
        <f>IF(ISNUMBER(L159),IF(ABS(L157-L159)&lt;=0.15,0,ROUND(L157-L159,1)),"")</f>
        <v>0</v>
      </c>
      <c r="M158" s="188">
        <f>IF(ISNUMBER(M159),IF(ABS(M157-M159)&lt;=0.15,0,ROUND(M157-M159,1)),"")</f>
        <v>0</v>
      </c>
      <c r="N158" s="188">
        <f>IF(ISNUMBER(N159),IF(ABS(N157-N159)&lt;=0.15,0,ROUND(N157-N159,1)),"")</f>
        <v>0</v>
      </c>
      <c r="O158" s="188">
        <f>IF(ISNUMBER(O159),IF(ABS(O157-O159)&lt;=0.15,0,ROUND(O157-O159,1)),"")</f>
        <v>0</v>
      </c>
      <c r="P158" s="188">
        <f>IF(ISNUMBER(P159),IF(ABS(P157-P159)&lt;=0.15,0,ROUND(P157-P159,1)),"")</f>
        <v>0</v>
      </c>
      <c r="Q158" s="188">
        <f>IF(ISNUMBER(Q159),IF(ABS(Q157-Q159)&lt;=0.15,0,ROUND(Q157-Q159,1)),"")</f>
        <v>0</v>
      </c>
      <c r="R158" s="188">
        <f>IF(ISNUMBER(R159),IF(ABS(R157-R159)&lt;=0.15,0,ROUND(R157-R159,1)),"")</f>
        <v>0</v>
      </c>
      <c r="S158" s="188">
        <f>IF(ISNUMBER(S159),IF(ABS(S157-S159)&lt;=0.15,0,ROUND(S157-S159,1)),"")</f>
        <v>0</v>
      </c>
      <c r="T158" s="188">
        <f>IF(ISNUMBER(T159),IF(ABS(T157-T159)&lt;=0.15,0,ROUND(T157-T159,1)),"")</f>
        <v>0</v>
      </c>
      <c r="U158" s="188">
        <f>IF(ISNUMBER(U159),IF(ABS(U157-U159)&lt;=0.15,0,ROUND(U157-U159,1)),"")</f>
        <v>0</v>
      </c>
      <c r="V158" s="188">
        <f>IF(ISNUMBER(V159),IF(ABS(V157-V159)&lt;=0.15,0,ROUND(V157-V159,1)),"")</f>
        <v>0</v>
      </c>
      <c r="W158" s="188">
        <f>IF(ISNUMBER(W159),IF(ABS(W157-W159)&lt;=0.15,0,ROUND(W157-W159,1)),"")</f>
        <v>0</v>
      </c>
      <c r="X158" s="188">
        <f>IF(ISNUMBER(X159),IF(ABS(X157-X159)&lt;=0.15,0,ROUND(X157-X159,1)),"")</f>
        <v>0</v>
      </c>
      <c r="Y158" s="188">
        <f>IF(ISNUMBER(Y159),IF(ABS(Y157-Y159)&lt;=0.15,0,ROUND(Y157-Y159,1)),"")</f>
        <v>0</v>
      </c>
      <c r="Z158" s="188">
        <f>IF(ISNUMBER(Z159),IF(ABS(Z157-Z159)&lt;=0.15,0,ROUND(Z157-Z159,1)),"")</f>
        <v>0</v>
      </c>
      <c r="AA158" s="188">
        <f>IF(ISNUMBER(AA159),IF(ABS(AA157-AA159)&lt;=0.15,0,ROUND(AA157-AA159,1)),"")</f>
        <v>0</v>
      </c>
      <c r="AB158" s="188">
        <f>IF(ISNUMBER(AB159),IF(ABS(AB157-AB159)&lt;=0.15,0,ROUND(AB157-AB159,1)),"")</f>
        <v>0</v>
      </c>
      <c r="AC158" s="188">
        <f>IF(ISNUMBER(AC159),IF(ABS(AC157-AC159)&lt;=0.15,0,ROUND(AC157-AC159,1)),"")</f>
        <v>0</v>
      </c>
      <c r="AD158" s="188">
        <f>IF(ISNUMBER(AD159),IF(ABS(AD157-AD159)&lt;=0.15,0,ROUND(AD157-AD159,1)),"")</f>
        <v>0</v>
      </c>
      <c r="AE158" s="188">
        <f>IF(ISNUMBER(AE159),IF(ABS(AE157-AE159)&lt;=0.15,0,ROUND(AE157-AE159,1)),"")</f>
        <v>0</v>
      </c>
      <c r="AF158" s="188">
        <f>IF(ISNUMBER(AF159),IF(ABS(AF157-AF159)&lt;=0.15,0,ROUND(AF157-AF159,1)),"")</f>
        <v>0</v>
      </c>
      <c r="AG158" s="188">
        <f>IF(ISNUMBER(AG159),IF(ABS(AG157-AG159)&lt;=0.15,0,ROUND(AG157-AG159,1)),"")</f>
        <v>0</v>
      </c>
      <c r="AH158" s="188">
        <f>IF(ISNUMBER(AH159),IF(ABS(AH157-AH159)&lt;=0.15,0,ROUND(AH157-AH159,1)),"")</f>
        <v>0</v>
      </c>
      <c r="AI158" s="188">
        <f>IF(ISNUMBER(AI159),IF(ABS(AI157-AI159)&lt;=0.15,0,ROUND(AI157-AI159,1)),"")</f>
        <v>0</v>
      </c>
      <c r="AJ158" s="188">
        <f>IF(ISNUMBER(AJ159),IF(ABS(AJ157-AJ159)&lt;=0.15,0,ROUND(AJ157-AJ159,1)),"")</f>
        <v>0</v>
      </c>
      <c r="AK158" s="188">
        <f>IF(ISNUMBER(AK159),IF(ABS(AK157-AK159)&lt;=0.15,0,ROUND(AK157-AK159,1)),"")</f>
        <v>0</v>
      </c>
      <c r="AL158" s="188">
        <f>IF(ISNUMBER(AL159),IF(ABS(AL157-AL159)&lt;=0.15,0,ROUND(AL157-AL159,1)),"")</f>
        <v>0</v>
      </c>
      <c r="AM158" s="188">
        <f>IF(ISNUMBER(AM159),IF(ABS(AM157-AM159)&lt;=0.15,0,ROUND(AM157-AM159,1)),"")</f>
        <v>0</v>
      </c>
      <c r="AN158" s="188">
        <f>IF(ISNUMBER(AN159),IF(ABS(AN157-AN159)&lt;=0.15,0,ROUND(AN157-AN159,1)),"")</f>
        <v>0</v>
      </c>
      <c r="AO158" s="188">
        <f>IF(ISNUMBER(AO159),IF(ABS(AO157-AO159)&lt;=0.15,0,ROUND(AO157-AO159,1)),"")</f>
        <v>0</v>
      </c>
      <c r="AP158" s="188">
        <f>IF(ISNUMBER(AP159),IF(ABS(AP157-AP159)&lt;=0.15,0,ROUND(AP157-AP159,1)),"")</f>
        <v>0</v>
      </c>
      <c r="AQ158" s="188">
        <f>IF(ISNUMBER(AQ159),IF(ABS(AQ157-AQ159)&lt;=0.15,0,ROUND(AQ157-AQ159,1)),"")</f>
        <v>0</v>
      </c>
      <c r="AR158" s="188">
        <f>IF(ISNUMBER(AR159),IF(ABS(AR157-AR159)&lt;=0.15,0,ROUND(AR157-AR159,1)),"")</f>
        <v>0</v>
      </c>
      <c r="AS158" s="188">
        <f>IF(ISNUMBER(AS159),IF(ABS(AS157-AS159)&lt;=0.15,0,ROUND(AS157-AS159,1)),"")</f>
        <v>0</v>
      </c>
      <c r="AT158" s="188">
        <f>IF(ISNUMBER(AT159),IF(ABS(AT157-AT159)&lt;=0.15,0,ROUND(AT157-AT159,1)),"")</f>
        <v>0</v>
      </c>
      <c r="AU158" s="188">
        <f>IF(ISNUMBER(AU159),IF(ABS(AU157-AU159)&lt;=0.15,0,ROUND(AU157-AU159,1)),"")</f>
        <v>0</v>
      </c>
      <c r="AV158" s="188">
        <f>IF(ISNUMBER(AV159),IF(ABS(AV157-AV159)&lt;=0.15,0,ROUND(AV157-AV159,1)),"")</f>
        <v>0</v>
      </c>
      <c r="AW158" s="188">
        <f>IF(ISNUMBER(AW159),IF(ABS(AW157-AW159)&lt;=0.15,0,ROUND(AW157-AW159,1)),"")</f>
        <v>0</v>
      </c>
      <c r="AX158" s="188">
        <f>IF(ISNUMBER(AX159),IF(ABS(AX157-AX159)&lt;=0.15,0,ROUND(AX157-AX159,1)),"")</f>
        <v>0</v>
      </c>
      <c r="AY158" s="188">
        <f>IF(ISNUMBER(AY159),IF(ABS(AY157-AY159)&lt;=0.15,0,ROUND(AY157-AY159,1)),"")</f>
        <v>0</v>
      </c>
      <c r="AZ158" s="188">
        <f>IF(ISNUMBER(AZ159),IF(ABS(AZ157-AZ159)&lt;=0.15,0,ROUND(AZ157-AZ159,1)),"")</f>
        <v>0</v>
      </c>
      <c r="BA158" s="188">
        <f>IF(ISNUMBER(BA159),IF(ABS(BA157-BA159)&lt;=0.15,0,ROUND(BA157-BA159,1)),"")</f>
        <v>0</v>
      </c>
      <c r="BB158" s="188">
        <f>IF(ISNUMBER(BB159),IF(ABS(BB157-BB159)&lt;=0.15,0,ROUND(BB157-BB159,1)),"")</f>
        <v>0</v>
      </c>
      <c r="BC158" s="188">
        <f>IF(ISNUMBER(BC159),IF(ABS(BC157-BC159)&lt;=0.15,0,ROUND(BC157-BC159,1)),"")</f>
        <v>0</v>
      </c>
      <c r="BD158" s="188">
        <f>IF(ISNUMBER(BD159),IF(ABS(BD157-BD159)&lt;=0.15,0,ROUND(BD157-BD159,1)),"")</f>
        <v>0</v>
      </c>
      <c r="BE158" s="188">
        <f>IF(ISNUMBER(BE159),IF(ABS(BE157-BE159)&lt;=0.15,0,ROUND(BE157-BE159,1)),"")</f>
        <v>0</v>
      </c>
      <c r="BF158" s="188">
        <f>IF(ISNUMBER(BF159),IF(ABS(BF157-BF159)&lt;=0.15,0,ROUND(BF157-BF159,1)),"")</f>
        <v>0</v>
      </c>
      <c r="BG158" s="188">
        <f>IF(ISNUMBER(BG159),IF(ABS(BG157-BG159)&lt;=0.15,0,ROUND(BG157-BG159,1)),"")</f>
        <v>0</v>
      </c>
      <c r="BH158" s="188">
        <f>IF(ISNUMBER(BH159),IF(ABS(BH157-BH159)&lt;=0.15,0,ROUND(BH157-BH159,1)),"")</f>
        <v>0</v>
      </c>
      <c r="BI158" s="188">
        <f>IF(ISNUMBER(BI159),IF(ABS(BI157-BI159)&lt;=0.15,0,ROUND(BI157-BI159,1)),"")</f>
        <v>0</v>
      </c>
      <c r="BJ158" s="188">
        <f>IF(ISNUMBER(BJ159),IF(ABS(BJ157-BJ159)&lt;=0.15,0,ROUND(BJ157-BJ159,1)),"")</f>
        <v>0</v>
      </c>
      <c r="BK158" s="188">
        <f>IF(ISNUMBER(BK159),IF(ABS(BK157-BK159)&lt;=0.15,0,ROUND(BK157-BK159,1)),"")</f>
        <v>0</v>
      </c>
      <c r="BL158" s="188">
        <f>IF(ISNUMBER(BL159),IF(ABS(BL157-BL159)&lt;=0.15,0,ROUND(BL157-BL159,1)),"")</f>
        <v>0</v>
      </c>
      <c r="BM158" s="188">
        <f>IF(ISNUMBER(BM159),IF(ABS(BM157-BM159)&lt;=0.15,0,ROUND(BM157-BM159,1)),"")</f>
        <v>0</v>
      </c>
      <c r="BN158" s="188">
        <f>IF(ISNUMBER(BN159),IF(ABS(BN157-BN159)&lt;=0.15,0,ROUND(BN157-BN159,1)),"")</f>
        <v>0</v>
      </c>
      <c r="BO158" s="188">
        <f>IF(ISNUMBER(BO159),IF(ABS(BO157-BO159)&lt;=0.15,0,ROUND(BO157-BO159,1)),"")</f>
        <v>0</v>
      </c>
      <c r="BP158" s="188">
        <f>IF(ISNUMBER(BP159),IF(ABS(BP157-BP159)&lt;=0.15,0,ROUND(BP157-BP159,1)),"")</f>
        <v>0</v>
      </c>
      <c r="BQ158" s="188">
        <f>IF(ISNUMBER(BQ159),IF(ABS(BQ157-BQ159)&lt;=0.15,0,ROUND(BQ157-BQ159,1)),"")</f>
        <v>0</v>
      </c>
      <c r="BR158" s="188">
        <f>IF(ISNUMBER(BR159),IF(ABS(BR157-BR159)&lt;=0.15,0,ROUND(BR157-BR159,1)),"")</f>
        <v>0</v>
      </c>
      <c r="BS158" s="188">
        <f>IF(ISNUMBER(BS159),IF(ABS(BS157-BS159)&lt;=0.15,0,ROUND(BS157-BS159,1)),"")</f>
        <v>0</v>
      </c>
      <c r="BT158" s="188">
        <f>IF(ISNUMBER(BT159),IF(ABS(BT157-BT159)&lt;=0.15,0,ROUND(BT157-BT159,1)),"")</f>
        <v>0</v>
      </c>
      <c r="BU158" s="188">
        <f>IF(ISNUMBER(BU159),IF(ABS(BU157-BU159)&lt;=0.15,0,ROUND(BU157-BU159,1)),"")</f>
        <v>0</v>
      </c>
      <c r="BV158" s="188">
        <f>IF(ISNUMBER(BV159),IF(ABS(BV157-BV159)&lt;=0.15,0,ROUND(BV157-BV159,1)),"")</f>
        <v>0</v>
      </c>
      <c r="BW158" s="188">
        <f>IF(ISNUMBER(BW159),IF(ABS(BW157-BW159)&lt;=0.15,0,ROUND(BW157-BW159,1)),"")</f>
        <v>0</v>
      </c>
      <c r="BX158" s="188">
        <f>IF(ISNUMBER(BX159),IF(ABS(BX157-BX159)&lt;=0.15,0,ROUND(BX157-BX159,1)),"")</f>
        <v>0</v>
      </c>
      <c r="BY158" s="189" t="n"/>
      <c r="BZ158" s="189" t="n"/>
      <c r="CA158" s="189" t="n"/>
      <c r="CB158" s="189" t="n"/>
      <c r="CC158" s="189" t="n"/>
      <c r="CD158" s="189" t="n"/>
      <c r="CE158" s="189" t="n"/>
      <c r="CF158" s="177" t="n"/>
    </row>
    <row r="159" ht="15" customHeight="1">
      <c r="B159" s="42" t="inlineStr">
        <is>
          <t xml:space="preserve">  Memo: net income as reported</t>
        </is>
      </c>
      <c r="C159" s="200" t="n">
        <v>46.675</v>
      </c>
      <c r="D159" s="200" t="n">
        <v>44.198</v>
      </c>
      <c r="E159" s="200" t="n">
        <v>57.486</v>
      </c>
      <c r="F159" s="200" t="n">
        <v>36.686</v>
      </c>
      <c r="G159" s="200" t="n">
        <v>130.515</v>
      </c>
      <c r="H159" s="200" t="n">
        <v>127.252</v>
      </c>
      <c r="I159" s="200" t="n">
        <v>129.674</v>
      </c>
      <c r="J159" s="200" t="n">
        <v>10.502</v>
      </c>
      <c r="K159" s="200" t="n">
        <v>22.902</v>
      </c>
      <c r="L159" s="200" t="n">
        <v>35.361</v>
      </c>
      <c r="M159" s="200" t="n">
        <v>26.801</v>
      </c>
      <c r="N159" s="200" t="n">
        <v>95.566</v>
      </c>
      <c r="O159" s="200" t="n">
        <v>8.960000000000001</v>
      </c>
      <c r="P159" s="200" t="n">
        <v>28.672</v>
      </c>
      <c r="Q159" s="200" t="n">
        <v>-93.337</v>
      </c>
      <c r="R159" s="200" t="n">
        <v>27.377</v>
      </c>
      <c r="S159" s="200" t="n">
        <v>-28.328</v>
      </c>
      <c r="T159" s="200" t="n">
        <v>-7.089</v>
      </c>
      <c r="U159" s="200" t="n">
        <v>10.395</v>
      </c>
      <c r="V159" s="200" t="n">
        <v>40.228</v>
      </c>
      <c r="W159" s="200" t="n">
        <v>0.5679999999999999</v>
      </c>
      <c r="X159" s="200" t="n">
        <v>44.102</v>
      </c>
      <c r="Y159" s="200" t="n">
        <v>-20.871</v>
      </c>
      <c r="Z159" s="200" t="n">
        <v>3.966</v>
      </c>
      <c r="AA159" s="200" t="n">
        <v>-10.255</v>
      </c>
      <c r="AB159" s="200" t="n">
        <v>-12.713</v>
      </c>
      <c r="AC159" s="200" t="n">
        <v>-39.873</v>
      </c>
      <c r="AD159" s="200" t="n">
        <v>-21.393</v>
      </c>
      <c r="AE159" s="200" t="n">
        <v>25.88</v>
      </c>
      <c r="AF159" s="200" t="n">
        <v>12.058</v>
      </c>
      <c r="AG159" s="200" t="n">
        <v>84.194</v>
      </c>
      <c r="AH159" s="200" t="n">
        <v>100.739</v>
      </c>
      <c r="AI159" s="200" t="n">
        <v>-12.631</v>
      </c>
      <c r="AJ159" s="200" t="n">
        <v>30.747</v>
      </c>
      <c r="AK159" s="200" t="n">
        <v>31.089</v>
      </c>
      <c r="AL159" s="200" t="n">
        <v>16.431</v>
      </c>
      <c r="AM159" s="200" t="n">
        <v>65.636</v>
      </c>
      <c r="AN159" s="200" t="n">
        <v>0.976</v>
      </c>
      <c r="AO159" s="200" t="n">
        <v>36.244</v>
      </c>
      <c r="AP159" s="200" t="n">
        <v>36.369</v>
      </c>
      <c r="AQ159" s="200" t="n">
        <v>24.151</v>
      </c>
      <c r="AR159" s="200" t="n">
        <v>97.73999999999999</v>
      </c>
      <c r="AS159" s="200" t="n">
        <v>11.572</v>
      </c>
      <c r="AT159" s="200" t="n">
        <v>29.023</v>
      </c>
      <c r="AU159" s="200" t="n">
        <v>54.91</v>
      </c>
      <c r="AV159" s="200" t="n">
        <v>39.332</v>
      </c>
      <c r="AW159" s="200" t="n">
        <v>134.837</v>
      </c>
      <c r="AX159" s="200" t="n">
        <v>21.736</v>
      </c>
      <c r="AY159" s="200" t="n">
        <v>67.075</v>
      </c>
      <c r="AZ159" s="200" t="n">
        <v>65.443</v>
      </c>
      <c r="BA159" s="200" t="n">
        <v>48.993</v>
      </c>
      <c r="BB159" s="200" t="n">
        <v>203.247</v>
      </c>
      <c r="BC159" s="200" t="n">
        <v>45.314</v>
      </c>
      <c r="BD159" s="200" t="n">
        <v>148.157</v>
      </c>
      <c r="BE159" s="200" t="n">
        <v>135.799</v>
      </c>
      <c r="BF159" s="200" t="n">
        <v>82.474</v>
      </c>
      <c r="BG159" s="200" t="n">
        <v>411.744</v>
      </c>
      <c r="BH159" s="200" t="n">
        <v>72.401</v>
      </c>
      <c r="BI159" s="200" t="n">
        <v>115.766</v>
      </c>
      <c r="BJ159" s="200" t="n">
        <v>91.34</v>
      </c>
      <c r="BK159" s="200" t="n">
        <v>98.349</v>
      </c>
      <c r="BL159" s="200" t="n">
        <v>377.856</v>
      </c>
      <c r="BM159" s="200" t="n">
        <v>69.83199999999999</v>
      </c>
      <c r="BN159" s="200" t="n">
        <v>133.28</v>
      </c>
      <c r="BO159" s="200" t="n">
        <v>115.213</v>
      </c>
      <c r="BP159" s="200" t="n">
        <v>83.974</v>
      </c>
      <c r="BQ159" s="200" t="n">
        <v>402.299</v>
      </c>
      <c r="BR159" s="200" t="n">
        <v>58.68</v>
      </c>
      <c r="BS159" s="200" t="n">
        <v>126.905</v>
      </c>
      <c r="BT159" s="200" t="n">
        <v>118.799</v>
      </c>
      <c r="BU159" s="200" t="n">
        <v>86.59</v>
      </c>
      <c r="BV159" s="200" t="n">
        <v>390.974</v>
      </c>
      <c r="BW159" s="200" t="n">
        <v>63.201</v>
      </c>
      <c r="BX159" s="200" t="n">
        <v>170.464</v>
      </c>
      <c r="BY159" s="189" t="n"/>
      <c r="BZ159" s="189" t="n"/>
      <c r="CA159" s="189" t="n"/>
      <c r="CB159" s="189" t="n"/>
      <c r="CC159" s="189" t="n"/>
      <c r="CD159" s="189" t="n"/>
      <c r="CE159" s="189" t="n"/>
      <c r="CF159" s="177" t="n"/>
    </row>
    <row r="160" ht="15" customHeight="1">
      <c r="B160" s="26" t="inlineStr">
        <is>
          <t xml:space="preserve">  Less: preferred stock dividends / redemption (Series B &amp; C; to 2007)</t>
        </is>
      </c>
      <c r="C160" s="200" t="n">
        <v>0.276</v>
      </c>
      <c r="D160" s="200" t="n">
        <v>0.206</v>
      </c>
      <c r="E160" s="200" t="n">
        <v>0</v>
      </c>
      <c r="F160" s="200" t="n">
        <v>0</v>
      </c>
      <c r="G160" s="199" t="n"/>
      <c r="H160" s="199" t="n"/>
      <c r="I160" s="199" t="n"/>
      <c r="J160" s="199" t="n"/>
      <c r="K160" s="199" t="n"/>
      <c r="L160" s="199" t="n"/>
      <c r="M160" s="199" t="n"/>
      <c r="N160" s="199" t="n"/>
      <c r="O160" s="199" t="n"/>
      <c r="P160" s="199" t="n"/>
      <c r="Q160" s="199" t="n"/>
      <c r="R160" s="199" t="n"/>
      <c r="S160" s="199" t="n"/>
      <c r="T160" s="199" t="n"/>
      <c r="U160" s="199" t="n"/>
      <c r="V160" s="199" t="n"/>
      <c r="W160" s="199" t="n"/>
      <c r="X160" s="199" t="n"/>
      <c r="Y160" s="199" t="n"/>
      <c r="Z160" s="199" t="n"/>
      <c r="AA160" s="199" t="n"/>
      <c r="AB160" s="199" t="n"/>
      <c r="AC160" s="199" t="n"/>
      <c r="AD160" s="199" t="n"/>
      <c r="AE160" s="199" t="n"/>
      <c r="AF160" s="199" t="n"/>
      <c r="AG160" s="199" t="n"/>
      <c r="AH160" s="199" t="n"/>
      <c r="AI160" s="199" t="n"/>
      <c r="AJ160" s="199" t="n"/>
      <c r="AK160" s="199" t="n"/>
      <c r="AL160" s="199" t="n"/>
      <c r="AM160" s="199" t="n"/>
      <c r="AN160" s="199" t="n"/>
      <c r="AO160" s="199" t="n"/>
      <c r="AP160" s="199" t="n"/>
      <c r="AQ160" s="199" t="n"/>
      <c r="AR160" s="199" t="n"/>
      <c r="AS160" s="199" t="n"/>
      <c r="AT160" s="199" t="n"/>
      <c r="AU160" s="199" t="n"/>
      <c r="AV160" s="199" t="n"/>
      <c r="AW160" s="199" t="n"/>
      <c r="AX160" s="199" t="n"/>
      <c r="AY160" s="199" t="n"/>
      <c r="AZ160" s="199" t="n"/>
      <c r="BA160" s="199" t="n"/>
      <c r="BB160" s="199" t="n"/>
      <c r="BC160" s="199" t="n"/>
      <c r="BD160" s="199" t="n"/>
      <c r="BE160" s="199" t="n"/>
      <c r="BF160" s="199" t="n"/>
      <c r="BG160" s="199" t="n"/>
      <c r="BH160" s="199" t="n"/>
      <c r="BI160" s="199" t="n"/>
      <c r="BJ160" s="199" t="n"/>
      <c r="BK160" s="199" t="n"/>
      <c r="BL160" s="199" t="n"/>
      <c r="BM160" s="199" t="n"/>
      <c r="BN160" s="199" t="n"/>
      <c r="BO160" s="199" t="n"/>
      <c r="BP160" s="199" t="n"/>
      <c r="BQ160" s="199" t="n"/>
      <c r="BR160" s="199" t="n"/>
      <c r="BS160" s="199" t="n"/>
      <c r="BT160" s="199" t="n"/>
      <c r="BU160" s="199" t="n"/>
      <c r="BV160" s="199" t="n"/>
      <c r="BW160" s="199" t="n"/>
      <c r="BX160" s="199" t="n"/>
      <c r="BY160" s="215" t="n">
        <v>0</v>
      </c>
      <c r="BZ160" s="215" t="n">
        <v>0</v>
      </c>
      <c r="CA160" s="216">
        <f>SUM(BW160,BX160,BY160,BZ160)</f>
        <v>0</v>
      </c>
      <c r="CB160" s="216">
        <f>0</f>
        <v>0</v>
      </c>
      <c r="CC160" s="216">
        <f>0</f>
        <v>0</v>
      </c>
      <c r="CD160" s="216">
        <f>0</f>
        <v>0</v>
      </c>
      <c r="CE160" s="216">
        <f>0</f>
        <v>0</v>
      </c>
      <c r="CF160" s="20" t="n"/>
    </row>
    <row r="161" ht="15" customHeight="1">
      <c r="B161" s="17" t="inlineStr">
        <is>
          <t>Net income attributable to common stockholders</t>
        </is>
      </c>
      <c r="C161" s="214">
        <f>C157-N(C160)</f>
        <v>46.3989999999999</v>
      </c>
      <c r="D161" s="214">
        <f>D157-N(D160)</f>
        <v>43.992</v>
      </c>
      <c r="E161" s="214">
        <f>E157-N(E160)</f>
        <v>57.4859999999999</v>
      </c>
      <c r="F161" s="214">
        <f>F157-N(F160)</f>
        <v>36.6860000000001</v>
      </c>
      <c r="G161" s="214">
        <f>G157-N(G160)</f>
        <v>130.515</v>
      </c>
      <c r="H161" s="214">
        <f>H157-N(H160)</f>
        <v>127.252</v>
      </c>
      <c r="I161" s="214">
        <f>I157-N(I160)</f>
        <v>129.674</v>
      </c>
      <c r="J161" s="214">
        <f>J157-N(J160)</f>
        <v>10.502</v>
      </c>
      <c r="K161" s="214">
        <f>K157-N(K160)</f>
        <v>22.902</v>
      </c>
      <c r="L161" s="214">
        <f>L157-N(L160)</f>
        <v>35.3609999999999</v>
      </c>
      <c r="M161" s="214">
        <f>M157-N(M160)</f>
        <v>26.801</v>
      </c>
      <c r="N161" s="214">
        <f>N157-N(N160)</f>
        <v>95.5660000000002</v>
      </c>
      <c r="O161" s="214">
        <f>O157-N(O160)</f>
        <v>8.95999999999998</v>
      </c>
      <c r="P161" s="214">
        <f>P157-N(P160)</f>
        <v>28.672</v>
      </c>
      <c r="Q161" s="214">
        <f>Q157-N(Q160)</f>
        <v>-93.337</v>
      </c>
      <c r="R161" s="214">
        <f>R157-N(R160)</f>
        <v>27.377</v>
      </c>
      <c r="S161" s="214">
        <f>S157-N(S160)</f>
        <v>-28.328</v>
      </c>
      <c r="T161" s="214">
        <f>T157-N(T160)</f>
        <v>-7.08899999999992</v>
      </c>
      <c r="U161" s="214">
        <f>U157-N(U160)</f>
        <v>10.395</v>
      </c>
      <c r="V161" s="214">
        <f>V157-N(V160)</f>
        <v>40.228</v>
      </c>
      <c r="W161" s="214">
        <f>W157-N(W160)</f>
        <v>0.567999999999951</v>
      </c>
      <c r="X161" s="214">
        <f>X157-N(X160)</f>
        <v>44.1020000000002</v>
      </c>
      <c r="Y161" s="214">
        <f>Y157-N(Y160)</f>
        <v>-20.871</v>
      </c>
      <c r="Z161" s="214">
        <f>Z157-N(Z160)</f>
        <v>3.96599999999998</v>
      </c>
      <c r="AA161" s="214">
        <f>AA157-N(AA160)</f>
        <v>-10.255</v>
      </c>
      <c r="AB161" s="214">
        <f>AB157-N(AB160)</f>
        <v>-12.7129999999999</v>
      </c>
      <c r="AC161" s="214">
        <f>AC157-N(AC160)</f>
        <v>-39.8729999999999</v>
      </c>
      <c r="AD161" s="214">
        <f>AD157-N(AD160)</f>
        <v>-21.393</v>
      </c>
      <c r="AE161" s="214">
        <f>AE157-N(AE160)</f>
        <v>25.88</v>
      </c>
      <c r="AF161" s="214">
        <f>AF157-N(AF160)</f>
        <v>12.058</v>
      </c>
      <c r="AG161" s="214">
        <f>AG157-N(AG160)</f>
        <v>84.194</v>
      </c>
      <c r="AH161" s="214">
        <f>AH157-N(AH160)</f>
        <v>100.739</v>
      </c>
      <c r="AI161" s="214">
        <f>AI157-N(AI160)</f>
        <v>-12.6309999999999</v>
      </c>
      <c r="AJ161" s="214">
        <f>AJ157-N(AJ160)</f>
        <v>30.747</v>
      </c>
      <c r="AK161" s="214">
        <f>AK157-N(AK160)</f>
        <v>31.0890000000001</v>
      </c>
      <c r="AL161" s="214">
        <f>AL157-N(AL160)</f>
        <v>16.431</v>
      </c>
      <c r="AM161" s="214">
        <f>AM157-N(AM160)</f>
        <v>65.636</v>
      </c>
      <c r="AN161" s="214">
        <f>AN157-N(AN160)</f>
        <v>0.976000000000024</v>
      </c>
      <c r="AO161" s="214">
        <f>AO157-N(AO160)</f>
        <v>36.244</v>
      </c>
      <c r="AP161" s="214">
        <f>AP157-N(AP160)</f>
        <v>36.369</v>
      </c>
      <c r="AQ161" s="214">
        <f>AQ157-N(AQ160)</f>
        <v>24.1509999999999</v>
      </c>
      <c r="AR161" s="214">
        <f>AR157-N(AR160)</f>
        <v>97.7400000000002</v>
      </c>
      <c r="AS161" s="214">
        <f>AS157-N(AS160)</f>
        <v>11.5719999999999</v>
      </c>
      <c r="AT161" s="214">
        <f>AT157-N(AT160)</f>
        <v>29.023</v>
      </c>
      <c r="AU161" s="214">
        <f>AU157-N(AU160)</f>
        <v>54.9100000000001</v>
      </c>
      <c r="AV161" s="214">
        <f>AV157-N(AV160)</f>
        <v>39.3320000000001</v>
      </c>
      <c r="AW161" s="214">
        <f>AW157-N(AW160)</f>
        <v>134.837</v>
      </c>
      <c r="AX161" s="214">
        <f>AX157-N(AX160)</f>
        <v>21.7360000000001</v>
      </c>
      <c r="AY161" s="214">
        <f>AY157-N(AY160)</f>
        <v>67.075</v>
      </c>
      <c r="AZ161" s="214">
        <f>AZ157-N(AZ160)</f>
        <v>65.4430000000001</v>
      </c>
      <c r="BA161" s="214">
        <f>BA157-N(BA160)</f>
        <v>48.993</v>
      </c>
      <c r="BB161" s="214">
        <f>BB157-N(BB160)</f>
        <v>203.247</v>
      </c>
      <c r="BC161" s="214">
        <f>BC157-N(BC160)</f>
        <v>45.3139999999999</v>
      </c>
      <c r="BD161" s="214">
        <f>BD157-N(BD160)</f>
        <v>148.157</v>
      </c>
      <c r="BE161" s="214">
        <f>BE157-N(BE160)</f>
        <v>135.799</v>
      </c>
      <c r="BF161" s="214">
        <f>BF157-N(BF160)</f>
        <v>82.474</v>
      </c>
      <c r="BG161" s="214">
        <f>BG157-N(BG160)</f>
        <v>411.744</v>
      </c>
      <c r="BH161" s="214">
        <f>BH157-N(BH160)</f>
        <v>72.4009999999999</v>
      </c>
      <c r="BI161" s="214">
        <f>BI157-N(BI160)</f>
        <v>115.766</v>
      </c>
      <c r="BJ161" s="214">
        <f>BJ157-N(BJ160)</f>
        <v>91.3399999999999</v>
      </c>
      <c r="BK161" s="214">
        <f>BK157-N(BK160)</f>
        <v>98.3490000000001</v>
      </c>
      <c r="BL161" s="214">
        <f>BL157-N(BL160)</f>
        <v>377.856</v>
      </c>
      <c r="BM161" s="214">
        <f>BM157-N(BM160)</f>
        <v>69.8319999999999</v>
      </c>
      <c r="BN161" s="214">
        <f>BN157-N(BN160)</f>
        <v>133.28</v>
      </c>
      <c r="BO161" s="214">
        <f>BO157-N(BO160)</f>
        <v>115.213</v>
      </c>
      <c r="BP161" s="214">
        <f>BP157-N(BP160)</f>
        <v>83.974</v>
      </c>
      <c r="BQ161" s="214">
        <f>BQ157-N(BQ160)</f>
        <v>402.299</v>
      </c>
      <c r="BR161" s="214">
        <f>BR157-N(BR160)</f>
        <v>58.68</v>
      </c>
      <c r="BS161" s="214">
        <f>BS157-N(BS160)</f>
        <v>126.905</v>
      </c>
      <c r="BT161" s="214">
        <f>BT157-N(BT160)</f>
        <v>118.799</v>
      </c>
      <c r="BU161" s="214">
        <f>BU157-N(BU160)</f>
        <v>86.5899999999999</v>
      </c>
      <c r="BV161" s="214">
        <f>BV157-N(BV160)</f>
        <v>390.974</v>
      </c>
      <c r="BW161" s="214">
        <f>BW157-N(BW160)</f>
        <v>63.201</v>
      </c>
      <c r="BX161" s="214">
        <f>BX157-N(BX160)</f>
        <v>170.464</v>
      </c>
      <c r="BY161" s="176">
        <f>BY157-N(BY160)</f>
        <v>160.680626231782</v>
      </c>
      <c r="BZ161" s="176">
        <f>BZ157-N(BZ160)</f>
        <v>101.527524702579</v>
      </c>
      <c r="CA161" s="176">
        <f>CA157-N(CA160)</f>
        <v>495.873150934361</v>
      </c>
      <c r="CB161" s="176">
        <f>CB157-N(CB160)</f>
        <v>560.429766515353</v>
      </c>
      <c r="CC161" s="176">
        <f>CC157-N(CC160)</f>
        <v>643.581923888068</v>
      </c>
      <c r="CD161" s="176">
        <f>CD157-N(CD160)</f>
        <v>713.118833689035</v>
      </c>
      <c r="CE161" s="176">
        <f>CE157-N(CE160)</f>
        <v>773.628677231593</v>
      </c>
      <c r="CF161" s="177" t="n"/>
    </row>
    <row r="162" ht="15" customHeight="1">
      <c r="B162" s="42" t="inlineStr">
        <is>
          <t xml:space="preserve">  Memo: stock-based compensation (cash-flow statement)</t>
        </is>
      </c>
      <c r="C162" s="200" t="n">
        <v>3.387</v>
      </c>
      <c r="D162" s="200" t="n">
        <v>4.799</v>
      </c>
      <c r="E162" s="200" t="n">
        <v>3.565</v>
      </c>
      <c r="F162" s="200" t="n">
        <v>0.968</v>
      </c>
      <c r="G162" s="200" t="n">
        <v>7.219</v>
      </c>
      <c r="H162" s="200" t="n">
        <v>8.164</v>
      </c>
      <c r="I162" s="200" t="n">
        <v>7.494</v>
      </c>
      <c r="J162" s="200" t="n">
        <v>1.887</v>
      </c>
      <c r="K162" s="200" t="n">
        <v>2.037</v>
      </c>
      <c r="L162" s="200" t="n">
        <v>2.465</v>
      </c>
      <c r="M162" s="200" t="n">
        <v>2.557</v>
      </c>
      <c r="N162" s="200" t="n">
        <v>8.946</v>
      </c>
      <c r="O162" s="200" t="n">
        <v>2.278</v>
      </c>
      <c r="P162" s="200" t="n">
        <v>2.062</v>
      </c>
      <c r="Q162" s="200" t="n">
        <v>2.106</v>
      </c>
      <c r="R162" s="200" t="n">
        <v>2.354</v>
      </c>
      <c r="S162" s="200" t="n">
        <v>8.800000000000001</v>
      </c>
      <c r="T162" s="200" t="n">
        <v>1.85</v>
      </c>
      <c r="U162" s="200" t="n">
        <v>4.296</v>
      </c>
      <c r="V162" s="200" t="n">
        <v>0.404</v>
      </c>
      <c r="W162" s="200" t="n">
        <v>2</v>
      </c>
      <c r="X162" s="200" t="n">
        <v>8.550000000000001</v>
      </c>
      <c r="Y162" s="200" t="n">
        <v>2.093</v>
      </c>
      <c r="Z162" s="200" t="n">
        <v>2.646</v>
      </c>
      <c r="AA162" s="200" t="n">
        <v>2.996</v>
      </c>
      <c r="AB162" s="200" t="n">
        <v>2.746</v>
      </c>
      <c r="AC162" s="200" t="n">
        <v>10.481</v>
      </c>
      <c r="AD162" s="200" t="n">
        <v>2.271</v>
      </c>
      <c r="AE162" s="200" t="n">
        <v>2.901</v>
      </c>
      <c r="AF162" s="200" t="n">
        <v>4.04</v>
      </c>
      <c r="AG162" s="200" t="n">
        <v>3.934</v>
      </c>
      <c r="AH162" s="200" t="n">
        <v>13.146</v>
      </c>
      <c r="AI162" s="200" t="n">
        <v>3.077</v>
      </c>
      <c r="AJ162" s="200" t="n">
        <v>3.562</v>
      </c>
      <c r="AK162" s="200" t="n">
        <v>4.087</v>
      </c>
      <c r="AL162" s="200" t="n">
        <v>6.066</v>
      </c>
      <c r="AM162" s="200" t="n">
        <v>16.792</v>
      </c>
      <c r="AN162" s="200" t="n">
        <v>5.809</v>
      </c>
      <c r="AO162" s="200" t="n">
        <v>3.834</v>
      </c>
      <c r="AP162" s="200" t="n">
        <v>5.021</v>
      </c>
      <c r="AQ162" s="200" t="n">
        <v>3.152</v>
      </c>
      <c r="AR162" s="200" t="n">
        <v>17.816</v>
      </c>
      <c r="AS162" s="200" t="n">
        <v>3.291</v>
      </c>
      <c r="AT162" s="200" t="n">
        <v>2.786</v>
      </c>
      <c r="AU162" s="200" t="n">
        <v>6.662</v>
      </c>
      <c r="AV162" s="200" t="n">
        <v>5.763</v>
      </c>
      <c r="AW162" s="200" t="n">
        <v>18.502</v>
      </c>
      <c r="AX162" s="200" t="n">
        <v>3.48</v>
      </c>
      <c r="AY162" s="200" t="n">
        <v>3.305</v>
      </c>
      <c r="AZ162" s="200" t="n">
        <v>6.001</v>
      </c>
      <c r="BA162" s="200" t="n">
        <v>6.053</v>
      </c>
      <c r="BB162" s="200" t="n">
        <v>18.839</v>
      </c>
      <c r="BC162" s="200" t="n">
        <v>5.712</v>
      </c>
      <c r="BD162" s="200" t="n">
        <v>6.835</v>
      </c>
      <c r="BE162" s="200" t="n">
        <v>7.828</v>
      </c>
      <c r="BF162" s="200" t="n">
        <v>6.469</v>
      </c>
      <c r="BG162" s="200" t="n">
        <v>26.844</v>
      </c>
      <c r="BH162" s="200" t="n">
        <v>6.018</v>
      </c>
      <c r="BI162" s="200" t="n">
        <v>4.5</v>
      </c>
      <c r="BJ162" s="200" t="n">
        <v>4.291</v>
      </c>
      <c r="BK162" s="200" t="n">
        <v>5.894</v>
      </c>
      <c r="BL162" s="200" t="n">
        <v>20.703</v>
      </c>
      <c r="BM162" s="200" t="n">
        <v>6.338</v>
      </c>
      <c r="BN162" s="200" t="n">
        <v>8.515000000000001</v>
      </c>
      <c r="BO162" s="200" t="n">
        <v>5.837</v>
      </c>
      <c r="BP162" s="200" t="n">
        <v>7.291</v>
      </c>
      <c r="BQ162" s="200" t="n">
        <v>27.981</v>
      </c>
      <c r="BR162" s="200" t="n">
        <v>7.635</v>
      </c>
      <c r="BS162" s="200" t="n">
        <v>6.063</v>
      </c>
      <c r="BT162" s="200" t="n">
        <v>8.922000000000001</v>
      </c>
      <c r="BU162" s="200" t="n">
        <v>10.082</v>
      </c>
      <c r="BV162" s="200" t="n">
        <v>32.702</v>
      </c>
      <c r="BW162" s="200" t="n">
        <v>9.577999999999999</v>
      </c>
      <c r="BX162" s="200" t="n">
        <v>14.818</v>
      </c>
      <c r="BY162" s="211">
        <f>($CP$18-BW162-BX162)/2</f>
        <v>12.552</v>
      </c>
      <c r="BZ162" s="211">
        <f>($CP$18-BW162-BX162)/2</f>
        <v>12.552</v>
      </c>
      <c r="CA162" s="211">
        <f>SUM(BW162,BX162,BY162,BZ162)</f>
        <v>49.5</v>
      </c>
      <c r="CB162" s="211">
        <f>CB138*CB134</f>
        <v>54.5805360870373</v>
      </c>
      <c r="CC162" s="211">
        <f>CC138*CC134</f>
        <v>59.0738372429246</v>
      </c>
      <c r="CD162" s="211">
        <f>CD138*CD134</f>
        <v>63.6245205400043</v>
      </c>
      <c r="CE162" s="211">
        <f>CE138*CE134</f>
        <v>68.3241687021129</v>
      </c>
      <c r="CF162" s="177" t="inlineStr">
        <is>
          <t>Q3/Q4-26E: (FY26 guidance mid $49.5m − 1H/26) ÷ 2.</t>
        </is>
      </c>
    </row>
    <row r="163" ht="15" customHeight="1">
      <c r="B163" s="26" t="inlineStr">
        <is>
          <t>(Earnings per share)</t>
        </is>
      </c>
      <c r="C163" s="217" t="n"/>
      <c r="D163" s="217" t="n"/>
      <c r="E163" s="217" t="n"/>
      <c r="F163" s="217" t="n"/>
      <c r="G163" s="217" t="n"/>
      <c r="H163" s="217" t="n"/>
      <c r="I163" s="217" t="n"/>
      <c r="J163" s="217" t="n"/>
      <c r="K163" s="217" t="n"/>
      <c r="L163" s="217" t="n"/>
      <c r="M163" s="217" t="n"/>
      <c r="N163" s="217" t="n"/>
      <c r="O163" s="217" t="n"/>
      <c r="P163" s="217" t="n"/>
      <c r="Q163" s="217" t="n"/>
      <c r="R163" s="217" t="n"/>
      <c r="S163" s="217" t="n"/>
      <c r="T163" s="217" t="n"/>
      <c r="U163" s="217" t="n"/>
      <c r="V163" s="217" t="n"/>
      <c r="W163" s="217" t="n"/>
      <c r="X163" s="217" t="n"/>
      <c r="Y163" s="217" t="n"/>
      <c r="Z163" s="217" t="n"/>
      <c r="AA163" s="217" t="n"/>
      <c r="AB163" s="217" t="n"/>
      <c r="AC163" s="217" t="n"/>
      <c r="AD163" s="217" t="n"/>
      <c r="AE163" s="217" t="n"/>
      <c r="AF163" s="217" t="n"/>
      <c r="AG163" s="217" t="n"/>
      <c r="AH163" s="217" t="n"/>
      <c r="AI163" s="217" t="n"/>
      <c r="AJ163" s="217" t="n"/>
      <c r="AK163" s="217" t="n"/>
      <c r="AL163" s="217" t="n"/>
      <c r="AM163" s="217" t="n"/>
      <c r="AN163" s="217" t="n"/>
      <c r="AO163" s="217" t="n"/>
      <c r="AP163" s="217" t="n"/>
      <c r="AQ163" s="217" t="n"/>
      <c r="AR163" s="217" t="n"/>
      <c r="AS163" s="217" t="n"/>
      <c r="AT163" s="217" t="n"/>
      <c r="AU163" s="217" t="n"/>
      <c r="AV163" s="217" t="n"/>
      <c r="AW163" s="217" t="n"/>
      <c r="AX163" s="217" t="n"/>
      <c r="AY163" s="217" t="n"/>
      <c r="AZ163" s="217" t="n"/>
      <c r="BA163" s="217" t="n"/>
      <c r="BB163" s="217" t="n"/>
      <c r="BC163" s="217" t="n"/>
      <c r="BD163" s="217" t="n"/>
      <c r="BE163" s="217" t="n"/>
      <c r="BF163" s="217" t="n"/>
      <c r="BG163" s="217" t="n"/>
      <c r="BH163" s="217" t="n"/>
      <c r="BI163" s="217" t="n"/>
      <c r="BJ163" s="217" t="n"/>
      <c r="BK163" s="217" t="n"/>
      <c r="BL163" s="217" t="n"/>
      <c r="BM163" s="217" t="n"/>
      <c r="BN163" s="217" t="n"/>
      <c r="BO163" s="217" t="n"/>
      <c r="BP163" s="217" t="n"/>
      <c r="BQ163" s="217" t="n"/>
      <c r="BR163" s="217" t="n"/>
      <c r="BS163" s="217" t="n"/>
      <c r="BT163" s="217" t="n"/>
      <c r="BU163" s="217" t="n"/>
      <c r="BV163" s="217" t="n"/>
      <c r="BW163" s="217" t="n"/>
      <c r="BX163" s="217" t="n"/>
      <c r="BY163" s="218" t="n"/>
      <c r="BZ163" s="218" t="n"/>
      <c r="CA163" s="218" t="n"/>
      <c r="CB163" s="218" t="n"/>
      <c r="CC163" s="218" t="n"/>
      <c r="CD163" s="218" t="n"/>
      <c r="CE163" s="218" t="n"/>
      <c r="CF163" s="20" t="n"/>
    </row>
    <row r="164" ht="15" customHeight="1">
      <c r="B164" s="26" t="inlineStr">
        <is>
          <t xml:space="preserve">  Weighted-average basic shares (m)</t>
        </is>
      </c>
      <c r="C164" s="200" t="n">
        <v>19.526</v>
      </c>
      <c r="D164" s="200" t="n">
        <v>19.827</v>
      </c>
      <c r="E164" s="200" t="n">
        <v>22.465</v>
      </c>
      <c r="F164" s="200" t="n">
        <v>24.817</v>
      </c>
      <c r="G164" s="200" t="n">
        <v>26.311</v>
      </c>
      <c r="H164" s="200" t="n">
        <v>52.961</v>
      </c>
      <c r="I164" s="200" t="n">
        <v>53.884</v>
      </c>
      <c r="J164" s="200" t="n">
        <v>60.464</v>
      </c>
      <c r="K164" s="200" t="n">
        <v>60.55</v>
      </c>
      <c r="L164" s="200" t="n">
        <v>60.61</v>
      </c>
      <c r="M164" s="200" t="n">
        <v>60.671</v>
      </c>
      <c r="N164" s="200" t="n">
        <v>60.574</v>
      </c>
      <c r="O164" s="200" t="n">
        <v>60.72</v>
      </c>
      <c r="P164" s="200" t="n">
        <v>60.665</v>
      </c>
      <c r="Q164" s="200" t="n">
        <v>60.369</v>
      </c>
      <c r="R164" s="200" t="n">
        <v>59.491</v>
      </c>
      <c r="S164" s="200" t="n">
        <v>60.311</v>
      </c>
      <c r="T164" s="200" t="n">
        <v>58.875</v>
      </c>
      <c r="U164" s="200" t="n">
        <v>58.59</v>
      </c>
      <c r="V164" s="200" t="n">
        <v>58.161</v>
      </c>
      <c r="W164" s="200" t="n">
        <v>57.594</v>
      </c>
      <c r="X164" s="200" t="n">
        <v>58.324</v>
      </c>
      <c r="Y164" s="200" t="n">
        <v>57.617</v>
      </c>
      <c r="Z164" s="200" t="n">
        <v>57.549</v>
      </c>
      <c r="AA164" s="200" t="n">
        <v>57.487</v>
      </c>
      <c r="AB164" s="200" t="n">
        <v>57.35</v>
      </c>
      <c r="AC164" s="200" t="n">
        <v>57.532</v>
      </c>
      <c r="AD164" s="200" t="n">
        <v>57.262</v>
      </c>
      <c r="AE164" s="200" t="n">
        <v>57.19</v>
      </c>
      <c r="AF164" s="200" t="n">
        <v>57.033</v>
      </c>
      <c r="AG164" s="200" t="n">
        <v>56.81</v>
      </c>
      <c r="AH164" s="200" t="n">
        <v>57.072</v>
      </c>
      <c r="AI164" s="200" t="n">
        <v>56.457</v>
      </c>
      <c r="AJ164" s="200" t="n">
        <v>56.41</v>
      </c>
      <c r="AK164" s="200" t="n">
        <v>56.059</v>
      </c>
      <c r="AL164" s="200" t="n">
        <v>55.927</v>
      </c>
      <c r="AM164" s="200" t="n">
        <v>56.148</v>
      </c>
      <c r="AN164" s="200" t="n">
        <v>55.848</v>
      </c>
      <c r="AO164" s="200" t="n">
        <v>55.875</v>
      </c>
      <c r="AP164" s="200" t="n">
        <v>55.85</v>
      </c>
      <c r="AQ164" s="200" t="n">
        <v>55.806</v>
      </c>
      <c r="AR164" s="200" t="n">
        <v>55.845</v>
      </c>
      <c r="AS164" s="200" t="n">
        <v>55.757</v>
      </c>
      <c r="AT164" s="200" t="n">
        <v>55.59</v>
      </c>
      <c r="AU164" s="200" t="n">
        <v>55.592</v>
      </c>
      <c r="AV164" s="200" t="n">
        <v>54.982</v>
      </c>
      <c r="AW164" s="200" t="n">
        <v>55.479</v>
      </c>
      <c r="AX164" s="200" t="n">
        <v>54.723</v>
      </c>
      <c r="AY164" s="200" t="n">
        <v>54.529</v>
      </c>
      <c r="AZ164" s="200" t="n">
        <v>54.411</v>
      </c>
      <c r="BA164" s="200" t="n">
        <v>54.398</v>
      </c>
      <c r="BB164" s="200" t="n">
        <v>54.514</v>
      </c>
      <c r="BC164" s="200" t="n">
        <v>54.408</v>
      </c>
      <c r="BD164" s="200" t="n">
        <v>54.318</v>
      </c>
      <c r="BE164" s="200" t="n">
        <v>54.111</v>
      </c>
      <c r="BF164" s="200" t="n">
        <v>54.059</v>
      </c>
      <c r="BG164" s="200" t="n">
        <v>54.223</v>
      </c>
      <c r="BH164" s="200" t="n">
        <v>54.076</v>
      </c>
      <c r="BI164" s="200" t="n">
        <v>54.092</v>
      </c>
      <c r="BJ164" s="200" t="n">
        <v>54.122</v>
      </c>
      <c r="BK164" s="200" t="n">
        <v>53.995</v>
      </c>
      <c r="BL164" s="200" t="n">
        <v>54.071</v>
      </c>
      <c r="BM164" s="200" t="n">
        <v>53.93</v>
      </c>
      <c r="BN164" s="200" t="n">
        <v>53.932</v>
      </c>
      <c r="BO164" s="200" t="n">
        <v>53.951</v>
      </c>
      <c r="BP164" s="200" t="n">
        <v>53.857</v>
      </c>
      <c r="BQ164" s="200" t="n">
        <v>53.902</v>
      </c>
      <c r="BR164" s="200" t="n">
        <v>53.759</v>
      </c>
      <c r="BS164" s="200" t="n">
        <v>53.593</v>
      </c>
      <c r="BT164" s="200" t="n">
        <v>53.518</v>
      </c>
      <c r="BU164" s="200" t="n">
        <v>53.188</v>
      </c>
      <c r="BV164" s="200" t="n">
        <v>53.509</v>
      </c>
      <c r="BW164" s="200" t="n">
        <v>52.821</v>
      </c>
      <c r="BX164" s="200" t="n">
        <v>52.806</v>
      </c>
      <c r="BY164" s="216">
        <f>$BX$164-$CA$283*0.25</f>
        <v>52.7671003921081</v>
      </c>
      <c r="BZ164" s="216">
        <f>$BX$164-$CA$283*0.75</f>
        <v>52.6893011763241</v>
      </c>
      <c r="CA164" s="216">
        <f>AVERAGE(BW164,BX164,BY164,BZ164)</f>
        <v>52.770850392108</v>
      </c>
      <c r="CB164" s="216">
        <f>AVERAGE(CB285,CB286)</f>
        <v>52.3579830669541</v>
      </c>
      <c r="CC164" s="216">
        <f>AVERAGE(CC285,CC286)</f>
        <v>51.2494852730893</v>
      </c>
      <c r="CD164" s="216">
        <f>AVERAGE(CD285,CD286)</f>
        <v>49.6672646725587</v>
      </c>
      <c r="CE164" s="216">
        <f>AVERAGE(CE285,CE286)</f>
        <v>48.052127234846</v>
      </c>
      <c r="CF164" s="20" t="inlineStr">
        <is>
          <t>Q3/Q4-26E: Q2/26 less time-weighted 2H buybacks. 2027E+: average of beginning and ending shares.</t>
        </is>
      </c>
    </row>
    <row r="165" ht="15" customHeight="1">
      <c r="B165" s="26" t="inlineStr">
        <is>
          <t xml:space="preserve">  Weighted-average diluted shares (m)</t>
        </is>
      </c>
      <c r="C165" s="200" t="n">
        <v>20.657</v>
      </c>
      <c r="D165" s="200" t="n">
        <v>20.63</v>
      </c>
      <c r="E165" s="200" t="n">
        <v>22.866</v>
      </c>
      <c r="F165" s="200" t="n">
        <v>24.933</v>
      </c>
      <c r="G165" s="200" t="n">
        <v>26.467</v>
      </c>
      <c r="H165" s="200" t="n">
        <v>53.324</v>
      </c>
      <c r="I165" s="200" t="n">
        <v>54.079</v>
      </c>
      <c r="J165" s="200" t="n">
        <v>60.63</v>
      </c>
      <c r="K165" s="200" t="n">
        <v>60.687</v>
      </c>
      <c r="L165" s="200" t="n">
        <v>60.76</v>
      </c>
      <c r="M165" s="200" t="n">
        <v>60.835</v>
      </c>
      <c r="N165" s="200" t="n">
        <v>60.728</v>
      </c>
      <c r="O165" s="200" t="n">
        <v>60.861</v>
      </c>
      <c r="P165" s="200" t="n">
        <v>60.778</v>
      </c>
      <c r="Q165" s="200" t="n">
        <v>60.369</v>
      </c>
      <c r="R165" s="200" t="n">
        <v>59.613</v>
      </c>
      <c r="S165" s="200" t="n">
        <v>60.311</v>
      </c>
      <c r="T165" s="200" t="n">
        <v>58.875</v>
      </c>
      <c r="U165" s="200" t="n">
        <v>58.71</v>
      </c>
      <c r="V165" s="200" t="n">
        <v>58.268</v>
      </c>
      <c r="W165" s="200" t="n">
        <v>57.72</v>
      </c>
      <c r="X165" s="200" t="n">
        <v>58.434</v>
      </c>
      <c r="Y165" s="200" t="n">
        <v>57.617</v>
      </c>
      <c r="Z165" s="200" t="n">
        <v>57.678</v>
      </c>
      <c r="AA165" s="200" t="n">
        <v>57.487</v>
      </c>
      <c r="AB165" s="200" t="n">
        <v>57.35</v>
      </c>
      <c r="AC165" s="200" t="n">
        <v>57.532</v>
      </c>
      <c r="AD165" s="200" t="n">
        <v>57.262</v>
      </c>
      <c r="AE165" s="200" t="n">
        <v>57.336</v>
      </c>
      <c r="AF165" s="200" t="n">
        <v>57.195</v>
      </c>
      <c r="AG165" s="200" t="n">
        <v>56.955</v>
      </c>
      <c r="AH165" s="200" t="n">
        <v>57.2</v>
      </c>
      <c r="AI165" s="200" t="n">
        <v>56.457</v>
      </c>
      <c r="AJ165" s="200" t="n">
        <v>56.505</v>
      </c>
      <c r="AK165" s="200" t="n">
        <v>56.291</v>
      </c>
      <c r="AL165" s="200" t="n">
        <v>56.207</v>
      </c>
      <c r="AM165" s="200" t="n">
        <v>56.34</v>
      </c>
      <c r="AN165" s="200" t="n">
        <v>56.082</v>
      </c>
      <c r="AO165" s="200" t="n">
        <v>56.066</v>
      </c>
      <c r="AP165" s="200" t="n">
        <v>56.165</v>
      </c>
      <c r="AQ165" s="200" t="n">
        <v>56.124</v>
      </c>
      <c r="AR165" s="200" t="n">
        <v>56.129</v>
      </c>
      <c r="AS165" s="200" t="n">
        <v>56.055</v>
      </c>
      <c r="AT165" s="200" t="n">
        <v>55.748</v>
      </c>
      <c r="AU165" s="200" t="n">
        <v>55.738</v>
      </c>
      <c r="AV165" s="200" t="n">
        <v>55.264</v>
      </c>
      <c r="AW165" s="200" t="n">
        <v>55.69</v>
      </c>
      <c r="AX165" s="200" t="n">
        <v>55.043</v>
      </c>
      <c r="AY165" s="200" t="n">
        <v>54.854</v>
      </c>
      <c r="AZ165" s="200" t="n">
        <v>54.707</v>
      </c>
      <c r="BA165" s="200" t="n">
        <v>54.658</v>
      </c>
      <c r="BB165" s="200" t="n">
        <v>54.761</v>
      </c>
      <c r="BC165" s="200" t="n">
        <v>54.672</v>
      </c>
      <c r="BD165" s="200" t="n">
        <v>54.597</v>
      </c>
      <c r="BE165" s="200" t="n">
        <v>54.381</v>
      </c>
      <c r="BF165" s="200" t="n">
        <v>54.378</v>
      </c>
      <c r="BG165" s="200" t="n">
        <v>54.487</v>
      </c>
      <c r="BH165" s="200" t="n">
        <v>54.404</v>
      </c>
      <c r="BI165" s="200" t="n">
        <v>54.448</v>
      </c>
      <c r="BJ165" s="200" t="n">
        <v>54.419</v>
      </c>
      <c r="BK165" s="200" t="n">
        <v>54.259</v>
      </c>
      <c r="BL165" s="200" t="n">
        <v>54.382</v>
      </c>
      <c r="BM165" s="200" t="n">
        <v>54.213</v>
      </c>
      <c r="BN165" s="200" t="n">
        <v>54.248</v>
      </c>
      <c r="BO165" s="200" t="n">
        <v>54.229</v>
      </c>
      <c r="BP165" s="200" t="n">
        <v>54.168</v>
      </c>
      <c r="BQ165" s="200" t="n">
        <v>54.199</v>
      </c>
      <c r="BR165" s="200" t="n">
        <v>53.993</v>
      </c>
      <c r="BS165" s="200" t="n">
        <v>53.799</v>
      </c>
      <c r="BT165" s="200" t="n">
        <v>53.713</v>
      </c>
      <c r="BU165" s="200" t="n">
        <v>53.382</v>
      </c>
      <c r="BV165" s="200" t="n">
        <v>53.716</v>
      </c>
      <c r="BW165" s="200" t="n">
        <v>52.992</v>
      </c>
      <c r="BX165" s="200" t="n">
        <v>52.961</v>
      </c>
      <c r="BY165" s="216">
        <f>BY164+($BX$165-$BX$164)</f>
        <v>52.9221003921081</v>
      </c>
      <c r="BZ165" s="216">
        <f>BZ164+($BX$165-$BX$164)</f>
        <v>52.8443011763241</v>
      </c>
      <c r="CA165" s="216">
        <f>AVERAGE(BW165,BX165,BY165,BZ165)</f>
        <v>52.9298503921081</v>
      </c>
      <c r="CB165" s="216">
        <f>CB164+CB365</f>
        <v>52.5079830669541</v>
      </c>
      <c r="CC165" s="216">
        <f>CC164+CC365</f>
        <v>51.3994852730893</v>
      </c>
      <c r="CD165" s="216">
        <f>CD164+CD365</f>
        <v>49.8172646725587</v>
      </c>
      <c r="CE165" s="216">
        <f>CE164+CE365</f>
        <v>48.202127234846</v>
      </c>
      <c r="CF165" s="20" t="n"/>
      <c r="CH165" s="21">
        <f>IFERROR((CE165/BV165)^(1/5)-1,"n/m")</f>
        <v>-0.0214286245116277</v>
      </c>
      <c r="CI165" s="21">
        <f>IFERROR((BV165/AW165)^(1/5)-1,"n/m")</f>
        <v>-0.00719195102483183</v>
      </c>
      <c r="CJ165" s="21">
        <f>IFERROR((BV165/X165)^(1/10)-1,"n/m")</f>
        <v>-0.00838336232730741</v>
      </c>
      <c r="CK165" s="21">
        <f>IFERROR((BV165/C165)^(1/19)-1,"n/m")</f>
        <v>0.0515841265003307</v>
      </c>
    </row>
    <row r="166" ht="15" customHeight="1">
      <c r="B166" s="26" t="inlineStr">
        <is>
          <t>EPS – basic ($)</t>
        </is>
      </c>
      <c r="C166" s="219">
        <f>IF(AND(ISNUMBER(C161),ISNUMBER(C164)),IFERROR(C161/C164,""),"")</f>
        <v>2.37626754071494</v>
      </c>
      <c r="D166" s="219">
        <f>IF(AND(ISNUMBER(D161),ISNUMBER(D164)),IFERROR(D161/D164,""),"")</f>
        <v>2.21879255560599</v>
      </c>
      <c r="E166" s="219">
        <f>IF(AND(ISNUMBER(E161),ISNUMBER(E164)),IFERROR(E161/E164,""),"")</f>
        <v>2.55891386601379</v>
      </c>
      <c r="F166" s="219">
        <f>IF(AND(ISNUMBER(F161),ISNUMBER(F164)),IFERROR(F161/F164,""),"")</f>
        <v>1.47826086956522</v>
      </c>
      <c r="G166" s="219">
        <f>IF(AND(ISNUMBER(G161),ISNUMBER(G164)),IFERROR(G161/G164,""),"")</f>
        <v>4.9604728060507</v>
      </c>
      <c r="H166" s="219">
        <f>IF(AND(ISNUMBER(H161),ISNUMBER(H164)),IFERROR(H161/H164,""),"")</f>
        <v>2.40274919280225</v>
      </c>
      <c r="I166" s="219">
        <f>IF(AND(ISNUMBER(I161),ISNUMBER(I164)),IFERROR(I161/I164,""),"")</f>
        <v>2.40653997476059</v>
      </c>
      <c r="J166" s="219">
        <f>IF(AND(ISNUMBER(J161),ISNUMBER(J164)),IFERROR(J161/J164,""),"")</f>
        <v>0.173690129663933</v>
      </c>
      <c r="K166" s="219">
        <f>IF(AND(ISNUMBER(K161),ISNUMBER(K164)),IFERROR(K161/K164,""),"")</f>
        <v>0.378232865400495</v>
      </c>
      <c r="L166" s="219">
        <f>IF(AND(ISNUMBER(L161),ISNUMBER(L164)),IFERROR(L161/L164,""),"")</f>
        <v>0.583418577792443</v>
      </c>
      <c r="M166" s="219">
        <f>IF(AND(ISNUMBER(M161),ISNUMBER(M164)),IFERROR(M161/M164,""),"")</f>
        <v>0.441743172190997</v>
      </c>
      <c r="N166" s="219">
        <f>IF(AND(ISNUMBER(N161),ISNUMBER(N164)),IFERROR(N161/N164,""),"")</f>
        <v>1.57767358932876</v>
      </c>
      <c r="O166" s="219">
        <f>IF(AND(ISNUMBER(O161),ISNUMBER(O164)),IFERROR(O161/O164,""),"")</f>
        <v>0.147562582345191</v>
      </c>
      <c r="P166" s="219">
        <f>IF(AND(ISNUMBER(P161),ISNUMBER(P164)),IFERROR(P161/P164,""),"")</f>
        <v>0.472628368911233</v>
      </c>
      <c r="Q166" s="219">
        <f>IF(AND(ISNUMBER(Q161),ISNUMBER(Q164)),IFERROR(Q161/Q164,""),"")</f>
        <v>-1.54610810184035</v>
      </c>
      <c r="R166" s="219">
        <f>IF(AND(ISNUMBER(R161),ISNUMBER(R164)),IFERROR(R161/R164,""),"")</f>
        <v>0.460187255215074</v>
      </c>
      <c r="S166" s="219">
        <f>IF(AND(ISNUMBER(S161),ISNUMBER(S164)),IFERROR(S161/S164,""),"")</f>
        <v>-0.469698728258526</v>
      </c>
      <c r="T166" s="219">
        <f>IF(AND(ISNUMBER(T161),ISNUMBER(T164)),IFERROR(T161/T164,""),"")</f>
        <v>-0.120407643312101</v>
      </c>
      <c r="U166" s="219">
        <f>IF(AND(ISNUMBER(U161),ISNUMBER(U164)),IFERROR(U161/U164,""),"")</f>
        <v>0.177419354838709</v>
      </c>
      <c r="V166" s="219">
        <f>IF(AND(ISNUMBER(V161),ISNUMBER(V164)),IFERROR(V161/V164,""),"")</f>
        <v>0.691666236825365</v>
      </c>
      <c r="W166" s="219">
        <f>IF(AND(ISNUMBER(W161),ISNUMBER(W164)),IFERROR(W161/W164,""),"")</f>
        <v>0.00986213841719538</v>
      </c>
      <c r="X166" s="219">
        <f>IF(AND(ISNUMBER(X161),ISNUMBER(X164)),IFERROR(X161/X164,""),"")</f>
        <v>0.756155270557578</v>
      </c>
      <c r="Y166" s="219">
        <f>IF(AND(ISNUMBER(Y161),ISNUMBER(Y164)),IFERROR(Y161/Y164,""),"")</f>
        <v>-0.362236839821581</v>
      </c>
      <c r="Z166" s="219">
        <f>IF(AND(ISNUMBER(Z161),ISNUMBER(Z164)),IFERROR(Z161/Z164,""),"")</f>
        <v>0.0689151853203353</v>
      </c>
      <c r="AA166" s="219">
        <f>IF(AND(ISNUMBER(AA161),ISNUMBER(AA164)),IFERROR(AA161/AA164,""),"")</f>
        <v>-0.178388157322526</v>
      </c>
      <c r="AB166" s="219">
        <f>IF(AND(ISNUMBER(AB161),ISNUMBER(AB164)),IFERROR(AB161/AB164,""),"")</f>
        <v>-0.221673931996511</v>
      </c>
      <c r="AC166" s="219">
        <f>IF(AND(ISNUMBER(AC161),ISNUMBER(AC164)),IFERROR(AC161/AC164,""),"")</f>
        <v>-0.693057776541749</v>
      </c>
      <c r="AD166" s="219">
        <f>IF(AND(ISNUMBER(AD161),ISNUMBER(AD164)),IFERROR(AD161/AD164,""),"")</f>
        <v>-0.373598547029443</v>
      </c>
      <c r="AE166" s="219">
        <f>IF(AND(ISNUMBER(AE161),ISNUMBER(AE164)),IFERROR(AE161/AE164,""),"")</f>
        <v>0.452526665500962</v>
      </c>
      <c r="AF166" s="219">
        <f>IF(AND(ISNUMBER(AF161),ISNUMBER(AF164)),IFERROR(AF161/AF164,""),"")</f>
        <v>0.211421457752529</v>
      </c>
      <c r="AG166" s="219">
        <f>IF(AND(ISNUMBER(AG161),ISNUMBER(AG164)),IFERROR(AG161/AG164,""),"")</f>
        <v>1.48202781200493</v>
      </c>
      <c r="AH166" s="219">
        <f>IF(AND(ISNUMBER(AH161),ISNUMBER(AH164)),IFERROR(AH161/AH164,""),"")</f>
        <v>1.76512125035044</v>
      </c>
      <c r="AI166" s="219">
        <f>IF(AND(ISNUMBER(AI161),ISNUMBER(AI164)),IFERROR(AI161/AI164,""),"")</f>
        <v>-0.223727792833483</v>
      </c>
      <c r="AJ166" s="219">
        <f>IF(AND(ISNUMBER(AJ161),ISNUMBER(AJ164)),IFERROR(AJ161/AJ164,""),"")</f>
        <v>0.545062932104237</v>
      </c>
      <c r="AK166" s="219">
        <f>IF(AND(ISNUMBER(AK161),ISNUMBER(AK164)),IFERROR(AK161/AK164,""),"")</f>
        <v>0.554576428405789</v>
      </c>
      <c r="AL166" s="219">
        <f>IF(AND(ISNUMBER(AL161),ISNUMBER(AL164)),IFERROR(AL161/AL164,""),"")</f>
        <v>0.293793695352871</v>
      </c>
      <c r="AM166" s="219">
        <f>IF(AND(ISNUMBER(AM161),ISNUMBER(AM164)),IFERROR(AM161/AM164,""),"")</f>
        <v>1.16898197620574</v>
      </c>
      <c r="AN166" s="219">
        <f>IF(AND(ISNUMBER(AN161),ISNUMBER(AN164)),IFERROR(AN161/AN164,""),"")</f>
        <v>0.0174760063028224</v>
      </c>
      <c r="AO166" s="219">
        <f>IF(AND(ISNUMBER(AO161),ISNUMBER(AO164)),IFERROR(AO161/AO164,""),"")</f>
        <v>0.648662192393736</v>
      </c>
      <c r="AP166" s="219">
        <f>IF(AND(ISNUMBER(AP161),ISNUMBER(AP164)),IFERROR(AP161/AP164,""),"")</f>
        <v>0.651190689346464</v>
      </c>
      <c r="AQ166" s="219">
        <f>IF(AND(ISNUMBER(AQ161),ISNUMBER(AQ164)),IFERROR(AQ161/AQ164,""),"")</f>
        <v>0.432767085976417</v>
      </c>
      <c r="AR166" s="219">
        <f>IF(AND(ISNUMBER(AR161),ISNUMBER(AR164)),IFERROR(AR161/AR164,""),"")</f>
        <v>1.75020145044319</v>
      </c>
      <c r="AS166" s="219">
        <f>IF(AND(ISNUMBER(AS161),ISNUMBER(AS164)),IFERROR(AS161/AS164,""),"")</f>
        <v>0.207543447459511</v>
      </c>
      <c r="AT166" s="219">
        <f>IF(AND(ISNUMBER(AT161),ISNUMBER(AT164)),IFERROR(AT161/AT164,""),"")</f>
        <v>0.522090304011513</v>
      </c>
      <c r="AU166" s="219">
        <f>IF(AND(ISNUMBER(AU161),ISNUMBER(AU164)),IFERROR(AU161/AU164,""),"")</f>
        <v>0.98773204777666</v>
      </c>
      <c r="AV166" s="219">
        <f>IF(AND(ISNUMBER(AV161),ISNUMBER(AV164)),IFERROR(AV161/AV164,""),"")</f>
        <v>0.715361391000693</v>
      </c>
      <c r="AW166" s="219">
        <f>IF(AND(ISNUMBER(AW161),ISNUMBER(AW164)),IFERROR(AW161/AW164,""),"")</f>
        <v>2.43041511202437</v>
      </c>
      <c r="AX166" s="219">
        <f>IF(AND(ISNUMBER(AX161),ISNUMBER(AX164)),IFERROR(AX161/AX164,""),"")</f>
        <v>0.397200445881989</v>
      </c>
      <c r="AY166" s="219">
        <f>IF(AND(ISNUMBER(AY161),ISNUMBER(AY164)),IFERROR(AY161/AY164,""),"")</f>
        <v>1.23007940728787</v>
      </c>
      <c r="AZ166" s="219">
        <f>IF(AND(ISNUMBER(AZ161),ISNUMBER(AZ164)),IFERROR(AZ161/AZ164,""),"")</f>
        <v>1.20275311977358</v>
      </c>
      <c r="BA166" s="219">
        <f>IF(AND(ISNUMBER(BA161),ISNUMBER(BA164)),IFERROR(BA161/BA164,""),"")</f>
        <v>0.900639729401816</v>
      </c>
      <c r="BB166" s="219">
        <f>IF(AND(ISNUMBER(BB161),ISNUMBER(BB164)),IFERROR(BB161/BB164,""),"")</f>
        <v>3.72834501229042</v>
      </c>
      <c r="BC166" s="219">
        <f>IF(AND(ISNUMBER(BC161),ISNUMBER(BC164)),IFERROR(BC161/BC164,""),"")</f>
        <v>0.832855462431994</v>
      </c>
      <c r="BD166" s="219">
        <f>IF(AND(ISNUMBER(BD161),ISNUMBER(BD164)),IFERROR(BD161/BD164,""),"")</f>
        <v>2.72758569903163</v>
      </c>
      <c r="BE166" s="219">
        <f>IF(AND(ISNUMBER(BE161),ISNUMBER(BE164)),IFERROR(BE161/BE164,""),"")</f>
        <v>2.50963759679178</v>
      </c>
      <c r="BF166" s="219">
        <f>IF(AND(ISNUMBER(BF161),ISNUMBER(BF164)),IFERROR(BF161/BF164,""),"")</f>
        <v>1.52562940490945</v>
      </c>
      <c r="BG166" s="219">
        <f>IF(AND(ISNUMBER(BG161),ISNUMBER(BG164)),IFERROR(BG161/BG164,""),"")</f>
        <v>7.59353042067019</v>
      </c>
      <c r="BH166" s="219">
        <f>IF(AND(ISNUMBER(BH161),ISNUMBER(BH164)),IFERROR(BH161/BH164,""),"")</f>
        <v>1.33887491678378</v>
      </c>
      <c r="BI166" s="219">
        <f>IF(AND(ISNUMBER(BI161),ISNUMBER(BI164)),IFERROR(BI161/BI164,""),"")</f>
        <v>2.14016860164165</v>
      </c>
      <c r="BJ166" s="219">
        <f>IF(AND(ISNUMBER(BJ161),ISNUMBER(BJ164)),IFERROR(BJ161/BJ164,""),"")</f>
        <v>1.68766860056908</v>
      </c>
      <c r="BK166" s="219">
        <f>IF(AND(ISNUMBER(BK161),ISNUMBER(BK164)),IFERROR(BK161/BK164,""),"")</f>
        <v>1.82144643022502</v>
      </c>
      <c r="BL166" s="219">
        <f>IF(AND(ISNUMBER(BL161),ISNUMBER(BL164)),IFERROR(BL161/BL164,""),"")</f>
        <v>6.98814521647464</v>
      </c>
      <c r="BM166" s="219">
        <f>IF(AND(ISNUMBER(BM161),ISNUMBER(BM164)),IFERROR(BM161/BM164,""),"")</f>
        <v>1.29486371221954</v>
      </c>
      <c r="BN166" s="219">
        <f>IF(AND(ISNUMBER(BN161),ISNUMBER(BN164)),IFERROR(BN161/BN164,""),"")</f>
        <v>2.47126010531781</v>
      </c>
      <c r="BO166" s="219">
        <f>IF(AND(ISNUMBER(BO161),ISNUMBER(BO164)),IFERROR(BO161/BO164,""),"")</f>
        <v>2.13551185334841</v>
      </c>
      <c r="BP166" s="219">
        <f>IF(AND(ISNUMBER(BP161),ISNUMBER(BP164)),IFERROR(BP161/BP164,""),"")</f>
        <v>1.55920307480922</v>
      </c>
      <c r="BQ166" s="219">
        <f>IF(AND(ISNUMBER(BQ161),ISNUMBER(BQ164)),IFERROR(BQ161/BQ164,""),"")</f>
        <v>7.46352639976254</v>
      </c>
      <c r="BR166" s="219">
        <f>IF(AND(ISNUMBER(BR161),ISNUMBER(BR164)),IFERROR(BR161/BR164,""),"")</f>
        <v>1.0915381610521</v>
      </c>
      <c r="BS166" s="219">
        <f>IF(AND(ISNUMBER(BS161),ISNUMBER(BS164)),IFERROR(BS161/BS164,""),"")</f>
        <v>2.36793984288993</v>
      </c>
      <c r="BT166" s="219">
        <f>IF(AND(ISNUMBER(BT161),ISNUMBER(BT164)),IFERROR(BT161/BT164,""),"")</f>
        <v>2.21979520908853</v>
      </c>
      <c r="BU166" s="219">
        <f>IF(AND(ISNUMBER(BU161),ISNUMBER(BU164)),IFERROR(BU161/BU164,""),"")</f>
        <v>1.62799879672106</v>
      </c>
      <c r="BV166" s="219">
        <f>IF(AND(ISNUMBER(BV161),ISNUMBER(BV164)),IFERROR(BV161/BV164,""),"")</f>
        <v>7.30669606982003</v>
      </c>
      <c r="BW166" s="219">
        <f>IF(AND(ISNUMBER(BW161),ISNUMBER(BW164)),IFERROR(BW161/BW164,""),"")</f>
        <v>1.19651275061055</v>
      </c>
      <c r="BX166" s="219">
        <f>IF(AND(ISNUMBER(BX161),ISNUMBER(BX164)),IFERROR(BX161/BX164,""),"")</f>
        <v>3.22811801689202</v>
      </c>
      <c r="BY166" s="220">
        <f>IFERROR(BY161/BY164,"")</f>
        <v>3.04509107071977</v>
      </c>
      <c r="BZ166" s="220">
        <f>IFERROR(BZ161/BZ164,"")</f>
        <v>1.92690968443134</v>
      </c>
      <c r="CA166" s="220">
        <f>IFERROR(CA161/CA164,"")</f>
        <v>9.39672465480145</v>
      </c>
      <c r="CB166" s="220">
        <f>IFERROR(CB161/CB164,"")</f>
        <v>10.7038073983616</v>
      </c>
      <c r="CC166" s="220">
        <f>IFERROR(CC161/CC164,"")</f>
        <v>12.5578221997482</v>
      </c>
      <c r="CD166" s="220">
        <f>IFERROR(CD161/CD164,"")</f>
        <v>14.3579244476299</v>
      </c>
      <c r="CE166" s="220">
        <f>IFERROR(CE161/CE164,"")</f>
        <v>16.0997800045485</v>
      </c>
      <c r="CF166" s="20" t="n"/>
    </row>
    <row r="167" ht="15" customHeight="1">
      <c r="B167" s="17" t="inlineStr">
        <is>
          <t>EPS – diluted ($)</t>
        </is>
      </c>
      <c r="C167" s="221">
        <f>IF(AND(ISNUMBER(C161),ISNUMBER(C165)),IFERROR(C161/C165,""),"")</f>
        <v>2.24616352810185</v>
      </c>
      <c r="D167" s="221">
        <f>IF(AND(ISNUMBER(D161),ISNUMBER(D165)),IFERROR(D161/D165,""),"")</f>
        <v>2.13242850218129</v>
      </c>
      <c r="E167" s="221">
        <f>IF(AND(ISNUMBER(E161),ISNUMBER(E165)),IFERROR(E161/E165,""),"")</f>
        <v>2.51403831015481</v>
      </c>
      <c r="F167" s="221">
        <f>IF(AND(ISNUMBER(F161),ISNUMBER(F165)),IFERROR(F161/F165,""),"")</f>
        <v>1.47138330726347</v>
      </c>
      <c r="G167" s="221">
        <f>IF(AND(ISNUMBER(G161),ISNUMBER(G165)),IFERROR(G161/G165,""),"")</f>
        <v>4.93123512298333</v>
      </c>
      <c r="H167" s="221">
        <f>IF(AND(ISNUMBER(H161),ISNUMBER(H165)),IFERROR(H161/H165,""),"")</f>
        <v>2.38639261870827</v>
      </c>
      <c r="I167" s="221">
        <f>IF(AND(ISNUMBER(I161),ISNUMBER(I165)),IFERROR(I161/I165,""),"")</f>
        <v>2.39786238650862</v>
      </c>
      <c r="J167" s="221">
        <f>IF(AND(ISNUMBER(J161),ISNUMBER(J165)),IFERROR(J161/J165,""),"")</f>
        <v>0.173214580240805</v>
      </c>
      <c r="K167" s="221">
        <f>IF(AND(ISNUMBER(K161),ISNUMBER(K165)),IFERROR(K161/K165,""),"")</f>
        <v>0.377379010331702</v>
      </c>
      <c r="L167" s="221">
        <f>IF(AND(ISNUMBER(L161),ISNUMBER(L165)),IFERROR(L161/L165,""),"")</f>
        <v>0.581978275181039</v>
      </c>
      <c r="M167" s="221">
        <f>IF(AND(ISNUMBER(M161),ISNUMBER(M165)),IFERROR(M161/M165,""),"")</f>
        <v>0.440552313635243</v>
      </c>
      <c r="N167" s="221">
        <f>IF(AND(ISNUMBER(N161),ISNUMBER(N165)),IFERROR(N161/N165,""),"")</f>
        <v>1.57367277038599</v>
      </c>
      <c r="O167" s="221">
        <f>IF(AND(ISNUMBER(O161),ISNUMBER(O165)),IFERROR(O161/O165,""),"")</f>
        <v>0.147220716057902</v>
      </c>
      <c r="P167" s="221">
        <f>IF(AND(ISNUMBER(P161),ISNUMBER(P165)),IFERROR(P161/P165,""),"")</f>
        <v>0.471749646253578</v>
      </c>
      <c r="Q167" s="221">
        <f>IF(AND(ISNUMBER(Q161),ISNUMBER(Q165)),IFERROR(Q161/Q165,""),"")</f>
        <v>-1.54610810184035</v>
      </c>
      <c r="R167" s="221">
        <f>IF(AND(ISNUMBER(R161),ISNUMBER(R165)),IFERROR(R161/R165,""),"")</f>
        <v>0.459245466592857</v>
      </c>
      <c r="S167" s="221">
        <f>IF(AND(ISNUMBER(S161),ISNUMBER(S165)),IFERROR(S161/S165,""),"")</f>
        <v>-0.469698728258526</v>
      </c>
      <c r="T167" s="221">
        <f>IF(AND(ISNUMBER(T161),ISNUMBER(T165)),IFERROR(T161/T165,""),"")</f>
        <v>-0.120407643312101</v>
      </c>
      <c r="U167" s="221">
        <f>IF(AND(ISNUMBER(U161),ISNUMBER(U165)),IFERROR(U161/U165,""),"")</f>
        <v>0.177056719468574</v>
      </c>
      <c r="V167" s="221">
        <f>IF(AND(ISNUMBER(V161),ISNUMBER(V165)),IFERROR(V161/V165,""),"")</f>
        <v>0.690396100775727</v>
      </c>
      <c r="W167" s="221">
        <f>IF(AND(ISNUMBER(W161),ISNUMBER(W165)),IFERROR(W161/W165,""),"")</f>
        <v>0.00984060984060899</v>
      </c>
      <c r="X167" s="221">
        <f>IF(AND(ISNUMBER(X161),ISNUMBER(X165)),IFERROR(X161/X165,""),"")</f>
        <v>0.754731834206116</v>
      </c>
      <c r="Y167" s="221">
        <f>IF(AND(ISNUMBER(Y161),ISNUMBER(Y165)),IFERROR(Y161/Y165,""),"")</f>
        <v>-0.362236839821581</v>
      </c>
      <c r="Z167" s="221">
        <f>IF(AND(ISNUMBER(Z161),ISNUMBER(Z165)),IFERROR(Z161/Z165,""),"")</f>
        <v>0.0687610527410794</v>
      </c>
      <c r="AA167" s="221">
        <f>IF(AND(ISNUMBER(AA161),ISNUMBER(AA165)),IFERROR(AA161/AA165,""),"")</f>
        <v>-0.178388157322526</v>
      </c>
      <c r="AB167" s="221">
        <f>IF(AND(ISNUMBER(AB161),ISNUMBER(AB165)),IFERROR(AB161/AB165,""),"")</f>
        <v>-0.221673931996511</v>
      </c>
      <c r="AC167" s="221">
        <f>IF(AND(ISNUMBER(AC161),ISNUMBER(AC165)),IFERROR(AC161/AC165,""),"")</f>
        <v>-0.693057776541749</v>
      </c>
      <c r="AD167" s="221">
        <f>IF(AND(ISNUMBER(AD161),ISNUMBER(AD165)),IFERROR(AD161/AD165,""),"")</f>
        <v>-0.373598547029443</v>
      </c>
      <c r="AE167" s="221">
        <f>IF(AND(ISNUMBER(AE161),ISNUMBER(AE165)),IFERROR(AE161/AE165,""),"")</f>
        <v>0.451374354681178</v>
      </c>
      <c r="AF167" s="221">
        <f>IF(AND(ISNUMBER(AF161),ISNUMBER(AF165)),IFERROR(AF161/AF165,""),"")</f>
        <v>0.210822624355275</v>
      </c>
      <c r="AG167" s="221">
        <f>IF(AND(ISNUMBER(AG161),ISNUMBER(AG165)),IFERROR(AG161/AG165,""),"")</f>
        <v>1.47825476253182</v>
      </c>
      <c r="AH167" s="221">
        <f>IF(AND(ISNUMBER(AH161),ISNUMBER(AH165)),IFERROR(AH161/AH165,""),"")</f>
        <v>1.76117132867133</v>
      </c>
      <c r="AI167" s="221">
        <f>IF(AND(ISNUMBER(AI161),ISNUMBER(AI165)),IFERROR(AI161/AI165,""),"")</f>
        <v>-0.223727792833483</v>
      </c>
      <c r="AJ167" s="221">
        <f>IF(AND(ISNUMBER(AJ161),ISNUMBER(AJ165)),IFERROR(AJ161/AJ165,""),"")</f>
        <v>0.544146535704805</v>
      </c>
      <c r="AK167" s="221">
        <f>IF(AND(ISNUMBER(AK161),ISNUMBER(AK165)),IFERROR(AK161/AK165,""),"")</f>
        <v>0.552290774724203</v>
      </c>
      <c r="AL167" s="221">
        <f>IF(AND(ISNUMBER(AL161),ISNUMBER(AL165)),IFERROR(AL161/AL165,""),"")</f>
        <v>0.292330136815699</v>
      </c>
      <c r="AM167" s="221">
        <f>IF(AND(ISNUMBER(AM161),ISNUMBER(AM165)),IFERROR(AM161/AM165,""),"")</f>
        <v>1.16499822506212</v>
      </c>
      <c r="AN167" s="221">
        <f>IF(AND(ISNUMBER(AN161),ISNUMBER(AN165)),IFERROR(AN161/AN165,""),"")</f>
        <v>0.0174030883349386</v>
      </c>
      <c r="AO167" s="221">
        <f>IF(AND(ISNUMBER(AO161),ISNUMBER(AO165)),IFERROR(AO161/AO165,""),"")</f>
        <v>0.646452395391146</v>
      </c>
      <c r="AP167" s="221">
        <f>IF(AND(ISNUMBER(AP161),ISNUMBER(AP165)),IFERROR(AP161/AP165,""),"")</f>
        <v>0.64753850262619</v>
      </c>
      <c r="AQ167" s="221">
        <f>IF(AND(ISNUMBER(AQ161),ISNUMBER(AQ165)),IFERROR(AQ161/AQ165,""),"")</f>
        <v>0.430315016748627</v>
      </c>
      <c r="AR167" s="221">
        <f>IF(AND(ISNUMBER(AR161),ISNUMBER(AR165)),IFERROR(AR161/AR165,""),"")</f>
        <v>1.74134582835967</v>
      </c>
      <c r="AS167" s="221">
        <f>IF(AND(ISNUMBER(AS161),ISNUMBER(AS165)),IFERROR(AS161/AS165,""),"")</f>
        <v>0.206440103469805</v>
      </c>
      <c r="AT167" s="221">
        <f>IF(AND(ISNUMBER(AT161),ISNUMBER(AT165)),IFERROR(AT161/AT165,""),"")</f>
        <v>0.520610604864749</v>
      </c>
      <c r="AU167" s="221">
        <f>IF(AND(ISNUMBER(AU161),ISNUMBER(AU165)),IFERROR(AU161/AU165,""),"")</f>
        <v>0.985144784527612</v>
      </c>
      <c r="AV167" s="221">
        <f>IF(AND(ISNUMBER(AV161),ISNUMBER(AV165)),IFERROR(AV161/AV165,""),"")</f>
        <v>0.711711059640998</v>
      </c>
      <c r="AW167" s="221">
        <f>IF(AND(ISNUMBER(AW161),ISNUMBER(AW165)),IFERROR(AW161/AW165,""),"")</f>
        <v>2.4212066798348</v>
      </c>
      <c r="AX167" s="221">
        <f>IF(AND(ISNUMBER(AX161),ISNUMBER(AX165)),IFERROR(AX161/AX165,""),"")</f>
        <v>0.394891266827754</v>
      </c>
      <c r="AY167" s="221">
        <f>IF(AND(ISNUMBER(AY161),ISNUMBER(AY165)),IFERROR(AY161/AY165,""),"")</f>
        <v>1.22279140992453</v>
      </c>
      <c r="AZ167" s="221">
        <f>IF(AND(ISNUMBER(AZ161),ISNUMBER(AZ165)),IFERROR(AZ161/AZ165,""),"")</f>
        <v>1.19624545304989</v>
      </c>
      <c r="BA167" s="221">
        <f>IF(AND(ISNUMBER(BA161),ISNUMBER(BA165)),IFERROR(BA161/BA165,""),"")</f>
        <v>0.896355519777526</v>
      </c>
      <c r="BB167" s="221">
        <f>IF(AND(ISNUMBER(BB161),ISNUMBER(BB165)),IFERROR(BB161/BB165,""),"")</f>
        <v>3.71152827742371</v>
      </c>
      <c r="BC167" s="221">
        <f>IF(AND(ISNUMBER(BC161),ISNUMBER(BC165)),IFERROR(BC161/BC165,""),"")</f>
        <v>0.828833772314894</v>
      </c>
      <c r="BD167" s="221">
        <f>IF(AND(ISNUMBER(BD161),ISNUMBER(BD165)),IFERROR(BD161/BD165,""),"")</f>
        <v>2.71364726999652</v>
      </c>
      <c r="BE167" s="221">
        <f>IF(AND(ISNUMBER(BE161),ISNUMBER(BE165)),IFERROR(BE161/BE165,""),"")</f>
        <v>2.49717732296206</v>
      </c>
      <c r="BF167" s="221">
        <f>IF(AND(ISNUMBER(BF161),ISNUMBER(BF165)),IFERROR(BF161/BF165,""),"")</f>
        <v>1.51667953951966</v>
      </c>
      <c r="BG167" s="221">
        <f>IF(AND(ISNUMBER(BG161),ISNUMBER(BG165)),IFERROR(BG161/BG165,""),"")</f>
        <v>7.55673830454971</v>
      </c>
      <c r="BH167" s="221">
        <f>IF(AND(ISNUMBER(BH161),ISNUMBER(BH165)),IFERROR(BH161/BH165,""),"")</f>
        <v>1.33080288214102</v>
      </c>
      <c r="BI167" s="221">
        <f>IF(AND(ISNUMBER(BI161),ISNUMBER(BI165)),IFERROR(BI161/BI165,""),"")</f>
        <v>2.12617543344108</v>
      </c>
      <c r="BJ167" s="221">
        <f>IF(AND(ISNUMBER(BJ161),ISNUMBER(BJ165)),IFERROR(BJ161/BJ165,""),"")</f>
        <v>1.67845789154523</v>
      </c>
      <c r="BK167" s="221">
        <f>IF(AND(ISNUMBER(BK161),ISNUMBER(BK165)),IFERROR(BK161/BK165,""),"")</f>
        <v>1.8125840874325</v>
      </c>
      <c r="BL167" s="221">
        <f>IF(AND(ISNUMBER(BL161),ISNUMBER(BL165)),IFERROR(BL161/BL165,""),"")</f>
        <v>6.94818138354603</v>
      </c>
      <c r="BM167" s="221">
        <f>IF(AND(ISNUMBER(BM161),ISNUMBER(BM165)),IFERROR(BM161/BM165,""),"")</f>
        <v>1.28810432921993</v>
      </c>
      <c r="BN167" s="221">
        <f>IF(AND(ISNUMBER(BN161),ISNUMBER(BN165)),IFERROR(BN161/BN165,""),"")</f>
        <v>2.45686476920808</v>
      </c>
      <c r="BO167" s="221">
        <f>IF(AND(ISNUMBER(BO161),ISNUMBER(BO165)),IFERROR(BO161/BO165,""),"")</f>
        <v>2.12456434748935</v>
      </c>
      <c r="BP167" s="221">
        <f>IF(AND(ISNUMBER(BP161),ISNUMBER(BP165)),IFERROR(BP161/BP165,""),"")</f>
        <v>1.55025107074287</v>
      </c>
      <c r="BQ167" s="221">
        <f>IF(AND(ISNUMBER(BQ161),ISNUMBER(BQ165)),IFERROR(BQ161/BQ165,""),"")</f>
        <v>7.42262772375875</v>
      </c>
      <c r="BR167" s="221">
        <f>IF(AND(ISNUMBER(BR161),ISNUMBER(BR165)),IFERROR(BR161/BR165,""),"")</f>
        <v>1.08680754912674</v>
      </c>
      <c r="BS167" s="221">
        <f>IF(AND(ISNUMBER(BS161),ISNUMBER(BS165)),IFERROR(BS161/BS165,""),"")</f>
        <v>2.35887284150263</v>
      </c>
      <c r="BT167" s="221">
        <f>IF(AND(ISNUMBER(BT161),ISNUMBER(BT165)),IFERROR(BT161/BT165,""),"")</f>
        <v>2.21173645113846</v>
      </c>
      <c r="BU167" s="221">
        <f>IF(AND(ISNUMBER(BU161),ISNUMBER(BU165)),IFERROR(BU161/BU165,""),"")</f>
        <v>1.62208234985575</v>
      </c>
      <c r="BV167" s="221">
        <f>IF(AND(ISNUMBER(BV161),ISNUMBER(BV165)),IFERROR(BV161/BV165,""),"")</f>
        <v>7.27853898279842</v>
      </c>
      <c r="BW167" s="221">
        <f>IF(AND(ISNUMBER(BW161),ISNUMBER(BW165)),IFERROR(BW161/BW165,""),"")</f>
        <v>1.19265172101449</v>
      </c>
      <c r="BX167" s="221">
        <f>IF(AND(ISNUMBER(BX161),ISNUMBER(BX165)),IFERROR(BX161/BX165,""),"")</f>
        <v>3.21867034232738</v>
      </c>
      <c r="BY167" s="222">
        <f>IFERROR(BY161/BY165,"")</f>
        <v>3.03617250716192</v>
      </c>
      <c r="BZ167" s="222">
        <f>IFERROR(BZ161/BZ165,"")</f>
        <v>1.92125777884383</v>
      </c>
      <c r="CA167" s="222">
        <f>IFERROR(CA161/CA165,"")</f>
        <v>9.36849711950624</v>
      </c>
      <c r="CB167" s="222">
        <f>IFERROR(CB161/CB165,"")</f>
        <v>10.6732297410993</v>
      </c>
      <c r="CC167" s="222">
        <f>IFERROR(CC161/CC165,"")</f>
        <v>12.521174491703</v>
      </c>
      <c r="CD167" s="222">
        <f>IFERROR(CD161/CD165,"")</f>
        <v>14.3146926748439</v>
      </c>
      <c r="CE167" s="222">
        <f>IFERROR(CE161/CE165,"")</f>
        <v>16.0496791658673</v>
      </c>
      <c r="CF167" s="177" t="inlineStr">
        <is>
          <t>EPS computed as net income / weighted diluted shares (may differ by ±$0.01 vs reported).</t>
        </is>
      </c>
      <c r="CH167" s="21">
        <f>IFERROR((CE167/BV167)^(1/5)-1,"n/m")</f>
        <v>0.171343922547248</v>
      </c>
      <c r="CI167" s="21">
        <f>IFERROR((BV167/AW167)^(1/5)-1,"n/m")</f>
        <v>0.246242247725083</v>
      </c>
      <c r="CJ167" s="21">
        <f>IFERROR((BV167/X167)^(1/10)-1,"n/m")</f>
        <v>0.254368543311452</v>
      </c>
      <c r="CK167" s="21">
        <f>IFERROR((BV167/C167)^(1/19)-1,"n/m")</f>
        <v>0.0638339205001017</v>
      </c>
    </row>
    <row r="168" ht="15" customHeight="1">
      <c r="B168" s="23" t="inlineStr">
        <is>
          <t xml:space="preserve">  EPS – diluted y/y %</t>
        </is>
      </c>
      <c r="C168" s="24" t="n"/>
      <c r="D168" s="178">
        <f>IF(AND(ISNUMBER(D167),ISNUMBER(C167)),IFERROR(D167/C167-1,""),"")</f>
        <v>-0.0506352384844732</v>
      </c>
      <c r="E168" s="178">
        <f>IF(AND(ISNUMBER(E167),ISNUMBER(D167)),IFERROR(E167/D167-1,""),"")</f>
        <v>0.178955499602059</v>
      </c>
      <c r="F168" s="178">
        <f>IF(AND(ISNUMBER(F167),ISNUMBER(E167)),IFERROR(F167/E167-1,""),"")</f>
        <v>-0.414733140175233</v>
      </c>
      <c r="G168" s="178">
        <f>IF(AND(ISNUMBER(G167),ISNUMBER(F167)),IFERROR(G167/F167-1,""),"")</f>
        <v>2.3514279376695</v>
      </c>
      <c r="H168" s="178">
        <f>IF(AND(ISNUMBER(H167),ISNUMBER(G167)),IFERROR(H167/G167-1,""),"")</f>
        <v>-0.516065943076643</v>
      </c>
      <c r="I168" s="178">
        <f>IF(AND(ISNUMBER(I167),ISNUMBER(H167)),IFERROR(I167/H167-1,""),"")</f>
        <v>0.00480632051508745</v>
      </c>
      <c r="J168" s="24" t="n"/>
      <c r="K168" s="24" t="n"/>
      <c r="L168" s="24" t="n"/>
      <c r="M168" s="24" t="n"/>
      <c r="N168" s="178">
        <f>IF(AND(ISNUMBER(N167),ISNUMBER(I167)),IFERROR(N167/I167-1,""),"")</f>
        <v>-0.343718480576647</v>
      </c>
      <c r="O168" s="178">
        <f>IF(AND(ISNUMBER(O167),ISNUMBER(J167)),IFERROR(O167/J167-1,""),"")</f>
        <v>-0.150067414341022</v>
      </c>
      <c r="P168" s="178">
        <f>IF(AND(ISNUMBER(P167),ISNUMBER(K167)),IFERROR(P167/K167-1,""),"")</f>
        <v>0.250068587118631</v>
      </c>
      <c r="Q168" s="178">
        <f>IF(AND(ISNUMBER(Q167),ISNUMBER(L167)),IFERROR(Q167/L167-1,""),"")</f>
        <v>-3.65664229710188</v>
      </c>
      <c r="R168" s="178">
        <f>IF(AND(ISNUMBER(R167),ISNUMBER(M167)),IFERROR(R167/M167-1,""),"")</f>
        <v>0.042431176455225</v>
      </c>
      <c r="S168" s="178">
        <f>IF(AND(ISNUMBER(S167),ISNUMBER(N167)),IFERROR(S167/N167-1,""),"")</f>
        <v>-1.29847293357139</v>
      </c>
      <c r="T168" s="178">
        <f>IF(AND(ISNUMBER(T167),ISNUMBER(O167)),IFERROR(T167/O167-1,""),"")</f>
        <v>-1.81787160486806</v>
      </c>
      <c r="U168" s="178">
        <f>IF(AND(ISNUMBER(U167),ISNUMBER(P167)),IFERROR(U167/P167-1,""),"")</f>
        <v>-0.624680758375384</v>
      </c>
      <c r="V168" s="178">
        <f>IF(AND(ISNUMBER(V167),ISNUMBER(Q167)),IFERROR(V167/Q167-1,""),"")</f>
        <v>-1.44653805251647</v>
      </c>
      <c r="W168" s="178">
        <f>IF(AND(ISNUMBER(W167),ISNUMBER(R167)),IFERROR(W167/R167-1,""),"")</f>
        <v>-0.978572222141644</v>
      </c>
      <c r="X168" s="178">
        <f>IF(AND(ISNUMBER(X167),ISNUMBER(S167)),IFERROR(X167/S167-1,""),"")</f>
        <v>-2.60684240513997</v>
      </c>
      <c r="Y168" s="178">
        <f>IF(AND(ISNUMBER(Y167),ISNUMBER(T167)),IFERROR(Y167/T167-1,""),"")</f>
        <v>2.0084206438843</v>
      </c>
      <c r="Z168" s="178">
        <f>IF(AND(ISNUMBER(Z167),ISNUMBER(U167)),IFERROR(Z167/U167-1,""),"")</f>
        <v>-0.611643924345475</v>
      </c>
      <c r="AA168" s="178">
        <f>IF(AND(ISNUMBER(AA167),ISNUMBER(V167)),IFERROR(AA167/V167-1,""),"")</f>
        <v>-1.25838523294394</v>
      </c>
      <c r="AB168" s="178">
        <f>IF(AND(ISNUMBER(AB167),ISNUMBER(W167)),IFERROR(AB167/W167-1,""),"")</f>
        <v>-23.5264425261263</v>
      </c>
      <c r="AC168" s="178">
        <f>IF(AND(ISNUMBER(AC167),ISNUMBER(X167)),IFERROR(AC167/X167-1,""),"")</f>
        <v>-1.9182834818022</v>
      </c>
      <c r="AD168" s="178">
        <f>IF(AND(ISNUMBER(AD167),ISNUMBER(Y167)),IFERROR(AD167/Y167-1,""),"")</f>
        <v>0.0313654105790524</v>
      </c>
      <c r="AE168" s="178">
        <f>IF(AND(ISNUMBER(AE167),ISNUMBER(Z167)),IFERROR(AE167/Z167-1,""),"")</f>
        <v>5.5643898208021</v>
      </c>
      <c r="AF168" s="178">
        <f>IF(AND(ISNUMBER(AF167),ISNUMBER(AA167)),IFERROR(AF167/AA167-1,""),"")</f>
        <v>-2.18181962031318</v>
      </c>
      <c r="AG168" s="178">
        <f>IF(AND(ISNUMBER(AG167),ISNUMBER(AB167)),IFERROR(AG167/AB167-1,""),"")</f>
        <v>-7.66859990806266</v>
      </c>
      <c r="AH168" s="178">
        <f>IF(AND(ISNUMBER(AH167),ISNUMBER(AC167)),IFERROR(AH167/AC167-1,""),"")</f>
        <v>-3.5411609079106</v>
      </c>
      <c r="AI168" s="178">
        <f>IF(AND(ISNUMBER(AI167),ISNUMBER(AD167)),IFERROR(AI167/AD167-1,""),"")</f>
        <v>-0.401154542456369</v>
      </c>
      <c r="AJ168" s="178">
        <f>IF(AND(ISNUMBER(AJ167),ISNUMBER(AE167)),IFERROR(AJ167/AE167-1,""),"")</f>
        <v>0.205532680493458</v>
      </c>
      <c r="AK168" s="178">
        <f>IF(AND(ISNUMBER(AK167),ISNUMBER(AF167)),IFERROR(AK167/AF167-1,""),"")</f>
        <v>1.61969405045205</v>
      </c>
      <c r="AL168" s="178">
        <f>IF(AND(ISNUMBER(AL167),ISNUMBER(AG167)),IFERROR(AL167/AG167-1,""),"")</f>
        <v>-0.802246443424256</v>
      </c>
      <c r="AM168" s="178">
        <f>IF(AND(ISNUMBER(AM167),ISNUMBER(AH167)),IFERROR(AM167/AH167-1,""),"")</f>
        <v>-0.338509430572537</v>
      </c>
      <c r="AN168" s="178">
        <f>IF(AND(ISNUMBER(AN167),ISNUMBER(AI167)),IFERROR(AN167/AI167-1,""),"")</f>
        <v>-1.07778688608389</v>
      </c>
      <c r="AO168" s="178">
        <f>IF(AND(ISNUMBER(AO167),ISNUMBER(AJ167)),IFERROR(AO167/AJ167-1,""),"")</f>
        <v>0.188011597930747</v>
      </c>
      <c r="AP168" s="178">
        <f>IF(AND(ISNUMBER(AP167),ISNUMBER(AK167)),IFERROR(AP167/AK167-1,""),"")</f>
        <v>0.172459385999252</v>
      </c>
      <c r="AQ168" s="178">
        <f>IF(AND(ISNUMBER(AQ167),ISNUMBER(AL167)),IFERROR(AQ167/AL167-1,""),"")</f>
        <v>0.472017293310819</v>
      </c>
      <c r="AR168" s="178">
        <f>IF(AND(ISNUMBER(AR167),ISNUMBER(AM167)),IFERROR(AR167/AM167-1,""),"")</f>
        <v>0.494719726518741</v>
      </c>
      <c r="AS168" s="178">
        <f>IF(AND(ISNUMBER(AS167),ISNUMBER(AN167)),IFERROR(AS167/AN167-1,""),"")</f>
        <v>10.8622683225342</v>
      </c>
      <c r="AT168" s="178">
        <f>IF(AND(ISNUMBER(AT167),ISNUMBER(AO167)),IFERROR(AT167/AO167-1,""),"")</f>
        <v>-0.1946652087974</v>
      </c>
      <c r="AU168" s="178">
        <f>IF(AND(ISNUMBER(AU167),ISNUMBER(AP167)),IFERROR(AU167/AP167-1,""),"")</f>
        <v>0.521368660754856</v>
      </c>
      <c r="AV168" s="178">
        <f>IF(AND(ISNUMBER(AV167),ISNUMBER(AQ167)),IFERROR(AV167/AQ167-1,""),"")</f>
        <v>0.65393033461519</v>
      </c>
      <c r="AW168" s="178">
        <f>IF(AND(ISNUMBER(AW167),ISNUMBER(AR167)),IFERROR(AW167/AR167-1,""),"")</f>
        <v>0.390422649196309</v>
      </c>
      <c r="AX168" s="178">
        <f>IF(AND(ISNUMBER(AX167),ISNUMBER(AS167)),IFERROR(AX167/AS167-1,""),"")</f>
        <v>0.912861213448832</v>
      </c>
      <c r="AY168" s="178">
        <f>IF(AND(ISNUMBER(AY167),ISNUMBER(AT167)),IFERROR(AY167/AT167-1,""),"")</f>
        <v>1.34876392931373</v>
      </c>
      <c r="AZ168" s="178">
        <f>IF(AND(ISNUMBER(AZ167),ISNUMBER(AU167)),IFERROR(AZ167/AU167-1,""),"")</f>
        <v>0.214283902059633</v>
      </c>
      <c r="BA168" s="178">
        <f>IF(AND(ISNUMBER(BA167),ISNUMBER(AV167)),IFERROR(BA167/AV167-1,""),"")</f>
        <v>0.259437390546758</v>
      </c>
      <c r="BB168" s="178">
        <f>IF(AND(ISNUMBER(BB167),ISNUMBER(AW167)),IFERROR(BB167/AW167-1,""),"")</f>
        <v>0.532925011456251</v>
      </c>
      <c r="BC168" s="178">
        <f>IF(AND(ISNUMBER(BC167),ISNUMBER(AX167)),IFERROR(BC167/AX167-1,""),"")</f>
        <v>1.09889111747923</v>
      </c>
      <c r="BD168" s="178">
        <f>IF(AND(ISNUMBER(BD167),ISNUMBER(AY167)),IFERROR(BD167/AY167-1,""),"")</f>
        <v>1.21922336710233</v>
      </c>
      <c r="BE168" s="178">
        <f>IF(AND(ISNUMBER(BE167),ISNUMBER(AZ167)),IFERROR(BE167/AZ167-1,""),"")</f>
        <v>1.08751248884198</v>
      </c>
      <c r="BF168" s="178">
        <f>IF(AND(ISNUMBER(BF167),ISNUMBER(BA167)),IFERROR(BF167/BA167-1,""),"")</f>
        <v>0.692051318985681</v>
      </c>
      <c r="BG168" s="178">
        <f>IF(AND(ISNUMBER(BG167),ISNUMBER(BB167)),IFERROR(BG167/BB167-1,""),"")</f>
        <v>1.03601797957877</v>
      </c>
      <c r="BH168" s="178">
        <f>IF(AND(ISNUMBER(BH167),ISNUMBER(BC167)),IFERROR(BH167/BC167-1,""),"")</f>
        <v>0.605633031125345</v>
      </c>
      <c r="BI168" s="178">
        <f>IF(AND(ISNUMBER(BI167),ISNUMBER(BD167)),IFERROR(BI167/BD167-1,""),"")</f>
        <v>-0.216487913904959</v>
      </c>
      <c r="BJ168" s="178">
        <f>IF(AND(ISNUMBER(BJ167),ISNUMBER(BE167)),IFERROR(BJ167/BE167-1,""),"")</f>
        <v>-0.327857947406673</v>
      </c>
      <c r="BK168" s="178">
        <f>IF(AND(ISNUMBER(BK167),ISNUMBER(BF167)),IFERROR(BK167/BF167-1,""),"")</f>
        <v>0.195100243790826</v>
      </c>
      <c r="BL168" s="178">
        <f>IF(AND(ISNUMBER(BL167),ISNUMBER(BG167)),IFERROR(BL167/BG167-1,""),"")</f>
        <v>-0.0805316919122735</v>
      </c>
      <c r="BM168" s="178">
        <f>IF(AND(ISNUMBER(BM167),ISNUMBER(BH167)),IFERROR(BM167/BH167-1,""),"")</f>
        <v>-0.0320848064684058</v>
      </c>
      <c r="BN168" s="178">
        <f>IF(AND(ISNUMBER(BN167),ISNUMBER(BI167)),IFERROR(BN167/BI167-1,""),"")</f>
        <v>0.155532478912994</v>
      </c>
      <c r="BO168" s="178">
        <f>IF(AND(ISNUMBER(BO167),ISNUMBER(BJ167)),IFERROR(BO167/BJ167-1,""),"")</f>
        <v>0.26578352557503</v>
      </c>
      <c r="BP168" s="178">
        <f>IF(AND(ISNUMBER(BP167),ISNUMBER(BK167)),IFERROR(BP167/BK167-1,""),"")</f>
        <v>-0.144728743073772</v>
      </c>
      <c r="BQ168" s="178">
        <f>IF(AND(ISNUMBER(BQ167),ISNUMBER(BL167)),IFERROR(BQ167/BL167-1,""),"")</f>
        <v>0.0682835283109111</v>
      </c>
      <c r="BR168" s="178">
        <f>IF(AND(ISNUMBER(BR167),ISNUMBER(BM167)),IFERROR(BR167/BM167-1,""),"")</f>
        <v>-0.156273661633521</v>
      </c>
      <c r="BS168" s="178">
        <f>IF(AND(ISNUMBER(BS167),ISNUMBER(BN167)),IFERROR(BS167/BN167-1,""),"")</f>
        <v>-0.0398849496861159</v>
      </c>
      <c r="BT168" s="178">
        <f>IF(AND(ISNUMBER(BT167),ISNUMBER(BO167)),IFERROR(BT167/BO167-1,""),"")</f>
        <v>0.0410305782228331</v>
      </c>
      <c r="BU168" s="178">
        <f>IF(AND(ISNUMBER(BU167),ISNUMBER(BP167)),IFERROR(BU167/BP167-1,""),"")</f>
        <v>0.0463352552812355</v>
      </c>
      <c r="BV168" s="178">
        <f>IF(AND(ISNUMBER(BV167),ISNUMBER(BQ167)),IFERROR(BV167/BQ167-1,""),"")</f>
        <v>-0.0194120931727607</v>
      </c>
      <c r="BW168" s="178">
        <f>IF(AND(ISNUMBER(BW167),ISNUMBER(BR167)),IFERROR(BW167/BR167-1,""),"")</f>
        <v>0.0973899859021052</v>
      </c>
      <c r="BX168" s="178">
        <f>IF(AND(ISNUMBER(BX167),ISNUMBER(BS167)),IFERROR(BX167/BS167-1,""),"")</f>
        <v>0.364495061241642</v>
      </c>
      <c r="BY168" s="179">
        <f>IFERROR(BY167/BT167-1,"")</f>
        <v>0.372755106332447</v>
      </c>
      <c r="BZ168" s="179">
        <f>IFERROR(BZ167/BU167-1,"")</f>
        <v>0.184439112486907</v>
      </c>
      <c r="CA168" s="179">
        <f>IFERROR(CA167/BV167-1,"")</f>
        <v>0.287139787483048</v>
      </c>
      <c r="CB168" s="179">
        <f>IFERROR(CB167/CA167-1,"")</f>
        <v>0.139268081630347</v>
      </c>
      <c r="CC168" s="179">
        <f>IFERROR(CC167/CB167-1,"")</f>
        <v>0.173138290417173</v>
      </c>
      <c r="CD168" s="179">
        <f>IFERROR(CD167/CC167-1,"")</f>
        <v>0.143238813925112</v>
      </c>
      <c r="CE168" s="179">
        <f>IFERROR(CE167/CD167-1,"")</f>
        <v>0.121203195236767</v>
      </c>
      <c r="CF168" s="20" t="n"/>
    </row>
    <row r="169" ht="15" customHeight="1">
      <c r="B169" s="42" t="inlineStr">
        <is>
          <t xml:space="preserve">  Memo: EPS – diluted as reported ($)</t>
        </is>
      </c>
      <c r="C169" s="223" t="n">
        <v>2.26</v>
      </c>
      <c r="D169" s="223" t="n">
        <v>2.14</v>
      </c>
      <c r="E169" s="223" t="n">
        <v>2.51</v>
      </c>
      <c r="F169" s="223" t="n">
        <v>1.47</v>
      </c>
      <c r="G169" s="223" t="n">
        <v>4.93</v>
      </c>
      <c r="H169" s="223" t="n">
        <v>2.39</v>
      </c>
      <c r="I169" s="223" t="n">
        <v>2.4</v>
      </c>
      <c r="J169" s="223" t="n">
        <v>0.17</v>
      </c>
      <c r="K169" s="223" t="n">
        <v>0.38</v>
      </c>
      <c r="L169" s="223" t="n">
        <v>0.58</v>
      </c>
      <c r="M169" s="223" t="n">
        <v>0.44</v>
      </c>
      <c r="N169" s="223" t="n">
        <v>1.57</v>
      </c>
      <c r="O169" s="223" t="n">
        <v>0.15</v>
      </c>
      <c r="P169" s="223" t="n">
        <v>0.47</v>
      </c>
      <c r="Q169" s="223" t="n">
        <v>-1.55</v>
      </c>
      <c r="R169" s="223" t="n">
        <v>0.46</v>
      </c>
      <c r="S169" s="223" t="n">
        <v>-0.47</v>
      </c>
      <c r="T169" s="223" t="n">
        <v>-0.12</v>
      </c>
      <c r="U169" s="223" t="n">
        <v>0.18</v>
      </c>
      <c r="V169" s="223" t="n">
        <v>0.6899999999999999</v>
      </c>
      <c r="W169" s="223" t="n">
        <v>0.01</v>
      </c>
      <c r="X169" s="223" t="n">
        <v>0.76</v>
      </c>
      <c r="Y169" s="223" t="n">
        <v>-0.36</v>
      </c>
      <c r="Z169" s="223" t="n">
        <v>0.07000000000000001</v>
      </c>
      <c r="AA169" s="223" t="n">
        <v>-0.18</v>
      </c>
      <c r="AB169" s="223" t="n">
        <v>-0.22</v>
      </c>
      <c r="AC169" s="223" t="n">
        <v>-0.6899999999999999</v>
      </c>
      <c r="AD169" s="223" t="n">
        <v>-0.37</v>
      </c>
      <c r="AE169" s="223" t="n">
        <v>0.45</v>
      </c>
      <c r="AF169" s="223" t="n">
        <v>0.21</v>
      </c>
      <c r="AG169" s="223" t="n">
        <v>1.48</v>
      </c>
      <c r="AH169" s="223" t="n">
        <v>1.76</v>
      </c>
      <c r="AI169" s="223" t="n">
        <v>-0.22</v>
      </c>
      <c r="AJ169" s="223" t="n">
        <v>0.54</v>
      </c>
      <c r="AK169" s="223" t="n">
        <v>0.55</v>
      </c>
      <c r="AL169" s="223" t="n">
        <v>0.29</v>
      </c>
      <c r="AM169" s="223" t="n">
        <v>1.16</v>
      </c>
      <c r="AN169" s="223" t="n">
        <v>0.02</v>
      </c>
      <c r="AO169" s="223" t="n">
        <v>0.65</v>
      </c>
      <c r="AP169" s="223" t="n">
        <v>0.65</v>
      </c>
      <c r="AQ169" s="223" t="n">
        <v>0.43</v>
      </c>
      <c r="AR169" s="223" t="n">
        <v>1.74</v>
      </c>
      <c r="AS169" s="223" t="n">
        <v>0.21</v>
      </c>
      <c r="AT169" s="223" t="n">
        <v>0.52</v>
      </c>
      <c r="AU169" s="223" t="n">
        <v>0.99</v>
      </c>
      <c r="AV169" s="223" t="n">
        <v>0.71</v>
      </c>
      <c r="AW169" s="223" t="n">
        <v>2.42</v>
      </c>
      <c r="AX169" s="223" t="n">
        <v>0.39</v>
      </c>
      <c r="AY169" s="223" t="n">
        <v>1.22</v>
      </c>
      <c r="AZ169" s="223" t="n">
        <v>1.2</v>
      </c>
      <c r="BA169" s="223" t="n">
        <v>0.9</v>
      </c>
      <c r="BB169" s="223" t="n">
        <v>3.71</v>
      </c>
      <c r="BC169" s="223" t="n">
        <v>0.83</v>
      </c>
      <c r="BD169" s="223" t="n">
        <v>2.71</v>
      </c>
      <c r="BE169" s="223" t="n">
        <v>2.5</v>
      </c>
      <c r="BF169" s="223" t="n">
        <v>1.52</v>
      </c>
      <c r="BG169" s="223" t="n">
        <v>7.56</v>
      </c>
      <c r="BH169" s="223" t="n">
        <v>1.33</v>
      </c>
      <c r="BI169" s="223" t="n">
        <v>2.13</v>
      </c>
      <c r="BJ169" s="223" t="n">
        <v>1.68</v>
      </c>
      <c r="BK169" s="223" t="n">
        <v>1.81</v>
      </c>
      <c r="BL169" s="223" t="n">
        <v>6.95</v>
      </c>
      <c r="BM169" s="223" t="n">
        <v>1.29</v>
      </c>
      <c r="BN169" s="223" t="n">
        <v>2.46</v>
      </c>
      <c r="BO169" s="223" t="n">
        <v>2.12</v>
      </c>
      <c r="BP169" s="223" t="n">
        <v>1.55</v>
      </c>
      <c r="BQ169" s="223" t="n">
        <v>7.42</v>
      </c>
      <c r="BR169" s="223" t="n">
        <v>1.09</v>
      </c>
      <c r="BS169" s="223" t="n">
        <v>2.36</v>
      </c>
      <c r="BT169" s="223" t="n">
        <v>2.21</v>
      </c>
      <c r="BU169" s="223" t="n">
        <v>1.62</v>
      </c>
      <c r="BV169" s="223" t="n">
        <v>7.28</v>
      </c>
      <c r="BW169" s="223" t="n">
        <v>1.19</v>
      </c>
      <c r="BX169" s="223" t="n">
        <v>3.22</v>
      </c>
      <c r="BY169" s="224" t="n"/>
      <c r="BZ169" s="224" t="n"/>
      <c r="CA169" s="224" t="n"/>
      <c r="CB169" s="224" t="n"/>
      <c r="CC169" s="224" t="n"/>
      <c r="CD169" s="224" t="n"/>
      <c r="CE169" s="224" t="n"/>
      <c r="CF169" s="177" t="n"/>
    </row>
    <row r="170" ht="15" customHeight="1">
      <c r="B170" s="26" t="inlineStr">
        <is>
          <t xml:space="preserve">  Dividends declared per common share ($) — CLH pays no common dividend</t>
        </is>
      </c>
      <c r="C170" s="225" t="n"/>
      <c r="D170" s="225" t="n"/>
      <c r="E170" s="225" t="n"/>
      <c r="F170" s="225" t="n"/>
      <c r="G170" s="225" t="n"/>
      <c r="H170" s="225" t="n"/>
      <c r="I170" s="225" t="n"/>
      <c r="J170" s="225" t="n"/>
      <c r="K170" s="225" t="n"/>
      <c r="L170" s="225" t="n"/>
      <c r="M170" s="225" t="n"/>
      <c r="N170" s="225" t="n"/>
      <c r="O170" s="225" t="n"/>
      <c r="P170" s="225" t="n"/>
      <c r="Q170" s="225" t="n"/>
      <c r="R170" s="225" t="n"/>
      <c r="S170" s="225" t="n"/>
      <c r="T170" s="225" t="n"/>
      <c r="U170" s="225" t="n"/>
      <c r="V170" s="225" t="n"/>
      <c r="W170" s="225" t="n"/>
      <c r="X170" s="225" t="n"/>
      <c r="Y170" s="225" t="n"/>
      <c r="Z170" s="225" t="n"/>
      <c r="AA170" s="225" t="n"/>
      <c r="AB170" s="225" t="n"/>
      <c r="AC170" s="225" t="n"/>
      <c r="AD170" s="225" t="n"/>
      <c r="AE170" s="225" t="n"/>
      <c r="AF170" s="225" t="n"/>
      <c r="AG170" s="225" t="n"/>
      <c r="AH170" s="225" t="n"/>
      <c r="AI170" s="225" t="n"/>
      <c r="AJ170" s="225" t="n"/>
      <c r="AK170" s="225" t="n"/>
      <c r="AL170" s="225" t="n"/>
      <c r="AM170" s="225" t="n"/>
      <c r="AN170" s="225" t="n"/>
      <c r="AO170" s="225" t="n"/>
      <c r="AP170" s="225" t="n"/>
      <c r="AQ170" s="225" t="n"/>
      <c r="AR170" s="225" t="n"/>
      <c r="AS170" s="225" t="n"/>
      <c r="AT170" s="225" t="n"/>
      <c r="AU170" s="225" t="n"/>
      <c r="AV170" s="225" t="n"/>
      <c r="AW170" s="225" t="n"/>
      <c r="AX170" s="225" t="n"/>
      <c r="AY170" s="225" t="n"/>
      <c r="AZ170" s="225" t="n"/>
      <c r="BA170" s="225" t="n"/>
      <c r="BB170" s="225" t="n"/>
      <c r="BC170" s="225" t="n"/>
      <c r="BD170" s="225" t="n"/>
      <c r="BE170" s="225" t="n"/>
      <c r="BF170" s="225" t="n"/>
      <c r="BG170" s="225" t="n"/>
      <c r="BH170" s="225" t="n"/>
      <c r="BI170" s="225" t="n"/>
      <c r="BJ170" s="225" t="n"/>
      <c r="BK170" s="225" t="n"/>
      <c r="BL170" s="225" t="n"/>
      <c r="BM170" s="225" t="n"/>
      <c r="BN170" s="225" t="n"/>
      <c r="BO170" s="225" t="n"/>
      <c r="BP170" s="225" t="n"/>
      <c r="BQ170" s="225" t="n"/>
      <c r="BR170" s="225" t="n"/>
      <c r="BS170" s="225" t="n"/>
      <c r="BT170" s="225" t="n"/>
      <c r="BU170" s="225" t="n"/>
      <c r="BV170" s="225" t="n"/>
      <c r="BW170" s="225" t="n"/>
      <c r="BX170" s="225" t="n"/>
      <c r="BY170" s="226" t="n">
        <v>0</v>
      </c>
      <c r="BZ170" s="226" t="n">
        <v>0</v>
      </c>
      <c r="CA170" s="226" t="n">
        <v>0</v>
      </c>
      <c r="CB170" s="220">
        <f>0</f>
        <v>0</v>
      </c>
      <c r="CC170" s="220">
        <f>0</f>
        <v>0</v>
      </c>
      <c r="CD170" s="220">
        <f>0</f>
        <v>0</v>
      </c>
      <c r="CE170" s="220">
        <f>0</f>
        <v>0</v>
      </c>
      <c r="CF170" s="20" t="inlineStr">
        <is>
          <t>No common dividends declared 2006–2026 (capital returned via buybacks).</t>
        </is>
      </c>
    </row>
    <row r="171" ht="15" customHeight="1">
      <c r="B171" s="26" t="inlineStr">
        <is>
          <t xml:space="preserve">  Memo: FY26 GAAP net income — guidance (scenario end-point; ex pending deals)</t>
        </is>
      </c>
      <c r="C171" s="184" t="n"/>
      <c r="D171" s="184" t="n"/>
      <c r="E171" s="184" t="n"/>
      <c r="F171" s="184" t="n"/>
      <c r="G171" s="184" t="n"/>
      <c r="H171" s="184" t="n"/>
      <c r="I171" s="184" t="n"/>
      <c r="J171" s="184" t="n"/>
      <c r="K171" s="184" t="n"/>
      <c r="L171" s="184" t="n"/>
      <c r="M171" s="184" t="n"/>
      <c r="N171" s="184" t="n"/>
      <c r="O171" s="184" t="n"/>
      <c r="P171" s="184" t="n"/>
      <c r="Q171" s="184" t="n"/>
      <c r="R171" s="184" t="n"/>
      <c r="S171" s="184" t="n"/>
      <c r="T171" s="184" t="n"/>
      <c r="U171" s="184" t="n"/>
      <c r="V171" s="184" t="n"/>
      <c r="W171" s="184" t="n"/>
      <c r="X171" s="184" t="n"/>
      <c r="Y171" s="184" t="n"/>
      <c r="Z171" s="184" t="n"/>
      <c r="AA171" s="184" t="n"/>
      <c r="AB171" s="184" t="n"/>
      <c r="AC171" s="184" t="n"/>
      <c r="AD171" s="184" t="n"/>
      <c r="AE171" s="184" t="n"/>
      <c r="AF171" s="184" t="n"/>
      <c r="AG171" s="184" t="n"/>
      <c r="AH171" s="184" t="n"/>
      <c r="AI171" s="184" t="n"/>
      <c r="AJ171" s="184" t="n"/>
      <c r="AK171" s="184" t="n"/>
      <c r="AL171" s="184" t="n"/>
      <c r="AM171" s="184" t="n"/>
      <c r="AN171" s="184" t="n"/>
      <c r="AO171" s="184" t="n"/>
      <c r="AP171" s="184" t="n"/>
      <c r="AQ171" s="184" t="n"/>
      <c r="AR171" s="184" t="n"/>
      <c r="AS171" s="184" t="n"/>
      <c r="AT171" s="184" t="n"/>
      <c r="AU171" s="184" t="n"/>
      <c r="AV171" s="184" t="n"/>
      <c r="AW171" s="184" t="n"/>
      <c r="AX171" s="184" t="n"/>
      <c r="AY171" s="184" t="n"/>
      <c r="AZ171" s="184" t="n"/>
      <c r="BA171" s="184" t="n"/>
      <c r="BB171" s="184" t="n"/>
      <c r="BC171" s="184" t="n"/>
      <c r="BD171" s="184" t="n"/>
      <c r="BE171" s="184" t="n"/>
      <c r="BF171" s="184" t="n"/>
      <c r="BG171" s="184" t="n"/>
      <c r="BH171" s="184" t="n"/>
      <c r="BI171" s="184" t="n"/>
      <c r="BJ171" s="184" t="n"/>
      <c r="BK171" s="184" t="n"/>
      <c r="BL171" s="184" t="n"/>
      <c r="BM171" s="184" t="n"/>
      <c r="BN171" s="184" t="n"/>
      <c r="BO171" s="184" t="n"/>
      <c r="BP171" s="184" t="n"/>
      <c r="BQ171" s="184" t="n"/>
      <c r="BR171" s="184" t="n"/>
      <c r="BS171" s="184" t="n"/>
      <c r="BT171" s="184" t="n"/>
      <c r="BU171" s="184" t="n"/>
      <c r="BV171" s="184" t="n"/>
      <c r="BW171" s="184" t="n"/>
      <c r="BX171" s="184" t="n"/>
      <c r="BY171" s="168" t="n"/>
      <c r="BZ171" s="168" t="n"/>
      <c r="CA171" s="186">
        <f>CHOOSE(MATCH($CF$2,{"Bull","Base","Bear"},0),$CO$13,$CP$13,$CQ$13)</f>
        <v>506</v>
      </c>
      <c r="CB171" s="168" t="n"/>
      <c r="CC171" s="168" t="n"/>
      <c r="CD171" s="168" t="n"/>
      <c r="CE171" s="168" t="n"/>
      <c r="CF171" s="20" t="inlineStr">
        <is>
          <t>Q2-26 release: GAAP net income $481–531m underlying the Adjusted EBITDA range.</t>
        </is>
      </c>
    </row>
    <row r="172" ht="15" customHeight="1"/>
    <row r="173" ht="15" customHeight="1">
      <c r="B173" s="11" t="inlineStr">
        <is>
          <t>RECONCILIATION: NET INCOME → EBITDA → ADJUSTED EBITDA (company definition in force in each period)</t>
        </is>
      </c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  <c r="AP173" s="11" t="n"/>
      <c r="AQ173" s="11" t="n"/>
      <c r="AR173" s="11" t="n"/>
      <c r="AS173" s="11" t="n"/>
      <c r="AT173" s="11" t="n"/>
      <c r="AU173" s="11" t="n"/>
      <c r="AV173" s="11" t="n"/>
      <c r="AW173" s="11" t="n"/>
      <c r="AX173" s="11" t="n"/>
      <c r="AY173" s="11" t="n"/>
      <c r="AZ173" s="11" t="n"/>
      <c r="BA173" s="11" t="n"/>
      <c r="BB173" s="11" t="n"/>
      <c r="BC173" s="11" t="n"/>
      <c r="BD173" s="11" t="n"/>
      <c r="BE173" s="11" t="n"/>
      <c r="BF173" s="11" t="n"/>
      <c r="BG173" s="11" t="n"/>
      <c r="BH173" s="11" t="n"/>
      <c r="BI173" s="11" t="n"/>
      <c r="BJ173" s="11" t="n"/>
      <c r="BK173" s="11" t="n"/>
      <c r="BL173" s="11" t="n"/>
      <c r="BM173" s="11" t="n"/>
      <c r="BN173" s="11" t="n"/>
      <c r="BO173" s="11" t="n"/>
      <c r="BP173" s="11" t="n"/>
      <c r="BQ173" s="11" t="n"/>
      <c r="BR173" s="11" t="n"/>
      <c r="BS173" s="11" t="n"/>
      <c r="BT173" s="11" t="n"/>
      <c r="BU173" s="11" t="n"/>
      <c r="BV173" s="11" t="n"/>
      <c r="BW173" s="11" t="n"/>
      <c r="BX173" s="11" t="n"/>
      <c r="BY173" s="11" t="n"/>
      <c r="BZ173" s="11" t="n"/>
      <c r="CA173" s="11" t="n"/>
      <c r="CB173" s="11" t="n"/>
      <c r="CC173" s="11" t="n"/>
      <c r="CD173" s="11" t="n"/>
      <c r="CE173" s="11" t="n"/>
      <c r="CF173" s="11" t="inlineStr">
        <is>
          <t>ADJUSTED EBITDA — per CLH earnings-release / 10-K reconciliations; definition in force in each period (see definition row)</t>
        </is>
      </c>
    </row>
    <row r="174" ht="15" customHeight="1">
      <c r="B174" s="17" t="inlineStr">
        <is>
          <t>Net income (GAAP)</t>
        </is>
      </c>
      <c r="C174" s="214">
        <f>C157</f>
        <v>46.6749999999999</v>
      </c>
      <c r="D174" s="214">
        <f>D157</f>
        <v>44.198</v>
      </c>
      <c r="E174" s="214">
        <f>E157</f>
        <v>57.4859999999999</v>
      </c>
      <c r="F174" s="214">
        <f>F157</f>
        <v>36.6860000000001</v>
      </c>
      <c r="G174" s="214">
        <f>G157</f>
        <v>130.515</v>
      </c>
      <c r="H174" s="214">
        <f>H157</f>
        <v>127.252</v>
      </c>
      <c r="I174" s="214">
        <f>I157</f>
        <v>129.674</v>
      </c>
      <c r="J174" s="214">
        <f>J157</f>
        <v>10.502</v>
      </c>
      <c r="K174" s="214">
        <f>K157</f>
        <v>22.902</v>
      </c>
      <c r="L174" s="214">
        <f>L157</f>
        <v>35.3609999999999</v>
      </c>
      <c r="M174" s="214">
        <f>M157</f>
        <v>26.801</v>
      </c>
      <c r="N174" s="214">
        <f>N157</f>
        <v>95.5660000000002</v>
      </c>
      <c r="O174" s="214">
        <f>O157</f>
        <v>8.95999999999998</v>
      </c>
      <c r="P174" s="214">
        <f>P157</f>
        <v>28.672</v>
      </c>
      <c r="Q174" s="214">
        <f>Q157</f>
        <v>-93.337</v>
      </c>
      <c r="R174" s="214">
        <f>R157</f>
        <v>27.377</v>
      </c>
      <c r="S174" s="214">
        <f>S157</f>
        <v>-28.328</v>
      </c>
      <c r="T174" s="214">
        <f>T157</f>
        <v>-7.08899999999992</v>
      </c>
      <c r="U174" s="214">
        <f>U157</f>
        <v>10.395</v>
      </c>
      <c r="V174" s="214">
        <f>V157</f>
        <v>40.228</v>
      </c>
      <c r="W174" s="214">
        <f>W157</f>
        <v>0.567999999999951</v>
      </c>
      <c r="X174" s="214">
        <f>X157</f>
        <v>44.1020000000002</v>
      </c>
      <c r="Y174" s="214">
        <f>Y157</f>
        <v>-20.871</v>
      </c>
      <c r="Z174" s="214">
        <f>Z157</f>
        <v>3.96599999999998</v>
      </c>
      <c r="AA174" s="214">
        <f>AA157</f>
        <v>-10.255</v>
      </c>
      <c r="AB174" s="214">
        <f>AB157</f>
        <v>-12.7129999999999</v>
      </c>
      <c r="AC174" s="214">
        <f>AC157</f>
        <v>-39.8729999999999</v>
      </c>
      <c r="AD174" s="214">
        <f>AD157</f>
        <v>-21.393</v>
      </c>
      <c r="AE174" s="214">
        <f>AE157</f>
        <v>25.88</v>
      </c>
      <c r="AF174" s="214">
        <f>AF157</f>
        <v>12.058</v>
      </c>
      <c r="AG174" s="214">
        <f>AG157</f>
        <v>84.194</v>
      </c>
      <c r="AH174" s="214">
        <f>AH157</f>
        <v>100.739</v>
      </c>
      <c r="AI174" s="214">
        <f>AI157</f>
        <v>-12.6309999999999</v>
      </c>
      <c r="AJ174" s="214">
        <f>AJ157</f>
        <v>30.747</v>
      </c>
      <c r="AK174" s="214">
        <f>AK157</f>
        <v>31.0890000000001</v>
      </c>
      <c r="AL174" s="214">
        <f>AL157</f>
        <v>16.431</v>
      </c>
      <c r="AM174" s="214">
        <f>AM157</f>
        <v>65.636</v>
      </c>
      <c r="AN174" s="214">
        <f>AN157</f>
        <v>0.976000000000024</v>
      </c>
      <c r="AO174" s="214">
        <f>AO157</f>
        <v>36.244</v>
      </c>
      <c r="AP174" s="214">
        <f>AP157</f>
        <v>36.369</v>
      </c>
      <c r="AQ174" s="214">
        <f>AQ157</f>
        <v>24.1509999999999</v>
      </c>
      <c r="AR174" s="214">
        <f>AR157</f>
        <v>97.7400000000002</v>
      </c>
      <c r="AS174" s="214">
        <f>AS157</f>
        <v>11.5719999999999</v>
      </c>
      <c r="AT174" s="214">
        <f>AT157</f>
        <v>29.023</v>
      </c>
      <c r="AU174" s="214">
        <f>AU157</f>
        <v>54.9100000000001</v>
      </c>
      <c r="AV174" s="214">
        <f>AV157</f>
        <v>39.3320000000001</v>
      </c>
      <c r="AW174" s="214">
        <f>AW157</f>
        <v>134.837</v>
      </c>
      <c r="AX174" s="214">
        <f>AX157</f>
        <v>21.7360000000001</v>
      </c>
      <c r="AY174" s="214">
        <f>AY157</f>
        <v>67.075</v>
      </c>
      <c r="AZ174" s="214">
        <f>AZ157</f>
        <v>65.4430000000001</v>
      </c>
      <c r="BA174" s="214">
        <f>BA157</f>
        <v>48.993</v>
      </c>
      <c r="BB174" s="214">
        <f>BB157</f>
        <v>203.247</v>
      </c>
      <c r="BC174" s="214">
        <f>BC157</f>
        <v>45.3139999999999</v>
      </c>
      <c r="BD174" s="214">
        <f>BD157</f>
        <v>148.157</v>
      </c>
      <c r="BE174" s="214">
        <f>BE157</f>
        <v>135.799</v>
      </c>
      <c r="BF174" s="214">
        <f>BF157</f>
        <v>82.474</v>
      </c>
      <c r="BG174" s="214">
        <f>BG157</f>
        <v>411.744</v>
      </c>
      <c r="BH174" s="214">
        <f>BH157</f>
        <v>72.4009999999999</v>
      </c>
      <c r="BI174" s="214">
        <f>BI157</f>
        <v>115.766</v>
      </c>
      <c r="BJ174" s="214">
        <f>BJ157</f>
        <v>91.3399999999999</v>
      </c>
      <c r="BK174" s="214">
        <f>BK157</f>
        <v>98.3490000000001</v>
      </c>
      <c r="BL174" s="214">
        <f>BL157</f>
        <v>377.856</v>
      </c>
      <c r="BM174" s="214">
        <f>BM157</f>
        <v>69.8319999999999</v>
      </c>
      <c r="BN174" s="214">
        <f>BN157</f>
        <v>133.28</v>
      </c>
      <c r="BO174" s="214">
        <f>BO157</f>
        <v>115.213</v>
      </c>
      <c r="BP174" s="214">
        <f>BP157</f>
        <v>83.974</v>
      </c>
      <c r="BQ174" s="214">
        <f>BQ157</f>
        <v>402.299</v>
      </c>
      <c r="BR174" s="214">
        <f>BR157</f>
        <v>58.68</v>
      </c>
      <c r="BS174" s="214">
        <f>BS157</f>
        <v>126.905</v>
      </c>
      <c r="BT174" s="214">
        <f>BT157</f>
        <v>118.799</v>
      </c>
      <c r="BU174" s="214">
        <f>BU157</f>
        <v>86.5899999999999</v>
      </c>
      <c r="BV174" s="214">
        <f>BV157</f>
        <v>390.974</v>
      </c>
      <c r="BW174" s="214">
        <f>BW157</f>
        <v>63.201</v>
      </c>
      <c r="BX174" s="214">
        <f>BX157</f>
        <v>170.464</v>
      </c>
      <c r="BY174" s="176">
        <f>BY157</f>
        <v>160.680626231782</v>
      </c>
      <c r="BZ174" s="176">
        <f>BZ157</f>
        <v>101.527524702579</v>
      </c>
      <c r="CA174" s="176">
        <f>CA157</f>
        <v>495.873150934361</v>
      </c>
      <c r="CB174" s="176">
        <f>CB157</f>
        <v>560.429766515353</v>
      </c>
      <c r="CC174" s="176">
        <f>CC157</f>
        <v>643.581923888068</v>
      </c>
      <c r="CD174" s="176">
        <f>CD157</f>
        <v>713.118833689035</v>
      </c>
      <c r="CE174" s="176">
        <f>CE157</f>
        <v>773.628677231593</v>
      </c>
      <c r="CF174" s="177" t="n"/>
    </row>
    <row r="175" ht="15" customHeight="1">
      <c r="B175" s="26" t="inlineStr">
        <is>
          <t xml:space="preserve">  (+) Interest expense, net</t>
        </is>
      </c>
      <c r="C175" s="212">
        <f>-C151</f>
        <v>12.447</v>
      </c>
      <c r="D175" s="212">
        <f>-D151</f>
        <v>13.157</v>
      </c>
      <c r="E175" s="212">
        <f>-E151</f>
        <v>8.403</v>
      </c>
      <c r="F175" s="212">
        <f>-F151</f>
        <v>15.999</v>
      </c>
      <c r="G175" s="212">
        <f>-G151</f>
        <v>27.936</v>
      </c>
      <c r="H175" s="212">
        <f>-H151</f>
        <v>39.389</v>
      </c>
      <c r="I175" s="212">
        <f>-I151</f>
        <v>47.287</v>
      </c>
      <c r="J175" s="212">
        <f>-J151</f>
        <v>19.873</v>
      </c>
      <c r="K175" s="212">
        <f>-K151</f>
        <v>19.585</v>
      </c>
      <c r="L175" s="212">
        <f>-L151</f>
        <v>19.326</v>
      </c>
      <c r="M175" s="212">
        <f>-M151</f>
        <v>19.592</v>
      </c>
      <c r="N175" s="212">
        <f>-N151</f>
        <v>78.376</v>
      </c>
      <c r="O175" s="212">
        <f>-O151</f>
        <v>19.554</v>
      </c>
      <c r="P175" s="212">
        <f>-P151</f>
        <v>19.382</v>
      </c>
      <c r="Q175" s="212">
        <f>-Q151</f>
        <v>19.494</v>
      </c>
      <c r="R175" s="212">
        <f>-R151</f>
        <v>19.238</v>
      </c>
      <c r="S175" s="212">
        <f>-S151</f>
        <v>77.668</v>
      </c>
      <c r="T175" s="212">
        <f>-T151</f>
        <v>19.438</v>
      </c>
      <c r="U175" s="212">
        <f>-U151</f>
        <v>19.249</v>
      </c>
      <c r="V175" s="212">
        <f>-V151</f>
        <v>19.017</v>
      </c>
      <c r="W175" s="212">
        <f>-W151</f>
        <v>18.849</v>
      </c>
      <c r="X175" s="212">
        <f>-X151</f>
        <v>76.553</v>
      </c>
      <c r="Y175" s="212">
        <f>-Y151</f>
        <v>18.98</v>
      </c>
      <c r="Z175" s="212">
        <f>-Z151</f>
        <v>21.647</v>
      </c>
      <c r="AA175" s="212">
        <f>-AA151</f>
        <v>21.565</v>
      </c>
      <c r="AB175" s="212">
        <f>-AB151</f>
        <v>21.333</v>
      </c>
      <c r="AC175" s="212">
        <f>-AC151</f>
        <v>83.525</v>
      </c>
      <c r="AD175" s="212">
        <f>-AD151</f>
        <v>22.576</v>
      </c>
      <c r="AE175" s="212">
        <f>-AE151</f>
        <v>22.492</v>
      </c>
      <c r="AF175" s="212">
        <f>-AF151</f>
        <v>20.675</v>
      </c>
      <c r="AG175" s="212">
        <f>-AG151</f>
        <v>20.065</v>
      </c>
      <c r="AH175" s="212">
        <f>-AH151</f>
        <v>85.808</v>
      </c>
      <c r="AI175" s="212">
        <f>-AI151</f>
        <v>20.27</v>
      </c>
      <c r="AJ175" s="212">
        <f>-AJ151</f>
        <v>20.769</v>
      </c>
      <c r="AK175" s="212">
        <f>-AK151</f>
        <v>19.916</v>
      </c>
      <c r="AL175" s="212">
        <f>-AL151</f>
        <v>20.139</v>
      </c>
      <c r="AM175" s="212">
        <f>-AM151</f>
        <v>81.094</v>
      </c>
      <c r="AN175" s="212">
        <f>-AN151</f>
        <v>19.764</v>
      </c>
      <c r="AO175" s="212">
        <f>-AO151</f>
        <v>20.215</v>
      </c>
      <c r="AP175" s="212">
        <f>-AP151</f>
        <v>19.702</v>
      </c>
      <c r="AQ175" s="212">
        <f>-AQ151</f>
        <v>18.989</v>
      </c>
      <c r="AR175" s="212">
        <f>-AR151</f>
        <v>78.67</v>
      </c>
      <c r="AS175" s="212">
        <f>-AS151</f>
        <v>18.787</v>
      </c>
      <c r="AT175" s="212">
        <f>-AT151</f>
        <v>18.654</v>
      </c>
      <c r="AU175" s="212">
        <f>-AU151</f>
        <v>17.407</v>
      </c>
      <c r="AV175" s="212">
        <f>-AV151</f>
        <v>18.272</v>
      </c>
      <c r="AW175" s="212">
        <f>-AW151</f>
        <v>73.12</v>
      </c>
      <c r="AX175" s="212">
        <f>-AX151</f>
        <v>17.918</v>
      </c>
      <c r="AY175" s="212">
        <f>-AY151</f>
        <v>18.051</v>
      </c>
      <c r="AZ175" s="212">
        <f>-AZ151</f>
        <v>17.984</v>
      </c>
      <c r="BA175" s="212">
        <f>-BA151</f>
        <v>23.704</v>
      </c>
      <c r="BB175" s="212">
        <f>-BB151</f>
        <v>77.657</v>
      </c>
      <c r="BC175" s="212">
        <f>-BC151</f>
        <v>25.017</v>
      </c>
      <c r="BD175" s="212">
        <f>-BD151</f>
        <v>26.256</v>
      </c>
      <c r="BE175" s="212">
        <f>-BE151</f>
        <v>28.081</v>
      </c>
      <c r="BF175" s="212">
        <f>-BF151</f>
        <v>28.309</v>
      </c>
      <c r="BG175" s="212">
        <f>-BG151</f>
        <v>107.663</v>
      </c>
      <c r="BH175" s="212">
        <f>-BH151</f>
        <v>20.632</v>
      </c>
      <c r="BI175" s="212">
        <f>-BI151</f>
        <v>30.072</v>
      </c>
      <c r="BJ175" s="212">
        <f>-BJ151</f>
        <v>29.696</v>
      </c>
      <c r="BK175" s="212">
        <f>-BK151</f>
        <v>28.195</v>
      </c>
      <c r="BL175" s="212">
        <f>-BL151</f>
        <v>108.595</v>
      </c>
      <c r="BM175" s="212">
        <f>-BM151</f>
        <v>28.539</v>
      </c>
      <c r="BN175" s="212">
        <f>-BN151</f>
        <v>36.449</v>
      </c>
      <c r="BO175" s="212">
        <f>-BO151</f>
        <v>35.779</v>
      </c>
      <c r="BP175" s="212">
        <f>-BP151</f>
        <v>34.197</v>
      </c>
      <c r="BQ175" s="212">
        <f>-BQ151</f>
        <v>134.964</v>
      </c>
      <c r="BR175" s="212">
        <f>-BR151</f>
        <v>36.077</v>
      </c>
      <c r="BS175" s="212">
        <f>-BS151</f>
        <v>37.106</v>
      </c>
      <c r="BT175" s="212">
        <f>-BT151</f>
        <v>35.7</v>
      </c>
      <c r="BU175" s="212">
        <f>-BU151</f>
        <v>34.221</v>
      </c>
      <c r="BV175" s="212">
        <f>-BV151</f>
        <v>143.104</v>
      </c>
      <c r="BW175" s="212">
        <f>-BW151</f>
        <v>33.854</v>
      </c>
      <c r="BX175" s="212">
        <f>-BX151</f>
        <v>37.208</v>
      </c>
      <c r="BY175" s="186">
        <f>-BY151</f>
        <v>38.719</v>
      </c>
      <c r="BZ175" s="186">
        <f>-BZ151</f>
        <v>48.1710547945206</v>
      </c>
      <c r="CA175" s="186">
        <f>-CA151</f>
        <v>157.952054794521</v>
      </c>
      <c r="CB175" s="186">
        <f>-CB151</f>
        <v>173.2584498663</v>
      </c>
      <c r="CC175" s="186">
        <f>-CC151</f>
        <v>176.799480961947</v>
      </c>
      <c r="CD175" s="186">
        <f>-CD151</f>
        <v>187.428896349492</v>
      </c>
      <c r="CE175" s="186">
        <f>-CE151</f>
        <v>203.473644287489</v>
      </c>
      <c r="CF175" s="20" t="n"/>
    </row>
    <row r="176" ht="15" customHeight="1">
      <c r="B176" s="26" t="inlineStr">
        <is>
          <t xml:space="preserve">  (+) Provision for income taxes</t>
        </is>
      </c>
      <c r="C176" s="212">
        <f>C154</f>
        <v>6.339</v>
      </c>
      <c r="D176" s="212">
        <f>D154</f>
        <v>28.04</v>
      </c>
      <c r="E176" s="212">
        <f>E154</f>
        <v>36.491</v>
      </c>
      <c r="F176" s="212">
        <f>F154</f>
        <v>26.225</v>
      </c>
      <c r="G176" s="212">
        <f>G154</f>
        <v>56.756</v>
      </c>
      <c r="H176" s="212">
        <f>H154</f>
        <v>57.426</v>
      </c>
      <c r="I176" s="212">
        <f>I154</f>
        <v>-1.944</v>
      </c>
      <c r="J176" s="212">
        <f>J154</f>
        <v>4.978</v>
      </c>
      <c r="K176" s="212">
        <f>K154</f>
        <v>12.411</v>
      </c>
      <c r="L176" s="212">
        <f>L154</f>
        <v>18.771</v>
      </c>
      <c r="M176" s="212">
        <f>M154</f>
        <v>12.159</v>
      </c>
      <c r="N176" s="212">
        <f>N154</f>
        <v>48.319</v>
      </c>
      <c r="O176" s="212">
        <f>O154</f>
        <v>5.57</v>
      </c>
      <c r="P176" s="212">
        <f>P154</f>
        <v>18.406</v>
      </c>
      <c r="Q176" s="212">
        <f>Q154</f>
        <v>31.708</v>
      </c>
      <c r="R176" s="212">
        <f>R154</f>
        <v>11.166</v>
      </c>
      <c r="S176" s="212">
        <f>S154</f>
        <v>66.85</v>
      </c>
      <c r="T176" s="212">
        <f>T154</f>
        <v>-4.638</v>
      </c>
      <c r="U176" s="212">
        <f>U154</f>
        <v>30.454</v>
      </c>
      <c r="V176" s="212">
        <f>V154</f>
        <v>34.586</v>
      </c>
      <c r="W176" s="212">
        <f>W154</f>
        <v>5.142</v>
      </c>
      <c r="X176" s="212">
        <f>X154</f>
        <v>65.544</v>
      </c>
      <c r="Y176" s="212">
        <f>Y154</f>
        <v>-2.546</v>
      </c>
      <c r="Z176" s="212">
        <f>Z154</f>
        <v>8.702</v>
      </c>
      <c r="AA176" s="212">
        <f>AA154</f>
        <v>21.725</v>
      </c>
      <c r="AB176" s="212">
        <f>AB154</f>
        <v>20.708</v>
      </c>
      <c r="AC176" s="212">
        <f>AC154</f>
        <v>48.589</v>
      </c>
      <c r="AD176" s="212">
        <f>AD154</f>
        <v>2.701</v>
      </c>
      <c r="AE176" s="212">
        <f>AE154</f>
        <v>23.216</v>
      </c>
      <c r="AF176" s="212">
        <f>AF154</f>
        <v>12.575</v>
      </c>
      <c r="AG176" s="212">
        <f>AG154</f>
        <v>-80.542</v>
      </c>
      <c r="AH176" s="212">
        <f>AH154</f>
        <v>-42.05</v>
      </c>
      <c r="AI176" s="212">
        <f>AI154</f>
        <v>3.053</v>
      </c>
      <c r="AJ176" s="212">
        <f>AJ154</f>
        <v>13.683</v>
      </c>
      <c r="AK176" s="212">
        <f>AK154</f>
        <v>11.275</v>
      </c>
      <c r="AL176" s="212">
        <f>AL154</f>
        <v>0.835</v>
      </c>
      <c r="AM176" s="212">
        <f>AM154</f>
        <v>28.846</v>
      </c>
      <c r="AN176" s="212">
        <f>AN154</f>
        <v>5.977</v>
      </c>
      <c r="AO176" s="212">
        <f>AO154</f>
        <v>16.025</v>
      </c>
      <c r="AP176" s="212">
        <f>AP154</f>
        <v>17.75</v>
      </c>
      <c r="AQ176" s="212">
        <f>AQ154</f>
        <v>10.747</v>
      </c>
      <c r="AR176" s="212">
        <f>AR154</f>
        <v>50.499</v>
      </c>
      <c r="AS176" s="212">
        <f>AS154</f>
        <v>9.698</v>
      </c>
      <c r="AT176" s="212">
        <f>AT154</f>
        <v>11.859</v>
      </c>
      <c r="AU176" s="212">
        <f>AU154</f>
        <v>13.712</v>
      </c>
      <c r="AV176" s="212">
        <f>AV154</f>
        <v>4.444</v>
      </c>
      <c r="AW176" s="212">
        <f>AW154</f>
        <v>39.713</v>
      </c>
      <c r="AX176" s="212">
        <f>AX154</f>
        <v>9.973</v>
      </c>
      <c r="AY176" s="212">
        <f>AY154</f>
        <v>23.395</v>
      </c>
      <c r="AZ176" s="212">
        <f>AZ154</f>
        <v>21.605</v>
      </c>
      <c r="BA176" s="212">
        <f>BA154</f>
        <v>11.495</v>
      </c>
      <c r="BB176" s="212">
        <f>BB154</f>
        <v>66.468</v>
      </c>
      <c r="BC176" s="212">
        <f>BC154</f>
        <v>17.466</v>
      </c>
      <c r="BD176" s="212">
        <f>BD154</f>
        <v>46.886</v>
      </c>
      <c r="BE176" s="212">
        <f>BE154</f>
        <v>45.311</v>
      </c>
      <c r="BF176" s="212">
        <f>BF154</f>
        <v>16.591</v>
      </c>
      <c r="BG176" s="212">
        <f>BG154</f>
        <v>126.254</v>
      </c>
      <c r="BH176" s="212">
        <f>BH154</f>
        <v>25.676</v>
      </c>
      <c r="BI176" s="212">
        <f>BI154</f>
        <v>42.702</v>
      </c>
      <c r="BJ176" s="212">
        <f>BJ154</f>
        <v>33.666</v>
      </c>
      <c r="BK176" s="212">
        <f>BK154</f>
        <v>23.379</v>
      </c>
      <c r="BL176" s="212">
        <f>BL154</f>
        <v>125.423</v>
      </c>
      <c r="BM176" s="212">
        <f>BM154</f>
        <v>25.963</v>
      </c>
      <c r="BN176" s="212">
        <f>BN154</f>
        <v>45.597</v>
      </c>
      <c r="BO176" s="212">
        <f>BO154</f>
        <v>40.181</v>
      </c>
      <c r="BP176" s="212">
        <f>BP154</f>
        <v>19.403</v>
      </c>
      <c r="BQ176" s="212">
        <f>BQ154</f>
        <v>131.144</v>
      </c>
      <c r="BR176" s="212">
        <f>BR154</f>
        <v>15.93</v>
      </c>
      <c r="BS176" s="212">
        <f>BS154</f>
        <v>45.684</v>
      </c>
      <c r="BT176" s="212">
        <f>BT154</f>
        <v>42.027</v>
      </c>
      <c r="BU176" s="212">
        <f>BU154</f>
        <v>33.352</v>
      </c>
      <c r="BV176" s="212">
        <f>BV154</f>
        <v>136.993</v>
      </c>
      <c r="BW176" s="212">
        <f>BW154</f>
        <v>21.149</v>
      </c>
      <c r="BX176" s="212">
        <f>BX154</f>
        <v>61.655</v>
      </c>
      <c r="BY176" s="186">
        <f>BY154</f>
        <v>57.3178913731948</v>
      </c>
      <c r="BZ176" s="186">
        <f>BZ154</f>
        <v>36.2168344047736</v>
      </c>
      <c r="CA176" s="186">
        <f>CA154</f>
        <v>176.338725777968</v>
      </c>
      <c r="CB176" s="186">
        <f>CB154</f>
        <v>196.907755802692</v>
      </c>
      <c r="CC176" s="186">
        <f>CC154</f>
        <v>226.123378663375</v>
      </c>
      <c r="CD176" s="186">
        <f>CD154</f>
        <v>250.555265890742</v>
      </c>
      <c r="CE176" s="186">
        <f>CE154</f>
        <v>271.815481189479</v>
      </c>
      <c r="CF176" s="20" t="n"/>
    </row>
    <row r="177" ht="15" customHeight="1">
      <c r="B177" s="26" t="inlineStr">
        <is>
          <t xml:space="preserve">  (+) Depreciation &amp; amortization</t>
        </is>
      </c>
      <c r="C177" s="212">
        <f>C145</f>
        <v>35.339</v>
      </c>
      <c r="D177" s="212">
        <f>D145</f>
        <v>37.59</v>
      </c>
      <c r="E177" s="212">
        <f>E145</f>
        <v>44.471</v>
      </c>
      <c r="F177" s="212">
        <f>F145</f>
        <v>64.898</v>
      </c>
      <c r="G177" s="212">
        <f>G145</f>
        <v>92.473</v>
      </c>
      <c r="H177" s="212">
        <f>H145</f>
        <v>122.663</v>
      </c>
      <c r="I177" s="212">
        <f>I145</f>
        <v>161.646</v>
      </c>
      <c r="J177" s="212">
        <f>J145</f>
        <v>60.006</v>
      </c>
      <c r="K177" s="212">
        <f>K145</f>
        <v>67.468</v>
      </c>
      <c r="L177" s="212">
        <f>L145</f>
        <v>69.43</v>
      </c>
      <c r="M177" s="212">
        <f>M145</f>
        <v>67.545</v>
      </c>
      <c r="N177" s="212">
        <f>N145</f>
        <v>264.449</v>
      </c>
      <c r="O177" s="212">
        <f>O145</f>
        <v>69.356</v>
      </c>
      <c r="P177" s="212">
        <f>P145</f>
        <v>66.075</v>
      </c>
      <c r="Q177" s="212">
        <f>Q145</f>
        <v>70.049</v>
      </c>
      <c r="R177" s="212">
        <f>R145</f>
        <v>70.603</v>
      </c>
      <c r="S177" s="212">
        <f>S145</f>
        <v>276.083</v>
      </c>
      <c r="T177" s="212">
        <f>T145</f>
        <v>68.356</v>
      </c>
      <c r="U177" s="212">
        <f>U145</f>
        <v>67.773</v>
      </c>
      <c r="V177" s="212">
        <f>V145</f>
        <v>69.06</v>
      </c>
      <c r="W177" s="212">
        <f>W145</f>
        <v>69.005</v>
      </c>
      <c r="X177" s="212">
        <f>X145</f>
        <v>274.194</v>
      </c>
      <c r="Y177" s="212">
        <f>Y145</f>
        <v>68.902</v>
      </c>
      <c r="Z177" s="212">
        <f>Z145</f>
        <v>73.393</v>
      </c>
      <c r="AA177" s="212">
        <f>AA145</f>
        <v>73.36</v>
      </c>
      <c r="AB177" s="212">
        <f>AB145</f>
        <v>71.347</v>
      </c>
      <c r="AC177" s="212">
        <f>AC145</f>
        <v>287.002</v>
      </c>
      <c r="AD177" s="212">
        <f>AD145</f>
        <v>72.412</v>
      </c>
      <c r="AE177" s="212">
        <f>AE145</f>
        <v>71.531</v>
      </c>
      <c r="AF177" s="212">
        <f>AF145</f>
        <v>72.989</v>
      </c>
      <c r="AG177" s="212">
        <f>AG145</f>
        <v>71.49</v>
      </c>
      <c r="AH177" s="212">
        <f>AH145</f>
        <v>288.422</v>
      </c>
      <c r="AI177" s="212">
        <f>AI145</f>
        <v>74.844</v>
      </c>
      <c r="AJ177" s="212">
        <f>AJ145</f>
        <v>72.76</v>
      </c>
      <c r="AK177" s="212">
        <f>AK145</f>
        <v>73.082</v>
      </c>
      <c r="AL177" s="212">
        <f>AL145</f>
        <v>77.939</v>
      </c>
      <c r="AM177" s="212">
        <f>AM145</f>
        <v>298.625</v>
      </c>
      <c r="AN177" s="212">
        <f>AN145</f>
        <v>75.355</v>
      </c>
      <c r="AO177" s="212">
        <f>AO145</f>
        <v>74.217</v>
      </c>
      <c r="AP177" s="212">
        <f>AP145</f>
        <v>73.756</v>
      </c>
      <c r="AQ177" s="212">
        <f>AQ145</f>
        <v>77.397</v>
      </c>
      <c r="AR177" s="212">
        <f>AR145</f>
        <v>300.725</v>
      </c>
      <c r="AS177" s="212">
        <f>AS145</f>
        <v>74.533</v>
      </c>
      <c r="AT177" s="212">
        <f>AT145</f>
        <v>72.494</v>
      </c>
      <c r="AU177" s="212">
        <f>AU145</f>
        <v>74.47</v>
      </c>
      <c r="AV177" s="212">
        <f>AV145</f>
        <v>71.418</v>
      </c>
      <c r="AW177" s="212">
        <f>AW145</f>
        <v>292.915</v>
      </c>
      <c r="AX177" s="212">
        <f>AX145</f>
        <v>72.163</v>
      </c>
      <c r="AY177" s="212">
        <f>AY145</f>
        <v>71.592</v>
      </c>
      <c r="AZ177" s="212">
        <f>AZ145</f>
        <v>71.451</v>
      </c>
      <c r="BA177" s="212">
        <f>BA145</f>
        <v>82.929</v>
      </c>
      <c r="BB177" s="212">
        <f>BB145</f>
        <v>298.135</v>
      </c>
      <c r="BC177" s="212">
        <f>BC145</f>
        <v>84.298</v>
      </c>
      <c r="BD177" s="212">
        <f>BD145</f>
        <v>87.868</v>
      </c>
      <c r="BE177" s="212">
        <f>BE145</f>
        <v>88.394</v>
      </c>
      <c r="BF177" s="212">
        <f>BF145</f>
        <v>87.034</v>
      </c>
      <c r="BG177" s="212">
        <f>BG145</f>
        <v>347.594</v>
      </c>
      <c r="BH177" s="212">
        <f>BH145</f>
        <v>84.758</v>
      </c>
      <c r="BI177" s="212">
        <f>BI145</f>
        <v>89.697</v>
      </c>
      <c r="BJ177" s="212">
        <f>BJ145</f>
        <v>92.97</v>
      </c>
      <c r="BK177" s="212">
        <f>BK145</f>
        <v>98.336</v>
      </c>
      <c r="BL177" s="212">
        <f>BL145</f>
        <v>365.761</v>
      </c>
      <c r="BM177" s="212">
        <f>BM145</f>
        <v>95.065</v>
      </c>
      <c r="BN177" s="212">
        <f>BN145</f>
        <v>100.504</v>
      </c>
      <c r="BO177" s="212">
        <f>BO145</f>
        <v>100.063</v>
      </c>
      <c r="BP177" s="212">
        <f>BP145</f>
        <v>105.29</v>
      </c>
      <c r="BQ177" s="212">
        <f>BQ145</f>
        <v>400.922</v>
      </c>
      <c r="BR177" s="212">
        <f>BR145</f>
        <v>111.98</v>
      </c>
      <c r="BS177" s="212">
        <f>BS145</f>
        <v>116.285</v>
      </c>
      <c r="BT177" s="212">
        <f>BT145</f>
        <v>114.729</v>
      </c>
      <c r="BU177" s="212">
        <f>BU145</f>
        <v>103.012</v>
      </c>
      <c r="BV177" s="212">
        <f>BV145</f>
        <v>446.006</v>
      </c>
      <c r="BW177" s="212">
        <f>BW145</f>
        <v>115.799</v>
      </c>
      <c r="BX177" s="212">
        <f>BX145</f>
        <v>121.807</v>
      </c>
      <c r="BY177" s="186">
        <f>BY145</f>
        <v>122.329191780822</v>
      </c>
      <c r="BZ177" s="186">
        <f>BZ145</f>
        <v>129.139602739726</v>
      </c>
      <c r="CA177" s="186">
        <f>CA145</f>
        <v>489.074794520548</v>
      </c>
      <c r="CB177" s="186">
        <f>CB145</f>
        <v>548.281802897798</v>
      </c>
      <c r="CC177" s="186">
        <f>CC145</f>
        <v>595.086282779748</v>
      </c>
      <c r="CD177" s="186">
        <f>CD145</f>
        <v>642.618178553527</v>
      </c>
      <c r="CE177" s="186">
        <f>CE145</f>
        <v>691.769732930364</v>
      </c>
      <c r="CF177" s="20" t="n"/>
    </row>
    <row r="178" ht="15" customHeight="1">
      <c r="B178" s="17" t="inlineStr">
        <is>
          <t xml:space="preserve">  = EBITDA</t>
        </is>
      </c>
      <c r="C178" s="214">
        <f>C174+C175+C176+C177</f>
        <v>100.8</v>
      </c>
      <c r="D178" s="214">
        <f>D174+D175+D176+D177</f>
        <v>122.985</v>
      </c>
      <c r="E178" s="214">
        <f>E174+E175+E176+E177</f>
        <v>146.851</v>
      </c>
      <c r="F178" s="214">
        <f>F174+F175+F176+F177</f>
        <v>143.808</v>
      </c>
      <c r="G178" s="214">
        <f>G174+G175+G176+G177</f>
        <v>307.68</v>
      </c>
      <c r="H178" s="214">
        <f>H174+H175+H176+H177</f>
        <v>346.73</v>
      </c>
      <c r="I178" s="214">
        <f>I174+I175+I176+I177</f>
        <v>336.663</v>
      </c>
      <c r="J178" s="214">
        <f>J174+J175+J176+J177</f>
        <v>95.359</v>
      </c>
      <c r="K178" s="214">
        <f>K174+K175+K176+K177</f>
        <v>122.366</v>
      </c>
      <c r="L178" s="214">
        <f>L174+L175+L176+L177</f>
        <v>142.888</v>
      </c>
      <c r="M178" s="214">
        <f>M174+M175+M176+M177</f>
        <v>126.097</v>
      </c>
      <c r="N178" s="214">
        <f>N174+N175+N176+N177</f>
        <v>486.71</v>
      </c>
      <c r="O178" s="214">
        <f>O174+O175+O176+O177</f>
        <v>103.44</v>
      </c>
      <c r="P178" s="214">
        <f>P174+P175+P176+P177</f>
        <v>132.535</v>
      </c>
      <c r="Q178" s="214">
        <f>Q174+Q175+Q176+Q177</f>
        <v>27.914</v>
      </c>
      <c r="R178" s="214">
        <f>R174+R175+R176+R177</f>
        <v>128.384</v>
      </c>
      <c r="S178" s="214">
        <f>S174+S175+S176+S177</f>
        <v>392.273</v>
      </c>
      <c r="T178" s="214">
        <f>T174+T175+T176+T177</f>
        <v>76.0670000000001</v>
      </c>
      <c r="U178" s="214">
        <f>U174+U175+U176+U177</f>
        <v>127.871</v>
      </c>
      <c r="V178" s="214">
        <f>V174+V175+V176+V177</f>
        <v>162.891</v>
      </c>
      <c r="W178" s="214">
        <f>W174+W175+W176+W177</f>
        <v>93.564</v>
      </c>
      <c r="X178" s="214">
        <f>X174+X175+X176+X177</f>
        <v>460.393</v>
      </c>
      <c r="Y178" s="214">
        <f>Y174+Y175+Y176+Y177</f>
        <v>64.465</v>
      </c>
      <c r="Z178" s="214">
        <f>Z174+Z175+Z176+Z177</f>
        <v>107.708</v>
      </c>
      <c r="AA178" s="214">
        <f>AA174+AA175+AA176+AA177</f>
        <v>106.395</v>
      </c>
      <c r="AB178" s="214">
        <f>AB174+AB175+AB176+AB177</f>
        <v>100.675</v>
      </c>
      <c r="AC178" s="214">
        <f>AC174+AC175+AC176+AC177</f>
        <v>379.243</v>
      </c>
      <c r="AD178" s="214">
        <f>AD174+AD175+AD176+AD177</f>
        <v>76.296</v>
      </c>
      <c r="AE178" s="214">
        <f>AE174+AE175+AE176+AE177</f>
        <v>143.119</v>
      </c>
      <c r="AF178" s="214">
        <f>AF174+AF175+AF176+AF177</f>
        <v>118.297</v>
      </c>
      <c r="AG178" s="214">
        <f>AG174+AG175+AG176+AG177</f>
        <v>95.207</v>
      </c>
      <c r="AH178" s="214">
        <f>AH174+AH175+AH176+AH177</f>
        <v>432.919</v>
      </c>
      <c r="AI178" s="214">
        <f>AI174+AI175+AI176+AI177</f>
        <v>85.5360000000001</v>
      </c>
      <c r="AJ178" s="214">
        <f>AJ174+AJ175+AJ176+AJ177</f>
        <v>137.959</v>
      </c>
      <c r="AK178" s="214">
        <f>AK174+AK175+AK176+AK177</f>
        <v>135.362</v>
      </c>
      <c r="AL178" s="214">
        <f>AL174+AL175+AL176+AL177</f>
        <v>115.344</v>
      </c>
      <c r="AM178" s="214">
        <f>AM174+AM175+AM176+AM177</f>
        <v>474.201</v>
      </c>
      <c r="AN178" s="214">
        <f>AN174+AN175+AN176+AN177</f>
        <v>102.072</v>
      </c>
      <c r="AO178" s="214">
        <f>AO174+AO175+AO176+AO177</f>
        <v>146.701</v>
      </c>
      <c r="AP178" s="214">
        <f>AP174+AP175+AP176+AP177</f>
        <v>147.577</v>
      </c>
      <c r="AQ178" s="214">
        <f>AQ174+AQ175+AQ176+AQ177</f>
        <v>131.284</v>
      </c>
      <c r="AR178" s="214">
        <f>AR174+AR175+AR176+AR177</f>
        <v>527.634</v>
      </c>
      <c r="AS178" s="214">
        <f>AS174+AS175+AS176+AS177</f>
        <v>114.59</v>
      </c>
      <c r="AT178" s="214">
        <f>AT174+AT175+AT176+AT177</f>
        <v>132.03</v>
      </c>
      <c r="AU178" s="214">
        <f>AU174+AU175+AU176+AU177</f>
        <v>160.499</v>
      </c>
      <c r="AV178" s="214">
        <f>AV174+AV175+AV176+AV177</f>
        <v>133.466</v>
      </c>
      <c r="AW178" s="214">
        <f>AW174+AW175+AW176+AW177</f>
        <v>540.585</v>
      </c>
      <c r="AX178" s="214">
        <f>AX174+AX175+AX176+AX177</f>
        <v>121.79</v>
      </c>
      <c r="AY178" s="214">
        <f>AY174+AY175+AY176+AY177</f>
        <v>180.113</v>
      </c>
      <c r="AZ178" s="214">
        <f>AZ174+AZ175+AZ176+AZ177</f>
        <v>176.483</v>
      </c>
      <c r="BA178" s="214">
        <f>BA174+BA175+BA176+BA177</f>
        <v>167.121</v>
      </c>
      <c r="BB178" s="214">
        <f>BB174+BB175+BB176+BB177</f>
        <v>645.507</v>
      </c>
      <c r="BC178" s="214">
        <f>BC174+BC175+BC176+BC177</f>
        <v>172.095</v>
      </c>
      <c r="BD178" s="214">
        <f>BD174+BD175+BD176+BD177</f>
        <v>309.167</v>
      </c>
      <c r="BE178" s="214">
        <f>BE174+BE175+BE176+BE177</f>
        <v>297.585</v>
      </c>
      <c r="BF178" s="214">
        <f>BF174+BF175+BF176+BF177</f>
        <v>214.408</v>
      </c>
      <c r="BG178" s="214">
        <f>BG174+BG175+BG176+BG177</f>
        <v>993.255</v>
      </c>
      <c r="BH178" s="214">
        <f>BH174+BH175+BH176+BH177</f>
        <v>203.467</v>
      </c>
      <c r="BI178" s="214">
        <f>BI174+BI175+BI176+BI177</f>
        <v>278.237</v>
      </c>
      <c r="BJ178" s="214">
        <f>BJ174+BJ175+BJ176+BJ177</f>
        <v>247.672</v>
      </c>
      <c r="BK178" s="214">
        <f>BK174+BK175+BK176+BK177</f>
        <v>248.259</v>
      </c>
      <c r="BL178" s="214">
        <f>BL174+BL175+BL176+BL177</f>
        <v>977.635</v>
      </c>
      <c r="BM178" s="214">
        <f>BM174+BM175+BM176+BM177</f>
        <v>219.399</v>
      </c>
      <c r="BN178" s="214">
        <f>BN174+BN175+BN176+BN177</f>
        <v>315.83</v>
      </c>
      <c r="BO178" s="214">
        <f>BO174+BO175+BO176+BO177</f>
        <v>291.236</v>
      </c>
      <c r="BP178" s="214">
        <f>BP174+BP175+BP176+BP177</f>
        <v>242.864</v>
      </c>
      <c r="BQ178" s="214">
        <f>BQ174+BQ175+BQ176+BQ177</f>
        <v>1069.329</v>
      </c>
      <c r="BR178" s="214">
        <f>BR174+BR175+BR176+BR177</f>
        <v>222.667</v>
      </c>
      <c r="BS178" s="214">
        <f>BS174+BS175+BS176+BS177</f>
        <v>325.98</v>
      </c>
      <c r="BT178" s="214">
        <f>BT174+BT175+BT176+BT177</f>
        <v>311.255</v>
      </c>
      <c r="BU178" s="214">
        <f>BU174+BU175+BU176+BU177</f>
        <v>257.175</v>
      </c>
      <c r="BV178" s="214">
        <f>BV174+BV175+BV176+BV177</f>
        <v>1117.077</v>
      </c>
      <c r="BW178" s="214">
        <f>BW174+BW175+BW176+BW177</f>
        <v>234.003</v>
      </c>
      <c r="BX178" s="214">
        <f>BX174+BX175+BX176+BX177</f>
        <v>391.134</v>
      </c>
      <c r="BY178" s="176">
        <f>BY174+BY175+BY176+BY177</f>
        <v>379.046709385798</v>
      </c>
      <c r="BZ178" s="176">
        <f>BZ174+BZ175+BZ176+BZ177</f>
        <v>315.055016641599</v>
      </c>
      <c r="CA178" s="176">
        <f>CA174+CA175+CA176+CA177</f>
        <v>1319.2387260274</v>
      </c>
      <c r="CB178" s="176">
        <f>CB174+CB175+CB176+CB177</f>
        <v>1478.87777508214</v>
      </c>
      <c r="CC178" s="176">
        <f>CC174+CC175+CC176+CC177</f>
        <v>1641.59106629314</v>
      </c>
      <c r="CD178" s="176">
        <f>CD174+CD175+CD176+CD177</f>
        <v>1793.7211744828</v>
      </c>
      <c r="CE178" s="176">
        <f>CE174+CE175+CE176+CE177</f>
        <v>1940.68753563893</v>
      </c>
      <c r="CF178" s="177" t="n"/>
    </row>
    <row r="179" ht="15" customHeight="1">
      <c r="B179" s="26" t="inlineStr">
        <is>
          <t xml:space="preserve">  (+) Accretion of environmental liabilities</t>
        </is>
      </c>
      <c r="C179" s="212">
        <f>C144</f>
        <v>10.22</v>
      </c>
      <c r="D179" s="212">
        <f>D144</f>
        <v>10.447</v>
      </c>
      <c r="E179" s="212">
        <f>E144</f>
        <v>10.776</v>
      </c>
      <c r="F179" s="212">
        <f>F144</f>
        <v>10.617</v>
      </c>
      <c r="G179" s="212">
        <f>G144</f>
        <v>10.307</v>
      </c>
      <c r="H179" s="212">
        <f>H144</f>
        <v>9.68</v>
      </c>
      <c r="I179" s="212">
        <f>I144</f>
        <v>9.917</v>
      </c>
      <c r="J179" s="212">
        <f>J144</f>
        <v>2.835</v>
      </c>
      <c r="K179" s="212">
        <f>K144</f>
        <v>2.879</v>
      </c>
      <c r="L179" s="212">
        <f>L144</f>
        <v>2.914</v>
      </c>
      <c r="M179" s="212">
        <f>M144</f>
        <v>2.913</v>
      </c>
      <c r="N179" s="212">
        <f>N144</f>
        <v>11.541</v>
      </c>
      <c r="O179" s="212">
        <f>O144</f>
        <v>2.724</v>
      </c>
      <c r="P179" s="212">
        <f>P144</f>
        <v>2.609</v>
      </c>
      <c r="Q179" s="212">
        <f>Q144</f>
        <v>2.642</v>
      </c>
      <c r="R179" s="212">
        <f>R144</f>
        <v>2.637</v>
      </c>
      <c r="S179" s="212">
        <f>S144</f>
        <v>10.612</v>
      </c>
      <c r="T179" s="212">
        <f>T144</f>
        <v>2.619</v>
      </c>
      <c r="U179" s="212">
        <f>U144</f>
        <v>2.599</v>
      </c>
      <c r="V179" s="212">
        <f>V144</f>
        <v>2.577</v>
      </c>
      <c r="W179" s="212">
        <f>W144</f>
        <v>2.607</v>
      </c>
      <c r="X179" s="212">
        <f>X144</f>
        <v>10.402</v>
      </c>
      <c r="Y179" s="212">
        <f>Y144</f>
        <v>2.505</v>
      </c>
      <c r="Z179" s="212">
        <f>Z144</f>
        <v>2.548</v>
      </c>
      <c r="AA179" s="212">
        <f>AA144</f>
        <v>2.476</v>
      </c>
      <c r="AB179" s="212">
        <f>AB144</f>
        <v>2.648</v>
      </c>
      <c r="AC179" s="212">
        <f>AC144</f>
        <v>10.177</v>
      </c>
      <c r="AD179" s="212">
        <f>AD144</f>
        <v>2.29</v>
      </c>
      <c r="AE179" s="212">
        <f>AE144</f>
        <v>2.416</v>
      </c>
      <c r="AF179" s="212">
        <f>AF144</f>
        <v>2.347</v>
      </c>
      <c r="AG179" s="212">
        <f>AG144</f>
        <v>2.407</v>
      </c>
      <c r="AH179" s="212">
        <f>AH144</f>
        <v>9.46</v>
      </c>
      <c r="AI179" s="212">
        <f>AI144</f>
        <v>2.43</v>
      </c>
      <c r="AJ179" s="212">
        <f>AJ144</f>
        <v>2.448</v>
      </c>
      <c r="AK179" s="212">
        <f>AK144</f>
        <v>2.45</v>
      </c>
      <c r="AL179" s="212">
        <f>AL144</f>
        <v>2.478</v>
      </c>
      <c r="AM179" s="212">
        <f>AM144</f>
        <v>9.806</v>
      </c>
      <c r="AN179" s="212">
        <f>AN144</f>
        <v>2.574</v>
      </c>
      <c r="AO179" s="212">
        <f>AO144</f>
        <v>2.56</v>
      </c>
      <c r="AP179" s="212">
        <f>AP144</f>
        <v>2.49</v>
      </c>
      <c r="AQ179" s="212">
        <f>AQ144</f>
        <v>2.512</v>
      </c>
      <c r="AR179" s="212">
        <f>AR144</f>
        <v>10.136</v>
      </c>
      <c r="AS179" s="212">
        <f>AS144</f>
        <v>2.561</v>
      </c>
      <c r="AT179" s="212">
        <f>AT144</f>
        <v>2.766</v>
      </c>
      <c r="AU179" s="212">
        <f>AU144</f>
        <v>2.822</v>
      </c>
      <c r="AV179" s="212">
        <f>AV144</f>
        <v>2.902</v>
      </c>
      <c r="AW179" s="212">
        <f>AW144</f>
        <v>11.051</v>
      </c>
      <c r="AX179" s="212">
        <f>AX144</f>
        <v>2.953</v>
      </c>
      <c r="AY179" s="212">
        <f>AY144</f>
        <v>2.873</v>
      </c>
      <c r="AZ179" s="212">
        <f>AZ144</f>
        <v>2.799</v>
      </c>
      <c r="BA179" s="212">
        <f>BA144</f>
        <v>3.12</v>
      </c>
      <c r="BB179" s="212">
        <f>BB144</f>
        <v>11.745</v>
      </c>
      <c r="BC179" s="212">
        <f>BC144</f>
        <v>3.156</v>
      </c>
      <c r="BD179" s="212">
        <f>BD144</f>
        <v>3.197</v>
      </c>
      <c r="BE179" s="212">
        <f>BE144</f>
        <v>3.246</v>
      </c>
      <c r="BF179" s="212">
        <f>BF144</f>
        <v>3.344</v>
      </c>
      <c r="BG179" s="212">
        <f>BG144</f>
        <v>12.943</v>
      </c>
      <c r="BH179" s="212">
        <f>BH144</f>
        <v>3.407</v>
      </c>
      <c r="BI179" s="212">
        <f>BI144</f>
        <v>3.486</v>
      </c>
      <c r="BJ179" s="212">
        <f>BJ144</f>
        <v>3.388</v>
      </c>
      <c r="BK179" s="212">
        <f>BK144</f>
        <v>3.386</v>
      </c>
      <c r="BL179" s="212">
        <f>BL144</f>
        <v>13.667</v>
      </c>
      <c r="BM179" s="212">
        <f>BM144</f>
        <v>3.217</v>
      </c>
      <c r="BN179" s="212">
        <f>BN144</f>
        <v>3.304</v>
      </c>
      <c r="BO179" s="212">
        <f>BO144</f>
        <v>3.618</v>
      </c>
      <c r="BP179" s="212">
        <f>BP144</f>
        <v>3.317</v>
      </c>
      <c r="BQ179" s="212">
        <f>BQ144</f>
        <v>13.456</v>
      </c>
      <c r="BR179" s="212">
        <f>BR144</f>
        <v>3.62</v>
      </c>
      <c r="BS179" s="212">
        <f>BS144</f>
        <v>3.591</v>
      </c>
      <c r="BT179" s="212">
        <f>BT144</f>
        <v>3.499</v>
      </c>
      <c r="BU179" s="212">
        <f>BU144</f>
        <v>3.616</v>
      </c>
      <c r="BV179" s="212">
        <f>BV144</f>
        <v>14.326</v>
      </c>
      <c r="BW179" s="212">
        <f>BW144</f>
        <v>3.542</v>
      </c>
      <c r="BX179" s="212">
        <f>BX144</f>
        <v>3.502</v>
      </c>
      <c r="BY179" s="186">
        <f>BY144</f>
        <v>4.228</v>
      </c>
      <c r="BZ179" s="186">
        <f>BZ144</f>
        <v>4.228</v>
      </c>
      <c r="CA179" s="186">
        <f>CA144</f>
        <v>15.5</v>
      </c>
      <c r="CB179" s="186">
        <f>CB144</f>
        <v>16.7380310666914</v>
      </c>
      <c r="CC179" s="186">
        <f>CC144</f>
        <v>18.1159767544969</v>
      </c>
      <c r="CD179" s="186">
        <f>CD144</f>
        <v>19.511519632268</v>
      </c>
      <c r="CE179" s="186">
        <f>CE144</f>
        <v>20.952745068648</v>
      </c>
      <c r="CF179" s="20" t="n"/>
    </row>
    <row r="180" ht="15" customHeight="1">
      <c r="B180" s="26" t="inlineStr">
        <is>
          <t xml:space="preserve">  (+) Other (income) expense, net</t>
        </is>
      </c>
      <c r="C180" s="212">
        <f>-C148</f>
        <v>0.447</v>
      </c>
      <c r="D180" s="212">
        <f>-D148</f>
        <v>-0.135</v>
      </c>
      <c r="E180" s="212">
        <f>-E148</f>
        <v>0.119</v>
      </c>
      <c r="F180" s="212">
        <f>-F148</f>
        <v>-0.259</v>
      </c>
      <c r="G180" s="212">
        <f>-G148</f>
        <v>-2.795</v>
      </c>
      <c r="H180" s="212">
        <f>-H148</f>
        <v>-6.402</v>
      </c>
      <c r="I180" s="212">
        <f>-I148</f>
        <v>0.802</v>
      </c>
      <c r="J180" s="212">
        <f>-J148</f>
        <v>-0.525</v>
      </c>
      <c r="K180" s="212">
        <f>-K148</f>
        <v>-1.655</v>
      </c>
      <c r="L180" s="212">
        <f>-L148</f>
        <v>0.15</v>
      </c>
      <c r="M180" s="212">
        <f>-M148</f>
        <v>0.325</v>
      </c>
      <c r="N180" s="212">
        <f>-N148</f>
        <v>-1.705</v>
      </c>
      <c r="O180" s="212">
        <f>-O148</f>
        <v>-4.178</v>
      </c>
      <c r="P180" s="212">
        <f>-P148</f>
        <v>0.655</v>
      </c>
      <c r="Q180" s="212">
        <f>-Q148</f>
        <v>-0.613</v>
      </c>
      <c r="R180" s="212">
        <f>-R148</f>
        <v>-0.244</v>
      </c>
      <c r="S180" s="212">
        <f>-S148</f>
        <v>-4.38</v>
      </c>
      <c r="T180" s="212">
        <f>-T148</f>
        <v>-0.409</v>
      </c>
      <c r="U180" s="212">
        <f>-U148</f>
        <v>0.66</v>
      </c>
      <c r="V180" s="212">
        <f>-V148</f>
        <v>0.139</v>
      </c>
      <c r="W180" s="212">
        <f>-W148</f>
        <v>0.99</v>
      </c>
      <c r="X180" s="212">
        <f>-X148</f>
        <v>1.38</v>
      </c>
      <c r="Y180" s="212">
        <f>-Y148</f>
        <v>0.35</v>
      </c>
      <c r="Z180" s="212">
        <f>-Z148</f>
        <v>0.189</v>
      </c>
      <c r="AA180" s="212">
        <f>-AA148</f>
        <v>0.198</v>
      </c>
      <c r="AB180" s="212">
        <f>-AB148</f>
        <v>-6.932</v>
      </c>
      <c r="AC180" s="212">
        <f>-AC148</f>
        <v>-6.195</v>
      </c>
      <c r="AD180" s="212">
        <f>-AD148</f>
        <v>1.549</v>
      </c>
      <c r="AE180" s="212">
        <f>-AE148</f>
        <v>0.833</v>
      </c>
      <c r="AF180" s="212">
        <f>-AF148</f>
        <v>0.432</v>
      </c>
      <c r="AG180" s="212">
        <f>-AG148</f>
        <v>3.305</v>
      </c>
      <c r="AH180" s="212">
        <f>-AH148</f>
        <v>6.119</v>
      </c>
      <c r="AI180" s="212">
        <f>-AI148</f>
        <v>0.299</v>
      </c>
      <c r="AJ180" s="212">
        <f>-AJ148</f>
        <v>-0.846</v>
      </c>
      <c r="AK180" s="212">
        <f>-AK148</f>
        <v>0.996</v>
      </c>
      <c r="AL180" s="212">
        <f>-AL148</f>
        <v>4.061</v>
      </c>
      <c r="AM180" s="212">
        <f>-AM148</f>
        <v>4.51</v>
      </c>
      <c r="AN180" s="212">
        <f>-AN148</f>
        <v>-2.983</v>
      </c>
      <c r="AO180" s="212">
        <f>-AO148</f>
        <v>0.564</v>
      </c>
      <c r="AP180" s="212">
        <f>-AP148</f>
        <v>0.427</v>
      </c>
      <c r="AQ180" s="212">
        <f>-AQ148</f>
        <v>-0.905</v>
      </c>
      <c r="AR180" s="212">
        <f>-AR148</f>
        <v>-2.897</v>
      </c>
      <c r="AS180" s="212">
        <f>-AS148</f>
        <v>2.365</v>
      </c>
      <c r="AT180" s="212">
        <f>-AT148</f>
        <v>0.5</v>
      </c>
      <c r="AU180" s="212">
        <f>-AU148</f>
        <v>-2.268</v>
      </c>
      <c r="AV180" s="212">
        <f>-AV148</f>
        <v>-0.307</v>
      </c>
      <c r="AW180" s="212">
        <f>-AW148</f>
        <v>0.29</v>
      </c>
      <c r="AX180" s="212">
        <f>-AX148</f>
        <v>1.228</v>
      </c>
      <c r="AY180" s="212">
        <f>-AY148</f>
        <v>1.48</v>
      </c>
      <c r="AZ180" s="212">
        <f>-AZ148</f>
        <v>-0.199</v>
      </c>
      <c r="BA180" s="212">
        <f>-BA148</f>
        <v>-1.994</v>
      </c>
      <c r="BB180" s="212">
        <f>-BB148</f>
        <v>0.515</v>
      </c>
      <c r="BC180" s="212">
        <f>-BC148</f>
        <v>-0.704</v>
      </c>
      <c r="BD180" s="212">
        <f>-BD148</f>
        <v>-1.265</v>
      </c>
      <c r="BE180" s="212">
        <f>-BE148</f>
        <v>-0.104</v>
      </c>
      <c r="BF180" s="212">
        <f>-BF148</f>
        <v>-0.399</v>
      </c>
      <c r="BG180" s="212">
        <f>-BG148</f>
        <v>-2.472</v>
      </c>
      <c r="BH180" s="212">
        <f>-BH148</f>
        <v>-0.116</v>
      </c>
      <c r="BI180" s="212">
        <f>-BI148</f>
        <v>1.283</v>
      </c>
      <c r="BJ180" s="212">
        <f>-BJ148</f>
        <v>-0.334</v>
      </c>
      <c r="BK180" s="212">
        <f>-BK148</f>
        <v>-3.148</v>
      </c>
      <c r="BL180" s="212">
        <f>-BL148</f>
        <v>-2.315</v>
      </c>
      <c r="BM180" s="212">
        <f>-BM148</f>
        <v>1.141</v>
      </c>
      <c r="BN180" s="212">
        <f>-BN148</f>
        <v>0.167</v>
      </c>
      <c r="BO180" s="212">
        <f>-BO148</f>
        <v>1.123</v>
      </c>
      <c r="BP180" s="212">
        <f>-BP148</f>
        <v>-0.977</v>
      </c>
      <c r="BQ180" s="212">
        <f>-BQ148</f>
        <v>1.454</v>
      </c>
      <c r="BR180" s="212">
        <f>-BR148</f>
        <v>0.932</v>
      </c>
      <c r="BS180" s="212">
        <f>-BS148</f>
        <v>0.603</v>
      </c>
      <c r="BT180" s="212">
        <f>-BT148</f>
        <v>-3.517</v>
      </c>
      <c r="BU180" s="212">
        <f>-BU148</f>
        <v>-3.218</v>
      </c>
      <c r="BV180" s="212">
        <f>-BV148</f>
        <v>-5.2</v>
      </c>
      <c r="BW180" s="212">
        <f>-BW148</f>
        <v>0.731</v>
      </c>
      <c r="BX180" s="212">
        <f>-BX148</f>
        <v>-0.43</v>
      </c>
      <c r="BY180" s="186">
        <f>-BY148</f>
        <v>0</v>
      </c>
      <c r="BZ180" s="186">
        <f>-BZ148</f>
        <v>0</v>
      </c>
      <c r="CA180" s="186">
        <f>-CA148</f>
        <v>0.301</v>
      </c>
      <c r="CB180" s="186">
        <f>-CB148</f>
        <v>0</v>
      </c>
      <c r="CC180" s="186">
        <f>-CC148</f>
        <v>0</v>
      </c>
      <c r="CD180" s="186">
        <f>-CD148</f>
        <v>0</v>
      </c>
      <c r="CE180" s="186">
        <f>-CE148</f>
        <v>0</v>
      </c>
      <c r="CF180" s="20" t="n"/>
    </row>
    <row r="181" ht="15" customHeight="1">
      <c r="B181" s="26" t="inlineStr">
        <is>
          <t xml:space="preserve">  (+) Loss on early extinguishment of debt / refinancing</t>
        </is>
      </c>
      <c r="C181" s="212">
        <f>-C149</f>
        <v>8.529</v>
      </c>
      <c r="D181" s="212">
        <f>-D149</f>
        <v>0</v>
      </c>
      <c r="E181" s="212">
        <f>-E149</f>
        <v>5.473</v>
      </c>
      <c r="F181" s="212">
        <f>-F149</f>
        <v>4.853</v>
      </c>
      <c r="G181" s="212">
        <f>-G149</f>
        <v>2.294</v>
      </c>
      <c r="H181" s="212">
        <f>-H149</f>
        <v>0</v>
      </c>
      <c r="I181" s="212">
        <f>-I149</f>
        <v>26.385</v>
      </c>
      <c r="J181" s="212">
        <f>-J149</f>
        <v>0</v>
      </c>
      <c r="K181" s="212">
        <f>-K149</f>
        <v>0</v>
      </c>
      <c r="L181" s="212">
        <f>-L149</f>
        <v>0</v>
      </c>
      <c r="M181" s="212">
        <f>-M149</f>
        <v>0</v>
      </c>
      <c r="N181" s="212">
        <f>-N149</f>
        <v>0</v>
      </c>
      <c r="O181" s="212">
        <f>-O149</f>
        <v>0</v>
      </c>
      <c r="P181" s="212">
        <f>-P149</f>
        <v>0</v>
      </c>
      <c r="Q181" s="212">
        <f>-Q149</f>
        <v>0</v>
      </c>
      <c r="R181" s="212">
        <f>-R149</f>
        <v>0</v>
      </c>
      <c r="S181" s="212">
        <f>-S149</f>
        <v>0</v>
      </c>
      <c r="T181" s="212">
        <f>-T149</f>
        <v>0</v>
      </c>
      <c r="U181" s="212">
        <f>-U149</f>
        <v>0</v>
      </c>
      <c r="V181" s="212">
        <f>-V149</f>
        <v>0</v>
      </c>
      <c r="W181" s="212">
        <f>-W149</f>
        <v>0</v>
      </c>
      <c r="X181" s="212">
        <f>-X149</f>
        <v>0</v>
      </c>
      <c r="Y181" s="212">
        <f>-Y149</f>
        <v>0</v>
      </c>
      <c r="Z181" s="212">
        <f>-Z149</f>
        <v>0</v>
      </c>
      <c r="AA181" s="212">
        <f>-AA149</f>
        <v>0</v>
      </c>
      <c r="AB181" s="212">
        <f>-AB149</f>
        <v>0</v>
      </c>
      <c r="AC181" s="212">
        <f>-AC149</f>
        <v>0</v>
      </c>
      <c r="AD181" s="212">
        <f>-AD149</f>
        <v>0</v>
      </c>
      <c r="AE181" s="212">
        <f>-AE149</f>
        <v>6.045</v>
      </c>
      <c r="AF181" s="212">
        <f>-AF149</f>
        <v>1.846</v>
      </c>
      <c r="AG181" s="212">
        <f>-AG149</f>
        <v>0</v>
      </c>
      <c r="AH181" s="212">
        <f>-AH149</f>
        <v>7.891</v>
      </c>
      <c r="AI181" s="212">
        <f>-AI149</f>
        <v>0</v>
      </c>
      <c r="AJ181" s="212">
        <f>-AJ149</f>
        <v>0</v>
      </c>
      <c r="AK181" s="212">
        <f>-AK149</f>
        <v>2.469</v>
      </c>
      <c r="AL181" s="212">
        <f>-AL149</f>
        <v>0.019</v>
      </c>
      <c r="AM181" s="212">
        <f>-AM149</f>
        <v>2.488</v>
      </c>
      <c r="AN181" s="212">
        <f>-AN149</f>
        <v>0</v>
      </c>
      <c r="AO181" s="212">
        <f>-AO149</f>
        <v>0</v>
      </c>
      <c r="AP181" s="212">
        <f>-AP149</f>
        <v>6.119</v>
      </c>
      <c r="AQ181" s="212">
        <f>-AQ149</f>
        <v>0.012</v>
      </c>
      <c r="AR181" s="212">
        <f>-AR149</f>
        <v>6.131</v>
      </c>
      <c r="AS181" s="212">
        <f>-AS149</f>
        <v>0</v>
      </c>
      <c r="AT181" s="212">
        <f>-AT149</f>
        <v>0</v>
      </c>
      <c r="AU181" s="212">
        <f>-AU149</f>
        <v>0</v>
      </c>
      <c r="AV181" s="212">
        <f>-AV149</f>
        <v>0</v>
      </c>
      <c r="AW181" s="212">
        <f>-AW149</f>
        <v>0</v>
      </c>
      <c r="AX181" s="212">
        <f>-AX149</f>
        <v>0</v>
      </c>
      <c r="AY181" s="212">
        <f>-AY149</f>
        <v>0</v>
      </c>
      <c r="AZ181" s="212">
        <f>-AZ149</f>
        <v>0</v>
      </c>
      <c r="BA181" s="212">
        <f>-BA149</f>
        <v>0</v>
      </c>
      <c r="BB181" s="212">
        <f>-BB149</f>
        <v>0</v>
      </c>
      <c r="BC181" s="212">
        <f>-BC149</f>
        <v>0</v>
      </c>
      <c r="BD181" s="212">
        <f>-BD149</f>
        <v>0</v>
      </c>
      <c r="BE181" s="212">
        <f>-BE149</f>
        <v>0</v>
      </c>
      <c r="BF181" s="212">
        <f>-BF149</f>
        <v>0.422</v>
      </c>
      <c r="BG181" s="212">
        <f>-BG149</f>
        <v>0.422</v>
      </c>
      <c r="BH181" s="212">
        <f>-BH149</f>
        <v>2.362</v>
      </c>
      <c r="BI181" s="212">
        <f>-BI149</f>
        <v>0</v>
      </c>
      <c r="BJ181" s="212">
        <f>-BJ149</f>
        <v>0</v>
      </c>
      <c r="BK181" s="212">
        <f>-BK149</f>
        <v>0.518</v>
      </c>
      <c r="BL181" s="212">
        <f>-BL149</f>
        <v>2.88</v>
      </c>
      <c r="BM181" s="212">
        <f>-BM149</f>
        <v>0</v>
      </c>
      <c r="BN181" s="212">
        <f>-BN149</f>
        <v>0</v>
      </c>
      <c r="BO181" s="212">
        <f>-BO149</f>
        <v>0</v>
      </c>
      <c r="BP181" s="212">
        <f>-BP149</f>
        <v>0.371</v>
      </c>
      <c r="BQ181" s="212">
        <f>-BQ149</f>
        <v>0.371</v>
      </c>
      <c r="BR181" s="212">
        <f>-BR149</f>
        <v>0</v>
      </c>
      <c r="BS181" s="212">
        <f>-BS149</f>
        <v>0</v>
      </c>
      <c r="BT181" s="212">
        <f>-BT149</f>
        <v>0</v>
      </c>
      <c r="BU181" s="212">
        <f>-BU149</f>
        <v>8.277</v>
      </c>
      <c r="BV181" s="212">
        <f>-BV149</f>
        <v>8.277</v>
      </c>
      <c r="BW181" s="212">
        <f>-BW149</f>
        <v>0</v>
      </c>
      <c r="BX181" s="212">
        <f>-BX149</f>
        <v>0</v>
      </c>
      <c r="BY181" s="186">
        <f>-BY149</f>
        <v>0</v>
      </c>
      <c r="BZ181" s="186">
        <f>-BZ149</f>
        <v>0</v>
      </c>
      <c r="CA181" s="186">
        <f>-CA149</f>
        <v>0</v>
      </c>
      <c r="CB181" s="186">
        <f>-CB149</f>
        <v>0</v>
      </c>
      <c r="CC181" s="186">
        <f>-CC149</f>
        <v>0</v>
      </c>
      <c r="CD181" s="186">
        <f>-CD149</f>
        <v>0</v>
      </c>
      <c r="CE181" s="186">
        <f>-CE149</f>
        <v>0</v>
      </c>
      <c r="CF181" s="20" t="n"/>
    </row>
    <row r="182" ht="15" customHeight="1">
      <c r="B182" s="26" t="inlineStr">
        <is>
          <t xml:space="preserve">  (−) (Gain) loss on sale of businesses</t>
        </is>
      </c>
      <c r="C182" s="212">
        <f>-C150</f>
        <v>0</v>
      </c>
      <c r="D182" s="212">
        <f>-D150</f>
        <v>0</v>
      </c>
      <c r="E182" s="212">
        <f>-E150</f>
        <v>0</v>
      </c>
      <c r="F182" s="212">
        <f>-F150</f>
        <v>0</v>
      </c>
      <c r="G182" s="212">
        <f>-G150</f>
        <v>0</v>
      </c>
      <c r="H182" s="212">
        <f>-H150</f>
        <v>0</v>
      </c>
      <c r="I182" s="212">
        <f>-I150</f>
        <v>0</v>
      </c>
      <c r="J182" s="212">
        <f>-J150</f>
        <v>0</v>
      </c>
      <c r="K182" s="212">
        <f>-K150</f>
        <v>0</v>
      </c>
      <c r="L182" s="212">
        <f>-L150</f>
        <v>0</v>
      </c>
      <c r="M182" s="212">
        <f>-M150</f>
        <v>0</v>
      </c>
      <c r="N182" s="212">
        <f>-N150</f>
        <v>0</v>
      </c>
      <c r="O182" s="212">
        <f>-O150</f>
        <v>0</v>
      </c>
      <c r="P182" s="212">
        <f>-P150</f>
        <v>0</v>
      </c>
      <c r="Q182" s="212">
        <f>-Q150</f>
        <v>0</v>
      </c>
      <c r="R182" s="212">
        <f>-R150</f>
        <v>0</v>
      </c>
      <c r="S182" s="212">
        <f>-S150</f>
        <v>0</v>
      </c>
      <c r="T182" s="212">
        <f>-T150</f>
        <v>0</v>
      </c>
      <c r="U182" s="212">
        <f>-U150</f>
        <v>0</v>
      </c>
      <c r="V182" s="212">
        <f>-V150</f>
        <v>0</v>
      </c>
      <c r="W182" s="212">
        <f>-W150</f>
        <v>0</v>
      </c>
      <c r="X182" s="212">
        <f>-X150</f>
        <v>0</v>
      </c>
      <c r="Y182" s="212">
        <f>-Y150</f>
        <v>0</v>
      </c>
      <c r="Z182" s="212">
        <f>-Z150</f>
        <v>0</v>
      </c>
      <c r="AA182" s="212">
        <f>-AA150</f>
        <v>-16.431</v>
      </c>
      <c r="AB182" s="212">
        <f>-AB150</f>
        <v>-0.453</v>
      </c>
      <c r="AC182" s="212">
        <f>-AC150</f>
        <v>-16.884</v>
      </c>
      <c r="AD182" s="212">
        <f>-AD150</f>
        <v>0</v>
      </c>
      <c r="AE182" s="212">
        <f>-AE150</f>
        <v>-31.722</v>
      </c>
      <c r="AF182" s="212">
        <f>-AF150</f>
        <v>0.077</v>
      </c>
      <c r="AG182" s="212">
        <f>-AG150</f>
        <v>0.913</v>
      </c>
      <c r="AH182" s="212">
        <f>-AH150</f>
        <v>-30.732</v>
      </c>
      <c r="AI182" s="212">
        <f>-AI150</f>
        <v>0</v>
      </c>
      <c r="AJ182" s="212">
        <f>-AJ150</f>
        <v>0</v>
      </c>
      <c r="AK182" s="212">
        <f>-AK150</f>
        <v>0</v>
      </c>
      <c r="AL182" s="212">
        <f>-AL150</f>
        <v>0</v>
      </c>
      <c r="AM182" s="212">
        <f>-AM150</f>
        <v>0</v>
      </c>
      <c r="AN182" s="212">
        <f>-AN150</f>
        <v>0</v>
      </c>
      <c r="AO182" s="212">
        <f>-AO150</f>
        <v>0</v>
      </c>
      <c r="AP182" s="212">
        <f>-AP150</f>
        <v>0</v>
      </c>
      <c r="AQ182" s="212">
        <f>-AQ150</f>
        <v>-0.687</v>
      </c>
      <c r="AR182" s="212">
        <f>-AR150</f>
        <v>-0.687</v>
      </c>
      <c r="AS182" s="212">
        <f>-AS150</f>
        <v>3.074</v>
      </c>
      <c r="AT182" s="212">
        <f>-AT150</f>
        <v>0.184</v>
      </c>
      <c r="AU182" s="212">
        <f>-AU150</f>
        <v>0.118</v>
      </c>
      <c r="AV182" s="212">
        <f>-AV150</f>
        <v>0</v>
      </c>
      <c r="AW182" s="212">
        <f>-AW150</f>
        <v>3.376</v>
      </c>
      <c r="AX182" s="212">
        <f>-AX150</f>
        <v>0</v>
      </c>
      <c r="AY182" s="212">
        <f>-AY150</f>
        <v>0</v>
      </c>
      <c r="AZ182" s="212">
        <f>-AZ150</f>
        <v>0</v>
      </c>
      <c r="BA182" s="212">
        <f>-BA150</f>
        <v>0</v>
      </c>
      <c r="BB182" s="212">
        <f>-BB150</f>
        <v>0</v>
      </c>
      <c r="BC182" s="212">
        <f>-BC150</f>
        <v>0</v>
      </c>
      <c r="BD182" s="212">
        <f>-BD150</f>
        <v>-8.864</v>
      </c>
      <c r="BE182" s="212">
        <f>-BE150</f>
        <v>0</v>
      </c>
      <c r="BF182" s="212">
        <f>-BF150</f>
        <v>0</v>
      </c>
      <c r="BG182" s="212">
        <f>-BG150</f>
        <v>-8.864</v>
      </c>
      <c r="BH182" s="212">
        <f>-BH150</f>
        <v>0</v>
      </c>
      <c r="BI182" s="212">
        <f>-BI150</f>
        <v>0</v>
      </c>
      <c r="BJ182" s="212">
        <f>-BJ150</f>
        <v>0</v>
      </c>
      <c r="BK182" s="212">
        <f>-BK150</f>
        <v>0</v>
      </c>
      <c r="BL182" s="212">
        <f>-BL150</f>
        <v>0</v>
      </c>
      <c r="BM182" s="212">
        <f>-BM150</f>
        <v>0</v>
      </c>
      <c r="BN182" s="212">
        <f>-BN150</f>
        <v>0</v>
      </c>
      <c r="BO182" s="212">
        <f>-BO150</f>
        <v>0</v>
      </c>
      <c r="BP182" s="212">
        <f>-BP150</f>
        <v>0</v>
      </c>
      <c r="BQ182" s="212">
        <f>-BQ150</f>
        <v>0</v>
      </c>
      <c r="BR182" s="212">
        <f>-BR150</f>
        <v>0</v>
      </c>
      <c r="BS182" s="212">
        <f>-BS150</f>
        <v>0</v>
      </c>
      <c r="BT182" s="212">
        <f>-BT150</f>
        <v>0</v>
      </c>
      <c r="BU182" s="212">
        <f>-BU150</f>
        <v>-0.776</v>
      </c>
      <c r="BV182" s="212">
        <f>-BV150</f>
        <v>-0.776</v>
      </c>
      <c r="BW182" s="212">
        <f>-BW150</f>
        <v>0</v>
      </c>
      <c r="BX182" s="212">
        <f>-BX150</f>
        <v>0</v>
      </c>
      <c r="BY182" s="186">
        <f>-BY150</f>
        <v>0</v>
      </c>
      <c r="BZ182" s="186">
        <f>-BZ150</f>
        <v>0</v>
      </c>
      <c r="CA182" s="186">
        <f>-CA150</f>
        <v>0</v>
      </c>
      <c r="CB182" s="186">
        <f>-CB150</f>
        <v>0</v>
      </c>
      <c r="CC182" s="186">
        <f>-CC150</f>
        <v>0</v>
      </c>
      <c r="CD182" s="186">
        <f>-CD150</f>
        <v>0</v>
      </c>
      <c r="CE182" s="186">
        <f>-CE150</f>
        <v>0</v>
      </c>
      <c r="CF182" s="20" t="n"/>
    </row>
    <row r="183" ht="15" customHeight="1">
      <c r="B183" s="26" t="inlineStr">
        <is>
          <t xml:space="preserve">  (+) Goodwill impairment charges / restructuring</t>
        </is>
      </c>
      <c r="C183" s="212">
        <f>C146</f>
        <v>0</v>
      </c>
      <c r="D183" s="212">
        <f>D146</f>
        <v>0</v>
      </c>
      <c r="E183" s="212">
        <f>E146</f>
        <v>0</v>
      </c>
      <c r="F183" s="212">
        <f>F146</f>
        <v>0</v>
      </c>
      <c r="G183" s="212">
        <f>G146</f>
        <v>0</v>
      </c>
      <c r="H183" s="212">
        <f>H146</f>
        <v>0</v>
      </c>
      <c r="I183" s="212">
        <f>I146</f>
        <v>0</v>
      </c>
      <c r="J183" s="212">
        <f>J146</f>
        <v>0</v>
      </c>
      <c r="K183" s="212">
        <f>K146</f>
        <v>0</v>
      </c>
      <c r="L183" s="212">
        <f>L146</f>
        <v>0</v>
      </c>
      <c r="M183" s="212">
        <f>M146</f>
        <v>0</v>
      </c>
      <c r="N183" s="212">
        <f>N146</f>
        <v>0</v>
      </c>
      <c r="O183" s="212">
        <f>O146</f>
        <v>0</v>
      </c>
      <c r="P183" s="212">
        <f>P146</f>
        <v>0</v>
      </c>
      <c r="Q183" s="212">
        <f>Q146</f>
        <v>123.414</v>
      </c>
      <c r="R183" s="212">
        <f>R146</f>
        <v>0</v>
      </c>
      <c r="S183" s="212">
        <f>S146</f>
        <v>123.414</v>
      </c>
      <c r="T183" s="212">
        <f>T146</f>
        <v>0</v>
      </c>
      <c r="U183" s="212">
        <f>U146</f>
        <v>31.992</v>
      </c>
      <c r="V183" s="212">
        <f>V146</f>
        <v>0</v>
      </c>
      <c r="W183" s="212">
        <f>W146</f>
        <v>0</v>
      </c>
      <c r="X183" s="212">
        <f>X146</f>
        <v>31.992</v>
      </c>
      <c r="Y183" s="212">
        <f>Y146</f>
        <v>0</v>
      </c>
      <c r="Z183" s="212">
        <f>Z146</f>
        <v>0</v>
      </c>
      <c r="AA183" s="212">
        <f>AA146</f>
        <v>34.013</v>
      </c>
      <c r="AB183" s="212">
        <f>AB146</f>
        <v>0</v>
      </c>
      <c r="AC183" s="212">
        <f>AC146</f>
        <v>34.013</v>
      </c>
      <c r="AD183" s="212">
        <f>AD146</f>
        <v>0</v>
      </c>
      <c r="AE183" s="212">
        <f>AE146</f>
        <v>0</v>
      </c>
      <c r="AF183" s="212">
        <f>AF146</f>
        <v>0</v>
      </c>
      <c r="AG183" s="212">
        <f>AG146</f>
        <v>0</v>
      </c>
      <c r="AH183" s="212">
        <f>AH146</f>
        <v>0</v>
      </c>
      <c r="AI183" s="212">
        <f>AI146</f>
        <v>0</v>
      </c>
      <c r="AJ183" s="212">
        <f>AJ146</f>
        <v>0</v>
      </c>
      <c r="AK183" s="212">
        <f>AK146</f>
        <v>0</v>
      </c>
      <c r="AL183" s="212">
        <f>AL146</f>
        <v>0</v>
      </c>
      <c r="AM183" s="212">
        <f>AM146</f>
        <v>0</v>
      </c>
      <c r="AN183" s="212">
        <f>AN146</f>
        <v>0</v>
      </c>
      <c r="AO183" s="212">
        <f>AO146</f>
        <v>0</v>
      </c>
      <c r="AP183" s="212">
        <f>AP146</f>
        <v>0</v>
      </c>
      <c r="AQ183" s="212">
        <f>AQ146</f>
        <v>0</v>
      </c>
      <c r="AR183" s="212">
        <f>AR146</f>
        <v>0</v>
      </c>
      <c r="AS183" s="212">
        <f>AS146</f>
        <v>0</v>
      </c>
      <c r="AT183" s="212">
        <f>AT146</f>
        <v>0</v>
      </c>
      <c r="AU183" s="212">
        <f>AU146</f>
        <v>0</v>
      </c>
      <c r="AV183" s="212">
        <f>AV146</f>
        <v>0</v>
      </c>
      <c r="AW183" s="212">
        <f>AW146</f>
        <v>0</v>
      </c>
      <c r="AX183" s="212">
        <f>AX146</f>
        <v>0</v>
      </c>
      <c r="AY183" s="212">
        <f>AY146</f>
        <v>0</v>
      </c>
      <c r="AZ183" s="212">
        <f>AZ146</f>
        <v>0</v>
      </c>
      <c r="BA183" s="212">
        <f>BA146</f>
        <v>0</v>
      </c>
      <c r="BB183" s="212">
        <f>BB146</f>
        <v>0</v>
      </c>
      <c r="BC183" s="212">
        <f>BC146</f>
        <v>0</v>
      </c>
      <c r="BD183" s="212">
        <f>BD146</f>
        <v>0</v>
      </c>
      <c r="BE183" s="212">
        <f>BE146</f>
        <v>0</v>
      </c>
      <c r="BF183" s="212">
        <f>BF146</f>
        <v>0</v>
      </c>
      <c r="BG183" s="212">
        <f>BG146</f>
        <v>0</v>
      </c>
      <c r="BH183" s="212">
        <f>BH146</f>
        <v>0</v>
      </c>
      <c r="BI183" s="212">
        <f>BI146</f>
        <v>0</v>
      </c>
      <c r="BJ183" s="212">
        <f>BJ146</f>
        <v>0</v>
      </c>
      <c r="BK183" s="212">
        <f>BK146</f>
        <v>0</v>
      </c>
      <c r="BL183" s="212">
        <f>BL146</f>
        <v>0</v>
      </c>
      <c r="BM183" s="212">
        <f>BM146</f>
        <v>0</v>
      </c>
      <c r="BN183" s="212">
        <f>BN146</f>
        <v>0</v>
      </c>
      <c r="BO183" s="212">
        <f>BO146</f>
        <v>0</v>
      </c>
      <c r="BP183" s="212">
        <f>BP146</f>
        <v>0</v>
      </c>
      <c r="BQ183" s="212">
        <f>BQ146</f>
        <v>0</v>
      </c>
      <c r="BR183" s="212">
        <f>BR146</f>
        <v>0</v>
      </c>
      <c r="BS183" s="212">
        <f>BS146</f>
        <v>0</v>
      </c>
      <c r="BT183" s="212">
        <f>BT146</f>
        <v>0</v>
      </c>
      <c r="BU183" s="212">
        <f>BU146</f>
        <v>0</v>
      </c>
      <c r="BV183" s="212">
        <f>BV146</f>
        <v>0</v>
      </c>
      <c r="BW183" s="212">
        <f>BW146</f>
        <v>0</v>
      </c>
      <c r="BX183" s="212">
        <f>BX146</f>
        <v>0</v>
      </c>
      <c r="BY183" s="186">
        <f>BY146</f>
        <v>0</v>
      </c>
      <c r="BZ183" s="186">
        <f>BZ146</f>
        <v>0</v>
      </c>
      <c r="CA183" s="186">
        <f>CA146</f>
        <v>0</v>
      </c>
      <c r="CB183" s="186">
        <f>CB146</f>
        <v>0</v>
      </c>
      <c r="CC183" s="186">
        <f>CC146</f>
        <v>0</v>
      </c>
      <c r="CD183" s="186">
        <f>CD146</f>
        <v>0</v>
      </c>
      <c r="CE183" s="186">
        <f>CE146</f>
        <v>0</v>
      </c>
      <c r="CF183" s="20" t="n"/>
    </row>
    <row r="184" ht="15" customHeight="1">
      <c r="B184" s="26" t="inlineStr">
        <is>
          <t xml:space="preserve">  (+) Stock-based compensation (added back from Q1/21)</t>
        </is>
      </c>
      <c r="C184" s="184" t="n"/>
      <c r="D184" s="184" t="n"/>
      <c r="E184" s="184" t="n"/>
      <c r="F184" s="184" t="n"/>
      <c r="G184" s="184" t="n"/>
      <c r="H184" s="184" t="n"/>
      <c r="I184" s="184" t="n"/>
      <c r="J184" s="184" t="n"/>
      <c r="K184" s="184" t="n"/>
      <c r="L184" s="184" t="n"/>
      <c r="M184" s="184" t="n"/>
      <c r="N184" s="184" t="n"/>
      <c r="O184" s="184" t="n"/>
      <c r="P184" s="184" t="n"/>
      <c r="Q184" s="184" t="n"/>
      <c r="R184" s="184" t="n"/>
      <c r="S184" s="184" t="n"/>
      <c r="T184" s="184" t="n"/>
      <c r="U184" s="184" t="n"/>
      <c r="V184" s="184" t="n"/>
      <c r="W184" s="184" t="n"/>
      <c r="X184" s="184" t="n"/>
      <c r="Y184" s="184" t="n"/>
      <c r="Z184" s="184" t="n"/>
      <c r="AA184" s="184" t="n"/>
      <c r="AB184" s="184" t="n"/>
      <c r="AC184" s="184" t="n"/>
      <c r="AD184" s="184" t="n"/>
      <c r="AE184" s="184" t="n"/>
      <c r="AF184" s="184" t="n"/>
      <c r="AG184" s="184" t="n"/>
      <c r="AH184" s="184" t="n"/>
      <c r="AI184" s="184" t="n"/>
      <c r="AJ184" s="184" t="n"/>
      <c r="AK184" s="184" t="n"/>
      <c r="AL184" s="184" t="n"/>
      <c r="AM184" s="184" t="n"/>
      <c r="AN184" s="184" t="n"/>
      <c r="AO184" s="184" t="n"/>
      <c r="AP184" s="184" t="n"/>
      <c r="AQ184" s="184" t="n"/>
      <c r="AR184" s="184" t="n"/>
      <c r="AS184" s="184" t="n"/>
      <c r="AT184" s="184" t="n"/>
      <c r="AU184" s="184" t="n"/>
      <c r="AV184" s="184" t="n"/>
      <c r="AW184" s="184" t="n"/>
      <c r="AX184" s="185" t="n">
        <v>3.48</v>
      </c>
      <c r="AY184" s="185" t="n">
        <v>3.305</v>
      </c>
      <c r="AZ184" s="185" t="n">
        <v>6.001</v>
      </c>
      <c r="BA184" s="185" t="n">
        <v>6.053</v>
      </c>
      <c r="BB184" s="185" t="n">
        <v>18.839</v>
      </c>
      <c r="BC184" s="185" t="n">
        <v>5.712</v>
      </c>
      <c r="BD184" s="185" t="n">
        <v>6.835</v>
      </c>
      <c r="BE184" s="185" t="n">
        <v>7.828</v>
      </c>
      <c r="BF184" s="185" t="n">
        <v>6.469</v>
      </c>
      <c r="BG184" s="185" t="n">
        <v>26.844</v>
      </c>
      <c r="BH184" s="185" t="n">
        <v>6.018</v>
      </c>
      <c r="BI184" s="185" t="n">
        <v>4.5</v>
      </c>
      <c r="BJ184" s="185" t="n">
        <v>4.291</v>
      </c>
      <c r="BK184" s="185" t="n">
        <v>5.894</v>
      </c>
      <c r="BL184" s="185" t="n">
        <v>20.703</v>
      </c>
      <c r="BM184" s="185" t="n">
        <v>6.338</v>
      </c>
      <c r="BN184" s="185" t="n">
        <v>8.515000000000001</v>
      </c>
      <c r="BO184" s="185" t="n">
        <v>5.837</v>
      </c>
      <c r="BP184" s="185" t="n">
        <v>7.291</v>
      </c>
      <c r="BQ184" s="185" t="n">
        <v>27.981</v>
      </c>
      <c r="BR184" s="185" t="n">
        <v>7.635</v>
      </c>
      <c r="BS184" s="185" t="n">
        <v>6.063</v>
      </c>
      <c r="BT184" s="185" t="n">
        <v>8.922000000000001</v>
      </c>
      <c r="BU184" s="185" t="n">
        <v>10.082</v>
      </c>
      <c r="BV184" s="185" t="n">
        <v>32.702</v>
      </c>
      <c r="BW184" s="185" t="n">
        <v>9.577999999999999</v>
      </c>
      <c r="BX184" s="185" t="n">
        <v>14.818</v>
      </c>
      <c r="BY184" s="186">
        <f>BY162</f>
        <v>12.552</v>
      </c>
      <c r="BZ184" s="186">
        <f>BZ162</f>
        <v>12.552</v>
      </c>
      <c r="CA184" s="186">
        <f>CA162</f>
        <v>49.5</v>
      </c>
      <c r="CB184" s="186">
        <f>CB162</f>
        <v>54.5805360870373</v>
      </c>
      <c r="CC184" s="186">
        <f>CC162</f>
        <v>59.0738372429246</v>
      </c>
      <c r="CD184" s="186">
        <f>CD162</f>
        <v>63.6245205400043</v>
      </c>
      <c r="CE184" s="186">
        <f>CE162</f>
        <v>68.3241687021129</v>
      </c>
      <c r="CF184" s="20" t="inlineStr">
        <is>
          <t>Definition change Q1/21: stock-based compensation added back (prior years expensed, comparatives not restated in the model — as published).</t>
        </is>
      </c>
    </row>
    <row r="185" ht="15" customHeight="1">
      <c r="B185" s="26" t="inlineStr">
        <is>
          <t xml:space="preserve">  (+/−) Other company items (acquisition-accounting inventory step-up 2013–14; Kimball start-up &amp; third-party transaction costs 2024–25; JV / discontinued ops)</t>
        </is>
      </c>
      <c r="C185" s="185" t="n">
        <v>-0.061</v>
      </c>
      <c r="D185" s="185" t="n">
        <v>0</v>
      </c>
      <c r="E185" s="185" t="n">
        <v>0</v>
      </c>
      <c r="F185" s="185" t="n">
        <v>-1.439</v>
      </c>
      <c r="G185" s="185" t="n">
        <v>-2.794</v>
      </c>
      <c r="H185" s="185" t="n">
        <v>0</v>
      </c>
      <c r="I185" s="185" t="n">
        <v>0</v>
      </c>
      <c r="J185" s="185" t="n">
        <v>13.559</v>
      </c>
      <c r="K185" s="185" t="n">
        <v>0</v>
      </c>
      <c r="L185" s="185" t="n">
        <v>0</v>
      </c>
      <c r="M185" s="185" t="n">
        <v>0</v>
      </c>
      <c r="N185" s="185" t="n">
        <v>13.559</v>
      </c>
      <c r="O185" s="185" t="n">
        <v>0</v>
      </c>
      <c r="P185" s="185" t="n">
        <v>0</v>
      </c>
      <c r="Q185" s="185" t="n">
        <v>0</v>
      </c>
      <c r="R185" s="185" t="n">
        <v>0</v>
      </c>
      <c r="S185" s="185" t="n">
        <v>0</v>
      </c>
      <c r="T185" s="184" t="n"/>
      <c r="U185" s="184" t="n"/>
      <c r="V185" s="184" t="n"/>
      <c r="W185" s="184" t="n"/>
      <c r="X185" s="184" t="n"/>
      <c r="Y185" s="184" t="n"/>
      <c r="Z185" s="184" t="n"/>
      <c r="AA185" s="184" t="n"/>
      <c r="AB185" s="184" t="n"/>
      <c r="AC185" s="184" t="n"/>
      <c r="AD185" s="184" t="n"/>
      <c r="AE185" s="184" t="n"/>
      <c r="AF185" s="184" t="n"/>
      <c r="AG185" s="184" t="n"/>
      <c r="AH185" s="184" t="n"/>
      <c r="AI185" s="184" t="n"/>
      <c r="AJ185" s="184" t="n"/>
      <c r="AK185" s="184" t="n"/>
      <c r="AL185" s="184" t="n"/>
      <c r="AM185" s="184" t="n"/>
      <c r="AN185" s="184" t="n"/>
      <c r="AO185" s="184" t="n"/>
      <c r="AP185" s="184" t="n"/>
      <c r="AQ185" s="184" t="n"/>
      <c r="AR185" s="184" t="n"/>
      <c r="AS185" s="184" t="n"/>
      <c r="AT185" s="184" t="n"/>
      <c r="AU185" s="184" t="n"/>
      <c r="AV185" s="184" t="n"/>
      <c r="AW185" s="184" t="n"/>
      <c r="AX185" s="184" t="n"/>
      <c r="AY185" s="184" t="n"/>
      <c r="AZ185" s="184" t="n"/>
      <c r="BA185" s="184" t="n"/>
      <c r="BB185" s="184" t="n"/>
      <c r="BC185" s="184" t="n"/>
      <c r="BD185" s="184" t="n"/>
      <c r="BE185" s="184" t="n"/>
      <c r="BF185" s="184" t="n"/>
      <c r="BG185" s="184" t="n"/>
      <c r="BH185" s="184" t="n"/>
      <c r="BI185" s="184" t="n"/>
      <c r="BJ185" s="184" t="n"/>
      <c r="BK185" s="184" t="n"/>
      <c r="BL185" s="184" t="n"/>
      <c r="BM185" s="184" t="n"/>
      <c r="BN185" s="184" t="n"/>
      <c r="BO185" s="184" t="n"/>
      <c r="BP185" s="185" t="n">
        <v>4.343</v>
      </c>
      <c r="BQ185" s="185" t="n">
        <v>4.343</v>
      </c>
      <c r="BR185" s="184" t="n"/>
      <c r="BS185" s="184" t="n"/>
      <c r="BT185" s="184" t="n"/>
      <c r="BU185" s="185" t="n">
        <v>3.533</v>
      </c>
      <c r="BV185" s="185" t="n">
        <v>3.533</v>
      </c>
      <c r="BW185" s="184" t="n"/>
      <c r="BX185" s="184" t="n"/>
      <c r="BY185" s="186">
        <f>N(BY69)</f>
        <v>4</v>
      </c>
      <c r="BZ185" s="186">
        <f>N(BZ69)</f>
        <v>6</v>
      </c>
      <c r="CA185" s="186">
        <f>N(CA69)</f>
        <v>10</v>
      </c>
      <c r="CB185" s="186">
        <f>N(CB69)</f>
        <v>0</v>
      </c>
      <c r="CC185" s="186">
        <f>N(CC69)</f>
        <v>0</v>
      </c>
      <c r="CD185" s="186">
        <f>N(CD69)</f>
        <v>0</v>
      </c>
      <c r="CE185" s="186">
        <f>N(CE69)</f>
        <v>0</v>
      </c>
      <c r="CF185" s="20" t="n"/>
    </row>
    <row r="186" ht="15" customHeight="1">
      <c r="B186" s="26" t="inlineStr">
        <is>
          <t xml:space="preserve">  Total adjusting items</t>
        </is>
      </c>
      <c r="C186" s="212">
        <f>N(C179)+N(C180)+N(C181)+N(C182)+N(C183)+N(C184)+N(C185)</f>
        <v>19.135</v>
      </c>
      <c r="D186" s="212">
        <f>N(D179)+N(D180)+N(D181)+N(D182)+N(D183)+N(D184)+N(D185)</f>
        <v>10.312</v>
      </c>
      <c r="E186" s="212">
        <f>N(E179)+N(E180)+N(E181)+N(E182)+N(E183)+N(E184)+N(E185)</f>
        <v>16.368</v>
      </c>
      <c r="F186" s="212">
        <f>N(F179)+N(F180)+N(F181)+N(F182)+N(F183)+N(F184)+N(F185)</f>
        <v>13.772</v>
      </c>
      <c r="G186" s="212">
        <f>N(G179)+N(G180)+N(G181)+N(G182)+N(G183)+N(G184)+N(G185)</f>
        <v>7.012</v>
      </c>
      <c r="H186" s="212">
        <f>N(H179)+N(H180)+N(H181)+N(H182)+N(H183)+N(H184)+N(H185)</f>
        <v>3.278</v>
      </c>
      <c r="I186" s="212">
        <f>N(I179)+N(I180)+N(I181)+N(I182)+N(I183)+N(I184)+N(I185)</f>
        <v>37.104</v>
      </c>
      <c r="J186" s="212">
        <f>N(J179)+N(J180)+N(J181)+N(J182)+N(J183)+N(J184)+N(J185)</f>
        <v>15.869</v>
      </c>
      <c r="K186" s="212">
        <f>N(K179)+N(K180)+N(K181)+N(K182)+N(K183)+N(K184)+N(K185)</f>
        <v>1.224</v>
      </c>
      <c r="L186" s="212">
        <f>N(L179)+N(L180)+N(L181)+N(L182)+N(L183)+N(L184)+N(L185)</f>
        <v>3.064</v>
      </c>
      <c r="M186" s="212">
        <f>N(M179)+N(M180)+N(M181)+N(M182)+N(M183)+N(M184)+N(M185)</f>
        <v>3.238</v>
      </c>
      <c r="N186" s="212">
        <f>N(N179)+N(N180)+N(N181)+N(N182)+N(N183)+N(N184)+N(N185)</f>
        <v>23.395</v>
      </c>
      <c r="O186" s="212">
        <f>N(O179)+N(O180)+N(O181)+N(O182)+N(O183)+N(O184)+N(O185)</f>
        <v>-1.454</v>
      </c>
      <c r="P186" s="212">
        <f>N(P179)+N(P180)+N(P181)+N(P182)+N(P183)+N(P184)+N(P185)</f>
        <v>3.264</v>
      </c>
      <c r="Q186" s="212">
        <f>N(Q179)+N(Q180)+N(Q181)+N(Q182)+N(Q183)+N(Q184)+N(Q185)</f>
        <v>125.443</v>
      </c>
      <c r="R186" s="212">
        <f>N(R179)+N(R180)+N(R181)+N(R182)+N(R183)+N(R184)+N(R185)</f>
        <v>2.393</v>
      </c>
      <c r="S186" s="212">
        <f>N(S179)+N(S180)+N(S181)+N(S182)+N(S183)+N(S184)+N(S185)</f>
        <v>129.646</v>
      </c>
      <c r="T186" s="212">
        <f>N(T179)+N(T180)+N(T181)+N(T182)+N(T183)+N(T184)+N(T185)</f>
        <v>2.21</v>
      </c>
      <c r="U186" s="212">
        <f>N(U179)+N(U180)+N(U181)+N(U182)+N(U183)+N(U184)+N(U185)</f>
        <v>35.251</v>
      </c>
      <c r="V186" s="212">
        <f>N(V179)+N(V180)+N(V181)+N(V182)+N(V183)+N(V184)+N(V185)</f>
        <v>2.716</v>
      </c>
      <c r="W186" s="212">
        <f>N(W179)+N(W180)+N(W181)+N(W182)+N(W183)+N(W184)+N(W185)</f>
        <v>3.597</v>
      </c>
      <c r="X186" s="212">
        <f>N(X179)+N(X180)+N(X181)+N(X182)+N(X183)+N(X184)+N(X185)</f>
        <v>43.774</v>
      </c>
      <c r="Y186" s="212">
        <f>N(Y179)+N(Y180)+N(Y181)+N(Y182)+N(Y183)+N(Y184)+N(Y185)</f>
        <v>2.855</v>
      </c>
      <c r="Z186" s="212">
        <f>N(Z179)+N(Z180)+N(Z181)+N(Z182)+N(Z183)+N(Z184)+N(Z185)</f>
        <v>2.737</v>
      </c>
      <c r="AA186" s="212">
        <f>N(AA179)+N(AA180)+N(AA181)+N(AA182)+N(AA183)+N(AA184)+N(AA185)</f>
        <v>20.256</v>
      </c>
      <c r="AB186" s="212">
        <f>N(AB179)+N(AB180)+N(AB181)+N(AB182)+N(AB183)+N(AB184)+N(AB185)</f>
        <v>-4.737</v>
      </c>
      <c r="AC186" s="212">
        <f>N(AC179)+N(AC180)+N(AC181)+N(AC182)+N(AC183)+N(AC184)+N(AC185)</f>
        <v>21.111</v>
      </c>
      <c r="AD186" s="212">
        <f>N(AD179)+N(AD180)+N(AD181)+N(AD182)+N(AD183)+N(AD184)+N(AD185)</f>
        <v>3.839</v>
      </c>
      <c r="AE186" s="212">
        <f>N(AE179)+N(AE180)+N(AE181)+N(AE182)+N(AE183)+N(AE184)+N(AE185)</f>
        <v>-22.428</v>
      </c>
      <c r="AF186" s="212">
        <f>N(AF179)+N(AF180)+N(AF181)+N(AF182)+N(AF183)+N(AF184)+N(AF185)</f>
        <v>4.702</v>
      </c>
      <c r="AG186" s="212">
        <f>N(AG179)+N(AG180)+N(AG181)+N(AG182)+N(AG183)+N(AG184)+N(AG185)</f>
        <v>6.625</v>
      </c>
      <c r="AH186" s="212">
        <f>N(AH179)+N(AH180)+N(AH181)+N(AH182)+N(AH183)+N(AH184)+N(AH185)</f>
        <v>-7.262</v>
      </c>
      <c r="AI186" s="212">
        <f>N(AI179)+N(AI180)+N(AI181)+N(AI182)+N(AI183)+N(AI184)+N(AI185)</f>
        <v>2.729</v>
      </c>
      <c r="AJ186" s="212">
        <f>N(AJ179)+N(AJ180)+N(AJ181)+N(AJ182)+N(AJ183)+N(AJ184)+N(AJ185)</f>
        <v>1.602</v>
      </c>
      <c r="AK186" s="212">
        <f>N(AK179)+N(AK180)+N(AK181)+N(AK182)+N(AK183)+N(AK184)+N(AK185)</f>
        <v>5.915</v>
      </c>
      <c r="AL186" s="212">
        <f>N(AL179)+N(AL180)+N(AL181)+N(AL182)+N(AL183)+N(AL184)+N(AL185)</f>
        <v>6.558</v>
      </c>
      <c r="AM186" s="212">
        <f>N(AM179)+N(AM180)+N(AM181)+N(AM182)+N(AM183)+N(AM184)+N(AM185)</f>
        <v>16.804</v>
      </c>
      <c r="AN186" s="212">
        <f>N(AN179)+N(AN180)+N(AN181)+N(AN182)+N(AN183)+N(AN184)+N(AN185)</f>
        <v>-0.409</v>
      </c>
      <c r="AO186" s="212">
        <f>N(AO179)+N(AO180)+N(AO181)+N(AO182)+N(AO183)+N(AO184)+N(AO185)</f>
        <v>3.124</v>
      </c>
      <c r="AP186" s="212">
        <f>N(AP179)+N(AP180)+N(AP181)+N(AP182)+N(AP183)+N(AP184)+N(AP185)</f>
        <v>9.036</v>
      </c>
      <c r="AQ186" s="212">
        <f>N(AQ179)+N(AQ180)+N(AQ181)+N(AQ182)+N(AQ183)+N(AQ184)+N(AQ185)</f>
        <v>0.932</v>
      </c>
      <c r="AR186" s="212">
        <f>N(AR179)+N(AR180)+N(AR181)+N(AR182)+N(AR183)+N(AR184)+N(AR185)</f>
        <v>12.683</v>
      </c>
      <c r="AS186" s="212">
        <f>N(AS179)+N(AS180)+N(AS181)+N(AS182)+N(AS183)+N(AS184)+N(AS185)</f>
        <v>8</v>
      </c>
      <c r="AT186" s="212">
        <f>N(AT179)+N(AT180)+N(AT181)+N(AT182)+N(AT183)+N(AT184)+N(AT185)</f>
        <v>3.45</v>
      </c>
      <c r="AU186" s="212">
        <f>N(AU179)+N(AU180)+N(AU181)+N(AU182)+N(AU183)+N(AU184)+N(AU185)</f>
        <v>0.672</v>
      </c>
      <c r="AV186" s="212">
        <f>N(AV179)+N(AV180)+N(AV181)+N(AV182)+N(AV183)+N(AV184)+N(AV185)</f>
        <v>2.595</v>
      </c>
      <c r="AW186" s="212">
        <f>N(AW179)+N(AW180)+N(AW181)+N(AW182)+N(AW183)+N(AW184)+N(AW185)</f>
        <v>14.717</v>
      </c>
      <c r="AX186" s="212">
        <f>N(AX179)+N(AX180)+N(AX181)+N(AX182)+N(AX183)+N(AX184)+N(AX185)</f>
        <v>7.661</v>
      </c>
      <c r="AY186" s="212">
        <f>N(AY179)+N(AY180)+N(AY181)+N(AY182)+N(AY183)+N(AY184)+N(AY185)</f>
        <v>7.658</v>
      </c>
      <c r="AZ186" s="212">
        <f>N(AZ179)+N(AZ180)+N(AZ181)+N(AZ182)+N(AZ183)+N(AZ184)+N(AZ185)</f>
        <v>8.601</v>
      </c>
      <c r="BA186" s="212">
        <f>N(BA179)+N(BA180)+N(BA181)+N(BA182)+N(BA183)+N(BA184)+N(BA185)</f>
        <v>7.179</v>
      </c>
      <c r="BB186" s="212">
        <f>N(BB179)+N(BB180)+N(BB181)+N(BB182)+N(BB183)+N(BB184)+N(BB185)</f>
        <v>31.099</v>
      </c>
      <c r="BC186" s="212">
        <f>N(BC179)+N(BC180)+N(BC181)+N(BC182)+N(BC183)+N(BC184)+N(BC185)</f>
        <v>8.164</v>
      </c>
      <c r="BD186" s="212">
        <f>N(BD179)+N(BD180)+N(BD181)+N(BD182)+N(BD183)+N(BD184)+N(BD185)</f>
        <v>-0.0970000000000004</v>
      </c>
      <c r="BE186" s="212">
        <f>N(BE179)+N(BE180)+N(BE181)+N(BE182)+N(BE183)+N(BE184)+N(BE185)</f>
        <v>10.97</v>
      </c>
      <c r="BF186" s="212">
        <f>N(BF179)+N(BF180)+N(BF181)+N(BF182)+N(BF183)+N(BF184)+N(BF185)</f>
        <v>9.836</v>
      </c>
      <c r="BG186" s="212">
        <f>N(BG179)+N(BG180)+N(BG181)+N(BG182)+N(BG183)+N(BG184)+N(BG185)</f>
        <v>28.873</v>
      </c>
      <c r="BH186" s="212">
        <f>N(BH179)+N(BH180)+N(BH181)+N(BH182)+N(BH183)+N(BH184)+N(BH185)</f>
        <v>11.671</v>
      </c>
      <c r="BI186" s="212">
        <f>N(BI179)+N(BI180)+N(BI181)+N(BI182)+N(BI183)+N(BI184)+N(BI185)</f>
        <v>9.269</v>
      </c>
      <c r="BJ186" s="212">
        <f>N(BJ179)+N(BJ180)+N(BJ181)+N(BJ182)+N(BJ183)+N(BJ184)+N(BJ185)</f>
        <v>7.345</v>
      </c>
      <c r="BK186" s="212">
        <f>N(BK179)+N(BK180)+N(BK181)+N(BK182)+N(BK183)+N(BK184)+N(BK185)</f>
        <v>6.65</v>
      </c>
      <c r="BL186" s="212">
        <f>N(BL179)+N(BL180)+N(BL181)+N(BL182)+N(BL183)+N(BL184)+N(BL185)</f>
        <v>34.935</v>
      </c>
      <c r="BM186" s="212">
        <f>N(BM179)+N(BM180)+N(BM181)+N(BM182)+N(BM183)+N(BM184)+N(BM185)</f>
        <v>10.696</v>
      </c>
      <c r="BN186" s="212">
        <f>N(BN179)+N(BN180)+N(BN181)+N(BN182)+N(BN183)+N(BN184)+N(BN185)</f>
        <v>11.986</v>
      </c>
      <c r="BO186" s="212">
        <f>N(BO179)+N(BO180)+N(BO181)+N(BO182)+N(BO183)+N(BO184)+N(BO185)</f>
        <v>10.578</v>
      </c>
      <c r="BP186" s="212">
        <f>N(BP179)+N(BP180)+N(BP181)+N(BP182)+N(BP183)+N(BP184)+N(BP185)</f>
        <v>14.345</v>
      </c>
      <c r="BQ186" s="212">
        <f>N(BQ179)+N(BQ180)+N(BQ181)+N(BQ182)+N(BQ183)+N(BQ184)+N(BQ185)</f>
        <v>47.605</v>
      </c>
      <c r="BR186" s="212">
        <f>N(BR179)+N(BR180)+N(BR181)+N(BR182)+N(BR183)+N(BR184)+N(BR185)</f>
        <v>12.187</v>
      </c>
      <c r="BS186" s="212">
        <f>N(BS179)+N(BS180)+N(BS181)+N(BS182)+N(BS183)+N(BS184)+N(BS185)</f>
        <v>10.257</v>
      </c>
      <c r="BT186" s="212">
        <f>N(BT179)+N(BT180)+N(BT181)+N(BT182)+N(BT183)+N(BT184)+N(BT185)</f>
        <v>8.904</v>
      </c>
      <c r="BU186" s="212">
        <f>N(BU179)+N(BU180)+N(BU181)+N(BU182)+N(BU183)+N(BU184)+N(BU185)</f>
        <v>21.514</v>
      </c>
      <c r="BV186" s="212">
        <f>N(BV179)+N(BV180)+N(BV181)+N(BV182)+N(BV183)+N(BV184)+N(BV185)</f>
        <v>52.862</v>
      </c>
      <c r="BW186" s="212">
        <f>N(BW179)+N(BW180)+N(BW181)+N(BW182)+N(BW183)+N(BW184)+N(BW185)</f>
        <v>13.851</v>
      </c>
      <c r="BX186" s="212">
        <f>N(BX179)+N(BX180)+N(BX181)+N(BX182)+N(BX183)+N(BX184)+N(BX185)</f>
        <v>17.89</v>
      </c>
      <c r="BY186" s="186">
        <f>N(BY179)+N(BY180)+N(BY181)+N(BY182)+N(BY183)+N(BY184)+N(BY185)</f>
        <v>20.78</v>
      </c>
      <c r="BZ186" s="186">
        <f>N(BZ179)+N(BZ180)+N(BZ181)+N(BZ182)+N(BZ183)+N(BZ184)+N(BZ185)</f>
        <v>22.78</v>
      </c>
      <c r="CA186" s="186">
        <f>N(CA179)+N(CA180)+N(CA181)+N(CA182)+N(CA183)+N(CA184)+N(CA185)</f>
        <v>75.301</v>
      </c>
      <c r="CB186" s="186">
        <f>N(CB179)+N(CB180)+N(CB181)+N(CB182)+N(CB183)+N(CB184)+N(CB185)</f>
        <v>71.3185671537287</v>
      </c>
      <c r="CC186" s="186">
        <f>N(CC179)+N(CC180)+N(CC181)+N(CC182)+N(CC183)+N(CC184)+N(CC185)</f>
        <v>77.1898139974214</v>
      </c>
      <c r="CD186" s="186">
        <f>N(CD179)+N(CD180)+N(CD181)+N(CD182)+N(CD183)+N(CD184)+N(CD185)</f>
        <v>83.1360401722724</v>
      </c>
      <c r="CE186" s="186">
        <f>N(CE179)+N(CE180)+N(CE181)+N(CE182)+N(CE183)+N(CE184)+N(CE185)</f>
        <v>89.2769137707609</v>
      </c>
      <c r="CF186" s="20" t="n"/>
    </row>
    <row r="187" ht="15" customHeight="1">
      <c r="B187" s="209" t="inlineStr">
        <is>
          <t xml:space="preserve">  = Adjusted EBITDA (model bridge)</t>
        </is>
      </c>
      <c r="C187" s="210">
        <f>C178+C186</f>
        <v>119.935</v>
      </c>
      <c r="D187" s="210">
        <f>D178+D186</f>
        <v>133.297</v>
      </c>
      <c r="E187" s="210">
        <f>E178+E186</f>
        <v>163.219</v>
      </c>
      <c r="F187" s="210">
        <f>F178+F186</f>
        <v>157.58</v>
      </c>
      <c r="G187" s="210">
        <f>G178+G186</f>
        <v>314.692</v>
      </c>
      <c r="H187" s="210">
        <f>H178+H186</f>
        <v>350.008</v>
      </c>
      <c r="I187" s="210">
        <f>I178+I186</f>
        <v>373.767</v>
      </c>
      <c r="J187" s="210">
        <f>J178+J186</f>
        <v>111.228</v>
      </c>
      <c r="K187" s="210">
        <f>K178+K186</f>
        <v>123.59</v>
      </c>
      <c r="L187" s="210">
        <f>L178+L186</f>
        <v>145.952</v>
      </c>
      <c r="M187" s="210">
        <f>M178+M186</f>
        <v>129.335</v>
      </c>
      <c r="N187" s="210">
        <f>N178+N186</f>
        <v>510.105</v>
      </c>
      <c r="O187" s="210">
        <f>O178+O186</f>
        <v>101.986</v>
      </c>
      <c r="P187" s="210">
        <f>P178+P186</f>
        <v>135.799</v>
      </c>
      <c r="Q187" s="210">
        <f>Q178+Q186</f>
        <v>153.357</v>
      </c>
      <c r="R187" s="210">
        <f>R178+R186</f>
        <v>130.777</v>
      </c>
      <c r="S187" s="210">
        <f>S178+S186</f>
        <v>521.919</v>
      </c>
      <c r="T187" s="210">
        <f>T178+T186</f>
        <v>78.2770000000001</v>
      </c>
      <c r="U187" s="210">
        <f>U178+U186</f>
        <v>163.122</v>
      </c>
      <c r="V187" s="210">
        <f>V178+V186</f>
        <v>165.607</v>
      </c>
      <c r="W187" s="210">
        <f>W178+W186</f>
        <v>97.1609999999999</v>
      </c>
      <c r="X187" s="210">
        <f>X178+X186</f>
        <v>504.167</v>
      </c>
      <c r="Y187" s="210">
        <f>Y178+Y186</f>
        <v>67.32</v>
      </c>
      <c r="Z187" s="210">
        <f>Z178+Z186</f>
        <v>110.445</v>
      </c>
      <c r="AA187" s="210">
        <f>AA178+AA186</f>
        <v>126.651</v>
      </c>
      <c r="AB187" s="210">
        <f>AB178+AB186</f>
        <v>95.9380000000001</v>
      </c>
      <c r="AC187" s="210">
        <f>AC178+AC186</f>
        <v>400.354</v>
      </c>
      <c r="AD187" s="210">
        <f>AD178+AD186</f>
        <v>80.135</v>
      </c>
      <c r="AE187" s="210">
        <f>AE178+AE186</f>
        <v>120.691</v>
      </c>
      <c r="AF187" s="210">
        <f>AF178+AF186</f>
        <v>122.999</v>
      </c>
      <c r="AG187" s="210">
        <f>AG178+AG186</f>
        <v>101.832</v>
      </c>
      <c r="AH187" s="210">
        <f>AH178+AH186</f>
        <v>425.657</v>
      </c>
      <c r="AI187" s="210">
        <f>AI178+AI186</f>
        <v>88.2650000000001</v>
      </c>
      <c r="AJ187" s="210">
        <f>AJ178+AJ186</f>
        <v>139.561</v>
      </c>
      <c r="AK187" s="210">
        <f>AK178+AK186</f>
        <v>141.277</v>
      </c>
      <c r="AL187" s="210">
        <f>AL178+AL186</f>
        <v>121.902</v>
      </c>
      <c r="AM187" s="210">
        <f>AM178+AM186</f>
        <v>491.005</v>
      </c>
      <c r="AN187" s="210">
        <f>AN178+AN186</f>
        <v>101.663</v>
      </c>
      <c r="AO187" s="210">
        <f>AO178+AO186</f>
        <v>149.825</v>
      </c>
      <c r="AP187" s="210">
        <f>AP178+AP186</f>
        <v>156.613</v>
      </c>
      <c r="AQ187" s="210">
        <f>AQ178+AQ186</f>
        <v>132.216</v>
      </c>
      <c r="AR187" s="210">
        <f>AR178+AR186</f>
        <v>540.317</v>
      </c>
      <c r="AS187" s="210">
        <f>AS178+AS186</f>
        <v>122.59</v>
      </c>
      <c r="AT187" s="210">
        <f>AT178+AT186</f>
        <v>135.48</v>
      </c>
      <c r="AU187" s="210">
        <f>AU178+AU186</f>
        <v>161.171</v>
      </c>
      <c r="AV187" s="210">
        <f>AV178+AV186</f>
        <v>136.061</v>
      </c>
      <c r="AW187" s="210">
        <f>AW178+AW186</f>
        <v>555.302</v>
      </c>
      <c r="AX187" s="210">
        <f>AX178+AX186</f>
        <v>129.451</v>
      </c>
      <c r="AY187" s="210">
        <f>AY178+AY186</f>
        <v>187.771</v>
      </c>
      <c r="AZ187" s="210">
        <f>AZ178+AZ186</f>
        <v>185.084</v>
      </c>
      <c r="BA187" s="210">
        <f>BA178+BA186</f>
        <v>174.3</v>
      </c>
      <c r="BB187" s="210">
        <f>BB178+BB186</f>
        <v>676.606</v>
      </c>
      <c r="BC187" s="210">
        <f>BC178+BC186</f>
        <v>180.259</v>
      </c>
      <c r="BD187" s="210">
        <f>BD178+BD186</f>
        <v>309.07</v>
      </c>
      <c r="BE187" s="210">
        <f>BE178+BE186</f>
        <v>308.555</v>
      </c>
      <c r="BF187" s="210">
        <f>BF178+BF186</f>
        <v>224.244</v>
      </c>
      <c r="BG187" s="210">
        <f>BG178+BG186</f>
        <v>1022.128</v>
      </c>
      <c r="BH187" s="210">
        <f>BH178+BH186</f>
        <v>215.138</v>
      </c>
      <c r="BI187" s="210">
        <f>BI178+BI186</f>
        <v>287.506</v>
      </c>
      <c r="BJ187" s="210">
        <f>BJ178+BJ186</f>
        <v>255.017</v>
      </c>
      <c r="BK187" s="210">
        <f>BK178+BK186</f>
        <v>254.909</v>
      </c>
      <c r="BL187" s="210">
        <f>BL178+BL186</f>
        <v>1012.57</v>
      </c>
      <c r="BM187" s="210">
        <f>BM178+BM186</f>
        <v>230.095</v>
      </c>
      <c r="BN187" s="210">
        <f>BN178+BN186</f>
        <v>327.816</v>
      </c>
      <c r="BO187" s="210">
        <f>BO178+BO186</f>
        <v>301.814</v>
      </c>
      <c r="BP187" s="210">
        <f>BP178+BP186</f>
        <v>257.209</v>
      </c>
      <c r="BQ187" s="210">
        <f>BQ178+BQ186</f>
        <v>1116.934</v>
      </c>
      <c r="BR187" s="210">
        <f>BR178+BR186</f>
        <v>234.854</v>
      </c>
      <c r="BS187" s="210">
        <f>BS178+BS186</f>
        <v>336.237</v>
      </c>
      <c r="BT187" s="210">
        <f>BT178+BT186</f>
        <v>320.159</v>
      </c>
      <c r="BU187" s="210">
        <f>BU178+BU186</f>
        <v>278.689</v>
      </c>
      <c r="BV187" s="210">
        <f>BV178+BV186</f>
        <v>1169.939</v>
      </c>
      <c r="BW187" s="210">
        <f>BW178+BW186</f>
        <v>247.854</v>
      </c>
      <c r="BX187" s="210">
        <f>BX178+BX186</f>
        <v>409.024</v>
      </c>
      <c r="BY187" s="210">
        <f>BY178+BY186</f>
        <v>399.826709385798</v>
      </c>
      <c r="BZ187" s="210">
        <f>BZ178+BZ186</f>
        <v>337.835016641599</v>
      </c>
      <c r="CA187" s="210">
        <f>CA178+CA186</f>
        <v>1394.5397260274</v>
      </c>
      <c r="CB187" s="210">
        <f>CB178+CB186</f>
        <v>1550.19634223587</v>
      </c>
      <c r="CC187" s="210">
        <f>CC178+CC186</f>
        <v>1718.78088029056</v>
      </c>
      <c r="CD187" s="210">
        <f>CD178+CD186</f>
        <v>1876.85721465507</v>
      </c>
      <c r="CE187" s="210">
        <f>CE178+CE186</f>
        <v>2029.96444940969</v>
      </c>
      <c r="CF187" s="20" t="inlineStr">
        <is>
          <t>Historical bridge rebuilt from the company reconciliation in each period; forecast = net income + interest + tax + D&amp;A + accretion + SBC + transaction costs (ties to the segment build).</t>
        </is>
      </c>
      <c r="CH187" s="21">
        <f>IFERROR((CE187/BV187)^(1/5)-1,"n/m")</f>
        <v>0.116516235838015</v>
      </c>
      <c r="CI187" s="21">
        <f>IFERROR((BV187/AW187)^(1/5)-1,"n/m")</f>
        <v>0.160718205216312</v>
      </c>
      <c r="CJ187" s="21">
        <f>IFERROR((BV187/X187)^(1/10)-1,"n/m")</f>
        <v>0.0878246114509576</v>
      </c>
      <c r="CK187" s="21">
        <f>IFERROR((BV187/C187)^(1/19)-1,"n/m")</f>
        <v>0.127363753110838</v>
      </c>
    </row>
    <row r="188" ht="15" customHeight="1">
      <c r="B188" s="26" t="inlineStr">
        <is>
          <t xml:space="preserve">  Adjusted EBITDA margin %</t>
        </is>
      </c>
      <c r="C188" s="190">
        <f>IF(AND(ISNUMBER(C187),ISNUMBER(C138)),IFERROR(C187/C138,""),"")</f>
        <v>0.14453326006346</v>
      </c>
      <c r="D188" s="190">
        <f>IF(AND(ISNUMBER(D187),ISNUMBER(D138)),IFERROR(D187/D138,""),"")</f>
        <v>0.140769465539218</v>
      </c>
      <c r="E188" s="190">
        <f>IF(AND(ISNUMBER(E187),ISNUMBER(E138)),IFERROR(E187/E138,""),"")</f>
        <v>0.158355429687993</v>
      </c>
      <c r="F188" s="190">
        <f>IF(AND(ISNUMBER(F187),ISNUMBER(F138)),IFERROR(F187/F138,""),"")</f>
        <v>0.146692483848746</v>
      </c>
      <c r="G188" s="190">
        <f>IF(AND(ISNUMBER(G187),ISNUMBER(G138)),IFERROR(G187/G138,""),"")</f>
        <v>0.181772182315144</v>
      </c>
      <c r="H188" s="190">
        <f>IF(AND(ISNUMBER(H187),ISNUMBER(H138)),IFERROR(H187/H138,""),"")</f>
        <v>0.176403230423721</v>
      </c>
      <c r="I188" s="190">
        <f>IF(AND(ISNUMBER(I187),ISNUMBER(I138)),IFERROR(I187/I138,""),"")</f>
        <v>0.170833051481141</v>
      </c>
      <c r="J188" s="190">
        <f>IF(AND(ISNUMBER(J187),ISNUMBER(J138)),IFERROR(J187/J138,""),"")</f>
        <v>0.129010407544745</v>
      </c>
      <c r="K188" s="190">
        <f>IF(AND(ISNUMBER(K187),ISNUMBER(K138)),IFERROR(K187/K138,""),"")</f>
        <v>0.143621125634494</v>
      </c>
      <c r="L188" s="190">
        <f>IF(AND(ISNUMBER(L187),ISNUMBER(L138)),IFERROR(L187/L138,""),"")</f>
        <v>0.1608224476191</v>
      </c>
      <c r="M188" s="190">
        <f>IF(AND(ISNUMBER(M187),ISNUMBER(M138)),IFERROR(M187/M138,""),"")</f>
        <v>0.147066850118827</v>
      </c>
      <c r="N188" s="190">
        <f>IF(AND(ISNUMBER(N187),ISNUMBER(N138)),IFERROR(N187/N138,""),"")</f>
        <v>0.145343304301048</v>
      </c>
      <c r="O188" s="190">
        <f>IF(AND(ISNUMBER(O187),ISNUMBER(O138)),IFERROR(O187/O138,""),"")</f>
        <v>0.120455858088245</v>
      </c>
      <c r="P188" s="190">
        <f>IF(AND(ISNUMBER(P187),ISNUMBER(P138)),IFERROR(P187/P138,""),"")</f>
        <v>0.15818539744665</v>
      </c>
      <c r="Q188" s="190">
        <f>IF(AND(ISNUMBER(Q187),ISNUMBER(Q138)),IFERROR(Q187/Q138,""),"")</f>
        <v>0.180109575848684</v>
      </c>
      <c r="R188" s="190">
        <f>IF(AND(ISNUMBER(R187),ISNUMBER(R138)),IFERROR(R187/R138,""),"")</f>
        <v>0.154761284886583</v>
      </c>
      <c r="S188" s="190">
        <f>IF(AND(ISNUMBER(S187),ISNUMBER(S138)),IFERROR(S187/S138,""),"")</f>
        <v>0.153431760482309</v>
      </c>
      <c r="T188" s="190">
        <f>IF(AND(ISNUMBER(T187),ISNUMBER(T138)),IFERROR(T187/T138,""),"")</f>
        <v>0.106862944522791</v>
      </c>
      <c r="U188" s="190">
        <f>IF(AND(ISNUMBER(U187),ISNUMBER(U138)),IFERROR(U187/U138,""),"")</f>
        <v>0.174233199605224</v>
      </c>
      <c r="V188" s="190">
        <f>IF(AND(ISNUMBER(V187),ISNUMBER(V138)),IFERROR(V187/V138,""),"")</f>
        <v>0.185374191540757</v>
      </c>
      <c r="W188" s="190">
        <f>IF(AND(ISNUMBER(W187),ISNUMBER(W138)),IFERROR(W187/W138,""),"")</f>
        <v>0.136262278344674</v>
      </c>
      <c r="X188" s="190">
        <f>IF(AND(ISNUMBER(X187),ISNUMBER(X138)),IFERROR(X187/X138,""),"")</f>
        <v>0.153937682606865</v>
      </c>
      <c r="Y188" s="190">
        <f>IF(AND(ISNUMBER(Y187),ISNUMBER(Y138)),IFERROR(Y187/Y138,""),"")</f>
        <v>0.105835244771516</v>
      </c>
      <c r="Z188" s="190">
        <f>IF(AND(ISNUMBER(Z187),ISNUMBER(Z138)),IFERROR(Z187/Z138,""),"")</f>
        <v>0.158341815887944</v>
      </c>
      <c r="AA188" s="190">
        <f>IF(AND(ISNUMBER(AA187),ISNUMBER(AA138)),IFERROR(AA187/AA138,""),"")</f>
        <v>0.173608674196732</v>
      </c>
      <c r="AB188" s="190">
        <f>IF(AND(ISNUMBER(AB187),ISNUMBER(AB138)),IFERROR(AB187/AB138,""),"")</f>
        <v>0.138616093036831</v>
      </c>
      <c r="AC188" s="190">
        <f>IF(AND(ISNUMBER(AC187),ISNUMBER(AC138)),IFERROR(AC187/AC138,""),"")</f>
        <v>0.145307136329288</v>
      </c>
      <c r="AD188" s="190">
        <f>IF(AND(ISNUMBER(AD187),ISNUMBER(AD138)),IFERROR(AD187/AD138,""),"")</f>
        <v>0.116316201242196</v>
      </c>
      <c r="AE188" s="190">
        <f>IF(AND(ISNUMBER(AE187),ISNUMBER(AE138)),IFERROR(AE187/AE138,""),"")</f>
        <v>0.160325350563505</v>
      </c>
      <c r="AF188" s="190">
        <f>IF(AND(ISNUMBER(AF187),ISNUMBER(AF138)),IFERROR(AF187/AF138,""),"")</f>
        <v>0.162730238699418</v>
      </c>
      <c r="AG188" s="190">
        <f>IF(AND(ISNUMBER(AG187),ISNUMBER(AG138)),IFERROR(AG187/AG138,""),"")</f>
        <v>0.136247780648459</v>
      </c>
      <c r="AH188" s="190">
        <f>IF(AND(ISNUMBER(AH187),ISNUMBER(AH138)),IFERROR(AH187/AH138,""),"")</f>
        <v>0.144536563600815</v>
      </c>
      <c r="AI188" s="190">
        <f>IF(AND(ISNUMBER(AI187),ISNUMBER(AI138)),IFERROR(AI187/AI138,""),"")</f>
        <v>0.117721512234288</v>
      </c>
      <c r="AJ188" s="190">
        <f>IF(AND(ISNUMBER(AJ187),ISNUMBER(AJ138)),IFERROR(AJ187/AJ138,""),"")</f>
        <v>0.164355701062251</v>
      </c>
      <c r="AK188" s="190">
        <f>IF(AND(ISNUMBER(AK187),ISNUMBER(AK138)),IFERROR(AK187/AK138,""),"")</f>
        <v>0.167552399781304</v>
      </c>
      <c r="AL188" s="190">
        <f>IF(AND(ISNUMBER(AL187),ISNUMBER(AL138)),IFERROR(AL187/AL138,""),"")</f>
        <v>0.142043150579582</v>
      </c>
      <c r="AM188" s="190">
        <f>IF(AND(ISNUMBER(AM187),ISNUMBER(AM138)),IFERROR(AM187/AM138,""),"")</f>
        <v>0.148775733622034</v>
      </c>
      <c r="AN188" s="190">
        <f>IF(AND(ISNUMBER(AN187),ISNUMBER(AN138)),IFERROR(AN187/AN138,""),"")</f>
        <v>0.130197134108312</v>
      </c>
      <c r="AO188" s="190">
        <f>IF(AND(ISNUMBER(AO187),ISNUMBER(AO138)),IFERROR(AO187/AO138,""),"")</f>
        <v>0.1724747259629</v>
      </c>
      <c r="AP188" s="190">
        <f>IF(AND(ISNUMBER(AP187),ISNUMBER(AP138)),IFERROR(AP187/AP138,""),"")</f>
        <v>0.175640485023574</v>
      </c>
      <c r="AQ188" s="190">
        <f>IF(AND(ISNUMBER(AQ187),ISNUMBER(AQ138)),IFERROR(AQ187/AQ138,""),"")</f>
        <v>0.151797062014569</v>
      </c>
      <c r="AR188" s="190">
        <f>IF(AND(ISNUMBER(AR187),ISNUMBER(AR138)),IFERROR(AR187/AR138,""),"")</f>
        <v>0.158349036835581</v>
      </c>
      <c r="AS188" s="190">
        <f>IF(AND(ISNUMBER(AS187),ISNUMBER(AS138)),IFERROR(AS187/AS138,""),"")</f>
        <v>0.142785095560838</v>
      </c>
      <c r="AT188" s="190">
        <f>IF(AND(ISNUMBER(AT187),ISNUMBER(AT138)),IFERROR(AT187/AT138,""),"")</f>
        <v>0.190816901408451</v>
      </c>
      <c r="AU188" s="190">
        <f>IF(AND(ISNUMBER(AU187),ISNUMBER(AU138)),IFERROR(AU187/AU138,""),"")</f>
        <v>0.206803414153442</v>
      </c>
      <c r="AV188" s="190">
        <f>IF(AND(ISNUMBER(AV187),ISNUMBER(AV138)),IFERROR(AV187/AV138,""),"")</f>
        <v>0.170890114168729</v>
      </c>
      <c r="AW188" s="190">
        <f>IF(AND(ISNUMBER(AW187),ISNUMBER(AW138)),IFERROR(AW187/AW138,""),"")</f>
        <v>0.176617324465498</v>
      </c>
      <c r="AX188" s="190">
        <f>IF(AND(ISNUMBER(AX187),ISNUMBER(AX138)),IFERROR(AX187/AX138,""),"")</f>
        <v>0.160182293342309</v>
      </c>
      <c r="AY188" s="190">
        <f>IF(AND(ISNUMBER(AY187),ISNUMBER(AY138)),IFERROR(AY187/AY138,""),"")</f>
        <v>0.202676214140306</v>
      </c>
      <c r="AZ188" s="190">
        <f>IF(AND(ISNUMBER(AZ187),ISNUMBER(AZ138)),IFERROR(AZ187/AZ138,""),"")</f>
        <v>0.194522422460191</v>
      </c>
      <c r="BA188" s="190">
        <f>IF(AND(ISNUMBER(BA187),ISNUMBER(BA138)),IFERROR(BA187/BA138,""),"")</f>
        <v>0.155697148946699</v>
      </c>
      <c r="BB188" s="190">
        <f>IF(AND(ISNUMBER(BB187),ISNUMBER(BB138)),IFERROR(BB187/BB138,""),"")</f>
        <v>0.177793789412666</v>
      </c>
      <c r="BC188" s="190">
        <f>IF(AND(ISNUMBER(BC187),ISNUMBER(BC138)),IFERROR(BC187/BC138,""),"")</f>
        <v>0.154184939128858</v>
      </c>
      <c r="BD188" s="190">
        <f>IF(AND(ISNUMBER(BD187),ISNUMBER(BD138)),IFERROR(BD187/BD138,""),"")</f>
        <v>0.227875297129274</v>
      </c>
      <c r="BE188" s="190">
        <f>IF(AND(ISNUMBER(BE187),ISNUMBER(BE138)),IFERROR(BE187/BE138,""),"")</f>
        <v>0.226365027591803</v>
      </c>
      <c r="BF188" s="190">
        <f>IF(AND(ISNUMBER(BF187),ISNUMBER(BF138)),IFERROR(BF187/BF138,""),"")</f>
        <v>0.175451334717682</v>
      </c>
      <c r="BG188" s="190">
        <f>IF(AND(ISNUMBER(BG187),ISNUMBER(BG138)),IFERROR(BG187/BG138,""),"")</f>
        <v>0.197833587046039</v>
      </c>
      <c r="BH188" s="190">
        <f>IF(AND(ISNUMBER(BH187),ISNUMBER(BH138)),IFERROR(BH187/BH138,""),"")</f>
        <v>0.164555713036767</v>
      </c>
      <c r="BI188" s="190">
        <f>IF(AND(ISNUMBER(BI187),ISNUMBER(BI138)),IFERROR(BI187/BI138,""),"")</f>
        <v>0.205669933471636</v>
      </c>
      <c r="BJ188" s="190">
        <f>IF(AND(ISNUMBER(BJ187),ISNUMBER(BJ138)),IFERROR(BJ187/BJ138,""),"")</f>
        <v>0.186730429026665</v>
      </c>
      <c r="BK188" s="190">
        <f>IF(AND(ISNUMBER(BK187),ISNUMBER(BK138)),IFERROR(BK187/BK138,""),"")</f>
        <v>0.190490887174938</v>
      </c>
      <c r="BL188" s="190">
        <f>IF(AND(ISNUMBER(BL187),ISNUMBER(BL138)),IFERROR(BL187/BL138,""),"")</f>
        <v>0.187195700915781</v>
      </c>
      <c r="BM188" s="190">
        <f>IF(AND(ISNUMBER(BM187),ISNUMBER(BM138)),IFERROR(BM187/BM138,""),"")</f>
        <v>0.16713578534098</v>
      </c>
      <c r="BN188" s="190">
        <f>IF(AND(ISNUMBER(BN187),ISNUMBER(BN138)),IFERROR(BN187/BN138,""),"")</f>
        <v>0.211123841467774</v>
      </c>
      <c r="BO188" s="190">
        <f>IF(AND(ISNUMBER(BO187),ISNUMBER(BO138)),IFERROR(BO187/BO138,""),"")</f>
        <v>0.197338602426276</v>
      </c>
      <c r="BP188" s="190">
        <f>IF(AND(ISNUMBER(BP187),ISNUMBER(BP138)),IFERROR(BP187/BP138,""),"")</f>
        <v>0.179726171742892</v>
      </c>
      <c r="BQ188" s="190">
        <f>IF(AND(ISNUMBER(BQ187),ISNUMBER(BQ138)),IFERROR(BQ187/BQ138,""),"")</f>
        <v>0.189633803467329</v>
      </c>
      <c r="BR188" s="190">
        <f>IF(AND(ISNUMBER(BR187),ISNUMBER(BR138)),IFERROR(BR187/BR138,""),"")</f>
        <v>0.164009916547366</v>
      </c>
      <c r="BS188" s="190">
        <f>IF(AND(ISNUMBER(BS187),ISNUMBER(BS138)),IFERROR(BS187/BS138,""),"")</f>
        <v>0.216947531832031</v>
      </c>
      <c r="BT188" s="190">
        <f>IF(AND(ISNUMBER(BT187),ISNUMBER(BT138)),IFERROR(BT187/BT138,""),"")</f>
        <v>0.206642583246898</v>
      </c>
      <c r="BU188" s="190">
        <f>IF(AND(ISNUMBER(BU187),ISNUMBER(BU138)),IFERROR(BU187/BU138,""),"")</f>
        <v>0.185830328279865</v>
      </c>
      <c r="BV188" s="190">
        <f>IF(AND(ISNUMBER(BV187),ISNUMBER(BV138)),IFERROR(BV187/BV138,""),"")</f>
        <v>0.193992807300214</v>
      </c>
      <c r="BW188" s="190">
        <f>IF(AND(ISNUMBER(BW187),ISNUMBER(BW138)),IFERROR(BW187/BW138,""),"")</f>
        <v>0.169816866581663</v>
      </c>
      <c r="BX188" s="190">
        <f>IF(AND(ISNUMBER(BX187),ISNUMBER(BX138)),IFERROR(BX187/BX138,""),"")</f>
        <v>0.235748023780911</v>
      </c>
      <c r="BY188" s="179">
        <f>IF(AND(ISNUMBER(BY187),ISNUMBER(BY138)),IFERROR(BY187/BY138,""),"")</f>
        <v>0.232590398394149</v>
      </c>
      <c r="BZ188" s="179">
        <f>IF(AND(ISNUMBER(BZ187),ISNUMBER(BZ138)),IFERROR(BZ187/BZ138,""),"")</f>
        <v>0.20111661129896</v>
      </c>
      <c r="CA188" s="179">
        <f>IF(AND(ISNUMBER(CA187),ISNUMBER(CA138)),IFERROR(CA187/CA138,""),"")</f>
        <v>0.211506844136948</v>
      </c>
      <c r="CB188" s="179">
        <f>IF(AND(ISNUMBER(CB187),ISNUMBER(CB138)),IFERROR(CB187/CB138,""),"")</f>
        <v>0.213014993993991</v>
      </c>
      <c r="CC188" s="179">
        <f>IF(AND(ISNUMBER(CC187),ISNUMBER(CC138)),IFERROR(CC187/CC138,""),"")</f>
        <v>0.218216002274732</v>
      </c>
      <c r="CD188" s="179">
        <f>IF(AND(ISNUMBER(CD187),ISNUMBER(CD138)),IFERROR(CD187/CD138,""),"")</f>
        <v>0.221242203327291</v>
      </c>
      <c r="CE188" s="179">
        <f>IF(AND(ISNUMBER(CE187),ISNUMBER(CE138)),IFERROR(CE187/CE138,""),"")</f>
        <v>0.222830861462085</v>
      </c>
      <c r="CF188" s="20" t="n"/>
      <c r="CH188" s="39">
        <f>IFERROR(AVERAGE(CA188,CB188,CC188,CD188,CE188),"n/m")</f>
        <v>0.217362181039009</v>
      </c>
      <c r="CI188" s="39">
        <f>IFERROR(AVERAGE(BB188,BG188,BL188,BQ188,BV188),"n/m")</f>
        <v>0.189289937628406</v>
      </c>
      <c r="CJ188" s="39">
        <f>IFERROR(AVERAGE(AC188,AH188,AM188,AR188,AW188,BB188,BG188,BL188,BQ188,BV188),"n/m")</f>
        <v>0.172003548299525</v>
      </c>
      <c r="CK188" s="39">
        <f>IFERROR(AVERAGE(C188,D188,E188,F188,G188,H188,I188,N188,S188,X188,AC188,AH188,AM188,AR188,AW188,BB188,BG188,BL188,BQ188,BV188),"n/m")</f>
        <v>0.164605366687245</v>
      </c>
    </row>
    <row r="189" ht="15" customHeight="1">
      <c r="B189" s="42" t="inlineStr">
        <is>
          <t xml:space="preserve">  Company-published Adjusted EBITDA</t>
        </is>
      </c>
      <c r="C189" s="185" t="n">
        <v>119.935</v>
      </c>
      <c r="D189" s="185" t="n">
        <v>133.297</v>
      </c>
      <c r="E189" s="185" t="n">
        <v>163.219</v>
      </c>
      <c r="F189" s="185" t="n">
        <v>157.58</v>
      </c>
      <c r="G189" s="185" t="n">
        <v>314.692</v>
      </c>
      <c r="H189" s="185" t="n">
        <v>350.008</v>
      </c>
      <c r="I189" s="185" t="n">
        <v>373.767</v>
      </c>
      <c r="J189" s="185" t="n">
        <v>111.228</v>
      </c>
      <c r="K189" s="185" t="n">
        <v>123.59</v>
      </c>
      <c r="L189" s="185" t="n">
        <v>145.952</v>
      </c>
      <c r="M189" s="185" t="n">
        <v>129.335</v>
      </c>
      <c r="N189" s="185" t="n">
        <v>510.105</v>
      </c>
      <c r="O189" s="185" t="n">
        <v>101.986</v>
      </c>
      <c r="P189" s="185" t="n">
        <v>135.799</v>
      </c>
      <c r="Q189" s="185" t="n">
        <v>153.357</v>
      </c>
      <c r="R189" s="185" t="n">
        <v>130.777</v>
      </c>
      <c r="S189" s="185" t="n">
        <v>521.919</v>
      </c>
      <c r="T189" s="185" t="n">
        <v>78.277</v>
      </c>
      <c r="U189" s="185" t="n">
        <v>163.122</v>
      </c>
      <c r="V189" s="185" t="n">
        <v>165.607</v>
      </c>
      <c r="W189" s="185" t="n">
        <v>97.161</v>
      </c>
      <c r="X189" s="185" t="n">
        <v>504.167</v>
      </c>
      <c r="Y189" s="185" t="n">
        <v>67.31999999999999</v>
      </c>
      <c r="Z189" s="185" t="n">
        <v>110.445</v>
      </c>
      <c r="AA189" s="185" t="n">
        <v>126.651</v>
      </c>
      <c r="AB189" s="185" t="n">
        <v>95.938</v>
      </c>
      <c r="AC189" s="185" t="n">
        <v>400.354</v>
      </c>
      <c r="AD189" s="185" t="n">
        <v>80.13500000000001</v>
      </c>
      <c r="AE189" s="185" t="n">
        <v>120.691</v>
      </c>
      <c r="AF189" s="185" t="n">
        <v>122.999</v>
      </c>
      <c r="AG189" s="185" t="n">
        <v>101.832</v>
      </c>
      <c r="AH189" s="185" t="n">
        <v>425.657</v>
      </c>
      <c r="AI189" s="185" t="n">
        <v>88.265</v>
      </c>
      <c r="AJ189" s="185" t="n">
        <v>139.561</v>
      </c>
      <c r="AK189" s="185" t="n">
        <v>141.277</v>
      </c>
      <c r="AL189" s="185" t="n">
        <v>121.902</v>
      </c>
      <c r="AM189" s="185" t="n">
        <v>491.005</v>
      </c>
      <c r="AN189" s="185" t="n">
        <v>101.663</v>
      </c>
      <c r="AO189" s="185" t="n">
        <v>149.825</v>
      </c>
      <c r="AP189" s="185" t="n">
        <v>156.613</v>
      </c>
      <c r="AQ189" s="185" t="n">
        <v>132.216</v>
      </c>
      <c r="AR189" s="185" t="n">
        <v>540.317</v>
      </c>
      <c r="AS189" s="185" t="n">
        <v>122.59</v>
      </c>
      <c r="AT189" s="185" t="n">
        <v>135.48</v>
      </c>
      <c r="AU189" s="185" t="n">
        <v>161.171</v>
      </c>
      <c r="AV189" s="185" t="n">
        <v>136.061</v>
      </c>
      <c r="AW189" s="185" t="n">
        <v>555.302</v>
      </c>
      <c r="AX189" s="185" t="n">
        <v>129.451</v>
      </c>
      <c r="AY189" s="185" t="n">
        <v>187.771</v>
      </c>
      <c r="AZ189" s="185" t="n">
        <v>185.084</v>
      </c>
      <c r="BA189" s="185" t="n">
        <v>174.3</v>
      </c>
      <c r="BB189" s="185" t="n">
        <v>676.606</v>
      </c>
      <c r="BC189" s="185" t="n">
        <v>180.259</v>
      </c>
      <c r="BD189" s="185" t="n">
        <v>309.07</v>
      </c>
      <c r="BE189" s="185" t="n">
        <v>308.555</v>
      </c>
      <c r="BF189" s="185" t="n">
        <v>224.244</v>
      </c>
      <c r="BG189" s="185" t="n">
        <v>1022.128</v>
      </c>
      <c r="BH189" s="185" t="n">
        <v>215.138</v>
      </c>
      <c r="BI189" s="185" t="n">
        <v>287.506</v>
      </c>
      <c r="BJ189" s="185" t="n">
        <v>255.017</v>
      </c>
      <c r="BK189" s="185" t="n">
        <v>254.909</v>
      </c>
      <c r="BL189" s="185" t="n">
        <v>1012.57</v>
      </c>
      <c r="BM189" s="185" t="n">
        <v>230.095</v>
      </c>
      <c r="BN189" s="185" t="n">
        <v>327.816</v>
      </c>
      <c r="BO189" s="185" t="n">
        <v>301.814</v>
      </c>
      <c r="BP189" s="185" t="n">
        <v>257.209</v>
      </c>
      <c r="BQ189" s="185" t="n">
        <v>1116.934</v>
      </c>
      <c r="BR189" s="185" t="n">
        <v>234.854</v>
      </c>
      <c r="BS189" s="185" t="n">
        <v>336.237</v>
      </c>
      <c r="BT189" s="185" t="n">
        <v>320.159</v>
      </c>
      <c r="BU189" s="185" t="n">
        <v>278.689</v>
      </c>
      <c r="BV189" s="185" t="n">
        <v>1169.939</v>
      </c>
      <c r="BW189" s="185" t="n">
        <v>247.854</v>
      </c>
      <c r="BX189" s="185" t="n">
        <v>409.024</v>
      </c>
      <c r="BY189" s="227" t="n"/>
      <c r="BZ189" s="227" t="n"/>
      <c r="CA189" s="227" t="n"/>
      <c r="CB189" s="227" t="n"/>
      <c r="CC189" s="227" t="n"/>
      <c r="CD189" s="227" t="n"/>
      <c r="CE189" s="227" t="n"/>
      <c r="CF189" s="177" t="n"/>
    </row>
    <row r="190" ht="15" customHeight="1">
      <c r="B190" s="61" t="inlineStr">
        <is>
          <t xml:space="preserve">  Check: model bridge vs company-published (should be 0)</t>
        </is>
      </c>
      <c r="C190" s="188">
        <f>IF(ISNUMBER(C189),ROUND(C187-C189,1),"n/p")</f>
        <v>0</v>
      </c>
      <c r="D190" s="188">
        <f>IF(ISNUMBER(D189),ROUND(D187-D189,1),"n/p")</f>
        <v>0</v>
      </c>
      <c r="E190" s="188">
        <f>IF(ISNUMBER(E189),ROUND(E187-E189,1),"n/p")</f>
        <v>0</v>
      </c>
      <c r="F190" s="188">
        <f>IF(ISNUMBER(F189),ROUND(F187-F189,1),"n/p")</f>
        <v>0</v>
      </c>
      <c r="G190" s="188">
        <f>IF(ISNUMBER(G189),ROUND(G187-G189,1),"n/p")</f>
        <v>0</v>
      </c>
      <c r="H190" s="188">
        <f>IF(ISNUMBER(H189),ROUND(H187-H189,1),"n/p")</f>
        <v>0</v>
      </c>
      <c r="I190" s="188">
        <f>IF(ISNUMBER(I189),ROUND(I187-I189,1),"n/p")</f>
        <v>0</v>
      </c>
      <c r="J190" s="188">
        <f>IF(ISNUMBER(J189),ROUND(J187-J189,1),"n/p")</f>
        <v>0</v>
      </c>
      <c r="K190" s="188">
        <f>IF(ISNUMBER(K189),ROUND(K187-K189,1),"n/p")</f>
        <v>0</v>
      </c>
      <c r="L190" s="188">
        <f>IF(ISNUMBER(L189),ROUND(L187-L189,1),"n/p")</f>
        <v>0</v>
      </c>
      <c r="M190" s="188">
        <f>IF(ISNUMBER(M189),ROUND(M187-M189,1),"n/p")</f>
        <v>0</v>
      </c>
      <c r="N190" s="188">
        <f>IF(ISNUMBER(N189),ROUND(N187-N189,1),"n/p")</f>
        <v>0</v>
      </c>
      <c r="O190" s="188">
        <f>IF(ISNUMBER(O189),ROUND(O187-O189,1),"n/p")</f>
        <v>0</v>
      </c>
      <c r="P190" s="188">
        <f>IF(ISNUMBER(P189),ROUND(P187-P189,1),"n/p")</f>
        <v>0</v>
      </c>
      <c r="Q190" s="188">
        <f>IF(ISNUMBER(Q189),ROUND(Q187-Q189,1),"n/p")</f>
        <v>0</v>
      </c>
      <c r="R190" s="188">
        <f>IF(ISNUMBER(R189),ROUND(R187-R189,1),"n/p")</f>
        <v>0</v>
      </c>
      <c r="S190" s="188">
        <f>IF(ISNUMBER(S189),ROUND(S187-S189,1),"n/p")</f>
        <v>0</v>
      </c>
      <c r="T190" s="188">
        <f>IF(ISNUMBER(T189),ROUND(T187-T189,1),"n/p")</f>
        <v>0</v>
      </c>
      <c r="U190" s="188">
        <f>IF(ISNUMBER(U189),ROUND(U187-U189,1),"n/p")</f>
        <v>0</v>
      </c>
      <c r="V190" s="188">
        <f>IF(ISNUMBER(V189),ROUND(V187-V189,1),"n/p")</f>
        <v>0</v>
      </c>
      <c r="W190" s="188">
        <f>IF(ISNUMBER(W189),ROUND(W187-W189,1),"n/p")</f>
        <v>0</v>
      </c>
      <c r="X190" s="188">
        <f>IF(ISNUMBER(X189),ROUND(X187-X189,1),"n/p")</f>
        <v>0</v>
      </c>
      <c r="Y190" s="188">
        <f>IF(ISNUMBER(Y189),ROUND(Y187-Y189,1),"n/p")</f>
        <v>0</v>
      </c>
      <c r="Z190" s="188">
        <f>IF(ISNUMBER(Z189),ROUND(Z187-Z189,1),"n/p")</f>
        <v>0</v>
      </c>
      <c r="AA190" s="188">
        <f>IF(ISNUMBER(AA189),ROUND(AA187-AA189,1),"n/p")</f>
        <v>0</v>
      </c>
      <c r="AB190" s="188">
        <f>IF(ISNUMBER(AB189),ROUND(AB187-AB189,1),"n/p")</f>
        <v>0</v>
      </c>
      <c r="AC190" s="188">
        <f>IF(ISNUMBER(AC189),ROUND(AC187-AC189,1),"n/p")</f>
        <v>0</v>
      </c>
      <c r="AD190" s="188">
        <f>IF(ISNUMBER(AD189),ROUND(AD187-AD189,1),"n/p")</f>
        <v>0</v>
      </c>
      <c r="AE190" s="188">
        <f>IF(ISNUMBER(AE189),ROUND(AE187-AE189,1),"n/p")</f>
        <v>0</v>
      </c>
      <c r="AF190" s="188">
        <f>IF(ISNUMBER(AF189),ROUND(AF187-AF189,1),"n/p")</f>
        <v>0</v>
      </c>
      <c r="AG190" s="188">
        <f>IF(ISNUMBER(AG189),ROUND(AG187-AG189,1),"n/p")</f>
        <v>0</v>
      </c>
      <c r="AH190" s="188">
        <f>IF(ISNUMBER(AH189),ROUND(AH187-AH189,1),"n/p")</f>
        <v>0</v>
      </c>
      <c r="AI190" s="188">
        <f>IF(ISNUMBER(AI189),ROUND(AI187-AI189,1),"n/p")</f>
        <v>0</v>
      </c>
      <c r="AJ190" s="188">
        <f>IF(ISNUMBER(AJ189),ROUND(AJ187-AJ189,1),"n/p")</f>
        <v>0</v>
      </c>
      <c r="AK190" s="188">
        <f>IF(ISNUMBER(AK189),ROUND(AK187-AK189,1),"n/p")</f>
        <v>0</v>
      </c>
      <c r="AL190" s="188">
        <f>IF(ISNUMBER(AL189),ROUND(AL187-AL189,1),"n/p")</f>
        <v>0</v>
      </c>
      <c r="AM190" s="188">
        <f>IF(ISNUMBER(AM189),ROUND(AM187-AM189,1),"n/p")</f>
        <v>0</v>
      </c>
      <c r="AN190" s="188">
        <f>IF(ISNUMBER(AN189),ROUND(AN187-AN189,1),"n/p")</f>
        <v>0</v>
      </c>
      <c r="AO190" s="188">
        <f>IF(ISNUMBER(AO189),ROUND(AO187-AO189,1),"n/p")</f>
        <v>0</v>
      </c>
      <c r="AP190" s="188">
        <f>IF(ISNUMBER(AP189),ROUND(AP187-AP189,1),"n/p")</f>
        <v>0</v>
      </c>
      <c r="AQ190" s="188">
        <f>IF(ISNUMBER(AQ189),ROUND(AQ187-AQ189,1),"n/p")</f>
        <v>0</v>
      </c>
      <c r="AR190" s="188">
        <f>IF(ISNUMBER(AR189),ROUND(AR187-AR189,1),"n/p")</f>
        <v>0</v>
      </c>
      <c r="AS190" s="188">
        <f>IF(ISNUMBER(AS189),ROUND(AS187-AS189,1),"n/p")</f>
        <v>0</v>
      </c>
      <c r="AT190" s="188">
        <f>IF(ISNUMBER(AT189),ROUND(AT187-AT189,1),"n/p")</f>
        <v>0</v>
      </c>
      <c r="AU190" s="188">
        <f>IF(ISNUMBER(AU189),ROUND(AU187-AU189,1),"n/p")</f>
        <v>0</v>
      </c>
      <c r="AV190" s="188">
        <f>IF(ISNUMBER(AV189),ROUND(AV187-AV189,1),"n/p")</f>
        <v>0</v>
      </c>
      <c r="AW190" s="188">
        <f>IF(ISNUMBER(AW189),ROUND(AW187-AW189,1),"n/p")</f>
        <v>0</v>
      </c>
      <c r="AX190" s="188">
        <f>IF(ISNUMBER(AX189),ROUND(AX187-AX189,1),"n/p")</f>
        <v>0</v>
      </c>
      <c r="AY190" s="188">
        <f>IF(ISNUMBER(AY189),ROUND(AY187-AY189,1),"n/p")</f>
        <v>0</v>
      </c>
      <c r="AZ190" s="188">
        <f>IF(ISNUMBER(AZ189),ROUND(AZ187-AZ189,1),"n/p")</f>
        <v>0</v>
      </c>
      <c r="BA190" s="188">
        <f>IF(ISNUMBER(BA189),ROUND(BA187-BA189,1),"n/p")</f>
        <v>0</v>
      </c>
      <c r="BB190" s="188">
        <f>IF(ISNUMBER(BB189),ROUND(BB187-BB189,1),"n/p")</f>
        <v>0</v>
      </c>
      <c r="BC190" s="188">
        <f>IF(ISNUMBER(BC189),ROUND(BC187-BC189,1),"n/p")</f>
        <v>0</v>
      </c>
      <c r="BD190" s="188">
        <f>IF(ISNUMBER(BD189),ROUND(BD187-BD189,1),"n/p")</f>
        <v>0</v>
      </c>
      <c r="BE190" s="188">
        <f>IF(ISNUMBER(BE189),ROUND(BE187-BE189,1),"n/p")</f>
        <v>0</v>
      </c>
      <c r="BF190" s="188">
        <f>IF(ISNUMBER(BF189),ROUND(BF187-BF189,1),"n/p")</f>
        <v>0</v>
      </c>
      <c r="BG190" s="188">
        <f>IF(ISNUMBER(BG189),ROUND(BG187-BG189,1),"n/p")</f>
        <v>0</v>
      </c>
      <c r="BH190" s="188">
        <f>IF(ISNUMBER(BH189),ROUND(BH187-BH189,1),"n/p")</f>
        <v>0</v>
      </c>
      <c r="BI190" s="188">
        <f>IF(ISNUMBER(BI189),ROUND(BI187-BI189,1),"n/p")</f>
        <v>0</v>
      </c>
      <c r="BJ190" s="188">
        <f>IF(ISNUMBER(BJ189),ROUND(BJ187-BJ189,1),"n/p")</f>
        <v>0</v>
      </c>
      <c r="BK190" s="188">
        <f>IF(ISNUMBER(BK189),ROUND(BK187-BK189,1),"n/p")</f>
        <v>0</v>
      </c>
      <c r="BL190" s="188">
        <f>IF(ISNUMBER(BL189),ROUND(BL187-BL189,1),"n/p")</f>
        <v>0</v>
      </c>
      <c r="BM190" s="188">
        <f>IF(ISNUMBER(BM189),ROUND(BM187-BM189,1),"n/p")</f>
        <v>0</v>
      </c>
      <c r="BN190" s="188">
        <f>IF(ISNUMBER(BN189),ROUND(BN187-BN189,1),"n/p")</f>
        <v>0</v>
      </c>
      <c r="BO190" s="188">
        <f>IF(ISNUMBER(BO189),ROUND(BO187-BO189,1),"n/p")</f>
        <v>0</v>
      </c>
      <c r="BP190" s="188">
        <f>IF(ISNUMBER(BP189),ROUND(BP187-BP189,1),"n/p")</f>
        <v>0</v>
      </c>
      <c r="BQ190" s="188">
        <f>IF(ISNUMBER(BQ189),ROUND(BQ187-BQ189,1),"n/p")</f>
        <v>0</v>
      </c>
      <c r="BR190" s="188">
        <f>IF(ISNUMBER(BR189),ROUND(BR187-BR189,1),"n/p")</f>
        <v>0</v>
      </c>
      <c r="BS190" s="188">
        <f>IF(ISNUMBER(BS189),ROUND(BS187-BS189,1),"n/p")</f>
        <v>0</v>
      </c>
      <c r="BT190" s="188">
        <f>IF(ISNUMBER(BT189),ROUND(BT187-BT189,1),"n/p")</f>
        <v>0</v>
      </c>
      <c r="BU190" s="188">
        <f>IF(ISNUMBER(BU189),ROUND(BU187-BU189,1),"n/p")</f>
        <v>0</v>
      </c>
      <c r="BV190" s="188">
        <f>IF(ISNUMBER(BV189),ROUND(BV187-BV189,1),"n/p")</f>
        <v>0</v>
      </c>
      <c r="BW190" s="188">
        <f>IF(ISNUMBER(BW189),ROUND(BW187-BW189,1),"n/p")</f>
        <v>0</v>
      </c>
      <c r="BX190" s="188">
        <f>IF(ISNUMBER(BX189),ROUND(BX187-BX189,1),"n/p")</f>
        <v>0</v>
      </c>
      <c r="BY190" s="189" t="n"/>
      <c r="BZ190" s="189" t="n"/>
      <c r="CA190" s="189" t="n"/>
      <c r="CB190" s="189" t="n"/>
      <c r="CC190" s="189" t="n"/>
      <c r="CD190" s="189" t="n"/>
      <c r="CE190" s="189" t="n"/>
      <c r="CF190" s="177" t="n"/>
    </row>
    <row r="191" ht="15" customHeight="1">
      <c r="B191" s="67" t="inlineStr">
        <is>
          <t xml:space="preserve">  Definition basis (company Adjusted EBITDA definition in force)</t>
        </is>
      </c>
      <c r="C191" s="68" t="inlineStr">
        <is>
          <t>Credit-agreement basis: NI + accretion + D&amp;A + interest + taxes + other (income) expense, refinancing / extinguishment losses, JV, cumulative effect</t>
        </is>
      </c>
      <c r="D191" s="68" t="n"/>
      <c r="E191" s="68" t="n"/>
      <c r="F191" s="68" t="inlineStr">
        <is>
          <t>+ discontinued operations removed (2009–10)</t>
        </is>
      </c>
      <c r="G191" s="68" t="n"/>
      <c r="H191" s="68" t="n"/>
      <c r="I191" s="68" t="n"/>
      <c r="J191" s="68" t="inlineStr">
        <is>
          <t>+ pre-tax non-cash acquisition-accounting inventory adjustments (Safety-Kleen, 2013–14)</t>
        </is>
      </c>
      <c r="K191" s="68" t="n"/>
      <c r="L191" s="68" t="n"/>
      <c r="M191" s="68" t="n"/>
      <c r="N191" s="68" t="n"/>
      <c r="O191" s="68" t="n"/>
      <c r="P191" s="68" t="n"/>
      <c r="Q191" s="68" t="inlineStr">
        <is>
          <t>+ goodwill impairment charges (2014–17)</t>
        </is>
      </c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  <c r="AA191" s="68" t="inlineStr">
        <is>
          <t>+ (gain) loss on sale of businesses</t>
        </is>
      </c>
      <c r="AB191" s="68" t="n"/>
      <c r="AC191" s="68" t="n"/>
      <c r="AD191" s="68" t="n"/>
      <c r="AE191" s="68" t="n"/>
      <c r="AF191" s="68" t="n"/>
      <c r="AG191" s="68" t="n"/>
      <c r="AH191" s="68" t="n"/>
      <c r="AI191" s="68" t="n"/>
      <c r="AJ191" s="68" t="n"/>
      <c r="AK191" s="68" t="n"/>
      <c r="AL191" s="68" t="n"/>
      <c r="AM191" s="68" t="n"/>
      <c r="AN191" s="68" t="n"/>
      <c r="AO191" s="68" t="n"/>
      <c r="AP191" s="68" t="n"/>
      <c r="AQ191" s="68" t="n"/>
      <c r="AR191" s="68" t="n"/>
      <c r="AS191" s="68" t="n"/>
      <c r="AT191" s="68" t="n"/>
      <c r="AU191" s="68" t="n"/>
      <c r="AV191" s="68" t="n"/>
      <c r="AW191" s="68" t="n"/>
      <c r="AX191" s="68" t="inlineStr">
        <is>
          <t>+ stock-based compensation added back (definition change Q1/21; prior periods not restated)</t>
        </is>
      </c>
      <c r="AY191" s="68" t="n"/>
      <c r="AZ191" s="68" t="n"/>
      <c r="BA191" s="68" t="n"/>
      <c r="BB191" s="68" t="n"/>
      <c r="BC191" s="68" t="n"/>
      <c r="BD191" s="68" t="n"/>
      <c r="BE191" s="68" t="n"/>
      <c r="BF191" s="68" t="n"/>
      <c r="BG191" s="68" t="n"/>
      <c r="BH191" s="68" t="n"/>
      <c r="BI191" s="68" t="n"/>
      <c r="BJ191" s="68" t="n"/>
      <c r="BK191" s="68" t="n"/>
      <c r="BL191" s="68" t="n"/>
      <c r="BM191" s="68" t="n"/>
      <c r="BN191" s="68" t="n"/>
      <c r="BO191" s="68" t="n"/>
      <c r="BP191" s="68" t="inlineStr">
        <is>
          <t>+ Kimball incinerator start-up costs (Q4/24–Q4/25)</t>
        </is>
      </c>
      <c r="BQ191" s="68" t="n"/>
      <c r="BR191" s="68" t="n"/>
      <c r="BS191" s="68" t="n"/>
      <c r="BT191" s="68" t="n"/>
      <c r="BU191" s="68" t="inlineStr">
        <is>
          <t>+ third-party transaction-related costs (Q4/25)</t>
        </is>
      </c>
      <c r="BV191" s="68" t="n"/>
      <c r="BW191" s="68" t="n"/>
      <c r="BX191" s="68" t="n"/>
      <c r="BY191" s="177" t="n"/>
      <c r="BZ191" s="177" t="n"/>
      <c r="CA191" s="177" t="inlineStr">
        <is>
          <t>Forecast: Q1/21 definition incl. SBC add-back; pending-deal transaction costs added back</t>
        </is>
      </c>
      <c r="CB191" s="177" t="n"/>
      <c r="CC191" s="177" t="n"/>
      <c r="CD191" s="177" t="n"/>
      <c r="CE191" s="177" t="n"/>
      <c r="CF191" s="20" t="inlineStr">
        <is>
          <t>Definition changes are flagged in the column where they take effect.</t>
        </is>
      </c>
    </row>
    <row r="192" ht="15" customHeight="1">
      <c r="B192" s="26" t="inlineStr">
        <is>
          <t>To adjusted EBIT:</t>
        </is>
      </c>
      <c r="C192" s="217" t="n"/>
      <c r="D192" s="217" t="n"/>
      <c r="E192" s="217" t="n"/>
      <c r="F192" s="217" t="n"/>
      <c r="G192" s="217" t="n"/>
      <c r="H192" s="217" t="n"/>
      <c r="I192" s="217" t="n"/>
      <c r="J192" s="217" t="n"/>
      <c r="K192" s="217" t="n"/>
      <c r="L192" s="217" t="n"/>
      <c r="M192" s="217" t="n"/>
      <c r="N192" s="217" t="n"/>
      <c r="O192" s="217" t="n"/>
      <c r="P192" s="217" t="n"/>
      <c r="Q192" s="217" t="n"/>
      <c r="R192" s="217" t="n"/>
      <c r="S192" s="217" t="n"/>
      <c r="T192" s="217" t="n"/>
      <c r="U192" s="217" t="n"/>
      <c r="V192" s="217" t="n"/>
      <c r="W192" s="217" t="n"/>
      <c r="X192" s="217" t="n"/>
      <c r="Y192" s="217" t="n"/>
      <c r="Z192" s="217" t="n"/>
      <c r="AA192" s="217" t="n"/>
      <c r="AB192" s="217" t="n"/>
      <c r="AC192" s="217" t="n"/>
      <c r="AD192" s="217" t="n"/>
      <c r="AE192" s="217" t="n"/>
      <c r="AF192" s="217" t="n"/>
      <c r="AG192" s="217" t="n"/>
      <c r="AH192" s="217" t="n"/>
      <c r="AI192" s="217" t="n"/>
      <c r="AJ192" s="217" t="n"/>
      <c r="AK192" s="217" t="n"/>
      <c r="AL192" s="217" t="n"/>
      <c r="AM192" s="217" t="n"/>
      <c r="AN192" s="217" t="n"/>
      <c r="AO192" s="217" t="n"/>
      <c r="AP192" s="217" t="n"/>
      <c r="AQ192" s="217" t="n"/>
      <c r="AR192" s="217" t="n"/>
      <c r="AS192" s="217" t="n"/>
      <c r="AT192" s="217" t="n"/>
      <c r="AU192" s="217" t="n"/>
      <c r="AV192" s="217" t="n"/>
      <c r="AW192" s="217" t="n"/>
      <c r="AX192" s="217" t="n"/>
      <c r="AY192" s="217" t="n"/>
      <c r="AZ192" s="217" t="n"/>
      <c r="BA192" s="217" t="n"/>
      <c r="BB192" s="217" t="n"/>
      <c r="BC192" s="217" t="n"/>
      <c r="BD192" s="217" t="n"/>
      <c r="BE192" s="217" t="n"/>
      <c r="BF192" s="217" t="n"/>
      <c r="BG192" s="217" t="n"/>
      <c r="BH192" s="217" t="n"/>
      <c r="BI192" s="217" t="n"/>
      <c r="BJ192" s="217" t="n"/>
      <c r="BK192" s="217" t="n"/>
      <c r="BL192" s="217" t="n"/>
      <c r="BM192" s="217" t="n"/>
      <c r="BN192" s="217" t="n"/>
      <c r="BO192" s="217" t="n"/>
      <c r="BP192" s="217" t="n"/>
      <c r="BQ192" s="217" t="n"/>
      <c r="BR192" s="217" t="n"/>
      <c r="BS192" s="217" t="n"/>
      <c r="BT192" s="217" t="n"/>
      <c r="BU192" s="217" t="n"/>
      <c r="BV192" s="217" t="n"/>
      <c r="BW192" s="217" t="n"/>
      <c r="BX192" s="217" t="n"/>
      <c r="BY192" s="218" t="n"/>
      <c r="BZ192" s="218" t="n"/>
      <c r="CA192" s="218" t="n"/>
      <c r="CB192" s="218" t="n"/>
      <c r="CC192" s="218" t="n"/>
      <c r="CD192" s="218" t="n"/>
      <c r="CE192" s="218" t="n"/>
      <c r="CF192" s="20" t="n"/>
    </row>
    <row r="193" ht="15" customHeight="1">
      <c r="B193" s="26" t="inlineStr">
        <is>
          <t xml:space="preserve">  (−) Depreciation &amp; amortization</t>
        </is>
      </c>
      <c r="C193" s="212">
        <f>-C177</f>
        <v>-35.339</v>
      </c>
      <c r="D193" s="212">
        <f>-D177</f>
        <v>-37.59</v>
      </c>
      <c r="E193" s="212">
        <f>-E177</f>
        <v>-44.471</v>
      </c>
      <c r="F193" s="212">
        <f>-F177</f>
        <v>-64.898</v>
      </c>
      <c r="G193" s="212">
        <f>-G177</f>
        <v>-92.473</v>
      </c>
      <c r="H193" s="212">
        <f>-H177</f>
        <v>-122.663</v>
      </c>
      <c r="I193" s="212">
        <f>-I177</f>
        <v>-161.646</v>
      </c>
      <c r="J193" s="212">
        <f>-J177</f>
        <v>-60.006</v>
      </c>
      <c r="K193" s="212">
        <f>-K177</f>
        <v>-67.468</v>
      </c>
      <c r="L193" s="212">
        <f>-L177</f>
        <v>-69.43</v>
      </c>
      <c r="M193" s="212">
        <f>-M177</f>
        <v>-67.545</v>
      </c>
      <c r="N193" s="212">
        <f>-N177</f>
        <v>-264.449</v>
      </c>
      <c r="O193" s="212">
        <f>-O177</f>
        <v>-69.356</v>
      </c>
      <c r="P193" s="212">
        <f>-P177</f>
        <v>-66.075</v>
      </c>
      <c r="Q193" s="212">
        <f>-Q177</f>
        <v>-70.049</v>
      </c>
      <c r="R193" s="212">
        <f>-R177</f>
        <v>-70.603</v>
      </c>
      <c r="S193" s="212">
        <f>-S177</f>
        <v>-276.083</v>
      </c>
      <c r="T193" s="212">
        <f>-T177</f>
        <v>-68.356</v>
      </c>
      <c r="U193" s="212">
        <f>-U177</f>
        <v>-67.773</v>
      </c>
      <c r="V193" s="212">
        <f>-V177</f>
        <v>-69.06</v>
      </c>
      <c r="W193" s="212">
        <f>-W177</f>
        <v>-69.005</v>
      </c>
      <c r="X193" s="212">
        <f>-X177</f>
        <v>-274.194</v>
      </c>
      <c r="Y193" s="212">
        <f>-Y177</f>
        <v>-68.902</v>
      </c>
      <c r="Z193" s="212">
        <f>-Z177</f>
        <v>-73.393</v>
      </c>
      <c r="AA193" s="212">
        <f>-AA177</f>
        <v>-73.36</v>
      </c>
      <c r="AB193" s="212">
        <f>-AB177</f>
        <v>-71.347</v>
      </c>
      <c r="AC193" s="212">
        <f>-AC177</f>
        <v>-287.002</v>
      </c>
      <c r="AD193" s="212">
        <f>-AD177</f>
        <v>-72.412</v>
      </c>
      <c r="AE193" s="212">
        <f>-AE177</f>
        <v>-71.531</v>
      </c>
      <c r="AF193" s="212">
        <f>-AF177</f>
        <v>-72.989</v>
      </c>
      <c r="AG193" s="212">
        <f>-AG177</f>
        <v>-71.49</v>
      </c>
      <c r="AH193" s="212">
        <f>-AH177</f>
        <v>-288.422</v>
      </c>
      <c r="AI193" s="212">
        <f>-AI177</f>
        <v>-74.844</v>
      </c>
      <c r="AJ193" s="212">
        <f>-AJ177</f>
        <v>-72.76</v>
      </c>
      <c r="AK193" s="212">
        <f>-AK177</f>
        <v>-73.082</v>
      </c>
      <c r="AL193" s="212">
        <f>-AL177</f>
        <v>-77.939</v>
      </c>
      <c r="AM193" s="212">
        <f>-AM177</f>
        <v>-298.625</v>
      </c>
      <c r="AN193" s="212">
        <f>-AN177</f>
        <v>-75.355</v>
      </c>
      <c r="AO193" s="212">
        <f>-AO177</f>
        <v>-74.217</v>
      </c>
      <c r="AP193" s="212">
        <f>-AP177</f>
        <v>-73.756</v>
      </c>
      <c r="AQ193" s="212">
        <f>-AQ177</f>
        <v>-77.397</v>
      </c>
      <c r="AR193" s="212">
        <f>-AR177</f>
        <v>-300.725</v>
      </c>
      <c r="AS193" s="212">
        <f>-AS177</f>
        <v>-74.533</v>
      </c>
      <c r="AT193" s="212">
        <f>-AT177</f>
        <v>-72.494</v>
      </c>
      <c r="AU193" s="212">
        <f>-AU177</f>
        <v>-74.47</v>
      </c>
      <c r="AV193" s="212">
        <f>-AV177</f>
        <v>-71.418</v>
      </c>
      <c r="AW193" s="212">
        <f>-AW177</f>
        <v>-292.915</v>
      </c>
      <c r="AX193" s="212">
        <f>-AX177</f>
        <v>-72.163</v>
      </c>
      <c r="AY193" s="212">
        <f>-AY177</f>
        <v>-71.592</v>
      </c>
      <c r="AZ193" s="212">
        <f>-AZ177</f>
        <v>-71.451</v>
      </c>
      <c r="BA193" s="212">
        <f>-BA177</f>
        <v>-82.929</v>
      </c>
      <c r="BB193" s="212">
        <f>-BB177</f>
        <v>-298.135</v>
      </c>
      <c r="BC193" s="212">
        <f>-BC177</f>
        <v>-84.298</v>
      </c>
      <c r="BD193" s="212">
        <f>-BD177</f>
        <v>-87.868</v>
      </c>
      <c r="BE193" s="212">
        <f>-BE177</f>
        <v>-88.394</v>
      </c>
      <c r="BF193" s="212">
        <f>-BF177</f>
        <v>-87.034</v>
      </c>
      <c r="BG193" s="212">
        <f>-BG177</f>
        <v>-347.594</v>
      </c>
      <c r="BH193" s="212">
        <f>-BH177</f>
        <v>-84.758</v>
      </c>
      <c r="BI193" s="212">
        <f>-BI177</f>
        <v>-89.697</v>
      </c>
      <c r="BJ193" s="212">
        <f>-BJ177</f>
        <v>-92.97</v>
      </c>
      <c r="BK193" s="212">
        <f>-BK177</f>
        <v>-98.336</v>
      </c>
      <c r="BL193" s="212">
        <f>-BL177</f>
        <v>-365.761</v>
      </c>
      <c r="BM193" s="212">
        <f>-BM177</f>
        <v>-95.065</v>
      </c>
      <c r="BN193" s="212">
        <f>-BN177</f>
        <v>-100.504</v>
      </c>
      <c r="BO193" s="212">
        <f>-BO177</f>
        <v>-100.063</v>
      </c>
      <c r="BP193" s="212">
        <f>-BP177</f>
        <v>-105.29</v>
      </c>
      <c r="BQ193" s="212">
        <f>-BQ177</f>
        <v>-400.922</v>
      </c>
      <c r="BR193" s="212">
        <f>-BR177</f>
        <v>-111.98</v>
      </c>
      <c r="BS193" s="212">
        <f>-BS177</f>
        <v>-116.285</v>
      </c>
      <c r="BT193" s="212">
        <f>-BT177</f>
        <v>-114.729</v>
      </c>
      <c r="BU193" s="212">
        <f>-BU177</f>
        <v>-103.012</v>
      </c>
      <c r="BV193" s="212">
        <f>-BV177</f>
        <v>-446.006</v>
      </c>
      <c r="BW193" s="212">
        <f>-BW177</f>
        <v>-115.799</v>
      </c>
      <c r="BX193" s="212">
        <f>-BX177</f>
        <v>-121.807</v>
      </c>
      <c r="BY193" s="186">
        <f>-BY177</f>
        <v>-122.329191780822</v>
      </c>
      <c r="BZ193" s="186">
        <f>-BZ177</f>
        <v>-129.139602739726</v>
      </c>
      <c r="CA193" s="186">
        <f>-CA177</f>
        <v>-489.074794520548</v>
      </c>
      <c r="CB193" s="186">
        <f>-CB177</f>
        <v>-548.281802897798</v>
      </c>
      <c r="CC193" s="186">
        <f>-CC177</f>
        <v>-595.086282779748</v>
      </c>
      <c r="CD193" s="186">
        <f>-CD177</f>
        <v>-642.618178553527</v>
      </c>
      <c r="CE193" s="186">
        <f>-CE177</f>
        <v>-691.769732930364</v>
      </c>
      <c r="CF193" s="20" t="n"/>
    </row>
    <row r="194" ht="15" customHeight="1">
      <c r="B194" s="17" t="inlineStr">
        <is>
          <t xml:space="preserve">  = Adjusted EBIT (model)</t>
        </is>
      </c>
      <c r="C194" s="214">
        <f>C187+C193</f>
        <v>84.5959999999999</v>
      </c>
      <c r="D194" s="214">
        <f>D187+D193</f>
        <v>95.707</v>
      </c>
      <c r="E194" s="214">
        <f>E187+E193</f>
        <v>118.748</v>
      </c>
      <c r="F194" s="214">
        <f>F187+F193</f>
        <v>92.6820000000001</v>
      </c>
      <c r="G194" s="214">
        <f>G187+G193</f>
        <v>222.219</v>
      </c>
      <c r="H194" s="214">
        <f>H187+H193</f>
        <v>227.345</v>
      </c>
      <c r="I194" s="214">
        <f>I187+I193</f>
        <v>212.121</v>
      </c>
      <c r="J194" s="214">
        <f>J187+J193</f>
        <v>51.222</v>
      </c>
      <c r="K194" s="214">
        <f>K187+K193</f>
        <v>56.122</v>
      </c>
      <c r="L194" s="214">
        <f>L187+L193</f>
        <v>76.5219999999999</v>
      </c>
      <c r="M194" s="214">
        <f>M187+M193</f>
        <v>61.79</v>
      </c>
      <c r="N194" s="214">
        <f>N187+N193</f>
        <v>245.656</v>
      </c>
      <c r="O194" s="214">
        <f>O187+O193</f>
        <v>32.63</v>
      </c>
      <c r="P194" s="214">
        <f>P187+P193</f>
        <v>69.724</v>
      </c>
      <c r="Q194" s="214">
        <f>Q187+Q193</f>
        <v>83.308</v>
      </c>
      <c r="R194" s="214">
        <f>R187+R193</f>
        <v>60.174</v>
      </c>
      <c r="S194" s="214">
        <f>S187+S193</f>
        <v>245.836</v>
      </c>
      <c r="T194" s="214">
        <f>T187+T193</f>
        <v>9.92100000000006</v>
      </c>
      <c r="U194" s="214">
        <f>U187+U193</f>
        <v>95.349</v>
      </c>
      <c r="V194" s="214">
        <f>V187+V193</f>
        <v>96.547</v>
      </c>
      <c r="W194" s="214">
        <f>W187+W193</f>
        <v>28.156</v>
      </c>
      <c r="X194" s="214">
        <f>X187+X193</f>
        <v>229.973</v>
      </c>
      <c r="Y194" s="214">
        <f>Y187+Y193</f>
        <v>-1.58200000000001</v>
      </c>
      <c r="Z194" s="214">
        <f>Z187+Z193</f>
        <v>37.052</v>
      </c>
      <c r="AA194" s="214">
        <f>AA187+AA193</f>
        <v>53.291</v>
      </c>
      <c r="AB194" s="214">
        <f>AB187+AB193</f>
        <v>24.5910000000001</v>
      </c>
      <c r="AC194" s="214">
        <f>AC187+AC193</f>
        <v>113.352</v>
      </c>
      <c r="AD194" s="214">
        <f>AD187+AD193</f>
        <v>7.72300000000003</v>
      </c>
      <c r="AE194" s="214">
        <f>AE187+AE193</f>
        <v>49.16</v>
      </c>
      <c r="AF194" s="214">
        <f>AF187+AF193</f>
        <v>50.01</v>
      </c>
      <c r="AG194" s="214">
        <f>AG187+AG193</f>
        <v>30.342</v>
      </c>
      <c r="AH194" s="214">
        <f>AH187+AH193</f>
        <v>137.235</v>
      </c>
      <c r="AI194" s="214">
        <f>AI187+AI193</f>
        <v>13.4210000000001</v>
      </c>
      <c r="AJ194" s="214">
        <f>AJ187+AJ193</f>
        <v>66.801</v>
      </c>
      <c r="AK194" s="214">
        <f>AK187+AK193</f>
        <v>68.1950000000001</v>
      </c>
      <c r="AL194" s="214">
        <f>AL187+AL193</f>
        <v>43.963</v>
      </c>
      <c r="AM194" s="214">
        <f>AM187+AM193</f>
        <v>192.38</v>
      </c>
      <c r="AN194" s="214">
        <f>AN187+AN193</f>
        <v>26.308</v>
      </c>
      <c r="AO194" s="214">
        <f>AO187+AO193</f>
        <v>75.608</v>
      </c>
      <c r="AP194" s="214">
        <f>AP187+AP193</f>
        <v>82.857</v>
      </c>
      <c r="AQ194" s="214">
        <f>AQ187+AQ193</f>
        <v>54.8189999999999</v>
      </c>
      <c r="AR194" s="214">
        <f>AR187+AR193</f>
        <v>239.592</v>
      </c>
      <c r="AS194" s="214">
        <f>AS187+AS193</f>
        <v>48.0569999999999</v>
      </c>
      <c r="AT194" s="214">
        <f>AT187+AT193</f>
        <v>62.986</v>
      </c>
      <c r="AU194" s="214">
        <f>AU187+AU193</f>
        <v>86.7010000000001</v>
      </c>
      <c r="AV194" s="214">
        <f>AV187+AV193</f>
        <v>64.6430000000001</v>
      </c>
      <c r="AW194" s="214">
        <f>AW187+AW193</f>
        <v>262.387</v>
      </c>
      <c r="AX194" s="214">
        <f>AX187+AX193</f>
        <v>57.2880000000001</v>
      </c>
      <c r="AY194" s="214">
        <f>AY187+AY193</f>
        <v>116.179</v>
      </c>
      <c r="AZ194" s="214">
        <f>AZ187+AZ193</f>
        <v>113.633</v>
      </c>
      <c r="BA194" s="214">
        <f>BA187+BA193</f>
        <v>91.371</v>
      </c>
      <c r="BB194" s="214">
        <f>BB187+BB193</f>
        <v>378.471</v>
      </c>
      <c r="BC194" s="214">
        <f>BC187+BC193</f>
        <v>95.9609999999999</v>
      </c>
      <c r="BD194" s="214">
        <f>BD187+BD193</f>
        <v>221.202</v>
      </c>
      <c r="BE194" s="214">
        <f>BE187+BE193</f>
        <v>220.161</v>
      </c>
      <c r="BF194" s="214">
        <f>BF187+BF193</f>
        <v>137.21</v>
      </c>
      <c r="BG194" s="214">
        <f>BG187+BG193</f>
        <v>674.534</v>
      </c>
      <c r="BH194" s="214">
        <f>BH187+BH193</f>
        <v>130.38</v>
      </c>
      <c r="BI194" s="214">
        <f>BI187+BI193</f>
        <v>197.809</v>
      </c>
      <c r="BJ194" s="214">
        <f>BJ187+BJ193</f>
        <v>162.047</v>
      </c>
      <c r="BK194" s="214">
        <f>BK187+BK193</f>
        <v>156.573</v>
      </c>
      <c r="BL194" s="214">
        <f>BL187+BL193</f>
        <v>646.809</v>
      </c>
      <c r="BM194" s="214">
        <f>BM187+BM193</f>
        <v>135.03</v>
      </c>
      <c r="BN194" s="214">
        <f>BN187+BN193</f>
        <v>227.312</v>
      </c>
      <c r="BO194" s="214">
        <f>BO187+BO193</f>
        <v>201.751</v>
      </c>
      <c r="BP194" s="214">
        <f>BP187+BP193</f>
        <v>151.919</v>
      </c>
      <c r="BQ194" s="214">
        <f>BQ187+BQ193</f>
        <v>716.012</v>
      </c>
      <c r="BR194" s="214">
        <f>BR187+BR193</f>
        <v>122.874</v>
      </c>
      <c r="BS194" s="214">
        <f>BS187+BS193</f>
        <v>219.952</v>
      </c>
      <c r="BT194" s="214">
        <f>BT187+BT193</f>
        <v>205.43</v>
      </c>
      <c r="BU194" s="214">
        <f>BU187+BU193</f>
        <v>175.677</v>
      </c>
      <c r="BV194" s="214">
        <f>BV187+BV193</f>
        <v>723.933</v>
      </c>
      <c r="BW194" s="214">
        <f>BW187+BW193</f>
        <v>132.055</v>
      </c>
      <c r="BX194" s="214">
        <f>BX187+BX193</f>
        <v>287.217</v>
      </c>
      <c r="BY194" s="176">
        <f>BY187+BY193</f>
        <v>277.497517604976</v>
      </c>
      <c r="BZ194" s="176">
        <f>BZ187+BZ193</f>
        <v>208.695413901873</v>
      </c>
      <c r="CA194" s="176">
        <f>CA187+CA193</f>
        <v>905.46493150685</v>
      </c>
      <c r="CB194" s="176">
        <f>CB187+CB193</f>
        <v>1001.91453933807</v>
      </c>
      <c r="CC194" s="176">
        <f>CC187+CC193</f>
        <v>1123.69459751081</v>
      </c>
      <c r="CD194" s="176">
        <f>CD187+CD193</f>
        <v>1234.23903610154</v>
      </c>
      <c r="CE194" s="176">
        <f>CE187+CE193</f>
        <v>1338.19471647932</v>
      </c>
      <c r="CF194" s="177" t="n"/>
      <c r="CH194" s="21">
        <f>IFERROR((CE194/BV194)^(1/5)-1,"n/m")</f>
        <v>0.130743727648849</v>
      </c>
      <c r="CI194" s="21">
        <f>IFERROR((BV194/AW194)^(1/5)-1,"n/m")</f>
        <v>0.225042658556082</v>
      </c>
      <c r="CJ194" s="21">
        <f>IFERROR((BV194/X194)^(1/10)-1,"n/m")</f>
        <v>0.121507422802164</v>
      </c>
      <c r="CK194" s="21">
        <f>IFERROR((BV194/C194)^(1/19)-1,"n/m")</f>
        <v>0.119620846437335</v>
      </c>
    </row>
    <row r="195" ht="15" customHeight="1">
      <c r="B195" s="26" t="inlineStr">
        <is>
          <t xml:space="preserve">  Adjusted EBIT margin %</t>
        </is>
      </c>
      <c r="C195" s="190">
        <f>IF(AND(ISNUMBER(C194),ISNUMBER(C138)),IFERROR(C194/C138,""),"")</f>
        <v>0.101946351509805</v>
      </c>
      <c r="D195" s="190">
        <f>IF(AND(ISNUMBER(D194),ISNUMBER(D138)),IFERROR(D194/D138,""),"")</f>
        <v>0.101072216466702</v>
      </c>
      <c r="E195" s="190">
        <f>IF(AND(ISNUMBER(E194),ISNUMBER(E138)),IFERROR(E194/E138,""),"")</f>
        <v>0.115209568521984</v>
      </c>
      <c r="F195" s="190">
        <f>IF(AND(ISNUMBER(F194),ISNUMBER(F138)),IFERROR(F194/F138,""),"")</f>
        <v>0.0862784159669342</v>
      </c>
      <c r="G195" s="190">
        <f>IF(AND(ISNUMBER(G194),ISNUMBER(G138)),IFERROR(G194/G138,""),"")</f>
        <v>0.128357989977149</v>
      </c>
      <c r="H195" s="190">
        <f>IF(AND(ISNUMBER(H194),ISNUMBER(H138)),IFERROR(H194/H138,""),"")</f>
        <v>0.114581359342303</v>
      </c>
      <c r="I195" s="190">
        <f>IF(AND(ISNUMBER(I194),ISNUMBER(I138)),IFERROR(I194/I138,""),"")</f>
        <v>0.0969515171570285</v>
      </c>
      <c r="J195" s="190">
        <f>IF(AND(ISNUMBER(J194),ISNUMBER(J138)),IFERROR(J194/J138,""),"")</f>
        <v>0.0594110394438175</v>
      </c>
      <c r="K195" s="190">
        <f>IF(AND(ISNUMBER(K194),ISNUMBER(K138)),IFERROR(K194/K138,""),"")</f>
        <v>0.065218098655709</v>
      </c>
      <c r="L195" s="190">
        <f>IF(AND(ISNUMBER(L194),ISNUMBER(L138)),IFERROR(L194/L138,""),"")</f>
        <v>0.084318511131802</v>
      </c>
      <c r="M195" s="190">
        <f>IF(AND(ISNUMBER(M194),ISNUMBER(M138)),IFERROR(M194/M138,""),"")</f>
        <v>0.0702614193284286</v>
      </c>
      <c r="N195" s="190">
        <f>IF(AND(ISNUMBER(N194),ISNUMBER(N138)),IFERROR(N194/N138,""),"")</f>
        <v>0.0699943242300671</v>
      </c>
      <c r="O195" s="190">
        <f>IF(AND(ISNUMBER(O194),ISNUMBER(O138)),IFERROR(O194/O138,""),"")</f>
        <v>0.0385393549057658</v>
      </c>
      <c r="P195" s="190">
        <f>IF(AND(ISNUMBER(P194),ISNUMBER(P138)),IFERROR(P194/P138,""),"")</f>
        <v>0.0812179666387103</v>
      </c>
      <c r="Q195" s="190">
        <f>IF(AND(ISNUMBER(Q194),ISNUMBER(Q138)),IFERROR(Q194/Q138,""),"")</f>
        <v>0.097840780302185</v>
      </c>
      <c r="R195" s="190">
        <f>IF(AND(ISNUMBER(R194),ISNUMBER(R138)),IFERROR(R194/R138,""),"")</f>
        <v>0.0712098117923278</v>
      </c>
      <c r="S195" s="190">
        <f>IF(AND(ISNUMBER(S194),ISNUMBER(S138)),IFERROR(S194/S138,""),"")</f>
        <v>0.0722699312918843</v>
      </c>
      <c r="T195" s="190">
        <f>IF(AND(ISNUMBER(T194),ISNUMBER(T138)),IFERROR(T194/T138,""),"")</f>
        <v>0.0135440457939193</v>
      </c>
      <c r="U195" s="190">
        <f>IF(AND(ISNUMBER(U194),ISNUMBER(U138)),IFERROR(U194/U138,""),"")</f>
        <v>0.101843781642933</v>
      </c>
      <c r="V195" s="190">
        <f>IF(AND(ISNUMBER(V194),ISNUMBER(V138)),IFERROR(V194/V138,""),"")</f>
        <v>0.108071048148239</v>
      </c>
      <c r="W195" s="190">
        <f>IF(AND(ISNUMBER(W194),ISNUMBER(W138)),IFERROR(W194/W138,""),"")</f>
        <v>0.0394870442777724</v>
      </c>
      <c r="X195" s="190">
        <f>IF(AND(ISNUMBER(X194),ISNUMBER(X138)),IFERROR(X194/X138,""),"")</f>
        <v>0.0702178260023932</v>
      </c>
      <c r="Y195" s="190">
        <f>IF(AND(ISNUMBER(Y194),ISNUMBER(Y138)),IFERROR(Y194/Y138,""),"")</f>
        <v>-0.00248709680969309</v>
      </c>
      <c r="Z195" s="190">
        <f>IF(AND(ISNUMBER(Z194),ISNUMBER(Z138)),IFERROR(Z194/Z138,""),"")</f>
        <v>0.053120385370819</v>
      </c>
      <c r="AA195" s="190">
        <f>IF(AND(ISNUMBER(AA194),ISNUMBER(AA138)),IFERROR(AA194/AA138,""),"")</f>
        <v>0.0730494023467485</v>
      </c>
      <c r="AB195" s="190">
        <f>IF(AND(ISNUMBER(AB194),ISNUMBER(AB138)),IFERROR(AB194/AB138,""),"")</f>
        <v>0.0355303252503566</v>
      </c>
      <c r="AC195" s="190">
        <f>IF(AND(ISNUMBER(AC194),ISNUMBER(AC138)),IFERROR(AC194/AC138,""),"")</f>
        <v>0.0411407267498202</v>
      </c>
      <c r="AD195" s="190">
        <f>IF(AND(ISNUMBER(AD194),ISNUMBER(AD138)),IFERROR(AD194/AD138,""),"")</f>
        <v>0.0112099584724962</v>
      </c>
      <c r="AE195" s="190">
        <f>IF(AND(ISNUMBER(AE194),ISNUMBER(AE138)),IFERROR(AE194/AE138,""),"")</f>
        <v>0.0653039102642444</v>
      </c>
      <c r="AF195" s="190">
        <f>IF(AND(ISNUMBER(AF194),ISNUMBER(AF138)),IFERROR(AF194/AF138,""),"")</f>
        <v>0.0661642715579628</v>
      </c>
      <c r="AG195" s="190">
        <f>IF(AND(ISNUMBER(AG194),ISNUMBER(AG138)),IFERROR(AG194/AG138,""),"")</f>
        <v>0.0405965723980235</v>
      </c>
      <c r="AH195" s="190">
        <f>IF(AND(ISNUMBER(AH194),ISNUMBER(AH138)),IFERROR(AH194/AH138,""),"")</f>
        <v>0.0465996689958296</v>
      </c>
      <c r="AI195" s="190">
        <f>IF(AND(ISNUMBER(AI194),ISNUMBER(AI138)),IFERROR(AI194/AI138,""),"")</f>
        <v>0.0178999650563234</v>
      </c>
      <c r="AJ195" s="190">
        <f>IF(AND(ISNUMBER(AJ194),ISNUMBER(AJ138)),IFERROR(AJ194/AJ138,""),"")</f>
        <v>0.0786690062887157</v>
      </c>
      <c r="AK195" s="190">
        <f>IF(AND(ISNUMBER(AK194),ISNUMBER(AK138)),IFERROR(AK194/AK138,""),"")</f>
        <v>0.0808782455961414</v>
      </c>
      <c r="AL195" s="190">
        <f>IF(AND(ISNUMBER(AL194),ISNUMBER(AL138)),IFERROR(AL194/AL138,""),"")</f>
        <v>0.0512267479527012</v>
      </c>
      <c r="AM195" s="190">
        <f>IF(AND(ISNUMBER(AM194),ISNUMBER(AM138)),IFERROR(AM194/AM138,""),"")</f>
        <v>0.0582916174666387</v>
      </c>
      <c r="AN195" s="190">
        <f>IF(AND(ISNUMBER(AN194),ISNUMBER(AN138)),IFERROR(AN194/AN138,""),"")</f>
        <v>0.033691964668773</v>
      </c>
      <c r="AO195" s="190">
        <f>IF(AND(ISNUMBER(AO194),ISNUMBER(AO138)),IFERROR(AO194/AO138,""),"")</f>
        <v>0.0870380048763753</v>
      </c>
      <c r="AP195" s="190">
        <f>IF(AND(ISNUMBER(AP194),ISNUMBER(AP138)),IFERROR(AP194/AP138,""),"")</f>
        <v>0.0929235993665804</v>
      </c>
      <c r="AQ195" s="190">
        <f>IF(AND(ISNUMBER(AQ194),ISNUMBER(AQ138)),IFERROR(AQ194/AQ138,""),"")</f>
        <v>0.0629376410009127</v>
      </c>
      <c r="AR195" s="190">
        <f>IF(AND(ISNUMBER(AR194),ISNUMBER(AR138)),IFERROR(AR194/AR138,""),"")</f>
        <v>0.0702164885308263</v>
      </c>
      <c r="AS195" s="190">
        <f>IF(AND(ISNUMBER(AS194),ISNUMBER(AS138)),IFERROR(AS194/AS138,""),"")</f>
        <v>0.0559737608073024</v>
      </c>
      <c r="AT195" s="190">
        <f>IF(AND(ISNUMBER(AT194),ISNUMBER(AT138)),IFERROR(AT194/AT138,""),"")</f>
        <v>0.0887126760563381</v>
      </c>
      <c r="AU195" s="190">
        <f>IF(AND(ISNUMBER(AU194),ISNUMBER(AU138)),IFERROR(AU194/AU138,""),"")</f>
        <v>0.111248691206964</v>
      </c>
      <c r="AV195" s="190">
        <f>IF(AND(ISNUMBER(AV194),ISNUMBER(AV138)),IFERROR(AV194/AV138,""),"")</f>
        <v>0.0811904193722605</v>
      </c>
      <c r="AW195" s="190">
        <f>IF(AND(ISNUMBER(AW194),ISNUMBER(AW138)),IFERROR(AW194/AW138,""),"")</f>
        <v>0.0834538501833754</v>
      </c>
      <c r="AX195" s="190">
        <f>IF(AND(ISNUMBER(AX194),ISNUMBER(AX138)),IFERROR(AX194/AX138,""),"")</f>
        <v>0.0708880056623293</v>
      </c>
      <c r="AY195" s="190">
        <f>IF(AND(ISNUMBER(AY194),ISNUMBER(AY138)),IFERROR(AY194/AY138,""),"")</f>
        <v>0.125401259420287</v>
      </c>
      <c r="AZ195" s="190">
        <f>IF(AND(ISNUMBER(AZ194),ISNUMBER(AZ138)),IFERROR(AZ194/AZ138,""),"")</f>
        <v>0.119427754054477</v>
      </c>
      <c r="BA195" s="190">
        <f>IF(AND(ISNUMBER(BA194),ISNUMBER(BA138)),IFERROR(BA194/BA138,""),"")</f>
        <v>0.08161907169483</v>
      </c>
      <c r="BB195" s="190">
        <f>IF(AND(ISNUMBER(BB194),ISNUMBER(BB138)),IFERROR(BB194/BB138,""),"")</f>
        <v>0.0994519606281956</v>
      </c>
      <c r="BC195" s="190">
        <f>IF(AND(ISNUMBER(BC194),ISNUMBER(BC138)),IFERROR(BC194/BC138,""),"")</f>
        <v>0.0820804561422416</v>
      </c>
      <c r="BD195" s="190">
        <f>IF(AND(ISNUMBER(BD194),ISNUMBER(BD138)),IFERROR(BD194/BD138,""),"")</f>
        <v>0.163090793268805</v>
      </c>
      <c r="BE195" s="190">
        <f>IF(AND(ISNUMBER(BE194),ISNUMBER(BE138)),IFERROR(BE194/BE138,""),"")</f>
        <v>0.161516588094955</v>
      </c>
      <c r="BF195" s="190">
        <f>IF(AND(ISNUMBER(BF194),ISNUMBER(BF138)),IFERROR(BF194/BF138,""),"")</f>
        <v>0.107354835075245</v>
      </c>
      <c r="BG195" s="190">
        <f>IF(AND(ISNUMBER(BG194),ISNUMBER(BG138)),IFERROR(BG194/BG138,""),"")</f>
        <v>0.130556525997246</v>
      </c>
      <c r="BH195" s="190">
        <f>IF(AND(ISNUMBER(BH194),ISNUMBER(BH138)),IFERROR(BH194/BH138,""),"")</f>
        <v>0.0997256359440624</v>
      </c>
      <c r="BI195" s="190">
        <f>IF(AND(ISNUMBER(BI194),ISNUMBER(BI138)),IFERROR(BI194/BI138,""),"")</f>
        <v>0.141504399456327</v>
      </c>
      <c r="BJ195" s="190">
        <f>IF(AND(ISNUMBER(BJ194),ISNUMBER(BJ138)),IFERROR(BJ194/BJ138,""),"")</f>
        <v>0.118655249777403</v>
      </c>
      <c r="BK195" s="190">
        <f>IF(AND(ISNUMBER(BK194),ISNUMBER(BK138)),IFERROR(BK194/BK138,""),"")</f>
        <v>0.117005400663145</v>
      </c>
      <c r="BL195" s="190">
        <f>IF(AND(ISNUMBER(BL194),ISNUMBER(BL138)),IFERROR(BL194/BL138,""),"")</f>
        <v>0.119576783939516</v>
      </c>
      <c r="BM195" s="190">
        <f>IF(AND(ISNUMBER(BM194),ISNUMBER(BM138)),IFERROR(BM194/BM138,""),"")</f>
        <v>0.0980827271109432</v>
      </c>
      <c r="BN195" s="190">
        <f>IF(AND(ISNUMBER(BN194),ISNUMBER(BN138)),IFERROR(BN194/BN138,""),"")</f>
        <v>0.146396096138451</v>
      </c>
      <c r="BO195" s="190">
        <f>IF(AND(ISNUMBER(BO194),ISNUMBER(BO138)),IFERROR(BO194/BO138,""),"")</f>
        <v>0.131913232580674</v>
      </c>
      <c r="BP195" s="190">
        <f>IF(AND(ISNUMBER(BP194),ISNUMBER(BP138)),IFERROR(BP194/BP138,""),"")</f>
        <v>0.106154218106708</v>
      </c>
      <c r="BQ195" s="190">
        <f>IF(AND(ISNUMBER(BQ194),ISNUMBER(BQ138)),IFERROR(BQ194/BQ138,""),"")</f>
        <v>0.121564997473664</v>
      </c>
      <c r="BR195" s="190">
        <f>IF(AND(ISNUMBER(BR194),ISNUMBER(BR138)),IFERROR(BR194/BR138,""),"")</f>
        <v>0.0858088620412724</v>
      </c>
      <c r="BS195" s="190">
        <f>IF(AND(ISNUMBER(BS194),ISNUMBER(BS138)),IFERROR(BS194/BS138,""),"")</f>
        <v>0.141917883878094</v>
      </c>
      <c r="BT195" s="190">
        <f>IF(AND(ISNUMBER(BT194),ISNUMBER(BT138)),IFERROR(BT194/BT138,""),"")</f>
        <v>0.132592199114847</v>
      </c>
      <c r="BU195" s="190">
        <f>IF(AND(ISNUMBER(BU194),ISNUMBER(BU138)),IFERROR(BU194/BU138,""),"")</f>
        <v>0.11714174072612</v>
      </c>
      <c r="BV195" s="190">
        <f>IF(AND(ISNUMBER(BV194),ISNUMBER(BV138)),IFERROR(BV194/BV138,""),"")</f>
        <v>0.120038561811569</v>
      </c>
      <c r="BW195" s="190">
        <f>IF(AND(ISNUMBER(BW194),ISNUMBER(BW138)),IFERROR(BW194/BW138,""),"")</f>
        <v>0.0904773226029899</v>
      </c>
      <c r="BX195" s="190">
        <f>IF(AND(ISNUMBER(BX194),ISNUMBER(BX138)),IFERROR(BX194/BX138,""),"")</f>
        <v>0.165542462413653</v>
      </c>
      <c r="BY195" s="179">
        <f>IF(AND(ISNUMBER(BY194),ISNUMBER(BY138)),IFERROR(BY194/BY138,""),"")</f>
        <v>0.16142808036081</v>
      </c>
      <c r="BZ195" s="179">
        <f>IF(AND(ISNUMBER(BZ194),ISNUMBER(BZ138)),IFERROR(BZ194/BZ138,""),"")</f>
        <v>0.12423849621872</v>
      </c>
      <c r="CA195" s="179">
        <f>IF(AND(ISNUMBER(CA194),ISNUMBER(CA138)),IFERROR(CA194/CA138,""),"")</f>
        <v>0.13732992080853</v>
      </c>
      <c r="CB195" s="179">
        <f>IF(AND(ISNUMBER(CB194),ISNUMBER(CB138)),IFERROR(CB194/CB138,""),"")</f>
        <v>0.137674702077911</v>
      </c>
      <c r="CC195" s="179">
        <f>IF(AND(ISNUMBER(CC194),ISNUMBER(CC138)),IFERROR(CC194/CC138,""),"")</f>
        <v>0.142663992634751</v>
      </c>
      <c r="CD195" s="179">
        <f>IF(AND(ISNUMBER(CD194),ISNUMBER(CD138)),IFERROR(CD194/CD138,""),"")</f>
        <v>0.145490963109754</v>
      </c>
      <c r="CE195" s="179">
        <f>IF(AND(ISNUMBER(CE194),ISNUMBER(CE138)),IFERROR(CE194/CE138,""),"")</f>
        <v>0.146894730872657</v>
      </c>
      <c r="CF195" s="20" t="n"/>
      <c r="CH195" s="39">
        <f>IFERROR(AVERAGE(CA195,CB195,CC195,CD195,CE195),"n/m")</f>
        <v>0.142010861900721</v>
      </c>
      <c r="CI195" s="39">
        <f>IFERROR(AVERAGE(BB195,BG195,BL195,BQ195,BV195),"n/m")</f>
        <v>0.118237765970038</v>
      </c>
      <c r="CJ195" s="39">
        <f>IFERROR(AVERAGE(AC195,AH195,AM195,AR195,AW195,BB195,BG195,BL195,BQ195,BV195),"n/m")</f>
        <v>0.089089118177668</v>
      </c>
      <c r="CK195" s="39">
        <f>IFERROR(AVERAGE(C195,D195,E195,F195,G195,H195,I195,N195,S195,X195,AC195,AH195,AM195,AR195,AW195,BB195,BG195,BL195,BQ195,BV195),"n/m")</f>
        <v>0.0923885341121466</v>
      </c>
    </row>
    <row r="196" hidden="1" outlineLevel="1" ht="15" customHeight="1">
      <c r="B196" s="26" t="inlineStr">
        <is>
          <t xml:space="preserve">  Memo: Adjusted EBITDA pro forma — ES&amp;H &amp; EnviroServe full year (2026E), for leverage &amp; valuation</t>
        </is>
      </c>
      <c r="C196" s="212">
        <f>C187</f>
        <v>119.935</v>
      </c>
      <c r="D196" s="212">
        <f>D187</f>
        <v>133.297</v>
      </c>
      <c r="E196" s="212">
        <f>E187</f>
        <v>163.219</v>
      </c>
      <c r="F196" s="212">
        <f>F187</f>
        <v>157.58</v>
      </c>
      <c r="G196" s="212">
        <f>G187</f>
        <v>314.692</v>
      </c>
      <c r="H196" s="212">
        <f>H187</f>
        <v>350.008</v>
      </c>
      <c r="I196" s="212">
        <f>I187</f>
        <v>373.767</v>
      </c>
      <c r="J196" s="212">
        <f>J187</f>
        <v>111.228</v>
      </c>
      <c r="K196" s="212">
        <f>K187</f>
        <v>123.59</v>
      </c>
      <c r="L196" s="212">
        <f>L187</f>
        <v>145.952</v>
      </c>
      <c r="M196" s="212">
        <f>M187</f>
        <v>129.335</v>
      </c>
      <c r="N196" s="212">
        <f>N187</f>
        <v>510.105</v>
      </c>
      <c r="O196" s="212">
        <f>O187</f>
        <v>101.986</v>
      </c>
      <c r="P196" s="212">
        <f>P187</f>
        <v>135.799</v>
      </c>
      <c r="Q196" s="212">
        <f>Q187</f>
        <v>153.357</v>
      </c>
      <c r="R196" s="212">
        <f>R187</f>
        <v>130.777</v>
      </c>
      <c r="S196" s="212">
        <f>S187</f>
        <v>521.919</v>
      </c>
      <c r="T196" s="212">
        <f>T187</f>
        <v>78.2770000000001</v>
      </c>
      <c r="U196" s="212">
        <f>U187</f>
        <v>163.122</v>
      </c>
      <c r="V196" s="212">
        <f>V187</f>
        <v>165.607</v>
      </c>
      <c r="W196" s="212">
        <f>W187</f>
        <v>97.1609999999999</v>
      </c>
      <c r="X196" s="212">
        <f>X187</f>
        <v>504.167</v>
      </c>
      <c r="Y196" s="212">
        <f>Y187</f>
        <v>67.32</v>
      </c>
      <c r="Z196" s="212">
        <f>Z187</f>
        <v>110.445</v>
      </c>
      <c r="AA196" s="212">
        <f>AA187</f>
        <v>126.651</v>
      </c>
      <c r="AB196" s="212">
        <f>AB187</f>
        <v>95.9380000000001</v>
      </c>
      <c r="AC196" s="212">
        <f>AC187</f>
        <v>400.354</v>
      </c>
      <c r="AD196" s="212">
        <f>AD187</f>
        <v>80.135</v>
      </c>
      <c r="AE196" s="212">
        <f>AE187</f>
        <v>120.691</v>
      </c>
      <c r="AF196" s="212">
        <f>AF187</f>
        <v>122.999</v>
      </c>
      <c r="AG196" s="212">
        <f>AG187</f>
        <v>101.832</v>
      </c>
      <c r="AH196" s="212">
        <f>AH187</f>
        <v>425.657</v>
      </c>
      <c r="AI196" s="212">
        <f>AI187</f>
        <v>88.2650000000001</v>
      </c>
      <c r="AJ196" s="212">
        <f>AJ187</f>
        <v>139.561</v>
      </c>
      <c r="AK196" s="212">
        <f>AK187</f>
        <v>141.277</v>
      </c>
      <c r="AL196" s="212">
        <f>AL187</f>
        <v>121.902</v>
      </c>
      <c r="AM196" s="212">
        <f>AM187</f>
        <v>491.005</v>
      </c>
      <c r="AN196" s="212">
        <f>AN187</f>
        <v>101.663</v>
      </c>
      <c r="AO196" s="212">
        <f>AO187</f>
        <v>149.825</v>
      </c>
      <c r="AP196" s="212">
        <f>AP187</f>
        <v>156.613</v>
      </c>
      <c r="AQ196" s="212">
        <f>AQ187</f>
        <v>132.216</v>
      </c>
      <c r="AR196" s="212">
        <f>AR187</f>
        <v>540.317</v>
      </c>
      <c r="AS196" s="212">
        <f>AS187</f>
        <v>122.59</v>
      </c>
      <c r="AT196" s="212">
        <f>AT187</f>
        <v>135.48</v>
      </c>
      <c r="AU196" s="212">
        <f>AU187</f>
        <v>161.171</v>
      </c>
      <c r="AV196" s="212">
        <f>AV187</f>
        <v>136.061</v>
      </c>
      <c r="AW196" s="212">
        <f>AW187</f>
        <v>555.302</v>
      </c>
      <c r="AX196" s="212">
        <f>AX187</f>
        <v>129.451</v>
      </c>
      <c r="AY196" s="212">
        <f>AY187</f>
        <v>187.771</v>
      </c>
      <c r="AZ196" s="212">
        <f>AZ187</f>
        <v>185.084</v>
      </c>
      <c r="BA196" s="212">
        <f>BA187</f>
        <v>174.3</v>
      </c>
      <c r="BB196" s="212">
        <f>BB187</f>
        <v>676.606</v>
      </c>
      <c r="BC196" s="212">
        <f>BC187</f>
        <v>180.259</v>
      </c>
      <c r="BD196" s="212">
        <f>BD187</f>
        <v>309.07</v>
      </c>
      <c r="BE196" s="212">
        <f>BE187</f>
        <v>308.555</v>
      </c>
      <c r="BF196" s="212">
        <f>BF187</f>
        <v>224.244</v>
      </c>
      <c r="BG196" s="212">
        <f>BG187</f>
        <v>1022.128</v>
      </c>
      <c r="BH196" s="212">
        <f>BH187</f>
        <v>215.138</v>
      </c>
      <c r="BI196" s="212">
        <f>BI187</f>
        <v>287.506</v>
      </c>
      <c r="BJ196" s="212">
        <f>BJ187</f>
        <v>255.017</v>
      </c>
      <c r="BK196" s="212">
        <f>BK187</f>
        <v>254.909</v>
      </c>
      <c r="BL196" s="212">
        <f>BL187</f>
        <v>1012.57</v>
      </c>
      <c r="BM196" s="212">
        <f>BM187</f>
        <v>230.095</v>
      </c>
      <c r="BN196" s="212">
        <f>BN187</f>
        <v>327.816</v>
      </c>
      <c r="BO196" s="212">
        <f>BO187</f>
        <v>301.814</v>
      </c>
      <c r="BP196" s="212">
        <f>BP187</f>
        <v>257.209</v>
      </c>
      <c r="BQ196" s="212">
        <f>BQ187</f>
        <v>1116.934</v>
      </c>
      <c r="BR196" s="212">
        <f>BR187</f>
        <v>234.854</v>
      </c>
      <c r="BS196" s="212">
        <f>BS187</f>
        <v>336.237</v>
      </c>
      <c r="BT196" s="212">
        <f>BT187</f>
        <v>320.159</v>
      </c>
      <c r="BU196" s="212">
        <f>BU187</f>
        <v>278.689</v>
      </c>
      <c r="BV196" s="212">
        <f>BV187</f>
        <v>1169.939</v>
      </c>
      <c r="BW196" s="212">
        <f>BW187</f>
        <v>247.854</v>
      </c>
      <c r="BX196" s="212">
        <f>BX187</f>
        <v>409.024</v>
      </c>
      <c r="BY196" s="186">
        <f>BY187</f>
        <v>399.826709385798</v>
      </c>
      <c r="BZ196" s="186">
        <f>BZ187</f>
        <v>337.835016641599</v>
      </c>
      <c r="CA196" s="186">
        <f>CA187+(CA60*CA64*(365-CA58)+CA61*CA65*(365-CA59))/365</f>
        <v>1437</v>
      </c>
      <c r="CB196" s="186">
        <f>CB187</f>
        <v>1550.19634223587</v>
      </c>
      <c r="CC196" s="186">
        <f>CC187</f>
        <v>1718.78088029056</v>
      </c>
      <c r="CD196" s="186">
        <f>CD187</f>
        <v>1876.85721465507</v>
      </c>
      <c r="CE196" s="186">
        <f>CE187</f>
        <v>2029.96444940969</v>
      </c>
      <c r="CF196" s="20" t="inlineStr">
        <is>
          <t>2026E adds ES&amp;H / EnviroServe pre-closing days at standalone margins (pro forma basis).</t>
        </is>
      </c>
    </row>
    <row r="197" hidden="1" outlineLevel="1" ht="15" customHeight="1"/>
    <row r="198" hidden="1" outlineLevel="1" ht="15" customHeight="1">
      <c r="B198" s="11" t="inlineStr">
        <is>
          <t>RECONCILIATION: GAAP NET INCOME / DILUTED EPS → ADJUSTED EPS</t>
        </is>
      </c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  <c r="AL198" s="11" t="n"/>
      <c r="AM198" s="11" t="n"/>
      <c r="AN198" s="11" t="n"/>
      <c r="AO198" s="11" t="n"/>
      <c r="AP198" s="11" t="n"/>
      <c r="AQ198" s="11" t="n"/>
      <c r="AR198" s="11" t="n"/>
      <c r="AS198" s="11" t="n"/>
      <c r="AT198" s="11" t="n"/>
      <c r="AU198" s="11" t="n"/>
      <c r="AV198" s="11" t="n"/>
      <c r="AW198" s="11" t="n"/>
      <c r="AX198" s="11" t="n"/>
      <c r="AY198" s="11" t="n"/>
      <c r="AZ198" s="11" t="n"/>
      <c r="BA198" s="11" t="n"/>
      <c r="BB198" s="11" t="n"/>
      <c r="BC198" s="11" t="n"/>
      <c r="BD198" s="11" t="n"/>
      <c r="BE198" s="11" t="n"/>
      <c r="BF198" s="11" t="n"/>
      <c r="BG198" s="11" t="n"/>
      <c r="BH198" s="11" t="n"/>
      <c r="BI198" s="11" t="n"/>
      <c r="BJ198" s="11" t="n"/>
      <c r="BK198" s="11" t="n"/>
      <c r="BL198" s="11" t="n"/>
      <c r="BM198" s="11" t="n"/>
      <c r="BN198" s="11" t="n"/>
      <c r="BO198" s="11" t="n"/>
      <c r="BP198" s="11" t="n"/>
      <c r="BQ198" s="11" t="n"/>
      <c r="BR198" s="11" t="n"/>
      <c r="BS198" s="11" t="n"/>
      <c r="BT198" s="11" t="n"/>
      <c r="BU198" s="11" t="n"/>
      <c r="BV198" s="11" t="n"/>
      <c r="BW198" s="11" t="n"/>
      <c r="BX198" s="11" t="n"/>
      <c r="BY198" s="11" t="n"/>
      <c r="BZ198" s="11" t="n"/>
      <c r="CA198" s="11" t="n"/>
      <c r="CB198" s="11" t="n"/>
      <c r="CC198" s="11" t="n"/>
      <c r="CD198" s="11" t="n"/>
      <c r="CE198" s="11" t="n"/>
      <c r="CF198" s="11" t="inlineStr">
        <is>
          <t>ADJUSTED EPS — published Q3/14–Q1/24 (goodwill impairments, debt extinguishment, gains/losses on business sales, tax valuation allowances / tax-law changes); model applies one definition to all periods</t>
        </is>
      </c>
    </row>
    <row r="199" hidden="1" outlineLevel="1" ht="15" customHeight="1">
      <c r="B199" s="17" t="inlineStr">
        <is>
          <t>Net income (GAAP)</t>
        </is>
      </c>
      <c r="C199" s="214">
        <f>C161</f>
        <v>46.3989999999999</v>
      </c>
      <c r="D199" s="214">
        <f>D161</f>
        <v>43.992</v>
      </c>
      <c r="E199" s="214">
        <f>E161</f>
        <v>57.4859999999999</v>
      </c>
      <c r="F199" s="214">
        <f>F161</f>
        <v>36.6860000000001</v>
      </c>
      <c r="G199" s="214">
        <f>G161</f>
        <v>130.515</v>
      </c>
      <c r="H199" s="214">
        <f>H161</f>
        <v>127.252</v>
      </c>
      <c r="I199" s="214">
        <f>I161</f>
        <v>129.674</v>
      </c>
      <c r="J199" s="214">
        <f>J161</f>
        <v>10.502</v>
      </c>
      <c r="K199" s="214">
        <f>K161</f>
        <v>22.902</v>
      </c>
      <c r="L199" s="214">
        <f>L161</f>
        <v>35.3609999999999</v>
      </c>
      <c r="M199" s="214">
        <f>M161</f>
        <v>26.801</v>
      </c>
      <c r="N199" s="214">
        <f>N161</f>
        <v>95.5660000000002</v>
      </c>
      <c r="O199" s="214">
        <f>O161</f>
        <v>8.95999999999998</v>
      </c>
      <c r="P199" s="214">
        <f>P161</f>
        <v>28.672</v>
      </c>
      <c r="Q199" s="214">
        <f>Q161</f>
        <v>-93.337</v>
      </c>
      <c r="R199" s="214">
        <f>R161</f>
        <v>27.377</v>
      </c>
      <c r="S199" s="214">
        <f>S161</f>
        <v>-28.328</v>
      </c>
      <c r="T199" s="214">
        <f>T161</f>
        <v>-7.08899999999992</v>
      </c>
      <c r="U199" s="214">
        <f>U161</f>
        <v>10.395</v>
      </c>
      <c r="V199" s="214">
        <f>V161</f>
        <v>40.228</v>
      </c>
      <c r="W199" s="214">
        <f>W161</f>
        <v>0.567999999999951</v>
      </c>
      <c r="X199" s="214">
        <f>X161</f>
        <v>44.1020000000002</v>
      </c>
      <c r="Y199" s="214">
        <f>Y161</f>
        <v>-20.871</v>
      </c>
      <c r="Z199" s="214">
        <f>Z161</f>
        <v>3.96599999999998</v>
      </c>
      <c r="AA199" s="214">
        <f>AA161</f>
        <v>-10.255</v>
      </c>
      <c r="AB199" s="214">
        <f>AB161</f>
        <v>-12.7129999999999</v>
      </c>
      <c r="AC199" s="214">
        <f>AC161</f>
        <v>-39.8729999999999</v>
      </c>
      <c r="AD199" s="214">
        <f>AD161</f>
        <v>-21.393</v>
      </c>
      <c r="AE199" s="214">
        <f>AE161</f>
        <v>25.88</v>
      </c>
      <c r="AF199" s="214">
        <f>AF161</f>
        <v>12.058</v>
      </c>
      <c r="AG199" s="214">
        <f>AG161</f>
        <v>84.194</v>
      </c>
      <c r="AH199" s="214">
        <f>AH161</f>
        <v>100.739</v>
      </c>
      <c r="AI199" s="214">
        <f>AI161</f>
        <v>-12.6309999999999</v>
      </c>
      <c r="AJ199" s="214">
        <f>AJ161</f>
        <v>30.747</v>
      </c>
      <c r="AK199" s="214">
        <f>AK161</f>
        <v>31.0890000000001</v>
      </c>
      <c r="AL199" s="214">
        <f>AL161</f>
        <v>16.431</v>
      </c>
      <c r="AM199" s="214">
        <f>AM161</f>
        <v>65.636</v>
      </c>
      <c r="AN199" s="214">
        <f>AN161</f>
        <v>0.976000000000024</v>
      </c>
      <c r="AO199" s="214">
        <f>AO161</f>
        <v>36.244</v>
      </c>
      <c r="AP199" s="214">
        <f>AP161</f>
        <v>36.369</v>
      </c>
      <c r="AQ199" s="214">
        <f>AQ161</f>
        <v>24.1509999999999</v>
      </c>
      <c r="AR199" s="214">
        <f>AR161</f>
        <v>97.7400000000002</v>
      </c>
      <c r="AS199" s="214">
        <f>AS161</f>
        <v>11.5719999999999</v>
      </c>
      <c r="AT199" s="214">
        <f>AT161</f>
        <v>29.023</v>
      </c>
      <c r="AU199" s="214">
        <f>AU161</f>
        <v>54.9100000000001</v>
      </c>
      <c r="AV199" s="214">
        <f>AV161</f>
        <v>39.3320000000001</v>
      </c>
      <c r="AW199" s="214">
        <f>AW161</f>
        <v>134.837</v>
      </c>
      <c r="AX199" s="214">
        <f>AX161</f>
        <v>21.7360000000001</v>
      </c>
      <c r="AY199" s="214">
        <f>AY161</f>
        <v>67.075</v>
      </c>
      <c r="AZ199" s="214">
        <f>AZ161</f>
        <v>65.4430000000001</v>
      </c>
      <c r="BA199" s="214">
        <f>BA161</f>
        <v>48.993</v>
      </c>
      <c r="BB199" s="214">
        <f>BB161</f>
        <v>203.247</v>
      </c>
      <c r="BC199" s="214">
        <f>BC161</f>
        <v>45.3139999999999</v>
      </c>
      <c r="BD199" s="214">
        <f>BD161</f>
        <v>148.157</v>
      </c>
      <c r="BE199" s="214">
        <f>BE161</f>
        <v>135.799</v>
      </c>
      <c r="BF199" s="214">
        <f>BF161</f>
        <v>82.474</v>
      </c>
      <c r="BG199" s="214">
        <f>BG161</f>
        <v>411.744</v>
      </c>
      <c r="BH199" s="214">
        <f>BH161</f>
        <v>72.4009999999999</v>
      </c>
      <c r="BI199" s="214">
        <f>BI161</f>
        <v>115.766</v>
      </c>
      <c r="BJ199" s="214">
        <f>BJ161</f>
        <v>91.3399999999999</v>
      </c>
      <c r="BK199" s="214">
        <f>BK161</f>
        <v>98.3490000000001</v>
      </c>
      <c r="BL199" s="214">
        <f>BL161</f>
        <v>377.856</v>
      </c>
      <c r="BM199" s="214">
        <f>BM161</f>
        <v>69.8319999999999</v>
      </c>
      <c r="BN199" s="214">
        <f>BN161</f>
        <v>133.28</v>
      </c>
      <c r="BO199" s="214">
        <f>BO161</f>
        <v>115.213</v>
      </c>
      <c r="BP199" s="214">
        <f>BP161</f>
        <v>83.974</v>
      </c>
      <c r="BQ199" s="214">
        <f>BQ161</f>
        <v>402.299</v>
      </c>
      <c r="BR199" s="214">
        <f>BR161</f>
        <v>58.68</v>
      </c>
      <c r="BS199" s="214">
        <f>BS161</f>
        <v>126.905</v>
      </c>
      <c r="BT199" s="214">
        <f>BT161</f>
        <v>118.799</v>
      </c>
      <c r="BU199" s="214">
        <f>BU161</f>
        <v>86.5899999999999</v>
      </c>
      <c r="BV199" s="214">
        <f>BV161</f>
        <v>390.974</v>
      </c>
      <c r="BW199" s="214">
        <f>BW161</f>
        <v>63.201</v>
      </c>
      <c r="BX199" s="214">
        <f>BX161</f>
        <v>170.464</v>
      </c>
      <c r="BY199" s="176">
        <f>BY161</f>
        <v>160.680626231782</v>
      </c>
      <c r="BZ199" s="176">
        <f>BZ161</f>
        <v>101.527524702579</v>
      </c>
      <c r="CA199" s="176">
        <f>CA161</f>
        <v>495.873150934361</v>
      </c>
      <c r="CB199" s="176">
        <f>CB161</f>
        <v>560.429766515353</v>
      </c>
      <c r="CC199" s="176">
        <f>CC161</f>
        <v>643.581923888068</v>
      </c>
      <c r="CD199" s="176">
        <f>CD161</f>
        <v>713.118833689035</v>
      </c>
      <c r="CE199" s="176">
        <f>CE161</f>
        <v>773.628677231593</v>
      </c>
      <c r="CF199" s="177" t="n"/>
    </row>
    <row r="200" hidden="1" outlineLevel="1" ht="15" customHeight="1">
      <c r="B200" s="26" t="inlineStr">
        <is>
          <t xml:space="preserve">  (+) Adjusting items, pre-tax (debt extinguishment, goodwill impairment, (gain) loss on sale of businesses)</t>
        </is>
      </c>
      <c r="C200" s="212">
        <f>-N(C149)-N(C150)+N(C146)</f>
        <v>8.529</v>
      </c>
      <c r="D200" s="212">
        <f>-N(D149)-N(D150)+N(D146)</f>
        <v>0</v>
      </c>
      <c r="E200" s="212">
        <f>-N(E149)-N(E150)+N(E146)</f>
        <v>5.473</v>
      </c>
      <c r="F200" s="212">
        <f>-N(F149)-N(F150)+N(F146)</f>
        <v>4.853</v>
      </c>
      <c r="G200" s="212">
        <f>-N(G149)-N(G150)+N(G146)</f>
        <v>2.294</v>
      </c>
      <c r="H200" s="212">
        <f>-N(H149)-N(H150)+N(H146)</f>
        <v>0</v>
      </c>
      <c r="I200" s="212">
        <f>-N(I149)-N(I150)+N(I146)</f>
        <v>26.385</v>
      </c>
      <c r="J200" s="212">
        <f>-N(J149)-N(J150)+N(J146)</f>
        <v>0</v>
      </c>
      <c r="K200" s="212">
        <f>-N(K149)-N(K150)+N(K146)</f>
        <v>0</v>
      </c>
      <c r="L200" s="212">
        <f>-N(L149)-N(L150)+N(L146)</f>
        <v>0</v>
      </c>
      <c r="M200" s="212">
        <f>-N(M149)-N(M150)+N(M146)</f>
        <v>0</v>
      </c>
      <c r="N200" s="212">
        <f>-N(N149)-N(N150)+N(N146)</f>
        <v>0</v>
      </c>
      <c r="O200" s="212">
        <f>-N(O149)-N(O150)+N(O146)</f>
        <v>0</v>
      </c>
      <c r="P200" s="212">
        <f>-N(P149)-N(P150)+N(P146)</f>
        <v>0</v>
      </c>
      <c r="Q200" s="212">
        <f>-N(Q149)-N(Q150)+N(Q146)</f>
        <v>123.414</v>
      </c>
      <c r="R200" s="212">
        <f>-N(R149)-N(R150)+N(R146)</f>
        <v>0</v>
      </c>
      <c r="S200" s="212">
        <f>-N(S149)-N(S150)+N(S146)</f>
        <v>123.414</v>
      </c>
      <c r="T200" s="212">
        <f>-N(T149)-N(T150)+N(T146)</f>
        <v>0</v>
      </c>
      <c r="U200" s="212">
        <f>-N(U149)-N(U150)+N(U146)</f>
        <v>31.992</v>
      </c>
      <c r="V200" s="212">
        <f>-N(V149)-N(V150)+N(V146)</f>
        <v>0</v>
      </c>
      <c r="W200" s="212">
        <f>-N(W149)-N(W150)+N(W146)</f>
        <v>0</v>
      </c>
      <c r="X200" s="212">
        <f>-N(X149)-N(X150)+N(X146)</f>
        <v>31.992</v>
      </c>
      <c r="Y200" s="212">
        <f>-N(Y149)-N(Y150)+N(Y146)</f>
        <v>0</v>
      </c>
      <c r="Z200" s="212">
        <f>-N(Z149)-N(Z150)+N(Z146)</f>
        <v>0</v>
      </c>
      <c r="AA200" s="212">
        <f>-N(AA149)-N(AA150)+N(AA146)</f>
        <v>17.582</v>
      </c>
      <c r="AB200" s="212">
        <f>-N(AB149)-N(AB150)+N(AB146)</f>
        <v>-0.453</v>
      </c>
      <c r="AC200" s="212">
        <f>-N(AC149)-N(AC150)+N(AC146)</f>
        <v>17.129</v>
      </c>
      <c r="AD200" s="212">
        <f>-N(AD149)-N(AD150)+N(AD146)</f>
        <v>0</v>
      </c>
      <c r="AE200" s="212">
        <f>-N(AE149)-N(AE150)+N(AE146)</f>
        <v>-25.677</v>
      </c>
      <c r="AF200" s="212">
        <f>-N(AF149)-N(AF150)+N(AF146)</f>
        <v>1.923</v>
      </c>
      <c r="AG200" s="212">
        <f>-N(AG149)-N(AG150)+N(AG146)</f>
        <v>0.913</v>
      </c>
      <c r="AH200" s="212">
        <f>-N(AH149)-N(AH150)+N(AH146)</f>
        <v>-22.841</v>
      </c>
      <c r="AI200" s="212">
        <f>-N(AI149)-N(AI150)+N(AI146)</f>
        <v>0</v>
      </c>
      <c r="AJ200" s="212">
        <f>-N(AJ149)-N(AJ150)+N(AJ146)</f>
        <v>0</v>
      </c>
      <c r="AK200" s="212">
        <f>-N(AK149)-N(AK150)+N(AK146)</f>
        <v>2.469</v>
      </c>
      <c r="AL200" s="212">
        <f>-N(AL149)-N(AL150)+N(AL146)</f>
        <v>0.019</v>
      </c>
      <c r="AM200" s="212">
        <f>-N(AM149)-N(AM150)+N(AM146)</f>
        <v>2.488</v>
      </c>
      <c r="AN200" s="212">
        <f>-N(AN149)-N(AN150)+N(AN146)</f>
        <v>0</v>
      </c>
      <c r="AO200" s="212">
        <f>-N(AO149)-N(AO150)+N(AO146)</f>
        <v>0</v>
      </c>
      <c r="AP200" s="212">
        <f>-N(AP149)-N(AP150)+N(AP146)</f>
        <v>6.119</v>
      </c>
      <c r="AQ200" s="212">
        <f>-N(AQ149)-N(AQ150)+N(AQ146)</f>
        <v>-0.675</v>
      </c>
      <c r="AR200" s="212">
        <f>-N(AR149)-N(AR150)+N(AR146)</f>
        <v>5.444</v>
      </c>
      <c r="AS200" s="212">
        <f>-N(AS149)-N(AS150)+N(AS146)</f>
        <v>3.074</v>
      </c>
      <c r="AT200" s="212">
        <f>-N(AT149)-N(AT150)+N(AT146)</f>
        <v>0.184</v>
      </c>
      <c r="AU200" s="212">
        <f>-N(AU149)-N(AU150)+N(AU146)</f>
        <v>0.118</v>
      </c>
      <c r="AV200" s="212">
        <f>-N(AV149)-N(AV150)+N(AV146)</f>
        <v>0</v>
      </c>
      <c r="AW200" s="212">
        <f>-N(AW149)-N(AW150)+N(AW146)</f>
        <v>3.376</v>
      </c>
      <c r="AX200" s="212">
        <f>-N(AX149)-N(AX150)+N(AX146)</f>
        <v>0</v>
      </c>
      <c r="AY200" s="212">
        <f>-N(AY149)-N(AY150)+N(AY146)</f>
        <v>0</v>
      </c>
      <c r="AZ200" s="212">
        <f>-N(AZ149)-N(AZ150)+N(AZ146)</f>
        <v>0</v>
      </c>
      <c r="BA200" s="212">
        <f>-N(BA149)-N(BA150)+N(BA146)</f>
        <v>0</v>
      </c>
      <c r="BB200" s="212">
        <f>-N(BB149)-N(BB150)+N(BB146)</f>
        <v>0</v>
      </c>
      <c r="BC200" s="212">
        <f>-N(BC149)-N(BC150)+N(BC146)</f>
        <v>0</v>
      </c>
      <c r="BD200" s="212">
        <f>-N(BD149)-N(BD150)+N(BD146)</f>
        <v>-8.864</v>
      </c>
      <c r="BE200" s="212">
        <f>-N(BE149)-N(BE150)+N(BE146)</f>
        <v>0</v>
      </c>
      <c r="BF200" s="212">
        <f>-N(BF149)-N(BF150)+N(BF146)</f>
        <v>0.422</v>
      </c>
      <c r="BG200" s="212">
        <f>-N(BG149)-N(BG150)+N(BG146)</f>
        <v>-8.442</v>
      </c>
      <c r="BH200" s="212">
        <f>-N(BH149)-N(BH150)+N(BH146)</f>
        <v>2.362</v>
      </c>
      <c r="BI200" s="212">
        <f>-N(BI149)-N(BI150)+N(BI146)</f>
        <v>0</v>
      </c>
      <c r="BJ200" s="212">
        <f>-N(BJ149)-N(BJ150)+N(BJ146)</f>
        <v>0</v>
      </c>
      <c r="BK200" s="212">
        <f>-N(BK149)-N(BK150)+N(BK146)</f>
        <v>0.518</v>
      </c>
      <c r="BL200" s="212">
        <f>-N(BL149)-N(BL150)+N(BL146)</f>
        <v>2.88</v>
      </c>
      <c r="BM200" s="212">
        <f>-N(BM149)-N(BM150)+N(BM146)</f>
        <v>0</v>
      </c>
      <c r="BN200" s="212">
        <f>-N(BN149)-N(BN150)+N(BN146)</f>
        <v>0</v>
      </c>
      <c r="BO200" s="212">
        <f>-N(BO149)-N(BO150)+N(BO146)</f>
        <v>0</v>
      </c>
      <c r="BP200" s="212">
        <f>-N(BP149)-N(BP150)+N(BP146)</f>
        <v>0.371</v>
      </c>
      <c r="BQ200" s="212">
        <f>-N(BQ149)-N(BQ150)+N(BQ146)</f>
        <v>0.371</v>
      </c>
      <c r="BR200" s="212">
        <f>-N(BR149)-N(BR150)+N(BR146)</f>
        <v>0</v>
      </c>
      <c r="BS200" s="212">
        <f>-N(BS149)-N(BS150)+N(BS146)</f>
        <v>0</v>
      </c>
      <c r="BT200" s="212">
        <f>-N(BT149)-N(BT150)+N(BT146)</f>
        <v>0</v>
      </c>
      <c r="BU200" s="212">
        <f>-N(BU149)-N(BU150)+N(BU146)</f>
        <v>7.501</v>
      </c>
      <c r="BV200" s="212">
        <f>-N(BV149)-N(BV150)+N(BV146)</f>
        <v>7.501</v>
      </c>
      <c r="BW200" s="212">
        <f>-N(BW149)-N(BW150)+N(BW146)</f>
        <v>0</v>
      </c>
      <c r="BX200" s="212">
        <f>-N(BX149)-N(BX150)+N(BX146)</f>
        <v>0</v>
      </c>
      <c r="BY200" s="186">
        <f>-N(BY149)-N(BY150)+N(BY146)</f>
        <v>0</v>
      </c>
      <c r="BZ200" s="186">
        <f>-N(BZ149)-N(BZ150)+N(BZ146)</f>
        <v>0</v>
      </c>
      <c r="CA200" s="186">
        <f>-N(CA149)-N(CA150)+N(CA146)</f>
        <v>0</v>
      </c>
      <c r="CB200" s="186">
        <f>-N(CB149)-N(CB150)+N(CB146)</f>
        <v>0</v>
      </c>
      <c r="CC200" s="186">
        <f>-N(CC149)-N(CC150)+N(CC146)</f>
        <v>0</v>
      </c>
      <c r="CD200" s="186">
        <f>-N(CD149)-N(CD150)+N(CD146)</f>
        <v>0</v>
      </c>
      <c r="CE200" s="186">
        <f>-N(CE149)-N(CE150)+N(CE146)</f>
        <v>0</v>
      </c>
      <c r="CF200" s="20" t="n"/>
    </row>
    <row r="201" hidden="1" outlineLevel="1" ht="15" customHeight="1">
      <c r="B201" s="26" t="inlineStr">
        <is>
          <t xml:space="preserve">  Tax rate applied to adjustments</t>
        </is>
      </c>
      <c r="C201" s="190">
        <f>IFERROR(MIN(MAX(C154/(C153),0.15),0.4),0.25)</f>
        <v>0.15</v>
      </c>
      <c r="D201" s="190">
        <f>IFERROR(MIN(MAX(D154/(D153),0.15),0.4),0.25)</f>
        <v>0.388161355519256</v>
      </c>
      <c r="E201" s="190">
        <f>IFERROR(MIN(MAX(E154/(E153),0.15),0.4),0.25)</f>
        <v>0.388297136533408</v>
      </c>
      <c r="F201" s="190">
        <f>IFERROR(MIN(MAX(F154/(F153),0.15),0.4),0.25)</f>
        <v>0.4</v>
      </c>
      <c r="G201" s="190">
        <f>IFERROR(MIN(MAX(G154/(G153),0.15),0.4),0.25)</f>
        <v>0.30765894935412</v>
      </c>
      <c r="H201" s="190">
        <f>IFERROR(MIN(MAX(H154/(H153),0.15),0.4),0.25)</f>
        <v>0.310952035434649</v>
      </c>
      <c r="I201" s="190">
        <f>IFERROR(MIN(MAX(I154/(I153),0.15),0.4),0.25)</f>
        <v>0.15</v>
      </c>
      <c r="J201" s="190">
        <f>IFERROR(MIN(MAX(J154/(J153),0.15),0.4),0.25)</f>
        <v>0.321576227390181</v>
      </c>
      <c r="K201" s="190">
        <f>IFERROR(MIN(MAX(K154/(K153),0.15),0.4),0.25)</f>
        <v>0.351456970520771</v>
      </c>
      <c r="L201" s="190">
        <f>IFERROR(MIN(MAX(L154/(L153),0.15),0.4),0.25)</f>
        <v>0.34676346708047</v>
      </c>
      <c r="M201" s="190">
        <f>IFERROR(MIN(MAX(M154/(M153),0.15),0.4),0.25)</f>
        <v>0.31208932238193</v>
      </c>
      <c r="N201" s="190">
        <f>IFERROR(MIN(MAX(N154/(N153),0.15),0.4),0.25)</f>
        <v>0.335816798137401</v>
      </c>
      <c r="O201" s="190">
        <f>IFERROR(MIN(MAX(O154/(O153),0.15),0.4),0.25)</f>
        <v>0.383344803854096</v>
      </c>
      <c r="P201" s="190">
        <f>IFERROR(MIN(MAX(P154/(P153),0.15),0.4),0.25)</f>
        <v>0.39096818046646</v>
      </c>
      <c r="Q201" s="190">
        <f>IFERROR(MIN(MAX(Q154/(Q153),0.15),0.4),0.25)</f>
        <v>0.15</v>
      </c>
      <c r="R201" s="190">
        <f>IFERROR(MIN(MAX(R154/(R153),0.15),0.4),0.25)</f>
        <v>0.289702410294995</v>
      </c>
      <c r="S201" s="190">
        <f>IFERROR(MIN(MAX(S154/(S153),0.15),0.4),0.25)</f>
        <v>0.4</v>
      </c>
      <c r="T201" s="190">
        <f>IFERROR(MIN(MAX(T154/(T153),0.15),0.4),0.25)</f>
        <v>0.395497569710926</v>
      </c>
      <c r="U201" s="190">
        <f>IFERROR(MIN(MAX(U154/(U153),0.15),0.4),0.25)</f>
        <v>0.4</v>
      </c>
      <c r="V201" s="190">
        <f>IFERROR(MIN(MAX(V154/(V153),0.15),0.4),0.25)</f>
        <v>0.4</v>
      </c>
      <c r="W201" s="190">
        <f>IFERROR(MIN(MAX(W154/(W153),0.15),0.4),0.25)</f>
        <v>0.4</v>
      </c>
      <c r="X201" s="190">
        <f>IFERROR(MIN(MAX(X154/(X153),0.15),0.4),0.25)</f>
        <v>0.4</v>
      </c>
      <c r="Y201" s="190">
        <f>IFERROR(MIN(MAX(Y154/(Y153),0.15),0.4),0.25)</f>
        <v>0.15</v>
      </c>
      <c r="Z201" s="190">
        <f>IFERROR(MIN(MAX(Z154/(Z153),0.15),0.4),0.25)</f>
        <v>0.4</v>
      </c>
      <c r="AA201" s="190">
        <f>IFERROR(MIN(MAX(AA154/(AA153),0.15),0.4),0.25)</f>
        <v>0.4</v>
      </c>
      <c r="AB201" s="190">
        <f>IFERROR(MIN(MAX(AB154/(AB153),0.15),0.4),0.25)</f>
        <v>0.4</v>
      </c>
      <c r="AC201" s="190">
        <f>IFERROR(MIN(MAX(AC154/(AC153),0.15),0.4),0.25)</f>
        <v>0.4</v>
      </c>
      <c r="AD201" s="190">
        <f>IFERROR(MIN(MAX(AD154/(AD153),0.15),0.4),0.25)</f>
        <v>0.15</v>
      </c>
      <c r="AE201" s="190">
        <f>IFERROR(MIN(MAX(AE154/(AE153),0.15),0.4),0.25)</f>
        <v>0.4</v>
      </c>
      <c r="AF201" s="190">
        <f>IFERROR(MIN(MAX(AF154/(AF153),0.15),0.4),0.25)</f>
        <v>0.4</v>
      </c>
      <c r="AG201" s="190">
        <f>IFERROR(MIN(MAX(AG154/(AG153),0.15),0.4),0.25)</f>
        <v>0.15</v>
      </c>
      <c r="AH201" s="190">
        <f>IFERROR(MIN(MAX(AH154/(AH153),0.15),0.4),0.25)</f>
        <v>0.15</v>
      </c>
      <c r="AI201" s="190">
        <f>IFERROR(MIN(MAX(AI154/(AI153),0.15),0.4),0.25)</f>
        <v>0.15</v>
      </c>
      <c r="AJ201" s="190">
        <f>IFERROR(MIN(MAX(AJ154/(AJ153),0.15),0.4),0.25)</f>
        <v>0.307967589466576</v>
      </c>
      <c r="AK201" s="190">
        <f>IFERROR(MIN(MAX(AK154/(AK153),0.15),0.4),0.25)</f>
        <v>0.266145784156358</v>
      </c>
      <c r="AL201" s="190">
        <f>IFERROR(MIN(MAX(AL154/(AL153),0.15),0.4),0.25)</f>
        <v>0.15</v>
      </c>
      <c r="AM201" s="190">
        <f>IFERROR(MIN(MAX(AM154/(AM153),0.15),0.4),0.25)</f>
        <v>0.305306830930759</v>
      </c>
      <c r="AN201" s="190">
        <f>IFERROR(MIN(MAX(AN154/(AN153),0.15),0.4),0.25)</f>
        <v>0.4</v>
      </c>
      <c r="AO201" s="190">
        <f>IFERROR(MIN(MAX(AO154/(AO153),0.15),0.4),0.25)</f>
        <v>0.30658707838298</v>
      </c>
      <c r="AP201" s="190">
        <f>IFERROR(MIN(MAX(AP154/(AP153),0.15),0.4),0.25)</f>
        <v>0.32798093091151</v>
      </c>
      <c r="AQ201" s="190">
        <f>IFERROR(MIN(MAX(AQ154/(AQ153),0.15),0.4),0.25)</f>
        <v>0.307954610579403</v>
      </c>
      <c r="AR201" s="190">
        <f>IFERROR(MIN(MAX(AR154/(AR153),0.15),0.4),0.25)</f>
        <v>0.34065934065934</v>
      </c>
      <c r="AS201" s="190">
        <f>IFERROR(MIN(MAX(AS154/(AS153),0.15),0.4),0.25)</f>
        <v>0.4</v>
      </c>
      <c r="AT201" s="190">
        <f>IFERROR(MIN(MAX(AT154/(AT153),0.15),0.4),0.25)</f>
        <v>0.290078763269899</v>
      </c>
      <c r="AU201" s="190">
        <f>IFERROR(MIN(MAX(AU154/(AU153),0.15),0.4),0.25)</f>
        <v>0.199819299932966</v>
      </c>
      <c r="AV201" s="190">
        <f>IFERROR(MIN(MAX(AV154/(AV153),0.15),0.4),0.25)</f>
        <v>0.15</v>
      </c>
      <c r="AW201" s="190">
        <f>IFERROR(MIN(MAX(AW154/(AW153),0.15),0.4),0.25)</f>
        <v>0.227516470925236</v>
      </c>
      <c r="AX201" s="190">
        <f>IFERROR(MIN(MAX(AX154/(AX153),0.15),0.4),0.25)</f>
        <v>0.31451638336119</v>
      </c>
      <c r="AY201" s="190">
        <f>IFERROR(MIN(MAX(AY154/(AY153),0.15),0.4),0.25)</f>
        <v>0.258594009063778</v>
      </c>
      <c r="AZ201" s="190">
        <f>IFERROR(MIN(MAX(AZ154/(AZ153),0.15),0.4),0.25)</f>
        <v>0.248196397389946</v>
      </c>
      <c r="BA201" s="190">
        <f>IFERROR(MIN(MAX(BA154/(BA153),0.15),0.4),0.25)</f>
        <v>0.190037693426795</v>
      </c>
      <c r="BB201" s="190">
        <f>IFERROR(MIN(MAX(BB154/(BB153),0.15),0.4),0.25)</f>
        <v>0.246437906679273</v>
      </c>
      <c r="BC201" s="190">
        <f>IFERROR(MIN(MAX(BC154/(BC153),0.15),0.4),0.25)</f>
        <v>0.278209620898376</v>
      </c>
      <c r="BD201" s="190">
        <f>IFERROR(MIN(MAX(BD154/(BD153),0.15),0.4),0.25)</f>
        <v>0.240388017001379</v>
      </c>
      <c r="BE201" s="190">
        <f>IFERROR(MIN(MAX(BE154/(BE153),0.15),0.4),0.25)</f>
        <v>0.250184970459942</v>
      </c>
      <c r="BF201" s="190">
        <f>IFERROR(MIN(MAX(BF154/(BF153),0.15),0.4),0.25)</f>
        <v>0.167475899661838</v>
      </c>
      <c r="BG201" s="190">
        <f>IFERROR(MIN(MAX(BG154/(BG153),0.15),0.4),0.25)</f>
        <v>0.234673734846598</v>
      </c>
      <c r="BH201" s="190">
        <f>IFERROR(MIN(MAX(BH154/(BH153),0.15),0.4),0.25)</f>
        <v>0.261794304475056</v>
      </c>
      <c r="BI201" s="190">
        <f>IFERROR(MIN(MAX(BI154/(BI153),0.15),0.4),0.25)</f>
        <v>0.269467652775323</v>
      </c>
      <c r="BJ201" s="190">
        <f>IFERROR(MIN(MAX(BJ154/(BJ153),0.15),0.4),0.25)</f>
        <v>0.269315072876502</v>
      </c>
      <c r="BK201" s="190">
        <f>IFERROR(MIN(MAX(BK154/(BK153),0.15),0.4),0.25)</f>
        <v>0.192059345425867</v>
      </c>
      <c r="BL201" s="190">
        <f>IFERROR(MIN(MAX(BL154/(BL153),0.15),0.4),0.25)</f>
        <v>0.249211669868999</v>
      </c>
      <c r="BM201" s="190">
        <f>IFERROR(MIN(MAX(BM154/(BM153),0.15),0.4),0.25)</f>
        <v>0.271026671538181</v>
      </c>
      <c r="BN201" s="190">
        <f>IFERROR(MIN(MAX(BN154/(BN153),0.15),0.4),0.25)</f>
        <v>0.254907003136233</v>
      </c>
      <c r="BO201" s="190">
        <f>IFERROR(MIN(MAX(BO154/(BO153),0.15),0.4),0.25)</f>
        <v>0.258574977154845</v>
      </c>
      <c r="BP201" s="190">
        <f>IFERROR(MIN(MAX(BP154/(BP153),0.15),0.4),0.25)</f>
        <v>0.187691652882169</v>
      </c>
      <c r="BQ201" s="190">
        <f>IFERROR(MIN(MAX(BQ154/(BQ153),0.15),0.4),0.25)</f>
        <v>0.245844448235332</v>
      </c>
      <c r="BR201" s="190">
        <f>IFERROR(MIN(MAX(BR154/(BR153),0.15),0.4),0.25)</f>
        <v>0.21351025331725</v>
      </c>
      <c r="BS201" s="190">
        <f>IFERROR(MIN(MAX(BS154/(BS153),0.15),0.4),0.25)</f>
        <v>0.264698213675263</v>
      </c>
      <c r="BT201" s="190">
        <f>IFERROR(MIN(MAX(BT154/(BT153),0.15),0.4),0.25)</f>
        <v>0.261319687115268</v>
      </c>
      <c r="BU201" s="190">
        <f>IFERROR(MIN(MAX(BU154/(BU153),0.15),0.4),0.25)</f>
        <v>0.27806773273749</v>
      </c>
      <c r="BV201" s="190">
        <f>IFERROR(MIN(MAX(BV154/(BV153),0.15),0.4),0.25)</f>
        <v>0.259472656434967</v>
      </c>
      <c r="BW201" s="190">
        <f>IFERROR(MIN(MAX(BW154/(BW153),0.15),0.4),0.25)</f>
        <v>0.250729104919976</v>
      </c>
      <c r="BX201" s="190">
        <f>IFERROR(MIN(MAX(BX154/(BX153),0.15),0.4),0.25)</f>
        <v>0.265618066595151</v>
      </c>
      <c r="BY201" s="179">
        <f>0.25</f>
        <v>0.25</v>
      </c>
      <c r="BZ201" s="179">
        <f>0.25</f>
        <v>0.25</v>
      </c>
      <c r="CA201" s="179">
        <f>IFERROR(-CA202/CA200,0.25)</f>
        <v>0.25</v>
      </c>
      <c r="CB201" s="179">
        <f>0.25</f>
        <v>0.25</v>
      </c>
      <c r="CC201" s="179">
        <f>0.25</f>
        <v>0.25</v>
      </c>
      <c r="CD201" s="179">
        <f>0.25</f>
        <v>0.25</v>
      </c>
      <c r="CE201" s="179">
        <f>0.25</f>
        <v>0.25</v>
      </c>
      <c r="CF201" s="20" t="inlineStr">
        <is>
          <t>Historical: period ETR bounded 15–40%. Forecast: 25% input.</t>
        </is>
      </c>
    </row>
    <row r="202" hidden="1" outlineLevel="1" ht="15" customHeight="1">
      <c r="B202" s="26" t="inlineStr">
        <is>
          <t xml:space="preserve">  (−) Income tax effect of adjusting items</t>
        </is>
      </c>
      <c r="C202" s="212">
        <f>-C200*C201</f>
        <v>-1.27935</v>
      </c>
      <c r="D202" s="212">
        <f>-D200*D201</f>
        <v>0</v>
      </c>
      <c r="E202" s="212">
        <f>-E200*E201</f>
        <v>-2.12515022824734</v>
      </c>
      <c r="F202" s="212">
        <f>-F200*F201</f>
        <v>-1.9412</v>
      </c>
      <c r="G202" s="212">
        <f>-G200*G201</f>
        <v>-0.705769629818352</v>
      </c>
      <c r="H202" s="212">
        <f>-H200*H201</f>
        <v>0</v>
      </c>
      <c r="I202" s="212">
        <f>-I200*I201</f>
        <v>-3.95775</v>
      </c>
      <c r="J202" s="212">
        <f>-J200*J201</f>
        <v>0</v>
      </c>
      <c r="K202" s="212">
        <f>-K200*K201</f>
        <v>0</v>
      </c>
      <c r="L202" s="212">
        <f>-L200*L201</f>
        <v>0</v>
      </c>
      <c r="M202" s="212">
        <f>-M200*M201</f>
        <v>0</v>
      </c>
      <c r="N202" s="212">
        <f>-N200*N201</f>
        <v>0</v>
      </c>
      <c r="O202" s="212">
        <f>-O200*O201</f>
        <v>0</v>
      </c>
      <c r="P202" s="212">
        <f>-P200*P201</f>
        <v>0</v>
      </c>
      <c r="Q202" s="212">
        <f>-Q200*Q201</f>
        <v>-18.5121</v>
      </c>
      <c r="R202" s="212">
        <f>-R200*R201</f>
        <v>0</v>
      </c>
      <c r="S202" s="212">
        <f>-S200*S201</f>
        <v>-49.3656</v>
      </c>
      <c r="T202" s="212">
        <f>-T200*T201</f>
        <v>0</v>
      </c>
      <c r="U202" s="212">
        <f>-U200*U201</f>
        <v>-12.7968</v>
      </c>
      <c r="V202" s="212">
        <f>-V200*V201</f>
        <v>0</v>
      </c>
      <c r="W202" s="212">
        <f>-W200*W201</f>
        <v>0</v>
      </c>
      <c r="X202" s="212">
        <f>-X200*X201</f>
        <v>-12.7968</v>
      </c>
      <c r="Y202" s="212">
        <f>-Y200*Y201</f>
        <v>0</v>
      </c>
      <c r="Z202" s="212">
        <f>-Z200*Z201</f>
        <v>0</v>
      </c>
      <c r="AA202" s="212">
        <f>-AA200*AA201</f>
        <v>-7.0328</v>
      </c>
      <c r="AB202" s="212">
        <f>-AB200*AB201</f>
        <v>0.1812</v>
      </c>
      <c r="AC202" s="212">
        <f>-AC200*AC201</f>
        <v>-6.8516</v>
      </c>
      <c r="AD202" s="212">
        <f>-AD200*AD201</f>
        <v>0</v>
      </c>
      <c r="AE202" s="212">
        <f>-AE200*AE201</f>
        <v>10.2708</v>
      </c>
      <c r="AF202" s="212">
        <f>-AF200*AF201</f>
        <v>-0.7692</v>
      </c>
      <c r="AG202" s="212">
        <f>-AG200*AG201</f>
        <v>-0.13695</v>
      </c>
      <c r="AH202" s="212">
        <f>-AH200*AH201</f>
        <v>3.42615</v>
      </c>
      <c r="AI202" s="212">
        <f>-AI200*AI201</f>
        <v>0</v>
      </c>
      <c r="AJ202" s="212">
        <f>-AJ200*AJ201</f>
        <v>0</v>
      </c>
      <c r="AK202" s="212">
        <f>-AK200*AK201</f>
        <v>-0.657113941082049</v>
      </c>
      <c r="AL202" s="212">
        <f>-AL200*AL201</f>
        <v>-0.00285</v>
      </c>
      <c r="AM202" s="212">
        <f>-AM200*AM201</f>
        <v>-0.759603395355729</v>
      </c>
      <c r="AN202" s="212">
        <f>-AN200*AN201</f>
        <v>0</v>
      </c>
      <c r="AO202" s="212">
        <f>-AO200*AO201</f>
        <v>0</v>
      </c>
      <c r="AP202" s="212">
        <f>-AP200*AP201</f>
        <v>-2.00691531624753</v>
      </c>
      <c r="AQ202" s="212">
        <f>-AQ200*AQ201</f>
        <v>0.207869362141097</v>
      </c>
      <c r="AR202" s="212">
        <f>-AR200*AR201</f>
        <v>-1.85454945054945</v>
      </c>
      <c r="AS202" s="212">
        <f>-AS200*AS201</f>
        <v>-1.2296</v>
      </c>
      <c r="AT202" s="212">
        <f>-AT200*AT201</f>
        <v>-0.0533744924416613</v>
      </c>
      <c r="AU202" s="212">
        <f>-AU200*AU201</f>
        <v>-0.02357867739209</v>
      </c>
      <c r="AV202" s="212">
        <f>-AV200*AV201</f>
        <v>0</v>
      </c>
      <c r="AW202" s="212">
        <f>-AW200*AW201</f>
        <v>-0.768095605843598</v>
      </c>
      <c r="AX202" s="212">
        <f>-AX200*AX201</f>
        <v>0</v>
      </c>
      <c r="AY202" s="212">
        <f>-AY200*AY201</f>
        <v>0</v>
      </c>
      <c r="AZ202" s="212">
        <f>-AZ200*AZ201</f>
        <v>0</v>
      </c>
      <c r="BA202" s="212">
        <f>-BA200*BA201</f>
        <v>0</v>
      </c>
      <c r="BB202" s="212">
        <f>-BB200*BB201</f>
        <v>0</v>
      </c>
      <c r="BC202" s="212">
        <f>-BC200*BC201</f>
        <v>0</v>
      </c>
      <c r="BD202" s="212">
        <f>-BD200*BD201</f>
        <v>2.13079938270023</v>
      </c>
      <c r="BE202" s="212">
        <f>-BE200*BE201</f>
        <v>0</v>
      </c>
      <c r="BF202" s="212">
        <f>-BF200*BF201</f>
        <v>-0.0706748296572957</v>
      </c>
      <c r="BG202" s="212">
        <f>-BG200*BG201</f>
        <v>1.98111566957498</v>
      </c>
      <c r="BH202" s="212">
        <f>-BH200*BH201</f>
        <v>-0.618358147170081</v>
      </c>
      <c r="BI202" s="212">
        <f>-BI200*BI201</f>
        <v>0</v>
      </c>
      <c r="BJ202" s="212">
        <f>-BJ200*BJ201</f>
        <v>0</v>
      </c>
      <c r="BK202" s="212">
        <f>-BK200*BK201</f>
        <v>-0.0994867409305993</v>
      </c>
      <c r="BL202" s="212">
        <f>-BL200*BL201</f>
        <v>-0.717729609222717</v>
      </c>
      <c r="BM202" s="212">
        <f>-BM200*BM201</f>
        <v>0</v>
      </c>
      <c r="BN202" s="212">
        <f>-BN200*BN201</f>
        <v>0</v>
      </c>
      <c r="BO202" s="212">
        <f>-BO200*BO201</f>
        <v>0</v>
      </c>
      <c r="BP202" s="212">
        <f>-BP200*BP201</f>
        <v>-0.0696336032192848</v>
      </c>
      <c r="BQ202" s="212">
        <f>-BQ200*BQ201</f>
        <v>-0.091208290295308</v>
      </c>
      <c r="BR202" s="212">
        <f>-BR200*BR201</f>
        <v>0</v>
      </c>
      <c r="BS202" s="212">
        <f>-BS200*BS201</f>
        <v>0</v>
      </c>
      <c r="BT202" s="212">
        <f>-BT200*BT201</f>
        <v>0</v>
      </c>
      <c r="BU202" s="212">
        <f>-BU200*BU201</f>
        <v>-2.08578606326391</v>
      </c>
      <c r="BV202" s="212">
        <f>-BV200*BV201</f>
        <v>-1.94630439591868</v>
      </c>
      <c r="BW202" s="212">
        <f>-BW200*BW201</f>
        <v>0</v>
      </c>
      <c r="BX202" s="212">
        <f>-BX200*BX201</f>
        <v>0</v>
      </c>
      <c r="BY202" s="186">
        <f>-BY200*BY201</f>
        <v>0</v>
      </c>
      <c r="BZ202" s="186">
        <f>-BZ200*BZ201</f>
        <v>0</v>
      </c>
      <c r="CA202" s="186">
        <f>SUM(BW202,BX202,BY202,BZ202)</f>
        <v>0</v>
      </c>
      <c r="CB202" s="186">
        <f>-CB200*CB201</f>
        <v>0</v>
      </c>
      <c r="CC202" s="186">
        <f>-CC200*CC201</f>
        <v>0</v>
      </c>
      <c r="CD202" s="186">
        <f>-CD200*CD201</f>
        <v>0</v>
      </c>
      <c r="CE202" s="186">
        <f>-CE200*CE201</f>
        <v>0</v>
      </c>
      <c r="CF202" s="20" t="n"/>
    </row>
    <row r="203" hidden="1" outlineLevel="1" ht="15" customHeight="1">
      <c r="B203" s="26" t="inlineStr">
        <is>
          <t xml:space="preserve">  (+/−) Other company items (tax valuation allowances, tax-law changes, non-deductible impairments) &amp; rounding (periods with published adjusted EPS)</t>
        </is>
      </c>
      <c r="C203" s="199" t="n"/>
      <c r="D203" s="199" t="n"/>
      <c r="E203" s="199" t="n"/>
      <c r="F203" s="199" t="n"/>
      <c r="G203" s="199" t="n"/>
      <c r="H203" s="199" t="n"/>
      <c r="I203" s="199" t="n"/>
      <c r="J203" s="199" t="n"/>
      <c r="K203" s="199" t="n"/>
      <c r="L203" s="199" t="n"/>
      <c r="M203" s="199" t="n"/>
      <c r="N203" s="199" t="n"/>
      <c r="O203" s="199" t="n"/>
      <c r="P203" s="199" t="n"/>
      <c r="Q203" s="200" t="n">
        <v>15.60115</v>
      </c>
      <c r="R203" s="199" t="n"/>
      <c r="S203" s="200" t="n">
        <v>46.55543</v>
      </c>
      <c r="T203" s="199" t="n"/>
      <c r="U203" s="200" t="n">
        <v>12.681</v>
      </c>
      <c r="V203" s="200" t="n">
        <v>-0.02308</v>
      </c>
      <c r="W203" s="199" t="n"/>
      <c r="X203" s="200" t="n">
        <v>10.91398</v>
      </c>
      <c r="Y203" s="199" t="n"/>
      <c r="Z203" s="200" t="n">
        <v>4.6857</v>
      </c>
      <c r="AA203" s="200" t="n">
        <v>8.90372</v>
      </c>
      <c r="AB203" s="199" t="n"/>
      <c r="AC203" s="199" t="n"/>
      <c r="AD203" s="199" t="n"/>
      <c r="AE203" s="200" t="n">
        <v>3.28684</v>
      </c>
      <c r="AF203" s="200" t="n">
        <v>-1.20085</v>
      </c>
      <c r="AG203" s="199" t="n"/>
      <c r="AH203" s="199" t="n"/>
      <c r="AI203" s="199" t="n"/>
      <c r="AJ203" s="200" t="n">
        <v>-0.2343</v>
      </c>
      <c r="AK203" s="200" t="n">
        <v>0.310804</v>
      </c>
      <c r="AL203" s="200" t="n">
        <v>-2.95747</v>
      </c>
      <c r="AM203" s="200" t="n">
        <v>3.624003</v>
      </c>
      <c r="AN203" s="200" t="n">
        <v>4.07138</v>
      </c>
      <c r="AO203" s="200" t="n">
        <v>0.75956</v>
      </c>
      <c r="AP203" s="200" t="n">
        <v>-0.042285</v>
      </c>
      <c r="AQ203" s="200" t="n">
        <v>-0.111789</v>
      </c>
      <c r="AR203" s="200" t="n">
        <v>4.754359</v>
      </c>
      <c r="AS203" s="200" t="n">
        <v>2.279</v>
      </c>
      <c r="AT203" s="200" t="n">
        <v>-0.164666</v>
      </c>
      <c r="AU203" s="200" t="n">
        <v>-4.840221</v>
      </c>
      <c r="AV203" s="200" t="n">
        <v>-4.51568</v>
      </c>
      <c r="AW203" s="200" t="n">
        <v>-8.244104</v>
      </c>
      <c r="AX203" s="200" t="n">
        <v>1.38206</v>
      </c>
      <c r="AY203" s="200" t="n">
        <v>-1.79874</v>
      </c>
      <c r="AZ203" s="200" t="n">
        <v>-3.07702</v>
      </c>
      <c r="BA203" s="200" t="n">
        <v>-0.34738</v>
      </c>
      <c r="BB203" s="200" t="n">
        <v>-3.91696</v>
      </c>
      <c r="BC203" s="200" t="n">
        <v>0.06376</v>
      </c>
      <c r="BD203" s="200" t="n">
        <v>-8.207119</v>
      </c>
      <c r="BE203" s="200" t="n">
        <v>-3.65317</v>
      </c>
      <c r="BF203" s="200" t="n">
        <v>-4.521005</v>
      </c>
      <c r="BG203" s="200" t="n">
        <v>-15.701066</v>
      </c>
      <c r="BH203" s="200" t="n">
        <v>-0.155202</v>
      </c>
      <c r="BI203" s="200" t="n">
        <v>0.20824</v>
      </c>
      <c r="BJ203" s="200" t="n">
        <v>0.08391999999999999</v>
      </c>
      <c r="BK203" s="200" t="n">
        <v>-0.016133</v>
      </c>
      <c r="BL203" s="200" t="n">
        <v>0.11191</v>
      </c>
      <c r="BM203" s="200" t="n">
        <v>0.10277</v>
      </c>
      <c r="BN203" s="199" t="n"/>
      <c r="BO203" s="199" t="n"/>
      <c r="BP203" s="199" t="n"/>
      <c r="BQ203" s="199" t="n"/>
      <c r="BR203" s="199" t="n"/>
      <c r="BS203" s="199" t="n"/>
      <c r="BT203" s="199" t="n"/>
      <c r="BU203" s="199" t="n"/>
      <c r="BV203" s="199" t="n"/>
      <c r="BW203" s="199" t="n"/>
      <c r="BX203" s="199" t="n"/>
      <c r="BY203" s="215" t="n">
        <v>0</v>
      </c>
      <c r="BZ203" s="215" t="n">
        <v>0</v>
      </c>
      <c r="CA203" s="216">
        <f>SUM(BW203,BX203,BY203,BZ203)</f>
        <v>0</v>
      </c>
      <c r="CB203" s="216">
        <f>0</f>
        <v>0</v>
      </c>
      <c r="CC203" s="216">
        <f>0</f>
        <v>0</v>
      </c>
      <c r="CD203" s="216">
        <f>0</f>
        <v>0</v>
      </c>
      <c r="CE203" s="216">
        <f>0</f>
        <v>0</v>
      </c>
      <c r="CF203" s="20" t="n"/>
    </row>
    <row r="204" hidden="1" outlineLevel="1" ht="15" customHeight="1">
      <c r="B204" s="17" t="inlineStr">
        <is>
          <t xml:space="preserve">  = Adjusted net income (model)</t>
        </is>
      </c>
      <c r="C204" s="214">
        <f>C199+C200+C202+N(C203)</f>
        <v>53.6486499999999</v>
      </c>
      <c r="D204" s="214">
        <f>D199+D200+D202+N(D203)</f>
        <v>43.992</v>
      </c>
      <c r="E204" s="214">
        <f>E199+E200+E202+N(E203)</f>
        <v>60.8338497717526</v>
      </c>
      <c r="F204" s="214">
        <f>F199+F200+F202+N(F203)</f>
        <v>39.5978000000001</v>
      </c>
      <c r="G204" s="214">
        <f>G199+G200+G202+N(G203)</f>
        <v>132.103230370182</v>
      </c>
      <c r="H204" s="214">
        <f>H199+H200+H202+N(H203)</f>
        <v>127.252</v>
      </c>
      <c r="I204" s="214">
        <f>I199+I200+I202+N(I203)</f>
        <v>152.10125</v>
      </c>
      <c r="J204" s="214">
        <f>J199+J200+J202+N(J203)</f>
        <v>10.502</v>
      </c>
      <c r="K204" s="214">
        <f>K199+K200+K202+N(K203)</f>
        <v>22.902</v>
      </c>
      <c r="L204" s="214">
        <f>L199+L200+L202+N(L203)</f>
        <v>35.3609999999999</v>
      </c>
      <c r="M204" s="214">
        <f>M199+M200+M202+N(M203)</f>
        <v>26.801</v>
      </c>
      <c r="N204" s="214">
        <f>N199+N200+N202+N(N203)</f>
        <v>95.5660000000002</v>
      </c>
      <c r="O204" s="214">
        <f>O199+O200+O202+N(O203)</f>
        <v>8.95999999999998</v>
      </c>
      <c r="P204" s="214">
        <f>P199+P200+P202+N(P203)</f>
        <v>28.672</v>
      </c>
      <c r="Q204" s="214">
        <f>Q199+Q200+Q202+N(Q203)</f>
        <v>27.16605</v>
      </c>
      <c r="R204" s="214">
        <f>R199+R200+R202+N(R203)</f>
        <v>27.377</v>
      </c>
      <c r="S204" s="214">
        <f>S199+S200+S202+N(S203)</f>
        <v>92.27583</v>
      </c>
      <c r="T204" s="214">
        <f>T199+T200+T202+N(T203)</f>
        <v>-7.08899999999992</v>
      </c>
      <c r="U204" s="214">
        <f>U199+U200+U202+N(U203)</f>
        <v>42.2712</v>
      </c>
      <c r="V204" s="214">
        <f>V199+V200+V202+N(V203)</f>
        <v>40.20492</v>
      </c>
      <c r="W204" s="214">
        <f>W199+W200+W202+N(W203)</f>
        <v>0.567999999999951</v>
      </c>
      <c r="X204" s="214">
        <f>X199+X200+X202+N(X203)</f>
        <v>74.2111800000002</v>
      </c>
      <c r="Y204" s="214">
        <f>Y199+Y200+Y202+N(Y203)</f>
        <v>-20.871</v>
      </c>
      <c r="Z204" s="214">
        <f>Z199+Z200+Z202+N(Z203)</f>
        <v>8.65169999999998</v>
      </c>
      <c r="AA204" s="214">
        <f>AA199+AA200+AA202+N(AA203)</f>
        <v>9.19791999999996</v>
      </c>
      <c r="AB204" s="214">
        <f>AB199+AB200+AB202+N(AB203)</f>
        <v>-12.9847999999999</v>
      </c>
      <c r="AC204" s="214">
        <f>AC199+AC200+AC202+N(AC203)</f>
        <v>-29.5955999999999</v>
      </c>
      <c r="AD204" s="214">
        <f>AD199+AD200+AD202+N(AD203)</f>
        <v>-21.393</v>
      </c>
      <c r="AE204" s="214">
        <f>AE199+AE200+AE202+N(AE203)</f>
        <v>13.76064</v>
      </c>
      <c r="AF204" s="214">
        <f>AF199+AF200+AF202+N(AF203)</f>
        <v>12.01095</v>
      </c>
      <c r="AG204" s="214">
        <f>AG199+AG200+AG202+N(AG203)</f>
        <v>84.97005</v>
      </c>
      <c r="AH204" s="214">
        <f>AH199+AH200+AH202+N(AH203)</f>
        <v>81.3241500000002</v>
      </c>
      <c r="AI204" s="214">
        <f>AI199+AI200+AI202+N(AI203)</f>
        <v>-12.6309999999999</v>
      </c>
      <c r="AJ204" s="214">
        <f>AJ199+AJ200+AJ202+N(AJ203)</f>
        <v>30.5127</v>
      </c>
      <c r="AK204" s="214">
        <f>AK199+AK200+AK202+N(AK203)</f>
        <v>33.2116900589181</v>
      </c>
      <c r="AL204" s="214">
        <f>AL199+AL200+AL202+N(AL203)</f>
        <v>13.48968</v>
      </c>
      <c r="AM204" s="214">
        <f>AM199+AM200+AM202+N(AM203)</f>
        <v>70.9883996046442</v>
      </c>
      <c r="AN204" s="214">
        <f>AN199+AN200+AN202+N(AN203)</f>
        <v>5.04738000000002</v>
      </c>
      <c r="AO204" s="214">
        <f>AO199+AO200+AO202+N(AO203)</f>
        <v>37.00356</v>
      </c>
      <c r="AP204" s="214">
        <f>AP199+AP200+AP202+N(AP203)</f>
        <v>40.4387996837525</v>
      </c>
      <c r="AQ204" s="214">
        <f>AQ199+AQ200+AQ202+N(AQ203)</f>
        <v>23.572080362141</v>
      </c>
      <c r="AR204" s="214">
        <f>AR199+AR200+AR202+N(AR203)</f>
        <v>106.083809549451</v>
      </c>
      <c r="AS204" s="214">
        <f>AS199+AS200+AS202+N(AS203)</f>
        <v>15.6953999999999</v>
      </c>
      <c r="AT204" s="214">
        <f>AT199+AT200+AT202+N(AT203)</f>
        <v>28.9889595075584</v>
      </c>
      <c r="AU204" s="214">
        <f>AU199+AU200+AU202+N(AU203)</f>
        <v>50.164200322608</v>
      </c>
      <c r="AV204" s="214">
        <f>AV199+AV200+AV202+N(AV203)</f>
        <v>34.8163200000001</v>
      </c>
      <c r="AW204" s="214">
        <f>AW199+AW200+AW202+N(AW203)</f>
        <v>129.200800394156</v>
      </c>
      <c r="AX204" s="214">
        <f>AX199+AX200+AX202+N(AX203)</f>
        <v>23.1180600000001</v>
      </c>
      <c r="AY204" s="214">
        <f>AY199+AY200+AY202+N(AY203)</f>
        <v>65.27626</v>
      </c>
      <c r="AZ204" s="214">
        <f>AZ199+AZ200+AZ202+N(AZ203)</f>
        <v>62.3659800000001</v>
      </c>
      <c r="BA204" s="214">
        <f>BA199+BA200+BA202+N(BA203)</f>
        <v>48.64562</v>
      </c>
      <c r="BB204" s="214">
        <f>BB199+BB200+BB202+N(BB203)</f>
        <v>199.33004</v>
      </c>
      <c r="BC204" s="214">
        <f>BC199+BC200+BC202+N(BC203)</f>
        <v>45.3777599999999</v>
      </c>
      <c r="BD204" s="214">
        <f>BD199+BD200+BD202+N(BD203)</f>
        <v>133.2166803827</v>
      </c>
      <c r="BE204" s="214">
        <f>BE199+BE200+BE202+N(BE203)</f>
        <v>132.14583</v>
      </c>
      <c r="BF204" s="214">
        <f>BF199+BF200+BF202+N(BF203)</f>
        <v>78.3043201703427</v>
      </c>
      <c r="BG204" s="214">
        <f>BG199+BG200+BG202+N(BG203)</f>
        <v>389.582049669575</v>
      </c>
      <c r="BH204" s="214">
        <f>BH199+BH200+BH202+N(BH203)</f>
        <v>73.9894398528299</v>
      </c>
      <c r="BI204" s="214">
        <f>BI199+BI200+BI202+N(BI203)</f>
        <v>115.97424</v>
      </c>
      <c r="BJ204" s="214">
        <f>BJ199+BJ200+BJ202+N(BJ203)</f>
        <v>91.4239199999999</v>
      </c>
      <c r="BK204" s="214">
        <f>BK199+BK200+BK202+N(BK203)</f>
        <v>98.7513802590695</v>
      </c>
      <c r="BL204" s="214">
        <f>BL199+BL200+BL202+N(BL203)</f>
        <v>380.130180390778</v>
      </c>
      <c r="BM204" s="214">
        <f>BM199+BM200+BM202+N(BM203)</f>
        <v>69.9347699999999</v>
      </c>
      <c r="BN204" s="214">
        <f>BN199+BN200+BN202+N(BN203)</f>
        <v>133.28</v>
      </c>
      <c r="BO204" s="214">
        <f>BO199+BO200+BO202+N(BO203)</f>
        <v>115.213</v>
      </c>
      <c r="BP204" s="214">
        <f>BP199+BP200+BP202+N(BP203)</f>
        <v>84.2753663967807</v>
      </c>
      <c r="BQ204" s="214">
        <f>BQ199+BQ200+BQ202+N(BQ203)</f>
        <v>402.578791709705</v>
      </c>
      <c r="BR204" s="214">
        <f>BR199+BR200+BR202+N(BR203)</f>
        <v>58.68</v>
      </c>
      <c r="BS204" s="214">
        <f>BS199+BS200+BS202+N(BS203)</f>
        <v>126.905</v>
      </c>
      <c r="BT204" s="214">
        <f>BT199+BT200+BT202+N(BT203)</f>
        <v>118.799</v>
      </c>
      <c r="BU204" s="214">
        <f>BU199+BU200+BU202+N(BU203)</f>
        <v>92.005213936736</v>
      </c>
      <c r="BV204" s="214">
        <f>BV199+BV200+BV202+N(BV203)</f>
        <v>396.528695604081</v>
      </c>
      <c r="BW204" s="214">
        <f>BW199+BW200+BW202+N(BW203)</f>
        <v>63.201</v>
      </c>
      <c r="BX204" s="214">
        <f>BX199+BX200+BX202+N(BX203)</f>
        <v>170.464</v>
      </c>
      <c r="BY204" s="176">
        <f>BY199+BY200+BY202+N(BY203)</f>
        <v>160.680626231782</v>
      </c>
      <c r="BZ204" s="176">
        <f>BZ199+BZ200+BZ202+N(BZ203)</f>
        <v>101.527524702579</v>
      </c>
      <c r="CA204" s="176">
        <f>CA199+CA200+CA202+N(CA203)</f>
        <v>495.873150934361</v>
      </c>
      <c r="CB204" s="176">
        <f>CB199+CB200+CB202+N(CB203)</f>
        <v>560.429766515353</v>
      </c>
      <c r="CC204" s="176">
        <f>CC199+CC200+CC202+N(CC203)</f>
        <v>643.581923888068</v>
      </c>
      <c r="CD204" s="176">
        <f>CD199+CD200+CD202+N(CD203)</f>
        <v>713.118833689035</v>
      </c>
      <c r="CE204" s="176">
        <f>CE199+CE200+CE202+N(CE203)</f>
        <v>773.628677231593</v>
      </c>
      <c r="CF204" s="177" t="n"/>
      <c r="CH204" s="21">
        <f>IFERROR((CE204/BV204)^(1/5)-1,"n/m")</f>
        <v>0.143014099794192</v>
      </c>
      <c r="CI204" s="21">
        <f>IFERROR((BV204/AW204)^(1/5)-1,"n/m")</f>
        <v>0.251416518960079</v>
      </c>
      <c r="CJ204" s="21">
        <f>IFERROR((BV204/X204)^(1/10)-1,"n/m")</f>
        <v>0.182443854365379</v>
      </c>
      <c r="CK204" s="21">
        <f>IFERROR((BV204/C204)^(1/19)-1,"n/m")</f>
        <v>0.111020021719886</v>
      </c>
    </row>
    <row r="205" hidden="1" outlineLevel="1" ht="15" customHeight="1">
      <c r="B205" s="42" t="inlineStr">
        <is>
          <t xml:space="preserve">  Memo: company-published adjusted net income</t>
        </is>
      </c>
      <c r="C205" s="199" t="n"/>
      <c r="D205" s="199" t="n"/>
      <c r="E205" s="199" t="n"/>
      <c r="F205" s="199" t="n"/>
      <c r="G205" s="199" t="n"/>
      <c r="H205" s="199" t="n"/>
      <c r="I205" s="199" t="n"/>
      <c r="J205" s="199" t="n"/>
      <c r="K205" s="199" t="n"/>
      <c r="L205" s="199" t="n"/>
      <c r="M205" s="199" t="n"/>
      <c r="N205" s="199" t="n"/>
      <c r="O205" s="199" t="n"/>
      <c r="P205" s="199" t="n"/>
      <c r="Q205" s="200" t="n">
        <v>27.413</v>
      </c>
      <c r="R205" s="199" t="n"/>
      <c r="S205" s="200" t="n">
        <v>92.422</v>
      </c>
      <c r="T205" s="199" t="n"/>
      <c r="U205" s="200" t="n">
        <v>42.387</v>
      </c>
      <c r="V205" s="200" t="n">
        <v>40.228</v>
      </c>
      <c r="W205" s="199" t="n"/>
      <c r="X205" s="200" t="n">
        <v>74.13200000000001</v>
      </c>
      <c r="Y205" s="199" t="n"/>
      <c r="Z205" s="200" t="n">
        <v>8.419</v>
      </c>
      <c r="AA205" s="200" t="n">
        <v>9.250999999999999</v>
      </c>
      <c r="AB205" s="199" t="n"/>
      <c r="AC205" s="199" t="n"/>
      <c r="AD205" s="199" t="n"/>
      <c r="AE205" s="200" t="n">
        <v>13.699</v>
      </c>
      <c r="AF205" s="200" t="n">
        <v>12.201</v>
      </c>
      <c r="AG205" s="199" t="n"/>
      <c r="AH205" s="199" t="n"/>
      <c r="AI205" s="199" t="n"/>
      <c r="AJ205" s="200" t="n">
        <v>30.787</v>
      </c>
      <c r="AK205" s="200" t="n">
        <v>33.316</v>
      </c>
      <c r="AL205" s="200" t="n">
        <v>13.275</v>
      </c>
      <c r="AM205" s="200" t="n">
        <v>70.80800000000001</v>
      </c>
      <c r="AN205" s="200" t="n">
        <v>5.082</v>
      </c>
      <c r="AO205" s="200" t="n">
        <v>36.9</v>
      </c>
      <c r="AP205" s="200" t="n">
        <v>40.653</v>
      </c>
      <c r="AQ205" s="200" t="n">
        <v>23.294</v>
      </c>
      <c r="AR205" s="200" t="n">
        <v>105.929</v>
      </c>
      <c r="AS205" s="200" t="n">
        <v>15.577</v>
      </c>
      <c r="AT205" s="200" t="n">
        <v>28.902</v>
      </c>
      <c r="AU205" s="200" t="n">
        <v>49.9</v>
      </c>
      <c r="AV205" s="200" t="n">
        <v>35.029</v>
      </c>
      <c r="AW205" s="200" t="n">
        <v>129.408</v>
      </c>
      <c r="AX205" s="200" t="n">
        <v>23.384</v>
      </c>
      <c r="AY205" s="200" t="n">
        <v>65.434</v>
      </c>
      <c r="AZ205" s="200" t="n">
        <v>62.215</v>
      </c>
      <c r="BA205" s="200" t="n">
        <v>48.565</v>
      </c>
      <c r="BB205" s="200" t="n">
        <v>199.598</v>
      </c>
      <c r="BC205" s="200" t="n">
        <v>45.428</v>
      </c>
      <c r="BD205" s="200" t="n">
        <v>133.084</v>
      </c>
      <c r="BE205" s="200" t="n">
        <v>132.4</v>
      </c>
      <c r="BF205" s="200" t="n">
        <v>78.542</v>
      </c>
      <c r="BG205" s="200" t="n">
        <v>389.454</v>
      </c>
      <c r="BH205" s="200" t="n">
        <v>74.11</v>
      </c>
      <c r="BI205" s="200" t="n">
        <v>115.766</v>
      </c>
      <c r="BJ205" s="200" t="n">
        <v>91.34</v>
      </c>
      <c r="BK205" s="200" t="n">
        <v>98.73399999999999</v>
      </c>
      <c r="BL205" s="200" t="n">
        <v>379.95</v>
      </c>
      <c r="BM205" s="200" t="n">
        <v>69.83199999999999</v>
      </c>
      <c r="BN205" s="199" t="n"/>
      <c r="BO205" s="199" t="n"/>
      <c r="BP205" s="199" t="n"/>
      <c r="BQ205" s="199" t="n"/>
      <c r="BR205" s="199" t="n"/>
      <c r="BS205" s="199" t="n"/>
      <c r="BT205" s="199" t="n"/>
      <c r="BU205" s="199" t="n"/>
      <c r="BV205" s="199" t="n"/>
      <c r="BW205" s="199" t="n"/>
      <c r="BX205" s="199" t="n"/>
      <c r="BY205" s="189" t="n"/>
      <c r="BZ205" s="189" t="n"/>
      <c r="CA205" s="189" t="n"/>
      <c r="CB205" s="189" t="n"/>
      <c r="CC205" s="189" t="n"/>
      <c r="CD205" s="189" t="n"/>
      <c r="CE205" s="189" t="n"/>
      <c r="CF205" s="177" t="n"/>
    </row>
    <row r="206" hidden="1" outlineLevel="1" ht="15" customHeight="1">
      <c r="B206" s="26" t="inlineStr">
        <is>
          <t xml:space="preserve">  Weighted-average diluted shares (m)</t>
        </is>
      </c>
      <c r="C206" s="188">
        <f>C165</f>
        <v>20.657</v>
      </c>
      <c r="D206" s="188">
        <f>D165</f>
        <v>20.63</v>
      </c>
      <c r="E206" s="188">
        <f>E165</f>
        <v>22.866</v>
      </c>
      <c r="F206" s="188">
        <f>F165</f>
        <v>24.933</v>
      </c>
      <c r="G206" s="188">
        <f>G165</f>
        <v>26.467</v>
      </c>
      <c r="H206" s="188">
        <f>H165</f>
        <v>53.324</v>
      </c>
      <c r="I206" s="188">
        <f>I165</f>
        <v>54.079</v>
      </c>
      <c r="J206" s="188">
        <f>J165</f>
        <v>60.63</v>
      </c>
      <c r="K206" s="188">
        <f>K165</f>
        <v>60.687</v>
      </c>
      <c r="L206" s="188">
        <f>L165</f>
        <v>60.76</v>
      </c>
      <c r="M206" s="188">
        <f>M165</f>
        <v>60.835</v>
      </c>
      <c r="N206" s="188">
        <f>N165</f>
        <v>60.728</v>
      </c>
      <c r="O206" s="188">
        <f>O165</f>
        <v>60.861</v>
      </c>
      <c r="P206" s="188">
        <f>P165</f>
        <v>60.778</v>
      </c>
      <c r="Q206" s="188">
        <f>Q165</f>
        <v>60.369</v>
      </c>
      <c r="R206" s="188">
        <f>R165</f>
        <v>59.613</v>
      </c>
      <c r="S206" s="188">
        <f>S165</f>
        <v>60.311</v>
      </c>
      <c r="T206" s="188">
        <f>T165</f>
        <v>58.875</v>
      </c>
      <c r="U206" s="188">
        <f>U165</f>
        <v>58.71</v>
      </c>
      <c r="V206" s="188">
        <f>V165</f>
        <v>58.268</v>
      </c>
      <c r="W206" s="188">
        <f>W165</f>
        <v>57.72</v>
      </c>
      <c r="X206" s="188">
        <f>X165</f>
        <v>58.434</v>
      </c>
      <c r="Y206" s="188">
        <f>Y165</f>
        <v>57.617</v>
      </c>
      <c r="Z206" s="188">
        <f>Z165</f>
        <v>57.678</v>
      </c>
      <c r="AA206" s="188">
        <f>AA165</f>
        <v>57.487</v>
      </c>
      <c r="AB206" s="188">
        <f>AB165</f>
        <v>57.35</v>
      </c>
      <c r="AC206" s="188">
        <f>AC165</f>
        <v>57.532</v>
      </c>
      <c r="AD206" s="188">
        <f>AD165</f>
        <v>57.262</v>
      </c>
      <c r="AE206" s="188">
        <f>AE165</f>
        <v>57.336</v>
      </c>
      <c r="AF206" s="188">
        <f>AF165</f>
        <v>57.195</v>
      </c>
      <c r="AG206" s="188">
        <f>AG165</f>
        <v>56.955</v>
      </c>
      <c r="AH206" s="188">
        <f>AH165</f>
        <v>57.2</v>
      </c>
      <c r="AI206" s="188">
        <f>AI165</f>
        <v>56.457</v>
      </c>
      <c r="AJ206" s="188">
        <f>AJ165</f>
        <v>56.505</v>
      </c>
      <c r="AK206" s="188">
        <f>AK165</f>
        <v>56.291</v>
      </c>
      <c r="AL206" s="188">
        <f>AL165</f>
        <v>56.207</v>
      </c>
      <c r="AM206" s="188">
        <f>AM165</f>
        <v>56.34</v>
      </c>
      <c r="AN206" s="188">
        <f>AN165</f>
        <v>56.082</v>
      </c>
      <c r="AO206" s="188">
        <f>AO165</f>
        <v>56.066</v>
      </c>
      <c r="AP206" s="188">
        <f>AP165</f>
        <v>56.165</v>
      </c>
      <c r="AQ206" s="188">
        <f>AQ165</f>
        <v>56.124</v>
      </c>
      <c r="AR206" s="188">
        <f>AR165</f>
        <v>56.129</v>
      </c>
      <c r="AS206" s="188">
        <f>AS165</f>
        <v>56.055</v>
      </c>
      <c r="AT206" s="188">
        <f>AT165</f>
        <v>55.748</v>
      </c>
      <c r="AU206" s="188">
        <f>AU165</f>
        <v>55.738</v>
      </c>
      <c r="AV206" s="188">
        <f>AV165</f>
        <v>55.264</v>
      </c>
      <c r="AW206" s="188">
        <f>AW165</f>
        <v>55.69</v>
      </c>
      <c r="AX206" s="188">
        <f>AX165</f>
        <v>55.043</v>
      </c>
      <c r="AY206" s="188">
        <f>AY165</f>
        <v>54.854</v>
      </c>
      <c r="AZ206" s="188">
        <f>AZ165</f>
        <v>54.707</v>
      </c>
      <c r="BA206" s="188">
        <f>BA165</f>
        <v>54.658</v>
      </c>
      <c r="BB206" s="188">
        <f>BB165</f>
        <v>54.761</v>
      </c>
      <c r="BC206" s="188">
        <f>BC165</f>
        <v>54.672</v>
      </c>
      <c r="BD206" s="188">
        <f>BD165</f>
        <v>54.597</v>
      </c>
      <c r="BE206" s="188">
        <f>BE165</f>
        <v>54.381</v>
      </c>
      <c r="BF206" s="188">
        <f>BF165</f>
        <v>54.378</v>
      </c>
      <c r="BG206" s="188">
        <f>BG165</f>
        <v>54.487</v>
      </c>
      <c r="BH206" s="188">
        <f>BH165</f>
        <v>54.404</v>
      </c>
      <c r="BI206" s="188">
        <f>BI165</f>
        <v>54.448</v>
      </c>
      <c r="BJ206" s="188">
        <f>BJ165</f>
        <v>54.419</v>
      </c>
      <c r="BK206" s="188">
        <f>BK165</f>
        <v>54.259</v>
      </c>
      <c r="BL206" s="188">
        <f>BL165</f>
        <v>54.382</v>
      </c>
      <c r="BM206" s="188">
        <f>BM165</f>
        <v>54.213</v>
      </c>
      <c r="BN206" s="188">
        <f>BN165</f>
        <v>54.248</v>
      </c>
      <c r="BO206" s="188">
        <f>BO165</f>
        <v>54.229</v>
      </c>
      <c r="BP206" s="188">
        <f>BP165</f>
        <v>54.168</v>
      </c>
      <c r="BQ206" s="188">
        <f>BQ165</f>
        <v>54.199</v>
      </c>
      <c r="BR206" s="188">
        <f>BR165</f>
        <v>53.993</v>
      </c>
      <c r="BS206" s="188">
        <f>BS165</f>
        <v>53.799</v>
      </c>
      <c r="BT206" s="188">
        <f>BT165</f>
        <v>53.713</v>
      </c>
      <c r="BU206" s="188">
        <f>BU165</f>
        <v>53.382</v>
      </c>
      <c r="BV206" s="188">
        <f>BV165</f>
        <v>53.716</v>
      </c>
      <c r="BW206" s="188">
        <f>BW165</f>
        <v>52.992</v>
      </c>
      <c r="BX206" s="188">
        <f>BX165</f>
        <v>52.961</v>
      </c>
      <c r="BY206" s="216">
        <f>BY165</f>
        <v>52.9221003921081</v>
      </c>
      <c r="BZ206" s="216">
        <f>BZ165</f>
        <v>52.8443011763241</v>
      </c>
      <c r="CA206" s="216">
        <f>CA165</f>
        <v>52.9298503921081</v>
      </c>
      <c r="CB206" s="216">
        <f>CB165</f>
        <v>52.5079830669541</v>
      </c>
      <c r="CC206" s="216">
        <f>CC165</f>
        <v>51.3994852730893</v>
      </c>
      <c r="CD206" s="216">
        <f>CD165</f>
        <v>49.8172646725587</v>
      </c>
      <c r="CE206" s="216">
        <f>CE165</f>
        <v>48.202127234846</v>
      </c>
      <c r="CF206" s="20" t="n"/>
    </row>
    <row r="207" hidden="1" outlineLevel="1" ht="15" customHeight="1">
      <c r="B207" s="209" t="inlineStr">
        <is>
          <t>Adjusted EPS – diluted ($) (model)</t>
        </is>
      </c>
      <c r="C207" s="228">
        <f>IF(AND(ISNUMBER(C204),ISNUMBER(C206)),IFERROR(C204/C206,""),"")</f>
        <v>2.59711719998063</v>
      </c>
      <c r="D207" s="228">
        <f>IF(AND(ISNUMBER(D204),ISNUMBER(D206)),IFERROR(D204/D206,""),"")</f>
        <v>2.13242850218129</v>
      </c>
      <c r="E207" s="228">
        <f>IF(AND(ISNUMBER(E204),ISNUMBER(E206)),IFERROR(E204/E206,""),"")</f>
        <v>2.66045000313796</v>
      </c>
      <c r="F207" s="228">
        <f>IF(AND(ISNUMBER(F204),ISNUMBER(F206)),IFERROR(F204/F206,""),"")</f>
        <v>1.58816829101994</v>
      </c>
      <c r="G207" s="228">
        <f>IF(AND(ISNUMBER(G204),ISNUMBER(G206)),IFERROR(G204/G206,""),"")</f>
        <v>4.99124307137876</v>
      </c>
      <c r="H207" s="228">
        <f>IF(AND(ISNUMBER(H204),ISNUMBER(H206)),IFERROR(H204/H206,""),"")</f>
        <v>2.38639261870827</v>
      </c>
      <c r="I207" s="228">
        <f>IF(AND(ISNUMBER(I204),ISNUMBER(I206)),IFERROR(I204/I206,""),"")</f>
        <v>2.81257512158139</v>
      </c>
      <c r="J207" s="228">
        <f>IF(AND(ISNUMBER(J204),ISNUMBER(J206)),IFERROR(J204/J206,""),"")</f>
        <v>0.173214580240805</v>
      </c>
      <c r="K207" s="228">
        <f>IF(AND(ISNUMBER(K204),ISNUMBER(K206)),IFERROR(K204/K206,""),"")</f>
        <v>0.377379010331702</v>
      </c>
      <c r="L207" s="228">
        <f>IF(AND(ISNUMBER(L204),ISNUMBER(L206)),IFERROR(L204/L206,""),"")</f>
        <v>0.581978275181039</v>
      </c>
      <c r="M207" s="228">
        <f>IF(AND(ISNUMBER(M204),ISNUMBER(M206)),IFERROR(M204/M206,""),"")</f>
        <v>0.440552313635243</v>
      </c>
      <c r="N207" s="228">
        <f>IF(AND(ISNUMBER(N204),ISNUMBER(N206)),IFERROR(N204/N206,""),"")</f>
        <v>1.57367277038599</v>
      </c>
      <c r="O207" s="228">
        <f>IF(AND(ISNUMBER(O204),ISNUMBER(O206)),IFERROR(O204/O206,""),"")</f>
        <v>0.147220716057902</v>
      </c>
      <c r="P207" s="228">
        <f>IF(AND(ISNUMBER(P204),ISNUMBER(P206)),IFERROR(P204/P206,""),"")</f>
        <v>0.471749646253578</v>
      </c>
      <c r="Q207" s="228">
        <f>IF(AND(ISNUMBER(Q204),ISNUMBER(Q206)),IFERROR(Q204/Q206,""),"")</f>
        <v>0.45</v>
      </c>
      <c r="R207" s="228">
        <f>IF(AND(ISNUMBER(R204),ISNUMBER(R206)),IFERROR(R204/R206,""),"")</f>
        <v>0.459245466592857</v>
      </c>
      <c r="S207" s="228">
        <f>IF(AND(ISNUMBER(S204),ISNUMBER(S206)),IFERROR(S204/S206,""),"")</f>
        <v>1.53</v>
      </c>
      <c r="T207" s="228">
        <f>IF(AND(ISNUMBER(T204),ISNUMBER(T206)),IFERROR(T204/T206,""),"")</f>
        <v>-0.120407643312101</v>
      </c>
      <c r="U207" s="228">
        <f>IF(AND(ISNUMBER(U204),ISNUMBER(U206)),IFERROR(U204/U206,""),"")</f>
        <v>0.72</v>
      </c>
      <c r="V207" s="228">
        <f>IF(AND(ISNUMBER(V204),ISNUMBER(V206)),IFERROR(V204/V206,""),"")</f>
        <v>0.690000000000001</v>
      </c>
      <c r="W207" s="228">
        <f>IF(AND(ISNUMBER(W204),ISNUMBER(W206)),IFERROR(W204/W206,""),"")</f>
        <v>0.00984060984060899</v>
      </c>
      <c r="X207" s="228">
        <f>IF(AND(ISNUMBER(X204),ISNUMBER(X206)),IFERROR(X204/X206,""),"")</f>
        <v>1.27</v>
      </c>
      <c r="Y207" s="228">
        <f>IF(AND(ISNUMBER(Y204),ISNUMBER(Y206)),IFERROR(Y204/Y206,""),"")</f>
        <v>-0.362236839821581</v>
      </c>
      <c r="Z207" s="228">
        <f>IF(AND(ISNUMBER(Z204),ISNUMBER(Z206)),IFERROR(Z204/Z206,""),"")</f>
        <v>0.15</v>
      </c>
      <c r="AA207" s="228">
        <f>IF(AND(ISNUMBER(AA204),ISNUMBER(AA206)),IFERROR(AA204/AA206,""),"")</f>
        <v>0.159999999999999</v>
      </c>
      <c r="AB207" s="228">
        <f>IF(AND(ISNUMBER(AB204),ISNUMBER(AB206)),IFERROR(AB204/AB206,""),"")</f>
        <v>-0.226413251961638</v>
      </c>
      <c r="AC207" s="228">
        <f>IF(AND(ISNUMBER(AC204),ISNUMBER(AC206)),IFERROR(AC204/AC206,""),"")</f>
        <v>-0.514419801154138</v>
      </c>
      <c r="AD207" s="228">
        <f>IF(AND(ISNUMBER(AD204),ISNUMBER(AD206)),IFERROR(AD204/AD206,""),"")</f>
        <v>-0.373598547029443</v>
      </c>
      <c r="AE207" s="228">
        <f>IF(AND(ISNUMBER(AE204),ISNUMBER(AE206)),IFERROR(AE204/AE206,""),"")</f>
        <v>0.24</v>
      </c>
      <c r="AF207" s="228">
        <f>IF(AND(ISNUMBER(AF204),ISNUMBER(AF206)),IFERROR(AF204/AF206,""),"")</f>
        <v>0.21</v>
      </c>
      <c r="AG207" s="228">
        <f>IF(AND(ISNUMBER(AG204),ISNUMBER(AG206)),IFERROR(AG204/AG206,""),"")</f>
        <v>1.49188043191994</v>
      </c>
      <c r="AH207" s="228">
        <f>IF(AND(ISNUMBER(AH204),ISNUMBER(AH206)),IFERROR(AH204/AH206,""),"")</f>
        <v>1.42175087412588</v>
      </c>
      <c r="AI207" s="228">
        <f>IF(AND(ISNUMBER(AI204),ISNUMBER(AI206)),IFERROR(AI204/AI206,""),"")</f>
        <v>-0.223727792833483</v>
      </c>
      <c r="AJ207" s="228">
        <f>IF(AND(ISNUMBER(AJ204),ISNUMBER(AJ206)),IFERROR(AJ204/AJ206,""),"")</f>
        <v>0.540000000000001</v>
      </c>
      <c r="AK207" s="228">
        <f>IF(AND(ISNUMBER(AK204),ISNUMBER(AK206)),IFERROR(AK204/AK206,""),"")</f>
        <v>0.590000001046669</v>
      </c>
      <c r="AL207" s="228">
        <f>IF(AND(ISNUMBER(AL204),ISNUMBER(AL206)),IFERROR(AL204/AL206,""),"")</f>
        <v>0.24</v>
      </c>
      <c r="AM207" s="228">
        <f>IF(AND(ISNUMBER(AM204),ISNUMBER(AM206)),IFERROR(AM204/AM206,""),"")</f>
        <v>1.25999999298268</v>
      </c>
      <c r="AN207" s="228">
        <f>IF(AND(ISNUMBER(AN204),ISNUMBER(AN206)),IFERROR(AN204/AN206,""),"")</f>
        <v>0.0900000000000004</v>
      </c>
      <c r="AO207" s="228">
        <f>IF(AND(ISNUMBER(AO204),ISNUMBER(AO206)),IFERROR(AO204/AO206,""),"")</f>
        <v>0.66</v>
      </c>
      <c r="AP207" s="228">
        <f>IF(AND(ISNUMBER(AP204),ISNUMBER(AP206)),IFERROR(AP204/AP206,""),"")</f>
        <v>0.719999994369313</v>
      </c>
      <c r="AQ207" s="228">
        <f>IF(AND(ISNUMBER(AQ204),ISNUMBER(AQ206)),IFERROR(AQ204/AQ206,""),"")</f>
        <v>0.420000006452516</v>
      </c>
      <c r="AR207" s="228">
        <f>IF(AND(ISNUMBER(AR204),ISNUMBER(AR206)),IFERROR(AR204/AR206,""),"")</f>
        <v>1.88999999197297</v>
      </c>
      <c r="AS207" s="228">
        <f>IF(AND(ISNUMBER(AS204),ISNUMBER(AS206)),IFERROR(AS204/AS206,""),"")</f>
        <v>0.279999999999999</v>
      </c>
      <c r="AT207" s="228">
        <f>IF(AND(ISNUMBER(AT204),ISNUMBER(AT206)),IFERROR(AT204/AT206,""),"")</f>
        <v>0.519999991166649</v>
      </c>
      <c r="AU207" s="228">
        <f>IF(AND(ISNUMBER(AU204),ISNUMBER(AU206)),IFERROR(AU204/AU206,""),"")</f>
        <v>0.900000005787936</v>
      </c>
      <c r="AV207" s="228">
        <f>IF(AND(ISNUMBER(AV204),ISNUMBER(AV206)),IFERROR(AV204/AV206,""),"")</f>
        <v>0.630000000000002</v>
      </c>
      <c r="AW207" s="228">
        <f>IF(AND(ISNUMBER(AW204),ISNUMBER(AW206)),IFERROR(AW204/AW206,""),"")</f>
        <v>2.32000000707769</v>
      </c>
      <c r="AX207" s="228">
        <f>IF(AND(ISNUMBER(AX204),ISNUMBER(AX206)),IFERROR(AX204/AX206,""),"")</f>
        <v>0.420000000000001</v>
      </c>
      <c r="AY207" s="228">
        <f>IF(AND(ISNUMBER(AY204),ISNUMBER(AY206)),IFERROR(AY204/AY206,""),"")</f>
        <v>1.19</v>
      </c>
      <c r="AZ207" s="228">
        <f>IF(AND(ISNUMBER(AZ204),ISNUMBER(AZ206)),IFERROR(AZ204/AZ206,""),"")</f>
        <v>1.14</v>
      </c>
      <c r="BA207" s="228">
        <f>IF(AND(ISNUMBER(BA204),ISNUMBER(BA206)),IFERROR(BA204/BA206,""),"")</f>
        <v>0.89</v>
      </c>
      <c r="BB207" s="228">
        <f>IF(AND(ISNUMBER(BB204),ISNUMBER(BB206)),IFERROR(BB204/BB206,""),"")</f>
        <v>3.64</v>
      </c>
      <c r="BC207" s="228">
        <f>IF(AND(ISNUMBER(BC204),ISNUMBER(BC206)),IFERROR(BC204/BC206,""),"")</f>
        <v>0.829999999999998</v>
      </c>
      <c r="BD207" s="228">
        <f>IF(AND(ISNUMBER(BD204),ISNUMBER(BD206)),IFERROR(BD204/BD206,""),"")</f>
        <v>2.44000000700954</v>
      </c>
      <c r="BE207" s="228">
        <f>IF(AND(ISNUMBER(BE204),ISNUMBER(BE206)),IFERROR(BE204/BE206,""),"")</f>
        <v>2.43</v>
      </c>
      <c r="BF207" s="228">
        <f>IF(AND(ISNUMBER(BF204),ISNUMBER(BF206)),IFERROR(BF204/BF206,""),"")</f>
        <v>1.44000000313257</v>
      </c>
      <c r="BG207" s="228">
        <f>IF(AND(ISNUMBER(BG204),ISNUMBER(BG206)),IFERROR(BG204/BG206,""),"")</f>
        <v>7.14999999393571</v>
      </c>
      <c r="BH207" s="228">
        <f>IF(AND(ISNUMBER(BH204),ISNUMBER(BH206)),IFERROR(BH204/BH206,""),"")</f>
        <v>1.35999999729487</v>
      </c>
      <c r="BI207" s="228">
        <f>IF(AND(ISNUMBER(BI204),ISNUMBER(BI206)),IFERROR(BI204/BI206,""),"")</f>
        <v>2.13</v>
      </c>
      <c r="BJ207" s="228">
        <f>IF(AND(ISNUMBER(BJ204),ISNUMBER(BJ206)),IFERROR(BJ204/BJ206,""),"")</f>
        <v>1.68</v>
      </c>
      <c r="BK207" s="228">
        <f>IF(AND(ISNUMBER(BK204),ISNUMBER(BK206)),IFERROR(BK204/BK206,""),"")</f>
        <v>1.82000000477468</v>
      </c>
      <c r="BL207" s="228">
        <f>IF(AND(ISNUMBER(BL204),ISNUMBER(BL206)),IFERROR(BL204/BL206,""),"")</f>
        <v>6.99000000718579</v>
      </c>
      <c r="BM207" s="228">
        <f>IF(AND(ISNUMBER(BM204),ISNUMBER(BM206)),IFERROR(BM204/BM206,""),"")</f>
        <v>1.29</v>
      </c>
      <c r="BN207" s="228">
        <f>IF(AND(ISNUMBER(BN204),ISNUMBER(BN206)),IFERROR(BN204/BN206,""),"")</f>
        <v>2.45686476920808</v>
      </c>
      <c r="BO207" s="228">
        <f>IF(AND(ISNUMBER(BO204),ISNUMBER(BO206)),IFERROR(BO204/BO206,""),"")</f>
        <v>2.12456434748935</v>
      </c>
      <c r="BP207" s="228">
        <f>IF(AND(ISNUMBER(BP204),ISNUMBER(BP206)),IFERROR(BP204/BP206,""),"")</f>
        <v>1.55581462111912</v>
      </c>
      <c r="BQ207" s="228">
        <f>IF(AND(ISNUMBER(BQ204),ISNUMBER(BQ206)),IFERROR(BQ204/BQ206,""),"")</f>
        <v>7.42779002767034</v>
      </c>
      <c r="BR207" s="228">
        <f>IF(AND(ISNUMBER(BR204),ISNUMBER(BR206)),IFERROR(BR204/BR206,""),"")</f>
        <v>1.08680754912674</v>
      </c>
      <c r="BS207" s="228">
        <f>IF(AND(ISNUMBER(BS204),ISNUMBER(BS206)),IFERROR(BS204/BS206,""),"")</f>
        <v>2.35887284150263</v>
      </c>
      <c r="BT207" s="228">
        <f>IF(AND(ISNUMBER(BT204),ISNUMBER(BT206)),IFERROR(BT204/BT206,""),"")</f>
        <v>2.21173645113846</v>
      </c>
      <c r="BU207" s="228">
        <f>IF(AND(ISNUMBER(BU204),ISNUMBER(BU206)),IFERROR(BU204/BU206,""),"")</f>
        <v>1.7235250447105</v>
      </c>
      <c r="BV207" s="228">
        <f>IF(AND(ISNUMBER(BV204),ISNUMBER(BV206)),IFERROR(BV204/BV206,""),"")</f>
        <v>7.3819475687706</v>
      </c>
      <c r="BW207" s="228">
        <f>IF(AND(ISNUMBER(BW204),ISNUMBER(BW206)),IFERROR(BW204/BW206,""),"")</f>
        <v>1.19265172101449</v>
      </c>
      <c r="BX207" s="228">
        <f>IF(AND(ISNUMBER(BX204),ISNUMBER(BX206)),IFERROR(BX204/BX206,""),"")</f>
        <v>3.21867034232738</v>
      </c>
      <c r="BY207" s="228">
        <f>IFERROR(BY204/BY206,"")</f>
        <v>3.03617250716192</v>
      </c>
      <c r="BZ207" s="228">
        <f>IFERROR(BZ204/BZ206,"")</f>
        <v>1.92125777884383</v>
      </c>
      <c r="CA207" s="228">
        <f>IFERROR(CA204/CA206,"")</f>
        <v>9.36849711950624</v>
      </c>
      <c r="CB207" s="228">
        <f>IFERROR(CB204/CB206,"")</f>
        <v>10.6732297410993</v>
      </c>
      <c r="CC207" s="228">
        <f>IFERROR(CC204/CC206,"")</f>
        <v>12.521174491703</v>
      </c>
      <c r="CD207" s="228">
        <f>IFERROR(CD204/CD206,"")</f>
        <v>14.3146926748439</v>
      </c>
      <c r="CE207" s="228">
        <f>IFERROR(CE204/CE206,"")</f>
        <v>16.0496791658673</v>
      </c>
      <c r="CF207" s="20" t="n"/>
      <c r="CH207" s="21">
        <f>IFERROR((CE207/BV207)^(1/5)-1,"n/m")</f>
        <v>0.168043668990166</v>
      </c>
      <c r="CI207" s="21">
        <f>IFERROR((BV207/AW207)^(1/5)-1,"n/m")</f>
        <v>0.260481842640036</v>
      </c>
      <c r="CJ207" s="21">
        <f>IFERROR((BV207/X207)^(1/10)-1,"n/m")</f>
        <v>0.192440515258553</v>
      </c>
      <c r="CK207" s="21">
        <f>IFERROR((BV207/C207)^(1/19)-1,"n/m")</f>
        <v>0.0565203427112941</v>
      </c>
    </row>
    <row r="208" hidden="1" outlineLevel="1" ht="15" customHeight="1">
      <c r="B208" s="42" t="inlineStr">
        <is>
          <t xml:space="preserve">  Company-published adjusted EPS – diluted ($)</t>
        </is>
      </c>
      <c r="C208" s="225" t="n"/>
      <c r="D208" s="225" t="n"/>
      <c r="E208" s="225" t="n"/>
      <c r="F208" s="225" t="n"/>
      <c r="G208" s="225" t="n"/>
      <c r="H208" s="225" t="n"/>
      <c r="I208" s="225" t="n"/>
      <c r="J208" s="225" t="n"/>
      <c r="K208" s="225" t="n"/>
      <c r="L208" s="225" t="n"/>
      <c r="M208" s="225" t="n"/>
      <c r="N208" s="225" t="n"/>
      <c r="O208" s="225" t="n"/>
      <c r="P208" s="225" t="n"/>
      <c r="Q208" s="223" t="n">
        <v>0.45</v>
      </c>
      <c r="R208" s="225" t="n"/>
      <c r="S208" s="223" t="n">
        <v>1.53</v>
      </c>
      <c r="T208" s="225" t="n"/>
      <c r="U208" s="223" t="n">
        <v>0.72</v>
      </c>
      <c r="V208" s="223" t="n">
        <v>0.6899999999999999</v>
      </c>
      <c r="W208" s="225" t="n"/>
      <c r="X208" s="223" t="n">
        <v>1.27</v>
      </c>
      <c r="Y208" s="225" t="n"/>
      <c r="Z208" s="223" t="n">
        <v>0.15</v>
      </c>
      <c r="AA208" s="223" t="n">
        <v>0.16</v>
      </c>
      <c r="AB208" s="225" t="n"/>
      <c r="AC208" s="225" t="n"/>
      <c r="AD208" s="225" t="n"/>
      <c r="AE208" s="223" t="n">
        <v>0.24</v>
      </c>
      <c r="AF208" s="223" t="n">
        <v>0.21</v>
      </c>
      <c r="AG208" s="225" t="n"/>
      <c r="AH208" s="225" t="n"/>
      <c r="AI208" s="225" t="n"/>
      <c r="AJ208" s="223" t="n">
        <v>0.54</v>
      </c>
      <c r="AK208" s="223" t="n">
        <v>0.59</v>
      </c>
      <c r="AL208" s="223" t="n">
        <v>0.24</v>
      </c>
      <c r="AM208" s="223" t="n">
        <v>1.26</v>
      </c>
      <c r="AN208" s="223" t="n">
        <v>0.09</v>
      </c>
      <c r="AO208" s="223" t="n">
        <v>0.66</v>
      </c>
      <c r="AP208" s="223" t="n">
        <v>0.72</v>
      </c>
      <c r="AQ208" s="223" t="n">
        <v>0.42</v>
      </c>
      <c r="AR208" s="223" t="n">
        <v>1.89</v>
      </c>
      <c r="AS208" s="223" t="n">
        <v>0.28</v>
      </c>
      <c r="AT208" s="223" t="n">
        <v>0.52</v>
      </c>
      <c r="AU208" s="223" t="n">
        <v>0.9</v>
      </c>
      <c r="AV208" s="223" t="n">
        <v>0.63</v>
      </c>
      <c r="AW208" s="223" t="n">
        <v>2.32</v>
      </c>
      <c r="AX208" s="223" t="n">
        <v>0.42</v>
      </c>
      <c r="AY208" s="223" t="n">
        <v>1.19</v>
      </c>
      <c r="AZ208" s="223" t="n">
        <v>1.14</v>
      </c>
      <c r="BA208" s="223" t="n">
        <v>0.89</v>
      </c>
      <c r="BB208" s="223" t="n">
        <v>3.64</v>
      </c>
      <c r="BC208" s="223" t="n">
        <v>0.83</v>
      </c>
      <c r="BD208" s="223" t="n">
        <v>2.44</v>
      </c>
      <c r="BE208" s="223" t="n">
        <v>2.43</v>
      </c>
      <c r="BF208" s="223" t="n">
        <v>1.44</v>
      </c>
      <c r="BG208" s="223" t="n">
        <v>7.15</v>
      </c>
      <c r="BH208" s="223" t="n">
        <v>1.36</v>
      </c>
      <c r="BI208" s="223" t="n">
        <v>2.13</v>
      </c>
      <c r="BJ208" s="223" t="n">
        <v>1.68</v>
      </c>
      <c r="BK208" s="223" t="n">
        <v>1.82</v>
      </c>
      <c r="BL208" s="223" t="n">
        <v>6.99</v>
      </c>
      <c r="BM208" s="223" t="n">
        <v>1.29</v>
      </c>
      <c r="BN208" s="225" t="n"/>
      <c r="BO208" s="225" t="n"/>
      <c r="BP208" s="225" t="n"/>
      <c r="BQ208" s="225" t="n"/>
      <c r="BR208" s="225" t="n"/>
      <c r="BS208" s="225" t="n"/>
      <c r="BT208" s="225" t="n"/>
      <c r="BU208" s="225" t="n"/>
      <c r="BV208" s="225" t="n"/>
      <c r="BW208" s="225" t="n"/>
      <c r="BX208" s="225" t="n"/>
      <c r="BY208" s="224" t="n"/>
      <c r="BZ208" s="224" t="n"/>
      <c r="CA208" s="224" t="n"/>
      <c r="CB208" s="224" t="n"/>
      <c r="CC208" s="224" t="n"/>
      <c r="CD208" s="224" t="n"/>
      <c r="CE208" s="224" t="n"/>
      <c r="CF208" s="177" t="n"/>
    </row>
    <row r="209" hidden="1" outlineLevel="1" ht="15" customHeight="1">
      <c r="B209" s="61" t="inlineStr">
        <is>
          <t xml:space="preserve">  Check: model vs company-published adjusted EPS (should be 0.00)</t>
        </is>
      </c>
      <c r="C209" s="219" t="str">
        <f>IF(ISNUMBER(C208),ROUND(C207-C208,2),"n/p")</f>
        <v>n/p</v>
      </c>
      <c r="D209" s="219" t="str">
        <f>IF(ISNUMBER(D208),ROUND(D207-D208,2),"n/p")</f>
        <v>n/p</v>
      </c>
      <c r="E209" s="219" t="str">
        <f>IF(ISNUMBER(E208),ROUND(E207-E208,2),"n/p")</f>
        <v>n/p</v>
      </c>
      <c r="F209" s="219" t="str">
        <f>IF(ISNUMBER(F208),ROUND(F207-F208,2),"n/p")</f>
        <v>n/p</v>
      </c>
      <c r="G209" s="219" t="str">
        <f>IF(ISNUMBER(G208),ROUND(G207-G208,2),"n/p")</f>
        <v>n/p</v>
      </c>
      <c r="H209" s="219" t="str">
        <f>IF(ISNUMBER(H208),ROUND(H207-H208,2),"n/p")</f>
        <v>n/p</v>
      </c>
      <c r="I209" s="219" t="str">
        <f>IF(ISNUMBER(I208),ROUND(I207-I208,2),"n/p")</f>
        <v>n/p</v>
      </c>
      <c r="J209" s="219" t="str">
        <f>IF(ISNUMBER(J208),ROUND(J207-J208,2),"n/p")</f>
        <v>n/p</v>
      </c>
      <c r="K209" s="219" t="str">
        <f>IF(ISNUMBER(K208),ROUND(K207-K208,2),"n/p")</f>
        <v>n/p</v>
      </c>
      <c r="L209" s="219" t="str">
        <f>IF(ISNUMBER(L208),ROUND(L207-L208,2),"n/p")</f>
        <v>n/p</v>
      </c>
      <c r="M209" s="219" t="str">
        <f>IF(ISNUMBER(M208),ROUND(M207-M208,2),"n/p")</f>
        <v>n/p</v>
      </c>
      <c r="N209" s="219" t="str">
        <f>IF(ISNUMBER(N208),ROUND(N207-N208,2),"n/p")</f>
        <v>n/p</v>
      </c>
      <c r="O209" s="219" t="str">
        <f>IF(ISNUMBER(O208),ROUND(O207-O208,2),"n/p")</f>
        <v>n/p</v>
      </c>
      <c r="P209" s="219" t="str">
        <f>IF(ISNUMBER(P208),ROUND(P207-P208,2),"n/p")</f>
        <v>n/p</v>
      </c>
      <c r="Q209" s="219">
        <f>IF(ISNUMBER(Q208),ROUND(Q207-Q208,2),"n/p")</f>
        <v>0</v>
      </c>
      <c r="R209" s="219" t="str">
        <f>IF(ISNUMBER(R208),ROUND(R207-R208,2),"n/p")</f>
        <v>n/p</v>
      </c>
      <c r="S209" s="219">
        <f>IF(ISNUMBER(S208),ROUND(S207-S208,2),"n/p")</f>
        <v>0</v>
      </c>
      <c r="T209" s="219" t="str">
        <f>IF(ISNUMBER(T208),ROUND(T207-T208,2),"n/p")</f>
        <v>n/p</v>
      </c>
      <c r="U209" s="219">
        <f>IF(ISNUMBER(U208),ROUND(U207-U208,2),"n/p")</f>
        <v>0</v>
      </c>
      <c r="V209" s="219">
        <f>IF(ISNUMBER(V208),ROUND(V207-V208,2),"n/p")</f>
        <v>0</v>
      </c>
      <c r="W209" s="219" t="str">
        <f>IF(ISNUMBER(W208),ROUND(W207-W208,2),"n/p")</f>
        <v>n/p</v>
      </c>
      <c r="X209" s="219">
        <f>IF(ISNUMBER(X208),ROUND(X207-X208,2),"n/p")</f>
        <v>0</v>
      </c>
      <c r="Y209" s="219" t="str">
        <f>IF(ISNUMBER(Y208),ROUND(Y207-Y208,2),"n/p")</f>
        <v>n/p</v>
      </c>
      <c r="Z209" s="219">
        <f>IF(ISNUMBER(Z208),ROUND(Z207-Z208,2),"n/p")</f>
        <v>0</v>
      </c>
      <c r="AA209" s="219">
        <f>IF(ISNUMBER(AA208),ROUND(AA207-AA208,2),"n/p")</f>
        <v>0</v>
      </c>
      <c r="AB209" s="219" t="str">
        <f>IF(ISNUMBER(AB208),ROUND(AB207-AB208,2),"n/p")</f>
        <v>n/p</v>
      </c>
      <c r="AC209" s="219" t="str">
        <f>IF(ISNUMBER(AC208),ROUND(AC207-AC208,2),"n/p")</f>
        <v>n/p</v>
      </c>
      <c r="AD209" s="219" t="str">
        <f>IF(ISNUMBER(AD208),ROUND(AD207-AD208,2),"n/p")</f>
        <v>n/p</v>
      </c>
      <c r="AE209" s="219">
        <f>IF(ISNUMBER(AE208),ROUND(AE207-AE208,2),"n/p")</f>
        <v>0</v>
      </c>
      <c r="AF209" s="219">
        <f>IF(ISNUMBER(AF208),ROUND(AF207-AF208,2),"n/p")</f>
        <v>0</v>
      </c>
      <c r="AG209" s="219" t="str">
        <f>IF(ISNUMBER(AG208),ROUND(AG207-AG208,2),"n/p")</f>
        <v>n/p</v>
      </c>
      <c r="AH209" s="219" t="str">
        <f>IF(ISNUMBER(AH208),ROUND(AH207-AH208,2),"n/p")</f>
        <v>n/p</v>
      </c>
      <c r="AI209" s="219" t="str">
        <f>IF(ISNUMBER(AI208),ROUND(AI207-AI208,2),"n/p")</f>
        <v>n/p</v>
      </c>
      <c r="AJ209" s="219">
        <f>IF(ISNUMBER(AJ208),ROUND(AJ207-AJ208,2),"n/p")</f>
        <v>0</v>
      </c>
      <c r="AK209" s="219">
        <f>IF(ISNUMBER(AK208),ROUND(AK207-AK208,2),"n/p")</f>
        <v>0</v>
      </c>
      <c r="AL209" s="219">
        <f>IF(ISNUMBER(AL208),ROUND(AL207-AL208,2),"n/p")</f>
        <v>0</v>
      </c>
      <c r="AM209" s="219">
        <f>IF(ISNUMBER(AM208),ROUND(AM207-AM208,2),"n/p")</f>
        <v>0</v>
      </c>
      <c r="AN209" s="219">
        <f>IF(ISNUMBER(AN208),ROUND(AN207-AN208,2),"n/p")</f>
        <v>0</v>
      </c>
      <c r="AO209" s="219">
        <f>IF(ISNUMBER(AO208),ROUND(AO207-AO208,2),"n/p")</f>
        <v>0</v>
      </c>
      <c r="AP209" s="219">
        <f>IF(ISNUMBER(AP208),ROUND(AP207-AP208,2),"n/p")</f>
        <v>0</v>
      </c>
      <c r="AQ209" s="219">
        <f>IF(ISNUMBER(AQ208),ROUND(AQ207-AQ208,2),"n/p")</f>
        <v>0</v>
      </c>
      <c r="AR209" s="219">
        <f>IF(ISNUMBER(AR208),ROUND(AR207-AR208,2),"n/p")</f>
        <v>0</v>
      </c>
      <c r="AS209" s="219">
        <f>IF(ISNUMBER(AS208),ROUND(AS207-AS208,2),"n/p")</f>
        <v>0</v>
      </c>
      <c r="AT209" s="219">
        <f>IF(ISNUMBER(AT208),ROUND(AT207-AT208,2),"n/p")</f>
        <v>0</v>
      </c>
      <c r="AU209" s="219">
        <f>IF(ISNUMBER(AU208),ROUND(AU207-AU208,2),"n/p")</f>
        <v>0</v>
      </c>
      <c r="AV209" s="219">
        <f>IF(ISNUMBER(AV208),ROUND(AV207-AV208,2),"n/p")</f>
        <v>0</v>
      </c>
      <c r="AW209" s="219">
        <f>IF(ISNUMBER(AW208),ROUND(AW207-AW208,2),"n/p")</f>
        <v>0</v>
      </c>
      <c r="AX209" s="219">
        <f>IF(ISNUMBER(AX208),ROUND(AX207-AX208,2),"n/p")</f>
        <v>0</v>
      </c>
      <c r="AY209" s="219">
        <f>IF(ISNUMBER(AY208),ROUND(AY207-AY208,2),"n/p")</f>
        <v>0</v>
      </c>
      <c r="AZ209" s="219">
        <f>IF(ISNUMBER(AZ208),ROUND(AZ207-AZ208,2),"n/p")</f>
        <v>0</v>
      </c>
      <c r="BA209" s="219">
        <f>IF(ISNUMBER(BA208),ROUND(BA207-BA208,2),"n/p")</f>
        <v>0</v>
      </c>
      <c r="BB209" s="219">
        <f>IF(ISNUMBER(BB208),ROUND(BB207-BB208,2),"n/p")</f>
        <v>0</v>
      </c>
      <c r="BC209" s="219">
        <f>IF(ISNUMBER(BC208),ROUND(BC207-BC208,2),"n/p")</f>
        <v>0</v>
      </c>
      <c r="BD209" s="219">
        <f>IF(ISNUMBER(BD208),ROUND(BD207-BD208,2),"n/p")</f>
        <v>0</v>
      </c>
      <c r="BE209" s="219">
        <f>IF(ISNUMBER(BE208),ROUND(BE207-BE208,2),"n/p")</f>
        <v>0</v>
      </c>
      <c r="BF209" s="219">
        <f>IF(ISNUMBER(BF208),ROUND(BF207-BF208,2),"n/p")</f>
        <v>0</v>
      </c>
      <c r="BG209" s="219">
        <f>IF(ISNUMBER(BG208),ROUND(BG207-BG208,2),"n/p")</f>
        <v>0</v>
      </c>
      <c r="BH209" s="219">
        <f>IF(ISNUMBER(BH208),ROUND(BH207-BH208,2),"n/p")</f>
        <v>0</v>
      </c>
      <c r="BI209" s="219">
        <f>IF(ISNUMBER(BI208),ROUND(BI207-BI208,2),"n/p")</f>
        <v>0</v>
      </c>
      <c r="BJ209" s="219">
        <f>IF(ISNUMBER(BJ208),ROUND(BJ207-BJ208,2),"n/p")</f>
        <v>0</v>
      </c>
      <c r="BK209" s="219">
        <f>IF(ISNUMBER(BK208),ROUND(BK207-BK208,2),"n/p")</f>
        <v>0</v>
      </c>
      <c r="BL209" s="219">
        <f>IF(ISNUMBER(BL208),ROUND(BL207-BL208,2),"n/p")</f>
        <v>0</v>
      </c>
      <c r="BM209" s="219">
        <f>IF(ISNUMBER(BM208),ROUND(BM207-BM208,2),"n/p")</f>
        <v>0</v>
      </c>
      <c r="BN209" s="219" t="str">
        <f>IF(ISNUMBER(BN208),ROUND(BN207-BN208,2),"n/p")</f>
        <v>n/p</v>
      </c>
      <c r="BO209" s="219" t="str">
        <f>IF(ISNUMBER(BO208),ROUND(BO207-BO208,2),"n/p")</f>
        <v>n/p</v>
      </c>
      <c r="BP209" s="219" t="str">
        <f>IF(ISNUMBER(BP208),ROUND(BP207-BP208,2),"n/p")</f>
        <v>n/p</v>
      </c>
      <c r="BQ209" s="219" t="str">
        <f>IF(ISNUMBER(BQ208),ROUND(BQ207-BQ208,2),"n/p")</f>
        <v>n/p</v>
      </c>
      <c r="BR209" s="219" t="str">
        <f>IF(ISNUMBER(BR208),ROUND(BR207-BR208,2),"n/p")</f>
        <v>n/p</v>
      </c>
      <c r="BS209" s="219" t="str">
        <f>IF(ISNUMBER(BS208),ROUND(BS207-BS208,2),"n/p")</f>
        <v>n/p</v>
      </c>
      <c r="BT209" s="219" t="str">
        <f>IF(ISNUMBER(BT208),ROUND(BT207-BT208,2),"n/p")</f>
        <v>n/p</v>
      </c>
      <c r="BU209" s="219" t="str">
        <f>IF(ISNUMBER(BU208),ROUND(BU207-BU208,2),"n/p")</f>
        <v>n/p</v>
      </c>
      <c r="BV209" s="219" t="str">
        <f>IF(ISNUMBER(BV208),ROUND(BV207-BV208,2),"n/p")</f>
        <v>n/p</v>
      </c>
      <c r="BW209" s="219" t="str">
        <f>IF(ISNUMBER(BW208),ROUND(BW207-BW208,2),"n/p")</f>
        <v>n/p</v>
      </c>
      <c r="BX209" s="219" t="str">
        <f>IF(ISNUMBER(BX208),ROUND(BX207-BX208,2),"n/p")</f>
        <v>n/p</v>
      </c>
      <c r="BY209" s="224" t="n"/>
      <c r="BZ209" s="224" t="n"/>
      <c r="CA209" s="224" t="n"/>
      <c r="CB209" s="224" t="n"/>
      <c r="CC209" s="224" t="n"/>
      <c r="CD209" s="224" t="n"/>
      <c r="CE209" s="224" t="n"/>
      <c r="CF209" s="177" t="n"/>
    </row>
    <row r="210" hidden="1" outlineLevel="1" ht="15" customHeight="1">
      <c r="B210" s="67" t="inlineStr">
        <is>
          <t xml:space="preserve">  Definition basis (company adjusted EPS, where published)</t>
        </is>
      </c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inlineStr">
        <is>
          <t>Published from Q3/14: goodwill impairment (net of tax)</t>
        </is>
      </c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  <c r="AA210" s="68" t="n"/>
      <c r="AB210" s="68" t="n"/>
      <c r="AC210" s="68" t="n"/>
      <c r="AD210" s="68" t="n"/>
      <c r="AE210" s="68" t="inlineStr">
        <is>
          <t>+ debt extinguishment, gains/losses on sale, tax valuation allowances</t>
        </is>
      </c>
      <c r="AF210" s="68" t="n"/>
      <c r="AG210" s="68" t="n"/>
      <c r="AH210" s="68" t="n"/>
      <c r="AI210" s="68" t="n"/>
      <c r="AJ210" s="68" t="n"/>
      <c r="AK210" s="68" t="n"/>
      <c r="AL210" s="68" t="n"/>
      <c r="AM210" s="68" t="n"/>
      <c r="AN210" s="68" t="n"/>
      <c r="AO210" s="68" t="n"/>
      <c r="AP210" s="68" t="n"/>
      <c r="AQ210" s="68" t="n"/>
      <c r="AR210" s="68" t="n"/>
      <c r="AS210" s="68" t="n"/>
      <c r="AT210" s="68" t="n"/>
      <c r="AU210" s="68" t="n"/>
      <c r="AV210" s="68" t="n"/>
      <c r="AW210" s="68" t="n"/>
      <c r="AX210" s="68" t="n"/>
      <c r="AY210" s="68" t="n"/>
      <c r="AZ210" s="68" t="n"/>
      <c r="BA210" s="68" t="n"/>
      <c r="BB210" s="68" t="n"/>
      <c r="BC210" s="68" t="n"/>
      <c r="BD210" s="68" t="n"/>
      <c r="BE210" s="68" t="n"/>
      <c r="BF210" s="68" t="n"/>
      <c r="BG210" s="68" t="n"/>
      <c r="BH210" s="68" t="n"/>
      <c r="BI210" s="68" t="n"/>
      <c r="BJ210" s="68" t="n"/>
      <c r="BK210" s="68" t="n"/>
      <c r="BL210" s="68" t="n"/>
      <c r="BM210" s="68" t="n"/>
      <c r="BN210" s="68" t="inlineStr">
        <is>
          <t>Not published from Q2/24 — model = GAAP + pre-tax items × (1 − t)</t>
        </is>
      </c>
      <c r="BO210" s="68" t="n"/>
      <c r="BP210" s="68" t="n"/>
      <c r="BQ210" s="68" t="n"/>
      <c r="BR210" s="68" t="n"/>
      <c r="BS210" s="68" t="n"/>
      <c r="BT210" s="68" t="n"/>
      <c r="BU210" s="68" t="n"/>
      <c r="BV210" s="68" t="n"/>
      <c r="BW210" s="68" t="n"/>
      <c r="BX210" s="68" t="n"/>
      <c r="BY210" s="177" t="n"/>
      <c r="BZ210" s="177" t="n"/>
      <c r="CA210" s="177" t="n"/>
      <c r="CB210" s="177" t="n"/>
      <c r="CC210" s="177" t="n"/>
      <c r="CD210" s="177" t="n"/>
      <c r="CE210" s="177" t="n"/>
      <c r="CF210" s="20" t="n"/>
    </row>
    <row r="211" hidden="1" outlineLevel="1" ht="15" customHeight="1"/>
    <row r="212" hidden="1" outlineLevel="1" ht="15" customHeight="1">
      <c r="B212" s="11" t="inlineStr">
        <is>
          <t>RECONCILIATION: NET CASH FROM OPERATING ACTIVITIES → ADJUSTED FREE CASH FLOW (company definition)</t>
        </is>
      </c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  <c r="AH212" s="11" t="n"/>
      <c r="AI212" s="11" t="n"/>
      <c r="AJ212" s="11" t="n"/>
      <c r="AK212" s="11" t="n"/>
      <c r="AL212" s="11" t="n"/>
      <c r="AM212" s="11" t="n"/>
      <c r="AN212" s="11" t="n"/>
      <c r="AO212" s="11" t="n"/>
      <c r="AP212" s="11" t="n"/>
      <c r="AQ212" s="11" t="n"/>
      <c r="AR212" s="11" t="n"/>
      <c r="AS212" s="11" t="n"/>
      <c r="AT212" s="11" t="n"/>
      <c r="AU212" s="11" t="n"/>
      <c r="AV212" s="11" t="n"/>
      <c r="AW212" s="11" t="n"/>
      <c r="AX212" s="11" t="n"/>
      <c r="AY212" s="11" t="n"/>
      <c r="AZ212" s="11" t="n"/>
      <c r="BA212" s="11" t="n"/>
      <c r="BB212" s="11" t="n"/>
      <c r="BC212" s="11" t="n"/>
      <c r="BD212" s="11" t="n"/>
      <c r="BE212" s="11" t="n"/>
      <c r="BF212" s="11" t="n"/>
      <c r="BG212" s="11" t="n"/>
      <c r="BH212" s="11" t="n"/>
      <c r="BI212" s="11" t="n"/>
      <c r="BJ212" s="11" t="n"/>
      <c r="BK212" s="11" t="n"/>
      <c r="BL212" s="11" t="n"/>
      <c r="BM212" s="11" t="n"/>
      <c r="BN212" s="11" t="n"/>
      <c r="BO212" s="11" t="n"/>
      <c r="BP212" s="11" t="n"/>
      <c r="BQ212" s="11" t="n"/>
      <c r="BR212" s="11" t="n"/>
      <c r="BS212" s="11" t="n"/>
      <c r="BT212" s="11" t="n"/>
      <c r="BU212" s="11" t="n"/>
      <c r="BV212" s="11" t="n"/>
      <c r="BW212" s="11" t="n"/>
      <c r="BX212" s="11" t="n"/>
      <c r="BY212" s="11" t="n"/>
      <c r="BZ212" s="11" t="n"/>
      <c r="CA212" s="11" t="n"/>
      <c r="CB212" s="11" t="n"/>
      <c r="CC212" s="11" t="n"/>
      <c r="CD212" s="11" t="n"/>
      <c r="CE212" s="11" t="n"/>
      <c r="CF212" s="11" t="inlineStr">
        <is>
          <t>ADJUSTED FCF — CLH's primary cash KPI: CFO − additions to PP&amp;E + proceeds from disposals, excluding strategic growth investments / non-operating items</t>
        </is>
      </c>
    </row>
    <row r="213" hidden="1" outlineLevel="1" ht="15" customHeight="1">
      <c r="B213" s="17" t="inlineStr">
        <is>
          <t>Net cash from operating activities (GAAP)</t>
        </is>
      </c>
      <c r="C213" s="214">
        <f>C250</f>
        <v>61.382</v>
      </c>
      <c r="D213" s="214">
        <f>D250</f>
        <v>79.995</v>
      </c>
      <c r="E213" s="214">
        <f>E250</f>
        <v>109.59</v>
      </c>
      <c r="F213" s="214">
        <f>F250</f>
        <v>93.27</v>
      </c>
      <c r="G213" s="214">
        <f>G250</f>
        <v>224.108</v>
      </c>
      <c r="H213" s="214">
        <f>H250</f>
        <v>179.531</v>
      </c>
      <c r="I213" s="214">
        <f>I250</f>
        <v>324.365</v>
      </c>
      <c r="J213" s="214">
        <f>J250</f>
        <v>39.589</v>
      </c>
      <c r="K213" s="214">
        <f>K250</f>
        <v>98.023</v>
      </c>
      <c r="L213" s="214">
        <f>L250</f>
        <v>142.502</v>
      </c>
      <c r="M213" s="214">
        <f>M250</f>
        <v>135.725</v>
      </c>
      <c r="N213" s="214">
        <f>N250</f>
        <v>415.839</v>
      </c>
      <c r="O213" s="214">
        <f>O250</f>
        <v>4.596</v>
      </c>
      <c r="P213" s="214">
        <f>P250</f>
        <v>110.348</v>
      </c>
      <c r="Q213" s="214">
        <f>Q250</f>
        <v>81.095</v>
      </c>
      <c r="R213" s="214">
        <f>R250</f>
        <v>101.327</v>
      </c>
      <c r="S213" s="214">
        <f>S250</f>
        <v>297.366</v>
      </c>
      <c r="T213" s="214">
        <f>T250</f>
        <v>84.777</v>
      </c>
      <c r="U213" s="214">
        <f>U250</f>
        <v>109.038</v>
      </c>
      <c r="V213" s="214">
        <f>V250</f>
        <v>115.778</v>
      </c>
      <c r="W213" s="214">
        <f>W250</f>
        <v>86.79</v>
      </c>
      <c r="X213" s="214">
        <f>X250</f>
        <v>396.383</v>
      </c>
      <c r="Y213" s="214">
        <f>Y250</f>
        <v>39.289</v>
      </c>
      <c r="Z213" s="214">
        <f>Z250</f>
        <v>80.762</v>
      </c>
      <c r="AA213" s="214">
        <f>AA250</f>
        <v>58.776</v>
      </c>
      <c r="AB213" s="214">
        <f>AB250</f>
        <v>80.797</v>
      </c>
      <c r="AC213" s="214">
        <f>AC250</f>
        <v>259.624</v>
      </c>
      <c r="AD213" s="214">
        <f>AD250</f>
        <v>57.119</v>
      </c>
      <c r="AE213" s="214">
        <f>AE250</f>
        <v>59.812</v>
      </c>
      <c r="AF213" s="214">
        <f>AF250</f>
        <v>104.538</v>
      </c>
      <c r="AG213" s="214">
        <f>AG250</f>
        <v>64.229</v>
      </c>
      <c r="AH213" s="214">
        <f>AH250</f>
        <v>285.698</v>
      </c>
      <c r="AI213" s="214">
        <f>AI250</f>
        <v>51.903</v>
      </c>
      <c r="AJ213" s="214">
        <f>AJ250</f>
        <v>77.767</v>
      </c>
      <c r="AK213" s="214">
        <f>AK250</f>
        <v>117.545</v>
      </c>
      <c r="AL213" s="214">
        <f>AL250</f>
        <v>125.995</v>
      </c>
      <c r="AM213" s="214">
        <f>AM250</f>
        <v>373.21</v>
      </c>
      <c r="AN213" s="214">
        <f>AN250</f>
        <v>29.74</v>
      </c>
      <c r="AO213" s="214">
        <f>AO250</f>
        <v>108.73</v>
      </c>
      <c r="AP213" s="214">
        <f>AP250</f>
        <v>146.205</v>
      </c>
      <c r="AQ213" s="214">
        <f>AQ250</f>
        <v>128.517</v>
      </c>
      <c r="AR213" s="214">
        <f>AR250</f>
        <v>413.192</v>
      </c>
      <c r="AS213" s="214">
        <f>AS250</f>
        <v>33.681</v>
      </c>
      <c r="AT213" s="214">
        <f>AT250</f>
        <v>139.805</v>
      </c>
      <c r="AU213" s="214">
        <f>AU250</f>
        <v>143.946</v>
      </c>
      <c r="AV213" s="214">
        <f>AV250</f>
        <v>113.165</v>
      </c>
      <c r="AW213" s="214">
        <f>AW250</f>
        <v>430.597</v>
      </c>
      <c r="AX213" s="214">
        <f>AX250</f>
        <v>103</v>
      </c>
      <c r="AY213" s="214">
        <f>AY250</f>
        <v>162.432</v>
      </c>
      <c r="AZ213" s="214">
        <f>AZ250</f>
        <v>102.794</v>
      </c>
      <c r="BA213" s="214">
        <f>BA250</f>
        <v>177.771</v>
      </c>
      <c r="BB213" s="214">
        <f>BB250</f>
        <v>545.997</v>
      </c>
      <c r="BC213" s="214">
        <f>BC250</f>
        <v>-38.629</v>
      </c>
      <c r="BD213" s="214">
        <f>BD250</f>
        <v>170.599</v>
      </c>
      <c r="BE213" s="214">
        <f>BE250</f>
        <v>225.572</v>
      </c>
      <c r="BF213" s="214">
        <f>BF250</f>
        <v>268.672</v>
      </c>
      <c r="BG213" s="214">
        <f>BG250</f>
        <v>626.214</v>
      </c>
      <c r="BH213" s="214">
        <f>BH250</f>
        <v>28.008</v>
      </c>
      <c r="BI213" s="214">
        <f>BI250</f>
        <v>207.565</v>
      </c>
      <c r="BJ213" s="214">
        <f>BJ250</f>
        <v>220.119</v>
      </c>
      <c r="BK213" s="214">
        <f>BK250</f>
        <v>278.86</v>
      </c>
      <c r="BL213" s="214">
        <f>BL250</f>
        <v>734.552</v>
      </c>
      <c r="BM213" s="214">
        <f>BM250</f>
        <v>18.549</v>
      </c>
      <c r="BN213" s="214">
        <f>BN250</f>
        <v>216.045</v>
      </c>
      <c r="BO213" s="214">
        <f>BO250</f>
        <v>239.239</v>
      </c>
      <c r="BP213" s="214">
        <f>BP250</f>
        <v>303.938</v>
      </c>
      <c r="BQ213" s="214">
        <f>BQ250</f>
        <v>777.771</v>
      </c>
      <c r="BR213" s="214">
        <f>BR250</f>
        <v>1.605</v>
      </c>
      <c r="BS213" s="214">
        <f>BS250</f>
        <v>208.04</v>
      </c>
      <c r="BT213" s="214">
        <f>BT250</f>
        <v>301.987</v>
      </c>
      <c r="BU213" s="214">
        <f>BU250</f>
        <v>355.093</v>
      </c>
      <c r="BV213" s="214">
        <f>BV250</f>
        <v>866.725</v>
      </c>
      <c r="BW213" s="214">
        <f>BW250</f>
        <v>6.297</v>
      </c>
      <c r="BX213" s="214">
        <f>BX250</f>
        <v>239.173</v>
      </c>
      <c r="BY213" s="34" t="n"/>
      <c r="BZ213" s="34" t="n"/>
      <c r="CA213" s="176">
        <f>CA250</f>
        <v>941.423718105709</v>
      </c>
      <c r="CB213" s="176">
        <f>CB250</f>
        <v>1093.23563527854</v>
      </c>
      <c r="CC213" s="176">
        <f>CC250</f>
        <v>1196.92358220277</v>
      </c>
      <c r="CD213" s="176">
        <f>CD250</f>
        <v>1319.03118912061</v>
      </c>
      <c r="CE213" s="176">
        <f>CE250</f>
        <v>1431.80540603753</v>
      </c>
      <c r="CF213" s="177" t="n"/>
    </row>
    <row r="214" hidden="1" outlineLevel="1" ht="15" customHeight="1">
      <c r="B214" s="26" t="inlineStr">
        <is>
          <t xml:space="preserve">  (−) Additions to property, plant &amp; equipment</t>
        </is>
      </c>
      <c r="C214" s="212">
        <f>C251</f>
        <v>-40.668</v>
      </c>
      <c r="D214" s="212">
        <f>D251</f>
        <v>-36.528</v>
      </c>
      <c r="E214" s="212">
        <f>E251</f>
        <v>-57.462</v>
      </c>
      <c r="F214" s="212">
        <f>F251</f>
        <v>-62.244</v>
      </c>
      <c r="G214" s="212">
        <f>G251</f>
        <v>-116.45</v>
      </c>
      <c r="H214" s="212">
        <f>H251</f>
        <v>-148.513</v>
      </c>
      <c r="I214" s="212">
        <f>I251</f>
        <v>-197.397</v>
      </c>
      <c r="J214" s="212">
        <f>J251</f>
        <v>-72.249</v>
      </c>
      <c r="K214" s="212">
        <f>K251</f>
        <v>-69.217</v>
      </c>
      <c r="L214" s="212">
        <f>L251</f>
        <v>-66.175</v>
      </c>
      <c r="M214" s="212">
        <f>M251</f>
        <v>-72.566</v>
      </c>
      <c r="N214" s="212">
        <f>N251</f>
        <v>-280.207</v>
      </c>
      <c r="O214" s="212">
        <f>O251</f>
        <v>-75.005</v>
      </c>
      <c r="P214" s="212">
        <f>P251</f>
        <v>-63.181</v>
      </c>
      <c r="Q214" s="212">
        <f>Q251</f>
        <v>-60.691</v>
      </c>
      <c r="R214" s="212">
        <f>R251</f>
        <v>-58.736</v>
      </c>
      <c r="S214" s="212">
        <f>S251</f>
        <v>-257.613</v>
      </c>
      <c r="T214" s="212">
        <f>T251</f>
        <v>-52.949</v>
      </c>
      <c r="U214" s="212">
        <f>U251</f>
        <v>-71.196</v>
      </c>
      <c r="V214" s="212">
        <f>V251</f>
        <v>-65.854</v>
      </c>
      <c r="W214" s="212">
        <f>W251</f>
        <v>-67.197</v>
      </c>
      <c r="X214" s="212">
        <f>X251</f>
        <v>-257.196</v>
      </c>
      <c r="Y214" s="212">
        <f>Y251</f>
        <v>-75.781</v>
      </c>
      <c r="Z214" s="212">
        <f>Z251</f>
        <v>-47.748</v>
      </c>
      <c r="AA214" s="212">
        <f>AA251</f>
        <v>-51.819</v>
      </c>
      <c r="AB214" s="212">
        <f>AB251</f>
        <v>-44.036</v>
      </c>
      <c r="AC214" s="212">
        <f>AC251</f>
        <v>-219.384</v>
      </c>
      <c r="AD214" s="212">
        <f>AD251</f>
        <v>-42.462</v>
      </c>
      <c r="AE214" s="212">
        <f>AE251</f>
        <v>-46.28</v>
      </c>
      <c r="AF214" s="212">
        <f>AF251</f>
        <v>-38.994</v>
      </c>
      <c r="AG214" s="212">
        <f>AG251</f>
        <v>-39.271</v>
      </c>
      <c r="AH214" s="212">
        <f>AH251</f>
        <v>-167.007</v>
      </c>
      <c r="AI214" s="212">
        <f>AI251</f>
        <v>-44.242</v>
      </c>
      <c r="AJ214" s="212">
        <f>AJ251</f>
        <v>-49.897</v>
      </c>
      <c r="AK214" s="212">
        <f>AK251</f>
        <v>-56.583</v>
      </c>
      <c r="AL214" s="212">
        <f>AL251</f>
        <v>-42.622</v>
      </c>
      <c r="AM214" s="212">
        <f>AM251</f>
        <v>-193.344</v>
      </c>
      <c r="AN214" s="212">
        <f>AN251</f>
        <v>-58.947</v>
      </c>
      <c r="AO214" s="212">
        <f>AO251</f>
        <v>-59.425</v>
      </c>
      <c r="AP214" s="212">
        <f>AP251</f>
        <v>-56.161</v>
      </c>
      <c r="AQ214" s="212">
        <f>AQ251</f>
        <v>-41.791</v>
      </c>
      <c r="AR214" s="212">
        <f>AR251</f>
        <v>-216.324</v>
      </c>
      <c r="AS214" s="212">
        <f>AS251</f>
        <v>-82.767</v>
      </c>
      <c r="AT214" s="212">
        <f>AT251</f>
        <v>-42.954</v>
      </c>
      <c r="AU214" s="212">
        <f>AU251</f>
        <v>-24.636</v>
      </c>
      <c r="AV214" s="212">
        <f>AV251</f>
        <v>-45.899</v>
      </c>
      <c r="AW214" s="212">
        <f>AW251</f>
        <v>-196.256</v>
      </c>
      <c r="AX214" s="212">
        <f>AX251</f>
        <v>-41.913</v>
      </c>
      <c r="AY214" s="212">
        <f>AY251</f>
        <v>-50.075</v>
      </c>
      <c r="AZ214" s="212">
        <f>AZ251</f>
        <v>-54.666</v>
      </c>
      <c r="BA214" s="212">
        <f>BA251</f>
        <v>-95.202</v>
      </c>
      <c r="BB214" s="212">
        <f>BB251</f>
        <v>-241.856</v>
      </c>
      <c r="BC214" s="212">
        <f>BC251</f>
        <v>-70.308</v>
      </c>
      <c r="BD214" s="212">
        <f>BD251</f>
        <v>-77.734</v>
      </c>
      <c r="BE214" s="212">
        <f>BE251</f>
        <v>-96.505</v>
      </c>
      <c r="BF214" s="212">
        <f>BF251</f>
        <v>-100.509</v>
      </c>
      <c r="BG214" s="212">
        <f>BG251</f>
        <v>-345.056</v>
      </c>
      <c r="BH214" s="212">
        <f>BH251</f>
        <v>-81.686</v>
      </c>
      <c r="BI214" s="212">
        <f>BI251</f>
        <v>-122.612</v>
      </c>
      <c r="BJ214" s="212">
        <f>BJ251</f>
        <v>-107.608</v>
      </c>
      <c r="BK214" s="212">
        <f>BK251</f>
        <v>-110.394</v>
      </c>
      <c r="BL214" s="212">
        <f>BL251</f>
        <v>-422.3</v>
      </c>
      <c r="BM214" s="212">
        <f>BM251</f>
        <v>-137.913</v>
      </c>
      <c r="BN214" s="212">
        <f>BN251</f>
        <v>-135.11</v>
      </c>
      <c r="BO214" s="212">
        <f>BO251</f>
        <v>-96.803</v>
      </c>
      <c r="BP214" s="212">
        <f>BP251</f>
        <v>-62.415</v>
      </c>
      <c r="BQ214" s="212">
        <f>BQ251</f>
        <v>-432.241</v>
      </c>
      <c r="BR214" s="212">
        <f>BR251</f>
        <v>-118.695</v>
      </c>
      <c r="BS214" s="212">
        <f>BS251</f>
        <v>-90.029</v>
      </c>
      <c r="BT214" s="212">
        <f>BT251</f>
        <v>-94.445</v>
      </c>
      <c r="BU214" s="212">
        <f>BU251</f>
        <v>-121.749</v>
      </c>
      <c r="BV214" s="212">
        <f>BV251</f>
        <v>-424.918</v>
      </c>
      <c r="BW214" s="212">
        <f>BW251</f>
        <v>-98.443</v>
      </c>
      <c r="BX214" s="212">
        <f>BX251</f>
        <v>-126.195</v>
      </c>
      <c r="BY214" s="168" t="n"/>
      <c r="BZ214" s="168" t="n"/>
      <c r="CA214" s="186">
        <f>CA251</f>
        <v>-535</v>
      </c>
      <c r="CB214" s="186">
        <f>CB251</f>
        <v>-523.973146435558</v>
      </c>
      <c r="CC214" s="186">
        <f>CC251</f>
        <v>-567.108837532076</v>
      </c>
      <c r="CD214" s="186">
        <f>CD251</f>
        <v>-610.795397184042</v>
      </c>
      <c r="CE214" s="186">
        <f>CE251</f>
        <v>-655.912019540284</v>
      </c>
      <c r="CF214" s="20" t="n"/>
    </row>
    <row r="215" hidden="1" outlineLevel="1" ht="15" customHeight="1">
      <c r="B215" s="26" t="inlineStr">
        <is>
          <t xml:space="preserve">  (+) Proceeds from sale &amp; disposal of fixed assets</t>
        </is>
      </c>
      <c r="C215" s="212">
        <f>N(C252)</f>
        <v>2.01</v>
      </c>
      <c r="D215" s="212">
        <f>N(D252)</f>
        <v>0.615</v>
      </c>
      <c r="E215" s="212">
        <f>N(E252)</f>
        <v>0.537</v>
      </c>
      <c r="F215" s="212">
        <f>N(F252)</f>
        <v>0.452</v>
      </c>
      <c r="G215" s="212">
        <f>N(G252)</f>
        <v>16.053</v>
      </c>
      <c r="H215" s="212">
        <f>N(H252)</f>
        <v>6.794</v>
      </c>
      <c r="I215" s="212">
        <f>N(I252)</f>
        <v>8.125</v>
      </c>
      <c r="J215" s="212">
        <f>N(J252)</f>
        <v>0.921</v>
      </c>
      <c r="K215" s="212">
        <f>N(K252)</f>
        <v>1.273</v>
      </c>
      <c r="L215" s="212">
        <f>N(L252)</f>
        <v>1.506</v>
      </c>
      <c r="M215" s="212">
        <f>N(M252)</f>
        <v>0.999</v>
      </c>
      <c r="N215" s="212">
        <f>N(N252)</f>
        <v>4.699</v>
      </c>
      <c r="O215" s="212">
        <f>N(O252)</f>
        <v>0.876</v>
      </c>
      <c r="P215" s="212">
        <f>N(P252)</f>
        <v>2.11</v>
      </c>
      <c r="Q215" s="212">
        <f>N(Q252)</f>
        <v>2.927</v>
      </c>
      <c r="R215" s="212">
        <f>N(R252)</f>
        <v>2.251</v>
      </c>
      <c r="S215" s="212">
        <f>N(S252)</f>
        <v>8.164</v>
      </c>
      <c r="T215" s="212">
        <f>N(T252)</f>
        <v>0.76</v>
      </c>
      <c r="U215" s="212">
        <f>N(U252)</f>
        <v>1.886</v>
      </c>
      <c r="V215" s="212">
        <f>N(V252)</f>
        <v>1.094</v>
      </c>
      <c r="W215" s="212">
        <f>N(W252)</f>
        <v>2.455</v>
      </c>
      <c r="X215" s="212">
        <f>N(X252)</f>
        <v>6.195</v>
      </c>
      <c r="Y215" s="212">
        <f>N(Y252)</f>
        <v>1.273</v>
      </c>
      <c r="Z215" s="212">
        <f>N(Z252)</f>
        <v>1.395</v>
      </c>
      <c r="AA215" s="212">
        <f>N(AA252)</f>
        <v>1.314</v>
      </c>
      <c r="AB215" s="212">
        <f>N(AB252)</f>
        <v>16.835</v>
      </c>
      <c r="AC215" s="212">
        <f>N(AC252)</f>
        <v>20.817</v>
      </c>
      <c r="AD215" s="212">
        <f>N(AD252)</f>
        <v>1.03</v>
      </c>
      <c r="AE215" s="212">
        <f>N(AE252)</f>
        <v>1.091</v>
      </c>
      <c r="AF215" s="212">
        <f>N(AF252)</f>
        <v>3.254</v>
      </c>
      <c r="AG215" s="212">
        <f>N(AG252)</f>
        <v>1.749</v>
      </c>
      <c r="AH215" s="212">
        <f>N(AH252)</f>
        <v>7.124</v>
      </c>
      <c r="AI215" s="212">
        <f>N(AI252)</f>
        <v>0.798</v>
      </c>
      <c r="AJ215" s="212">
        <f>N(AJ252)</f>
        <v>1.843</v>
      </c>
      <c r="AK215" s="212">
        <f>N(AK252)</f>
        <v>3.47</v>
      </c>
      <c r="AL215" s="212">
        <f>N(AL252)</f>
        <v>9.334</v>
      </c>
      <c r="AM215" s="212">
        <f>N(AM252)</f>
        <v>15.445</v>
      </c>
      <c r="AN215" s="212">
        <f>N(AN252)</f>
        <v>4.321</v>
      </c>
      <c r="AO215" s="212">
        <f>N(AO252)</f>
        <v>3.068</v>
      </c>
      <c r="AP215" s="212">
        <f>N(AP252)</f>
        <v>1.559</v>
      </c>
      <c r="AQ215" s="212">
        <f>N(AQ252)</f>
        <v>2.707</v>
      </c>
      <c r="AR215" s="212">
        <f>N(AR252)</f>
        <v>11.655</v>
      </c>
      <c r="AS215" s="212">
        <f>N(AS252)</f>
        <v>2.15</v>
      </c>
      <c r="AT215" s="212">
        <f>N(AT252)</f>
        <v>0.951</v>
      </c>
      <c r="AU215" s="212">
        <f>N(AU252)</f>
        <v>4.206</v>
      </c>
      <c r="AV215" s="212">
        <f>N(AV252)</f>
        <v>2.316</v>
      </c>
      <c r="AW215" s="212">
        <f>N(AW252)</f>
        <v>9.623</v>
      </c>
      <c r="AX215" s="212">
        <f>N(AX252)</f>
        <v>1.204</v>
      </c>
      <c r="AY215" s="212">
        <f>N(AY252)</f>
        <v>2.275</v>
      </c>
      <c r="AZ215" s="212">
        <f>N(AZ252)</f>
        <v>12.945</v>
      </c>
      <c r="BA215" s="212">
        <f>N(BA252)</f>
        <v>5.732</v>
      </c>
      <c r="BB215" s="212">
        <f>N(BB252)</f>
        <v>22.156</v>
      </c>
      <c r="BC215" s="212">
        <f>N(BC252)</f>
        <v>1.32</v>
      </c>
      <c r="BD215" s="212">
        <f>N(BD252)</f>
        <v>1.703</v>
      </c>
      <c r="BE215" s="212">
        <f>N(BE252)</f>
        <v>2.095</v>
      </c>
      <c r="BF215" s="212">
        <f>N(BF252)</f>
        <v>3.661</v>
      </c>
      <c r="BG215" s="212">
        <f>N(BG252)</f>
        <v>8.779</v>
      </c>
      <c r="BH215" s="212">
        <f>N(BH252)</f>
        <v>1.855</v>
      </c>
      <c r="BI215" s="212">
        <f>N(BI252)</f>
        <v>1.089</v>
      </c>
      <c r="BJ215" s="212">
        <f>N(BJ252)</f>
        <v>2.185</v>
      </c>
      <c r="BK215" s="212">
        <f>N(BK252)</f>
        <v>4.521</v>
      </c>
      <c r="BL215" s="212">
        <f>N(BL252)</f>
        <v>9.65</v>
      </c>
      <c r="BM215" s="212">
        <f>N(BM252)</f>
        <v>1.008</v>
      </c>
      <c r="BN215" s="212">
        <f>N(BN252)</f>
        <v>3.287</v>
      </c>
      <c r="BO215" s="212">
        <f>N(BO252)</f>
        <v>2.058</v>
      </c>
      <c r="BP215" s="212">
        <f>N(BP252)</f>
        <v>2.746</v>
      </c>
      <c r="BQ215" s="212">
        <f>N(BQ252)</f>
        <v>9.099</v>
      </c>
      <c r="BR215" s="212">
        <f>N(BR252)</f>
        <v>1.343</v>
      </c>
      <c r="BS215" s="212">
        <f>N(BS252)</f>
        <v>2.72</v>
      </c>
      <c r="BT215" s="212">
        <f>N(BT252)</f>
        <v>11.187</v>
      </c>
      <c r="BU215" s="212">
        <f>N(BU252)</f>
        <v>6.318</v>
      </c>
      <c r="BV215" s="212">
        <f>N(BV252)</f>
        <v>21.568</v>
      </c>
      <c r="BW215" s="212">
        <f>N(BW252)</f>
        <v>1.522</v>
      </c>
      <c r="BX215" s="212">
        <f>N(BX252)</f>
        <v>2.172</v>
      </c>
      <c r="BY215" s="168" t="n"/>
      <c r="BZ215" s="168" t="n"/>
      <c r="CA215" s="186">
        <f>N(CA252)</f>
        <v>15</v>
      </c>
      <c r="CB215" s="186">
        <f>N(CB252)</f>
        <v>15</v>
      </c>
      <c r="CC215" s="186">
        <f>N(CC252)</f>
        <v>15</v>
      </c>
      <c r="CD215" s="186">
        <f>N(CD252)</f>
        <v>15</v>
      </c>
      <c r="CE215" s="186">
        <f>N(CE252)</f>
        <v>15</v>
      </c>
      <c r="CF215" s="20" t="n"/>
    </row>
    <row r="216" hidden="1" outlineLevel="1" ht="15" customHeight="1">
      <c r="B216" s="26" t="inlineStr">
        <is>
          <t xml:space="preserve">  (+) Excluded items: strategic growth investments (Kimball, Phoenix Hub, SDA unit), HQ purchase 2020–21, tax on business sales 2017–18, transaction costs</t>
        </is>
      </c>
      <c r="C216" s="184" t="n"/>
      <c r="D216" s="184" t="n"/>
      <c r="E216" s="184" t="n"/>
      <c r="F216" s="184" t="n"/>
      <c r="G216" s="184" t="n"/>
      <c r="H216" s="184" t="n"/>
      <c r="I216" s="184" t="n"/>
      <c r="J216" s="184" t="n"/>
      <c r="K216" s="184" t="n"/>
      <c r="L216" s="184" t="n"/>
      <c r="M216" s="184" t="n"/>
      <c r="N216" s="184" t="n"/>
      <c r="O216" s="184" t="n"/>
      <c r="P216" s="184" t="n"/>
      <c r="Q216" s="184" t="n"/>
      <c r="R216" s="184" t="n"/>
      <c r="S216" s="184" t="n"/>
      <c r="T216" s="184" t="n"/>
      <c r="U216" s="184" t="n"/>
      <c r="V216" s="184" t="n"/>
      <c r="W216" s="184" t="n"/>
      <c r="X216" s="184" t="n"/>
      <c r="Y216" s="184" t="n"/>
      <c r="Z216" s="184" t="n"/>
      <c r="AA216" s="184" t="n"/>
      <c r="AB216" s="184" t="n"/>
      <c r="AC216" s="184" t="n"/>
      <c r="AD216" s="184" t="n"/>
      <c r="AE216" s="184" t="n"/>
      <c r="AF216" s="185" t="n">
        <v>0</v>
      </c>
      <c r="AG216" s="185" t="n">
        <v>14.423</v>
      </c>
      <c r="AH216" s="185" t="n">
        <v>14.423</v>
      </c>
      <c r="AI216" s="185" t="n">
        <v>0</v>
      </c>
      <c r="AJ216" s="185" t="n">
        <v>0</v>
      </c>
      <c r="AK216" s="185" t="n">
        <v>0</v>
      </c>
      <c r="AL216" s="185" t="n">
        <v>0</v>
      </c>
      <c r="AM216" s="185" t="n">
        <v>0</v>
      </c>
      <c r="AN216" s="185" t="n">
        <v>0</v>
      </c>
      <c r="AO216" s="185" t="n">
        <v>0</v>
      </c>
      <c r="AP216" s="185" t="n">
        <v>0</v>
      </c>
      <c r="AQ216" s="185" t="n">
        <v>0</v>
      </c>
      <c r="AR216" s="185" t="n">
        <v>0</v>
      </c>
      <c r="AS216" s="185" t="n">
        <v>20.735</v>
      </c>
      <c r="AT216" s="185" t="n">
        <v>0.345</v>
      </c>
      <c r="AU216" s="185" t="n">
        <v>0</v>
      </c>
      <c r="AV216" s="185" t="n">
        <v>0</v>
      </c>
      <c r="AW216" s="185" t="n">
        <v>21.08</v>
      </c>
      <c r="AX216" s="185" t="n">
        <v>0</v>
      </c>
      <c r="AY216" s="185" t="n">
        <v>0</v>
      </c>
      <c r="AZ216" s="185" t="n">
        <v>0</v>
      </c>
      <c r="BA216" s="185" t="n">
        <v>0</v>
      </c>
      <c r="BB216" s="185" t="n">
        <v>0</v>
      </c>
      <c r="BC216" s="185" t="n">
        <v>0</v>
      </c>
      <c r="BD216" s="185" t="n">
        <v>0</v>
      </c>
      <c r="BE216" s="185" t="n">
        <v>0</v>
      </c>
      <c r="BF216" s="185" t="n">
        <v>0</v>
      </c>
      <c r="BG216" s="185" t="n">
        <v>0</v>
      </c>
      <c r="BH216" s="185" t="n">
        <v>0</v>
      </c>
      <c r="BI216" s="185" t="n">
        <v>0</v>
      </c>
      <c r="BJ216" s="185" t="n">
        <v>0</v>
      </c>
      <c r="BK216" s="185" t="n">
        <v>0</v>
      </c>
      <c r="BL216" s="185" t="n">
        <v>0</v>
      </c>
      <c r="BM216" s="185" t="n">
        <v>0</v>
      </c>
      <c r="BN216" s="185" t="n">
        <v>0</v>
      </c>
      <c r="BO216" s="185" t="n">
        <v>0</v>
      </c>
      <c r="BP216" s="185" t="n">
        <v>3.253</v>
      </c>
      <c r="BQ216" s="185" t="n">
        <v>3.253</v>
      </c>
      <c r="BR216" s="185" t="n">
        <v>0</v>
      </c>
      <c r="BS216" s="185" t="n">
        <v>12.436</v>
      </c>
      <c r="BT216" s="185" t="n">
        <v>11.904</v>
      </c>
      <c r="BU216" s="185" t="n">
        <v>21.6</v>
      </c>
      <c r="BV216" s="185" t="n">
        <v>45.94</v>
      </c>
      <c r="BW216" s="185" t="n">
        <v>14.787</v>
      </c>
      <c r="BX216" s="185" t="n">
        <v>20.535</v>
      </c>
      <c r="BY216" s="168" t="n"/>
      <c r="BZ216" s="168" t="n"/>
      <c r="CA216" s="186">
        <f>$CP$23</f>
        <v>120</v>
      </c>
      <c r="CB216" s="186">
        <f>0</f>
        <v>0</v>
      </c>
      <c r="CC216" s="186">
        <f>0</f>
        <v>0</v>
      </c>
      <c r="CD216" s="186">
        <f>0</f>
        <v>0</v>
      </c>
      <c r="CE216" s="186">
        <f>0</f>
        <v>0</v>
      </c>
      <c r="CF216" s="20" t="inlineStr">
        <is>
          <t>2026E: guidance $120m of strategic growth investments excluded. 2027E+: none assumed.</t>
        </is>
      </c>
    </row>
    <row r="217" hidden="1" outlineLevel="1" ht="15" customHeight="1">
      <c r="B217" s="209" t="inlineStr">
        <is>
          <t xml:space="preserve">  = Adjusted free cash flow (model)</t>
        </is>
      </c>
      <c r="C217" s="210">
        <f>C213+C214+C215+N(C216)</f>
        <v>22.724</v>
      </c>
      <c r="D217" s="210">
        <f>D213+D214+D215+N(D216)</f>
        <v>44.082</v>
      </c>
      <c r="E217" s="210">
        <f>E213+E214+E215+N(E216)</f>
        <v>52.665</v>
      </c>
      <c r="F217" s="210">
        <f>F213+F214+F215+N(F216)</f>
        <v>31.478</v>
      </c>
      <c r="G217" s="210">
        <f>G213+G214+G215+N(G216)</f>
        <v>123.711</v>
      </c>
      <c r="H217" s="210">
        <f>H213+H214+H215+N(H216)</f>
        <v>37.812</v>
      </c>
      <c r="I217" s="210">
        <f>I213+I214+I215+N(I216)</f>
        <v>135.093</v>
      </c>
      <c r="J217" s="210">
        <f>J213+J214+J215+N(J216)</f>
        <v>-31.739</v>
      </c>
      <c r="K217" s="210">
        <f>K213+K214+K215+N(K216)</f>
        <v>30.079</v>
      </c>
      <c r="L217" s="210">
        <f>L213+L214+L215+N(L216)</f>
        <v>77.833</v>
      </c>
      <c r="M217" s="210">
        <f>M213+M214+M215+N(M216)</f>
        <v>64.158</v>
      </c>
      <c r="N217" s="210">
        <f>N213+N214+N215+N(N216)</f>
        <v>140.331</v>
      </c>
      <c r="O217" s="210">
        <f>O213+O214+O215+N(O216)</f>
        <v>-69.533</v>
      </c>
      <c r="P217" s="210">
        <f>P213+P214+P215+N(P216)</f>
        <v>49.277</v>
      </c>
      <c r="Q217" s="210">
        <f>Q213+Q214+Q215+N(Q216)</f>
        <v>23.331</v>
      </c>
      <c r="R217" s="210">
        <f>R213+R214+R215+N(R216)</f>
        <v>44.842</v>
      </c>
      <c r="S217" s="210">
        <f>S213+S214+S215+N(S216)</f>
        <v>47.917</v>
      </c>
      <c r="T217" s="210">
        <f>T213+T214+T215+N(T216)</f>
        <v>32.588</v>
      </c>
      <c r="U217" s="210">
        <f>U213+U214+U215+N(U216)</f>
        <v>39.728</v>
      </c>
      <c r="V217" s="210">
        <f>V213+V214+V215+N(V216)</f>
        <v>51.018</v>
      </c>
      <c r="W217" s="210">
        <f>W213+W214+W215+N(W216)</f>
        <v>22.048</v>
      </c>
      <c r="X217" s="210">
        <f>X213+X214+X215+N(X216)</f>
        <v>145.382</v>
      </c>
      <c r="Y217" s="210">
        <f>Y213+Y214+Y215+N(Y216)</f>
        <v>-35.219</v>
      </c>
      <c r="Z217" s="210">
        <f>Z213+Z214+Z215+N(Z216)</f>
        <v>34.409</v>
      </c>
      <c r="AA217" s="210">
        <f>AA213+AA214+AA215+N(AA216)</f>
        <v>8.271</v>
      </c>
      <c r="AB217" s="210">
        <f>AB213+AB214+AB215+N(AB216)</f>
        <v>53.596</v>
      </c>
      <c r="AC217" s="210">
        <f>AC213+AC214+AC215+N(AC216)</f>
        <v>61.057</v>
      </c>
      <c r="AD217" s="210">
        <f>AD213+AD214+AD215+N(AD216)</f>
        <v>15.687</v>
      </c>
      <c r="AE217" s="210">
        <f>AE213+AE214+AE215+N(AE216)</f>
        <v>14.623</v>
      </c>
      <c r="AF217" s="210">
        <f>AF213+AF214+AF215+N(AF216)</f>
        <v>68.798</v>
      </c>
      <c r="AG217" s="210">
        <f>AG213+AG214+AG215+N(AG216)</f>
        <v>41.13</v>
      </c>
      <c r="AH217" s="210">
        <f>AH213+AH214+AH215+N(AH216)</f>
        <v>140.238</v>
      </c>
      <c r="AI217" s="210">
        <f>AI213+AI214+AI215+N(AI216)</f>
        <v>8.459</v>
      </c>
      <c r="AJ217" s="210">
        <f>AJ213+AJ214+AJ215+N(AJ216)</f>
        <v>29.713</v>
      </c>
      <c r="AK217" s="210">
        <f>AK213+AK214+AK215+N(AK216)</f>
        <v>64.432</v>
      </c>
      <c r="AL217" s="210">
        <f>AL213+AL214+AL215+N(AL216)</f>
        <v>92.707</v>
      </c>
      <c r="AM217" s="210">
        <f>AM213+AM214+AM215+N(AM216)</f>
        <v>195.311</v>
      </c>
      <c r="AN217" s="210">
        <f>AN213+AN214+AN215+N(AN216)</f>
        <v>-24.886</v>
      </c>
      <c r="AO217" s="210">
        <f>AO213+AO214+AO215+N(AO216)</f>
        <v>52.373</v>
      </c>
      <c r="AP217" s="210">
        <f>AP213+AP214+AP215+N(AP216)</f>
        <v>91.603</v>
      </c>
      <c r="AQ217" s="210">
        <f>AQ213+AQ214+AQ215+N(AQ216)</f>
        <v>89.433</v>
      </c>
      <c r="AR217" s="210">
        <f>AR213+AR214+AR215+N(AR216)</f>
        <v>208.523</v>
      </c>
      <c r="AS217" s="210">
        <f>AS213+AS214+AS215+N(AS216)</f>
        <v>-26.201</v>
      </c>
      <c r="AT217" s="210">
        <f>AT213+AT214+AT215+N(AT216)</f>
        <v>98.147</v>
      </c>
      <c r="AU217" s="210">
        <f>AU213+AU214+AU215+N(AU216)</f>
        <v>123.516</v>
      </c>
      <c r="AV217" s="210">
        <f>AV213+AV214+AV215+N(AV216)</f>
        <v>69.582</v>
      </c>
      <c r="AW217" s="210">
        <f>AW213+AW214+AW215+N(AW216)</f>
        <v>265.044</v>
      </c>
      <c r="AX217" s="210">
        <f>AX213+AX214+AX215+N(AX216)</f>
        <v>62.291</v>
      </c>
      <c r="AY217" s="210">
        <f>AY213+AY214+AY215+N(AY216)</f>
        <v>114.632</v>
      </c>
      <c r="AZ217" s="210">
        <f>AZ213+AZ214+AZ215+N(AZ216)</f>
        <v>61.073</v>
      </c>
      <c r="BA217" s="210">
        <f>BA213+BA214+BA215+N(BA216)</f>
        <v>88.301</v>
      </c>
      <c r="BB217" s="210">
        <f>BB213+BB214+BB215+N(BB216)</f>
        <v>326.297</v>
      </c>
      <c r="BC217" s="210">
        <f>BC213+BC214+BC215+N(BC216)</f>
        <v>-107.617</v>
      </c>
      <c r="BD217" s="210">
        <f>BD213+BD214+BD215+N(BD216)</f>
        <v>94.568</v>
      </c>
      <c r="BE217" s="210">
        <f>BE213+BE214+BE215+N(BE216)</f>
        <v>131.162</v>
      </c>
      <c r="BF217" s="210">
        <f>BF213+BF214+BF215+N(BF216)</f>
        <v>171.824</v>
      </c>
      <c r="BG217" s="210">
        <f>BG213+BG214+BG215+N(BG216)</f>
        <v>289.937</v>
      </c>
      <c r="BH217" s="210">
        <f>BH213+BH214+BH215+N(BH216)</f>
        <v>-51.823</v>
      </c>
      <c r="BI217" s="210">
        <f>BI213+BI214+BI215+N(BI216)</f>
        <v>86.042</v>
      </c>
      <c r="BJ217" s="210">
        <f>BJ213+BJ214+BJ215+N(BJ216)</f>
        <v>114.696</v>
      </c>
      <c r="BK217" s="210">
        <f>BK213+BK214+BK215+N(BK216)</f>
        <v>172.987</v>
      </c>
      <c r="BL217" s="210">
        <f>BL213+BL214+BL215+N(BL216)</f>
        <v>321.902</v>
      </c>
      <c r="BM217" s="210">
        <f>BM213+BM214+BM215+N(BM216)</f>
        <v>-118.356</v>
      </c>
      <c r="BN217" s="210">
        <f>BN213+BN214+BN215+N(BN216)</f>
        <v>84.222</v>
      </c>
      <c r="BO217" s="210">
        <f>BO213+BO214+BO215+N(BO216)</f>
        <v>144.494</v>
      </c>
      <c r="BP217" s="210">
        <f>BP213+BP214+BP215+N(BP216)</f>
        <v>247.522</v>
      </c>
      <c r="BQ217" s="210">
        <f>BQ213+BQ214+BQ215+N(BQ216)</f>
        <v>357.882</v>
      </c>
      <c r="BR217" s="210">
        <f>BR213+BR214+BR215+N(BR216)</f>
        <v>-115.747</v>
      </c>
      <c r="BS217" s="210">
        <f>BS213+BS214+BS215+N(BS216)</f>
        <v>133.167</v>
      </c>
      <c r="BT217" s="210">
        <f>BT213+BT214+BT215+N(BT216)</f>
        <v>230.633</v>
      </c>
      <c r="BU217" s="210">
        <f>BU213+BU214+BU215+N(BU216)</f>
        <v>261.262</v>
      </c>
      <c r="BV217" s="210">
        <f>BV213+BV214+BV215+N(BV216)</f>
        <v>509.315</v>
      </c>
      <c r="BW217" s="210">
        <f>BW213+BW214+BW215+N(BW216)</f>
        <v>-75.837</v>
      </c>
      <c r="BX217" s="210">
        <f>BX213+BX214+BX215+N(BX216)</f>
        <v>135.685</v>
      </c>
      <c r="BY217" s="60" t="n"/>
      <c r="BZ217" s="60" t="n"/>
      <c r="CA217" s="210">
        <f>CA213+CA214+CA215+N(CA216)</f>
        <v>541.423718105709</v>
      </c>
      <c r="CB217" s="210">
        <f>CB213+CB214+CB215+N(CB216)</f>
        <v>584.262488842983</v>
      </c>
      <c r="CC217" s="210">
        <f>CC213+CC214+CC215+N(CC216)</f>
        <v>644.81474467069</v>
      </c>
      <c r="CD217" s="210">
        <f>CD213+CD214+CD215+N(CD216)</f>
        <v>723.235791936569</v>
      </c>
      <c r="CE217" s="210">
        <f>CE213+CE214+CE215+N(CE216)</f>
        <v>790.893386497248</v>
      </c>
      <c r="CF217" s="20" t="n"/>
      <c r="CH217" s="21">
        <f>IFERROR((CE217/BV217)^(1/5)-1,"n/m")</f>
        <v>0.0920091953851447</v>
      </c>
      <c r="CI217" s="21">
        <f>IFERROR((BV217/AW217)^(1/5)-1,"n/m")</f>
        <v>0.139550819913536</v>
      </c>
      <c r="CJ217" s="21">
        <f>IFERROR((BV217/X217)^(1/10)-1,"n/m")</f>
        <v>0.133568013738348</v>
      </c>
      <c r="CK217" s="21">
        <f>IFERROR((BV217/C217)^(1/19)-1,"n/m")</f>
        <v>0.177820302466088</v>
      </c>
    </row>
    <row r="218" hidden="1" outlineLevel="1" ht="15" customHeight="1">
      <c r="B218" s="26" t="inlineStr">
        <is>
          <t xml:space="preserve">  Adjusted FCF % of Adjusted EBITDA</t>
        </is>
      </c>
      <c r="C218" s="190">
        <f>IF(AND(ISNUMBER(C217),ISNUMBER(C187)),IFERROR(C217/C187,""),"")</f>
        <v>0.189469295868596</v>
      </c>
      <c r="D218" s="190">
        <f>IF(AND(ISNUMBER(D217),ISNUMBER(D187)),IFERROR(D217/D187,""),"")</f>
        <v>0.330705117144422</v>
      </c>
      <c r="E218" s="190">
        <f>IF(AND(ISNUMBER(E217),ISNUMBER(E187)),IFERROR(E217/E187,""),"")</f>
        <v>0.322664640758735</v>
      </c>
      <c r="F218" s="190">
        <f>IF(AND(ISNUMBER(F217),ISNUMBER(F187)),IFERROR(F217/F187,""),"")</f>
        <v>0.199758852646275</v>
      </c>
      <c r="G218" s="190">
        <f>IF(AND(ISNUMBER(G217),ISNUMBER(G187)),IFERROR(G217/G187,""),"")</f>
        <v>0.393117715099208</v>
      </c>
      <c r="H218" s="190">
        <f>IF(AND(ISNUMBER(H217),ISNUMBER(H187)),IFERROR(H217/H187,""),"")</f>
        <v>0.108031816415625</v>
      </c>
      <c r="I218" s="190">
        <f>IF(AND(ISNUMBER(I217),ISNUMBER(I187)),IFERROR(I217/I187,""),"")</f>
        <v>0.361436402892711</v>
      </c>
      <c r="J218" s="190">
        <f>IF(AND(ISNUMBER(J217),ISNUMBER(J187)),IFERROR(J217/J187,""),"")</f>
        <v>-0.285350810946884</v>
      </c>
      <c r="K218" s="190">
        <f>IF(AND(ISNUMBER(K217),ISNUMBER(K187)),IFERROR(K217/K187,""),"")</f>
        <v>0.243377295897726</v>
      </c>
      <c r="L218" s="190">
        <f>IF(AND(ISNUMBER(L217),ISNUMBER(L187)),IFERROR(L217/L187,""),"")</f>
        <v>0.533278064021048</v>
      </c>
      <c r="M218" s="190">
        <f>IF(AND(ISNUMBER(M217),ISNUMBER(M187)),IFERROR(M217/M187,""),"")</f>
        <v>0.496060617775544</v>
      </c>
      <c r="N218" s="190">
        <f>IF(AND(ISNUMBER(N217),ISNUMBER(N187)),IFERROR(N217/N187,""),"")</f>
        <v>0.275102184844297</v>
      </c>
      <c r="O218" s="190">
        <f>IF(AND(ISNUMBER(O217),ISNUMBER(O187)),IFERROR(O217/O187,""),"")</f>
        <v>-0.681789657403958</v>
      </c>
      <c r="P218" s="190">
        <f>IF(AND(ISNUMBER(P217),ISNUMBER(P187)),IFERROR(P217/P187,""),"")</f>
        <v>0.362867178697929</v>
      </c>
      <c r="Q218" s="190">
        <f>IF(AND(ISNUMBER(Q217),ISNUMBER(Q187)),IFERROR(Q217/Q187,""),"")</f>
        <v>0.152135213912635</v>
      </c>
      <c r="R218" s="190">
        <f>IF(AND(ISNUMBER(R217),ISNUMBER(R187)),IFERROR(R217/R187,""),"")</f>
        <v>0.342889040121734</v>
      </c>
      <c r="S218" s="190">
        <f>IF(AND(ISNUMBER(S217),ISNUMBER(S187)),IFERROR(S217/S187,""),"")</f>
        <v>0.0918092654224123</v>
      </c>
      <c r="T218" s="190">
        <f>IF(AND(ISNUMBER(T217),ISNUMBER(T187)),IFERROR(T217/T187,""),"")</f>
        <v>0.416316414783397</v>
      </c>
      <c r="U218" s="190">
        <f>IF(AND(ISNUMBER(U217),ISNUMBER(U187)),IFERROR(U217/U187,""),"")</f>
        <v>0.24354777405868</v>
      </c>
      <c r="V218" s="190">
        <f>IF(AND(ISNUMBER(V217),ISNUMBER(V187)),IFERROR(V217/V187,""),"")</f>
        <v>0.308066688002319</v>
      </c>
      <c r="W218" s="190">
        <f>IF(AND(ISNUMBER(W217),ISNUMBER(W187)),IFERROR(W217/W187,""),"")</f>
        <v>0.226922324801103</v>
      </c>
      <c r="X218" s="190">
        <f>IF(AND(ISNUMBER(X217),ISNUMBER(X187)),IFERROR(X217/X187,""),"")</f>
        <v>0.288360801083768</v>
      </c>
      <c r="Y218" s="190">
        <f>IF(AND(ISNUMBER(Y217),ISNUMBER(Y187)),IFERROR(Y217/Y187,""),"")</f>
        <v>-0.523158051099228</v>
      </c>
      <c r="Z218" s="190">
        <f>IF(AND(ISNUMBER(Z217),ISNUMBER(Z187)),IFERROR(Z217/Z187,""),"")</f>
        <v>0.311548734664313</v>
      </c>
      <c r="AA218" s="190">
        <f>IF(AND(ISNUMBER(AA217),ISNUMBER(AA187)),IFERROR(AA217/AA187,""),"")</f>
        <v>0.0653054456735439</v>
      </c>
      <c r="AB218" s="190">
        <f>IF(AND(ISNUMBER(AB217),ISNUMBER(AB187)),IFERROR(AB217/AB187,""),"")</f>
        <v>0.558652463049052</v>
      </c>
      <c r="AC218" s="190">
        <f>IF(AND(ISNUMBER(AC217),ISNUMBER(AC187)),IFERROR(AC217/AC187,""),"")</f>
        <v>0.152507530835211</v>
      </c>
      <c r="AD218" s="190">
        <f>IF(AND(ISNUMBER(AD217),ISNUMBER(AD187)),IFERROR(AD217/AD187,""),"")</f>
        <v>0.195757159792849</v>
      </c>
      <c r="AE218" s="190">
        <f>IF(AND(ISNUMBER(AE217),ISNUMBER(AE187)),IFERROR(AE217/AE187,""),"")</f>
        <v>0.121160649924186</v>
      </c>
      <c r="AF218" s="190">
        <f>IF(AND(ISNUMBER(AF217),ISNUMBER(AF187)),IFERROR(AF217/AF187,""),"")</f>
        <v>0.559337880795779</v>
      </c>
      <c r="AG218" s="190">
        <f>IF(AND(ISNUMBER(AG217),ISNUMBER(AG187)),IFERROR(AG217/AG187,""),"")</f>
        <v>0.403900542069291</v>
      </c>
      <c r="AH218" s="190">
        <f>IF(AND(ISNUMBER(AH217),ISNUMBER(AH187)),IFERROR(AH217/AH187,""),"")</f>
        <v>0.329462454511496</v>
      </c>
      <c r="AI218" s="190">
        <f>IF(AND(ISNUMBER(AI217),ISNUMBER(AI187)),IFERROR(AI217/AI187,""),"")</f>
        <v>0.0958364017447459</v>
      </c>
      <c r="AJ218" s="190">
        <f>IF(AND(ISNUMBER(AJ217),ISNUMBER(AJ187)),IFERROR(AJ217/AJ187,""),"")</f>
        <v>0.212903318262265</v>
      </c>
      <c r="AK218" s="190">
        <f>IF(AND(ISNUMBER(AK217),ISNUMBER(AK187)),IFERROR(AK217/AK187,""),"")</f>
        <v>0.456068574502573</v>
      </c>
      <c r="AL218" s="190">
        <f>IF(AND(ISNUMBER(AL217),ISNUMBER(AL187)),IFERROR(AL217/AL187,""),"")</f>
        <v>0.760504339551443</v>
      </c>
      <c r="AM218" s="190">
        <f>IF(AND(ISNUMBER(AM217),ISNUMBER(AM187)),IFERROR(AM217/AM187,""),"")</f>
        <v>0.397778026700339</v>
      </c>
      <c r="AN218" s="190">
        <f>IF(AND(ISNUMBER(AN217),ISNUMBER(AN187)),IFERROR(AN217/AN187,""),"")</f>
        <v>-0.244789156330228</v>
      </c>
      <c r="AO218" s="190">
        <f>IF(AND(ISNUMBER(AO217),ISNUMBER(AO187)),IFERROR(AO217/AO187,""),"")</f>
        <v>0.349561154680461</v>
      </c>
      <c r="AP218" s="190">
        <f>IF(AND(ISNUMBER(AP217),ISNUMBER(AP187)),IFERROR(AP217/AP187,""),"")</f>
        <v>0.584900359484845</v>
      </c>
      <c r="AQ218" s="190">
        <f>IF(AND(ISNUMBER(AQ217),ISNUMBER(AQ187)),IFERROR(AQ217/AQ187,""),"")</f>
        <v>0.676415864948267</v>
      </c>
      <c r="AR218" s="190">
        <f>IF(AND(ISNUMBER(AR217),ISNUMBER(AR187)),IFERROR(AR217/AR187,""),"")</f>
        <v>0.385927150172954</v>
      </c>
      <c r="AS218" s="190">
        <f>IF(AND(ISNUMBER(AS217),ISNUMBER(AS187)),IFERROR(AS217/AS187,""),"")</f>
        <v>-0.213728689126356</v>
      </c>
      <c r="AT218" s="190">
        <f>IF(AND(ISNUMBER(AT217),ISNUMBER(AT187)),IFERROR(AT217/AT187,""),"")</f>
        <v>0.724439031591379</v>
      </c>
      <c r="AU218" s="190">
        <f>IF(AND(ISNUMBER(AU217),ISNUMBER(AU187)),IFERROR(AU217/AU187,""),"")</f>
        <v>0.766366157683454</v>
      </c>
      <c r="AV218" s="190">
        <f>IF(AND(ISNUMBER(AV217),ISNUMBER(AV187)),IFERROR(AV217/AV187,""),"")</f>
        <v>0.511402973666223</v>
      </c>
      <c r="AW218" s="190">
        <f>IF(AND(ISNUMBER(AW217),ISNUMBER(AW187)),IFERROR(AW217/AW187,""),"")</f>
        <v>0.477297038368311</v>
      </c>
      <c r="AX218" s="190">
        <f>IF(AND(ISNUMBER(AX217),ISNUMBER(AX187)),IFERROR(AX217/AX187,""),"")</f>
        <v>0.481193656286935</v>
      </c>
      <c r="AY218" s="190">
        <f>IF(AND(ISNUMBER(AY217),ISNUMBER(AY187)),IFERROR(AY217/AY187,""),"")</f>
        <v>0.610488307566131</v>
      </c>
      <c r="AZ218" s="190">
        <f>IF(AND(ISNUMBER(AZ217),ISNUMBER(AZ187)),IFERROR(AZ217/AZ187,""),"")</f>
        <v>0.329974498065743</v>
      </c>
      <c r="BA218" s="190">
        <f>IF(AND(ISNUMBER(BA217),ISNUMBER(BA187)),IFERROR(BA217/BA187,""),"")</f>
        <v>0.506603557085485</v>
      </c>
      <c r="BB218" s="190">
        <f>IF(AND(ISNUMBER(BB217),ISNUMBER(BB187)),IFERROR(BB217/BB187,""),"")</f>
        <v>0.482255551975596</v>
      </c>
      <c r="BC218" s="190">
        <f>IF(AND(ISNUMBER(BC217),ISNUMBER(BC187)),IFERROR(BC217/BC187,""),"")</f>
        <v>-0.59701318658153</v>
      </c>
      <c r="BD218" s="190">
        <f>IF(AND(ISNUMBER(BD217),ISNUMBER(BD187)),IFERROR(BD217/BD187,""),"")</f>
        <v>0.30597599249361</v>
      </c>
      <c r="BE218" s="190">
        <f>IF(AND(ISNUMBER(BE217),ISNUMBER(BE187)),IFERROR(BE217/BE187,""),"")</f>
        <v>0.425084668859685</v>
      </c>
      <c r="BF218" s="190">
        <f>IF(AND(ISNUMBER(BF217),ISNUMBER(BF187)),IFERROR(BF217/BF187,""),"")</f>
        <v>0.766236777795616</v>
      </c>
      <c r="BG218" s="190">
        <f>IF(AND(ISNUMBER(BG217),ISNUMBER(BG187)),IFERROR(BG217/BG187,""),"")</f>
        <v>0.283660167806772</v>
      </c>
      <c r="BH218" s="190">
        <f>IF(AND(ISNUMBER(BH217),ISNUMBER(BH187)),IFERROR(BH217/BH187,""),"")</f>
        <v>-0.240882596287035</v>
      </c>
      <c r="BI218" s="190">
        <f>IF(AND(ISNUMBER(BI217),ISNUMBER(BI187)),IFERROR(BI217/BI187,""),"")</f>
        <v>0.299270276098586</v>
      </c>
      <c r="BJ218" s="190">
        <f>IF(AND(ISNUMBER(BJ217),ISNUMBER(BJ187)),IFERROR(BJ217/BJ187,""),"")</f>
        <v>0.449758251410691</v>
      </c>
      <c r="BK218" s="190">
        <f>IF(AND(ISNUMBER(BK217),ISNUMBER(BK187)),IFERROR(BK217/BK187,""),"")</f>
        <v>0.678622567269104</v>
      </c>
      <c r="BL218" s="190">
        <f>IF(AND(ISNUMBER(BL217),ISNUMBER(BL187)),IFERROR(BL217/BL187,""),"")</f>
        <v>0.317905922553502</v>
      </c>
      <c r="BM218" s="190">
        <f>IF(AND(ISNUMBER(BM217),ISNUMBER(BM187)),IFERROR(BM217/BM187,""),"")</f>
        <v>-0.514378843521155</v>
      </c>
      <c r="BN218" s="190">
        <f>IF(AND(ISNUMBER(BN217),ISNUMBER(BN187)),IFERROR(BN217/BN187,""),"")</f>
        <v>0.256918515264661</v>
      </c>
      <c r="BO218" s="190">
        <f>IF(AND(ISNUMBER(BO217),ISNUMBER(BO187)),IFERROR(BO217/BO187,""),"")</f>
        <v>0.478751814031158</v>
      </c>
      <c r="BP218" s="190">
        <f>IF(AND(ISNUMBER(BP217),ISNUMBER(BP187)),IFERROR(BP217/BP187,""),"")</f>
        <v>0.962338020831308</v>
      </c>
      <c r="BQ218" s="190">
        <f>IF(AND(ISNUMBER(BQ217),ISNUMBER(BQ187)),IFERROR(BQ217/BQ187,""),"")</f>
        <v>0.320414635063486</v>
      </c>
      <c r="BR218" s="190">
        <f>IF(AND(ISNUMBER(BR217),ISNUMBER(BR187)),IFERROR(BR217/BR187,""),"")</f>
        <v>-0.492846619601965</v>
      </c>
      <c r="BS218" s="190">
        <f>IF(AND(ISNUMBER(BS217),ISNUMBER(BS187)),IFERROR(BS217/BS187,""),"")</f>
        <v>0.396050999741254</v>
      </c>
      <c r="BT218" s="190">
        <f>IF(AND(ISNUMBER(BT217),ISNUMBER(BT187)),IFERROR(BT217/BT187,""),"")</f>
        <v>0.720370191061317</v>
      </c>
      <c r="BU218" s="190">
        <f>IF(AND(ISNUMBER(BU217),ISNUMBER(BU187)),IFERROR(BU217/BU187,""),"")</f>
        <v>0.937467930201767</v>
      </c>
      <c r="BV218" s="190">
        <f>IF(AND(ISNUMBER(BV217),ISNUMBER(BV187)),IFERROR(BV217/BV187,""),"")</f>
        <v>0.435334662747374</v>
      </c>
      <c r="BW218" s="190">
        <f>IF(AND(ISNUMBER(BW217),ISNUMBER(BW187)),IFERROR(BW217/BW187,""),"")</f>
        <v>-0.30597448497906</v>
      </c>
      <c r="BX218" s="190">
        <f>IF(AND(ISNUMBER(BX217),ISNUMBER(BX187)),IFERROR(BX217/BX187,""),"")</f>
        <v>0.331728700516351</v>
      </c>
      <c r="BY218" s="169" t="n"/>
      <c r="BZ218" s="169" t="n"/>
      <c r="CA218" s="179">
        <f>IF(AND(ISNUMBER(CA217),ISNUMBER(CA187)),IFERROR(CA217/CA187,""),"")</f>
        <v>0.388245460491867</v>
      </c>
      <c r="CB218" s="179">
        <f>IF(AND(ISNUMBER(CB217),ISNUMBER(CB187)),IFERROR(CB217/CB187,""),"")</f>
        <v>0.376895798889766</v>
      </c>
      <c r="CC218" s="179">
        <f>IF(AND(ISNUMBER(CC217),ISNUMBER(CC187)),IFERROR(CC217/CC187,""),"")</f>
        <v>0.375158201993546</v>
      </c>
      <c r="CD218" s="179">
        <f>IF(AND(ISNUMBER(CD217),ISNUMBER(CD187)),IFERROR(CD217/CD187,""),"")</f>
        <v>0.385344066820494</v>
      </c>
      <c r="CE218" s="179">
        <f>IF(AND(ISNUMBER(CE217),ISNUMBER(CE187)),IFERROR(CE217/CE187,""),"")</f>
        <v>0.389609476524202</v>
      </c>
      <c r="CF218" s="20" t="n"/>
      <c r="CH218" s="39">
        <f>IFERROR(AVERAGE(CA218,CB218,CC218,CD218,CE218),"n/m")</f>
        <v>0.383050600943975</v>
      </c>
      <c r="CI218" s="39">
        <f>IFERROR(AVERAGE(BB218,BG218,BL218,BQ218,BV218),"n/m")</f>
        <v>0.367914188029346</v>
      </c>
      <c r="CJ218" s="39">
        <f>IFERROR(AVERAGE(AC218,AH218,AM218,AR218,AW218,BB218,BG218,BL218,BQ218,BV218),"n/m")</f>
        <v>0.358254314073504</v>
      </c>
      <c r="CK218" s="39">
        <f>IFERROR(AVERAGE(C218,D218,E218,F218,G218,H218,I218,N218,S218,X218,AC218,AH218,AM218,AR218,AW218,BB218,BG218,BL218,BQ218,BV218),"n/m")</f>
        <v>0.307149961645555</v>
      </c>
    </row>
    <row r="219" hidden="1" outlineLevel="1" ht="15" customHeight="1">
      <c r="B219" s="42" t="inlineStr">
        <is>
          <t xml:space="preserve">  Company-published adjusted free cash flow</t>
        </is>
      </c>
      <c r="C219" s="184" t="n"/>
      <c r="D219" s="184" t="n"/>
      <c r="E219" s="184" t="n"/>
      <c r="F219" s="184" t="n"/>
      <c r="G219" s="184" t="n"/>
      <c r="H219" s="184" t="n"/>
      <c r="I219" s="184" t="n"/>
      <c r="J219" s="184" t="n"/>
      <c r="K219" s="184" t="n"/>
      <c r="L219" s="184" t="n"/>
      <c r="M219" s="184" t="n"/>
      <c r="N219" s="184" t="n"/>
      <c r="O219" s="184" t="n"/>
      <c r="P219" s="184" t="n"/>
      <c r="Q219" s="184" t="n"/>
      <c r="R219" s="184" t="n"/>
      <c r="S219" s="184" t="n"/>
      <c r="T219" s="184" t="n"/>
      <c r="U219" s="184" t="n"/>
      <c r="V219" s="184" t="n"/>
      <c r="W219" s="184" t="n"/>
      <c r="X219" s="184" t="n"/>
      <c r="Y219" s="184" t="n"/>
      <c r="Z219" s="184" t="n"/>
      <c r="AA219" s="184" t="n"/>
      <c r="AB219" s="184" t="n"/>
      <c r="AC219" s="184" t="n"/>
      <c r="AD219" s="184" t="n"/>
      <c r="AE219" s="184" t="n"/>
      <c r="AF219" s="185" t="n">
        <v>68.798</v>
      </c>
      <c r="AG219" s="185" t="n">
        <v>41.13</v>
      </c>
      <c r="AH219" s="185" t="n">
        <v>140.238</v>
      </c>
      <c r="AI219" s="185" t="n">
        <v>8.459</v>
      </c>
      <c r="AJ219" s="185" t="n">
        <v>29.713</v>
      </c>
      <c r="AK219" s="185" t="n">
        <v>64.432</v>
      </c>
      <c r="AL219" s="185" t="n">
        <v>92.70699999999999</v>
      </c>
      <c r="AM219" s="185" t="n">
        <v>195.311</v>
      </c>
      <c r="AN219" s="185" t="n">
        <v>-24.886</v>
      </c>
      <c r="AO219" s="185" t="n">
        <v>52.373</v>
      </c>
      <c r="AP219" s="185" t="n">
        <v>91.60299999999999</v>
      </c>
      <c r="AQ219" s="185" t="n">
        <v>89.43300000000001</v>
      </c>
      <c r="AR219" s="185" t="n">
        <v>208.523</v>
      </c>
      <c r="AS219" s="185" t="n">
        <v>-26.201</v>
      </c>
      <c r="AT219" s="185" t="n">
        <v>98.14700000000001</v>
      </c>
      <c r="AU219" s="185" t="n">
        <v>123.516</v>
      </c>
      <c r="AV219" s="185" t="n">
        <v>69.58199999999999</v>
      </c>
      <c r="AW219" s="185" t="n">
        <v>265.044</v>
      </c>
      <c r="AX219" s="185" t="n">
        <v>62.291</v>
      </c>
      <c r="AY219" s="185" t="n">
        <v>114.632</v>
      </c>
      <c r="AZ219" s="185" t="n">
        <v>61.073</v>
      </c>
      <c r="BA219" s="185" t="n">
        <v>88.301</v>
      </c>
      <c r="BB219" s="185" t="n">
        <v>326.297</v>
      </c>
      <c r="BC219" s="185" t="n">
        <v>-107.617</v>
      </c>
      <c r="BD219" s="185" t="n">
        <v>94.568</v>
      </c>
      <c r="BE219" s="185" t="n">
        <v>131.162</v>
      </c>
      <c r="BF219" s="185" t="n">
        <v>171.824</v>
      </c>
      <c r="BG219" s="185" t="n">
        <v>289.937</v>
      </c>
      <c r="BH219" s="185" t="n">
        <v>-51.823</v>
      </c>
      <c r="BI219" s="185" t="n">
        <v>86.042</v>
      </c>
      <c r="BJ219" s="185" t="n">
        <v>114.696</v>
      </c>
      <c r="BK219" s="185" t="n">
        <v>172.987</v>
      </c>
      <c r="BL219" s="185" t="n">
        <v>321.902</v>
      </c>
      <c r="BM219" s="185" t="n">
        <v>-118.356</v>
      </c>
      <c r="BN219" s="185" t="n">
        <v>84.22199999999999</v>
      </c>
      <c r="BO219" s="185" t="n">
        <v>144.494</v>
      </c>
      <c r="BP219" s="185" t="n">
        <v>247.522</v>
      </c>
      <c r="BQ219" s="185" t="n">
        <v>357.882</v>
      </c>
      <c r="BR219" s="185" t="n">
        <v>-115.747</v>
      </c>
      <c r="BS219" s="185" t="n">
        <v>133.167</v>
      </c>
      <c r="BT219" s="185" t="n">
        <v>230.633</v>
      </c>
      <c r="BU219" s="185" t="n">
        <v>261.262</v>
      </c>
      <c r="BV219" s="185" t="n">
        <v>509.315</v>
      </c>
      <c r="BW219" s="185" t="n">
        <v>-75.837</v>
      </c>
      <c r="BX219" s="185" t="n">
        <v>135.685</v>
      </c>
      <c r="BY219" s="227" t="n"/>
      <c r="BZ219" s="227" t="n"/>
      <c r="CA219" s="227" t="n"/>
      <c r="CB219" s="227" t="n"/>
      <c r="CC219" s="227" t="n"/>
      <c r="CD219" s="227" t="n"/>
      <c r="CE219" s="227" t="n"/>
      <c r="CF219" s="177" t="n"/>
    </row>
    <row r="220" hidden="1" outlineLevel="1" ht="15" customHeight="1">
      <c r="B220" s="61" t="inlineStr">
        <is>
          <t xml:space="preserve">  Check: model vs company-published (should be 0)</t>
        </is>
      </c>
      <c r="C220" s="188" t="str">
        <f>IF(ISNUMBER(C219),ROUND(C217-C219,1),"n/p")</f>
        <v>n/p</v>
      </c>
      <c r="D220" s="188" t="str">
        <f>IF(ISNUMBER(D219),ROUND(D217-D219,1),"n/p")</f>
        <v>n/p</v>
      </c>
      <c r="E220" s="188" t="str">
        <f>IF(ISNUMBER(E219),ROUND(E217-E219,1),"n/p")</f>
        <v>n/p</v>
      </c>
      <c r="F220" s="188" t="str">
        <f>IF(ISNUMBER(F219),ROUND(F217-F219,1),"n/p")</f>
        <v>n/p</v>
      </c>
      <c r="G220" s="188" t="str">
        <f>IF(ISNUMBER(G219),ROUND(G217-G219,1),"n/p")</f>
        <v>n/p</v>
      </c>
      <c r="H220" s="188" t="str">
        <f>IF(ISNUMBER(H219),ROUND(H217-H219,1),"n/p")</f>
        <v>n/p</v>
      </c>
      <c r="I220" s="188" t="str">
        <f>IF(ISNUMBER(I219),ROUND(I217-I219,1),"n/p")</f>
        <v>n/p</v>
      </c>
      <c r="J220" s="188" t="str">
        <f>IF(ISNUMBER(J219),ROUND(J217-J219,1),"n/p")</f>
        <v>n/p</v>
      </c>
      <c r="K220" s="188" t="str">
        <f>IF(ISNUMBER(K219),ROUND(K217-K219,1),"n/p")</f>
        <v>n/p</v>
      </c>
      <c r="L220" s="188" t="str">
        <f>IF(ISNUMBER(L219),ROUND(L217-L219,1),"n/p")</f>
        <v>n/p</v>
      </c>
      <c r="M220" s="188" t="str">
        <f>IF(ISNUMBER(M219),ROUND(M217-M219,1),"n/p")</f>
        <v>n/p</v>
      </c>
      <c r="N220" s="188" t="str">
        <f>IF(ISNUMBER(N219),ROUND(N217-N219,1),"n/p")</f>
        <v>n/p</v>
      </c>
      <c r="O220" s="188" t="str">
        <f>IF(ISNUMBER(O219),ROUND(O217-O219,1),"n/p")</f>
        <v>n/p</v>
      </c>
      <c r="P220" s="188" t="str">
        <f>IF(ISNUMBER(P219),ROUND(P217-P219,1),"n/p")</f>
        <v>n/p</v>
      </c>
      <c r="Q220" s="188" t="str">
        <f>IF(ISNUMBER(Q219),ROUND(Q217-Q219,1),"n/p")</f>
        <v>n/p</v>
      </c>
      <c r="R220" s="188" t="str">
        <f>IF(ISNUMBER(R219),ROUND(R217-R219,1),"n/p")</f>
        <v>n/p</v>
      </c>
      <c r="S220" s="188" t="str">
        <f>IF(ISNUMBER(S219),ROUND(S217-S219,1),"n/p")</f>
        <v>n/p</v>
      </c>
      <c r="T220" s="188" t="str">
        <f>IF(ISNUMBER(T219),ROUND(T217-T219,1),"n/p")</f>
        <v>n/p</v>
      </c>
      <c r="U220" s="188" t="str">
        <f>IF(ISNUMBER(U219),ROUND(U217-U219,1),"n/p")</f>
        <v>n/p</v>
      </c>
      <c r="V220" s="188" t="str">
        <f>IF(ISNUMBER(V219),ROUND(V217-V219,1),"n/p")</f>
        <v>n/p</v>
      </c>
      <c r="W220" s="188" t="str">
        <f>IF(ISNUMBER(W219),ROUND(W217-W219,1),"n/p")</f>
        <v>n/p</v>
      </c>
      <c r="X220" s="188" t="str">
        <f>IF(ISNUMBER(X219),ROUND(X217-X219,1),"n/p")</f>
        <v>n/p</v>
      </c>
      <c r="Y220" s="188" t="str">
        <f>IF(ISNUMBER(Y219),ROUND(Y217-Y219,1),"n/p")</f>
        <v>n/p</v>
      </c>
      <c r="Z220" s="188" t="str">
        <f>IF(ISNUMBER(Z219),ROUND(Z217-Z219,1),"n/p")</f>
        <v>n/p</v>
      </c>
      <c r="AA220" s="188" t="str">
        <f>IF(ISNUMBER(AA219),ROUND(AA217-AA219,1),"n/p")</f>
        <v>n/p</v>
      </c>
      <c r="AB220" s="188" t="str">
        <f>IF(ISNUMBER(AB219),ROUND(AB217-AB219,1),"n/p")</f>
        <v>n/p</v>
      </c>
      <c r="AC220" s="188" t="str">
        <f>IF(ISNUMBER(AC219),ROUND(AC217-AC219,1),"n/p")</f>
        <v>n/p</v>
      </c>
      <c r="AD220" s="188" t="str">
        <f>IF(ISNUMBER(AD219),ROUND(AD217-AD219,1),"n/p")</f>
        <v>n/p</v>
      </c>
      <c r="AE220" s="188" t="str">
        <f>IF(ISNUMBER(AE219),ROUND(AE217-AE219,1),"n/p")</f>
        <v>n/p</v>
      </c>
      <c r="AF220" s="188">
        <f>IF(ISNUMBER(AF219),ROUND(AF217-AF219,1),"n/p")</f>
        <v>0</v>
      </c>
      <c r="AG220" s="188">
        <f>IF(ISNUMBER(AG219),ROUND(AG217-AG219,1),"n/p")</f>
        <v>0</v>
      </c>
      <c r="AH220" s="188">
        <f>IF(ISNUMBER(AH219),ROUND(AH217-AH219,1),"n/p")</f>
        <v>0</v>
      </c>
      <c r="AI220" s="188">
        <f>IF(ISNUMBER(AI219),ROUND(AI217-AI219,1),"n/p")</f>
        <v>0</v>
      </c>
      <c r="AJ220" s="188">
        <f>IF(ISNUMBER(AJ219),ROUND(AJ217-AJ219,1),"n/p")</f>
        <v>0</v>
      </c>
      <c r="AK220" s="188">
        <f>IF(ISNUMBER(AK219),ROUND(AK217-AK219,1),"n/p")</f>
        <v>0</v>
      </c>
      <c r="AL220" s="188">
        <f>IF(ISNUMBER(AL219),ROUND(AL217-AL219,1),"n/p")</f>
        <v>0</v>
      </c>
      <c r="AM220" s="188">
        <f>IF(ISNUMBER(AM219),ROUND(AM217-AM219,1),"n/p")</f>
        <v>0</v>
      </c>
      <c r="AN220" s="188">
        <f>IF(ISNUMBER(AN219),ROUND(AN217-AN219,1),"n/p")</f>
        <v>0</v>
      </c>
      <c r="AO220" s="188">
        <f>IF(ISNUMBER(AO219),ROUND(AO217-AO219,1),"n/p")</f>
        <v>0</v>
      </c>
      <c r="AP220" s="188">
        <f>IF(ISNUMBER(AP219),ROUND(AP217-AP219,1),"n/p")</f>
        <v>0</v>
      </c>
      <c r="AQ220" s="188">
        <f>IF(ISNUMBER(AQ219),ROUND(AQ217-AQ219,1),"n/p")</f>
        <v>0</v>
      </c>
      <c r="AR220" s="188">
        <f>IF(ISNUMBER(AR219),ROUND(AR217-AR219,1),"n/p")</f>
        <v>0</v>
      </c>
      <c r="AS220" s="188">
        <f>IF(ISNUMBER(AS219),ROUND(AS217-AS219,1),"n/p")</f>
        <v>0</v>
      </c>
      <c r="AT220" s="188">
        <f>IF(ISNUMBER(AT219),ROUND(AT217-AT219,1),"n/p")</f>
        <v>0</v>
      </c>
      <c r="AU220" s="188">
        <f>IF(ISNUMBER(AU219),ROUND(AU217-AU219,1),"n/p")</f>
        <v>0</v>
      </c>
      <c r="AV220" s="188">
        <f>IF(ISNUMBER(AV219),ROUND(AV217-AV219,1),"n/p")</f>
        <v>0</v>
      </c>
      <c r="AW220" s="188">
        <f>IF(ISNUMBER(AW219),ROUND(AW217-AW219,1),"n/p")</f>
        <v>0</v>
      </c>
      <c r="AX220" s="188">
        <f>IF(ISNUMBER(AX219),ROUND(AX217-AX219,1),"n/p")</f>
        <v>0</v>
      </c>
      <c r="AY220" s="188">
        <f>IF(ISNUMBER(AY219),ROUND(AY217-AY219,1),"n/p")</f>
        <v>0</v>
      </c>
      <c r="AZ220" s="188">
        <f>IF(ISNUMBER(AZ219),ROUND(AZ217-AZ219,1),"n/p")</f>
        <v>0</v>
      </c>
      <c r="BA220" s="188">
        <f>IF(ISNUMBER(BA219),ROUND(BA217-BA219,1),"n/p")</f>
        <v>0</v>
      </c>
      <c r="BB220" s="188">
        <f>IF(ISNUMBER(BB219),ROUND(BB217-BB219,1),"n/p")</f>
        <v>0</v>
      </c>
      <c r="BC220" s="188">
        <f>IF(ISNUMBER(BC219),ROUND(BC217-BC219,1),"n/p")</f>
        <v>0</v>
      </c>
      <c r="BD220" s="188">
        <f>IF(ISNUMBER(BD219),ROUND(BD217-BD219,1),"n/p")</f>
        <v>0</v>
      </c>
      <c r="BE220" s="188">
        <f>IF(ISNUMBER(BE219),ROUND(BE217-BE219,1),"n/p")</f>
        <v>0</v>
      </c>
      <c r="BF220" s="188">
        <f>IF(ISNUMBER(BF219),ROUND(BF217-BF219,1),"n/p")</f>
        <v>0</v>
      </c>
      <c r="BG220" s="188">
        <f>IF(ISNUMBER(BG219),ROUND(BG217-BG219,1),"n/p")</f>
        <v>0</v>
      </c>
      <c r="BH220" s="188">
        <f>IF(ISNUMBER(BH219),ROUND(BH217-BH219,1),"n/p")</f>
        <v>0</v>
      </c>
      <c r="BI220" s="188">
        <f>IF(ISNUMBER(BI219),ROUND(BI217-BI219,1),"n/p")</f>
        <v>0</v>
      </c>
      <c r="BJ220" s="188">
        <f>IF(ISNUMBER(BJ219),ROUND(BJ217-BJ219,1),"n/p")</f>
        <v>0</v>
      </c>
      <c r="BK220" s="188">
        <f>IF(ISNUMBER(BK219),ROUND(BK217-BK219,1),"n/p")</f>
        <v>0</v>
      </c>
      <c r="BL220" s="188">
        <f>IF(ISNUMBER(BL219),ROUND(BL217-BL219,1),"n/p")</f>
        <v>0</v>
      </c>
      <c r="BM220" s="188">
        <f>IF(ISNUMBER(BM219),ROUND(BM217-BM219,1),"n/p")</f>
        <v>0</v>
      </c>
      <c r="BN220" s="188">
        <f>IF(ISNUMBER(BN219),ROUND(BN217-BN219,1),"n/p")</f>
        <v>0</v>
      </c>
      <c r="BO220" s="188">
        <f>IF(ISNUMBER(BO219),ROUND(BO217-BO219,1),"n/p")</f>
        <v>0</v>
      </c>
      <c r="BP220" s="188">
        <f>IF(ISNUMBER(BP219),ROUND(BP217-BP219,1),"n/p")</f>
        <v>0</v>
      </c>
      <c r="BQ220" s="188">
        <f>IF(ISNUMBER(BQ219),ROUND(BQ217-BQ219,1),"n/p")</f>
        <v>0</v>
      </c>
      <c r="BR220" s="188">
        <f>IF(ISNUMBER(BR219),ROUND(BR217-BR219,1),"n/p")</f>
        <v>0</v>
      </c>
      <c r="BS220" s="188">
        <f>IF(ISNUMBER(BS219),ROUND(BS217-BS219,1),"n/p")</f>
        <v>0</v>
      </c>
      <c r="BT220" s="188">
        <f>IF(ISNUMBER(BT219),ROUND(BT217-BT219,1),"n/p")</f>
        <v>0</v>
      </c>
      <c r="BU220" s="188">
        <f>IF(ISNUMBER(BU219),ROUND(BU217-BU219,1),"n/p")</f>
        <v>0</v>
      </c>
      <c r="BV220" s="188">
        <f>IF(ISNUMBER(BV219),ROUND(BV217-BV219,1),"n/p")</f>
        <v>0</v>
      </c>
      <c r="BW220" s="188">
        <f>IF(ISNUMBER(BW219),ROUND(BW217-BW219,1),"n/p")</f>
        <v>0</v>
      </c>
      <c r="BX220" s="188">
        <f>IF(ISNUMBER(BX219),ROUND(BX217-BX219,1),"n/p")</f>
        <v>0</v>
      </c>
      <c r="BY220" s="189" t="n"/>
      <c r="BZ220" s="189" t="n"/>
      <c r="CA220" s="189" t="n"/>
      <c r="CB220" s="189" t="n"/>
      <c r="CC220" s="189" t="n"/>
      <c r="CD220" s="189" t="n"/>
      <c r="CE220" s="189" t="n"/>
      <c r="CF220" s="177" t="n"/>
    </row>
    <row r="221" hidden="1" outlineLevel="1" ht="15" customHeight="1">
      <c r="B221" s="26" t="inlineStr">
        <is>
          <t xml:space="preserve">  Memo: FY26 adjusted FCF guidance (scenario end-point)</t>
        </is>
      </c>
      <c r="C221" s="184" t="n"/>
      <c r="D221" s="184" t="n"/>
      <c r="E221" s="184" t="n"/>
      <c r="F221" s="184" t="n"/>
      <c r="G221" s="184" t="n"/>
      <c r="H221" s="184" t="n"/>
      <c r="I221" s="184" t="n"/>
      <c r="J221" s="184" t="n"/>
      <c r="K221" s="184" t="n"/>
      <c r="L221" s="184" t="n"/>
      <c r="M221" s="184" t="n"/>
      <c r="N221" s="184" t="n"/>
      <c r="O221" s="184" t="n"/>
      <c r="P221" s="184" t="n"/>
      <c r="Q221" s="184" t="n"/>
      <c r="R221" s="184" t="n"/>
      <c r="S221" s="184" t="n"/>
      <c r="T221" s="184" t="n"/>
      <c r="U221" s="184" t="n"/>
      <c r="V221" s="184" t="n"/>
      <c r="W221" s="184" t="n"/>
      <c r="X221" s="184" t="n"/>
      <c r="Y221" s="184" t="n"/>
      <c r="Z221" s="184" t="n"/>
      <c r="AA221" s="184" t="n"/>
      <c r="AB221" s="184" t="n"/>
      <c r="AC221" s="184" t="n"/>
      <c r="AD221" s="184" t="n"/>
      <c r="AE221" s="184" t="n"/>
      <c r="AF221" s="184" t="n"/>
      <c r="AG221" s="184" t="n"/>
      <c r="AH221" s="184" t="n"/>
      <c r="AI221" s="184" t="n"/>
      <c r="AJ221" s="184" t="n"/>
      <c r="AK221" s="184" t="n"/>
      <c r="AL221" s="184" t="n"/>
      <c r="AM221" s="184" t="n"/>
      <c r="AN221" s="184" t="n"/>
      <c r="AO221" s="184" t="n"/>
      <c r="AP221" s="184" t="n"/>
      <c r="AQ221" s="184" t="n"/>
      <c r="AR221" s="184" t="n"/>
      <c r="AS221" s="184" t="n"/>
      <c r="AT221" s="184" t="n"/>
      <c r="AU221" s="184" t="n"/>
      <c r="AV221" s="184" t="n"/>
      <c r="AW221" s="184" t="n"/>
      <c r="AX221" s="184" t="n"/>
      <c r="AY221" s="184" t="n"/>
      <c r="AZ221" s="184" t="n"/>
      <c r="BA221" s="184" t="n"/>
      <c r="BB221" s="184" t="n"/>
      <c r="BC221" s="184" t="n"/>
      <c r="BD221" s="184" t="n"/>
      <c r="BE221" s="184" t="n"/>
      <c r="BF221" s="184" t="n"/>
      <c r="BG221" s="184" t="n"/>
      <c r="BH221" s="184" t="n"/>
      <c r="BI221" s="184" t="n"/>
      <c r="BJ221" s="184" t="n"/>
      <c r="BK221" s="184" t="n"/>
      <c r="BL221" s="184" t="n"/>
      <c r="BM221" s="184" t="n"/>
      <c r="BN221" s="184" t="n"/>
      <c r="BO221" s="184" t="n"/>
      <c r="BP221" s="184" t="n"/>
      <c r="BQ221" s="184" t="n"/>
      <c r="BR221" s="184" t="n"/>
      <c r="BS221" s="184" t="n"/>
      <c r="BT221" s="184" t="n"/>
      <c r="BU221" s="184" t="n"/>
      <c r="BV221" s="184" t="n"/>
      <c r="BW221" s="184" t="n"/>
      <c r="BX221" s="184" t="n"/>
      <c r="BY221" s="168" t="n"/>
      <c r="BZ221" s="168" t="n"/>
      <c r="CA221" s="186">
        <f>CHOOSE(MATCH($CF$2,{"Bull","Base","Bear"},0),$CO$16,$CP$16,$CQ$16)</f>
        <v>550</v>
      </c>
      <c r="CB221" s="168" t="n"/>
      <c r="CC221" s="168" t="n"/>
      <c r="CD221" s="168" t="n"/>
      <c r="CE221" s="168" t="n"/>
      <c r="CF221" s="20" t="inlineStr">
        <is>
          <t>Q2-26 release: $520–580m (raised mid-point +$30m).</t>
        </is>
      </c>
    </row>
    <row r="222" collapsed="1" ht="15" customHeight="1">
      <c r="B222" s="26" t="inlineStr">
        <is>
          <t xml:space="preserve">  Memo: FY26 net cash from operating activities guidance (scenario end-point)</t>
        </is>
      </c>
      <c r="C222" s="184" t="n"/>
      <c r="D222" s="184" t="n"/>
      <c r="E222" s="184" t="n"/>
      <c r="F222" s="184" t="n"/>
      <c r="G222" s="184" t="n"/>
      <c r="H222" s="184" t="n"/>
      <c r="I222" s="184" t="n"/>
      <c r="J222" s="184" t="n"/>
      <c r="K222" s="184" t="n"/>
      <c r="L222" s="184" t="n"/>
      <c r="M222" s="184" t="n"/>
      <c r="N222" s="184" t="n"/>
      <c r="O222" s="184" t="n"/>
      <c r="P222" s="184" t="n"/>
      <c r="Q222" s="184" t="n"/>
      <c r="R222" s="184" t="n"/>
      <c r="S222" s="184" t="n"/>
      <c r="T222" s="184" t="n"/>
      <c r="U222" s="184" t="n"/>
      <c r="V222" s="184" t="n"/>
      <c r="W222" s="184" t="n"/>
      <c r="X222" s="184" t="n"/>
      <c r="Y222" s="184" t="n"/>
      <c r="Z222" s="184" t="n"/>
      <c r="AA222" s="184" t="n"/>
      <c r="AB222" s="184" t="n"/>
      <c r="AC222" s="184" t="n"/>
      <c r="AD222" s="184" t="n"/>
      <c r="AE222" s="184" t="n"/>
      <c r="AF222" s="184" t="n"/>
      <c r="AG222" s="184" t="n"/>
      <c r="AH222" s="184" t="n"/>
      <c r="AI222" s="184" t="n"/>
      <c r="AJ222" s="184" t="n"/>
      <c r="AK222" s="184" t="n"/>
      <c r="AL222" s="184" t="n"/>
      <c r="AM222" s="184" t="n"/>
      <c r="AN222" s="184" t="n"/>
      <c r="AO222" s="184" t="n"/>
      <c r="AP222" s="184" t="n"/>
      <c r="AQ222" s="184" t="n"/>
      <c r="AR222" s="184" t="n"/>
      <c r="AS222" s="184" t="n"/>
      <c r="AT222" s="184" t="n"/>
      <c r="AU222" s="184" t="n"/>
      <c r="AV222" s="184" t="n"/>
      <c r="AW222" s="184" t="n"/>
      <c r="AX222" s="184" t="n"/>
      <c r="AY222" s="184" t="n"/>
      <c r="AZ222" s="184" t="n"/>
      <c r="BA222" s="184" t="n"/>
      <c r="BB222" s="184" t="n"/>
      <c r="BC222" s="184" t="n"/>
      <c r="BD222" s="184" t="n"/>
      <c r="BE222" s="184" t="n"/>
      <c r="BF222" s="184" t="n"/>
      <c r="BG222" s="184" t="n"/>
      <c r="BH222" s="184" t="n"/>
      <c r="BI222" s="184" t="n"/>
      <c r="BJ222" s="184" t="n"/>
      <c r="BK222" s="184" t="n"/>
      <c r="BL222" s="184" t="n"/>
      <c r="BM222" s="184" t="n"/>
      <c r="BN222" s="184" t="n"/>
      <c r="BO222" s="184" t="n"/>
      <c r="BP222" s="184" t="n"/>
      <c r="BQ222" s="184" t="n"/>
      <c r="BR222" s="184" t="n"/>
      <c r="BS222" s="184" t="n"/>
      <c r="BT222" s="184" t="n"/>
      <c r="BU222" s="184" t="n"/>
      <c r="BV222" s="184" t="n"/>
      <c r="BW222" s="184" t="n"/>
      <c r="BX222" s="184" t="n"/>
      <c r="BY222" s="168" t="n"/>
      <c r="BZ222" s="168" t="n"/>
      <c r="CA222" s="186">
        <f>CHOOSE(MATCH($CF$2,{"Bull","Base","Bear"},0),$CO$14,$CP$14,$CQ$14)</f>
        <v>950</v>
      </c>
      <c r="CB222" s="168" t="n"/>
      <c r="CC222" s="168" t="n"/>
      <c r="CD222" s="168" t="n"/>
      <c r="CE222" s="168" t="n"/>
      <c r="CF222" s="20" t="inlineStr">
        <is>
          <t>Q2-26 release: $890–1,010m.</t>
        </is>
      </c>
    </row>
    <row r="223" ht="15" customHeight="1"/>
    <row r="224" ht="15" customHeight="1">
      <c r="B224" s="11" t="inlineStr">
        <is>
          <t>GROWTH &amp; MARGINS</t>
        </is>
      </c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  <c r="AG224" s="11" t="n"/>
      <c r="AH224" s="11" t="n"/>
      <c r="AI224" s="11" t="n"/>
      <c r="AJ224" s="11" t="n"/>
      <c r="AK224" s="11" t="n"/>
      <c r="AL224" s="11" t="n"/>
      <c r="AM224" s="11" t="n"/>
      <c r="AN224" s="11" t="n"/>
      <c r="AO224" s="11" t="n"/>
      <c r="AP224" s="11" t="n"/>
      <c r="AQ224" s="11" t="n"/>
      <c r="AR224" s="11" t="n"/>
      <c r="AS224" s="11" t="n"/>
      <c r="AT224" s="11" t="n"/>
      <c r="AU224" s="11" t="n"/>
      <c r="AV224" s="11" t="n"/>
      <c r="AW224" s="11" t="n"/>
      <c r="AX224" s="11" t="n"/>
      <c r="AY224" s="11" t="n"/>
      <c r="AZ224" s="11" t="n"/>
      <c r="BA224" s="11" t="n"/>
      <c r="BB224" s="11" t="n"/>
      <c r="BC224" s="11" t="n"/>
      <c r="BD224" s="11" t="n"/>
      <c r="BE224" s="11" t="n"/>
      <c r="BF224" s="11" t="n"/>
      <c r="BG224" s="11" t="n"/>
      <c r="BH224" s="11" t="n"/>
      <c r="BI224" s="11" t="n"/>
      <c r="BJ224" s="11" t="n"/>
      <c r="BK224" s="11" t="n"/>
      <c r="BL224" s="11" t="n"/>
      <c r="BM224" s="11" t="n"/>
      <c r="BN224" s="11" t="n"/>
      <c r="BO224" s="11" t="n"/>
      <c r="BP224" s="11" t="n"/>
      <c r="BQ224" s="11" t="n"/>
      <c r="BR224" s="11" t="n"/>
      <c r="BS224" s="11" t="n"/>
      <c r="BT224" s="11" t="n"/>
      <c r="BU224" s="11" t="n"/>
      <c r="BV224" s="11" t="n"/>
      <c r="BW224" s="11" t="n"/>
      <c r="BX224" s="11" t="n"/>
      <c r="BY224" s="11" t="n"/>
      <c r="BZ224" s="11" t="n"/>
      <c r="CA224" s="11" t="n"/>
      <c r="CB224" s="11" t="n"/>
      <c r="CC224" s="11" t="n"/>
      <c r="CD224" s="11" t="n"/>
      <c r="CE224" s="11" t="n"/>
      <c r="CF224" s="11" t="inlineStr">
        <is>
          <t>GROWTH &amp; MARGINS (consolidated) — forecast outputs</t>
        </is>
      </c>
    </row>
    <row r="225" ht="15" customHeight="1">
      <c r="B225" s="23" t="inlineStr">
        <is>
          <t xml:space="preserve">  Revenues y/y %</t>
        </is>
      </c>
      <c r="C225" s="24" t="n"/>
      <c r="D225" s="178">
        <f>IF(AND(ISNUMBER(D138),ISNUMBER(C138)),IFERROR(D138/C138-1,""),"")</f>
        <v>0.141126451990759</v>
      </c>
      <c r="E225" s="178">
        <f>IF(AND(ISNUMBER(E138),ISNUMBER(D138)),IFERROR(E138/D138-1,""),"")</f>
        <v>0.088493500486315</v>
      </c>
      <c r="F225" s="178">
        <f>IF(AND(ISNUMBER(F138),ISNUMBER(E138)),IFERROR(F138/E138-1,""),"")</f>
        <v>0.0422105862640716</v>
      </c>
      <c r="G225" s="178">
        <f>IF(AND(ISNUMBER(G138),ISNUMBER(F138)),IFERROR(G138/F138-1,""),"")</f>
        <v>0.611628902831822</v>
      </c>
      <c r="H225" s="178">
        <f>IF(AND(ISNUMBER(H138),ISNUMBER(G138)),IFERROR(H138/G138-1,""),"")</f>
        <v>0.146075307697817</v>
      </c>
      <c r="I225" s="178">
        <f>IF(AND(ISNUMBER(I138),ISNUMBER(H138)),IFERROR(I138/H138-1,""),"")</f>
        <v>0.102700621328377</v>
      </c>
      <c r="J225" s="24" t="n"/>
      <c r="K225" s="24" t="n"/>
      <c r="L225" s="24" t="n"/>
      <c r="M225" s="24" t="n"/>
      <c r="N225" s="178">
        <f>IF(AND(ISNUMBER(N138),ISNUMBER(I138)),IFERROR(N138/I138-1,""),"")</f>
        <v>0.604114981068674</v>
      </c>
      <c r="O225" s="178">
        <f>IF(AND(ISNUMBER(O138),ISNUMBER(J138)),IFERROR(O138/J138-1,""),"")</f>
        <v>-0.0179733994615867</v>
      </c>
      <c r="P225" s="178">
        <f>IF(AND(ISNUMBER(P138),ISNUMBER(K138)),IFERROR(P138/K138-1,""),"")</f>
        <v>-0.00237993417994531</v>
      </c>
      <c r="Q225" s="178">
        <f>IF(AND(ISNUMBER(Q138),ISNUMBER(L138)),IFERROR(Q138/L138-1,""),"")</f>
        <v>-0.0617827411614978</v>
      </c>
      <c r="R225" s="178">
        <f>IF(AND(ISNUMBER(R138),ISNUMBER(M138)),IFERROR(R138/M138-1,""),"")</f>
        <v>-0.039123068351091</v>
      </c>
      <c r="S225" s="178">
        <f>IF(AND(ISNUMBER(S138),ISNUMBER(N138)),IFERROR(S138/N138-1,""),"")</f>
        <v>-0.0307779451889302</v>
      </c>
      <c r="T225" s="178">
        <f>IF(AND(ISNUMBER(T138),ISNUMBER(O138)),IFERROR(T138/O138-1,""),"")</f>
        <v>-0.134844041399984</v>
      </c>
      <c r="U225" s="178">
        <f>IF(AND(ISNUMBER(U138),ISNUMBER(P138)),IFERROR(U138/P138-1,""),"")</f>
        <v>0.0905647190383001</v>
      </c>
      <c r="V225" s="178">
        <f>IF(AND(ISNUMBER(V138),ISNUMBER(Q138)),IFERROR(V138/Q138-1,""),"")</f>
        <v>0.049210478410739</v>
      </c>
      <c r="W225" s="178">
        <f>IF(AND(ISNUMBER(W138),ISNUMBER(R138)),IFERROR(W138/R138-1,""),"")</f>
        <v>-0.156184913091226</v>
      </c>
      <c r="X225" s="178">
        <f>IF(AND(ISNUMBER(X138),ISNUMBER(S138)),IFERROR(X138/S138-1,""),"")</f>
        <v>-0.0371876943917573</v>
      </c>
      <c r="Y225" s="178">
        <f>IF(AND(ISNUMBER(Y138),ISNUMBER(T138)),IFERROR(Y138/T138-1,""),"")</f>
        <v>-0.131626118260912</v>
      </c>
      <c r="Z225" s="178">
        <f>IF(AND(ISNUMBER(Z138),ISNUMBER(U138)),IFERROR(Z138/U138-1,""),"")</f>
        <v>-0.25497848814605</v>
      </c>
      <c r="AA225" s="178">
        <f>IF(AND(ISNUMBER(AA138),ISNUMBER(V138)),IFERROR(AA138/V138-1,""),"")</f>
        <v>-0.183402994965109</v>
      </c>
      <c r="AB225" s="178">
        <f>IF(AND(ISNUMBER(AB138),ISNUMBER(W138)),IFERROR(AB138/W138-1,""),"")</f>
        <v>-0.029354429740661</v>
      </c>
      <c r="AC225" s="178">
        <f>IF(AND(ISNUMBER(AC138),ISNUMBER(X138)),IFERROR(AC138/X138-1,""),"")</f>
        <v>-0.158744809759103</v>
      </c>
      <c r="AD225" s="178">
        <f>IF(AND(ISNUMBER(AD138),ISNUMBER(Y138)),IFERROR(AD138/Y138-1,""),"")</f>
        <v>0.0830992181837906</v>
      </c>
      <c r="AE225" s="178">
        <f>IF(AND(ISNUMBER(AE138),ISNUMBER(Z138)),IFERROR(AE138/Z138-1,""),"")</f>
        <v>0.0792504766956748</v>
      </c>
      <c r="AF225" s="178">
        <f>IF(AND(ISNUMBER(AF138),ISNUMBER(AA138)),IFERROR(AF138/AA138-1,""),"")</f>
        <v>0.036086741967321</v>
      </c>
      <c r="AG225" s="178">
        <f>IF(AND(ISNUMBER(AG138),ISNUMBER(AB138)),IFERROR(AG138/AB138-1,""),"")</f>
        <v>0.0798857989952506</v>
      </c>
      <c r="AH225" s="178">
        <f>IF(AND(ISNUMBER(AH138),ISNUMBER(AC138)),IFERROR(AH138/AC138-1,""),"")</f>
        <v>0.068869849515067</v>
      </c>
      <c r="AI225" s="178">
        <f>IF(AND(ISNUMBER(AI138),ISNUMBER(AD138)),IFERROR(AI138/AD138-1,""),"")</f>
        <v>0.0883050943404442</v>
      </c>
      <c r="AJ225" s="178">
        <f>IF(AND(ISNUMBER(AJ138),ISNUMBER(AE138)),IFERROR(AJ138/AE138-1,""),"")</f>
        <v>0.127993538685526</v>
      </c>
      <c r="AK225" s="178">
        <f>IF(AND(ISNUMBER(AK138),ISNUMBER(AF138)),IFERROR(AK138/AF138-1,""),"")</f>
        <v>0.115546023925509</v>
      </c>
      <c r="AL225" s="178">
        <f>IF(AND(ISNUMBER(AL138),ISNUMBER(AG138)),IFERROR(AL138/AG138-1,""),"")</f>
        <v>0.148248000074926</v>
      </c>
      <c r="AM225" s="178">
        <f>IF(AND(ISNUMBER(AM138),ISNUMBER(AH138)),IFERROR(AM138/AH138-1,""),"")</f>
        <v>0.120654551578993</v>
      </c>
      <c r="AN225" s="178">
        <f>IF(AND(ISNUMBER(AN138),ISNUMBER(AI138)),IFERROR(AN138/AI138-1,""),"")</f>
        <v>0.0414269290376619</v>
      </c>
      <c r="AO225" s="178">
        <f>IF(AND(ISNUMBER(AO138),ISNUMBER(AJ138)),IFERROR(AO138/AJ138-1,""),"")</f>
        <v>0.0230091622111783</v>
      </c>
      <c r="AP225" s="178">
        <f>IF(AND(ISNUMBER(AP138),ISNUMBER(AK138)),IFERROR(AP138/AK138-1,""),"")</f>
        <v>0.0575048536435236</v>
      </c>
      <c r="AQ225" s="178">
        <f>IF(AND(ISNUMBER(AQ138),ISNUMBER(AL138)),IFERROR(AQ138/AL138-1,""),"")</f>
        <v>0.0149160339499701</v>
      </c>
      <c r="AR225" s="178">
        <f>IF(AND(ISNUMBER(AR138),ISNUMBER(AM138)),IFERROR(AR138/AM138-1,""),"")</f>
        <v>0.0339020386915989</v>
      </c>
      <c r="AS225" s="178">
        <f>IF(AND(ISNUMBER(AS138),ISNUMBER(AN138)),IFERROR(AS138/AN138-1,""),"")</f>
        <v>0.0995390855221114</v>
      </c>
      <c r="AT225" s="178">
        <f>IF(AND(ISNUMBER(AT138),ISNUMBER(AO138)),IFERROR(AT138/AO138-1,""),"")</f>
        <v>-0.182666074195502</v>
      </c>
      <c r="AU225" s="178">
        <f>IF(AND(ISNUMBER(AU138),ISNUMBER(AP138)),IFERROR(AU138/AP138-1,""),"")</f>
        <v>-0.125970652754164</v>
      </c>
      <c r="AV225" s="178">
        <f>IF(AND(ISNUMBER(AV138),ISNUMBER(AQ138)),IFERROR(AV138/AQ138-1,""),"")</f>
        <v>-0.0858950293052279</v>
      </c>
      <c r="AW225" s="178">
        <f>IF(AND(ISNUMBER(AW138),ISNUMBER(AR138)),IFERROR(AW138/AR138-1,""),"")</f>
        <v>-0.0785691887028565</v>
      </c>
      <c r="AX225" s="178">
        <f>IF(AND(ISNUMBER(AX138),ISNUMBER(AS138)),IFERROR(AX138/AS138-1,""),"")</f>
        <v>-0.0587202103980721</v>
      </c>
      <c r="AY225" s="178">
        <f>IF(AND(ISNUMBER(AY138),ISNUMBER(AT138)),IFERROR(AY138/AT138-1,""),"")</f>
        <v>0.304870422535211</v>
      </c>
      <c r="AZ225" s="178">
        <f>IF(AND(ISNUMBER(AZ138),ISNUMBER(AU138)),IFERROR(AZ138/AU138-1,""),"")</f>
        <v>0.220871656162106</v>
      </c>
      <c r="BA225" s="178">
        <f>IF(AND(ISNUMBER(BA138),ISNUMBER(AV138)),IFERROR(BA138/AV138-1,""),"")</f>
        <v>0.406047551463846</v>
      </c>
      <c r="BB225" s="178">
        <f>IF(AND(ISNUMBER(BB138),ISNUMBER(AW138)),IFERROR(BB138/AW138-1,""),"")</f>
        <v>0.210384412440201</v>
      </c>
      <c r="BC225" s="178">
        <f>IF(AND(ISNUMBER(BC138),ISNUMBER(AX138)),IFERROR(BC138/AX138-1,""),"")</f>
        <v>0.44665209837802</v>
      </c>
      <c r="BD225" s="178">
        <f>IF(AND(ISNUMBER(BD138),ISNUMBER(AY138)),IFERROR(BD138/AY138-1,""),"")</f>
        <v>0.463975701003176</v>
      </c>
      <c r="BE225" s="178">
        <f>IF(AND(ISNUMBER(BE138),ISNUMBER(AZ138)),IFERROR(BE138/AZ138-1,""),"")</f>
        <v>0.432597041027705</v>
      </c>
      <c r="BF225" s="178">
        <f>IF(AND(ISNUMBER(BF138),ISNUMBER(BA138)),IFERROR(BF138/BA138-1,""),"")</f>
        <v>0.14168797862581</v>
      </c>
      <c r="BG225" s="178">
        <f>IF(AND(ISNUMBER(BG138),ISNUMBER(BB138)),IFERROR(BG138/BB138-1,""),"")</f>
        <v>0.357644303107606</v>
      </c>
      <c r="BH225" s="178">
        <f>IF(AND(ISNUMBER(BH138),ISNUMBER(BC138)),IFERROR(BH138/BC138-1,""),"")</f>
        <v>0.118276396811589</v>
      </c>
      <c r="BI225" s="178">
        <f>IF(AND(ISNUMBER(BI138),ISNUMBER(BD138)),IFERROR(BI138/BD138-1,""),"")</f>
        <v>0.0306625614165474</v>
      </c>
      <c r="BJ225" s="178">
        <f>IF(AND(ISNUMBER(BJ138),ISNUMBER(BE138)),IFERROR(BJ138/BE138-1,""),"")</f>
        <v>0.00191477280230301</v>
      </c>
      <c r="BK225" s="178">
        <f>IF(AND(ISNUMBER(BK138),ISNUMBER(BF138)),IFERROR(BK138/BF138-1,""),"")</f>
        <v>0.047000308270571</v>
      </c>
      <c r="BL225" s="178">
        <f>IF(AND(ISNUMBER(BL138),ISNUMBER(BG138)),IFERROR(BL138/BG138-1,""),"")</f>
        <v>0.0469451409581341</v>
      </c>
      <c r="BM225" s="178">
        <f>IF(AND(ISNUMBER(BM138),ISNUMBER(BH138)),IFERROR(BM138/BH138-1,""),"")</f>
        <v>0.0530126121798671</v>
      </c>
      <c r="BN225" s="178">
        <f>IF(AND(ISNUMBER(BN138),ISNUMBER(BI138)),IFERROR(BN138/BI138-1,""),"")</f>
        <v>0.110751126690035</v>
      </c>
      <c r="BO225" s="178">
        <f>IF(AND(ISNUMBER(BO138),ISNUMBER(BJ138)),IFERROR(BO138/BJ138-1,""),"")</f>
        <v>0.119884659543559</v>
      </c>
      <c r="BP225" s="178">
        <f>IF(AND(ISNUMBER(BP138),ISNUMBER(BK138)),IFERROR(BP138/BK138-1,""),"")</f>
        <v>0.0694583419583026</v>
      </c>
      <c r="BQ225" s="178">
        <f>IF(AND(ISNUMBER(BQ138),ISNUMBER(BL138)),IFERROR(BQ138/BL138-1,""),"")</f>
        <v>0.0888863910646254</v>
      </c>
      <c r="BR225" s="178">
        <f>IF(AND(ISNUMBER(BR138),ISNUMBER(BM138)),IFERROR(BR138/BM138-1,""),"")</f>
        <v>0.0401359778309649</v>
      </c>
      <c r="BS225" s="178">
        <f>IF(AND(ISNUMBER(BS138),ISNUMBER(BN138)),IFERROR(BS138/BN138-1,""),"")</f>
        <v>-0.00184515034594157</v>
      </c>
      <c r="BT225" s="178">
        <f>IF(AND(ISNUMBER(BT138),ISNUMBER(BO138)),IFERROR(BT138/BO138-1,""),"")</f>
        <v>0.0130212590115744</v>
      </c>
      <c r="BU225" s="178">
        <f>IF(AND(ISNUMBER(BU138),ISNUMBER(BP138)),IFERROR(BU138/BP138-1,""),"")</f>
        <v>0.0479206437493536</v>
      </c>
      <c r="BV225" s="178">
        <f>IF(AND(ISNUMBER(BV138),ISNUMBER(BQ138)),IFERROR(BV138/BQ138-1,""),"")</f>
        <v>0.0239195497688267</v>
      </c>
      <c r="BW225" s="178">
        <f>IF(AND(ISNUMBER(BW138),ISNUMBER(BR138)),IFERROR(BW138/BR138-1,""),"")</f>
        <v>0.0192653374768672</v>
      </c>
      <c r="BX225" s="178">
        <f>IF(AND(ISNUMBER(BX138),ISNUMBER(BS138)),IFERROR(BX138/BS138-1,""),"")</f>
        <v>0.119463510756497</v>
      </c>
      <c r="BY225" s="179">
        <f>IFERROR(BY138/BT138-1,"")</f>
        <v>0.109517426017692</v>
      </c>
      <c r="BZ225" s="179">
        <f>IFERROR(BZ138/BU138-1,"")</f>
        <v>0.120091460819165</v>
      </c>
      <c r="CA225" s="179">
        <f>IFERROR(CA138/BV138-1,"")</f>
        <v>0.0932736341072773</v>
      </c>
      <c r="CB225" s="179">
        <f>IFERROR(CB138/CA138-1,"")</f>
        <v>0.103748352579642</v>
      </c>
      <c r="CC225" s="179">
        <f>IFERROR(CC138/CB138-1,"")</f>
        <v>0.0823242400683273</v>
      </c>
      <c r="CD225" s="179">
        <f>IFERROR(CD138/CC138-1,"")</f>
        <v>0.0770338191908271</v>
      </c>
      <c r="CE225" s="179">
        <f>IFERROR(CE138/CD138-1,"")</f>
        <v>0.0738653607480411</v>
      </c>
      <c r="CF225" s="20" t="n"/>
    </row>
    <row r="226" ht="15" customHeight="1">
      <c r="B226" s="26" t="inlineStr">
        <is>
          <t xml:space="preserve">  ES direct revenues y/y % (Technical Services revenues before 2017)</t>
        </is>
      </c>
      <c r="C226" s="181" t="n"/>
      <c r="D226" s="190">
        <f>IF(AND(ISNUMBER(D106),ISNUMBER(C106)),IFERROR(D106/C106-1,""),"")</f>
        <v>0.203804751731264</v>
      </c>
      <c r="E226" s="190">
        <f>IF(AND(ISNUMBER(E106),ISNUMBER(D106)),IFERROR(E106/D106-1,""),"")</f>
        <v>0.0596194956063034</v>
      </c>
      <c r="F226" s="190">
        <f>IF(AND(ISNUMBER(F106),ISNUMBER(E106)),IFERROR(F106/E106-1,""),"")</f>
        <v>-0.0552036389672744</v>
      </c>
      <c r="G226" s="190">
        <f>IF(AND(ISNUMBER(G106),ISNUMBER(F106)),IFERROR(G106/F106-1,""),"")</f>
        <v>0.0707818636519659</v>
      </c>
      <c r="H226" s="190">
        <f>IF(AND(ISNUMBER(H106),ISNUMBER(G106)),IFERROR(H106/G106-1,""),"")</f>
        <v>0.152544466231753</v>
      </c>
      <c r="I226" s="190">
        <f>IF(AND(ISNUMBER(I106),ISNUMBER(H106)),IFERROR(I106/H106-1,""),"")</f>
        <v>0.129107181343894</v>
      </c>
      <c r="J226" s="181" t="n"/>
      <c r="K226" s="181" t="n"/>
      <c r="L226" s="181" t="n"/>
      <c r="M226" s="181" t="n"/>
      <c r="N226" s="190">
        <f>IF(AND(ISNUMBER(N106),ISNUMBER(I106)),IFERROR(N106/I106-1,""),"")</f>
        <v>0.224004376414284</v>
      </c>
      <c r="O226" s="190">
        <f>IF(AND(ISNUMBER(O106),ISNUMBER(J106)),IFERROR(O106/J106-1,""),"")</f>
        <v>0.0594267196481617</v>
      </c>
      <c r="P226" s="190">
        <f>IF(AND(ISNUMBER(P106),ISNUMBER(K106)),IFERROR(P106/K106-1,""),"")</f>
        <v>0.0503475775433149</v>
      </c>
      <c r="Q226" s="190">
        <f>IF(AND(ISNUMBER(Q106),ISNUMBER(L106)),IFERROR(Q106/L106-1,""),"")</f>
        <v>0.0247420994980954</v>
      </c>
      <c r="R226" s="190">
        <f>IF(AND(ISNUMBER(R106),ISNUMBER(M106)),IFERROR(R106/M106-1,""),"")</f>
        <v>0.0679036675796647</v>
      </c>
      <c r="S226" s="190">
        <f>IF(AND(ISNUMBER(S106),ISNUMBER(N106)),IFERROR(S106/N106-1,""),"")</f>
        <v>0.0501544238400788</v>
      </c>
      <c r="T226" s="190">
        <f>IF(AND(ISNUMBER(T106),ISNUMBER(O106)),IFERROR(T106/O106-1,""),"")</f>
        <v>0.00696250009103694</v>
      </c>
      <c r="U226" s="190">
        <f>IF(AND(ISNUMBER(U106),ISNUMBER(P106)),IFERROR(U106/P106-1,""),"")</f>
        <v>-0.0343884592384548</v>
      </c>
      <c r="V226" s="190">
        <f>IF(AND(ISNUMBER(V106),ISNUMBER(Q106)),IFERROR(V106/Q106-1,""),"")</f>
        <v>-0.0797952789069629</v>
      </c>
      <c r="W226" s="190">
        <f>IF(AND(ISNUMBER(W106),ISNUMBER(R106)),IFERROR(W106/R106-1,""),"")</f>
        <v>-0.103128157167925</v>
      </c>
      <c r="X226" s="190">
        <f>IF(AND(ISNUMBER(X106),ISNUMBER(S106)),IFERROR(X106/S106-1,""),"")</f>
        <v>-0.0550057533580614</v>
      </c>
      <c r="Y226" s="190">
        <f>IF(AND(ISNUMBER(Y106),ISNUMBER(T106)),IFERROR(Y106/T106-1,""),"")</f>
        <v>-0.080242002560338</v>
      </c>
      <c r="Z226" s="190">
        <f>IF(AND(ISNUMBER(Z106),ISNUMBER(U106)),IFERROR(Z106/U106-1,""),"")</f>
        <v>-0.0767060280702243</v>
      </c>
      <c r="AA226" s="190">
        <f>IF(AND(ISNUMBER(AA106),ISNUMBER(V106)),IFERROR(AA106/V106-1,""),"")</f>
        <v>-0.0576468303778858</v>
      </c>
      <c r="AB226" s="190">
        <f>IF(AND(ISNUMBER(AB106),ISNUMBER(W106)),IFERROR(AB106/W106-1,""),"")</f>
        <v>-0.0749255417837886</v>
      </c>
      <c r="AC226" s="190">
        <f>IF(AND(ISNUMBER(AC106),ISNUMBER(X106)),IFERROR(AC106/X106-1,""),"")</f>
        <v>-0.0722907960810479</v>
      </c>
      <c r="AD226" s="190">
        <f>IF(AND(ISNUMBER(AD106),ISNUMBER(Y106)),IFERROR(AD106/Y106-1,""),"")</f>
        <v>0.0654525295179231</v>
      </c>
      <c r="AE226" s="190">
        <f>IF(AND(ISNUMBER(AE106),ISNUMBER(Z106)),IFERROR(AE106/Z106-1,""),"")</f>
        <v>0.111242581252944</v>
      </c>
      <c r="AF226" s="190">
        <f>IF(AND(ISNUMBER(AF106),ISNUMBER(AA106)),IFERROR(AF106/AA106-1,""),"")</f>
        <v>0.0609451409101112</v>
      </c>
      <c r="AG226" s="190">
        <f>IF(AND(ISNUMBER(AG106),ISNUMBER(AB106)),IFERROR(AG106/AB106-1,""),"")</f>
        <v>0.0930542046491287</v>
      </c>
      <c r="AH226" s="190">
        <f>IF(AND(ISNUMBER(AH106),ISNUMBER(AC106)),IFERROR(AH106/AC106-1,""),"")</f>
        <v>0.0827208335107668</v>
      </c>
      <c r="AI226" s="190">
        <f>AI28</f>
        <v>0.101542098783854</v>
      </c>
      <c r="AJ226" s="190">
        <f>AJ28</f>
        <v>0.152046346477294</v>
      </c>
      <c r="AK226" s="190">
        <f>AK28</f>
        <v>0.148723980866589</v>
      </c>
      <c r="AL226" s="190">
        <f>AL28</f>
        <v>0.203762541982303</v>
      </c>
      <c r="AM226" s="190">
        <f>AM28</f>
        <v>0.152745072070995</v>
      </c>
      <c r="AN226" s="190">
        <f>AN28</f>
        <v>0.0774160911170989</v>
      </c>
      <c r="AO226" s="190">
        <f>AO28</f>
        <v>0.0148914771436914</v>
      </c>
      <c r="AP226" s="190">
        <f>AP28</f>
        <v>0.0808353898854468</v>
      </c>
      <c r="AQ226" s="190">
        <f>AQ28</f>
        <v>0.0125141649137495</v>
      </c>
      <c r="AR226" s="190">
        <f>AR28</f>
        <v>0.0447759521089637</v>
      </c>
      <c r="AS226" s="190">
        <f>AS28</f>
        <v>0.112647390486069</v>
      </c>
      <c r="AT226" s="190">
        <f>AT28</f>
        <v>-0.117501012296741</v>
      </c>
      <c r="AU226" s="190">
        <f>AU28</f>
        <v>-0.100366008260745</v>
      </c>
      <c r="AV226" s="190">
        <f>AV28</f>
        <v>-0.0554196693294217</v>
      </c>
      <c r="AW226" s="190">
        <f>AW28</f>
        <v>-0.0445949787847308</v>
      </c>
      <c r="AX226" s="190">
        <f>AX28</f>
        <v>0.155801413230408</v>
      </c>
      <c r="AY226" s="190">
        <f>AY28</f>
        <v>0.457187762872449</v>
      </c>
      <c r="AZ226" s="190">
        <f>AZ28</f>
        <v>0.412263954391348</v>
      </c>
      <c r="BA226" s="190">
        <f>BA28</f>
        <v>0.663044354100282</v>
      </c>
      <c r="BB226" s="190">
        <f>BB28</f>
        <v>0.418820702323392</v>
      </c>
      <c r="BC226" s="190">
        <f>BC28</f>
        <v>0.447360380811547</v>
      </c>
      <c r="BD226" s="190">
        <f>BD28</f>
        <v>0.506349287457343</v>
      </c>
      <c r="BE226" s="190">
        <f>BE28</f>
        <v>0.457129713947746</v>
      </c>
      <c r="BF226" s="190">
        <f>BF28</f>
        <v>0.152966231409436</v>
      </c>
      <c r="BG226" s="190">
        <f>BG28</f>
        <v>0.375686490215515</v>
      </c>
      <c r="BH226" s="190">
        <f>BH28</f>
        <v>0.130135258511048</v>
      </c>
      <c r="BI226" s="190">
        <f>BI28</f>
        <v>0.0745299305152545</v>
      </c>
      <c r="BJ226" s="190">
        <f>BJ28</f>
        <v>0.0551126385662377</v>
      </c>
      <c r="BK226" s="190">
        <f>BK28</f>
        <v>0.071886872823614</v>
      </c>
      <c r="BL226" s="190">
        <f>BL28</f>
        <v>0.0814381454493678</v>
      </c>
      <c r="BM226" s="190">
        <f>BM28</f>
        <v>0.0950453937973796</v>
      </c>
      <c r="BN226" s="190">
        <f>BN28</f>
        <v>0.117186673446891</v>
      </c>
      <c r="BO226" s="190">
        <f>BO28</f>
        <v>0.131567400552879</v>
      </c>
      <c r="BP226" s="190">
        <f>BP28</f>
        <v>0.0921008783732009</v>
      </c>
      <c r="BQ226" s="190">
        <f>BQ28</f>
        <v>0.109345304671987</v>
      </c>
      <c r="BR226" s="190">
        <f>BR28</f>
        <v>0.0312176441991967</v>
      </c>
      <c r="BS226" s="190">
        <f>BS28</f>
        <v>0.032574120788188</v>
      </c>
      <c r="BT226" s="190">
        <f>BT28</f>
        <v>0.026297673350103</v>
      </c>
      <c r="BU226" s="190">
        <f>BU28</f>
        <v>0.0613339512281885</v>
      </c>
      <c r="BV226" s="190">
        <f>BV28</f>
        <v>0.0376728334119587</v>
      </c>
      <c r="BW226" s="190">
        <f>BW28</f>
        <v>0.0359048327162144</v>
      </c>
      <c r="BX226" s="190">
        <f>BX28</f>
        <v>0.0773116080574838</v>
      </c>
      <c r="BY226" s="179">
        <f>BY28</f>
        <v>0.0824704123788778</v>
      </c>
      <c r="BZ226" s="179">
        <f>BZ28</f>
        <v>0.0740959393992506</v>
      </c>
      <c r="CA226" s="179">
        <f>CA28</f>
        <v>0.0681881755110922</v>
      </c>
      <c r="CB226" s="179">
        <f>CB28</f>
        <v>0.0605199885440324</v>
      </c>
      <c r="CC226" s="179">
        <f>CC28</f>
        <v>0.0591345350319239</v>
      </c>
      <c r="CD226" s="179">
        <f>CD28</f>
        <v>0.0555201481364125</v>
      </c>
      <c r="CE226" s="179">
        <f>CE28</f>
        <v>0.0537403800679028</v>
      </c>
      <c r="CF226" s="20" t="n"/>
    </row>
    <row r="227" ht="15" customHeight="1">
      <c r="B227" s="26" t="inlineStr">
        <is>
          <t xml:space="preserve">  SKSS direct revenues y/y % (from 2018)</t>
        </is>
      </c>
      <c r="C227" s="181" t="n"/>
      <c r="D227" s="181" t="n"/>
      <c r="E227" s="181" t="n"/>
      <c r="F227" s="181" t="n"/>
      <c r="G227" s="181" t="n"/>
      <c r="H227" s="181" t="n"/>
      <c r="I227" s="181" t="n"/>
      <c r="J227" s="181" t="n"/>
      <c r="K227" s="181" t="n"/>
      <c r="L227" s="181" t="n"/>
      <c r="M227" s="181" t="n"/>
      <c r="N227" s="181" t="n"/>
      <c r="O227" s="181" t="n"/>
      <c r="P227" s="181" t="n"/>
      <c r="Q227" s="181" t="n"/>
      <c r="R227" s="181" t="n"/>
      <c r="S227" s="181" t="n"/>
      <c r="T227" s="181" t="n"/>
      <c r="U227" s="181" t="n"/>
      <c r="V227" s="181" t="n"/>
      <c r="W227" s="181" t="n"/>
      <c r="X227" s="181" t="n"/>
      <c r="Y227" s="181" t="n"/>
      <c r="Z227" s="181" t="n"/>
      <c r="AA227" s="181" t="n"/>
      <c r="AB227" s="181" t="n"/>
      <c r="AC227" s="181" t="n"/>
      <c r="AD227" s="181" t="n"/>
      <c r="AE227" s="181" t="n"/>
      <c r="AF227" s="181" t="n"/>
      <c r="AG227" s="181" t="n"/>
      <c r="AH227" s="181" t="n"/>
      <c r="AI227" s="190">
        <f>AI45</f>
        <v>0.0656698679241667</v>
      </c>
      <c r="AJ227" s="190">
        <f>AJ45</f>
        <v>0.085214602952288</v>
      </c>
      <c r="AK227" s="190">
        <f>AK45</f>
        <v>0.0621694896107654</v>
      </c>
      <c r="AL227" s="190">
        <f>AL45</f>
        <v>0.0570207955604818</v>
      </c>
      <c r="AM227" s="190">
        <f>AM45</f>
        <v>0.0674666279371183</v>
      </c>
      <c r="AN227" s="190">
        <f>AN45</f>
        <v>-0.0197399663265747</v>
      </c>
      <c r="AO227" s="190">
        <f>AO45</f>
        <v>0.0392242770051114</v>
      </c>
      <c r="AP227" s="190">
        <f>AP45</f>
        <v>0.0174817621350349</v>
      </c>
      <c r="AQ227" s="190">
        <f>AQ45</f>
        <v>0.0191841610011181</v>
      </c>
      <c r="AR227" s="190">
        <f>AR45</f>
        <v>0.0145072428574626</v>
      </c>
      <c r="AS227" s="190">
        <f>AS45</f>
        <v>0.076098166083743</v>
      </c>
      <c r="AT227" s="190">
        <f>AT45</f>
        <v>-0.298799937251621</v>
      </c>
      <c r="AU227" s="190">
        <f>AU45</f>
        <v>-0.178036551307387</v>
      </c>
      <c r="AV227" s="190">
        <f>AV45</f>
        <v>-0.145572919328298</v>
      </c>
      <c r="AW227" s="190">
        <f>AW45</f>
        <v>-0.142537022685971</v>
      </c>
      <c r="AX227" s="190">
        <f>AX45</f>
        <v>-0.47660054840866</v>
      </c>
      <c r="AY227" s="190">
        <f>AY45</f>
        <v>-0.0572065101884822</v>
      </c>
      <c r="AZ227" s="190">
        <f>AZ45</f>
        <v>-0.182216658718805</v>
      </c>
      <c r="BA227" s="190">
        <f>BA45</f>
        <v>-0.157567565412251</v>
      </c>
      <c r="BB227" s="190">
        <f>BB45</f>
        <v>-0.234991615538279</v>
      </c>
      <c r="BC227" s="190">
        <f>BC45</f>
        <v>0.44390650758795</v>
      </c>
      <c r="BD227" s="190">
        <f>BD45</f>
        <v>0.312474664082815</v>
      </c>
      <c r="BE227" s="190">
        <f>BE45</f>
        <v>0.342742738851337</v>
      </c>
      <c r="BF227" s="190">
        <f>BF45</f>
        <v>0.0933087842027291</v>
      </c>
      <c r="BG227" s="190">
        <f>BG45</f>
        <v>0.286717485342509</v>
      </c>
      <c r="BH227" s="190">
        <f>BH45</f>
        <v>0.0674527961298241</v>
      </c>
      <c r="BI227" s="190">
        <f>BI45</f>
        <v>-0.149693020452748</v>
      </c>
      <c r="BJ227" s="190">
        <f>BJ45</f>
        <v>-0.206637980015851</v>
      </c>
      <c r="BK227" s="190">
        <f>BK45</f>
        <v>-0.0659592797987801</v>
      </c>
      <c r="BL227" s="190">
        <f>BL45</f>
        <v>-0.0976767713336391</v>
      </c>
      <c r="BM227" s="190">
        <f>BM45</f>
        <v>-0.137212045370954</v>
      </c>
      <c r="BN227" s="190">
        <f>BN45</f>
        <v>0.0774713397239399</v>
      </c>
      <c r="BO227" s="190">
        <f>BO45</f>
        <v>0.0589268363888495</v>
      </c>
      <c r="BP227" s="190">
        <f>BP45</f>
        <v>-0.0482769808347431</v>
      </c>
      <c r="BQ227" s="190">
        <f>BQ45</f>
        <v>-0.0138922478693538</v>
      </c>
      <c r="BR227" s="190">
        <f>BR45</f>
        <v>0.0914186874947938</v>
      </c>
      <c r="BS227" s="190">
        <f>BS45</f>
        <v>-0.187089135287806</v>
      </c>
      <c r="BT227" s="190">
        <f>BT45</f>
        <v>-0.060748086275895</v>
      </c>
      <c r="BU227" s="190">
        <f>BU45</f>
        <v>-0.0315819206288137</v>
      </c>
      <c r="BV227" s="190">
        <f>BV45</f>
        <v>-0.0536133671188226</v>
      </c>
      <c r="BW227" s="190">
        <f>BW45</f>
        <v>-0.0706159648020114</v>
      </c>
      <c r="BX227" s="190">
        <f>BX45</f>
        <v>0.408192990441511</v>
      </c>
      <c r="BY227" s="179">
        <f>BY45</f>
        <v>0.240735654957645</v>
      </c>
      <c r="BZ227" s="179">
        <f>BZ45</f>
        <v>0.0967937280617941</v>
      </c>
      <c r="CA227" s="179">
        <f>CA45</f>
        <v>0.16327497936971</v>
      </c>
      <c r="CB227" s="179">
        <f>CB45</f>
        <v>-0.0350518071374548</v>
      </c>
      <c r="CC227" s="179">
        <f>CC45</f>
        <v>0.0351220244193575</v>
      </c>
      <c r="CD227" s="179">
        <f>CD45</f>
        <v>0.0338021566853994</v>
      </c>
      <c r="CE227" s="179">
        <f>CE45</f>
        <v>0.0342525402325518</v>
      </c>
      <c r="CF227" s="20" t="n"/>
    </row>
    <row r="228" ht="15" customHeight="1">
      <c r="B228" s="23" t="inlineStr">
        <is>
          <t xml:space="preserve">  Adjusted EBITDA y/y %</t>
        </is>
      </c>
      <c r="C228" s="24" t="n"/>
      <c r="D228" s="178">
        <f>IF(AND(ISNUMBER(D187),ISNUMBER(C187)),IFERROR(D187/C187-1,""),"")</f>
        <v>0.111410347271439</v>
      </c>
      <c r="E228" s="178">
        <f>IF(AND(ISNUMBER(E187),ISNUMBER(D187)),IFERROR(E187/D187-1,""),"")</f>
        <v>0.224476169756258</v>
      </c>
      <c r="F228" s="178">
        <f>IF(AND(ISNUMBER(F187),ISNUMBER(E187)),IFERROR(F187/E187-1,""),"")</f>
        <v>-0.0345486738676246</v>
      </c>
      <c r="G228" s="178">
        <f>IF(AND(ISNUMBER(G187),ISNUMBER(F187)),IFERROR(G187/F187-1,""),"")</f>
        <v>0.997030079959384</v>
      </c>
      <c r="H228" s="178">
        <f>IF(AND(ISNUMBER(H187),ISNUMBER(G187)),IFERROR(H187/G187-1,""),"")</f>
        <v>0.11222401586313</v>
      </c>
      <c r="I228" s="178">
        <f>IF(AND(ISNUMBER(I187),ISNUMBER(H187)),IFERROR(I187/H187-1,""),"")</f>
        <v>0.0678813055701582</v>
      </c>
      <c r="J228" s="24" t="n"/>
      <c r="K228" s="24" t="n"/>
      <c r="L228" s="24" t="n"/>
      <c r="M228" s="24" t="n"/>
      <c r="N228" s="178">
        <f>IF(AND(ISNUMBER(N187),ISNUMBER(I187)),IFERROR(N187/I187-1,""),"")</f>
        <v>0.36476735506345</v>
      </c>
      <c r="O228" s="178">
        <f>IF(AND(ISNUMBER(O187),ISNUMBER(J187)),IFERROR(O187/J187-1,""),"")</f>
        <v>-0.0830905887006872</v>
      </c>
      <c r="P228" s="178">
        <f>IF(AND(ISNUMBER(P187),ISNUMBER(K187)),IFERROR(P187/K187-1,""),"")</f>
        <v>0.0987863095719717</v>
      </c>
      <c r="Q228" s="178">
        <f>IF(AND(ISNUMBER(Q187),ISNUMBER(L187)),IFERROR(Q187/L187-1,""),"")</f>
        <v>0.0507358583643942</v>
      </c>
      <c r="R228" s="178">
        <f>IF(AND(ISNUMBER(R187),ISNUMBER(M187)),IFERROR(R187/M187-1,""),"")</f>
        <v>0.0111493408590095</v>
      </c>
      <c r="S228" s="178">
        <f>IF(AND(ISNUMBER(S187),ISNUMBER(N187)),IFERROR(S187/N187-1,""),"")</f>
        <v>0.0231599376598934</v>
      </c>
      <c r="T228" s="178">
        <f>IF(AND(ISNUMBER(T187),ISNUMBER(O187)),IFERROR(T187/O187-1,""),"")</f>
        <v>-0.232473084541015</v>
      </c>
      <c r="U228" s="178">
        <f>IF(AND(ISNUMBER(U187),ISNUMBER(P187)),IFERROR(U187/P187-1,""),"")</f>
        <v>0.201201776154464</v>
      </c>
      <c r="V228" s="178">
        <f>IF(AND(ISNUMBER(V187),ISNUMBER(Q187)),IFERROR(V187/Q187-1,""),"")</f>
        <v>0.0798789752016538</v>
      </c>
      <c r="W228" s="178">
        <f>IF(AND(ISNUMBER(W187),ISNUMBER(R187)),IFERROR(W187/R187-1,""),"")</f>
        <v>-0.257048257721159</v>
      </c>
      <c r="X228" s="178">
        <f>IF(AND(ISNUMBER(X187),ISNUMBER(S187)),IFERROR(X187/S187-1,""),"")</f>
        <v>-0.0340129407053584</v>
      </c>
      <c r="Y228" s="178">
        <f>IF(AND(ISNUMBER(Y187),ISNUMBER(T187)),IFERROR(Y187/T187-1,""),"")</f>
        <v>-0.139977260242473</v>
      </c>
      <c r="Z228" s="178">
        <f>IF(AND(ISNUMBER(Z187),ISNUMBER(U187)),IFERROR(Z187/U187-1,""),"")</f>
        <v>-0.322930076874977</v>
      </c>
      <c r="AA228" s="178">
        <f>IF(AND(ISNUMBER(AA187),ISNUMBER(V187)),IFERROR(AA187/V187-1,""),"")</f>
        <v>-0.235231602528879</v>
      </c>
      <c r="AB228" s="178">
        <f>IF(AND(ISNUMBER(AB187),ISNUMBER(W187)),IFERROR(AB187/W187-1,""),"")</f>
        <v>-0.0125873550086956</v>
      </c>
      <c r="AC228" s="178">
        <f>IF(AND(ISNUMBER(AC187),ISNUMBER(X187)),IFERROR(AC187/X187-1,""),"")</f>
        <v>-0.205909946505821</v>
      </c>
      <c r="AD228" s="178">
        <f>IF(AND(ISNUMBER(AD187),ISNUMBER(Y187)),IFERROR(AD187/Y187-1,""),"")</f>
        <v>0.190359477124184</v>
      </c>
      <c r="AE228" s="178">
        <f>IF(AND(ISNUMBER(AE187),ISNUMBER(Z187)),IFERROR(AE187/Z187-1,""),"")</f>
        <v>0.0927701570917658</v>
      </c>
      <c r="AF228" s="178">
        <f>IF(AND(ISNUMBER(AF187),ISNUMBER(AA187)),IFERROR(AF187/AA187-1,""),"")</f>
        <v>-0.0288351453995624</v>
      </c>
      <c r="AG228" s="178">
        <f>IF(AND(ISNUMBER(AG187),ISNUMBER(AB187)),IFERROR(AG187/AB187-1,""),"")</f>
        <v>0.0614355104338207</v>
      </c>
      <c r="AH228" s="178">
        <f>IF(AND(ISNUMBER(AH187),ISNUMBER(AC187)),IFERROR(AH187/AC187-1,""),"")</f>
        <v>0.0632015666135475</v>
      </c>
      <c r="AI228" s="178">
        <f>IF(AND(ISNUMBER(AI187),ISNUMBER(AD187)),IFERROR(AI187/AD187-1,""),"")</f>
        <v>0.101453796718039</v>
      </c>
      <c r="AJ228" s="178">
        <f>IF(AND(ISNUMBER(AJ187),ISNUMBER(AE187)),IFERROR(AJ187/AE187-1,""),"")</f>
        <v>0.156349686389209</v>
      </c>
      <c r="AK228" s="178">
        <f>IF(AND(ISNUMBER(AK187),ISNUMBER(AF187)),IFERROR(AK187/AF187-1,""),"")</f>
        <v>0.148602834169385</v>
      </c>
      <c r="AL228" s="178">
        <f>IF(AND(ISNUMBER(AL187),ISNUMBER(AG187)),IFERROR(AL187/AG187-1,""),"")</f>
        <v>0.197089323591799</v>
      </c>
      <c r="AM228" s="178">
        <f>IF(AND(ISNUMBER(AM187),ISNUMBER(AH187)),IFERROR(AM187/AH187-1,""),"")</f>
        <v>0.153522672010562</v>
      </c>
      <c r="AN228" s="178">
        <f>IF(AND(ISNUMBER(AN187),ISNUMBER(AI187)),IFERROR(AN187/AI187-1,""),"")</f>
        <v>0.151792896391548</v>
      </c>
      <c r="AO228" s="178">
        <f>IF(AND(ISNUMBER(AO187),ISNUMBER(AJ187)),IFERROR(AO187/AJ187-1,""),"")</f>
        <v>0.0735449015125997</v>
      </c>
      <c r="AP228" s="178">
        <f>IF(AND(ISNUMBER(AP187),ISNUMBER(AK187)),IFERROR(AP187/AK187-1,""),"")</f>
        <v>0.108552701430522</v>
      </c>
      <c r="AQ228" s="178">
        <f>IF(AND(ISNUMBER(AQ187),ISNUMBER(AL187)),IFERROR(AQ187/AL187-1,""),"")</f>
        <v>0.0846089481714816</v>
      </c>
      <c r="AR228" s="178">
        <f>IF(AND(ISNUMBER(AR187),ISNUMBER(AM187)),IFERROR(AR187/AM187-1,""),"")</f>
        <v>0.100430749177707</v>
      </c>
      <c r="AS228" s="178">
        <f>IF(AND(ISNUMBER(AS187),ISNUMBER(AN187)),IFERROR(AS187/AN187-1,""),"")</f>
        <v>0.2058467682441</v>
      </c>
      <c r="AT228" s="178">
        <f>IF(AND(ISNUMBER(AT187),ISNUMBER(AO187)),IFERROR(AT187/AO187-1,""),"")</f>
        <v>-0.0957450358751874</v>
      </c>
      <c r="AU228" s="178">
        <f>IF(AND(ISNUMBER(AU187),ISNUMBER(AP187)),IFERROR(AU187/AP187-1,""),"")</f>
        <v>0.0291035865477327</v>
      </c>
      <c r="AV228" s="178">
        <f>IF(AND(ISNUMBER(AV187),ISNUMBER(AQ187)),IFERROR(AV187/AQ187-1,""),"")</f>
        <v>0.0290812004598551</v>
      </c>
      <c r="AW228" s="178">
        <f>IF(AND(ISNUMBER(AW187),ISNUMBER(AR187)),IFERROR(AW187/AR187-1,""),"")</f>
        <v>0.0277337192796079</v>
      </c>
      <c r="AX228" s="178">
        <f>IF(AND(ISNUMBER(AX187),ISNUMBER(AS187)),IFERROR(AX187/AS187-1,""),"")</f>
        <v>0.05596704462028</v>
      </c>
      <c r="AY228" s="178">
        <f>IF(AND(ISNUMBER(AY187),ISNUMBER(AT187)),IFERROR(AY187/AT187-1,""),"")</f>
        <v>0.385968408621199</v>
      </c>
      <c r="AZ228" s="178">
        <f>IF(AND(ISNUMBER(AZ187),ISNUMBER(AU187)),IFERROR(AZ187/AU187-1,""),"")</f>
        <v>0.14837036439558</v>
      </c>
      <c r="BA228" s="178">
        <f>IF(AND(ISNUMBER(BA187),ISNUMBER(AV187)),IFERROR(BA187/AV187-1,""),"")</f>
        <v>0.281043061567972</v>
      </c>
      <c r="BB228" s="178">
        <f>IF(AND(ISNUMBER(BB187),ISNUMBER(AW187)),IFERROR(BB187/AW187-1,""),"")</f>
        <v>0.218446899164779</v>
      </c>
      <c r="BC228" s="178">
        <f>IF(AND(ISNUMBER(BC187),ISNUMBER(AX187)),IFERROR(BC187/AX187-1,""),"")</f>
        <v>0.392488277417709</v>
      </c>
      <c r="BD228" s="178">
        <f>IF(AND(ISNUMBER(BD187),ISNUMBER(AY187)),IFERROR(BD187/AY187-1,""),"")</f>
        <v>0.645994322872008</v>
      </c>
      <c r="BE228" s="178">
        <f>IF(AND(ISNUMBER(BE187),ISNUMBER(AZ187)),IFERROR(BE187/AZ187-1,""),"")</f>
        <v>0.6671079077608</v>
      </c>
      <c r="BF228" s="178">
        <f>IF(AND(ISNUMBER(BF187),ISNUMBER(BA187)),IFERROR(BF187/BA187-1,""),"")</f>
        <v>0.286540447504303</v>
      </c>
      <c r="BG228" s="178">
        <f>IF(AND(ISNUMBER(BG187),ISNUMBER(BB187)),IFERROR(BG187/BB187-1,""),"")</f>
        <v>0.510669429475943</v>
      </c>
      <c r="BH228" s="178">
        <f>IF(AND(ISNUMBER(BH187),ISNUMBER(BC187)),IFERROR(BH187/BC187-1,""),"")</f>
        <v>0.193493806134507</v>
      </c>
      <c r="BI228" s="178">
        <f>IF(AND(ISNUMBER(BI187),ISNUMBER(BD187)),IFERROR(BI187/BD187-1,""),"")</f>
        <v>-0.0697706021289664</v>
      </c>
      <c r="BJ228" s="178">
        <f>IF(AND(ISNUMBER(BJ187),ISNUMBER(BE187)),IFERROR(BJ187/BE187-1,""),"")</f>
        <v>-0.173512015686021</v>
      </c>
      <c r="BK228" s="178">
        <f>IF(AND(ISNUMBER(BK187),ISNUMBER(BF187)),IFERROR(BK187/BF187-1,""),"")</f>
        <v>0.136748363389879</v>
      </c>
      <c r="BL228" s="178">
        <f>IF(AND(ISNUMBER(BL187),ISNUMBER(BG187)),IFERROR(BL187/BG187-1,""),"")</f>
        <v>-0.00935107931687573</v>
      </c>
      <c r="BM228" s="178">
        <f>IF(AND(ISNUMBER(BM187),ISNUMBER(BH187)),IFERROR(BM187/BH187-1,""),"")</f>
        <v>0.0695228179122236</v>
      </c>
      <c r="BN228" s="178">
        <f>IF(AND(ISNUMBER(BN187),ISNUMBER(BI187)),IFERROR(BN187/BI187-1,""),"")</f>
        <v>0.140205769618721</v>
      </c>
      <c r="BO228" s="178">
        <f>IF(AND(ISNUMBER(BO187),ISNUMBER(BJ187)),IFERROR(BO187/BJ187-1,""),"")</f>
        <v>0.1835054133646</v>
      </c>
      <c r="BP228" s="178">
        <f>IF(AND(ISNUMBER(BP187),ISNUMBER(BK187)),IFERROR(BP187/BK187-1,""),"")</f>
        <v>0.00902282775421814</v>
      </c>
      <c r="BQ228" s="178">
        <f>IF(AND(ISNUMBER(BQ187),ISNUMBER(BL187)),IFERROR(BQ187/BL187-1,""),"")</f>
        <v>0.103068429836949</v>
      </c>
      <c r="BR228" s="178">
        <f>IF(AND(ISNUMBER(BR187),ISNUMBER(BM187)),IFERROR(BR187/BM187-1,""),"")</f>
        <v>0.02068276146809</v>
      </c>
      <c r="BS228" s="178">
        <f>IF(AND(ISNUMBER(BS187),ISNUMBER(BN187)),IFERROR(BS187/BN187-1,""),"")</f>
        <v>0.0256881909363784</v>
      </c>
      <c r="BT228" s="178">
        <f>IF(AND(ISNUMBER(BT187),ISNUMBER(BO187)),IFERROR(BT187/BO187-1,""),"")</f>
        <v>0.0607824686727583</v>
      </c>
      <c r="BU228" s="178">
        <f>IF(AND(ISNUMBER(BU187),ISNUMBER(BP187)),IFERROR(BU187/BP187-1,""),"")</f>
        <v>0.0835118522291203</v>
      </c>
      <c r="BV228" s="178">
        <f>IF(AND(ISNUMBER(BV187),ISNUMBER(BQ187)),IFERROR(BV187/BQ187-1,""),"")</f>
        <v>0.0474558031181789</v>
      </c>
      <c r="BW228" s="178">
        <f>IF(AND(ISNUMBER(BW187),ISNUMBER(BR187)),IFERROR(BW187/BR187-1,""),"")</f>
        <v>0.0553535387943147</v>
      </c>
      <c r="BX228" s="178">
        <f>IF(AND(ISNUMBER(BX187),ISNUMBER(BS187)),IFERROR(BX187/BS187-1,""),"")</f>
        <v>0.216475283802795</v>
      </c>
      <c r="BY228" s="179">
        <f>IFERROR(BY187/BT187-1,"")</f>
        <v>0.248837950473978</v>
      </c>
      <c r="BZ228" s="179">
        <f>IFERROR(BZ187/BU187-1,"")</f>
        <v>0.212229462381361</v>
      </c>
      <c r="CA228" s="179">
        <f>IFERROR(CA187/BV187-1,"")</f>
        <v>0.191976441530197</v>
      </c>
      <c r="CB228" s="179">
        <f>IFERROR(CB187/CA187-1,"")</f>
        <v>0.11161863179896</v>
      </c>
      <c r="CC228" s="179">
        <f>IFERROR(CC187/CB187-1,"")</f>
        <v>0.108750442419143</v>
      </c>
      <c r="CD228" s="179">
        <f>IFERROR(CD187/CC187-1,"")</f>
        <v>0.0919700330491142</v>
      </c>
      <c r="CE228" s="179">
        <f>IFERROR(CE187/CD187-1,"")</f>
        <v>0.0815763892741068</v>
      </c>
      <c r="CF228" s="20" t="n"/>
    </row>
    <row r="229" ht="15" customHeight="1">
      <c r="B229" s="23" t="inlineStr">
        <is>
          <t xml:space="preserve">  Income from operations y/y %</t>
        </is>
      </c>
      <c r="C229" s="24" t="n"/>
      <c r="D229" s="178">
        <f>IF(AND(ISNUMBER(D147),ISNUMBER(C147)),IFERROR(D147/C147-1,""),"")</f>
        <v>0.146337528234915</v>
      </c>
      <c r="E229" s="178">
        <f>IF(AND(ISNUMBER(E147),ISNUMBER(D147)),IFERROR(E147/D147-1,""),"")</f>
        <v>0.266385174759558</v>
      </c>
      <c r="F229" s="178">
        <f>IF(AND(ISNUMBER(F147),ISNUMBER(E147)),IFERROR(F147/E147-1,""),"")</f>
        <v>-0.239941836772495</v>
      </c>
      <c r="G229" s="178">
        <f>IF(AND(ISNUMBER(G147),ISNUMBER(F147)),IFERROR(G147/F147-1,""),"")</f>
        <v>1.58224578078352</v>
      </c>
      <c r="H229" s="178">
        <f>IF(AND(ISNUMBER(H147),ISNUMBER(G147)),IFERROR(H147/G147-1,""),"")</f>
        <v>0.0271480614594741</v>
      </c>
      <c r="I229" s="178">
        <f>IF(AND(ISNUMBER(I147),ISNUMBER(H147)),IFERROR(I147/H147-1,""),"")</f>
        <v>-0.0710311717547613</v>
      </c>
      <c r="J229" s="24" t="n"/>
      <c r="K229" s="24" t="n"/>
      <c r="L229" s="24" t="n"/>
      <c r="M229" s="24" t="n"/>
      <c r="N229" s="178">
        <f>IF(AND(ISNUMBER(N147),ISNUMBER(I147)),IFERROR(N147/I147-1,""),"")</f>
        <v>0.090759826709661</v>
      </c>
      <c r="O229" s="178">
        <f>IF(AND(ISNUMBER(O147),ISNUMBER(J147)),IFERROR(O147/J147-1,""),"")</f>
        <v>-0.141323073389228</v>
      </c>
      <c r="P229" s="178">
        <f>IF(AND(ISNUMBER(P147),ISNUMBER(K147)),IFERROR(P147/K147-1,""),"")</f>
        <v>0.260541291813008</v>
      </c>
      <c r="Q229" s="178">
        <f>IF(AND(ISNUMBER(Q147),ISNUMBER(L147)),IFERROR(Q147/L147-1,""),"")</f>
        <v>-1.5807520921639</v>
      </c>
      <c r="R229" s="178">
        <f>IF(AND(ISNUMBER(R147),ISNUMBER(M147)),IFERROR(R147/M147-1,""),"")</f>
        <v>-0.0227593117855868</v>
      </c>
      <c r="S229" s="178">
        <f>IF(AND(ISNUMBER(S147),ISNUMBER(N147)),IFERROR(S147/N147-1,""),"")</f>
        <v>-0.493053918279258</v>
      </c>
      <c r="T229" s="178">
        <f>IF(AND(ISNUMBER(T147),ISNUMBER(O147)),IFERROR(T147/O147-1,""),"")</f>
        <v>-0.755834949508457</v>
      </c>
      <c r="U229" s="178">
        <f>IF(AND(ISNUMBER(U147),ISNUMBER(P147)),IFERROR(U147/P147-1,""),"")</f>
        <v>-0.0947180213067124</v>
      </c>
      <c r="V229" s="178">
        <f>IF(AND(ISNUMBER(V147),ISNUMBER(Q147)),IFERROR(V147/Q147-1,""),"")</f>
        <v>-3.19823149621035</v>
      </c>
      <c r="W229" s="178">
        <f>IF(AND(ISNUMBER(W147),ISNUMBER(R147)),IFERROR(W147/R147-1,""),"")</f>
        <v>-0.555955298329771</v>
      </c>
      <c r="X229" s="178">
        <f>IF(AND(ISNUMBER(X147),ISNUMBER(S147)),IFERROR(X147/S147-1,""),"")</f>
        <v>0.677658527859763</v>
      </c>
      <c r="Y229" s="178">
        <f>IF(AND(ISNUMBER(Y147),ISNUMBER(T147)),IFERROR(Y147/T147-1,""),"")</f>
        <v>-1.55970966858395</v>
      </c>
      <c r="Z229" s="178">
        <f>IF(AND(ISNUMBER(Z147),ISNUMBER(U147)),IFERROR(Z147/U147-1,""),"")</f>
        <v>-0.432107705981106</v>
      </c>
      <c r="AA229" s="178">
        <f>IF(AND(ISNUMBER(AA147),ISNUMBER(V147)),IFERROR(AA147/V147-1,""),"")</f>
        <v>-0.821198254762159</v>
      </c>
      <c r="AB229" s="178">
        <f>IF(AND(ISNUMBER(AB147),ISNUMBER(W147)),IFERROR(AB147/W147-1,""),"")</f>
        <v>-0.141140553446315</v>
      </c>
      <c r="AC229" s="178">
        <f>IF(AND(ISNUMBER(AC147),ISNUMBER(X147)),IFERROR(AC147/X147-1,""),"")</f>
        <v>-0.631291349244851</v>
      </c>
      <c r="AD229" s="178">
        <f>IF(AND(ISNUMBER(AD147),ISNUMBER(Y147)),IFERROR(AD147/Y147-1,""),"")</f>
        <v>-2.32933692194764</v>
      </c>
      <c r="AE229" s="178">
        <f>IF(AND(ISNUMBER(AE147),ISNUMBER(Z147)),IFERROR(AE147/Z147-1,""),"")</f>
        <v>0.354741479248784</v>
      </c>
      <c r="AF229" s="178">
        <f>IF(AND(ISNUMBER(AF147),ISNUMBER(AA147)),IFERROR(AF147/AA147-1,""),"")</f>
        <v>1.83674562552078</v>
      </c>
      <c r="AG229" s="178">
        <f>IF(AND(ISNUMBER(AG147),ISNUMBER(AB147)),IFERROR(AG147/AB147-1,""),"")</f>
        <v>0.273071138859768</v>
      </c>
      <c r="AH229" s="178">
        <f>IF(AND(ISNUMBER(AH147),ISNUMBER(AC147)),IFERROR(AH147/AC147-1,""),"")</f>
        <v>0.847474046441688</v>
      </c>
      <c r="AI229" s="178">
        <f>IF(AND(ISNUMBER(AI147),ISNUMBER(AD147)),IFERROR(AI147/AD147-1,""),"")</f>
        <v>1.02300754647524</v>
      </c>
      <c r="AJ229" s="178">
        <f>IF(AND(ISNUMBER(AJ147),ISNUMBER(AE147)),IFERROR(AJ147/AE147-1,""),"")</f>
        <v>0.376711449597809</v>
      </c>
      <c r="AK229" s="178">
        <f>IF(AND(ISNUMBER(AK147),ISNUMBER(AF147)),IFERROR(AK147/AF147-1,""),"")</f>
        <v>0.379371839791875</v>
      </c>
      <c r="AL229" s="178">
        <f>IF(AND(ISNUMBER(AL147),ISNUMBER(AG147)),IFERROR(AL147/AG147-1,""),"")</f>
        <v>0.485054591014857</v>
      </c>
      <c r="AM229" s="178">
        <f>IF(AND(ISNUMBER(AM147),ISNUMBER(AH147)),IFERROR(AM147/AH147-1,""),"")</f>
        <v>0.428871062414397</v>
      </c>
      <c r="AN229" s="178">
        <f>IF(AND(ISNUMBER(AN147),ISNUMBER(AI147)),IFERROR(AN147/AI147-1,""),"")</f>
        <v>1.1594031480302</v>
      </c>
      <c r="AO229" s="178">
        <f>IF(AND(ISNUMBER(AO147),ISNUMBER(AJ147)),IFERROR(AO147/AJ147-1,""),"")</f>
        <v>0.135114136093111</v>
      </c>
      <c r="AP229" s="178">
        <f>IF(AND(ISNUMBER(AP147),ISNUMBER(AK147)),IFERROR(AP147/AK147-1,""),"")</f>
        <v>0.222404745608029</v>
      </c>
      <c r="AQ229" s="178">
        <f>IF(AND(ISNUMBER(AQ147),ISNUMBER(AL147)),IFERROR(AQ147/AL147-1,""),"")</f>
        <v>0.260865373026394</v>
      </c>
      <c r="AR229" s="178">
        <f>IF(AND(ISNUMBER(AR147),ISNUMBER(AM147)),IFERROR(AR147/AM147-1,""),"")</f>
        <v>0.256783550779411</v>
      </c>
      <c r="AS229" s="178">
        <f>IF(AND(ISNUMBER(AS147),ISNUMBER(AN147)),IFERROR(AS147/AN147-1,""),"")</f>
        <v>0.916912446279594</v>
      </c>
      <c r="AT229" s="178">
        <f>IF(AND(ISNUMBER(AT147),ISNUMBER(AO147)),IFERROR(AT147/AO147-1,""),"")</f>
        <v>-0.175610557441682</v>
      </c>
      <c r="AU229" s="178">
        <f>IF(AND(ISNUMBER(AU147),ISNUMBER(AP147)),IFERROR(AU147/AP147-1,""),"")</f>
        <v>0.0436995284134043</v>
      </c>
      <c r="AV229" s="178">
        <f>IF(AND(ISNUMBER(AV147),ISNUMBER(AQ147)),IFERROR(AV147/AQ147-1,""),"")</f>
        <v>0.180358269447687</v>
      </c>
      <c r="AW229" s="178">
        <f>IF(AND(ISNUMBER(AW147),ISNUMBER(AR147)),IFERROR(AW147/AR147-1,""),"")</f>
        <v>0.095355972386862</v>
      </c>
      <c r="AX229" s="178">
        <f>IF(AND(ISNUMBER(AX147),ISNUMBER(AS147)),IFERROR(AX147/AS147-1,""),"")</f>
        <v>0.117790574995607</v>
      </c>
      <c r="AY229" s="178">
        <f>IF(AND(ISNUMBER(AY147),ISNUMBER(AT147)),IFERROR(AY147/AT147-1,""),"")</f>
        <v>0.826652274991697</v>
      </c>
      <c r="AZ229" s="178">
        <f>IF(AND(ISNUMBER(AZ147),ISNUMBER(AU147)),IFERROR(AZ147/AU147-1,""),"")</f>
        <v>0.249812229521096</v>
      </c>
      <c r="BA229" s="178">
        <f>IF(AND(ISNUMBER(BA147),ISNUMBER(AV147)),IFERROR(BA147/AV147-1,""),"")</f>
        <v>0.331335741241636</v>
      </c>
      <c r="BB229" s="178">
        <f>IF(AND(ISNUMBER(BB147),ISNUMBER(AW147)),IFERROR(BB147/AW147-1,""),"")</f>
        <v>0.384151096540089</v>
      </c>
      <c r="BC229" s="178">
        <f>IF(AND(ISNUMBER(BC147),ISNUMBER(AX147)),IFERROR(BC147/AX147-1,""),"")</f>
        <v>0.712574968046402</v>
      </c>
      <c r="BD229" s="178">
        <f>IF(AND(ISNUMBER(BD147),ISNUMBER(AY147)),IFERROR(BD147/AY147-1,""),"")</f>
        <v>0.919709820819809</v>
      </c>
      <c r="BE229" s="178">
        <f>IF(AND(ISNUMBER(BE147),ISNUMBER(AZ147)),IFERROR(BE147/AZ147-1,""),"")</f>
        <v>0.994476929974338</v>
      </c>
      <c r="BF229" s="178">
        <f>IF(AND(ISNUMBER(BF147),ISNUMBER(BA147)),IFERROR(BF147/BA147-1,""),"")</f>
        <v>0.54987955911336</v>
      </c>
      <c r="BG229" s="178">
        <f>IF(AND(ISNUMBER(BG147),ISNUMBER(BB147)),IFERROR(BG147/BB147-1,""),"")</f>
        <v>0.82457809576098</v>
      </c>
      <c r="BH229" s="178">
        <f>IF(AND(ISNUMBER(BH147),ISNUMBER(BC147)),IFERROR(BH147/BC147-1,""),"")</f>
        <v>0.388802774046136</v>
      </c>
      <c r="BI229" s="178">
        <f>IF(AND(ISNUMBER(BI147),ISNUMBER(BD147)),IFERROR(BI147/BD147-1,""),"")</f>
        <v>-0.101089169863142</v>
      </c>
      <c r="BJ229" s="178">
        <f>IF(AND(ISNUMBER(BJ147),ISNUMBER(BE147)),IFERROR(BJ147/BE147-1,""),"")</f>
        <v>-0.26170445795291</v>
      </c>
      <c r="BK229" s="178">
        <f>IF(AND(ISNUMBER(BK147),ISNUMBER(BF147)),IFERROR(BK147/BF147-1,""),"")</f>
        <v>0.156173222289379</v>
      </c>
      <c r="BL229" s="178">
        <f>IF(AND(ISNUMBER(BL147),ISNUMBER(BG147)),IFERROR(BL147/BG147-1,""),"")</f>
        <v>-0.0351447111998947</v>
      </c>
      <c r="BM229" s="178">
        <f>IF(AND(ISNUMBER(BM147),ISNUMBER(BH147)),IFERROR(BM147/BH147-1,""),"")</f>
        <v>0.0373692695630601</v>
      </c>
      <c r="BN229" s="178">
        <f>IF(AND(ISNUMBER(BN147),ISNUMBER(BI147)),IFERROR(BN147/BI147-1,""),"")</f>
        <v>0.135231241735722</v>
      </c>
      <c r="BO229" s="178">
        <f>IF(AND(ISNUMBER(BO147),ISNUMBER(BJ147)),IFERROR(BO147/BJ147-1,""),"")</f>
        <v>0.245698590381428</v>
      </c>
      <c r="BP229" s="178">
        <f>IF(AND(ISNUMBER(BP147),ISNUMBER(BK147)),IFERROR(BP147/BK147-1,""),"")</f>
        <v>-0.0700983753470975</v>
      </c>
      <c r="BQ229" s="178">
        <f>IF(AND(ISNUMBER(BQ147),ISNUMBER(BL147)),IFERROR(BQ147/BL147-1,""),"")</f>
        <v>0.0943653163825293</v>
      </c>
      <c r="BR229" s="178">
        <f>IF(AND(ISNUMBER(BR147),ISNUMBER(BM147)),IFERROR(BR147/BM147-1,""),"")</f>
        <v>-0.110428372185693</v>
      </c>
      <c r="BS229" s="178">
        <f>IF(AND(ISNUMBER(BS147),ISNUMBER(BN147)),IFERROR(BS147/BN147-1,""),"")</f>
        <v>-0.0241075116129071</v>
      </c>
      <c r="BT229" s="178">
        <f>IF(AND(ISNUMBER(BT147),ISNUMBER(BO147)),IFERROR(BT147/BO147-1,""),"")</f>
        <v>0.00370782543578563</v>
      </c>
      <c r="BU229" s="178">
        <f>IF(AND(ISNUMBER(BU147),ISNUMBER(BP147)),IFERROR(BU147/BP147-1,""),"")</f>
        <v>0.15681034986274</v>
      </c>
      <c r="BV229" s="178">
        <f>IF(AND(ISNUMBER(BV147),ISNUMBER(BQ147)),IFERROR(BV147/BQ147-1,""),"")</f>
        <v>0.0046849449145967</v>
      </c>
      <c r="BW229" s="178">
        <f>IF(AND(ISNUMBER(BW147),ISNUMBER(BR147)),IFERROR(BW147/BR147-1,""),"")</f>
        <v>0.0655443965633094</v>
      </c>
      <c r="BX229" s="178">
        <f>IF(AND(ISNUMBER(BX147),ISNUMBER(BS147)),IFERROR(BX147/BS147-1,""),"")</f>
        <v>0.278647443152099</v>
      </c>
      <c r="BY229" s="179">
        <f>IFERROR(BY147/BT147-1,"")</f>
        <v>0.330080553782345</v>
      </c>
      <c r="BZ229" s="179">
        <f>IFERROR(BZ147/BU147-1,"")</f>
        <v>0.173367670385324</v>
      </c>
      <c r="CA229" s="179">
        <f>IFERROR(CA147/BV147-1,"")</f>
        <v>0.233292936900925</v>
      </c>
      <c r="CB229" s="179">
        <f>IFERROR(CB147/CA147-1,"")</f>
        <v>0.120572268471121</v>
      </c>
      <c r="CC229" s="179">
        <f>IFERROR(CC147/CB147-1,"")</f>
        <v>0.124553312923736</v>
      </c>
      <c r="CD229" s="179">
        <f>IFERROR(CD147/CC147-1,"")</f>
        <v>0.0999500566683655</v>
      </c>
      <c r="CE229" s="179">
        <f>IFERROR(CE147/CD147-1,"")</f>
        <v>0.0849748520551172</v>
      </c>
      <c r="CF229" s="20" t="n"/>
    </row>
    <row r="230" ht="15" customHeight="1">
      <c r="B230" s="23" t="inlineStr">
        <is>
          <t xml:space="preserve">  Net income y/y %</t>
        </is>
      </c>
      <c r="C230" s="24" t="n"/>
      <c r="D230" s="178">
        <f>IF(AND(ISNUMBER(D157),ISNUMBER(C157)),IFERROR(D157/C157-1,""),"")</f>
        <v>-0.0530690948044984</v>
      </c>
      <c r="E230" s="178">
        <f>IF(AND(ISNUMBER(E157),ISNUMBER(D157)),IFERROR(E157/D157-1,""),"")</f>
        <v>0.300647088103532</v>
      </c>
      <c r="F230" s="178">
        <f>IF(AND(ISNUMBER(F157),ISNUMBER(E157)),IFERROR(F157/E157-1,""),"")</f>
        <v>-0.361827227498867</v>
      </c>
      <c r="G230" s="178">
        <f>IF(AND(ISNUMBER(G157),ISNUMBER(F157)),IFERROR(G157/F157-1,""),"")</f>
        <v>2.55762416180558</v>
      </c>
      <c r="H230" s="178">
        <f>IF(AND(ISNUMBER(H157),ISNUMBER(G157)),IFERROR(H157/G157-1,""),"")</f>
        <v>-0.0250009577443199</v>
      </c>
      <c r="I230" s="178">
        <f>IF(AND(ISNUMBER(I157),ISNUMBER(H157)),IFERROR(I157/H157-1,""),"")</f>
        <v>0.0190330996762325</v>
      </c>
      <c r="J230" s="24" t="n"/>
      <c r="K230" s="24" t="n"/>
      <c r="L230" s="24" t="n"/>
      <c r="M230" s="24" t="n"/>
      <c r="N230" s="178">
        <f>IF(AND(ISNUMBER(N157),ISNUMBER(I157)),IFERROR(N157/I157-1,""),"")</f>
        <v>-0.263028826133224</v>
      </c>
      <c r="O230" s="178">
        <f>IF(AND(ISNUMBER(O157),ISNUMBER(J157)),IFERROR(O157/J157-1,""),"")</f>
        <v>-0.146829175395166</v>
      </c>
      <c r="P230" s="178">
        <f>IF(AND(ISNUMBER(P157),ISNUMBER(K157)),IFERROR(P157/K157-1,""),"")</f>
        <v>0.251943061741331</v>
      </c>
      <c r="Q230" s="178">
        <f>IF(AND(ISNUMBER(Q157),ISNUMBER(L157)),IFERROR(Q157/L157-1,""),"")</f>
        <v>-3.63954639291876</v>
      </c>
      <c r="R230" s="178">
        <f>IF(AND(ISNUMBER(R157),ISNUMBER(M157)),IFERROR(R157/M157-1,""),"")</f>
        <v>0.0214917353830086</v>
      </c>
      <c r="S230" s="178">
        <f>IF(AND(ISNUMBER(S157),ISNUMBER(N157)),IFERROR(S157/N157-1,""),"")</f>
        <v>-1.29642341418496</v>
      </c>
      <c r="T230" s="178">
        <f>IF(AND(ISNUMBER(T157),ISNUMBER(O157)),IFERROR(T157/O157-1,""),"")</f>
        <v>-1.79118303571428</v>
      </c>
      <c r="U230" s="178">
        <f>IF(AND(ISNUMBER(U157),ISNUMBER(P157)),IFERROR(U157/P157-1,""),"")</f>
        <v>-0.637451171875</v>
      </c>
      <c r="V230" s="178">
        <f>IF(AND(ISNUMBER(V157),ISNUMBER(Q157)),IFERROR(V157/Q157-1,""),"")</f>
        <v>-1.43099735367539</v>
      </c>
      <c r="W230" s="178">
        <f>IF(AND(ISNUMBER(W157),ISNUMBER(R157)),IFERROR(W157/R157-1,""),"")</f>
        <v>-0.979252657340105</v>
      </c>
      <c r="X230" s="178">
        <f>IF(AND(ISNUMBER(X157),ISNUMBER(S157)),IFERROR(X157/S157-1,""),"")</f>
        <v>-2.55683422761932</v>
      </c>
      <c r="Y230" s="178">
        <f>IF(AND(ISNUMBER(Y157),ISNUMBER(T157)),IFERROR(Y157/T157-1,""),"")</f>
        <v>1.94413880660181</v>
      </c>
      <c r="Z230" s="178">
        <f>IF(AND(ISNUMBER(Z157),ISNUMBER(U157)),IFERROR(Z157/U157-1,""),"")</f>
        <v>-0.61847041847042</v>
      </c>
      <c r="AA230" s="178">
        <f>IF(AND(ISNUMBER(AA157),ISNUMBER(V157)),IFERROR(AA157/V157-1,""),"")</f>
        <v>-1.25492194491399</v>
      </c>
      <c r="AB230" s="178">
        <f>IF(AND(ISNUMBER(AB157),ISNUMBER(W157)),IFERROR(AB157/W157-1,""),"")</f>
        <v>-23.3820422535229</v>
      </c>
      <c r="AC230" s="178">
        <f>IF(AND(ISNUMBER(AC157),ISNUMBER(X157)),IFERROR(AC157/X157-1,""),"")</f>
        <v>-1.90410865720375</v>
      </c>
      <c r="AD230" s="178">
        <f>IF(AND(ISNUMBER(AD157),ISNUMBER(Y157)),IFERROR(AD157/Y157-1,""),"")</f>
        <v>0.0250107805088375</v>
      </c>
      <c r="AE230" s="178">
        <f>IF(AND(ISNUMBER(AE157),ISNUMBER(Z157)),IFERROR(AE157/Z157-1,""),"")</f>
        <v>5.52546646495213</v>
      </c>
      <c r="AF230" s="178">
        <f>IF(AND(ISNUMBER(AF157),ISNUMBER(AA157)),IFERROR(AF157/AA157-1,""),"")</f>
        <v>-2.17581667479278</v>
      </c>
      <c r="AG230" s="178">
        <f>IF(AND(ISNUMBER(AG157),ISNUMBER(AB157)),IFERROR(AG157/AB157-1,""),"")</f>
        <v>-7.62266970817277</v>
      </c>
      <c r="AH230" s="178">
        <f>IF(AND(ISNUMBER(AH157),ISNUMBER(AC157)),IFERROR(AH157/AC157-1,""),"")</f>
        <v>-3.52649662679007</v>
      </c>
      <c r="AI230" s="178">
        <f>IF(AND(ISNUMBER(AI157),ISNUMBER(AD157)),IFERROR(AI157/AD157-1,""),"")</f>
        <v>-0.409573224886648</v>
      </c>
      <c r="AJ230" s="178">
        <f>IF(AND(ISNUMBER(AJ157),ISNUMBER(AE157)),IFERROR(AJ157/AE157-1,""),"")</f>
        <v>0.18806027820711</v>
      </c>
      <c r="AK230" s="178">
        <f>IF(AND(ISNUMBER(AK157),ISNUMBER(AF157)),IFERROR(AK157/AF157-1,""),"")</f>
        <v>1.57828827334551</v>
      </c>
      <c r="AL230" s="178">
        <f>IF(AND(ISNUMBER(AL157),ISNUMBER(AG157)),IFERROR(AL157/AG157-1,""),"")</f>
        <v>-0.804843575551702</v>
      </c>
      <c r="AM230" s="178">
        <f>IF(AND(ISNUMBER(AM157),ISNUMBER(AH157)),IFERROR(AM157/AH157-1,""),"")</f>
        <v>-0.348454918154838</v>
      </c>
      <c r="AN230" s="178">
        <f>IF(AND(ISNUMBER(AN157),ISNUMBER(AI157)),IFERROR(AN157/AI157-1,""),"")</f>
        <v>-1.07727020821788</v>
      </c>
      <c r="AO230" s="178">
        <f>IF(AND(ISNUMBER(AO157),ISNUMBER(AJ157)),IFERROR(AO157/AJ157-1,""),"")</f>
        <v>0.178781669756398</v>
      </c>
      <c r="AP230" s="178">
        <f>IF(AND(ISNUMBER(AP157),ISNUMBER(AK157)),IFERROR(AP157/AK157-1,""),"")</f>
        <v>0.169834989867794</v>
      </c>
      <c r="AQ230" s="178">
        <f>IF(AND(ISNUMBER(AQ157),ISNUMBER(AL157)),IFERROR(AQ157/AL157-1,""),"")</f>
        <v>0.469843588339111</v>
      </c>
      <c r="AR230" s="178">
        <f>IF(AND(ISNUMBER(AR157),ISNUMBER(AM157)),IFERROR(AR157/AM157-1,""),"")</f>
        <v>0.489121823389606</v>
      </c>
      <c r="AS230" s="178">
        <f>IF(AND(ISNUMBER(AS157),ISNUMBER(AN157)),IFERROR(AS157/AN157-1,""),"")</f>
        <v>10.8565573770488</v>
      </c>
      <c r="AT230" s="178">
        <f>IF(AND(ISNUMBER(AT157),ISNUMBER(AO157)),IFERROR(AT157/AO157-1,""),"")</f>
        <v>-0.19923297649266</v>
      </c>
      <c r="AU230" s="178">
        <f>IF(AND(ISNUMBER(AU157),ISNUMBER(AP157)),IFERROR(AU157/AP157-1,""),"")</f>
        <v>0.509802304160139</v>
      </c>
      <c r="AV230" s="178">
        <f>IF(AND(ISNUMBER(AV157),ISNUMBER(AQ157)),IFERROR(AV157/AQ157-1,""),"")</f>
        <v>0.628586807999677</v>
      </c>
      <c r="AW230" s="178">
        <f>IF(AND(ISNUMBER(AW157),ISNUMBER(AR157)),IFERROR(AW157/AR157-1,""),"")</f>
        <v>0.37954777982402</v>
      </c>
      <c r="AX230" s="178">
        <f>IF(AND(ISNUMBER(AX157),ISNUMBER(AS157)),IFERROR(AX157/AS157-1,""),"")</f>
        <v>0.878326996197735</v>
      </c>
      <c r="AY230" s="178">
        <f>IF(AND(ISNUMBER(AY157),ISNUMBER(AT157)),IFERROR(AY157/AT157-1,""),"")</f>
        <v>1.31109809461461</v>
      </c>
      <c r="AZ230" s="178">
        <f>IF(AND(ISNUMBER(AZ157),ISNUMBER(AU157)),IFERROR(AZ157/AU157-1,""),"")</f>
        <v>0.191822983063195</v>
      </c>
      <c r="BA230" s="178">
        <f>IF(AND(ISNUMBER(BA157),ISNUMBER(AV157)),IFERROR(BA157/AV157-1,""),"")</f>
        <v>0.245626970405774</v>
      </c>
      <c r="BB230" s="178">
        <f>IF(AND(ISNUMBER(BB157),ISNUMBER(AW157)),IFERROR(BB157/AW157-1,""),"")</f>
        <v>0.507353322900983</v>
      </c>
      <c r="BC230" s="178">
        <f>IF(AND(ISNUMBER(BC157),ISNUMBER(AX157)),IFERROR(BC157/AX157-1,""),"")</f>
        <v>1.08474420316524</v>
      </c>
      <c r="BD230" s="178">
        <f>IF(AND(ISNUMBER(BD157),ISNUMBER(AY157)),IFERROR(BD157/AY157-1,""),"")</f>
        <v>1.20882594111069</v>
      </c>
      <c r="BE230" s="178">
        <f>IF(AND(ISNUMBER(BE157),ISNUMBER(AZ157)),IFERROR(BE157/AZ157-1,""),"")</f>
        <v>1.07507296425897</v>
      </c>
      <c r="BF230" s="178">
        <f>IF(AND(ISNUMBER(BF157),ISNUMBER(BA157)),IFERROR(BF157/BA157-1,""),"")</f>
        <v>0.683383340477211</v>
      </c>
      <c r="BG230" s="178">
        <f>IF(AND(ISNUMBER(BG157),ISNUMBER(BB157)),IFERROR(BG157/BB157-1,""),"")</f>
        <v>1.02583063956664</v>
      </c>
      <c r="BH230" s="178">
        <f>IF(AND(ISNUMBER(BH157),ISNUMBER(BC157)),IFERROR(BH157/BC157-1,""),"")</f>
        <v>0.59776228097277</v>
      </c>
      <c r="BI230" s="178">
        <f>IF(AND(ISNUMBER(BI157),ISNUMBER(BD157)),IFERROR(BI157/BD157-1,""),"")</f>
        <v>-0.21862618708532</v>
      </c>
      <c r="BJ230" s="178">
        <f>IF(AND(ISNUMBER(BJ157),ISNUMBER(BE157)),IFERROR(BJ157/BE157-1,""),"")</f>
        <v>-0.327388272373141</v>
      </c>
      <c r="BK230" s="178">
        <f>IF(AND(ISNUMBER(BK157),ISNUMBER(BF157)),IFERROR(BK157/BF157-1,""),"")</f>
        <v>0.192484904333488</v>
      </c>
      <c r="BL230" s="178">
        <f>IF(AND(ISNUMBER(BL157),ISNUMBER(BG157)),IFERROR(BL157/BG157-1,""),"")</f>
        <v>-0.0823035672650955</v>
      </c>
      <c r="BM230" s="178">
        <f>IF(AND(ISNUMBER(BM157),ISNUMBER(BH157)),IFERROR(BM157/BH157-1,""),"")</f>
        <v>-0.0354829353185738</v>
      </c>
      <c r="BN230" s="178">
        <f>IF(AND(ISNUMBER(BN157),ISNUMBER(BI157)),IFERROR(BN157/BI157-1,""),"")</f>
        <v>0.151287942919337</v>
      </c>
      <c r="BO230" s="178">
        <f>IF(AND(ISNUMBER(BO157),ISNUMBER(BJ157)),IFERROR(BO157/BJ157-1,""),"")</f>
        <v>0.26136413400482</v>
      </c>
      <c r="BP230" s="178">
        <f>IF(AND(ISNUMBER(BP157),ISNUMBER(BK157)),IFERROR(BP157/BK157-1,""),"")</f>
        <v>-0.146163153667043</v>
      </c>
      <c r="BQ230" s="178">
        <f>IF(AND(ISNUMBER(BQ157),ISNUMBER(BL157)),IFERROR(BQ157/BL157-1,""),"")</f>
        <v>0.0646886644647693</v>
      </c>
      <c r="BR230" s="178">
        <f>IF(AND(ISNUMBER(BR157),ISNUMBER(BM157)),IFERROR(BR157/BM157-1,""),"")</f>
        <v>-0.159697559857943</v>
      </c>
      <c r="BS230" s="178">
        <f>IF(AND(ISNUMBER(BS157),ISNUMBER(BN157)),IFERROR(BS157/BN157-1,""),"")</f>
        <v>-0.0478316326530627</v>
      </c>
      <c r="BT230" s="178">
        <f>IF(AND(ISNUMBER(BT157),ISNUMBER(BO157)),IFERROR(BT157/BO157-1,""),"")</f>
        <v>0.0311249598569592</v>
      </c>
      <c r="BU230" s="178">
        <f>IF(AND(ISNUMBER(BU157),ISNUMBER(BP157)),IFERROR(BU157/BP157-1,""),"")</f>
        <v>0.0311524995832024</v>
      </c>
      <c r="BV230" s="178">
        <f>IF(AND(ISNUMBER(BV157),ISNUMBER(BQ157)),IFERROR(BV157/BQ157-1,""),"")</f>
        <v>-0.0281507038297388</v>
      </c>
      <c r="BW230" s="178">
        <f>IF(AND(ISNUMBER(BW157),ISNUMBER(BR157)),IFERROR(BW157/BR157-1,""),"")</f>
        <v>0.0770449897750516</v>
      </c>
      <c r="BX230" s="178">
        <f>IF(AND(ISNUMBER(BX157),ISNUMBER(BS157)),IFERROR(BX157/BS157-1,""),"")</f>
        <v>0.343241007052521</v>
      </c>
      <c r="BY230" s="179">
        <f>IFERROR(BY157/BT157-1,"")</f>
        <v>0.352541908869449</v>
      </c>
      <c r="BZ230" s="179">
        <f>IFERROR(BZ157/BU157-1,"")</f>
        <v>0.172508658073437</v>
      </c>
      <c r="CA230" s="179">
        <f>IFERROR(CA157/BV157-1,"")</f>
        <v>0.268302114550739</v>
      </c>
      <c r="CB230" s="179">
        <f>IFERROR(CB157/CA157-1,"")</f>
        <v>0.130187761647006</v>
      </c>
      <c r="CC230" s="179">
        <f>IFERROR(CC157/CB157-1,"")</f>
        <v>0.148372128571506</v>
      </c>
      <c r="CD230" s="179">
        <f>IFERROR(CD157/CC157-1,"")</f>
        <v>0.108046710480733</v>
      </c>
      <c r="CE230" s="179">
        <f>IFERROR(CE157/CD157-1,"")</f>
        <v>0.0848523986241319</v>
      </c>
      <c r="CF230" s="20" t="n"/>
    </row>
    <row r="231" ht="15" customHeight="1">
      <c r="B231" s="23" t="inlineStr">
        <is>
          <t xml:space="preserve">  Adjusted EPS y/y %</t>
        </is>
      </c>
      <c r="C231" s="24" t="n"/>
      <c r="D231" s="178">
        <f>IF(AND(ISNUMBER(D207),ISNUMBER(C207)),IFERROR(D207/C207-1,""),"")</f>
        <v>-0.178924808554196</v>
      </c>
      <c r="E231" s="178">
        <f>IF(AND(ISNUMBER(E207),ISNUMBER(D207)),IFERROR(E207/D207-1,""),"")</f>
        <v>0.247615101944356</v>
      </c>
      <c r="F231" s="178">
        <f>IF(AND(ISNUMBER(F207),ISNUMBER(E207)),IFERROR(F207/E207-1,""),"")</f>
        <v>-0.403045240787567</v>
      </c>
      <c r="G231" s="178">
        <f>IF(AND(ISNUMBER(G207),ISNUMBER(F207)),IFERROR(G207/F207-1,""),"")</f>
        <v>2.14276711076591</v>
      </c>
      <c r="H231" s="178">
        <f>IF(AND(ISNUMBER(H207),ISNUMBER(G207)),IFERROR(H207/G207-1,""),"")</f>
        <v>-0.521884110915666</v>
      </c>
      <c r="I231" s="178">
        <f>IF(AND(ISNUMBER(I207),ISNUMBER(H207)),IFERROR(I207/H207-1,""),"")</f>
        <v>0.17858859415338</v>
      </c>
      <c r="J231" s="24" t="n"/>
      <c r="K231" s="24" t="n"/>
      <c r="L231" s="24" t="n"/>
      <c r="M231" s="24" t="n"/>
      <c r="N231" s="178">
        <f>IF(AND(ISNUMBER(N207),ISNUMBER(I207)),IFERROR(N207/I207-1,""),"")</f>
        <v>-0.440486848400629</v>
      </c>
      <c r="O231" s="178">
        <f>IF(AND(ISNUMBER(O207),ISNUMBER(J207)),IFERROR(O207/J207-1,""),"")</f>
        <v>-0.150067414341022</v>
      </c>
      <c r="P231" s="178">
        <f>IF(AND(ISNUMBER(P207),ISNUMBER(K207)),IFERROR(P207/K207-1,""),"")</f>
        <v>0.250068587118631</v>
      </c>
      <c r="Q231" s="178">
        <f>IF(AND(ISNUMBER(Q207),ISNUMBER(L207)),IFERROR(Q207/L207-1,""),"")</f>
        <v>-0.22677526088063</v>
      </c>
      <c r="R231" s="178">
        <f>IF(AND(ISNUMBER(R207),ISNUMBER(M207)),IFERROR(R207/M207-1,""),"")</f>
        <v>0.042431176455225</v>
      </c>
      <c r="S231" s="178">
        <f>IF(AND(ISNUMBER(S207),ISNUMBER(N207)),IFERROR(S207/N207-1,""),"")</f>
        <v>-0.0277521294184137</v>
      </c>
      <c r="T231" s="178">
        <f>IF(AND(ISNUMBER(T207),ISNUMBER(O207)),IFERROR(T207/O207-1,""),"")</f>
        <v>-1.81787160486806</v>
      </c>
      <c r="U231" s="178">
        <f>IF(AND(ISNUMBER(U207),ISNUMBER(P207)),IFERROR(U207/P207-1,""),"")</f>
        <v>0.526233258928573</v>
      </c>
      <c r="V231" s="178">
        <f>IF(AND(ISNUMBER(V207),ISNUMBER(Q207)),IFERROR(V207/Q207-1,""),"")</f>
        <v>0.533333333333335</v>
      </c>
      <c r="W231" s="178">
        <f>IF(AND(ISNUMBER(W207),ISNUMBER(R207)),IFERROR(W207/R207-1,""),"")</f>
        <v>-0.978572222141644</v>
      </c>
      <c r="X231" s="178">
        <f>IF(AND(ISNUMBER(X207),ISNUMBER(S207)),IFERROR(X207/S207-1,""),"")</f>
        <v>-0.169934640522874</v>
      </c>
      <c r="Y231" s="178">
        <f>IF(AND(ISNUMBER(Y207),ISNUMBER(T207)),IFERROR(Y207/T207-1,""),"")</f>
        <v>2.0084206438843</v>
      </c>
      <c r="Z231" s="178">
        <f>IF(AND(ISNUMBER(Z207),ISNUMBER(U207)),IFERROR(Z207/U207-1,""),"")</f>
        <v>-0.791666666666667</v>
      </c>
      <c r="AA231" s="178">
        <f>IF(AND(ISNUMBER(AA207),ISNUMBER(V207)),IFERROR(AA207/V207-1,""),"")</f>
        <v>-0.768115942028987</v>
      </c>
      <c r="AB231" s="178">
        <f>IF(AND(ISNUMBER(AB207),ISNUMBER(W207)),IFERROR(AB207/W207-1,""),"")</f>
        <v>-24.0080508859628</v>
      </c>
      <c r="AC231" s="178">
        <f>IF(AND(ISNUMBER(AC207),ISNUMBER(X207)),IFERROR(AC207/X207-1,""),"")</f>
        <v>-1.40505496153869</v>
      </c>
      <c r="AD231" s="178">
        <f>IF(AND(ISNUMBER(AD207),ISNUMBER(Y207)),IFERROR(AD207/Y207-1,""),"")</f>
        <v>0.0313654105790524</v>
      </c>
      <c r="AE231" s="178">
        <f>IF(AND(ISNUMBER(AE207),ISNUMBER(Z207)),IFERROR(AE207/Z207-1,""),"")</f>
        <v>0.600000000000006</v>
      </c>
      <c r="AF231" s="178">
        <f>IF(AND(ISNUMBER(AF207),ISNUMBER(AA207)),IFERROR(AF207/AA207-1,""),"")</f>
        <v>0.312500000000003</v>
      </c>
      <c r="AG231" s="178">
        <f>IF(AND(ISNUMBER(AG207),ISNUMBER(AB207)),IFERROR(AG207/AB207-1,""),"")</f>
        <v>-7.58919219168635</v>
      </c>
      <c r="AH231" s="178">
        <f>IF(AND(ISNUMBER(AH207),ISNUMBER(AC207)),IFERROR(AH207/AC207-1,""),"")</f>
        <v>-3.76379499960164</v>
      </c>
      <c r="AI231" s="178">
        <f>IF(AND(ISNUMBER(AI207),ISNUMBER(AD207)),IFERROR(AI207/AD207-1,""),"")</f>
        <v>-0.401154542456369</v>
      </c>
      <c r="AJ231" s="178">
        <f>IF(AND(ISNUMBER(AJ207),ISNUMBER(AE207)),IFERROR(AJ207/AE207-1,""),"")</f>
        <v>1.25</v>
      </c>
      <c r="AK231" s="178">
        <f>IF(AND(ISNUMBER(AK207),ISNUMBER(AF207)),IFERROR(AK207/AF207-1,""),"")</f>
        <v>1.80952381450795</v>
      </c>
      <c r="AL231" s="178">
        <f>IF(AND(ISNUMBER(AL207),ISNUMBER(AG207)),IFERROR(AL207/AG207-1,""),"")</f>
        <v>-0.839129199053078</v>
      </c>
      <c r="AM231" s="178">
        <f>IF(AND(ISNUMBER(AM207),ISNUMBER(AH207)),IFERROR(AM207/AH207-1,""),"")</f>
        <v>-0.113768793173871</v>
      </c>
      <c r="AN231" s="178">
        <f>IF(AND(ISNUMBER(AN207),ISNUMBER(AI207)),IFERROR(AN207/AI207-1,""),"")</f>
        <v>-1.40227456258412</v>
      </c>
      <c r="AO231" s="178">
        <f>IF(AND(ISNUMBER(AO207),ISNUMBER(AJ207)),IFERROR(AO207/AJ207-1,""),"")</f>
        <v>0.222222222222221</v>
      </c>
      <c r="AP231" s="178">
        <f>IF(AND(ISNUMBER(AP207),ISNUMBER(AK207)),IFERROR(AP207/AK207-1,""),"")</f>
        <v>0.220338971342409</v>
      </c>
      <c r="AQ231" s="178">
        <f>IF(AND(ISNUMBER(AQ207),ISNUMBER(AL207)),IFERROR(AQ207/AL207-1,""),"")</f>
        <v>0.750000026885485</v>
      </c>
      <c r="AR231" s="178">
        <f>IF(AND(ISNUMBER(AR207),ISNUMBER(AM207)),IFERROR(AR207/AM207-1,""),"")</f>
        <v>0.500000001983291</v>
      </c>
      <c r="AS231" s="178">
        <f>IF(AND(ISNUMBER(AS207),ISNUMBER(AN207)),IFERROR(AS207/AN207-1,""),"")</f>
        <v>2.11111111111108</v>
      </c>
      <c r="AT231" s="178">
        <f>IF(AND(ISNUMBER(AT207),ISNUMBER(AO207)),IFERROR(AT207/AO207-1,""),"")</f>
        <v>-0.212121225505076</v>
      </c>
      <c r="AU231" s="178">
        <f>IF(AND(ISNUMBER(AU207),ISNUMBER(AP207)),IFERROR(AU207/AP207-1,""),"")</f>
        <v>0.250000017814299</v>
      </c>
      <c r="AV231" s="178">
        <f>IF(AND(ISNUMBER(AV207),ISNUMBER(AQ207)),IFERROR(AV207/AQ207-1,""),"")</f>
        <v>0.499999976955303</v>
      </c>
      <c r="AW231" s="178">
        <f>IF(AND(ISNUMBER(AW207),ISNUMBER(AR207)),IFERROR(AW207/AR207-1,""),"")</f>
        <v>0.227513236471415</v>
      </c>
      <c r="AX231" s="178">
        <f>IF(AND(ISNUMBER(AX207),ISNUMBER(AS207)),IFERROR(AX207/AS207-1,""),"")</f>
        <v>0.500000000000011</v>
      </c>
      <c r="AY231" s="178">
        <f>IF(AND(ISNUMBER(AY207),ISNUMBER(AT207)),IFERROR(AY207/AT207-1,""),"")</f>
        <v>1.28846157733612</v>
      </c>
      <c r="AZ231" s="178">
        <f>IF(AND(ISNUMBER(AZ207),ISNUMBER(AU207)),IFERROR(AZ207/AU207-1,""),"")</f>
        <v>0.266666658520685</v>
      </c>
      <c r="BA231" s="178">
        <f>IF(AND(ISNUMBER(BA207),ISNUMBER(AV207)),IFERROR(BA207/AV207-1,""),"")</f>
        <v>0.412698412698409</v>
      </c>
      <c r="BB231" s="178">
        <f>IF(AND(ISNUMBER(BB207),ISNUMBER(AW207)),IFERROR(BB207/AW207-1,""),"")</f>
        <v>0.568965512454893</v>
      </c>
      <c r="BC231" s="178">
        <f>IF(AND(ISNUMBER(BC207),ISNUMBER(AX207)),IFERROR(BC207/AX207-1,""),"")</f>
        <v>0.976190476190466</v>
      </c>
      <c r="BD231" s="178">
        <f>IF(AND(ISNUMBER(BD207),ISNUMBER(AY207)),IFERROR(BD207/AY207-1,""),"")</f>
        <v>1.0504201739576</v>
      </c>
      <c r="BE231" s="178">
        <f>IF(AND(ISNUMBER(BE207),ISNUMBER(AZ207)),IFERROR(BE207/AZ207-1,""),"")</f>
        <v>1.13157894736842</v>
      </c>
      <c r="BF231" s="178">
        <f>IF(AND(ISNUMBER(BF207),ISNUMBER(BA207)),IFERROR(BF207/BA207-1,""),"")</f>
        <v>0.617977531609625</v>
      </c>
      <c r="BG231" s="178">
        <f>IF(AND(ISNUMBER(BG207),ISNUMBER(BB207)),IFERROR(BG207/BB207-1,""),"")</f>
        <v>0.964285712619701</v>
      </c>
      <c r="BH231" s="178">
        <f>IF(AND(ISNUMBER(BH207),ISNUMBER(BC207)),IFERROR(BH207/BC207-1,""),"")</f>
        <v>0.638554213608275</v>
      </c>
      <c r="BI231" s="178">
        <f>IF(AND(ISNUMBER(BI207),ISNUMBER(BD207)),IFERROR(BI207/BD207-1,""),"")</f>
        <v>-0.127049182835649</v>
      </c>
      <c r="BJ231" s="178">
        <f>IF(AND(ISNUMBER(BJ207),ISNUMBER(BE207)),IFERROR(BJ207/BE207-1,""),"")</f>
        <v>-0.308641975308643</v>
      </c>
      <c r="BK231" s="178">
        <f>IF(AND(ISNUMBER(BK207),ISNUMBER(BF207)),IFERROR(BK207/BF207-1,""),"")</f>
        <v>0.263888889455185</v>
      </c>
      <c r="BL231" s="178">
        <f>IF(AND(ISNUMBER(BL207),ISNUMBER(BG207)),IFERROR(BL207/BG207-1,""),"")</f>
        <v>-0.0223776205434432</v>
      </c>
      <c r="BM231" s="178">
        <f>IF(AND(ISNUMBER(BM207),ISNUMBER(BH207)),IFERROR(BM207/BH207-1,""),"")</f>
        <v>-0.0514705863486046</v>
      </c>
      <c r="BN231" s="178">
        <f>IF(AND(ISNUMBER(BN207),ISNUMBER(BI207)),IFERROR(BN207/BI207-1,""),"")</f>
        <v>0.15345763812586</v>
      </c>
      <c r="BO231" s="178">
        <f>IF(AND(ISNUMBER(BO207),ISNUMBER(BJ207)),IFERROR(BO207/BJ207-1,""),"")</f>
        <v>0.264621635410331</v>
      </c>
      <c r="BP231" s="178">
        <f>IF(AND(ISNUMBER(BP207),ISNUMBER(BK207)),IFERROR(BP207/BK207-1,""),"")</f>
        <v>-0.145156803825538</v>
      </c>
      <c r="BQ231" s="178">
        <f>IF(AND(ISNUMBER(BQ207),ISNUMBER(BL207)),IFERROR(BQ207/BL207-1,""),"")</f>
        <v>0.0626309041537194</v>
      </c>
      <c r="BR231" s="178">
        <f>IF(AND(ISNUMBER(BR207),ISNUMBER(BM207)),IFERROR(BR207/BM207-1,""),"")</f>
        <v>-0.157513527808728</v>
      </c>
      <c r="BS231" s="178">
        <f>IF(AND(ISNUMBER(BS207),ISNUMBER(BN207)),IFERROR(BS207/BN207-1,""),"")</f>
        <v>-0.0398849496861159</v>
      </c>
      <c r="BT231" s="178">
        <f>IF(AND(ISNUMBER(BT207),ISNUMBER(BO207)),IFERROR(BT207/BO207-1,""),"")</f>
        <v>0.0410305782228331</v>
      </c>
      <c r="BU231" s="178">
        <f>IF(AND(ISNUMBER(BU207),ISNUMBER(BP207)),IFERROR(BU207/BP207-1,""),"")</f>
        <v>0.10779589117805</v>
      </c>
      <c r="BV231" s="178">
        <f>IF(AND(ISNUMBER(BV207),ISNUMBER(BQ207)),IFERROR(BV207/BQ207-1,""),"")</f>
        <v>-0.00617174943408072</v>
      </c>
      <c r="BW231" s="178">
        <f>IF(AND(ISNUMBER(BW207),ISNUMBER(BR207)),IFERROR(BW207/BR207-1,""),"")</f>
        <v>0.0973899859021052</v>
      </c>
      <c r="BX231" s="178">
        <f>IF(AND(ISNUMBER(BX207),ISNUMBER(BS207)),IFERROR(BX207/BS207-1,""),"")</f>
        <v>0.364495061241642</v>
      </c>
      <c r="BY231" s="179">
        <f>IFERROR(BY207/BT207-1,"")</f>
        <v>0.372755106332447</v>
      </c>
      <c r="BZ231" s="179">
        <f>IFERROR(BZ207/BU207-1,"")</f>
        <v>0.114725767832714</v>
      </c>
      <c r="CA231" s="179">
        <f>IFERROR(CA207/BV207-1,"")</f>
        <v>0.269109138506993</v>
      </c>
      <c r="CB231" s="179">
        <f>IFERROR(CB207/CA207-1,"")</f>
        <v>0.139268081630347</v>
      </c>
      <c r="CC231" s="179">
        <f>IFERROR(CC207/CB207-1,"")</f>
        <v>0.173138290417173</v>
      </c>
      <c r="CD231" s="179">
        <f>IFERROR(CD207/CC207-1,"")</f>
        <v>0.143238813925112</v>
      </c>
      <c r="CE231" s="179">
        <f>IFERROR(CE207/CD207-1,"")</f>
        <v>0.121203195236767</v>
      </c>
      <c r="CF231" s="20" t="n"/>
    </row>
    <row r="232" ht="15" customHeight="1">
      <c r="B232" s="26" t="inlineStr">
        <is>
          <t xml:space="preserve">  Gross margin % (before D&amp;A)</t>
        </is>
      </c>
      <c r="C232" s="190">
        <f>IF(AND(ISNUMBER(C142),ISNUMBER(C138)),IFERROR(C142/C138,""),"")</f>
        <v>0.295217333145338</v>
      </c>
      <c r="D232" s="190">
        <f>IF(AND(ISNUMBER(D142),ISNUMBER(D138)),IFERROR(D142/D138,""),"")</f>
        <v>0.298312312483565</v>
      </c>
      <c r="E232" s="190">
        <f>IF(AND(ISNUMBER(E142),ISNUMBER(E138)),IFERROR(E142/E138,""),"")</f>
        <v>0.313271492646353</v>
      </c>
      <c r="F232" s="190">
        <f>IF(AND(ISNUMBER(F142),ISNUMBER(F138)),IFERROR(F142/F138,""),"")</f>
        <v>0.298576641656272</v>
      </c>
      <c r="G232" s="190">
        <f>IF(AND(ISNUMBER(G142),ISNUMBER(G138)),IFERROR(G142/G138,""),"")</f>
        <v>0.300653171938791</v>
      </c>
      <c r="H232" s="190">
        <f>IF(AND(ISNUMBER(H142),ISNUMBER(H138)),IFERROR(H142/H138,""),"")</f>
        <v>0.304487696407908</v>
      </c>
      <c r="I232" s="190">
        <f>IF(AND(ISNUMBER(I142),ISNUMBER(I138)),IFERROR(I142/I138,""),"")</f>
        <v>0.295847448795836</v>
      </c>
      <c r="J232" s="190">
        <f>IF(AND(ISNUMBER(J142),ISNUMBER(J138)),IFERROR(J142/J138,""),"")</f>
        <v>0.262292629120016</v>
      </c>
      <c r="K232" s="190">
        <f>IF(AND(ISNUMBER(K142),ISNUMBER(K138)),IFERROR(K142/K138,""),"")</f>
        <v>0.286105739731886</v>
      </c>
      <c r="L232" s="190">
        <f>IF(AND(ISNUMBER(L142),ISNUMBER(L138)),IFERROR(L142/L138,""),"")</f>
        <v>0.286948712721823</v>
      </c>
      <c r="M232" s="190">
        <f>IF(AND(ISNUMBER(M142),ISNUMBER(M138)),IFERROR(M142/M138,""),"")</f>
        <v>0.266383907758434</v>
      </c>
      <c r="N232" s="190">
        <f>IF(AND(ISNUMBER(N142),ISNUMBER(N138)),IFERROR(N142/N138,""),"")</f>
        <v>0.27553213192404</v>
      </c>
      <c r="O232" s="190">
        <f>IF(AND(ISNUMBER(O142),ISNUMBER(O138)),IFERROR(O142/O138,""),"")</f>
        <v>0.260962101983424</v>
      </c>
      <c r="P232" s="190">
        <f>IF(AND(ISNUMBER(P142),ISNUMBER(P138)),IFERROR(P142/P138,""),"")</f>
        <v>0.292994595098313</v>
      </c>
      <c r="Q232" s="190">
        <f>IF(AND(ISNUMBER(Q142),ISNUMBER(Q138)),IFERROR(Q142/Q138,""),"")</f>
        <v>0.297203055909521</v>
      </c>
      <c r="R232" s="190">
        <f>IF(AND(ISNUMBER(R142),ISNUMBER(R138)),IFERROR(R142/R138,""),"")</f>
        <v>0.277274964971409</v>
      </c>
      <c r="S232" s="190">
        <f>IF(AND(ISNUMBER(S142),ISNUMBER(S138)),IFERROR(S142/S138,""),"")</f>
        <v>0.282170108735914</v>
      </c>
      <c r="T232" s="190">
        <f>IF(AND(ISNUMBER(T142),ISNUMBER(T138)),IFERROR(T142/T138,""),"")</f>
        <v>0.253914339814799</v>
      </c>
      <c r="U232" s="190">
        <f>IF(AND(ISNUMBER(U142),ISNUMBER(U138)),IFERROR(U142/U138,""),"")</f>
        <v>0.302853578401842</v>
      </c>
      <c r="V232" s="190">
        <f>IF(AND(ISNUMBER(V142),ISNUMBER(V138)),IFERROR(V142/V138,""),"")</f>
        <v>0.289601350398381</v>
      </c>
      <c r="W232" s="190">
        <f>IF(AND(ISNUMBER(W142),ISNUMBER(W138)),IFERROR(W142/W138,""),"")</f>
        <v>0.266574012262918</v>
      </c>
      <c r="X232" s="190">
        <f>IF(AND(ISNUMBER(X142),ISNUMBER(X138)),IFERROR(X142/X138,""),"")</f>
        <v>0.280394682726249</v>
      </c>
      <c r="Y232" s="190">
        <f>IF(AND(ISNUMBER(Y142),ISNUMBER(Y138)),IFERROR(Y142/Y138,""),"")</f>
        <v>0.270096826986415</v>
      </c>
      <c r="Z232" s="190">
        <f>IF(AND(ISNUMBER(Z142),ISNUMBER(Z138)),IFERROR(Z142/Z138,""),"")</f>
        <v>0.311834955771243</v>
      </c>
      <c r="AA232" s="190">
        <f>IF(AND(ISNUMBER(AA142),ISNUMBER(AA138)),IFERROR(AA142/AA138,""),"")</f>
        <v>0.325700460576818</v>
      </c>
      <c r="AB232" s="190">
        <f>IF(AND(ISNUMBER(AB142),ISNUMBER(AB138)),IFERROR(AB142/AB138,""),"")</f>
        <v>0.282398972422133</v>
      </c>
      <c r="AC232" s="190">
        <f>IF(AND(ISNUMBER(AC142),ISNUMBER(AC138)),IFERROR(AC142/AC138,""),"")</f>
        <v>0.298476059677137</v>
      </c>
      <c r="AD232" s="190">
        <f>IF(AND(ISNUMBER(AD142),ISNUMBER(AD138)),IFERROR(AD142/AD138,""),"")</f>
        <v>0.279205331080601</v>
      </c>
      <c r="AE232" s="190">
        <f>IF(AND(ISNUMBER(AE142),ISNUMBER(AE138)),IFERROR(AE142/AE138,""),"")</f>
        <v>0.309496166251322</v>
      </c>
      <c r="AF232" s="190">
        <f>IF(AND(ISNUMBER(AF142),ISNUMBER(AF138)),IFERROR(AF142/AF138,""),"")</f>
        <v>0.312564993398126</v>
      </c>
      <c r="AG232" s="190">
        <f>IF(AND(ISNUMBER(AG142),ISNUMBER(AG138)),IFERROR(AG142/AG138,""),"")</f>
        <v>0.295306548140695</v>
      </c>
      <c r="AH232" s="190">
        <f>IF(AND(ISNUMBER(AH142),ISNUMBER(AH138)),IFERROR(AH142/AH138,""),"")</f>
        <v>0.299596465576313</v>
      </c>
      <c r="AI232" s="190">
        <f>IF(AND(ISNUMBER(AI142),ISNUMBER(AI138)),IFERROR(AI142/AI138,""),"")</f>
        <v>0.271217613747003</v>
      </c>
      <c r="AJ232" s="190">
        <f>IF(AND(ISNUMBER(AJ142),ISNUMBER(AJ138)),IFERROR(AJ142/AJ138,""),"")</f>
        <v>0.312735238005512</v>
      </c>
      <c r="AK232" s="190">
        <f>IF(AND(ISNUMBER(AK142),ISNUMBER(AK138)),IFERROR(AK142/AK138,""),"")</f>
        <v>0.311316312867581</v>
      </c>
      <c r="AL232" s="190">
        <f>IF(AND(ISNUMBER(AL142),ISNUMBER(AL138)),IFERROR(AL142/AL138,""),"")</f>
        <v>0.306858276120829</v>
      </c>
      <c r="AM232" s="190">
        <f>IF(AND(ISNUMBER(AM142),ISNUMBER(AM138)),IFERROR(AM142/AM138,""),"")</f>
        <v>0.301412324868353</v>
      </c>
      <c r="AN232" s="190">
        <f>IF(AND(ISNUMBER(AN142),ISNUMBER(AN138)),IFERROR(AN142/AN138,""),"")</f>
        <v>0.277233847182326</v>
      </c>
      <c r="AO232" s="190">
        <f>IF(AND(ISNUMBER(AO142),ISNUMBER(AO138)),IFERROR(AO142/AO138,""),"")</f>
        <v>0.31512827537937</v>
      </c>
      <c r="AP232" s="190">
        <f>IF(AND(ISNUMBER(AP142),ISNUMBER(AP138)),IFERROR(AP142/AP138,""),"")</f>
        <v>0.312800279924815</v>
      </c>
      <c r="AQ232" s="190">
        <f>IF(AND(ISNUMBER(AQ142),ISNUMBER(AQ138)),IFERROR(AQ142/AQ138,""),"")</f>
        <v>0.293037353402104</v>
      </c>
      <c r="AR232" s="190">
        <f>IF(AND(ISNUMBER(AR142),ISNUMBER(AR138)),IFERROR(AR142/AR138,""),"")</f>
        <v>0.300209249778002</v>
      </c>
      <c r="AS232" s="190">
        <f>IF(AND(ISNUMBER(AS142),ISNUMBER(AS138)),IFERROR(AS142/AS138,""),"")</f>
        <v>0.293393728823627</v>
      </c>
      <c r="AT232" s="190">
        <f>IF(AND(ISNUMBER(AT142),ISNUMBER(AT138)),IFERROR(AT142/AT138,""),"")</f>
        <v>0.337069014084507</v>
      </c>
      <c r="AU232" s="190">
        <f>IF(AND(ISNUMBER(AU142),ISNUMBER(AU138)),IFERROR(AU142/AU138,""),"")</f>
        <v>0.3435132624361</v>
      </c>
      <c r="AV232" s="190">
        <f>IF(AND(ISNUMBER(AV142),ISNUMBER(AV138)),IFERROR(AV142/AV138,""),"")</f>
        <v>0.310748690639169</v>
      </c>
      <c r="AW232" s="190">
        <f>IF(AND(ISNUMBER(AW142),ISNUMBER(AW138)),IFERROR(AW142/AW138,""),"")</f>
        <v>0.32007473051881</v>
      </c>
      <c r="AX232" s="190">
        <f>IF(AND(ISNUMBER(AX142),ISNUMBER(AX138)),IFERROR(AX142/AX138,""),"")</f>
        <v>0.30639437330786</v>
      </c>
      <c r="AY232" s="190">
        <f>IF(AND(ISNUMBER(AY142),ISNUMBER(AY138)),IFERROR(AY142/AY138,""),"")</f>
        <v>0.333066366743015</v>
      </c>
      <c r="AZ232" s="190">
        <f>IF(AND(ISNUMBER(AZ142),ISNUMBER(AZ138)),IFERROR(AZ142/AZ138,""),"")</f>
        <v>0.328170143534434</v>
      </c>
      <c r="BA232" s="190">
        <f>IF(AND(ISNUMBER(BA142),ISNUMBER(BA138)),IFERROR(BA142/BA138,""),"")</f>
        <v>0.292365837383573</v>
      </c>
      <c r="BB232" s="190">
        <f>IF(AND(ISNUMBER(BB142),ISNUMBER(BB138)),IFERROR(BB142/BB138,""),"")</f>
        <v>0.314205298239473</v>
      </c>
      <c r="BC232" s="190">
        <f>IF(AND(ISNUMBER(BC142),ISNUMBER(BC138)),IFERROR(BC142/BC138,""),"")</f>
        <v>0.278605331068361</v>
      </c>
      <c r="BD232" s="190">
        <f>IF(AND(ISNUMBER(BD142),ISNUMBER(BD138)),IFERROR(BD142/BD138,""),"")</f>
        <v>0.337564660638555</v>
      </c>
      <c r="BE232" s="190">
        <f>IF(AND(ISNUMBER(BE142),ISNUMBER(BE138)),IFERROR(BE142/BE138,""),"")</f>
        <v>0.331921830317383</v>
      </c>
      <c r="BF232" s="190">
        <f>IF(AND(ISNUMBER(BF142),ISNUMBER(BF138)),IFERROR(BF142/BF138,""),"")</f>
        <v>0.302538615974675</v>
      </c>
      <c r="BG232" s="190">
        <f>IF(AND(ISNUMBER(BG142),ISNUMBER(BG138)),IFERROR(BG142/BG138,""),"")</f>
        <v>0.314069877608217</v>
      </c>
      <c r="BH232" s="190">
        <f>IF(AND(ISNUMBER(BH142),ISNUMBER(BH138)),IFERROR(BH142/BH138,""),"")</f>
        <v>0.287499416775599</v>
      </c>
      <c r="BI232" s="190">
        <f>IF(AND(ISNUMBER(BI142),ISNUMBER(BI138)),IFERROR(BI142/BI138,""),"")</f>
        <v>0.322188997782388</v>
      </c>
      <c r="BJ232" s="190">
        <f>IF(AND(ISNUMBER(BJ142),ISNUMBER(BJ138)),IFERROR(BJ142/BJ138,""),"")</f>
        <v>0.308813235156287</v>
      </c>
      <c r="BK232" s="190">
        <f>IF(AND(ISNUMBER(BK142),ISNUMBER(BK138)),IFERROR(BK142/BK138,""),"")</f>
        <v>0.31014169361269</v>
      </c>
      <c r="BL232" s="190">
        <f>IF(AND(ISNUMBER(BL142),ISNUMBER(BL138)),IFERROR(BL142/BL138,""),"")</f>
        <v>0.307447082278331</v>
      </c>
      <c r="BM232" s="190">
        <f>IF(AND(ISNUMBER(BM142),ISNUMBER(BM138)),IFERROR(BM142/BM138,""),"")</f>
        <v>0.294636793189486</v>
      </c>
      <c r="BN232" s="190">
        <f>IF(AND(ISNUMBER(BN142),ISNUMBER(BN138)),IFERROR(BN142/BN138,""),"")</f>
        <v>0.333078296845727</v>
      </c>
      <c r="BO232" s="190">
        <f>IF(AND(ISNUMBER(BO142),ISNUMBER(BO138)),IFERROR(BO142/BO138,""),"")</f>
        <v>0.309805272841636</v>
      </c>
      <c r="BP232" s="190">
        <f>IF(AND(ISNUMBER(BP142),ISNUMBER(BP138)),IFERROR(BP142/BP138,""),"")</f>
        <v>0.298797581747392</v>
      </c>
      <c r="BQ232" s="190">
        <f>IF(AND(ISNUMBER(BQ142),ISNUMBER(BQ138)),IFERROR(BQ142/BQ138,""),"")</f>
        <v>0.309720520642613</v>
      </c>
      <c r="BR232" s="190">
        <f>IF(AND(ISNUMBER(BR142),ISNUMBER(BR138)),IFERROR(BR142/BR138,""),"")</f>
        <v>0.2863689374629</v>
      </c>
      <c r="BS232" s="190">
        <f>IF(AND(ISNUMBER(BS142),ISNUMBER(BS138)),IFERROR(BS142/BS138,""),"")</f>
        <v>0.333164930374087</v>
      </c>
      <c r="BT232" s="190">
        <f>IF(AND(ISNUMBER(BT142),ISNUMBER(BT138)),IFERROR(BT142/BT138,""),"")</f>
        <v>0.32326537092963</v>
      </c>
      <c r="BU232" s="190">
        <f>IF(AND(ISNUMBER(BU142),ISNUMBER(BU138)),IFERROR(BU142/BU138,""),"")</f>
        <v>0.306040690913358</v>
      </c>
      <c r="BV232" s="190">
        <f>IF(AND(ISNUMBER(BV142),ISNUMBER(BV138)),IFERROR(BV142/BV138,""),"")</f>
        <v>0.312765541499464</v>
      </c>
      <c r="BW232" s="190">
        <f>IF(AND(ISNUMBER(BW142),ISNUMBER(BW138)),IFERROR(BW142/BW138,""),"")</f>
        <v>0.305176915693127</v>
      </c>
      <c r="BX232" s="190">
        <f>IF(AND(ISNUMBER(BX142),ISNUMBER(BX138)),IFERROR(BX142/BX138,""),"")</f>
        <v>0.350880833196446</v>
      </c>
      <c r="BY232" s="179">
        <f>IF(AND(ISNUMBER(BY142),ISNUMBER(BY138)),IFERROR(BY142/BY138,""),"")</f>
        <v>0.353593465516997</v>
      </c>
      <c r="BZ232" s="179">
        <f>IF(AND(ISNUMBER(BZ142),ISNUMBER(BZ138)),IFERROR(BZ142/BZ138,""),"")</f>
        <v>0.327611736116325</v>
      </c>
      <c r="CA232" s="179">
        <f>IF(AND(ISNUMBER(CA142),ISNUMBER(CA138)),IFERROR(CA142/CA138,""),"")</f>
        <v>0.335542534255804</v>
      </c>
      <c r="CB232" s="179">
        <f>IF(AND(ISNUMBER(CB142),ISNUMBER(CB138)),IFERROR(CB142/CB138,""),"")</f>
        <v>0.333514993993991</v>
      </c>
      <c r="CC232" s="179">
        <f>IF(AND(ISNUMBER(CC142),ISNUMBER(CC138)),IFERROR(CC142/CC138,""),"")</f>
        <v>0.338716002274733</v>
      </c>
      <c r="CD232" s="179">
        <f>IF(AND(ISNUMBER(CD142),ISNUMBER(CD138)),IFERROR(CD142/CD138,""),"")</f>
        <v>0.341742203327291</v>
      </c>
      <c r="CE232" s="179">
        <f>IF(AND(ISNUMBER(CE142),ISNUMBER(CE138)),IFERROR(CE142/CE138,""),"")</f>
        <v>0.343330861462085</v>
      </c>
      <c r="CF232" s="20" t="n"/>
      <c r="CH232" s="39">
        <f>IFERROR(AVERAGE(CA232,CB232,CC232,CD232,CE232),"n/m")</f>
        <v>0.33856931906278</v>
      </c>
      <c r="CI232" s="39">
        <f>IFERROR(AVERAGE(BB232,BG232,BL232,BQ232,BV232),"n/m")</f>
        <v>0.31164166405362</v>
      </c>
      <c r="CJ232" s="39">
        <f>IFERROR(AVERAGE(AC232,AH232,AM232,AR232,AW232,BB232,BG232,BL232,BQ232,BV232),"n/m")</f>
        <v>0.307797715068671</v>
      </c>
      <c r="CK232" s="39">
        <f>IFERROR(AVERAGE(C232,D232,E232,F232,G232,H232,I232,N232,S232,X232,AC232,AH232,AM232,AR232,AW232,BB232,BG232,BL232,BQ232,BV232),"n/m")</f>
        <v>0.301122008557349</v>
      </c>
    </row>
    <row r="233" ht="15" customHeight="1">
      <c r="B233" s="26" t="inlineStr">
        <is>
          <t xml:space="preserve">  Adjusted EBITDA margin %</t>
        </is>
      </c>
      <c r="C233" s="190">
        <f>IF(AND(ISNUMBER(C187),ISNUMBER(C138)),IFERROR(C187/C138,""),"")</f>
        <v>0.14453326006346</v>
      </c>
      <c r="D233" s="190">
        <f>IF(AND(ISNUMBER(D187),ISNUMBER(D138)),IFERROR(D187/D138,""),"")</f>
        <v>0.140769465539218</v>
      </c>
      <c r="E233" s="190">
        <f>IF(AND(ISNUMBER(E187),ISNUMBER(E138)),IFERROR(E187/E138,""),"")</f>
        <v>0.158355429687993</v>
      </c>
      <c r="F233" s="190">
        <f>IF(AND(ISNUMBER(F187),ISNUMBER(F138)),IFERROR(F187/F138,""),"")</f>
        <v>0.146692483848746</v>
      </c>
      <c r="G233" s="190">
        <f>IF(AND(ISNUMBER(G187),ISNUMBER(G138)),IFERROR(G187/G138,""),"")</f>
        <v>0.181772182315144</v>
      </c>
      <c r="H233" s="190">
        <f>IF(AND(ISNUMBER(H187),ISNUMBER(H138)),IFERROR(H187/H138,""),"")</f>
        <v>0.176403230423721</v>
      </c>
      <c r="I233" s="190">
        <f>IF(AND(ISNUMBER(I187),ISNUMBER(I138)),IFERROR(I187/I138,""),"")</f>
        <v>0.170833051481141</v>
      </c>
      <c r="J233" s="190">
        <f>IF(AND(ISNUMBER(J187),ISNUMBER(J138)),IFERROR(J187/J138,""),"")</f>
        <v>0.129010407544745</v>
      </c>
      <c r="K233" s="190">
        <f>IF(AND(ISNUMBER(K187),ISNUMBER(K138)),IFERROR(K187/K138,""),"")</f>
        <v>0.143621125634494</v>
      </c>
      <c r="L233" s="190">
        <f>IF(AND(ISNUMBER(L187),ISNUMBER(L138)),IFERROR(L187/L138,""),"")</f>
        <v>0.1608224476191</v>
      </c>
      <c r="M233" s="190">
        <f>IF(AND(ISNUMBER(M187),ISNUMBER(M138)),IFERROR(M187/M138,""),"")</f>
        <v>0.147066850118827</v>
      </c>
      <c r="N233" s="190">
        <f>IF(AND(ISNUMBER(N187),ISNUMBER(N138)),IFERROR(N187/N138,""),"")</f>
        <v>0.145343304301048</v>
      </c>
      <c r="O233" s="190">
        <f>IF(AND(ISNUMBER(O187),ISNUMBER(O138)),IFERROR(O187/O138,""),"")</f>
        <v>0.120455858088245</v>
      </c>
      <c r="P233" s="190">
        <f>IF(AND(ISNUMBER(P187),ISNUMBER(P138)),IFERROR(P187/P138,""),"")</f>
        <v>0.15818539744665</v>
      </c>
      <c r="Q233" s="190">
        <f>IF(AND(ISNUMBER(Q187),ISNUMBER(Q138)),IFERROR(Q187/Q138,""),"")</f>
        <v>0.180109575848684</v>
      </c>
      <c r="R233" s="190">
        <f>IF(AND(ISNUMBER(R187),ISNUMBER(R138)),IFERROR(R187/R138,""),"")</f>
        <v>0.154761284886583</v>
      </c>
      <c r="S233" s="190">
        <f>IF(AND(ISNUMBER(S187),ISNUMBER(S138)),IFERROR(S187/S138,""),"")</f>
        <v>0.153431760482309</v>
      </c>
      <c r="T233" s="190">
        <f>IF(AND(ISNUMBER(T187),ISNUMBER(T138)),IFERROR(T187/T138,""),"")</f>
        <v>0.106862944522791</v>
      </c>
      <c r="U233" s="190">
        <f>IF(AND(ISNUMBER(U187),ISNUMBER(U138)),IFERROR(U187/U138,""),"")</f>
        <v>0.174233199605224</v>
      </c>
      <c r="V233" s="190">
        <f>IF(AND(ISNUMBER(V187),ISNUMBER(V138)),IFERROR(V187/V138,""),"")</f>
        <v>0.185374191540757</v>
      </c>
      <c r="W233" s="190">
        <f>IF(AND(ISNUMBER(W187),ISNUMBER(W138)),IFERROR(W187/W138,""),"")</f>
        <v>0.136262278344674</v>
      </c>
      <c r="X233" s="190">
        <f>IF(AND(ISNUMBER(X187),ISNUMBER(X138)),IFERROR(X187/X138,""),"")</f>
        <v>0.153937682606865</v>
      </c>
      <c r="Y233" s="190">
        <f>IF(AND(ISNUMBER(Y187),ISNUMBER(Y138)),IFERROR(Y187/Y138,""),"")</f>
        <v>0.105835244771516</v>
      </c>
      <c r="Z233" s="190">
        <f>IF(AND(ISNUMBER(Z187),ISNUMBER(Z138)),IFERROR(Z187/Z138,""),"")</f>
        <v>0.158341815887944</v>
      </c>
      <c r="AA233" s="190">
        <f>IF(AND(ISNUMBER(AA187),ISNUMBER(AA138)),IFERROR(AA187/AA138,""),"")</f>
        <v>0.173608674196732</v>
      </c>
      <c r="AB233" s="190">
        <f>IF(AND(ISNUMBER(AB187),ISNUMBER(AB138)),IFERROR(AB187/AB138,""),"")</f>
        <v>0.138616093036831</v>
      </c>
      <c r="AC233" s="190">
        <f>IF(AND(ISNUMBER(AC187),ISNUMBER(AC138)),IFERROR(AC187/AC138,""),"")</f>
        <v>0.145307136329288</v>
      </c>
      <c r="AD233" s="190">
        <f>IF(AND(ISNUMBER(AD187),ISNUMBER(AD138)),IFERROR(AD187/AD138,""),"")</f>
        <v>0.116316201242196</v>
      </c>
      <c r="AE233" s="190">
        <f>IF(AND(ISNUMBER(AE187),ISNUMBER(AE138)),IFERROR(AE187/AE138,""),"")</f>
        <v>0.160325350563505</v>
      </c>
      <c r="AF233" s="190">
        <f>IF(AND(ISNUMBER(AF187),ISNUMBER(AF138)),IFERROR(AF187/AF138,""),"")</f>
        <v>0.162730238699418</v>
      </c>
      <c r="AG233" s="190">
        <f>IF(AND(ISNUMBER(AG187),ISNUMBER(AG138)),IFERROR(AG187/AG138,""),"")</f>
        <v>0.136247780648459</v>
      </c>
      <c r="AH233" s="190">
        <f>IF(AND(ISNUMBER(AH187),ISNUMBER(AH138)),IFERROR(AH187/AH138,""),"")</f>
        <v>0.144536563600815</v>
      </c>
      <c r="AI233" s="190">
        <f>IF(AND(ISNUMBER(AI187),ISNUMBER(AI138)),IFERROR(AI187/AI138,""),"")</f>
        <v>0.117721512234288</v>
      </c>
      <c r="AJ233" s="190">
        <f>IF(AND(ISNUMBER(AJ187),ISNUMBER(AJ138)),IFERROR(AJ187/AJ138,""),"")</f>
        <v>0.164355701062251</v>
      </c>
      <c r="AK233" s="190">
        <f>IF(AND(ISNUMBER(AK187),ISNUMBER(AK138)),IFERROR(AK187/AK138,""),"")</f>
        <v>0.167552399781304</v>
      </c>
      <c r="AL233" s="190">
        <f>IF(AND(ISNUMBER(AL187),ISNUMBER(AL138)),IFERROR(AL187/AL138,""),"")</f>
        <v>0.142043150579582</v>
      </c>
      <c r="AM233" s="190">
        <f>IF(AND(ISNUMBER(AM187),ISNUMBER(AM138)),IFERROR(AM187/AM138,""),"")</f>
        <v>0.148775733622034</v>
      </c>
      <c r="AN233" s="190">
        <f>IF(AND(ISNUMBER(AN187),ISNUMBER(AN138)),IFERROR(AN187/AN138,""),"")</f>
        <v>0.130197134108312</v>
      </c>
      <c r="AO233" s="190">
        <f>IF(AND(ISNUMBER(AO187),ISNUMBER(AO138)),IFERROR(AO187/AO138,""),"")</f>
        <v>0.1724747259629</v>
      </c>
      <c r="AP233" s="190">
        <f>IF(AND(ISNUMBER(AP187),ISNUMBER(AP138)),IFERROR(AP187/AP138,""),"")</f>
        <v>0.175640485023574</v>
      </c>
      <c r="AQ233" s="190">
        <f>IF(AND(ISNUMBER(AQ187),ISNUMBER(AQ138)),IFERROR(AQ187/AQ138,""),"")</f>
        <v>0.151797062014569</v>
      </c>
      <c r="AR233" s="190">
        <f>IF(AND(ISNUMBER(AR187),ISNUMBER(AR138)),IFERROR(AR187/AR138,""),"")</f>
        <v>0.158349036835581</v>
      </c>
      <c r="AS233" s="190">
        <f>IF(AND(ISNUMBER(AS187),ISNUMBER(AS138)),IFERROR(AS187/AS138,""),"")</f>
        <v>0.142785095560838</v>
      </c>
      <c r="AT233" s="190">
        <f>IF(AND(ISNUMBER(AT187),ISNUMBER(AT138)),IFERROR(AT187/AT138,""),"")</f>
        <v>0.190816901408451</v>
      </c>
      <c r="AU233" s="190">
        <f>IF(AND(ISNUMBER(AU187),ISNUMBER(AU138)),IFERROR(AU187/AU138,""),"")</f>
        <v>0.206803414153442</v>
      </c>
      <c r="AV233" s="190">
        <f>IF(AND(ISNUMBER(AV187),ISNUMBER(AV138)),IFERROR(AV187/AV138,""),"")</f>
        <v>0.170890114168729</v>
      </c>
      <c r="AW233" s="190">
        <f>IF(AND(ISNUMBER(AW187),ISNUMBER(AW138)),IFERROR(AW187/AW138,""),"")</f>
        <v>0.176617324465498</v>
      </c>
      <c r="AX233" s="190">
        <f>IF(AND(ISNUMBER(AX187),ISNUMBER(AX138)),IFERROR(AX187/AX138,""),"")</f>
        <v>0.160182293342309</v>
      </c>
      <c r="AY233" s="190">
        <f>IF(AND(ISNUMBER(AY187),ISNUMBER(AY138)),IFERROR(AY187/AY138,""),"")</f>
        <v>0.202676214140306</v>
      </c>
      <c r="AZ233" s="190">
        <f>IF(AND(ISNUMBER(AZ187),ISNUMBER(AZ138)),IFERROR(AZ187/AZ138,""),"")</f>
        <v>0.194522422460191</v>
      </c>
      <c r="BA233" s="190">
        <f>IF(AND(ISNUMBER(BA187),ISNUMBER(BA138)),IFERROR(BA187/BA138,""),"")</f>
        <v>0.155697148946699</v>
      </c>
      <c r="BB233" s="190">
        <f>IF(AND(ISNUMBER(BB187),ISNUMBER(BB138)),IFERROR(BB187/BB138,""),"")</f>
        <v>0.177793789412666</v>
      </c>
      <c r="BC233" s="190">
        <f>IF(AND(ISNUMBER(BC187),ISNUMBER(BC138)),IFERROR(BC187/BC138,""),"")</f>
        <v>0.154184939128858</v>
      </c>
      <c r="BD233" s="190">
        <f>IF(AND(ISNUMBER(BD187),ISNUMBER(BD138)),IFERROR(BD187/BD138,""),"")</f>
        <v>0.227875297129274</v>
      </c>
      <c r="BE233" s="190">
        <f>IF(AND(ISNUMBER(BE187),ISNUMBER(BE138)),IFERROR(BE187/BE138,""),"")</f>
        <v>0.226365027591803</v>
      </c>
      <c r="BF233" s="190">
        <f>IF(AND(ISNUMBER(BF187),ISNUMBER(BF138)),IFERROR(BF187/BF138,""),"")</f>
        <v>0.175451334717682</v>
      </c>
      <c r="BG233" s="190">
        <f>IF(AND(ISNUMBER(BG187),ISNUMBER(BG138)),IFERROR(BG187/BG138,""),"")</f>
        <v>0.197833587046039</v>
      </c>
      <c r="BH233" s="190">
        <f>IF(AND(ISNUMBER(BH187),ISNUMBER(BH138)),IFERROR(BH187/BH138,""),"")</f>
        <v>0.164555713036767</v>
      </c>
      <c r="BI233" s="190">
        <f>IF(AND(ISNUMBER(BI187),ISNUMBER(BI138)),IFERROR(BI187/BI138,""),"")</f>
        <v>0.205669933471636</v>
      </c>
      <c r="BJ233" s="190">
        <f>IF(AND(ISNUMBER(BJ187),ISNUMBER(BJ138)),IFERROR(BJ187/BJ138,""),"")</f>
        <v>0.186730429026665</v>
      </c>
      <c r="BK233" s="190">
        <f>IF(AND(ISNUMBER(BK187),ISNUMBER(BK138)),IFERROR(BK187/BK138,""),"")</f>
        <v>0.190490887174938</v>
      </c>
      <c r="BL233" s="190">
        <f>IF(AND(ISNUMBER(BL187),ISNUMBER(BL138)),IFERROR(BL187/BL138,""),"")</f>
        <v>0.187195700915781</v>
      </c>
      <c r="BM233" s="190">
        <f>IF(AND(ISNUMBER(BM187),ISNUMBER(BM138)),IFERROR(BM187/BM138,""),"")</f>
        <v>0.16713578534098</v>
      </c>
      <c r="BN233" s="190">
        <f>IF(AND(ISNUMBER(BN187),ISNUMBER(BN138)),IFERROR(BN187/BN138,""),"")</f>
        <v>0.211123841467774</v>
      </c>
      <c r="BO233" s="190">
        <f>IF(AND(ISNUMBER(BO187),ISNUMBER(BO138)),IFERROR(BO187/BO138,""),"")</f>
        <v>0.197338602426276</v>
      </c>
      <c r="BP233" s="190">
        <f>IF(AND(ISNUMBER(BP187),ISNUMBER(BP138)),IFERROR(BP187/BP138,""),"")</f>
        <v>0.179726171742892</v>
      </c>
      <c r="BQ233" s="190">
        <f>IF(AND(ISNUMBER(BQ187),ISNUMBER(BQ138)),IFERROR(BQ187/BQ138,""),"")</f>
        <v>0.189633803467329</v>
      </c>
      <c r="BR233" s="190">
        <f>IF(AND(ISNUMBER(BR187),ISNUMBER(BR138)),IFERROR(BR187/BR138,""),"")</f>
        <v>0.164009916547366</v>
      </c>
      <c r="BS233" s="190">
        <f>IF(AND(ISNUMBER(BS187),ISNUMBER(BS138)),IFERROR(BS187/BS138,""),"")</f>
        <v>0.216947531832031</v>
      </c>
      <c r="BT233" s="190">
        <f>IF(AND(ISNUMBER(BT187),ISNUMBER(BT138)),IFERROR(BT187/BT138,""),"")</f>
        <v>0.206642583246898</v>
      </c>
      <c r="BU233" s="190">
        <f>IF(AND(ISNUMBER(BU187),ISNUMBER(BU138)),IFERROR(BU187/BU138,""),"")</f>
        <v>0.185830328279865</v>
      </c>
      <c r="BV233" s="190">
        <f>IF(AND(ISNUMBER(BV187),ISNUMBER(BV138)),IFERROR(BV187/BV138,""),"")</f>
        <v>0.193992807300214</v>
      </c>
      <c r="BW233" s="190">
        <f>IF(AND(ISNUMBER(BW187),ISNUMBER(BW138)),IFERROR(BW187/BW138,""),"")</f>
        <v>0.169816866581663</v>
      </c>
      <c r="BX233" s="190">
        <f>IF(AND(ISNUMBER(BX187),ISNUMBER(BX138)),IFERROR(BX187/BX138,""),"")</f>
        <v>0.235748023780911</v>
      </c>
      <c r="BY233" s="179">
        <f>IF(AND(ISNUMBER(BY187),ISNUMBER(BY138)),IFERROR(BY187/BY138,""),"")</f>
        <v>0.232590398394149</v>
      </c>
      <c r="BZ233" s="179">
        <f>IF(AND(ISNUMBER(BZ187),ISNUMBER(BZ138)),IFERROR(BZ187/BZ138,""),"")</f>
        <v>0.20111661129896</v>
      </c>
      <c r="CA233" s="179">
        <f>IF(AND(ISNUMBER(CA187),ISNUMBER(CA138)),IFERROR(CA187/CA138,""),"")</f>
        <v>0.211506844136948</v>
      </c>
      <c r="CB233" s="179">
        <f>IF(AND(ISNUMBER(CB187),ISNUMBER(CB138)),IFERROR(CB187/CB138,""),"")</f>
        <v>0.213014993993991</v>
      </c>
      <c r="CC233" s="179">
        <f>IF(AND(ISNUMBER(CC187),ISNUMBER(CC138)),IFERROR(CC187/CC138,""),"")</f>
        <v>0.218216002274732</v>
      </c>
      <c r="CD233" s="179">
        <f>IF(AND(ISNUMBER(CD187),ISNUMBER(CD138)),IFERROR(CD187/CD138,""),"")</f>
        <v>0.221242203327291</v>
      </c>
      <c r="CE233" s="179">
        <f>IF(AND(ISNUMBER(CE187),ISNUMBER(CE138)),IFERROR(CE187/CE138,""),"")</f>
        <v>0.222830861462085</v>
      </c>
      <c r="CF233" s="20" t="n"/>
      <c r="CH233" s="39">
        <f>IFERROR(AVERAGE(CA233,CB233,CC233,CD233,CE233),"n/m")</f>
        <v>0.217362181039009</v>
      </c>
      <c r="CI233" s="39">
        <f>IFERROR(AVERAGE(BB233,BG233,BL233,BQ233,BV233),"n/m")</f>
        <v>0.189289937628406</v>
      </c>
      <c r="CJ233" s="39">
        <f>IFERROR(AVERAGE(AC233,AH233,AM233,AR233,AW233,BB233,BG233,BL233,BQ233,BV233),"n/m")</f>
        <v>0.172003548299525</v>
      </c>
      <c r="CK233" s="39">
        <f>IFERROR(AVERAGE(C233,D233,E233,F233,G233,H233,I233,N233,S233,X233,AC233,AH233,AM233,AR233,AW233,BB233,BG233,BL233,BQ233,BV233),"n/m")</f>
        <v>0.164605366687245</v>
      </c>
    </row>
    <row r="234" ht="15" customHeight="1">
      <c r="B234" s="26" t="inlineStr">
        <is>
          <t xml:space="preserve">  Incremental Adjusted EBITDA margin (ΔEBITDA / ΔRevenues)</t>
        </is>
      </c>
      <c r="C234" s="193" t="n"/>
      <c r="D234" s="190">
        <f>IFERROR((D187-C187)/(D138-C138),"")</f>
        <v>0.114099805307922</v>
      </c>
      <c r="E234" s="190">
        <f>IFERROR((E187-D187)/(E138-D138),"")</f>
        <v>0.357081483603035</v>
      </c>
      <c r="F234" s="190">
        <f>IFERROR((F187-E187)/(F138-E138),"")</f>
        <v>-0.129611326912906</v>
      </c>
      <c r="G234" s="190">
        <f>IFERROR((G187-F187)/(G138-F138),"")</f>
        <v>0.239126729008377</v>
      </c>
      <c r="H234" s="190">
        <f>IFERROR((H187-G187)/(H138-G138),"")</f>
        <v>0.13964854562422</v>
      </c>
      <c r="I234" s="190">
        <f>IFERROR((I187-H187)/(I138-H138),"")</f>
        <v>0.116595999450366</v>
      </c>
      <c r="J234" s="193" t="n"/>
      <c r="K234" s="193" t="n"/>
      <c r="L234" s="193" t="n"/>
      <c r="M234" s="193" t="n"/>
      <c r="N234" s="190">
        <f>IFERROR((N187-I187)/(N138-I138),"")</f>
        <v>0.103149768337081</v>
      </c>
      <c r="O234" s="190">
        <f>IFERROR((O187-J187)/(O138-J138),"")</f>
        <v>0.596411977284463</v>
      </c>
      <c r="P234" s="190">
        <f>IFERROR((P187-K187)/(P138-K138),"")</f>
        <v>-5.96142578124998</v>
      </c>
      <c r="Q234" s="190">
        <f>IFERROR((Q187-L187)/(Q138-L138),"")</f>
        <v>-0.132067059033352</v>
      </c>
      <c r="R234" s="190">
        <f>IFERROR((R187-M187)/(R138-M138),"")</f>
        <v>-0.04191129454165</v>
      </c>
      <c r="S234" s="190">
        <f>IFERROR((S187-N187)/(S138-N138),"")</f>
        <v>-0.109368635437881</v>
      </c>
      <c r="T234" s="190">
        <f>IFERROR((T187-O187)/(T138-O138),"")</f>
        <v>0.207667647677107</v>
      </c>
      <c r="U234" s="190">
        <f>IFERROR((U187-P187)/(U138-P138),"")</f>
        <v>0.351430261871688</v>
      </c>
      <c r="V234" s="190">
        <f>IFERROR((V187-Q187)/(V138-Q138),"")</f>
        <v>0.292355791031241</v>
      </c>
      <c r="W234" s="190">
        <f>IFERROR((W187-R187)/(W138-R138),"")</f>
        <v>0.254705258372481</v>
      </c>
      <c r="X234" s="190">
        <f>IFERROR((X187-S187)/(X138-S138),"")</f>
        <v>0.140333125163045</v>
      </c>
      <c r="Y234" s="190">
        <f>IFERROR((Y187-T187)/(Y138-T138),"")</f>
        <v>0.113642963823432</v>
      </c>
      <c r="Z234" s="190">
        <f>IFERROR((Z187-U187)/(Z138-U138),"")</f>
        <v>0.220666225420789</v>
      </c>
      <c r="AA234" s="190">
        <f>IFERROR((AA187-V187)/(AA138-V138),"")</f>
        <v>0.237759847661829</v>
      </c>
      <c r="AB234" s="190">
        <f>IFERROR((AB187-W187)/(AB138-W138),"")</f>
        <v>0.0584300797859575</v>
      </c>
      <c r="AC234" s="190">
        <f>IFERROR((AC187-X187)/(AC138-X138),"")</f>
        <v>0.199674559684254</v>
      </c>
      <c r="AD234" s="190">
        <f>IFERROR((AD187-Y187)/(AD138-Y138),"")</f>
        <v>0.24244201445382</v>
      </c>
      <c r="AE234" s="190">
        <f>IFERROR((AE187-Z187)/(AE138-Z138),"")</f>
        <v>0.185354028727524</v>
      </c>
      <c r="AF234" s="190">
        <f>IFERROR((AF187-AA187)/(AF138-AA138),"")</f>
        <v>-0.138722175795791</v>
      </c>
      <c r="AG234" s="190">
        <f>IFERROR((AG187-AB187)/(AG138-AB138),"")</f>
        <v>0.106601555434977</v>
      </c>
      <c r="AH234" s="190">
        <f>IFERROR((AH187-AC187)/(AH138-AC138),"")</f>
        <v>0.133347738100258</v>
      </c>
      <c r="AI234" s="190">
        <f>IFERROR((AI187-AD187)/(AI138-AD138),"")</f>
        <v>0.133635780857045</v>
      </c>
      <c r="AJ234" s="190">
        <f>IFERROR((AJ187-AE187)/(AJ138-AE138),"")</f>
        <v>0.195844403852541</v>
      </c>
      <c r="AK234" s="190">
        <f>IFERROR((AK187-AF187)/(AK138-AF138),"")</f>
        <v>0.209286082326674</v>
      </c>
      <c r="AL234" s="190">
        <f>IFERROR((AL187-AG187)/(AL138-AG138),"")</f>
        <v>0.181135549318147</v>
      </c>
      <c r="AM234" s="190">
        <f>IFERROR((AM187-AH187)/(AM138-AH138),"")</f>
        <v>0.18391050446774</v>
      </c>
      <c r="AN234" s="190">
        <f>IFERROR((AN187-AI187)/(AN138-AI138),"")</f>
        <v>0.431344773188241</v>
      </c>
      <c r="AO234" s="190">
        <f>IFERROR((AO187-AJ187)/(AO138-AJ138),"")</f>
        <v>0.525335244139621</v>
      </c>
      <c r="AP234" s="190">
        <f>IFERROR((AP187-AK187)/(AP138-AK138),"")</f>
        <v>0.316290964588445</v>
      </c>
      <c r="AQ234" s="190">
        <f>IFERROR((AQ187-AL187)/(AQ138-AL138),"")</f>
        <v>0.80571830325755</v>
      </c>
      <c r="AR234" s="190">
        <f>IFERROR((AR187-AM187)/(AR138-AM138),"")</f>
        <v>0.44073037975815</v>
      </c>
      <c r="AS234" s="190">
        <f>IFERROR((AS187-AN187)/(AS138-AN138),"")</f>
        <v>0.269247594050743</v>
      </c>
      <c r="AT234" s="190">
        <f>IFERROR((AT187-AO187)/(AT138-AO138),"")</f>
        <v>0.0904032064936535</v>
      </c>
      <c r="AU234" s="190">
        <f>IFERROR((AU187-AP187)/(AU138-AP138),"")</f>
        <v>-0.0405790392080059</v>
      </c>
      <c r="AV234" s="190">
        <f>IFERROR((AV187-AQ187)/(AV138-AQ138),"")</f>
        <v>-0.0513934371449602</v>
      </c>
      <c r="AW234" s="190">
        <f>IFERROR((AW187-AR187)/(AW138-AR138),"")</f>
        <v>-0.0558947827806019</v>
      </c>
      <c r="AX234" s="190">
        <f>IFERROR((AX187-AS187)/(AX138-AS138),"")</f>
        <v>-0.136090449271053</v>
      </c>
      <c r="AY234" s="190">
        <f>IFERROR((AY187-AT187)/(AY138-AT138),"")</f>
        <v>0.241575732936643</v>
      </c>
      <c r="AZ234" s="190">
        <f>IFERROR((AZ187-AU187)/(AZ138-AU138),"")</f>
        <v>0.138920033694484</v>
      </c>
      <c r="BA234" s="190">
        <f>IFERROR((BA187-AV187)/(BA138-AV138),"")</f>
        <v>0.118280434654846</v>
      </c>
      <c r="BB234" s="190">
        <f>IFERROR((BB187-AW187)/(BB138-AW138),"")</f>
        <v>0.183385767133456</v>
      </c>
      <c r="BC234" s="190">
        <f>IFERROR((BC187-AX187)/(BC138-AX138),"")</f>
        <v>0.140757588769977</v>
      </c>
      <c r="BD234" s="190">
        <f>IFERROR((BD187-AY187)/(BD138-AY138),"")</f>
        <v>0.282186509838224</v>
      </c>
      <c r="BE234" s="190">
        <f>IFERROR((BE187-AZ187)/(BE138-AZ138),"")</f>
        <v>0.299973032528601</v>
      </c>
      <c r="BF234" s="190">
        <f>IFERROR((BF187-BA187)/(BF138-BA138),"")</f>
        <v>0.31487167201498</v>
      </c>
      <c r="BG234" s="190">
        <f>IFERROR((BG187-BB187)/(BG138-BB138),"")</f>
        <v>0.253866347694666</v>
      </c>
      <c r="BH234" s="190">
        <f>IFERROR((BH187-BC187)/(BH138-BC138),"")</f>
        <v>0.252238244695469</v>
      </c>
      <c r="BI234" s="190">
        <f>IFERROR((BI187-BD187)/(BI138-BD138),"")</f>
        <v>-0.518514956237365</v>
      </c>
      <c r="BJ234" s="190">
        <f>IFERROR((BJ187-BE187)/(BJ138-BE138),"")</f>
        <v>-20.5126436781618</v>
      </c>
      <c r="BK234" s="190">
        <f>IFERROR((BK187-BF187)/(BK138-BF138),"")</f>
        <v>0.510479266201661</v>
      </c>
      <c r="BL234" s="190">
        <f>IFERROR((BL187-BG187)/(BL138-BG138),"")</f>
        <v>-0.0394067953839855</v>
      </c>
      <c r="BM234" s="190">
        <f>IFERROR((BM187-BH187)/(BM138-BH138),"")</f>
        <v>0.215804813297166</v>
      </c>
      <c r="BN234" s="190">
        <f>IFERROR((BN187-BI187)/(BN138-BI138),"")</f>
        <v>0.260368559414542</v>
      </c>
      <c r="BO234" s="190">
        <f>IFERROR((BO187-BJ187)/(BO138-BJ138),"")</f>
        <v>0.285825098029636</v>
      </c>
      <c r="BP234" s="190">
        <f>IFERROR((BP187-BK187)/(BP138-BK138),"")</f>
        <v>0.0247452849473354</v>
      </c>
      <c r="BQ234" s="190">
        <f>IFERROR((BQ187-BL187)/(BQ138-BL138),"")</f>
        <v>0.217063227953411</v>
      </c>
      <c r="BR234" s="190">
        <f>IFERROR((BR187-BM187)/(BR138-BM138),"")</f>
        <v>0.0861279522215211</v>
      </c>
      <c r="BS234" s="190">
        <f>IFERROR((BS187-BN187)/(BS138-BN138),"")</f>
        <v>-2.93926701570673</v>
      </c>
      <c r="BT234" s="190">
        <f>IFERROR((BT187-BO187)/(BT138-BO138),"")</f>
        <v>0.921164951041923</v>
      </c>
      <c r="BU234" s="190">
        <f>IFERROR((BU187-BP187)/(BU138-BP138),"")</f>
        <v>0.313210848643917</v>
      </c>
      <c r="BV234" s="190">
        <f>IFERROR((BV187-BQ187)/(BV138-BQ138),"")</f>
        <v>0.376228839124109</v>
      </c>
      <c r="BW234" s="190">
        <f>IFERROR((BW187-BR187)/(BW138-BR138),"")</f>
        <v>0.471236451952007</v>
      </c>
      <c r="BX234" s="190">
        <f>IFERROR((BX187-BS187)/(BX138-BS138),"")</f>
        <v>0.393122370389575</v>
      </c>
      <c r="BY234" s="179">
        <f>IFERROR((BY187-BT187)/(BY138-BT138),"")</f>
        <v>0.469519041540476</v>
      </c>
      <c r="BZ234" s="179">
        <f>IFERROR((BZ187-BU187)/(BZ138-BU138),"")</f>
        <v>0.328405287070118</v>
      </c>
      <c r="CA234" s="179">
        <f>IFERROR((CA187-BV187)/(CA138-BV138),"")</f>
        <v>0.399277343317779</v>
      </c>
      <c r="CB234" s="179">
        <f>IFERROR((CB187-CA187)/(CB138-CA138),"")</f>
        <v>0.227551608981542</v>
      </c>
      <c r="CC234" s="179">
        <f>IFERROR((CC187-CB187)/(CC138-CB138),"")</f>
        <v>0.281393120902552</v>
      </c>
      <c r="CD234" s="179">
        <f>IFERROR((CD187-CC187)/(CD138-CC138),"")</f>
        <v>0.260526261736255</v>
      </c>
      <c r="CE234" s="179">
        <f>IFERROR((CE187-CD187)/(CE138-CD138),"")</f>
        <v>0.244338346414517</v>
      </c>
      <c r="CF234" s="20" t="n"/>
    </row>
    <row r="235" ht="15" customHeight="1">
      <c r="B235" s="26" t="inlineStr">
        <is>
          <t xml:space="preserve">  Operating margin (income from operations) %</t>
        </is>
      </c>
      <c r="C235" s="190">
        <f>IF(AND(ISNUMBER(C147),ISNUMBER(C138)),IFERROR(C147/C138,""),"")</f>
        <v>0.089630264313836</v>
      </c>
      <c r="D235" s="190">
        <f>IF(AND(ISNUMBER(D147),ISNUMBER(D138)),IFERROR(D147/D138,""),"")</f>
        <v>0.0900395705220204</v>
      </c>
      <c r="E235" s="190">
        <f>IF(AND(ISNUMBER(E147),ISNUMBER(E138)),IFERROR(E147/E138,""),"")</f>
        <v>0.104754669825645</v>
      </c>
      <c r="F235" s="190">
        <f>IF(AND(ISNUMBER(F147),ISNUMBER(F138)),IFERROR(F147/F138,""),"")</f>
        <v>0.0763949656494946</v>
      </c>
      <c r="G235" s="190">
        <f>IF(AND(ISNUMBER(G147),ISNUMBER(G138)),IFERROR(G147/G138,""),"")</f>
        <v>0.122404467538949</v>
      </c>
      <c r="H235" s="190">
        <f>IF(AND(ISNUMBER(H147),ISNUMBER(H138)),IFERROR(H147/H138,""),"")</f>
        <v>0.109702661511106</v>
      </c>
      <c r="I235" s="190">
        <f>IF(AND(ISNUMBER(I147),ISNUMBER(I138)),IFERROR(I147/I138,""),"")</f>
        <v>0.092418876844913</v>
      </c>
      <c r="J235" s="190">
        <f>IF(AND(ISNUMBER(J147),ISNUMBER(J138)),IFERROR(J147/J138,""),"")</f>
        <v>0.0403960735962921</v>
      </c>
      <c r="K235" s="190">
        <f>IF(AND(ISNUMBER(K147),ISNUMBER(K138)),IFERROR(K147/K138,""),"")</f>
        <v>0.0618724782923972</v>
      </c>
      <c r="L235" s="190">
        <f>IF(AND(ISNUMBER(L147),ISNUMBER(L138)),IFERROR(L147/L138,""),"")</f>
        <v>0.0811076156842435</v>
      </c>
      <c r="M235" s="190">
        <f>IF(AND(ISNUMBER(M147),ISNUMBER(M138)),IFERROR(M147/M138,""),"")</f>
        <v>0.0669490465415098</v>
      </c>
      <c r="N235" s="190">
        <f>IF(AND(ISNUMBER(N147),ISNUMBER(N138)),IFERROR(N147/N138,""),"")</f>
        <v>0.0628426261719098</v>
      </c>
      <c r="O235" s="190">
        <f>IF(AND(ISNUMBER(O147),ISNUMBER(O138)),IFERROR(O147/O138,""),"")</f>
        <v>0.0353220333377821</v>
      </c>
      <c r="P235" s="190">
        <f>IF(AND(ISNUMBER(P147),ISNUMBER(P138)),IFERROR(P147/P138,""),"")</f>
        <v>0.0781788742894418</v>
      </c>
      <c r="Q235" s="190">
        <f>IF(AND(ISNUMBER(Q147),ISNUMBER(Q138)),IFERROR(Q147/Q138,""),"")</f>
        <v>-0.050205234507584</v>
      </c>
      <c r="R235" s="190">
        <f>IF(AND(ISNUMBER(R147),ISNUMBER(R138)),IFERROR(R147/R138,""),"")</f>
        <v>0.0680891903661908</v>
      </c>
      <c r="S235" s="190">
        <f>IF(AND(ISNUMBER(S147),ISNUMBER(S138)),IFERROR(S147/S138,""),"")</f>
        <v>0.0328694780981857</v>
      </c>
      <c r="T235" s="190">
        <f>IF(AND(ISNUMBER(T147),ISNUMBER(T138)),IFERROR(T147/T138,""),"")</f>
        <v>0.00996861429162371</v>
      </c>
      <c r="U235" s="190">
        <f>IF(AND(ISNUMBER(U147),ISNUMBER(U138)),IFERROR(U147/U138,""),"")</f>
        <v>0.0648965850198883</v>
      </c>
      <c r="V235" s="190">
        <f>IF(AND(ISNUMBER(V147),ISNUMBER(V138)),IFERROR(V147/V138,""),"")</f>
        <v>0.105186452137198</v>
      </c>
      <c r="W235" s="190">
        <f>IF(AND(ISNUMBER(W147),ISNUMBER(W138)),IFERROR(W147/W138,""),"")</f>
        <v>0.035830888416423</v>
      </c>
      <c r="X235" s="190">
        <f>IF(AND(ISNUMBER(X147),ISNUMBER(X138)),IFERROR(X147/X138,""),"")</f>
        <v>0.0572736346601685</v>
      </c>
      <c r="Y235" s="190">
        <f>IF(AND(ISNUMBER(Y147),ISNUMBER(Y138)),IFERROR(Y147/Y138,""),"")</f>
        <v>-0.00642526211202</v>
      </c>
      <c r="Z235" s="190">
        <f>IF(AND(ISNUMBER(Z147),ISNUMBER(Z138)),IFERROR(Z147/Z138,""),"")</f>
        <v>0.049467391148514</v>
      </c>
      <c r="AA235" s="190">
        <f>IF(AND(ISNUMBER(AA147),ISNUMBER(AA138)),IFERROR(AA147/AA138,""),"")</f>
        <v>0.023031582410352</v>
      </c>
      <c r="AB235" s="190">
        <f>IF(AND(ISNUMBER(AB147),ISNUMBER(AB138)),IFERROR(AB147/AB138,""),"")</f>
        <v>0.0317043604151346</v>
      </c>
      <c r="AC235" s="190">
        <f>IF(AND(ISNUMBER(AC147),ISNUMBER(AC138)),IFERROR(AC147/AC138,""),"")</f>
        <v>0.0251021150352095</v>
      </c>
      <c r="AD235" s="190">
        <f>IF(AND(ISNUMBER(AD147),ISNUMBER(AD138)),IFERROR(AD147/AD138,""),"")</f>
        <v>0.00788601636424605</v>
      </c>
      <c r="AE235" s="190">
        <f>IF(AND(ISNUMBER(AE147),ISNUMBER(AE138)),IFERROR(AE147/AE138,""),"")</f>
        <v>0.0620945073513393</v>
      </c>
      <c r="AF235" s="190">
        <f>IF(AND(ISNUMBER(AF147),ISNUMBER(AF138)),IFERROR(AF147/AF138,""),"")</f>
        <v>0.0630591416770083</v>
      </c>
      <c r="AG235" s="190">
        <f>IF(AND(ISNUMBER(AG147),ISNUMBER(AG138)),IFERROR(AG147/AG138,""),"")</f>
        <v>0.0373760875993272</v>
      </c>
      <c r="AH235" s="190">
        <f>IF(AND(ISNUMBER(AH147),ISNUMBER(AH138)),IFERROR(AH147/AH138,""),"")</f>
        <v>0.0433874208907504</v>
      </c>
      <c r="AI235" s="190">
        <f>IF(AND(ISNUMBER(AI147),ISNUMBER(AI138)),IFERROR(AI147/AI138,""),"")</f>
        <v>0.0146590057323635</v>
      </c>
      <c r="AJ235" s="190">
        <f>IF(AND(ISNUMBER(AJ147),ISNUMBER(AJ138)),IFERROR(AJ147/AJ138,""),"")</f>
        <v>0.0757860894552135</v>
      </c>
      <c r="AK235" s="190">
        <f>IF(AND(ISNUMBER(AK147),ISNUMBER(AK138)),IFERROR(AK147/AK138,""),"")</f>
        <v>0.0779725823992715</v>
      </c>
      <c r="AL235" s="190">
        <f>IF(AND(ISNUMBER(AL147),ISNUMBER(AL138)),IFERROR(AL147/AL138,""),"")</f>
        <v>0.0483393225853061</v>
      </c>
      <c r="AM235" s="190">
        <f>IF(AND(ISNUMBER(AM147),ISNUMBER(AM138)),IFERROR(AM147/AM138,""),"")</f>
        <v>0.0553203751291927</v>
      </c>
      <c r="AN235" s="190">
        <f>IF(AND(ISNUMBER(AN147),ISNUMBER(AN138)),IFERROR(AN147/AN138,""),"")</f>
        <v>0.0303955104701482</v>
      </c>
      <c r="AO235" s="190">
        <f>IF(AND(ISNUMBER(AO147),ISNUMBER(AO138)),IFERROR(AO147/AO138,""),"")</f>
        <v>0.0840909980453056</v>
      </c>
      <c r="AP235" s="190">
        <f>IF(AND(ISNUMBER(AP147),ISNUMBER(AP138)),IFERROR(AP147/AP138,""),"")</f>
        <v>0.090131080177824</v>
      </c>
      <c r="AQ235" s="190">
        <f>IF(AND(ISNUMBER(AQ147),ISNUMBER(AQ138)),IFERROR(AQ147/AQ138,""),"")</f>
        <v>0.0600536162249355</v>
      </c>
      <c r="AR235" s="190">
        <f>IF(AND(ISNUMBER(AR147),ISNUMBER(AR138)),IFERROR(AR147/AR138,""),"")</f>
        <v>0.0672459622705653</v>
      </c>
      <c r="AS235" s="190">
        <f>IF(AND(ISNUMBER(AS147),ISNUMBER(AS138)),IFERROR(AS147/AS138,""),"")</f>
        <v>0.0529908696275054</v>
      </c>
      <c r="AT235" s="190">
        <f>IF(AND(ISNUMBER(AT147),ISNUMBER(AT138)),IFERROR(AT147/AT138,""),"")</f>
        <v>0.0848169014084508</v>
      </c>
      <c r="AU235" s="190">
        <f>IF(AND(ISNUMBER(AU147),ISNUMBER(AU138)),IFERROR(AU147/AU138,""),"")</f>
        <v>0.107627697140159</v>
      </c>
      <c r="AV235" s="190">
        <f>IF(AND(ISNUMBER(AV147),ISNUMBER(AV138)),IFERROR(AV147/AV138,""),"")</f>
        <v>0.077545560732991</v>
      </c>
      <c r="AW235" s="190">
        <f>IF(AND(ISNUMBER(AW147),ISNUMBER(AW138)),IFERROR(AW147/AW138,""),"")</f>
        <v>0.0799390095152917</v>
      </c>
      <c r="AX235" s="190">
        <f>IF(AND(ISNUMBER(AX147),ISNUMBER(AX138)),IFERROR(AX147/AX138,""),"")</f>
        <v>0.0629278300509314</v>
      </c>
      <c r="AY235" s="190">
        <f>IF(AND(ISNUMBER(AY147),ISNUMBER(AY138)),IFERROR(AY147/AY138,""),"")</f>
        <v>0.118732851354298</v>
      </c>
      <c r="AZ235" s="190">
        <f>IF(AND(ISNUMBER(AZ147),ISNUMBER(AZ138)),IFERROR(AZ147/AZ138,""),"")</f>
        <v>0.110178995017231</v>
      </c>
      <c r="BA235" s="190">
        <f>IF(AND(ISNUMBER(BA147),ISNUMBER(BA138)),IFERROR(BA147/BA138,""),"")</f>
        <v>0.0734250960936363</v>
      </c>
      <c r="BB235" s="190">
        <f>IF(AND(ISNUMBER(BB147),ISNUMBER(BB138)),IFERROR(BB147/BB138,""),"")</f>
        <v>0.0914153111521387</v>
      </c>
      <c r="BC235" s="190">
        <f>IF(AND(ISNUMBER(BC147),ISNUMBER(BC138)),IFERROR(BC147/BC138,""),"")</f>
        <v>0.0744951924927444</v>
      </c>
      <c r="BD235" s="190">
        <f>IF(AND(ISNUMBER(BD147),ISNUMBER(BD138)),IFERROR(BD147/BD138,""),"")</f>
        <v>0.155694265036363</v>
      </c>
      <c r="BE235" s="190">
        <f>IF(AND(ISNUMBER(BE147),ISNUMBER(BE138)),IFERROR(BE147/BE138,""),"")</f>
        <v>0.153392375829551</v>
      </c>
      <c r="BF235" s="190">
        <f>IF(AND(ISNUMBER(BF147),ISNUMBER(BF138)),IFERROR(BF147/BF138,""),"")</f>
        <v>0.0996770200720133</v>
      </c>
      <c r="BG235" s="190">
        <f>IF(AND(ISNUMBER(BG147),ISNUMBER(BG138)),IFERROR(BG147/BG138,""),"")</f>
        <v>0.122855724407033</v>
      </c>
      <c r="BH235" s="190">
        <f>IF(AND(ISNUMBER(BH147),ISNUMBER(BH138)),IFERROR(BH147/BH138,""),"")</f>
        <v>0.0925165999050013</v>
      </c>
      <c r="BI235" s="190">
        <f>IF(AND(ISNUMBER(BI147),ISNUMBER(BI138)),IFERROR(BI147/BI138,""),"")</f>
        <v>0.135791544459547</v>
      </c>
      <c r="BJ235" s="190">
        <f>IF(AND(ISNUMBER(BJ147),ISNUMBER(BJ138)),IFERROR(BJ147/BJ138,""),"")</f>
        <v>0.113032475748629</v>
      </c>
      <c r="BK235" s="190">
        <f>IF(AND(ISNUMBER(BK147),ISNUMBER(BK138)),IFERROR(BK147/BK138,""),"")</f>
        <v>0.110070551626887</v>
      </c>
      <c r="BL235" s="190">
        <f>IF(AND(ISNUMBER(BL147),ISNUMBER(BL138)),IFERROR(BL147/BL138,""),"")</f>
        <v>0.113222738055799</v>
      </c>
      <c r="BM235" s="190">
        <f>IF(AND(ISNUMBER(BM147),ISNUMBER(BM138)),IFERROR(BM147/BM138,""),"")</f>
        <v>0.0911421919887847</v>
      </c>
      <c r="BN235" s="190">
        <f>IF(AND(ISNUMBER(BN147),ISNUMBER(BN138)),IFERROR(BN147/BN138,""),"")</f>
        <v>0.13878428743385</v>
      </c>
      <c r="BO235" s="190">
        <f>IF(AND(ISNUMBER(BO147),ISNUMBER(BO138)),IFERROR(BO147/BO138,""),"")</f>
        <v>0.1257311585684</v>
      </c>
      <c r="BP235" s="190">
        <f>IF(AND(ISNUMBER(BP147),ISNUMBER(BP138)),IFERROR(BP147/BP138,""),"")</f>
        <v>0.0957071264663382</v>
      </c>
      <c r="BQ235" s="190">
        <f>IF(AND(ISNUMBER(BQ147),ISNUMBER(BQ138)),IFERROR(BQ147/BQ138,""),"")</f>
        <v>0.113792438376408</v>
      </c>
      <c r="BR235" s="190">
        <f>IF(AND(ISNUMBER(BR147),ISNUMBER(BR138)),IFERROR(BR147/BR138,""),"")</f>
        <v>0.07794895073152</v>
      </c>
      <c r="BS235" s="190">
        <f>IF(AND(ISNUMBER(BS147),ISNUMBER(BS138)),IFERROR(BS147/BS138,""),"")</f>
        <v>0.135688910052173</v>
      </c>
      <c r="BT235" s="190">
        <f>IF(AND(ISNUMBER(BT147),ISNUMBER(BT138)),IFERROR(BT147/BT138,""),"")</f>
        <v>0.124575221530242</v>
      </c>
      <c r="BU235" s="190">
        <f>IF(AND(ISNUMBER(BU147),ISNUMBER(BU138)),IFERROR(BU147/BU138,""),"")</f>
        <v>0.105652078821308</v>
      </c>
      <c r="BV235" s="190">
        <f>IF(AND(ISNUMBER(BV147),ISNUMBER(BV138)),IFERROR(BV147/BV138,""),"")</f>
        <v>0.111654816736052</v>
      </c>
      <c r="BW235" s="190">
        <f>IF(AND(ISNUMBER(BW147),ISNUMBER(BW138)),IFERROR(BW147/BW138,""),"")</f>
        <v>0.0814881705636788</v>
      </c>
      <c r="BX235" s="190">
        <f>IF(AND(ISNUMBER(BX147),ISNUMBER(BX138)),IFERROR(BX147/BX138,""),"")</f>
        <v>0.154983415033386</v>
      </c>
      <c r="BY235" s="179">
        <f>IF(AND(ISNUMBER(BY147),ISNUMBER(BY138)),IFERROR(BY147/BY138,""),"")</f>
        <v>0.149339772188364</v>
      </c>
      <c r="BZ235" s="179">
        <f>IF(AND(ISNUMBER(BZ147),ISNUMBER(BZ138)),IFERROR(BZ147/BZ138,""),"")</f>
        <v>0.11067733121299</v>
      </c>
      <c r="CA235" s="179">
        <f>IF(AND(ISNUMBER(CA147),ISNUMBER(CA138)),IFERROR(CA147/CA138,""),"")</f>
        <v>0.125954831942858</v>
      </c>
      <c r="CB235" s="179">
        <f>IF(AND(ISNUMBER(CB147),ISNUMBER(CB138)),IFERROR(CB147/CB138,""),"")</f>
        <v>0.127874702077911</v>
      </c>
      <c r="CC235" s="179">
        <f>IF(AND(ISNUMBER(CC147),ISNUMBER(CC138)),IFERROR(CC147/CC138,""),"")</f>
        <v>0.132863992634751</v>
      </c>
      <c r="CD235" s="179">
        <f>IF(AND(ISNUMBER(CD147),ISNUMBER(CD138)),IFERROR(CD147/CD138,""),"")</f>
        <v>0.135690963109754</v>
      </c>
      <c r="CE235" s="179">
        <f>IF(AND(ISNUMBER(CE147),ISNUMBER(CE138)),IFERROR(CE147/CE138,""),"")</f>
        <v>0.137094730872657</v>
      </c>
      <c r="CF235" s="20" t="n"/>
      <c r="CH235" s="39">
        <f>IFERROR(AVERAGE(CA235,CB235,CC235,CD235,CE235),"n/m")</f>
        <v>0.131895844127586</v>
      </c>
      <c r="CI235" s="39">
        <f>IFERROR(AVERAGE(BB235,BG235,BL235,BQ235,BV235),"n/m")</f>
        <v>0.110588205745486</v>
      </c>
      <c r="CJ235" s="39">
        <f>IFERROR(AVERAGE(AC235,AH235,AM235,AR235,AW235,BB235,BG235,BL235,BQ235,BV235),"n/m")</f>
        <v>0.082393591156844</v>
      </c>
      <c r="CK235" s="39">
        <f>IFERROR(AVERAGE(C235,D235,E235,F235,G235,H235,I235,N235,S235,X235,AC235,AH235,AM235,AR235,AW235,BB235,BG235,BL235,BQ235,BV235),"n/m")</f>
        <v>0.0831133563352334</v>
      </c>
    </row>
    <row r="236" ht="15" customHeight="1">
      <c r="B236" s="26" t="inlineStr">
        <is>
          <t xml:space="preserve">  Net margin %</t>
        </is>
      </c>
      <c r="C236" s="190">
        <f>IF(AND(ISNUMBER(C157),ISNUMBER(C138)),IFERROR(C157/C138,""),"")</f>
        <v>0.0562478835491058</v>
      </c>
      <c r="D236" s="190">
        <f>IF(AND(ISNUMBER(D157),ISNUMBER(D138)),IFERROR(D157/D138,""),"")</f>
        <v>0.0466756854085416</v>
      </c>
      <c r="E236" s="190">
        <f>IF(AND(ISNUMBER(E157),ISNUMBER(E138)),IFERROR(E157/E138,""),"")</f>
        <v>0.0557730425443357</v>
      </c>
      <c r="F236" s="190">
        <f>IF(AND(ISNUMBER(F157),ISNUMBER(F138)),IFERROR(F157/F138,""),"")</f>
        <v>0.0341512911694067</v>
      </c>
      <c r="G236" s="190">
        <f>IF(AND(ISNUMBER(G157),ISNUMBER(G138)),IFERROR(G157/G138,""),"")</f>
        <v>0.0753879869042145</v>
      </c>
      <c r="H236" s="190">
        <f>IF(AND(ISNUMBER(H157),ISNUMBER(H138)),IFERROR(H157/H138,""),"")</f>
        <v>0.0641347165718479</v>
      </c>
      <c r="I236" s="190">
        <f>IF(AND(ISNUMBER(I157),ISNUMBER(I138)),IFERROR(I157/I138,""),"")</f>
        <v>0.0592684884373565</v>
      </c>
      <c r="J236" s="190">
        <f>IF(AND(ISNUMBER(J157),ISNUMBER(J138)),IFERROR(J157/J138,""),"")</f>
        <v>0.0121809912974693</v>
      </c>
      <c r="K236" s="190">
        <f>IF(AND(ISNUMBER(K157),ISNUMBER(K138)),IFERROR(K157/K138,""),"")</f>
        <v>0.0266138928657754</v>
      </c>
      <c r="L236" s="190">
        <f>IF(AND(ISNUMBER(L157),ISNUMBER(L138)),IFERROR(L157/L138,""),"")</f>
        <v>0.03896378652063</v>
      </c>
      <c r="M236" s="190">
        <f>IF(AND(ISNUMBER(M157),ISNUMBER(M138)),IFERROR(M157/M138,""),"")</f>
        <v>0.030475421579887</v>
      </c>
      <c r="N236" s="190">
        <f>IF(AND(ISNUMBER(N157),ISNUMBER(N138)),IFERROR(N157/N138,""),"")</f>
        <v>0.0272294492679625</v>
      </c>
      <c r="O236" s="190">
        <f>IF(AND(ISNUMBER(O157),ISNUMBER(O138)),IFERROR(O157/O138,""),"")</f>
        <v>0.0105826729989476</v>
      </c>
      <c r="P236" s="190">
        <f>IF(AND(ISNUMBER(P157),ISNUMBER(P138)),IFERROR(P157/P138,""),"")</f>
        <v>0.0333985649054142</v>
      </c>
      <c r="Q236" s="190">
        <f>IF(AND(ISNUMBER(Q157),ISNUMBER(Q138)),IFERROR(Q157/Q138,""),"")</f>
        <v>-0.109619303200954</v>
      </c>
      <c r="R236" s="190">
        <f>IF(AND(ISNUMBER(R157),ISNUMBER(R138)),IFERROR(R157/R138,""),"")</f>
        <v>0.0323978963911084</v>
      </c>
      <c r="S236" s="190">
        <f>IF(AND(ISNUMBER(S157),ISNUMBER(S138)),IFERROR(S157/S138,""),"")</f>
        <v>-0.00832775758487974</v>
      </c>
      <c r="T236" s="190">
        <f>IF(AND(ISNUMBER(T157),ISNUMBER(T138)),IFERROR(T157/T138,""),"")</f>
        <v>-0.00967782891171172</v>
      </c>
      <c r="U236" s="190">
        <f>IF(AND(ISNUMBER(U157),ISNUMBER(U138)),IFERROR(U157/U138,""),"")</f>
        <v>0.0111030646381009</v>
      </c>
      <c r="V236" s="190">
        <f>IF(AND(ISNUMBER(V157),ISNUMBER(V138)),IFERROR(V157/V138,""),"")</f>
        <v>0.0450296966752709</v>
      </c>
      <c r="W236" s="190">
        <f>IF(AND(ISNUMBER(W157),ISNUMBER(W138)),IFERROR(W157/W138,""),"")</f>
        <v>0.000796584782986675</v>
      </c>
      <c r="X236" s="190">
        <f>IF(AND(ISNUMBER(X157),ISNUMBER(X138)),IFERROR(X157/X138,""),"")</f>
        <v>0.0134656962441572</v>
      </c>
      <c r="Y236" s="190">
        <f>IF(AND(ISNUMBER(Y157),ISNUMBER(Y138)),IFERROR(Y157/Y138,""),"")</f>
        <v>-0.0328117556985488</v>
      </c>
      <c r="Z236" s="190">
        <f>IF(AND(ISNUMBER(Z157),ISNUMBER(Z138)),IFERROR(Z157/Z138,""),"")</f>
        <v>0.00568593998652346</v>
      </c>
      <c r="AA236" s="190">
        <f>IF(AND(ISNUMBER(AA157),ISNUMBER(AA138)),IFERROR(AA157/AA138,""),"")</f>
        <v>-0.0140571882881895</v>
      </c>
      <c r="AB236" s="190">
        <f>IF(AND(ISNUMBER(AB157),ISNUMBER(AB138)),IFERROR(AB157/AB138,""),"")</f>
        <v>-0.0183683878210638</v>
      </c>
      <c r="AC236" s="190">
        <f>IF(AND(ISNUMBER(AC157),ISNUMBER(AC138)),IFERROR(AC157/AC138,""),"")</f>
        <v>-0.014471771099721</v>
      </c>
      <c r="AD236" s="190">
        <f>IF(AND(ISNUMBER(AD157),ISNUMBER(AD138)),IFERROR(AD157/AD138,""),"")</f>
        <v>-0.0310520059047146</v>
      </c>
      <c r="AE236" s="190">
        <f>IF(AND(ISNUMBER(AE157),ISNUMBER(AE138)),IFERROR(AE157/AE138,""),"")</f>
        <v>0.0343788689511523</v>
      </c>
      <c r="AF236" s="190">
        <f>IF(AND(ISNUMBER(AF157),ISNUMBER(AF138)),IFERROR(AF157/AF138,""),"")</f>
        <v>0.0159529851318919</v>
      </c>
      <c r="AG236" s="190">
        <f>IF(AND(ISNUMBER(AG157),ISNUMBER(AG138)),IFERROR(AG157/AG138,""),"")</f>
        <v>0.11264873167488</v>
      </c>
      <c r="AH236" s="190">
        <f>IF(AND(ISNUMBER(AH157),ISNUMBER(AH138)),IFERROR(AH157/AH138,""),"")</f>
        <v>0.0342070467079891</v>
      </c>
      <c r="AI236" s="190">
        <f>IF(AND(ISNUMBER(AI157),ISNUMBER(AI138)),IFERROR(AI157/AI138,""),"")</f>
        <v>-0.0168463198440071</v>
      </c>
      <c r="AJ236" s="190">
        <f>IF(AND(ISNUMBER(AJ157),ISNUMBER(AJ138)),IFERROR(AJ157/AJ138,""),"")</f>
        <v>0.0362095767482394</v>
      </c>
      <c r="AK236" s="190">
        <f>IF(AND(ISNUMBER(AK157),ISNUMBER(AK138)),IFERROR(AK157/AK138,""),"")</f>
        <v>0.0368710869908123</v>
      </c>
      <c r="AL236" s="190">
        <f>IF(AND(ISNUMBER(AL157),ISNUMBER(AL138)),IFERROR(AL157/AL138,""),"")</f>
        <v>0.0191457975026917</v>
      </c>
      <c r="AM236" s="190">
        <f>IF(AND(ISNUMBER(AM157),ISNUMBER(AM138)),IFERROR(AM157/AM138,""),"")</f>
        <v>0.0198878709015505</v>
      </c>
      <c r="AN236" s="190">
        <f>IF(AND(ISNUMBER(AN157),ISNUMBER(AN138)),IFERROR(AN157/AN138,""),"")</f>
        <v>0.00124993756715536</v>
      </c>
      <c r="AO236" s="190">
        <f>IF(AND(ISNUMBER(AO157),ISNUMBER(AO138)),IFERROR(AO157/AO138,""),"")</f>
        <v>0.0417231701505046</v>
      </c>
      <c r="AP236" s="190">
        <f>IF(AND(ISNUMBER(AP157),ISNUMBER(AP138)),IFERROR(AP157/AP138,""),"")</f>
        <v>0.0407876025605943</v>
      </c>
      <c r="AQ236" s="190">
        <f>IF(AND(ISNUMBER(AQ157),ISNUMBER(AQ138)),IFERROR(AQ157/AQ138,""),"")</f>
        <v>0.0277277397948346</v>
      </c>
      <c r="AR236" s="190">
        <f>IF(AND(ISNUMBER(AR157),ISNUMBER(AR138)),IFERROR(AR157/AR138,""),"")</f>
        <v>0.0286443603668026</v>
      </c>
      <c r="AS236" s="190">
        <f>IF(AND(ISNUMBER(AS157),ISNUMBER(AS138)),IFERROR(AS157/AS138,""),"")</f>
        <v>0.0134783353114448</v>
      </c>
      <c r="AT236" s="190">
        <f>IF(AND(ISNUMBER(AT157),ISNUMBER(AT138)),IFERROR(AT157/AT138,""),"")</f>
        <v>0.0408774647887324</v>
      </c>
      <c r="AU236" s="190">
        <f>IF(AND(ISNUMBER(AU157),ISNUMBER(AU138)),IFERROR(AU157/AU138,""),"")</f>
        <v>0.0704566917818063</v>
      </c>
      <c r="AV236" s="190">
        <f>IF(AND(ISNUMBER(AV157),ISNUMBER(AV138)),IFERROR(AV157/AV138,""),"")</f>
        <v>0.0494002687800652</v>
      </c>
      <c r="AW236" s="190">
        <f>IF(AND(ISNUMBER(AW157),ISNUMBER(AW138)),IFERROR(AW157/AW138,""),"")</f>
        <v>0.0428857633845266</v>
      </c>
      <c r="AX236" s="190">
        <f>IF(AND(ISNUMBER(AX157),ISNUMBER(AX138)),IFERROR(AX157/AX138,""),"")</f>
        <v>0.0268960635923124</v>
      </c>
      <c r="AY236" s="190">
        <f>IF(AND(ISNUMBER(AY157),ISNUMBER(AY138)),IFERROR(AY157/AY138,""),"")</f>
        <v>0.0723993964108465</v>
      </c>
      <c r="AZ236" s="190">
        <f>IF(AND(ISNUMBER(AZ157),ISNUMBER(AZ138)),IFERROR(AZ157/AZ138,""),"")</f>
        <v>0.0687802883721029</v>
      </c>
      <c r="BA236" s="190">
        <f>IF(AND(ISNUMBER(BA157),ISNUMBER(BA138)),IFERROR(BA157/BA138,""),"")</f>
        <v>0.0437640299388735</v>
      </c>
      <c r="BB236" s="190">
        <f>IF(AND(ISNUMBER(BB157),ISNUMBER(BB138)),IFERROR(BB157/BB138,""),"")</f>
        <v>0.0534078242237817</v>
      </c>
      <c r="BC236" s="190">
        <f>IF(AND(ISNUMBER(BC157),ISNUMBER(BC138)),IFERROR(BC157/BC138,""),"")</f>
        <v>0.0387594313276178</v>
      </c>
      <c r="BD236" s="190">
        <f>IF(AND(ISNUMBER(BD157),ISNUMBER(BD138)),IFERROR(BD157/BD138,""),"")</f>
        <v>0.109235190723078</v>
      </c>
      <c r="BE236" s="190">
        <f>IF(AND(ISNUMBER(BE157),ISNUMBER(BE138)),IFERROR(BE157/BE138,""),"")</f>
        <v>0.0996261424444239</v>
      </c>
      <c r="BF236" s="190">
        <f>IF(AND(ISNUMBER(BF157),ISNUMBER(BF138)),IFERROR(BF157/BF138,""),"")</f>
        <v>0.0645286981123513</v>
      </c>
      <c r="BG236" s="190">
        <f>IF(AND(ISNUMBER(BG157),ISNUMBER(BG138)),IFERROR(BG157/BG138,""),"")</f>
        <v>0.0796933382753278</v>
      </c>
      <c r="BH236" s="190">
        <f>IF(AND(ISNUMBER(BH157),ISNUMBER(BH138)),IFERROR(BH157/BH138,""),"")</f>
        <v>0.0553783998158158</v>
      </c>
      <c r="BI236" s="190">
        <f>IF(AND(ISNUMBER(BI157),ISNUMBER(BI138)),IFERROR(BI157/BI138,""),"")</f>
        <v>0.0828142213319981</v>
      </c>
      <c r="BJ236" s="190">
        <f>IF(AND(ISNUMBER(BJ157),ISNUMBER(BJ138)),IFERROR(BJ157/BJ138,""),"")</f>
        <v>0.066881648624584</v>
      </c>
      <c r="BK236" s="190">
        <f>IF(AND(ISNUMBER(BK157),ISNUMBER(BK138)),IFERROR(BK157/BK138,""),"")</f>
        <v>0.0734952012787623</v>
      </c>
      <c r="BL236" s="190">
        <f>IF(AND(ISNUMBER(BL157),ISNUMBER(BL138)),IFERROR(BL157/BL138,""),"")</f>
        <v>0.0698549421425023</v>
      </c>
      <c r="BM236" s="190">
        <f>IF(AND(ISNUMBER(BM157),ISNUMBER(BM138)),IFERROR(BM157/BM138,""),"")</f>
        <v>0.050724379764581</v>
      </c>
      <c r="BN236" s="190">
        <f>IF(AND(ISNUMBER(BN157),ISNUMBER(BN138)),IFERROR(BN157/BN138,""),"")</f>
        <v>0.0858365228995074</v>
      </c>
      <c r="BO236" s="190">
        <f>IF(AND(ISNUMBER(BO157),ISNUMBER(BO138)),IFERROR(BO157/BO138,""),"")</f>
        <v>0.0753310727843591</v>
      </c>
      <c r="BP236" s="190">
        <f>IF(AND(ISNUMBER(BP157),ISNUMBER(BP138)),IFERROR(BP157/BP138,""),"")</f>
        <v>0.0586772840217006</v>
      </c>
      <c r="BQ236" s="190">
        <f>IF(AND(ISNUMBER(BQ157),ISNUMBER(BQ138)),IFERROR(BQ157/BQ138,""),"")</f>
        <v>0.0683025939769968</v>
      </c>
      <c r="BR236" s="190">
        <f>IF(AND(ISNUMBER(BR157),ISNUMBER(BR138)),IFERROR(BR157/BR138,""),"")</f>
        <v>0.0409790844652397</v>
      </c>
      <c r="BS236" s="190">
        <f>IF(AND(ISNUMBER(BS157),ISNUMBER(BS138)),IFERROR(BS157/BS138,""),"")</f>
        <v>0.0818819062956898</v>
      </c>
      <c r="BT236" s="190">
        <f>IF(AND(ISNUMBER(BT157),ISNUMBER(BT138)),IFERROR(BT157/BT138,""),"")</f>
        <v>0.0766773142318295</v>
      </c>
      <c r="BU236" s="190">
        <f>IF(AND(ISNUMBER(BU157),ISNUMBER(BU138)),IFERROR(BU157/BU138,""),"")</f>
        <v>0.0577383683093106</v>
      </c>
      <c r="BV236" s="190">
        <f>IF(AND(ISNUMBER(BV157),ISNUMBER(BV138)),IFERROR(BV157/BV138,""),"")</f>
        <v>0.0648291439480125</v>
      </c>
      <c r="BW236" s="190">
        <f>IF(AND(ISNUMBER(BW157),ISNUMBER(BW138)),IFERROR(BW157/BW138,""),"")</f>
        <v>0.0433020882649772</v>
      </c>
      <c r="BX236" s="190">
        <f>IF(AND(ISNUMBER(BX157),ISNUMBER(BX138)),IFERROR(BX157/BX138,""),"")</f>
        <v>0.0982498609514095</v>
      </c>
      <c r="BY236" s="179">
        <f>IF(AND(ISNUMBER(BY157),ISNUMBER(BY138)),IFERROR(BY157/BY138,""),"")</f>
        <v>0.0934724219071864</v>
      </c>
      <c r="BZ236" s="179">
        <f>IF(AND(ISNUMBER(BZ157),ISNUMBER(BZ138)),IFERROR(BZ157/BZ138,""),"")</f>
        <v>0.0604403650182183</v>
      </c>
      <c r="CA236" s="179">
        <f>IF(AND(ISNUMBER(CA157),ISNUMBER(CA138)),IFERROR(CA157/CA138,""),"")</f>
        <v>0.0752080154397196</v>
      </c>
      <c r="CB236" s="179">
        <f>IF(AND(ISNUMBER(CB157),ISNUMBER(CB138)),IFERROR(CB157/CB138,""),"")</f>
        <v>0.0770095633022447</v>
      </c>
      <c r="CC236" s="179">
        <f>IF(AND(ISNUMBER(CC157),ISNUMBER(CC138)),IFERROR(CC157/CC138,""),"")</f>
        <v>0.0817090044330688</v>
      </c>
      <c r="CD236" s="179">
        <f>IF(AND(ISNUMBER(CD157),ISNUMBER(CD138)),IFERROR(CD157/CD138,""),"")</f>
        <v>0.0840617926433713</v>
      </c>
      <c r="CE236" s="179">
        <f>IF(AND(ISNUMBER(CE157),ISNUMBER(CE138)),IFERROR(CE157/CE138,""),"")</f>
        <v>0.0849218540006549</v>
      </c>
      <c r="CF236" s="20" t="n"/>
      <c r="CH236" s="39">
        <f>IFERROR(AVERAGE(CA236,CB236,CC236,CD236,CE236),"n/m")</f>
        <v>0.0805820459638119</v>
      </c>
      <c r="CI236" s="39">
        <f>IFERROR(AVERAGE(BB236,BG236,BL236,BQ236,BV236),"n/m")</f>
        <v>0.0672175685133242</v>
      </c>
      <c r="CJ236" s="39">
        <f>IFERROR(AVERAGE(AC236,AH236,AM236,AR236,AW236,BB236,BG236,BL236,BQ236,BV236),"n/m")</f>
        <v>0.0447241112827769</v>
      </c>
      <c r="CK236" s="39">
        <f>IFERROR(AVERAGE(C236,D236,E236,F236,G236,H236,I236,N236,S236,X236,AC236,AH236,AM236,AR236,AW236,BB236,BG236,BL236,BQ236,BV236),"n/m")</f>
        <v>0.0435623797669909</v>
      </c>
    </row>
    <row r="237" ht="15" customHeight="1">
      <c r="B237" s="26" t="inlineStr">
        <is>
          <t xml:space="preserve">  SG&amp;A % of revenues</t>
        </is>
      </c>
      <c r="C237" s="190">
        <f>IF(AND(ISNUMBER(C143),ISNUMBER(C138)),IFERROR(C143/C138,""),"")</f>
        <v>0.150684073081878</v>
      </c>
      <c r="D237" s="190">
        <f>IF(AND(ISNUMBER(D143),ISNUMBER(D138)),IFERROR(D143/D138,""),"")</f>
        <v>0.157542846944347</v>
      </c>
      <c r="E237" s="190">
        <f>IF(AND(ISNUMBER(E143),ISNUMBER(E138)),IFERROR(E143/E138,""),"")</f>
        <v>0.15491606295836</v>
      </c>
      <c r="F237" s="190">
        <f>IF(AND(ISNUMBER(F143),ISNUMBER(F138)),IFERROR(F143/F138,""),"")</f>
        <v>0.151884157807525</v>
      </c>
      <c r="G237" s="190">
        <f>IF(AND(ISNUMBER(G143),ISNUMBER(G138)),IFERROR(G143/G138,""),"")</f>
        <v>0.118880989623646</v>
      </c>
      <c r="H237" s="190">
        <f>IF(AND(ISNUMBER(H143),ISNUMBER(H138)),IFERROR(H143/H138,""),"")</f>
        <v>0.128084465984187</v>
      </c>
      <c r="I237" s="190">
        <f>IF(AND(ISNUMBER(I143),ISNUMBER(I138)),IFERROR(I143/I138,""),"")</f>
        <v>0.125014397314695</v>
      </c>
      <c r="J237" s="190">
        <f>IF(AND(ISNUMBER(J143),ISNUMBER(J138)),IFERROR(J143/J138,""),"")</f>
        <v>0.149008946104159</v>
      </c>
      <c r="K237" s="190">
        <f>IF(AND(ISNUMBER(K143),ISNUMBER(K138)),IFERROR(K143/K138,""),"")</f>
        <v>0.142484614097391</v>
      </c>
      <c r="L237" s="190">
        <f>IF(AND(ISNUMBER(L143),ISNUMBER(L138)),IFERROR(L143/L138,""),"")</f>
        <v>0.126126265102723</v>
      </c>
      <c r="M237" s="190">
        <f>IF(AND(ISNUMBER(M143),ISNUMBER(M138)),IFERROR(M143/M138,""),"")</f>
        <v>0.119317057639607</v>
      </c>
      <c r="N237" s="190">
        <f>IF(AND(ISNUMBER(N143),ISNUMBER(N138)),IFERROR(N143/N138,""),"")</f>
        <v>0.134052169215444</v>
      </c>
      <c r="O237" s="190">
        <f>IF(AND(ISNUMBER(O143),ISNUMBER(O138)),IFERROR(O143/O138,""),"")</f>
        <v>0.14050624389518</v>
      </c>
      <c r="P237" s="190">
        <f>IF(AND(ISNUMBER(P143),ISNUMBER(P138)),IFERROR(P143/P138,""),"")</f>
        <v>0.134809197651663</v>
      </c>
      <c r="Q237" s="190">
        <f>IF(AND(ISNUMBER(Q143),ISNUMBER(Q138)),IFERROR(Q143/Q138,""),"")</f>
        <v>0.117093480060836</v>
      </c>
      <c r="R237" s="190">
        <f>IF(AND(ISNUMBER(R143),ISNUMBER(R138)),IFERROR(R143/R138,""),"")</f>
        <v>0.122513680084826</v>
      </c>
      <c r="S237" s="190">
        <f>IF(AND(ISNUMBER(S143),ISNUMBER(S138)),IFERROR(S143/S138,""),"")</f>
        <v>0.128738348253605</v>
      </c>
      <c r="T237" s="190">
        <f>IF(AND(ISNUMBER(T143),ISNUMBER(T138)),IFERROR(T143/T138,""),"")</f>
        <v>0.147051395292007</v>
      </c>
      <c r="U237" s="190">
        <f>IF(AND(ISNUMBER(U143),ISNUMBER(U138)),IFERROR(U143/U138,""),"")</f>
        <v>0.128620378796618</v>
      </c>
      <c r="V237" s="190">
        <f>IF(AND(ISNUMBER(V143),ISNUMBER(V138)),IFERROR(V143/V138,""),"")</f>
        <v>0.104227158857624</v>
      </c>
      <c r="W237" s="190">
        <f>IF(AND(ISNUMBER(W143),ISNUMBER(W138)),IFERROR(W143/W138,""),"")</f>
        <v>0.130311733918244</v>
      </c>
      <c r="X237" s="190">
        <f>IF(AND(ISNUMBER(X143),ISNUMBER(X138)),IFERROR(X143/X138,""),"")</f>
        <v>0.126457000119384</v>
      </c>
      <c r="Y237" s="190">
        <f>IF(AND(ISNUMBER(Y143),ISNUMBER(Y138)),IFERROR(Y143/Y138,""),"")</f>
        <v>0.1642615822149</v>
      </c>
      <c r="Z237" s="190">
        <f>IF(AND(ISNUMBER(Z143),ISNUMBER(Z138)),IFERROR(Z143/Z138,""),"")</f>
        <v>0.153493139883299</v>
      </c>
      <c r="AA237" s="190">
        <f>IF(AND(ISNUMBER(AA143),ISNUMBER(AA138)),IFERROR(AA143/AA138,""),"")</f>
        <v>0.152091786380086</v>
      </c>
      <c r="AB237" s="190">
        <f>IF(AND(ISNUMBER(AB143),ISNUMBER(AB138)),IFERROR(AB143/AB138,""),"")</f>
        <v>0.143782879385303</v>
      </c>
      <c r="AC237" s="190">
        <f>IF(AND(ISNUMBER(AC143),ISNUMBER(AC138)),IFERROR(AC143/AC138,""),"")</f>
        <v>0.153168923347849</v>
      </c>
      <c r="AD237" s="190">
        <f>IF(AND(ISNUMBER(AD143),ISNUMBER(AD138)),IFERROR(AD143/AD138,""),"")</f>
        <v>0.162889129838404</v>
      </c>
      <c r="AE237" s="190">
        <f>IF(AND(ISNUMBER(AE143),ISNUMBER(AE138)),IFERROR(AE143/AE138,""),"")</f>
        <v>0.149170815687816</v>
      </c>
      <c r="AF237" s="190">
        <f>IF(AND(ISNUMBER(AF143),ISNUMBER(AF138)),IFERROR(AF143/AF138,""),"")</f>
        <v>0.149834754698708</v>
      </c>
      <c r="AG237" s="190">
        <f>IF(AND(ISNUMBER(AG143),ISNUMBER(AG138)),IFERROR(AG143/AG138,""),"")</f>
        <v>0.159058767492236</v>
      </c>
      <c r="AH237" s="190">
        <f>IF(AND(ISNUMBER(AH143),ISNUMBER(AH138)),IFERROR(AH143/AH138,""),"")</f>
        <v>0.155059901975499</v>
      </c>
      <c r="AI237" s="190">
        <f>IF(AND(ISNUMBER(AI143),ISNUMBER(AI138)),IFERROR(AI143/AI138,""),"")</f>
        <v>0.153496101512714</v>
      </c>
      <c r="AJ237" s="190">
        <f>IF(AND(ISNUMBER(AJ143),ISNUMBER(AJ138)),IFERROR(AJ143/AJ138,""),"")</f>
        <v>0.14837953694326</v>
      </c>
      <c r="AK237" s="190">
        <f>IF(AND(ISNUMBER(AK143),ISNUMBER(AK138)),IFERROR(AK143/AK138,""),"")</f>
        <v>0.143763913086277</v>
      </c>
      <c r="AL237" s="190">
        <f>IF(AND(ISNUMBER(AL143),ISNUMBER(AL138)),IFERROR(AL143/AL138,""),"")</f>
        <v>0.164815125541247</v>
      </c>
      <c r="AM237" s="190">
        <f>IF(AND(ISNUMBER(AM143),ISNUMBER(AM138)),IFERROR(AM143/AM138,""),"")</f>
        <v>0.152636591246319</v>
      </c>
      <c r="AN237" s="190">
        <f>IF(AND(ISNUMBER(AN143),ISNUMBER(AN138)),IFERROR(AN143/AN138,""),"")</f>
        <v>0.147036713074014</v>
      </c>
      <c r="AO237" s="190">
        <f>IF(AND(ISNUMBER(AO143),ISNUMBER(AO138)),IFERROR(AO143/AO138,""),"")</f>
        <v>0.14265354941647</v>
      </c>
      <c r="AP237" s="190">
        <f>IF(AND(ISNUMBER(AP143),ISNUMBER(AP138)),IFERROR(AP143/AP138,""),"")</f>
        <v>0.137159794901241</v>
      </c>
      <c r="AQ237" s="190">
        <f>IF(AND(ISNUMBER(AQ143),ISNUMBER(AQ138)),IFERROR(AQ143/AQ138,""),"")</f>
        <v>0.141240291387535</v>
      </c>
      <c r="AR237" s="190">
        <f>IF(AND(ISNUMBER(AR143),ISNUMBER(AR138)),IFERROR(AR143/AR138,""),"")</f>
        <v>0.141860212942421</v>
      </c>
      <c r="AS237" s="190">
        <f>IF(AND(ISNUMBER(AS143),ISNUMBER(AS138)),IFERROR(AS143/AS138,""),"")</f>
        <v>0.150608633262789</v>
      </c>
      <c r="AT237" s="190">
        <f>IF(AND(ISNUMBER(AT143),ISNUMBER(AT138)),IFERROR(AT143/AT138,""),"")</f>
        <v>0.146252112676056</v>
      </c>
      <c r="AU237" s="190">
        <f>IF(AND(ISNUMBER(AU143),ISNUMBER(AU138)),IFERROR(AU143/AU138,""),"")</f>
        <v>0.136709848282658</v>
      </c>
      <c r="AV237" s="190">
        <f>IF(AND(ISNUMBER(AV143),ISNUMBER(AV138)),IFERROR(AV143/AV138,""),"")</f>
        <v>0.13985857647044</v>
      </c>
      <c r="AW237" s="190">
        <f>IF(AND(ISNUMBER(AW143),ISNUMBER(AW138)),IFERROR(AW143/AW138,""),"")</f>
        <v>0.143457406053312</v>
      </c>
      <c r="AX237" s="190">
        <f>IF(AND(ISNUMBER(AX143),ISNUMBER(AX138)),IFERROR(AX143/AX138,""),"")</f>
        <v>0.150518221909848</v>
      </c>
      <c r="AY237" s="190">
        <f>IF(AND(ISNUMBER(AY143),ISNUMBER(AY138)),IFERROR(AY143/AY138,""),"")</f>
        <v>0.133957502660671</v>
      </c>
      <c r="AZ237" s="190">
        <f>IF(AND(ISNUMBER(AZ143),ISNUMBER(AZ138)),IFERROR(AZ143/AZ138,""),"")</f>
        <v>0.139954744140438</v>
      </c>
      <c r="BA237" s="190">
        <f>IF(AND(ISNUMBER(BA143),ISNUMBER(BA138)),IFERROR(BA143/BA138,""),"")</f>
        <v>0.142075658273789</v>
      </c>
      <c r="BB237" s="190">
        <f>IF(AND(ISNUMBER(BB143),ISNUMBER(BB138)),IFERROR(BB143/BB138,""),"")</f>
        <v>0.141361889400946</v>
      </c>
      <c r="BC237" s="190">
        <f>IF(AND(ISNUMBER(BC143),ISNUMBER(BC138)),IFERROR(BC143/BC138,""),"")</f>
        <v>0.129306163924835</v>
      </c>
      <c r="BD237" s="190">
        <f>IF(AND(ISNUMBER(BD143),ISNUMBER(BD138)),IFERROR(BD143/BD138,""),"")</f>
        <v>0.114728764473071</v>
      </c>
      <c r="BE237" s="190">
        <f>IF(AND(ISNUMBER(BE143),ISNUMBER(BE138)),IFERROR(BE143/BE138,""),"")</f>
        <v>0.111299653873637</v>
      </c>
      <c r="BF237" s="190">
        <f>IF(AND(ISNUMBER(BF143),ISNUMBER(BF138)),IFERROR(BF143/BF138,""),"")</f>
        <v>0.132148708471494</v>
      </c>
      <c r="BG237" s="190">
        <f>IF(AND(ISNUMBER(BG143),ISNUMBER(BG138)),IFERROR(BG143/BG138,""),"")</f>
        <v>0.121431965478298</v>
      </c>
      <c r="BH237" s="190">
        <f>IF(AND(ISNUMBER(BH143),ISNUMBER(BH138)),IFERROR(BH143/BH138,""),"")</f>
        <v>0.127546778421386</v>
      </c>
      <c r="BI237" s="190">
        <f>IF(AND(ISNUMBER(BI143),ISNUMBER(BI138)),IFERROR(BI143/BI138,""),"")</f>
        <v>0.119738178696616</v>
      </c>
      <c r="BJ237" s="190">
        <f>IF(AND(ISNUMBER(BJ143),ISNUMBER(BJ138)),IFERROR(BJ143/BJ138,""),"")</f>
        <v>0.125224793804771</v>
      </c>
      <c r="BK237" s="190">
        <f>IF(AND(ISNUMBER(BK143),ISNUMBER(BK138)),IFERROR(BK143/BK138,""),"")</f>
        <v>0.124055332323496</v>
      </c>
      <c r="BL237" s="190">
        <f>IF(AND(ISNUMBER(BL143),ISNUMBER(BL138)),IFERROR(BL143/BL138,""),"")</f>
        <v>0.124078783513571</v>
      </c>
      <c r="BM237" s="190">
        <f>IF(AND(ISNUMBER(BM143),ISNUMBER(BM138)),IFERROR(BM143/BM138,""),"")</f>
        <v>0.13210478718961</v>
      </c>
      <c r="BN237" s="190">
        <f>IF(AND(ISNUMBER(BN143),ISNUMBER(BN138)),IFERROR(BN143/BN138,""),"")</f>
        <v>0.127438383893029</v>
      </c>
      <c r="BO237" s="190">
        <f>IF(AND(ISNUMBER(BO143),ISNUMBER(BO138)),IFERROR(BO143/BO138,""),"")</f>
        <v>0.116283144874338</v>
      </c>
      <c r="BP237" s="190">
        <f>IF(AND(ISNUMBER(BP143),ISNUMBER(BP138)),IFERROR(BP143/BP138,""),"")</f>
        <v>0.127200730059618</v>
      </c>
      <c r="BQ237" s="190">
        <f>IF(AND(ISNUMBER(BQ143),ISNUMBER(BQ138)),IFERROR(BQ143/BQ138,""),"")</f>
        <v>0.125574707569773</v>
      </c>
      <c r="BR237" s="190">
        <f>IF(AND(ISNUMBER(BR143),ISNUMBER(BR138)),IFERROR(BR143/BR138,""),"")</f>
        <v>0.127690910995496</v>
      </c>
      <c r="BS237" s="190">
        <f>IF(AND(ISNUMBER(BS143),ISNUMBER(BS138)),IFERROR(BS143/BS138,""),"")</f>
        <v>0.12012937992869</v>
      </c>
      <c r="BT237" s="190">
        <f>IF(AND(ISNUMBER(BT143),ISNUMBER(BT138)),IFERROR(BT143/BT138,""),"")</f>
        <v>0.122381379906373</v>
      </c>
      <c r="BU237" s="190">
        <f>IF(AND(ISNUMBER(BU143),ISNUMBER(BU138)),IFERROR(BU143/BU138,""),"")</f>
        <v>0.129288869210827</v>
      </c>
      <c r="BV237" s="190">
        <f>IF(AND(ISNUMBER(BV143),ISNUMBER(BV138)),IFERROR(BV143/BV138,""),"")</f>
        <v>0.124781021274493</v>
      </c>
      <c r="BW237" s="190">
        <f>IF(AND(ISNUMBER(BW143),ISNUMBER(BW138)),IFERROR(BW143/BW138,""),"")</f>
        <v>0.141922404159675</v>
      </c>
      <c r="BX237" s="190">
        <f>IF(AND(ISNUMBER(BX143),ISNUMBER(BX138)),IFERROR(BX143/BX138,""),"")</f>
        <v>0.123673418808591</v>
      </c>
      <c r="BY237" s="179">
        <f>IF(AND(ISNUMBER(BY143),ISNUMBER(BY138)),IFERROR(BY143/BY138,""),"")</f>
        <v>0.130631829243653</v>
      </c>
      <c r="BZ237" s="179">
        <f>IF(AND(ISNUMBER(BZ143),ISNUMBER(BZ138)),IFERROR(BZ143/BZ138,""),"")</f>
        <v>0.137539318548107</v>
      </c>
      <c r="CA237" s="179">
        <f>IF(AND(ISNUMBER(CA143),ISNUMBER(CA138)),IFERROR(CA143/CA138,""),"")</f>
        <v>0.133059927285622</v>
      </c>
      <c r="CB237" s="179">
        <f>IF(AND(ISNUMBER(CB143),ISNUMBER(CB138)),IFERROR(CB143/CB138,""),"")</f>
        <v>0.128</v>
      </c>
      <c r="CC237" s="179">
        <f>IF(AND(ISNUMBER(CC143),ISNUMBER(CC138)),IFERROR(CC143/CC138,""),"")</f>
        <v>0.128</v>
      </c>
      <c r="CD237" s="179">
        <f>IF(AND(ISNUMBER(CD143),ISNUMBER(CD138)),IFERROR(CD143/CD138,""),"")</f>
        <v>0.128</v>
      </c>
      <c r="CE237" s="179">
        <f>IF(AND(ISNUMBER(CE143),ISNUMBER(CE138)),IFERROR(CE143/CE138,""),"")</f>
        <v>0.128</v>
      </c>
      <c r="CF237" s="20" t="n"/>
      <c r="CH237" s="39">
        <f>IFERROR(AVERAGE(CA237,CB237,CC237,CD237,CE237),"n/m")</f>
        <v>0.129011985457124</v>
      </c>
      <c r="CI237" s="39">
        <f>IFERROR(AVERAGE(BB237,BG237,BL237,BQ237,BV237),"n/m")</f>
        <v>0.127445673447416</v>
      </c>
      <c r="CJ237" s="39">
        <f>IFERROR(AVERAGE(AC237,AH237,AM237,AR237,AW237,BB237,BG237,BL237,BQ237,BV237),"n/m")</f>
        <v>0.138341140280248</v>
      </c>
      <c r="CK237" s="39">
        <f>IFERROR(AVERAGE(C237,D237,E237,F237,G237,H237,I237,N237,S237,X237,AC237,AH237,AM237,AR237,AW237,BB237,BG237,BL237,BQ237,BV237),"n/m")</f>
        <v>0.137983295705278</v>
      </c>
    </row>
    <row r="238" ht="15" customHeight="1"/>
    <row r="239" ht="15" customHeight="1">
      <c r="B239" s="11" t="inlineStr">
        <is>
          <t>CONSOLIDATED STATEMENT OF CASH FLOWS</t>
        </is>
      </c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  <c r="AG239" s="11" t="n"/>
      <c r="AH239" s="11" t="n"/>
      <c r="AI239" s="11" t="n"/>
      <c r="AJ239" s="11" t="n"/>
      <c r="AK239" s="11" t="n"/>
      <c r="AL239" s="11" t="n"/>
      <c r="AM239" s="11" t="n"/>
      <c r="AN239" s="11" t="n"/>
      <c r="AO239" s="11" t="n"/>
      <c r="AP239" s="11" t="n"/>
      <c r="AQ239" s="11" t="n"/>
      <c r="AR239" s="11" t="n"/>
      <c r="AS239" s="11" t="n"/>
      <c r="AT239" s="11" t="n"/>
      <c r="AU239" s="11" t="n"/>
      <c r="AV239" s="11" t="n"/>
      <c r="AW239" s="11" t="n"/>
      <c r="AX239" s="11" t="n"/>
      <c r="AY239" s="11" t="n"/>
      <c r="AZ239" s="11" t="n"/>
      <c r="BA239" s="11" t="n"/>
      <c r="BB239" s="11" t="n"/>
      <c r="BC239" s="11" t="n"/>
      <c r="BD239" s="11" t="n"/>
      <c r="BE239" s="11" t="n"/>
      <c r="BF239" s="11" t="n"/>
      <c r="BG239" s="11" t="n"/>
      <c r="BH239" s="11" t="n"/>
      <c r="BI239" s="11" t="n"/>
      <c r="BJ239" s="11" t="n"/>
      <c r="BK239" s="11" t="n"/>
      <c r="BL239" s="11" t="n"/>
      <c r="BM239" s="11" t="n"/>
      <c r="BN239" s="11" t="n"/>
      <c r="BO239" s="11" t="n"/>
      <c r="BP239" s="11" t="n"/>
      <c r="BQ239" s="11" t="n"/>
      <c r="BR239" s="11" t="n"/>
      <c r="BS239" s="11" t="n"/>
      <c r="BT239" s="11" t="n"/>
      <c r="BU239" s="11" t="n"/>
      <c r="BV239" s="11" t="n"/>
      <c r="BW239" s="11" t="n"/>
      <c r="BX239" s="11" t="n"/>
      <c r="BY239" s="11" t="n"/>
      <c r="BZ239" s="11" t="n"/>
      <c r="CA239" s="11" t="n"/>
      <c r="CB239" s="11" t="n"/>
      <c r="CC239" s="11" t="n"/>
      <c r="CD239" s="11" t="n"/>
      <c r="CE239" s="11" t="n"/>
      <c r="CF239" s="11" t="inlineStr">
        <is>
          <t>CASH FLOW — forecast logic (annual; 2026E = 1H/26 actual + 2H estimate; quarters = discrete, derived from year-to-date statements; Q4 = FY − 9M)</t>
        </is>
      </c>
    </row>
    <row r="240" ht="15" customHeight="1">
      <c r="B240" s="17" t="inlineStr">
        <is>
          <t>Net income</t>
        </is>
      </c>
      <c r="C240" s="175" t="n">
        <v>46.675</v>
      </c>
      <c r="D240" s="175" t="n">
        <v>44.198</v>
      </c>
      <c r="E240" s="175" t="n">
        <v>57.486</v>
      </c>
      <c r="F240" s="175" t="n">
        <v>36.686</v>
      </c>
      <c r="G240" s="175" t="n">
        <v>130.515</v>
      </c>
      <c r="H240" s="175" t="n">
        <v>127.252</v>
      </c>
      <c r="I240" s="175" t="n">
        <v>129.674</v>
      </c>
      <c r="J240" s="175" t="n">
        <v>10.502</v>
      </c>
      <c r="K240" s="175" t="n">
        <v>22.902</v>
      </c>
      <c r="L240" s="175" t="n">
        <v>35.361</v>
      </c>
      <c r="M240" s="175" t="n">
        <v>26.801</v>
      </c>
      <c r="N240" s="175" t="n">
        <v>95.566</v>
      </c>
      <c r="O240" s="175" t="n">
        <v>8.960000000000001</v>
      </c>
      <c r="P240" s="175" t="n">
        <v>28.672</v>
      </c>
      <c r="Q240" s="175" t="n">
        <v>-93.337</v>
      </c>
      <c r="R240" s="175" t="n">
        <v>27.377</v>
      </c>
      <c r="S240" s="175" t="n">
        <v>-28.328</v>
      </c>
      <c r="T240" s="175" t="n">
        <v>-7.089</v>
      </c>
      <c r="U240" s="175" t="n">
        <v>10.395</v>
      </c>
      <c r="V240" s="175" t="n">
        <v>40.228</v>
      </c>
      <c r="W240" s="175" t="n">
        <v>0.5679999999999999</v>
      </c>
      <c r="X240" s="175" t="n">
        <v>44.102</v>
      </c>
      <c r="Y240" s="175" t="n">
        <v>-20.871</v>
      </c>
      <c r="Z240" s="175" t="n">
        <v>3.966</v>
      </c>
      <c r="AA240" s="175" t="n">
        <v>-10.255</v>
      </c>
      <c r="AB240" s="175" t="n">
        <v>-12.713</v>
      </c>
      <c r="AC240" s="175" t="n">
        <v>-39.873</v>
      </c>
      <c r="AD240" s="175" t="n">
        <v>-21.393</v>
      </c>
      <c r="AE240" s="175" t="n">
        <v>25.88</v>
      </c>
      <c r="AF240" s="175" t="n">
        <v>12.058</v>
      </c>
      <c r="AG240" s="175" t="n">
        <v>84.194</v>
      </c>
      <c r="AH240" s="175" t="n">
        <v>100.739</v>
      </c>
      <c r="AI240" s="175" t="n">
        <v>-12.631</v>
      </c>
      <c r="AJ240" s="175" t="n">
        <v>30.747</v>
      </c>
      <c r="AK240" s="175" t="n">
        <v>31.089</v>
      </c>
      <c r="AL240" s="175" t="n">
        <v>16.431</v>
      </c>
      <c r="AM240" s="175" t="n">
        <v>65.636</v>
      </c>
      <c r="AN240" s="175" t="n">
        <v>0.976</v>
      </c>
      <c r="AO240" s="175" t="n">
        <v>36.244</v>
      </c>
      <c r="AP240" s="175" t="n">
        <v>36.369</v>
      </c>
      <c r="AQ240" s="175" t="n">
        <v>24.151</v>
      </c>
      <c r="AR240" s="175" t="n">
        <v>97.73999999999999</v>
      </c>
      <c r="AS240" s="175" t="n">
        <v>11.572</v>
      </c>
      <c r="AT240" s="175" t="n">
        <v>29.023</v>
      </c>
      <c r="AU240" s="175" t="n">
        <v>54.91</v>
      </c>
      <c r="AV240" s="175" t="n">
        <v>39.332</v>
      </c>
      <c r="AW240" s="175" t="n">
        <v>134.837</v>
      </c>
      <c r="AX240" s="175" t="n">
        <v>21.736</v>
      </c>
      <c r="AY240" s="175" t="n">
        <v>67.075</v>
      </c>
      <c r="AZ240" s="175" t="n">
        <v>65.443</v>
      </c>
      <c r="BA240" s="175" t="n">
        <v>48.993</v>
      </c>
      <c r="BB240" s="175" t="n">
        <v>203.247</v>
      </c>
      <c r="BC240" s="175" t="n">
        <v>45.314</v>
      </c>
      <c r="BD240" s="175" t="n">
        <v>148.157</v>
      </c>
      <c r="BE240" s="175" t="n">
        <v>135.799</v>
      </c>
      <c r="BF240" s="175" t="n">
        <v>82.474</v>
      </c>
      <c r="BG240" s="175" t="n">
        <v>411.744</v>
      </c>
      <c r="BH240" s="175" t="n">
        <v>72.401</v>
      </c>
      <c r="BI240" s="175" t="n">
        <v>115.766</v>
      </c>
      <c r="BJ240" s="175" t="n">
        <v>91.34</v>
      </c>
      <c r="BK240" s="175" t="n">
        <v>98.349</v>
      </c>
      <c r="BL240" s="175" t="n">
        <v>377.856</v>
      </c>
      <c r="BM240" s="175" t="n">
        <v>69.83199999999999</v>
      </c>
      <c r="BN240" s="175" t="n">
        <v>133.28</v>
      </c>
      <c r="BO240" s="175" t="n">
        <v>115.213</v>
      </c>
      <c r="BP240" s="175" t="n">
        <v>83.974</v>
      </c>
      <c r="BQ240" s="175" t="n">
        <v>402.299</v>
      </c>
      <c r="BR240" s="175" t="n">
        <v>58.68</v>
      </c>
      <c r="BS240" s="175" t="n">
        <v>126.905</v>
      </c>
      <c r="BT240" s="175" t="n">
        <v>118.799</v>
      </c>
      <c r="BU240" s="175" t="n">
        <v>86.59</v>
      </c>
      <c r="BV240" s="175" t="n">
        <v>390.974</v>
      </c>
      <c r="BW240" s="175" t="n">
        <v>63.201</v>
      </c>
      <c r="BX240" s="175" t="n">
        <v>170.464</v>
      </c>
      <c r="BY240" s="34" t="n"/>
      <c r="BZ240" s="34" t="n"/>
      <c r="CA240" s="176">
        <f>CA157</f>
        <v>495.873150934361</v>
      </c>
      <c r="CB240" s="176">
        <f>CB157</f>
        <v>560.429766515353</v>
      </c>
      <c r="CC240" s="176">
        <f>CC157</f>
        <v>643.581923888068</v>
      </c>
      <c r="CD240" s="176">
        <f>CD157</f>
        <v>713.118833689035</v>
      </c>
      <c r="CE240" s="176">
        <f>CE157</f>
        <v>773.628677231593</v>
      </c>
      <c r="CF240" s="177" t="n"/>
    </row>
    <row r="241" ht="15" customHeight="1">
      <c r="B241" s="26" t="inlineStr">
        <is>
          <t>Adjustments:</t>
        </is>
      </c>
      <c r="C241" s="217" t="n"/>
      <c r="D241" s="217" t="n"/>
      <c r="E241" s="217" t="n"/>
      <c r="F241" s="217" t="n"/>
      <c r="G241" s="217" t="n"/>
      <c r="H241" s="217" t="n"/>
      <c r="I241" s="217" t="n"/>
      <c r="J241" s="217" t="n"/>
      <c r="K241" s="217" t="n"/>
      <c r="L241" s="217" t="n"/>
      <c r="M241" s="217" t="n"/>
      <c r="N241" s="217" t="n"/>
      <c r="O241" s="217" t="n"/>
      <c r="P241" s="217" t="n"/>
      <c r="Q241" s="217" t="n"/>
      <c r="R241" s="217" t="n"/>
      <c r="S241" s="217" t="n"/>
      <c r="T241" s="217" t="n"/>
      <c r="U241" s="217" t="n"/>
      <c r="V241" s="217" t="n"/>
      <c r="W241" s="217" t="n"/>
      <c r="X241" s="217" t="n"/>
      <c r="Y241" s="217" t="n"/>
      <c r="Z241" s="217" t="n"/>
      <c r="AA241" s="217" t="n"/>
      <c r="AB241" s="217" t="n"/>
      <c r="AC241" s="217" t="n"/>
      <c r="AD241" s="217" t="n"/>
      <c r="AE241" s="217" t="n"/>
      <c r="AF241" s="217" t="n"/>
      <c r="AG241" s="217" t="n"/>
      <c r="AH241" s="217" t="n"/>
      <c r="AI241" s="217" t="n"/>
      <c r="AJ241" s="217" t="n"/>
      <c r="AK241" s="217" t="n"/>
      <c r="AL241" s="217" t="n"/>
      <c r="AM241" s="217" t="n"/>
      <c r="AN241" s="217" t="n"/>
      <c r="AO241" s="217" t="n"/>
      <c r="AP241" s="217" t="n"/>
      <c r="AQ241" s="217" t="n"/>
      <c r="AR241" s="217" t="n"/>
      <c r="AS241" s="217" t="n"/>
      <c r="AT241" s="217" t="n"/>
      <c r="AU241" s="217" t="n"/>
      <c r="AV241" s="217" t="n"/>
      <c r="AW241" s="217" t="n"/>
      <c r="AX241" s="217" t="n"/>
      <c r="AY241" s="217" t="n"/>
      <c r="AZ241" s="217" t="n"/>
      <c r="BA241" s="217" t="n"/>
      <c r="BB241" s="217" t="n"/>
      <c r="BC241" s="217" t="n"/>
      <c r="BD241" s="217" t="n"/>
      <c r="BE241" s="217" t="n"/>
      <c r="BF241" s="217" t="n"/>
      <c r="BG241" s="217" t="n"/>
      <c r="BH241" s="217" t="n"/>
      <c r="BI241" s="217" t="n"/>
      <c r="BJ241" s="217" t="n"/>
      <c r="BK241" s="217" t="n"/>
      <c r="BL241" s="217" t="n"/>
      <c r="BM241" s="217" t="n"/>
      <c r="BN241" s="217" t="n"/>
      <c r="BO241" s="217" t="n"/>
      <c r="BP241" s="217" t="n"/>
      <c r="BQ241" s="217" t="n"/>
      <c r="BR241" s="217" t="n"/>
      <c r="BS241" s="217" t="n"/>
      <c r="BT241" s="217" t="n"/>
      <c r="BU241" s="217" t="n"/>
      <c r="BV241" s="217" t="n"/>
      <c r="BW241" s="217" t="n"/>
      <c r="BX241" s="217" t="n"/>
      <c r="BY241" s="218" t="n"/>
      <c r="BZ241" s="218" t="n"/>
      <c r="CA241" s="218" t="n"/>
      <c r="CB241" s="218" t="n"/>
      <c r="CC241" s="218" t="n"/>
      <c r="CD241" s="218" t="n"/>
      <c r="CE241" s="218" t="n"/>
      <c r="CF241" s="20" t="n"/>
    </row>
    <row r="242" ht="15" customHeight="1">
      <c r="B242" s="26" t="inlineStr">
        <is>
          <t xml:space="preserve">  Depreciation &amp; amortization</t>
        </is>
      </c>
      <c r="C242" s="185" t="n">
        <v>35.339</v>
      </c>
      <c r="D242" s="185" t="n">
        <v>37.59</v>
      </c>
      <c r="E242" s="185" t="n">
        <v>44.471</v>
      </c>
      <c r="F242" s="185" t="n">
        <v>64.898</v>
      </c>
      <c r="G242" s="185" t="n">
        <v>92.473</v>
      </c>
      <c r="H242" s="185" t="n">
        <v>122.663</v>
      </c>
      <c r="I242" s="185" t="n">
        <v>161.646</v>
      </c>
      <c r="J242" s="185" t="n">
        <v>60.006</v>
      </c>
      <c r="K242" s="185" t="n">
        <v>67.468</v>
      </c>
      <c r="L242" s="185" t="n">
        <v>69.43000000000001</v>
      </c>
      <c r="M242" s="185" t="n">
        <v>67.545</v>
      </c>
      <c r="N242" s="185" t="n">
        <v>264.449</v>
      </c>
      <c r="O242" s="185" t="n">
        <v>69.35599999999999</v>
      </c>
      <c r="P242" s="185" t="n">
        <v>66.075</v>
      </c>
      <c r="Q242" s="185" t="n">
        <v>70.04900000000001</v>
      </c>
      <c r="R242" s="185" t="n">
        <v>70.60299999999999</v>
      </c>
      <c r="S242" s="185" t="n">
        <v>276.083</v>
      </c>
      <c r="T242" s="185" t="n">
        <v>68.35599999999999</v>
      </c>
      <c r="U242" s="185" t="n">
        <v>67.773</v>
      </c>
      <c r="V242" s="185" t="n">
        <v>69.06</v>
      </c>
      <c r="W242" s="185" t="n">
        <v>69.005</v>
      </c>
      <c r="X242" s="185" t="n">
        <v>274.194</v>
      </c>
      <c r="Y242" s="185" t="n">
        <v>68.902</v>
      </c>
      <c r="Z242" s="185" t="n">
        <v>73.393</v>
      </c>
      <c r="AA242" s="185" t="n">
        <v>73.36</v>
      </c>
      <c r="AB242" s="185" t="n">
        <v>71.34699999999999</v>
      </c>
      <c r="AC242" s="185" t="n">
        <v>287.002</v>
      </c>
      <c r="AD242" s="185" t="n">
        <v>72.41200000000001</v>
      </c>
      <c r="AE242" s="185" t="n">
        <v>71.53100000000001</v>
      </c>
      <c r="AF242" s="185" t="n">
        <v>72.989</v>
      </c>
      <c r="AG242" s="185" t="n">
        <v>71.48999999999999</v>
      </c>
      <c r="AH242" s="185" t="n">
        <v>288.422</v>
      </c>
      <c r="AI242" s="185" t="n">
        <v>74.84399999999999</v>
      </c>
      <c r="AJ242" s="185" t="n">
        <v>72.76000000000001</v>
      </c>
      <c r="AK242" s="185" t="n">
        <v>73.08199999999999</v>
      </c>
      <c r="AL242" s="185" t="n">
        <v>77.93899999999999</v>
      </c>
      <c r="AM242" s="185" t="n">
        <v>298.625</v>
      </c>
      <c r="AN242" s="185" t="n">
        <v>75.355</v>
      </c>
      <c r="AO242" s="185" t="n">
        <v>74.217</v>
      </c>
      <c r="AP242" s="185" t="n">
        <v>73.756</v>
      </c>
      <c r="AQ242" s="185" t="n">
        <v>77.39700000000001</v>
      </c>
      <c r="AR242" s="185" t="n">
        <v>300.725</v>
      </c>
      <c r="AS242" s="185" t="n">
        <v>74.533</v>
      </c>
      <c r="AT242" s="185" t="n">
        <v>72.494</v>
      </c>
      <c r="AU242" s="185" t="n">
        <v>74.47</v>
      </c>
      <c r="AV242" s="185" t="n">
        <v>71.41800000000001</v>
      </c>
      <c r="AW242" s="185" t="n">
        <v>292.915</v>
      </c>
      <c r="AX242" s="185" t="n">
        <v>72.163</v>
      </c>
      <c r="AY242" s="185" t="n">
        <v>71.592</v>
      </c>
      <c r="AZ242" s="185" t="n">
        <v>71.45099999999999</v>
      </c>
      <c r="BA242" s="185" t="n">
        <v>82.929</v>
      </c>
      <c r="BB242" s="185" t="n">
        <v>298.135</v>
      </c>
      <c r="BC242" s="185" t="n">
        <v>84.298</v>
      </c>
      <c r="BD242" s="185" t="n">
        <v>87.86799999999999</v>
      </c>
      <c r="BE242" s="185" t="n">
        <v>88.39400000000001</v>
      </c>
      <c r="BF242" s="185" t="n">
        <v>87.03400000000001</v>
      </c>
      <c r="BG242" s="185" t="n">
        <v>347.594</v>
      </c>
      <c r="BH242" s="185" t="n">
        <v>84.758</v>
      </c>
      <c r="BI242" s="185" t="n">
        <v>89.697</v>
      </c>
      <c r="BJ242" s="185" t="n">
        <v>92.97</v>
      </c>
      <c r="BK242" s="185" t="n">
        <v>98.336</v>
      </c>
      <c r="BL242" s="185" t="n">
        <v>365.761</v>
      </c>
      <c r="BM242" s="185" t="n">
        <v>95.065</v>
      </c>
      <c r="BN242" s="185" t="n">
        <v>100.504</v>
      </c>
      <c r="BO242" s="185" t="n">
        <v>100.063</v>
      </c>
      <c r="BP242" s="185" t="n">
        <v>105.29</v>
      </c>
      <c r="BQ242" s="185" t="n">
        <v>400.922</v>
      </c>
      <c r="BR242" s="185" t="n">
        <v>111.98</v>
      </c>
      <c r="BS242" s="185" t="n">
        <v>116.285</v>
      </c>
      <c r="BT242" s="185" t="n">
        <v>114.729</v>
      </c>
      <c r="BU242" s="185" t="n">
        <v>103.012</v>
      </c>
      <c r="BV242" s="185" t="n">
        <v>446.006</v>
      </c>
      <c r="BW242" s="185" t="n">
        <v>115.799</v>
      </c>
      <c r="BX242" s="185" t="n">
        <v>121.807</v>
      </c>
      <c r="BY242" s="168" t="n"/>
      <c r="BZ242" s="168" t="n"/>
      <c r="CA242" s="186">
        <f>CA145</f>
        <v>489.074794520548</v>
      </c>
      <c r="CB242" s="186">
        <f>CB145</f>
        <v>548.281802897798</v>
      </c>
      <c r="CC242" s="186">
        <f>CC145</f>
        <v>595.086282779748</v>
      </c>
      <c r="CD242" s="186">
        <f>CD145</f>
        <v>642.618178553527</v>
      </c>
      <c r="CE242" s="186">
        <f>CE145</f>
        <v>691.769732930364</v>
      </c>
      <c r="CF242" s="20" t="n"/>
    </row>
    <row r="243" ht="15" customHeight="1">
      <c r="B243" s="26" t="inlineStr">
        <is>
          <t xml:space="preserve">  Stock-based compensation</t>
        </is>
      </c>
      <c r="C243" s="185" t="n">
        <v>3.387</v>
      </c>
      <c r="D243" s="185" t="n">
        <v>4.799</v>
      </c>
      <c r="E243" s="185" t="n">
        <v>3.565</v>
      </c>
      <c r="F243" s="185" t="n">
        <v>0.968</v>
      </c>
      <c r="G243" s="185" t="n">
        <v>7.219</v>
      </c>
      <c r="H243" s="185" t="n">
        <v>8.164</v>
      </c>
      <c r="I243" s="185" t="n">
        <v>7.494</v>
      </c>
      <c r="J243" s="185" t="n">
        <v>1.887</v>
      </c>
      <c r="K243" s="185" t="n">
        <v>2.037</v>
      </c>
      <c r="L243" s="185" t="n">
        <v>2.465</v>
      </c>
      <c r="M243" s="185" t="n">
        <v>2.557</v>
      </c>
      <c r="N243" s="185" t="n">
        <v>8.946</v>
      </c>
      <c r="O243" s="185" t="n">
        <v>2.278</v>
      </c>
      <c r="P243" s="185" t="n">
        <v>2.062</v>
      </c>
      <c r="Q243" s="185" t="n">
        <v>2.106</v>
      </c>
      <c r="R243" s="185" t="n">
        <v>2.354</v>
      </c>
      <c r="S243" s="185" t="n">
        <v>8.800000000000001</v>
      </c>
      <c r="T243" s="185" t="n">
        <v>1.85</v>
      </c>
      <c r="U243" s="185" t="n">
        <v>4.296</v>
      </c>
      <c r="V243" s="185" t="n">
        <v>0.404</v>
      </c>
      <c r="W243" s="185" t="n">
        <v>2</v>
      </c>
      <c r="X243" s="185" t="n">
        <v>8.550000000000001</v>
      </c>
      <c r="Y243" s="185" t="n">
        <v>2.093</v>
      </c>
      <c r="Z243" s="185" t="n">
        <v>2.646</v>
      </c>
      <c r="AA243" s="185" t="n">
        <v>2.996</v>
      </c>
      <c r="AB243" s="185" t="n">
        <v>2.746</v>
      </c>
      <c r="AC243" s="185" t="n">
        <v>10.481</v>
      </c>
      <c r="AD243" s="185" t="n">
        <v>2.271</v>
      </c>
      <c r="AE243" s="185" t="n">
        <v>2.901</v>
      </c>
      <c r="AF243" s="185" t="n">
        <v>4.04</v>
      </c>
      <c r="AG243" s="185" t="n">
        <v>3.934</v>
      </c>
      <c r="AH243" s="185" t="n">
        <v>13.146</v>
      </c>
      <c r="AI243" s="185" t="n">
        <v>3.077</v>
      </c>
      <c r="AJ243" s="185" t="n">
        <v>3.562</v>
      </c>
      <c r="AK243" s="185" t="n">
        <v>4.087</v>
      </c>
      <c r="AL243" s="185" t="n">
        <v>6.066</v>
      </c>
      <c r="AM243" s="185" t="n">
        <v>16.792</v>
      </c>
      <c r="AN243" s="185" t="n">
        <v>5.809</v>
      </c>
      <c r="AO243" s="185" t="n">
        <v>3.834</v>
      </c>
      <c r="AP243" s="185" t="n">
        <v>5.021</v>
      </c>
      <c r="AQ243" s="185" t="n">
        <v>3.152</v>
      </c>
      <c r="AR243" s="185" t="n">
        <v>17.816</v>
      </c>
      <c r="AS243" s="185" t="n">
        <v>3.291</v>
      </c>
      <c r="AT243" s="185" t="n">
        <v>2.786</v>
      </c>
      <c r="AU243" s="185" t="n">
        <v>6.662</v>
      </c>
      <c r="AV243" s="185" t="n">
        <v>5.763</v>
      </c>
      <c r="AW243" s="185" t="n">
        <v>18.502</v>
      </c>
      <c r="AX243" s="185" t="n">
        <v>3.48</v>
      </c>
      <c r="AY243" s="185" t="n">
        <v>3.305</v>
      </c>
      <c r="AZ243" s="185" t="n">
        <v>6.001</v>
      </c>
      <c r="BA243" s="185" t="n">
        <v>6.053</v>
      </c>
      <c r="BB243" s="185" t="n">
        <v>18.839</v>
      </c>
      <c r="BC243" s="185" t="n">
        <v>5.712</v>
      </c>
      <c r="BD243" s="185" t="n">
        <v>6.835</v>
      </c>
      <c r="BE243" s="185" t="n">
        <v>7.828</v>
      </c>
      <c r="BF243" s="185" t="n">
        <v>6.469</v>
      </c>
      <c r="BG243" s="185" t="n">
        <v>26.844</v>
      </c>
      <c r="BH243" s="185" t="n">
        <v>6.018</v>
      </c>
      <c r="BI243" s="185" t="n">
        <v>4.5</v>
      </c>
      <c r="BJ243" s="185" t="n">
        <v>4.291</v>
      </c>
      <c r="BK243" s="185" t="n">
        <v>5.894</v>
      </c>
      <c r="BL243" s="185" t="n">
        <v>20.703</v>
      </c>
      <c r="BM243" s="185" t="n">
        <v>6.338</v>
      </c>
      <c r="BN243" s="185" t="n">
        <v>8.515000000000001</v>
      </c>
      <c r="BO243" s="185" t="n">
        <v>5.837</v>
      </c>
      <c r="BP243" s="185" t="n">
        <v>7.291</v>
      </c>
      <c r="BQ243" s="185" t="n">
        <v>27.981</v>
      </c>
      <c r="BR243" s="185" t="n">
        <v>7.635</v>
      </c>
      <c r="BS243" s="185" t="n">
        <v>6.063</v>
      </c>
      <c r="BT243" s="185" t="n">
        <v>8.922000000000001</v>
      </c>
      <c r="BU243" s="185" t="n">
        <v>10.082</v>
      </c>
      <c r="BV243" s="185" t="n">
        <v>32.702</v>
      </c>
      <c r="BW243" s="185" t="n">
        <v>9.577999999999999</v>
      </c>
      <c r="BX243" s="185" t="n">
        <v>14.818</v>
      </c>
      <c r="BY243" s="168" t="n"/>
      <c r="BZ243" s="168" t="n"/>
      <c r="CA243" s="186">
        <f>CA162</f>
        <v>49.5</v>
      </c>
      <c r="CB243" s="186">
        <f>CB162</f>
        <v>54.5805360870373</v>
      </c>
      <c r="CC243" s="186">
        <f>CC162</f>
        <v>59.0738372429246</v>
      </c>
      <c r="CD243" s="186">
        <f>CD162</f>
        <v>63.6245205400043</v>
      </c>
      <c r="CE243" s="186">
        <f>CE162</f>
        <v>68.3241687021129</v>
      </c>
      <c r="CF243" s="20" t="n"/>
    </row>
    <row r="244" ht="15" customHeight="1">
      <c r="B244" s="26" t="inlineStr">
        <is>
          <t xml:space="preserve">  Accretion of environmental liabilities</t>
        </is>
      </c>
      <c r="C244" s="185" t="n">
        <v>10.22</v>
      </c>
      <c r="D244" s="185" t="n">
        <v>10.447</v>
      </c>
      <c r="E244" s="185" t="n">
        <v>10.776</v>
      </c>
      <c r="F244" s="185" t="n">
        <v>10.617</v>
      </c>
      <c r="G244" s="185" t="n">
        <v>10.307</v>
      </c>
      <c r="H244" s="185" t="n">
        <v>9.68</v>
      </c>
      <c r="I244" s="185" t="n">
        <v>9.917</v>
      </c>
      <c r="J244" s="185" t="n">
        <v>2.835</v>
      </c>
      <c r="K244" s="185" t="n">
        <v>2.879</v>
      </c>
      <c r="L244" s="185" t="n">
        <v>2.914</v>
      </c>
      <c r="M244" s="185" t="n">
        <v>2.913</v>
      </c>
      <c r="N244" s="185" t="n">
        <v>11.541</v>
      </c>
      <c r="O244" s="185" t="n">
        <v>2.724</v>
      </c>
      <c r="P244" s="185" t="n">
        <v>2.609</v>
      </c>
      <c r="Q244" s="185" t="n">
        <v>2.642</v>
      </c>
      <c r="R244" s="185" t="n">
        <v>2.637</v>
      </c>
      <c r="S244" s="185" t="n">
        <v>10.612</v>
      </c>
      <c r="T244" s="185" t="n">
        <v>2.619</v>
      </c>
      <c r="U244" s="185" t="n">
        <v>2.599</v>
      </c>
      <c r="V244" s="185" t="n">
        <v>2.577</v>
      </c>
      <c r="W244" s="185" t="n">
        <v>2.607</v>
      </c>
      <c r="X244" s="185" t="n">
        <v>10.402</v>
      </c>
      <c r="Y244" s="185" t="n">
        <v>2.505</v>
      </c>
      <c r="Z244" s="185" t="n">
        <v>2.548</v>
      </c>
      <c r="AA244" s="185" t="n">
        <v>2.476</v>
      </c>
      <c r="AB244" s="185" t="n">
        <v>2.648</v>
      </c>
      <c r="AC244" s="185" t="n">
        <v>10.177</v>
      </c>
      <c r="AD244" s="185" t="n">
        <v>2.29</v>
      </c>
      <c r="AE244" s="185" t="n">
        <v>2.416</v>
      </c>
      <c r="AF244" s="185" t="n">
        <v>2.347</v>
      </c>
      <c r="AG244" s="185" t="n">
        <v>2.407</v>
      </c>
      <c r="AH244" s="185" t="n">
        <v>9.460000000000001</v>
      </c>
      <c r="AI244" s="185" t="n">
        <v>2.43</v>
      </c>
      <c r="AJ244" s="185" t="n">
        <v>2.448</v>
      </c>
      <c r="AK244" s="185" t="n">
        <v>2.45</v>
      </c>
      <c r="AL244" s="185" t="n">
        <v>2.478</v>
      </c>
      <c r="AM244" s="185" t="n">
        <v>9.805999999999999</v>
      </c>
      <c r="AN244" s="185" t="n">
        <v>2.574</v>
      </c>
      <c r="AO244" s="185" t="n">
        <v>2.56</v>
      </c>
      <c r="AP244" s="185" t="n">
        <v>2.49</v>
      </c>
      <c r="AQ244" s="185" t="n">
        <v>2.512</v>
      </c>
      <c r="AR244" s="185" t="n">
        <v>10.136</v>
      </c>
      <c r="AS244" s="185" t="n">
        <v>2.561</v>
      </c>
      <c r="AT244" s="185" t="n">
        <v>2.766</v>
      </c>
      <c r="AU244" s="185" t="n">
        <v>2.822</v>
      </c>
      <c r="AV244" s="185" t="n">
        <v>2.902</v>
      </c>
      <c r="AW244" s="185" t="n">
        <v>11.051</v>
      </c>
      <c r="AX244" s="185" t="n">
        <v>2.953</v>
      </c>
      <c r="AY244" s="185" t="n">
        <v>2.873</v>
      </c>
      <c r="AZ244" s="185" t="n">
        <v>2.799</v>
      </c>
      <c r="BA244" s="185" t="n">
        <v>3.12</v>
      </c>
      <c r="BB244" s="185" t="n">
        <v>11.745</v>
      </c>
      <c r="BC244" s="185" t="n">
        <v>3.156</v>
      </c>
      <c r="BD244" s="185" t="n">
        <v>3.197</v>
      </c>
      <c r="BE244" s="185" t="n">
        <v>3.246</v>
      </c>
      <c r="BF244" s="185" t="n">
        <v>3.344</v>
      </c>
      <c r="BG244" s="185" t="n">
        <v>12.943</v>
      </c>
      <c r="BH244" s="185" t="n">
        <v>3.407</v>
      </c>
      <c r="BI244" s="185" t="n">
        <v>3.486</v>
      </c>
      <c r="BJ244" s="185" t="n">
        <v>3.388</v>
      </c>
      <c r="BK244" s="185" t="n">
        <v>3.386</v>
      </c>
      <c r="BL244" s="185" t="n">
        <v>13.667</v>
      </c>
      <c r="BM244" s="185" t="n">
        <v>3.217</v>
      </c>
      <c r="BN244" s="185" t="n">
        <v>3.304</v>
      </c>
      <c r="BO244" s="185" t="n">
        <v>3.618</v>
      </c>
      <c r="BP244" s="185" t="n">
        <v>3.317</v>
      </c>
      <c r="BQ244" s="185" t="n">
        <v>13.456</v>
      </c>
      <c r="BR244" s="185" t="n">
        <v>3.62</v>
      </c>
      <c r="BS244" s="185" t="n">
        <v>3.591</v>
      </c>
      <c r="BT244" s="185" t="n">
        <v>3.499</v>
      </c>
      <c r="BU244" s="185" t="n">
        <v>3.616</v>
      </c>
      <c r="BV244" s="185" t="n">
        <v>14.326</v>
      </c>
      <c r="BW244" s="185" t="n">
        <v>3.542</v>
      </c>
      <c r="BX244" s="185" t="n">
        <v>3.502</v>
      </c>
      <c r="BY244" s="168" t="n"/>
      <c r="BZ244" s="168" t="n"/>
      <c r="CA244" s="186">
        <f>CA144</f>
        <v>15.5</v>
      </c>
      <c r="CB244" s="186">
        <f>CB144</f>
        <v>16.7380310666914</v>
      </c>
      <c r="CC244" s="186">
        <f>CC144</f>
        <v>18.1159767544969</v>
      </c>
      <c r="CD244" s="186">
        <f>CD144</f>
        <v>19.511519632268</v>
      </c>
      <c r="CE244" s="186">
        <f>CE144</f>
        <v>20.952745068648</v>
      </c>
      <c r="CF244" s="20" t="n"/>
    </row>
    <row r="245" ht="15" customHeight="1">
      <c r="B245" s="26" t="inlineStr">
        <is>
          <t xml:space="preserve">  Environmental expenditures &amp; changes in environmental liability estimates</t>
        </is>
      </c>
      <c r="C245" s="185" t="n">
        <v>-17.187</v>
      </c>
      <c r="D245" s="185" t="n">
        <v>-5.914</v>
      </c>
      <c r="E245" s="185" t="n">
        <v>-16.315</v>
      </c>
      <c r="F245" s="185" t="n">
        <v>-13.274</v>
      </c>
      <c r="G245" s="185" t="n">
        <v>-18.564</v>
      </c>
      <c r="H245" s="185" t="n">
        <v>-14.159</v>
      </c>
      <c r="I245" s="185" t="n">
        <v>-19.649</v>
      </c>
      <c r="J245" s="185" t="n">
        <v>-5.349</v>
      </c>
      <c r="K245" s="185" t="n">
        <v>-4.837</v>
      </c>
      <c r="L245" s="185" t="n">
        <v>-8.159000000000001</v>
      </c>
      <c r="M245" s="185" t="n">
        <v>-4.753</v>
      </c>
      <c r="N245" s="185" t="n">
        <v>-23.098</v>
      </c>
      <c r="O245" s="185" t="n">
        <v>-5.007</v>
      </c>
      <c r="P245" s="185" t="n">
        <v>-3.865</v>
      </c>
      <c r="Q245" s="185" t="n">
        <v>-6.249</v>
      </c>
      <c r="R245" s="185" t="n">
        <v>-8.491</v>
      </c>
      <c r="S245" s="185" t="n">
        <v>-23.612</v>
      </c>
      <c r="T245" s="185" t="n">
        <v>-5.219</v>
      </c>
      <c r="U245" s="185" t="n">
        <v>-5.426</v>
      </c>
      <c r="V245" s="185" t="n">
        <v>-8.327999999999999</v>
      </c>
      <c r="W245" s="185" t="n">
        <v>-12.502</v>
      </c>
      <c r="X245" s="185" t="n">
        <v>-31.475</v>
      </c>
      <c r="Y245" s="185" t="n">
        <v>-3.613</v>
      </c>
      <c r="Z245" s="185" t="n">
        <v>-3.156</v>
      </c>
      <c r="AA245" s="185" t="n">
        <v>-2.954</v>
      </c>
      <c r="AB245" s="185" t="n">
        <v>-6.701</v>
      </c>
      <c r="AC245" s="185" t="n">
        <v>-16.424</v>
      </c>
      <c r="AD245" s="185" t="n">
        <v>-2.836</v>
      </c>
      <c r="AE245" s="185" t="n">
        <v>-3.395</v>
      </c>
      <c r="AF245" s="185" t="n">
        <v>-4.159</v>
      </c>
      <c r="AG245" s="185" t="n">
        <v>-2.77</v>
      </c>
      <c r="AH245" s="185" t="n">
        <v>-13.16</v>
      </c>
      <c r="AI245" s="185" t="n">
        <v>-2.987</v>
      </c>
      <c r="AJ245" s="185" t="n">
        <v>-2.271</v>
      </c>
      <c r="AK245" s="185" t="n">
        <v>-2.281</v>
      </c>
      <c r="AL245" s="185" t="n">
        <v>-0.429</v>
      </c>
      <c r="AM245" s="185" t="n">
        <v>-7.968</v>
      </c>
      <c r="AN245" s="185" t="n">
        <v>-4.038</v>
      </c>
      <c r="AO245" s="185" t="n">
        <v>-2.844</v>
      </c>
      <c r="AP245" s="185" t="n">
        <v>-6.507</v>
      </c>
      <c r="AQ245" s="185" t="n">
        <v>-5.644</v>
      </c>
      <c r="AR245" s="185" t="n">
        <v>-19.033</v>
      </c>
      <c r="AS245" s="185" t="n">
        <v>0.035</v>
      </c>
      <c r="AT245" s="185" t="n">
        <v>-0.532</v>
      </c>
      <c r="AU245" s="185" t="n">
        <v>0.731</v>
      </c>
      <c r="AV245" s="185" t="n">
        <v>-1.937</v>
      </c>
      <c r="AW245" s="185" t="n">
        <v>-1.703</v>
      </c>
      <c r="AX245" s="185" t="n">
        <v>-2.736</v>
      </c>
      <c r="AY245" s="185" t="n">
        <v>-3.413</v>
      </c>
      <c r="AZ245" s="185" t="n">
        <v>-5.733</v>
      </c>
      <c r="BA245" s="185" t="n">
        <v>-0.645</v>
      </c>
      <c r="BB245" s="185" t="n">
        <v>-12.527</v>
      </c>
      <c r="BC245" s="185" t="n">
        <v>-3.303</v>
      </c>
      <c r="BD245" s="185" t="n">
        <v>-2.493</v>
      </c>
      <c r="BE245" s="185" t="n">
        <v>-1.819</v>
      </c>
      <c r="BF245" s="185" t="n">
        <v>1.941</v>
      </c>
      <c r="BG245" s="185" t="n">
        <v>-5.674</v>
      </c>
      <c r="BH245" s="185" t="n">
        <v>-7.665</v>
      </c>
      <c r="BI245" s="185" t="n">
        <v>-8.271000000000001</v>
      </c>
      <c r="BJ245" s="185" t="n">
        <v>-4.87</v>
      </c>
      <c r="BK245" s="185" t="n">
        <v>-3.326</v>
      </c>
      <c r="BL245" s="185" t="n">
        <v>-24.132</v>
      </c>
      <c r="BM245" s="185" t="n">
        <v>-3.812</v>
      </c>
      <c r="BN245" s="185" t="n">
        <v>-2.159</v>
      </c>
      <c r="BO245" s="185" t="n">
        <v>-9.361000000000001</v>
      </c>
      <c r="BP245" s="185" t="n">
        <v>-8.051</v>
      </c>
      <c r="BQ245" s="185" t="n">
        <v>-23.383</v>
      </c>
      <c r="BR245" s="185" t="n">
        <v>-12.454</v>
      </c>
      <c r="BS245" s="185" t="n">
        <v>-3.551</v>
      </c>
      <c r="BT245" s="185" t="n">
        <v>-3.888</v>
      </c>
      <c r="BU245" s="185" t="n">
        <v>-6.314</v>
      </c>
      <c r="BV245" s="185" t="n">
        <v>-26.207</v>
      </c>
      <c r="BW245" s="185" t="n">
        <v>-5.721</v>
      </c>
      <c r="BX245" s="185" t="n">
        <v>-3.419</v>
      </c>
      <c r="BY245" s="168" t="n"/>
      <c r="BZ245" s="168" t="n"/>
      <c r="CA245" s="186">
        <f>(BW245+BX245)+CA364</f>
        <v>-18.14</v>
      </c>
      <c r="CB245" s="186">
        <f>CB364</f>
        <v>-18</v>
      </c>
      <c r="CC245" s="186">
        <f>CC364</f>
        <v>-18</v>
      </c>
      <c r="CD245" s="186">
        <f>CD364</f>
        <v>-18</v>
      </c>
      <c r="CE245" s="186">
        <f>CE364</f>
        <v>-18</v>
      </c>
      <c r="CF245" s="20" t="inlineStr">
        <is>
          <t>Cash spend against closure, post-closure &amp; remedial liabilities (runs below accretion + estimate changes).</t>
        </is>
      </c>
    </row>
    <row r="246" ht="15" customHeight="1">
      <c r="B246" s="26" t="inlineStr">
        <is>
          <t xml:space="preserve">  (Gain) loss on sale of businesses &amp; fixed assets; impairment charges</t>
        </is>
      </c>
      <c r="C246" s="185" t="n">
        <v>0.447</v>
      </c>
      <c r="D246" s="185" t="n">
        <v>-0.135</v>
      </c>
      <c r="E246" s="185" t="n">
        <v>0.119</v>
      </c>
      <c r="F246" s="185" t="n">
        <v>0</v>
      </c>
      <c r="G246" s="185" t="n">
        <v>-2.678</v>
      </c>
      <c r="H246" s="185" t="n">
        <v>0</v>
      </c>
      <c r="I246" s="185" t="n">
        <v>0</v>
      </c>
      <c r="J246" s="185" t="n">
        <v>0</v>
      </c>
      <c r="K246" s="185" t="n">
        <v>0</v>
      </c>
      <c r="L246" s="185" t="n">
        <v>0</v>
      </c>
      <c r="M246" s="185" t="n">
        <v>0</v>
      </c>
      <c r="N246" s="185" t="n">
        <v>0</v>
      </c>
      <c r="O246" s="185" t="n">
        <v>0</v>
      </c>
      <c r="P246" s="185" t="n">
        <v>0</v>
      </c>
      <c r="Q246" s="185" t="n">
        <v>123.414</v>
      </c>
      <c r="R246" s="185" t="n">
        <v>0</v>
      </c>
      <c r="S246" s="185" t="n">
        <v>123.414</v>
      </c>
      <c r="T246" s="185" t="n">
        <v>0</v>
      </c>
      <c r="U246" s="185" t="n">
        <v>31.992</v>
      </c>
      <c r="V246" s="185" t="n">
        <v>0</v>
      </c>
      <c r="W246" s="185" t="n">
        <v>0</v>
      </c>
      <c r="X246" s="185" t="n">
        <v>31.992</v>
      </c>
      <c r="Y246" s="185" t="n">
        <v>0</v>
      </c>
      <c r="Z246" s="185" t="n">
        <v>0</v>
      </c>
      <c r="AA246" s="185" t="n">
        <v>17.582</v>
      </c>
      <c r="AB246" s="185" t="n">
        <v>-0.453</v>
      </c>
      <c r="AC246" s="185" t="n">
        <v>17.129</v>
      </c>
      <c r="AD246" s="185" t="n">
        <v>0</v>
      </c>
      <c r="AE246" s="185" t="n">
        <v>-31.722</v>
      </c>
      <c r="AF246" s="185" t="n">
        <v>0.077</v>
      </c>
      <c r="AG246" s="185" t="n">
        <v>0.913</v>
      </c>
      <c r="AH246" s="185" t="n">
        <v>-30.732</v>
      </c>
      <c r="AI246" s="185" t="n">
        <v>0</v>
      </c>
      <c r="AJ246" s="185" t="n">
        <v>0</v>
      </c>
      <c r="AK246" s="185" t="n">
        <v>0</v>
      </c>
      <c r="AL246" s="185" t="n">
        <v>0</v>
      </c>
      <c r="AM246" s="185" t="n">
        <v>0</v>
      </c>
      <c r="AN246" s="185" t="n">
        <v>0</v>
      </c>
      <c r="AO246" s="185" t="n">
        <v>0</v>
      </c>
      <c r="AP246" s="185" t="n">
        <v>0</v>
      </c>
      <c r="AQ246" s="185" t="n">
        <v>-0.6870000000000001</v>
      </c>
      <c r="AR246" s="185" t="n">
        <v>-0.6870000000000001</v>
      </c>
      <c r="AS246" s="185" t="n">
        <v>3.074</v>
      </c>
      <c r="AT246" s="185" t="n">
        <v>0.184</v>
      </c>
      <c r="AU246" s="185" t="n">
        <v>0.118</v>
      </c>
      <c r="AV246" s="185" t="n">
        <v>0</v>
      </c>
      <c r="AW246" s="185" t="n">
        <v>3.376</v>
      </c>
      <c r="AX246" s="185" t="n">
        <v>0</v>
      </c>
      <c r="AY246" s="185" t="n">
        <v>0</v>
      </c>
      <c r="AZ246" s="185" t="n">
        <v>0</v>
      </c>
      <c r="BA246" s="185" t="n">
        <v>0</v>
      </c>
      <c r="BB246" s="185" t="n">
        <v>0</v>
      </c>
      <c r="BC246" s="185" t="n">
        <v>0</v>
      </c>
      <c r="BD246" s="185" t="n">
        <v>-8.864000000000001</v>
      </c>
      <c r="BE246" s="185" t="n">
        <v>0</v>
      </c>
      <c r="BF246" s="185" t="n">
        <v>0</v>
      </c>
      <c r="BG246" s="185" t="n">
        <v>-8.864000000000001</v>
      </c>
      <c r="BH246" s="185" t="n">
        <v>0</v>
      </c>
      <c r="BI246" s="185" t="n">
        <v>0</v>
      </c>
      <c r="BJ246" s="185" t="n">
        <v>0</v>
      </c>
      <c r="BK246" s="185" t="n">
        <v>0</v>
      </c>
      <c r="BL246" s="185" t="n">
        <v>0</v>
      </c>
      <c r="BM246" s="185" t="n">
        <v>0</v>
      </c>
      <c r="BN246" s="185" t="n">
        <v>0</v>
      </c>
      <c r="BO246" s="185" t="n">
        <v>0</v>
      </c>
      <c r="BP246" s="185" t="n">
        <v>0</v>
      </c>
      <c r="BQ246" s="185" t="n">
        <v>0</v>
      </c>
      <c r="BR246" s="185" t="n">
        <v>0</v>
      </c>
      <c r="BS246" s="185" t="n">
        <v>0</v>
      </c>
      <c r="BT246" s="185" t="n">
        <v>0</v>
      </c>
      <c r="BU246" s="185" t="n">
        <v>-0.776</v>
      </c>
      <c r="BV246" s="185" t="n">
        <v>-0.776</v>
      </c>
      <c r="BW246" s="185" t="n">
        <v>0</v>
      </c>
      <c r="BX246" s="185" t="n">
        <v>0</v>
      </c>
      <c r="BY246" s="168" t="n"/>
      <c r="BZ246" s="168" t="n"/>
      <c r="CA246" s="186">
        <f>(BW246+BX246)</f>
        <v>0</v>
      </c>
      <c r="CB246" s="186">
        <f>0</f>
        <v>0</v>
      </c>
      <c r="CC246" s="186">
        <f>0</f>
        <v>0</v>
      </c>
      <c r="CD246" s="186">
        <f>0</f>
        <v>0</v>
      </c>
      <c r="CE246" s="186">
        <f>0</f>
        <v>0</v>
      </c>
      <c r="CF246" s="20" t="n"/>
    </row>
    <row r="247" ht="15" customHeight="1">
      <c r="B247" s="26" t="inlineStr">
        <is>
          <t xml:space="preserve">  Deferred income taxes</t>
        </is>
      </c>
      <c r="C247" s="185" t="n">
        <v>-6.385</v>
      </c>
      <c r="D247" s="185" t="n">
        <v>-7.492</v>
      </c>
      <c r="E247" s="185" t="n">
        <v>3.197</v>
      </c>
      <c r="F247" s="185" t="n">
        <v>4.83</v>
      </c>
      <c r="G247" s="185" t="n">
        <v>4.919</v>
      </c>
      <c r="H247" s="185" t="n">
        <v>37.836</v>
      </c>
      <c r="I247" s="185" t="n">
        <v>34.163</v>
      </c>
      <c r="J247" s="185" t="n">
        <v>0.032</v>
      </c>
      <c r="K247" s="185" t="n">
        <v>-0.04</v>
      </c>
      <c r="L247" s="185" t="n">
        <v>0.28</v>
      </c>
      <c r="M247" s="185" t="n">
        <v>30.847</v>
      </c>
      <c r="N247" s="185" t="n">
        <v>31.119</v>
      </c>
      <c r="O247" s="185" t="n">
        <v>0</v>
      </c>
      <c r="P247" s="185" t="n">
        <v>-0.001</v>
      </c>
      <c r="Q247" s="185" t="n">
        <v>8.507</v>
      </c>
      <c r="R247" s="185" t="n">
        <v>23.814</v>
      </c>
      <c r="S247" s="185" t="n">
        <v>32.32</v>
      </c>
      <c r="T247" s="185" t="n">
        <v>-0.903</v>
      </c>
      <c r="U247" s="185" t="n">
        <v>-0.005</v>
      </c>
      <c r="V247" s="185" t="n">
        <v>-18.086</v>
      </c>
      <c r="W247" s="185" t="n">
        <v>20.924</v>
      </c>
      <c r="X247" s="185" t="n">
        <v>1.93</v>
      </c>
      <c r="Y247" s="185" t="n">
        <v>0.007</v>
      </c>
      <c r="Z247" s="185" t="n">
        <v>-6.528</v>
      </c>
      <c r="AA247" s="185" t="n">
        <v>-22.305</v>
      </c>
      <c r="AB247" s="185" t="n">
        <v>44.01</v>
      </c>
      <c r="AC247" s="185" t="n">
        <v>15.184</v>
      </c>
      <c r="AD247" s="185" t="n">
        <v>0.196</v>
      </c>
      <c r="AE247" s="185" t="n">
        <v>-0.006</v>
      </c>
      <c r="AF247" s="185" t="n">
        <v>-0.006</v>
      </c>
      <c r="AG247" s="185" t="n">
        <v>-83.51900000000001</v>
      </c>
      <c r="AH247" s="185" t="n">
        <v>-83.33499999999999</v>
      </c>
      <c r="AI247" s="185" t="n">
        <v>-0.005</v>
      </c>
      <c r="AJ247" s="185" t="n">
        <v>-0.005</v>
      </c>
      <c r="AK247" s="185" t="n">
        <v>0.07099999999999999</v>
      </c>
      <c r="AL247" s="185" t="n">
        <v>19.028</v>
      </c>
      <c r="AM247" s="185" t="n">
        <v>19.089</v>
      </c>
      <c r="AN247" s="185" t="n">
        <v>0</v>
      </c>
      <c r="AO247" s="185" t="n">
        <v>-1.636</v>
      </c>
      <c r="AP247" s="185" t="n">
        <v>0.663</v>
      </c>
      <c r="AQ247" s="185" t="n">
        <v>8.978</v>
      </c>
      <c r="AR247" s="185" t="n">
        <v>8.005000000000001</v>
      </c>
      <c r="AS247" s="184" t="n"/>
      <c r="AT247" s="185" t="n">
        <v>0</v>
      </c>
      <c r="AU247" s="185" t="n">
        <v>0</v>
      </c>
      <c r="AV247" s="185" t="n">
        <v>-9.747999999999999</v>
      </c>
      <c r="AW247" s="185" t="n">
        <v>-9.747999999999999</v>
      </c>
      <c r="AX247" s="185" t="n">
        <v>-0.039</v>
      </c>
      <c r="AY247" s="185" t="n">
        <v>1.951</v>
      </c>
      <c r="AZ247" s="185" t="n">
        <v>3.29</v>
      </c>
      <c r="BA247" s="185" t="n">
        <v>-3.72</v>
      </c>
      <c r="BB247" s="185" t="n">
        <v>1.482</v>
      </c>
      <c r="BC247" s="185" t="n">
        <v>2.226</v>
      </c>
      <c r="BD247" s="185" t="n">
        <v>0</v>
      </c>
      <c r="BE247" s="185" t="n">
        <v>0</v>
      </c>
      <c r="BF247" s="185" t="n">
        <v>15.323</v>
      </c>
      <c r="BG247" s="185" t="n">
        <v>17.549</v>
      </c>
      <c r="BH247" s="185" t="n">
        <v>-0.363</v>
      </c>
      <c r="BI247" s="185" t="n">
        <v>0.007</v>
      </c>
      <c r="BJ247" s="185" t="n">
        <v>0</v>
      </c>
      <c r="BK247" s="185" t="n">
        <v>13.041</v>
      </c>
      <c r="BL247" s="185" t="n">
        <v>12.685</v>
      </c>
      <c r="BM247" s="185" t="n">
        <v>-0.08799999999999999</v>
      </c>
      <c r="BN247" s="185" t="n">
        <v>0</v>
      </c>
      <c r="BO247" s="185" t="n">
        <v>-0.33</v>
      </c>
      <c r="BP247" s="185" t="n">
        <v>18.855</v>
      </c>
      <c r="BQ247" s="185" t="n">
        <v>18.437</v>
      </c>
      <c r="BR247" s="185" t="n">
        <v>0</v>
      </c>
      <c r="BS247" s="185" t="n">
        <v>0</v>
      </c>
      <c r="BT247" s="185" t="n">
        <v>0</v>
      </c>
      <c r="BU247" s="185" t="n">
        <v>25.763</v>
      </c>
      <c r="BV247" s="185" t="n">
        <v>25.763</v>
      </c>
      <c r="BW247" s="184" t="n"/>
      <c r="BX247" s="184" t="n"/>
      <c r="BY247" s="168" t="n"/>
      <c r="BZ247" s="168" t="n"/>
      <c r="CA247" s="186">
        <f>(BW247+BX247)</f>
        <v>0</v>
      </c>
      <c r="CB247" s="186">
        <f>0</f>
        <v>0</v>
      </c>
      <c r="CC247" s="186">
        <f>0</f>
        <v>0</v>
      </c>
      <c r="CD247" s="186">
        <f>0</f>
        <v>0</v>
      </c>
      <c r="CE247" s="186">
        <f>0</f>
        <v>0</v>
      </c>
      <c r="CF247" s="20" t="n"/>
    </row>
    <row r="248" ht="15" customHeight="1">
      <c r="B248" s="26" t="inlineStr">
        <is>
          <t xml:space="preserve">  Other non-cash items, net (derived; doubtful-accounts allowance, financing-cost amortization, other)</t>
        </is>
      </c>
      <c r="C248" s="185" t="n">
        <v>4.026</v>
      </c>
      <c r="D248" s="185" t="n">
        <v>1.563</v>
      </c>
      <c r="E248" s="185" t="n">
        <v>4.133</v>
      </c>
      <c r="F248" s="185" t="n">
        <v>4.588</v>
      </c>
      <c r="G248" s="185" t="n">
        <v>2.551</v>
      </c>
      <c r="H248" s="185" t="n">
        <v>-0.722</v>
      </c>
      <c r="I248" s="185" t="n">
        <v>9.138999999999999</v>
      </c>
      <c r="J248" s="185" t="n">
        <v>15.692</v>
      </c>
      <c r="K248" s="185" t="n">
        <v>0.987</v>
      </c>
      <c r="L248" s="185" t="n">
        <v>2.66</v>
      </c>
      <c r="M248" s="185" t="n">
        <v>3.739</v>
      </c>
      <c r="N248" s="185" t="n">
        <v>23.078</v>
      </c>
      <c r="O248" s="185" t="n">
        <v>-1.268</v>
      </c>
      <c r="P248" s="185" t="n">
        <v>3.926</v>
      </c>
      <c r="Q248" s="185" t="n">
        <v>2.406</v>
      </c>
      <c r="R248" s="185" t="n">
        <v>2.7</v>
      </c>
      <c r="S248" s="185" t="n">
        <v>7.764</v>
      </c>
      <c r="T248" s="185" t="n">
        <v>2.498</v>
      </c>
      <c r="U248" s="185" t="n">
        <v>3.754</v>
      </c>
      <c r="V248" s="185" t="n">
        <v>2.048</v>
      </c>
      <c r="W248" s="185" t="n">
        <v>1</v>
      </c>
      <c r="X248" s="185" t="n">
        <v>9.300000000000001</v>
      </c>
      <c r="Y248" s="185" t="n">
        <v>1.949</v>
      </c>
      <c r="Z248" s="185" t="n">
        <v>3.495</v>
      </c>
      <c r="AA248" s="185" t="n">
        <v>4.028</v>
      </c>
      <c r="AB248" s="185" t="n">
        <v>-4.746</v>
      </c>
      <c r="AC248" s="185" t="n">
        <v>4.726</v>
      </c>
      <c r="AD248" s="185" t="n">
        <v>4.313</v>
      </c>
      <c r="AE248" s="185" t="n">
        <v>9.353999999999999</v>
      </c>
      <c r="AF248" s="185" t="n">
        <v>5.235</v>
      </c>
      <c r="AG248" s="185" t="n">
        <v>6.491</v>
      </c>
      <c r="AH248" s="185" t="n">
        <v>25.393</v>
      </c>
      <c r="AI248" s="185" t="n">
        <v>3.518</v>
      </c>
      <c r="AJ248" s="185" t="n">
        <v>5.205</v>
      </c>
      <c r="AK248" s="185" t="n">
        <v>3.905</v>
      </c>
      <c r="AL248" s="185" t="n">
        <v>14.033</v>
      </c>
      <c r="AM248" s="185" t="n">
        <v>26.661</v>
      </c>
      <c r="AN248" s="185" t="n">
        <v>-5.408</v>
      </c>
      <c r="AO248" s="185" t="n">
        <v>2.756</v>
      </c>
      <c r="AP248" s="185" t="n">
        <v>8.942</v>
      </c>
      <c r="AQ248" s="185" t="n">
        <v>3.161</v>
      </c>
      <c r="AR248" s="185" t="n">
        <v>9.451000000000001</v>
      </c>
      <c r="AS248" s="185" t="n">
        <v>7.956</v>
      </c>
      <c r="AT248" s="185" t="n">
        <v>5.702</v>
      </c>
      <c r="AU248" s="185" t="n">
        <v>0.068</v>
      </c>
      <c r="AV248" s="185" t="n">
        <v>0.363</v>
      </c>
      <c r="AW248" s="185" t="n">
        <v>14.089</v>
      </c>
      <c r="AX248" s="185" t="n">
        <v>4.574</v>
      </c>
      <c r="AY248" s="185" t="n">
        <v>2.049</v>
      </c>
      <c r="AZ248" s="185" t="n">
        <v>5.79</v>
      </c>
      <c r="BA248" s="185" t="n">
        <v>0.365</v>
      </c>
      <c r="BB248" s="185" t="n">
        <v>12.778</v>
      </c>
      <c r="BC248" s="185" t="n">
        <v>4.476</v>
      </c>
      <c r="BD248" s="185" t="n">
        <v>3.617</v>
      </c>
      <c r="BE248" s="185" t="n">
        <v>1.252</v>
      </c>
      <c r="BF248" s="185" t="n">
        <v>2.689</v>
      </c>
      <c r="BG248" s="185" t="n">
        <v>12.034</v>
      </c>
      <c r="BH248" s="185" t="n">
        <v>4.998</v>
      </c>
      <c r="BI248" s="185" t="n">
        <v>2.458</v>
      </c>
      <c r="BJ248" s="185" t="n">
        <v>2.395</v>
      </c>
      <c r="BK248" s="185" t="n">
        <v>1.979</v>
      </c>
      <c r="BL248" s="185" t="n">
        <v>11.83</v>
      </c>
      <c r="BM248" s="185" t="n">
        <v>4.198</v>
      </c>
      <c r="BN248" s="185" t="n">
        <v>4.396</v>
      </c>
      <c r="BO248" s="185" t="n">
        <v>4.134</v>
      </c>
      <c r="BP248" s="185" t="n">
        <v>3.547</v>
      </c>
      <c r="BQ248" s="185" t="n">
        <v>16.275</v>
      </c>
      <c r="BR248" s="185" t="n">
        <v>5.423</v>
      </c>
      <c r="BS248" s="185" t="n">
        <v>2.713</v>
      </c>
      <c r="BT248" s="185" t="n">
        <v>1.426</v>
      </c>
      <c r="BU248" s="185" t="n">
        <v>7.911</v>
      </c>
      <c r="BV248" s="185" t="n">
        <v>17.473</v>
      </c>
      <c r="BW248" s="185" t="n">
        <v>4.957</v>
      </c>
      <c r="BX248" s="185" t="n">
        <v>3.905</v>
      </c>
      <c r="BY248" s="168" t="n"/>
      <c r="BZ248" s="168" t="n"/>
      <c r="CA248" s="186">
        <f>(BW248+BX248)</f>
        <v>8.862</v>
      </c>
      <c r="CB248" s="186">
        <f>0</f>
        <v>0</v>
      </c>
      <c r="CC248" s="186">
        <f>0</f>
        <v>0</v>
      </c>
      <c r="CD248" s="186">
        <f>0</f>
        <v>0</v>
      </c>
      <c r="CE248" s="186">
        <f>0</f>
        <v>0</v>
      </c>
      <c r="CF248" s="20" t="n"/>
    </row>
    <row r="249" ht="15" customHeight="1">
      <c r="B249" s="26" t="inlineStr">
        <is>
          <t xml:space="preserve">  Changes in operating assets &amp; liabilities, net</t>
        </is>
      </c>
      <c r="C249" s="185" t="n">
        <v>-15.14</v>
      </c>
      <c r="D249" s="185" t="n">
        <v>-5.061</v>
      </c>
      <c r="E249" s="185" t="n">
        <v>2.158</v>
      </c>
      <c r="F249" s="185" t="n">
        <v>-16.043</v>
      </c>
      <c r="G249" s="185" t="n">
        <v>-2.634</v>
      </c>
      <c r="H249" s="185" t="n">
        <v>-111.183</v>
      </c>
      <c r="I249" s="185" t="n">
        <v>-8.019</v>
      </c>
      <c r="J249" s="185" t="n">
        <v>-46.016</v>
      </c>
      <c r="K249" s="185" t="n">
        <v>6.627</v>
      </c>
      <c r="L249" s="185" t="n">
        <v>37.551</v>
      </c>
      <c r="M249" s="185" t="n">
        <v>6.076</v>
      </c>
      <c r="N249" s="185" t="n">
        <v>4.238</v>
      </c>
      <c r="O249" s="185" t="n">
        <v>-72.447</v>
      </c>
      <c r="P249" s="185" t="n">
        <v>10.87</v>
      </c>
      <c r="Q249" s="185" t="n">
        <v>-28.443</v>
      </c>
      <c r="R249" s="185" t="n">
        <v>-19.667</v>
      </c>
      <c r="S249" s="185" t="n">
        <v>-109.687</v>
      </c>
      <c r="T249" s="185" t="n">
        <v>22.665</v>
      </c>
      <c r="U249" s="185" t="n">
        <v>-6.34</v>
      </c>
      <c r="V249" s="185" t="n">
        <v>27.875</v>
      </c>
      <c r="W249" s="185" t="n">
        <v>3.188</v>
      </c>
      <c r="X249" s="185" t="n">
        <v>47.388</v>
      </c>
      <c r="Y249" s="185" t="n">
        <v>-11.683</v>
      </c>
      <c r="Z249" s="185" t="n">
        <v>4.398</v>
      </c>
      <c r="AA249" s="185" t="n">
        <v>-6.152</v>
      </c>
      <c r="AB249" s="185" t="n">
        <v>-15.341</v>
      </c>
      <c r="AC249" s="185" t="n">
        <v>-28.778</v>
      </c>
      <c r="AD249" s="185" t="n">
        <v>-0.134</v>
      </c>
      <c r="AE249" s="185" t="n">
        <v>-17.147</v>
      </c>
      <c r="AF249" s="185" t="n">
        <v>11.957</v>
      </c>
      <c r="AG249" s="185" t="n">
        <v>-18.911</v>
      </c>
      <c r="AH249" s="185" t="n">
        <v>-24.235</v>
      </c>
      <c r="AI249" s="185" t="n">
        <v>-16.343</v>
      </c>
      <c r="AJ249" s="185" t="n">
        <v>-34.679</v>
      </c>
      <c r="AK249" s="185" t="n">
        <v>5.142</v>
      </c>
      <c r="AL249" s="185" t="n">
        <v>-9.551</v>
      </c>
      <c r="AM249" s="185" t="n">
        <v>-55.431</v>
      </c>
      <c r="AN249" s="185" t="n">
        <v>-45.528</v>
      </c>
      <c r="AO249" s="185" t="n">
        <v>-6.401</v>
      </c>
      <c r="AP249" s="185" t="n">
        <v>25.471</v>
      </c>
      <c r="AQ249" s="185" t="n">
        <v>15.497</v>
      </c>
      <c r="AR249" s="185" t="n">
        <v>-10.961</v>
      </c>
      <c r="AS249" s="185" t="n">
        <v>-69.34099999999999</v>
      </c>
      <c r="AT249" s="185" t="n">
        <v>27.382</v>
      </c>
      <c r="AU249" s="185" t="n">
        <v>4.165</v>
      </c>
      <c r="AV249" s="185" t="n">
        <v>5.072</v>
      </c>
      <c r="AW249" s="185" t="n">
        <v>-32.722</v>
      </c>
      <c r="AX249" s="185" t="n">
        <v>0.869</v>
      </c>
      <c r="AY249" s="185" t="n">
        <v>17</v>
      </c>
      <c r="AZ249" s="185" t="n">
        <v>-46.247</v>
      </c>
      <c r="BA249" s="185" t="n">
        <v>40.676</v>
      </c>
      <c r="BB249" s="185" t="n">
        <v>12.298</v>
      </c>
      <c r="BC249" s="185" t="n">
        <v>-180.508</v>
      </c>
      <c r="BD249" s="185" t="n">
        <v>-67.718</v>
      </c>
      <c r="BE249" s="185" t="n">
        <v>-9.128</v>
      </c>
      <c r="BF249" s="185" t="n">
        <v>69.398</v>
      </c>
      <c r="BG249" s="185" t="n">
        <v>-187.956</v>
      </c>
      <c r="BH249" s="185" t="n">
        <v>-135.546</v>
      </c>
      <c r="BI249" s="185" t="n">
        <v>-0.078</v>
      </c>
      <c r="BJ249" s="185" t="n">
        <v>30.605</v>
      </c>
      <c r="BK249" s="185" t="n">
        <v>61.201</v>
      </c>
      <c r="BL249" s="185" t="n">
        <v>-43.818</v>
      </c>
      <c r="BM249" s="185" t="n">
        <v>-156.201</v>
      </c>
      <c r="BN249" s="185" t="n">
        <v>-31.795</v>
      </c>
      <c r="BO249" s="185" t="n">
        <v>20.065</v>
      </c>
      <c r="BP249" s="185" t="n">
        <v>89.715</v>
      </c>
      <c r="BQ249" s="185" t="n">
        <v>-78.21599999999999</v>
      </c>
      <c r="BR249" s="185" t="n">
        <v>-173.279</v>
      </c>
      <c r="BS249" s="185" t="n">
        <v>-43.966</v>
      </c>
      <c r="BT249" s="185" t="n">
        <v>58.5</v>
      </c>
      <c r="BU249" s="185" t="n">
        <v>125.209</v>
      </c>
      <c r="BV249" s="185" t="n">
        <v>-33.536</v>
      </c>
      <c r="BW249" s="185" t="n">
        <v>-185.059</v>
      </c>
      <c r="BX249" s="185" t="n">
        <v>-71.904</v>
      </c>
      <c r="BY249" s="168" t="n"/>
      <c r="BZ249" s="168" t="n"/>
      <c r="CA249" s="186">
        <f>(BW249+BX249)-((CA294+CA295+CA296)-(BX294+BX295+BX296)-CA352)+((CA307+CA308)-(BX307+BX308))</f>
        <v>-99.2462273491998</v>
      </c>
      <c r="CB249" s="186">
        <f>-((CB294+CB295+CB296)-(CA294+CA295+CA296))+((CB307+CB308)-(CA307+CA308))</f>
        <v>-68.7945012883394</v>
      </c>
      <c r="CC249" s="186">
        <f>-((CC294+CC295+CC296)-(CB294+CB295+CB296))+((CC307+CC308)-(CB307+CB308))</f>
        <v>-100.934438462472</v>
      </c>
      <c r="CD249" s="186">
        <f>-((CD294+CD295+CD296)-(CC294+CC295+CC296))+((CD307+CD308)-(CC307+CC308))</f>
        <v>-101.841863294224</v>
      </c>
      <c r="CE249" s="186">
        <f>-((CE294+CE295+CE296)-(CD294+CD295+CD296))+((CE307+CE308)-(CD307+CD308))</f>
        <v>-104.869917895186</v>
      </c>
      <c r="CF249" s="20" t="inlineStr">
        <is>
          <t>Linked to the balance sheet: −Δ(receivables, unbilled, inventories) + Δ(payables, deferred revenue); 2026E excludes balances acquired with ES&amp;H / EnviroServe.</t>
        </is>
      </c>
    </row>
    <row r="250" ht="15" customHeight="1">
      <c r="B250" s="209" t="inlineStr">
        <is>
          <t>Net cash from operating activities</t>
        </is>
      </c>
      <c r="C250" s="213" t="n">
        <v>61.382</v>
      </c>
      <c r="D250" s="213" t="n">
        <v>79.995</v>
      </c>
      <c r="E250" s="213" t="n">
        <v>109.59</v>
      </c>
      <c r="F250" s="213" t="n">
        <v>93.27</v>
      </c>
      <c r="G250" s="213" t="n">
        <v>224.108</v>
      </c>
      <c r="H250" s="213" t="n">
        <v>179.531</v>
      </c>
      <c r="I250" s="213" t="n">
        <v>324.365</v>
      </c>
      <c r="J250" s="213" t="n">
        <v>39.589</v>
      </c>
      <c r="K250" s="213" t="n">
        <v>98.023</v>
      </c>
      <c r="L250" s="213" t="n">
        <v>142.502</v>
      </c>
      <c r="M250" s="213" t="n">
        <v>135.725</v>
      </c>
      <c r="N250" s="213" t="n">
        <v>415.839</v>
      </c>
      <c r="O250" s="213" t="n">
        <v>4.596</v>
      </c>
      <c r="P250" s="213" t="n">
        <v>110.348</v>
      </c>
      <c r="Q250" s="213" t="n">
        <v>81.095</v>
      </c>
      <c r="R250" s="213" t="n">
        <v>101.327</v>
      </c>
      <c r="S250" s="213" t="n">
        <v>297.366</v>
      </c>
      <c r="T250" s="213" t="n">
        <v>84.777</v>
      </c>
      <c r="U250" s="213" t="n">
        <v>109.038</v>
      </c>
      <c r="V250" s="213" t="n">
        <v>115.778</v>
      </c>
      <c r="W250" s="213" t="n">
        <v>86.79000000000001</v>
      </c>
      <c r="X250" s="213" t="n">
        <v>396.383</v>
      </c>
      <c r="Y250" s="213" t="n">
        <v>39.289</v>
      </c>
      <c r="Z250" s="213" t="n">
        <v>80.762</v>
      </c>
      <c r="AA250" s="213" t="n">
        <v>58.776</v>
      </c>
      <c r="AB250" s="213" t="n">
        <v>80.797</v>
      </c>
      <c r="AC250" s="213" t="n">
        <v>259.624</v>
      </c>
      <c r="AD250" s="213" t="n">
        <v>57.119</v>
      </c>
      <c r="AE250" s="213" t="n">
        <v>59.812</v>
      </c>
      <c r="AF250" s="213" t="n">
        <v>104.538</v>
      </c>
      <c r="AG250" s="213" t="n">
        <v>64.229</v>
      </c>
      <c r="AH250" s="213" t="n">
        <v>285.698</v>
      </c>
      <c r="AI250" s="213" t="n">
        <v>51.903</v>
      </c>
      <c r="AJ250" s="213" t="n">
        <v>77.767</v>
      </c>
      <c r="AK250" s="213" t="n">
        <v>117.545</v>
      </c>
      <c r="AL250" s="213" t="n">
        <v>125.995</v>
      </c>
      <c r="AM250" s="213" t="n">
        <v>373.21</v>
      </c>
      <c r="AN250" s="213" t="n">
        <v>29.74</v>
      </c>
      <c r="AO250" s="213" t="n">
        <v>108.73</v>
      </c>
      <c r="AP250" s="213" t="n">
        <v>146.205</v>
      </c>
      <c r="AQ250" s="213" t="n">
        <v>128.517</v>
      </c>
      <c r="AR250" s="213" t="n">
        <v>413.192</v>
      </c>
      <c r="AS250" s="213" t="n">
        <v>33.681</v>
      </c>
      <c r="AT250" s="213" t="n">
        <v>139.805</v>
      </c>
      <c r="AU250" s="213" t="n">
        <v>143.946</v>
      </c>
      <c r="AV250" s="213" t="n">
        <v>113.165</v>
      </c>
      <c r="AW250" s="213" t="n">
        <v>430.597</v>
      </c>
      <c r="AX250" s="213" t="n">
        <v>103</v>
      </c>
      <c r="AY250" s="213" t="n">
        <v>162.432</v>
      </c>
      <c r="AZ250" s="213" t="n">
        <v>102.794</v>
      </c>
      <c r="BA250" s="213" t="n">
        <v>177.771</v>
      </c>
      <c r="BB250" s="213" t="n">
        <v>545.997</v>
      </c>
      <c r="BC250" s="213" t="n">
        <v>-38.629</v>
      </c>
      <c r="BD250" s="213" t="n">
        <v>170.599</v>
      </c>
      <c r="BE250" s="213" t="n">
        <v>225.572</v>
      </c>
      <c r="BF250" s="213" t="n">
        <v>268.672</v>
      </c>
      <c r="BG250" s="213" t="n">
        <v>626.2140000000001</v>
      </c>
      <c r="BH250" s="213" t="n">
        <v>28.008</v>
      </c>
      <c r="BI250" s="213" t="n">
        <v>207.565</v>
      </c>
      <c r="BJ250" s="213" t="n">
        <v>220.119</v>
      </c>
      <c r="BK250" s="213" t="n">
        <v>278.86</v>
      </c>
      <c r="BL250" s="213" t="n">
        <v>734.552</v>
      </c>
      <c r="BM250" s="213" t="n">
        <v>18.549</v>
      </c>
      <c r="BN250" s="213" t="n">
        <v>216.045</v>
      </c>
      <c r="BO250" s="213" t="n">
        <v>239.239</v>
      </c>
      <c r="BP250" s="213" t="n">
        <v>303.938</v>
      </c>
      <c r="BQ250" s="213" t="n">
        <v>777.771</v>
      </c>
      <c r="BR250" s="213" t="n">
        <v>1.605</v>
      </c>
      <c r="BS250" s="213" t="n">
        <v>208.04</v>
      </c>
      <c r="BT250" s="213" t="n">
        <v>301.987</v>
      </c>
      <c r="BU250" s="213" t="n">
        <v>355.093</v>
      </c>
      <c r="BV250" s="213" t="n">
        <v>866.725</v>
      </c>
      <c r="BW250" s="213" t="n">
        <v>6.297</v>
      </c>
      <c r="BX250" s="213" t="n">
        <v>239.173</v>
      </c>
      <c r="BY250" s="60" t="n"/>
      <c r="BZ250" s="60" t="n"/>
      <c r="CA250" s="210">
        <f>SUM(CA240:CA249)</f>
        <v>941.423718105709</v>
      </c>
      <c r="CB250" s="210">
        <f>SUM(CB240:CB249)</f>
        <v>1093.23563527854</v>
      </c>
      <c r="CC250" s="210">
        <f>SUM(CC240:CC249)</f>
        <v>1196.92358220277</v>
      </c>
      <c r="CD250" s="210">
        <f>SUM(CD240:CD249)</f>
        <v>1319.03118912061</v>
      </c>
      <c r="CE250" s="210">
        <f>SUM(CE240:CE249)</f>
        <v>1431.80540603753</v>
      </c>
      <c r="CF250" s="20" t="n"/>
      <c r="CH250" s="21">
        <f>IFERROR((CE250/BV250)^(1/5)-1,"n/m")</f>
        <v>0.105606376615723</v>
      </c>
      <c r="CI250" s="21">
        <f>IFERROR((BV250/AW250)^(1/5)-1,"n/m")</f>
        <v>0.150170077107606</v>
      </c>
      <c r="CJ250" s="21">
        <f>IFERROR((BV250/X250)^(1/10)-1,"n/m")</f>
        <v>0.081375760209299</v>
      </c>
      <c r="CK250" s="21">
        <f>IFERROR((BV250/C250)^(1/19)-1,"n/m")</f>
        <v>0.149523647817955</v>
      </c>
    </row>
    <row r="251" ht="15" customHeight="1">
      <c r="B251" s="26" t="inlineStr">
        <is>
          <t>Additions to property, plant &amp; equipment</t>
        </is>
      </c>
      <c r="C251" s="185" t="n">
        <v>-40.668</v>
      </c>
      <c r="D251" s="185" t="n">
        <v>-36.528</v>
      </c>
      <c r="E251" s="185" t="n">
        <v>-57.462</v>
      </c>
      <c r="F251" s="185" t="n">
        <v>-62.244</v>
      </c>
      <c r="G251" s="185" t="n">
        <v>-116.45</v>
      </c>
      <c r="H251" s="185" t="n">
        <v>-148.513</v>
      </c>
      <c r="I251" s="185" t="n">
        <v>-197.397</v>
      </c>
      <c r="J251" s="185" t="n">
        <v>-72.249</v>
      </c>
      <c r="K251" s="185" t="n">
        <v>-69.217</v>
      </c>
      <c r="L251" s="185" t="n">
        <v>-66.175</v>
      </c>
      <c r="M251" s="185" t="n">
        <v>-72.566</v>
      </c>
      <c r="N251" s="185" t="n">
        <v>-280.207</v>
      </c>
      <c r="O251" s="185" t="n">
        <v>-75.005</v>
      </c>
      <c r="P251" s="185" t="n">
        <v>-63.181</v>
      </c>
      <c r="Q251" s="185" t="n">
        <v>-60.691</v>
      </c>
      <c r="R251" s="185" t="n">
        <v>-58.736</v>
      </c>
      <c r="S251" s="185" t="n">
        <v>-257.613</v>
      </c>
      <c r="T251" s="185" t="n">
        <v>-52.949</v>
      </c>
      <c r="U251" s="185" t="n">
        <v>-71.196</v>
      </c>
      <c r="V251" s="185" t="n">
        <v>-65.854</v>
      </c>
      <c r="W251" s="185" t="n">
        <v>-67.197</v>
      </c>
      <c r="X251" s="185" t="n">
        <v>-257.196</v>
      </c>
      <c r="Y251" s="185" t="n">
        <v>-75.78100000000001</v>
      </c>
      <c r="Z251" s="185" t="n">
        <v>-47.748</v>
      </c>
      <c r="AA251" s="185" t="n">
        <v>-51.819</v>
      </c>
      <c r="AB251" s="185" t="n">
        <v>-44.036</v>
      </c>
      <c r="AC251" s="185" t="n">
        <v>-219.384</v>
      </c>
      <c r="AD251" s="185" t="n">
        <v>-42.462</v>
      </c>
      <c r="AE251" s="185" t="n">
        <v>-46.28</v>
      </c>
      <c r="AF251" s="185" t="n">
        <v>-38.994</v>
      </c>
      <c r="AG251" s="185" t="n">
        <v>-39.271</v>
      </c>
      <c r="AH251" s="185" t="n">
        <v>-167.007</v>
      </c>
      <c r="AI251" s="185" t="n">
        <v>-44.242</v>
      </c>
      <c r="AJ251" s="185" t="n">
        <v>-49.897</v>
      </c>
      <c r="AK251" s="185" t="n">
        <v>-56.583</v>
      </c>
      <c r="AL251" s="185" t="n">
        <v>-42.622</v>
      </c>
      <c r="AM251" s="185" t="n">
        <v>-193.344</v>
      </c>
      <c r="AN251" s="185" t="n">
        <v>-58.947</v>
      </c>
      <c r="AO251" s="185" t="n">
        <v>-59.425</v>
      </c>
      <c r="AP251" s="185" t="n">
        <v>-56.161</v>
      </c>
      <c r="AQ251" s="185" t="n">
        <v>-41.791</v>
      </c>
      <c r="AR251" s="185" t="n">
        <v>-216.324</v>
      </c>
      <c r="AS251" s="185" t="n">
        <v>-82.767</v>
      </c>
      <c r="AT251" s="185" t="n">
        <v>-42.954</v>
      </c>
      <c r="AU251" s="185" t="n">
        <v>-24.636</v>
      </c>
      <c r="AV251" s="185" t="n">
        <v>-45.899</v>
      </c>
      <c r="AW251" s="185" t="n">
        <v>-196.256</v>
      </c>
      <c r="AX251" s="185" t="n">
        <v>-41.913</v>
      </c>
      <c r="AY251" s="185" t="n">
        <v>-50.075</v>
      </c>
      <c r="AZ251" s="185" t="n">
        <v>-54.666</v>
      </c>
      <c r="BA251" s="185" t="n">
        <v>-95.202</v>
      </c>
      <c r="BB251" s="185" t="n">
        <v>-241.856</v>
      </c>
      <c r="BC251" s="185" t="n">
        <v>-70.30800000000001</v>
      </c>
      <c r="BD251" s="185" t="n">
        <v>-77.73399999999999</v>
      </c>
      <c r="BE251" s="185" t="n">
        <v>-96.505</v>
      </c>
      <c r="BF251" s="185" t="n">
        <v>-100.509</v>
      </c>
      <c r="BG251" s="185" t="n">
        <v>-345.056</v>
      </c>
      <c r="BH251" s="185" t="n">
        <v>-81.68600000000001</v>
      </c>
      <c r="BI251" s="185" t="n">
        <v>-122.612</v>
      </c>
      <c r="BJ251" s="185" t="n">
        <v>-107.608</v>
      </c>
      <c r="BK251" s="185" t="n">
        <v>-110.394</v>
      </c>
      <c r="BL251" s="185" t="n">
        <v>-422.3</v>
      </c>
      <c r="BM251" s="185" t="n">
        <v>-137.913</v>
      </c>
      <c r="BN251" s="185" t="n">
        <v>-135.11</v>
      </c>
      <c r="BO251" s="185" t="n">
        <v>-96.803</v>
      </c>
      <c r="BP251" s="185" t="n">
        <v>-62.415</v>
      </c>
      <c r="BQ251" s="185" t="n">
        <v>-432.241</v>
      </c>
      <c r="BR251" s="185" t="n">
        <v>-118.695</v>
      </c>
      <c r="BS251" s="185" t="n">
        <v>-90.029</v>
      </c>
      <c r="BT251" s="185" t="n">
        <v>-94.44499999999999</v>
      </c>
      <c r="BU251" s="185" t="n">
        <v>-121.749</v>
      </c>
      <c r="BV251" s="185" t="n">
        <v>-424.918</v>
      </c>
      <c r="BW251" s="185" t="n">
        <v>-98.443</v>
      </c>
      <c r="BX251" s="185" t="n">
        <v>-126.195</v>
      </c>
      <c r="BY251" s="168" t="n"/>
      <c r="BZ251" s="168" t="n"/>
      <c r="CA251" s="186">
        <f>-CHOOSE(MATCH($CF$2,{"Bull","Base","Bear"},0),$CO$15,$CP$15,$CQ$15)</f>
        <v>-535</v>
      </c>
      <c r="CB251" s="186">
        <f>-CB138*CB277</f>
        <v>-523.973146435558</v>
      </c>
      <c r="CC251" s="186">
        <f>-CC138*CC277</f>
        <v>-567.108837532076</v>
      </c>
      <c r="CD251" s="186">
        <f>-CD138*CD277</f>
        <v>-610.795397184042</v>
      </c>
      <c r="CE251" s="186">
        <f>-CE138*CE277</f>
        <v>-655.912019540284</v>
      </c>
      <c r="CF251" s="20" t="inlineStr">
        <is>
          <t>2026E: FY26 capex guidance (scenario end-point $505–565m, incl. ~$120m strategic growth projects). 2027E+: revenues × capex %.</t>
        </is>
      </c>
    </row>
    <row r="252" ht="15" customHeight="1">
      <c r="B252" s="26" t="inlineStr">
        <is>
          <t>Proceeds from sale &amp; disposal of fixed assets</t>
        </is>
      </c>
      <c r="C252" s="185" t="n">
        <v>2.01</v>
      </c>
      <c r="D252" s="185" t="n">
        <v>0.615</v>
      </c>
      <c r="E252" s="185" t="n">
        <v>0.537</v>
      </c>
      <c r="F252" s="185" t="n">
        <v>0.452</v>
      </c>
      <c r="G252" s="185" t="n">
        <v>16.053</v>
      </c>
      <c r="H252" s="185" t="n">
        <v>6.794</v>
      </c>
      <c r="I252" s="185" t="n">
        <v>8.125</v>
      </c>
      <c r="J252" s="185" t="n">
        <v>0.921</v>
      </c>
      <c r="K252" s="185" t="n">
        <v>1.273</v>
      </c>
      <c r="L252" s="185" t="n">
        <v>1.506</v>
      </c>
      <c r="M252" s="185" t="n">
        <v>0.999</v>
      </c>
      <c r="N252" s="185" t="n">
        <v>4.699</v>
      </c>
      <c r="O252" s="185" t="n">
        <v>0.876</v>
      </c>
      <c r="P252" s="185" t="n">
        <v>2.11</v>
      </c>
      <c r="Q252" s="185" t="n">
        <v>2.927</v>
      </c>
      <c r="R252" s="185" t="n">
        <v>2.251</v>
      </c>
      <c r="S252" s="185" t="n">
        <v>8.164</v>
      </c>
      <c r="T252" s="185" t="n">
        <v>0.76</v>
      </c>
      <c r="U252" s="185" t="n">
        <v>1.886</v>
      </c>
      <c r="V252" s="185" t="n">
        <v>1.094</v>
      </c>
      <c r="W252" s="185" t="n">
        <v>2.455</v>
      </c>
      <c r="X252" s="185" t="n">
        <v>6.195</v>
      </c>
      <c r="Y252" s="185" t="n">
        <v>1.273</v>
      </c>
      <c r="Z252" s="185" t="n">
        <v>1.395</v>
      </c>
      <c r="AA252" s="185" t="n">
        <v>1.314</v>
      </c>
      <c r="AB252" s="185" t="n">
        <v>16.835</v>
      </c>
      <c r="AC252" s="185" t="n">
        <v>20.817</v>
      </c>
      <c r="AD252" s="185" t="n">
        <v>1.03</v>
      </c>
      <c r="AE252" s="185" t="n">
        <v>1.091</v>
      </c>
      <c r="AF252" s="185" t="n">
        <v>3.254</v>
      </c>
      <c r="AG252" s="185" t="n">
        <v>1.749</v>
      </c>
      <c r="AH252" s="185" t="n">
        <v>7.124</v>
      </c>
      <c r="AI252" s="185" t="n">
        <v>0.798</v>
      </c>
      <c r="AJ252" s="185" t="n">
        <v>1.843</v>
      </c>
      <c r="AK252" s="185" t="n">
        <v>3.47</v>
      </c>
      <c r="AL252" s="185" t="n">
        <v>9.334</v>
      </c>
      <c r="AM252" s="185" t="n">
        <v>15.445</v>
      </c>
      <c r="AN252" s="185" t="n">
        <v>4.321</v>
      </c>
      <c r="AO252" s="185" t="n">
        <v>3.068</v>
      </c>
      <c r="AP252" s="185" t="n">
        <v>1.559</v>
      </c>
      <c r="AQ252" s="185" t="n">
        <v>2.707</v>
      </c>
      <c r="AR252" s="185" t="n">
        <v>11.655</v>
      </c>
      <c r="AS252" s="185" t="n">
        <v>2.15</v>
      </c>
      <c r="AT252" s="185" t="n">
        <v>0.951</v>
      </c>
      <c r="AU252" s="185" t="n">
        <v>4.206</v>
      </c>
      <c r="AV252" s="185" t="n">
        <v>2.316</v>
      </c>
      <c r="AW252" s="185" t="n">
        <v>9.622999999999999</v>
      </c>
      <c r="AX252" s="185" t="n">
        <v>1.204</v>
      </c>
      <c r="AY252" s="185" t="n">
        <v>2.275</v>
      </c>
      <c r="AZ252" s="185" t="n">
        <v>12.945</v>
      </c>
      <c r="BA252" s="185" t="n">
        <v>5.732</v>
      </c>
      <c r="BB252" s="185" t="n">
        <v>22.156</v>
      </c>
      <c r="BC252" s="185" t="n">
        <v>1.32</v>
      </c>
      <c r="BD252" s="185" t="n">
        <v>1.703</v>
      </c>
      <c r="BE252" s="185" t="n">
        <v>2.095</v>
      </c>
      <c r="BF252" s="185" t="n">
        <v>3.661</v>
      </c>
      <c r="BG252" s="185" t="n">
        <v>8.779</v>
      </c>
      <c r="BH252" s="185" t="n">
        <v>1.855</v>
      </c>
      <c r="BI252" s="185" t="n">
        <v>1.089</v>
      </c>
      <c r="BJ252" s="185" t="n">
        <v>2.185</v>
      </c>
      <c r="BK252" s="185" t="n">
        <v>4.521</v>
      </c>
      <c r="BL252" s="185" t="n">
        <v>9.65</v>
      </c>
      <c r="BM252" s="185" t="n">
        <v>1.008</v>
      </c>
      <c r="BN252" s="185" t="n">
        <v>3.287</v>
      </c>
      <c r="BO252" s="185" t="n">
        <v>2.058</v>
      </c>
      <c r="BP252" s="185" t="n">
        <v>2.746</v>
      </c>
      <c r="BQ252" s="185" t="n">
        <v>9.099</v>
      </c>
      <c r="BR252" s="185" t="n">
        <v>1.343</v>
      </c>
      <c r="BS252" s="185" t="n">
        <v>2.72</v>
      </c>
      <c r="BT252" s="185" t="n">
        <v>11.187</v>
      </c>
      <c r="BU252" s="185" t="n">
        <v>6.318</v>
      </c>
      <c r="BV252" s="185" t="n">
        <v>21.568</v>
      </c>
      <c r="BW252" s="185" t="n">
        <v>1.522</v>
      </c>
      <c r="BX252" s="185" t="n">
        <v>2.172</v>
      </c>
      <c r="BY252" s="168" t="n"/>
      <c r="BZ252" s="168" t="n"/>
      <c r="CA252" s="186">
        <f>$CP$24</f>
        <v>15</v>
      </c>
      <c r="CB252" s="186">
        <f>15</f>
        <v>15</v>
      </c>
      <c r="CC252" s="186">
        <f>15</f>
        <v>15</v>
      </c>
      <c r="CD252" s="186">
        <f>15</f>
        <v>15</v>
      </c>
      <c r="CE252" s="186">
        <f>15</f>
        <v>15</v>
      </c>
      <c r="CF252" s="20" t="n"/>
    </row>
    <row r="253" ht="15" customHeight="1">
      <c r="B253" s="26" t="inlineStr">
        <is>
          <t>Acquisitions, net of cash acquired</t>
        </is>
      </c>
      <c r="C253" s="185" t="n">
        <v>-51.492</v>
      </c>
      <c r="D253" s="185" t="n">
        <v>-7.41</v>
      </c>
      <c r="E253" s="185" t="n">
        <v>-27.628</v>
      </c>
      <c r="F253" s="185" t="n">
        <v>-54.476</v>
      </c>
      <c r="G253" s="185" t="n">
        <v>-14.646</v>
      </c>
      <c r="H253" s="185" t="n">
        <v>-336.96</v>
      </c>
      <c r="I253" s="185" t="n">
        <v>-1373.921</v>
      </c>
      <c r="J253" s="185" t="n">
        <v>-0.197</v>
      </c>
      <c r="K253" s="185" t="n">
        <v>0.197</v>
      </c>
      <c r="L253" s="185" t="n">
        <v>-59.458</v>
      </c>
      <c r="M253" s="185" t="n">
        <v>-3.806</v>
      </c>
      <c r="N253" s="185" t="n">
        <v>-63.264</v>
      </c>
      <c r="O253" s="185" t="n">
        <v>0</v>
      </c>
      <c r="P253" s="185" t="n">
        <v>-6.15</v>
      </c>
      <c r="Q253" s="185" t="n">
        <v>0</v>
      </c>
      <c r="R253" s="185" t="n">
        <v>-10.037</v>
      </c>
      <c r="S253" s="185" t="n">
        <v>-16.187</v>
      </c>
      <c r="T253" s="184" t="n"/>
      <c r="U253" s="185" t="n">
        <v>-79.61</v>
      </c>
      <c r="V253" s="185" t="n">
        <v>0</v>
      </c>
      <c r="W253" s="185" t="n">
        <v>-14.735</v>
      </c>
      <c r="X253" s="185" t="n">
        <v>-94.345</v>
      </c>
      <c r="Y253" s="185" t="n">
        <v>-34.993</v>
      </c>
      <c r="Z253" s="185" t="n">
        <v>-23.996</v>
      </c>
      <c r="AA253" s="185" t="n">
        <v>-148.1</v>
      </c>
      <c r="AB253" s="185" t="n">
        <v>0.174</v>
      </c>
      <c r="AC253" s="185" t="n">
        <v>-206.915</v>
      </c>
      <c r="AD253" s="185" t="n">
        <v>-11.946</v>
      </c>
      <c r="AE253" s="185" t="n">
        <v>2.669</v>
      </c>
      <c r="AF253" s="185" t="n">
        <v>-35.155</v>
      </c>
      <c r="AG253" s="185" t="n">
        <v>-4.795</v>
      </c>
      <c r="AH253" s="185" t="n">
        <v>-49.227</v>
      </c>
      <c r="AI253" s="185" t="n">
        <v>-120</v>
      </c>
      <c r="AJ253" s="185" t="n">
        <v>-3.75</v>
      </c>
      <c r="AK253" s="185" t="n">
        <v>-27.273</v>
      </c>
      <c r="AL253" s="185" t="n">
        <v>0</v>
      </c>
      <c r="AM253" s="185" t="n">
        <v>-151.023</v>
      </c>
      <c r="AN253" s="185" t="n">
        <v>-14.87</v>
      </c>
      <c r="AO253" s="185" t="n">
        <v>-14.609</v>
      </c>
      <c r="AP253" s="185" t="n">
        <v>0</v>
      </c>
      <c r="AQ253" s="185" t="n">
        <v>0.116</v>
      </c>
      <c r="AR253" s="185" t="n">
        <v>-29.363</v>
      </c>
      <c r="AS253" s="185" t="n">
        <v>0</v>
      </c>
      <c r="AT253" s="185" t="n">
        <v>-8.877000000000001</v>
      </c>
      <c r="AU253" s="185" t="n">
        <v>0.038</v>
      </c>
      <c r="AV253" s="185" t="n">
        <v>0</v>
      </c>
      <c r="AW253" s="185" t="n">
        <v>-8.839</v>
      </c>
      <c r="AX253" s="185" t="n">
        <v>-22.918</v>
      </c>
      <c r="AY253" s="185" t="n">
        <v>0</v>
      </c>
      <c r="AZ253" s="185" t="n">
        <v>0.099</v>
      </c>
      <c r="BA253" s="185" t="n">
        <v>-1230.413</v>
      </c>
      <c r="BB253" s="185" t="n">
        <v>-1253.232</v>
      </c>
      <c r="BC253" s="185" t="n">
        <v>5</v>
      </c>
      <c r="BD253" s="185" t="n">
        <v>-73.76600000000001</v>
      </c>
      <c r="BE253" s="185" t="n">
        <v>-4.802</v>
      </c>
      <c r="BF253" s="185" t="n">
        <v>-12.71</v>
      </c>
      <c r="BG253" s="185" t="n">
        <v>-86.27800000000001</v>
      </c>
      <c r="BH253" s="185" t="n">
        <v>-108.533</v>
      </c>
      <c r="BI253" s="185" t="n">
        <v>-12.103</v>
      </c>
      <c r="BJ253" s="185" t="n">
        <v>1.04</v>
      </c>
      <c r="BK253" s="185" t="n">
        <v>0</v>
      </c>
      <c r="BL253" s="185" t="n">
        <v>-119.596</v>
      </c>
      <c r="BM253" s="185" t="n">
        <v>-475.306</v>
      </c>
      <c r="BN253" s="185" t="n">
        <v>-1.895</v>
      </c>
      <c r="BO253" s="185" t="n">
        <v>3.19</v>
      </c>
      <c r="BP253" s="185" t="n">
        <v>-4</v>
      </c>
      <c r="BQ253" s="185" t="n">
        <v>-478.011</v>
      </c>
      <c r="BR253" s="185" t="n">
        <v>0</v>
      </c>
      <c r="BS253" s="185" t="n">
        <v>0</v>
      </c>
      <c r="BT253" s="185" t="n">
        <v>0</v>
      </c>
      <c r="BU253" s="185" t="n">
        <v>0</v>
      </c>
      <c r="BV253" s="185" t="n">
        <v>0</v>
      </c>
      <c r="BW253" s="185" t="n">
        <v>-131.82</v>
      </c>
      <c r="BX253" s="185" t="n">
        <v>-225.773</v>
      </c>
      <c r="BY253" s="168" t="n"/>
      <c r="BZ253" s="168" t="n"/>
      <c r="CA253" s="186">
        <f>(BW253+BX253)-CA351</f>
        <v>-1162.593</v>
      </c>
      <c r="CB253" s="186">
        <f>-CB75</f>
        <v>-300</v>
      </c>
      <c r="CC253" s="186">
        <f>-CC75</f>
        <v>-300</v>
      </c>
      <c r="CD253" s="186">
        <f>-CD75</f>
        <v>-300</v>
      </c>
      <c r="CE253" s="186">
        <f>-CE75</f>
        <v>-300</v>
      </c>
      <c r="CF253" s="20" t="inlineStr">
        <is>
          <t>2026E: 1H/26 (Depot Connect $131m, Terra Nova $226m) + Western Oil $30m + ES&amp;H $305m + EnviroServe $470m. 2027E+: M&amp;A lever.</t>
        </is>
      </c>
    </row>
    <row r="254" ht="15" customHeight="1">
      <c r="B254" s="26" t="inlineStr">
        <is>
          <t>Proceeds from sale of businesses</t>
        </is>
      </c>
      <c r="C254" s="184" t="n"/>
      <c r="D254" s="184" t="n"/>
      <c r="E254" s="184" t="n"/>
      <c r="F254" s="184" t="n"/>
      <c r="G254" s="184" t="n"/>
      <c r="H254" s="184" t="n"/>
      <c r="I254" s="184" t="n"/>
      <c r="J254" s="184" t="n"/>
      <c r="K254" s="184" t="n"/>
      <c r="L254" s="184" t="n"/>
      <c r="M254" s="184" t="n"/>
      <c r="N254" s="184" t="n"/>
      <c r="O254" s="184" t="n"/>
      <c r="P254" s="184" t="n"/>
      <c r="Q254" s="184" t="n"/>
      <c r="R254" s="184" t="n"/>
      <c r="S254" s="184" t="n"/>
      <c r="T254" s="184" t="n"/>
      <c r="U254" s="184" t="n"/>
      <c r="V254" s="184" t="n"/>
      <c r="W254" s="184" t="n"/>
      <c r="X254" s="184" t="n"/>
      <c r="Y254" s="184" t="n"/>
      <c r="Z254" s="184" t="n"/>
      <c r="AA254" s="185" t="n">
        <v>47.134</v>
      </c>
      <c r="AB254" s="185" t="n">
        <v>0</v>
      </c>
      <c r="AC254" s="185" t="n">
        <v>47.134</v>
      </c>
      <c r="AD254" s="185" t="n">
        <v>2.018</v>
      </c>
      <c r="AE254" s="185" t="n">
        <v>44.373</v>
      </c>
      <c r="AF254" s="185" t="n">
        <v>-0.052</v>
      </c>
      <c r="AG254" s="185" t="n">
        <v>-0.913</v>
      </c>
      <c r="AH254" s="185" t="n">
        <v>45.426</v>
      </c>
      <c r="AI254" s="185" t="n">
        <v>0</v>
      </c>
      <c r="AJ254" s="185" t="n">
        <v>0</v>
      </c>
      <c r="AK254" s="185" t="n">
        <v>0</v>
      </c>
      <c r="AL254" s="185" t="n">
        <v>0</v>
      </c>
      <c r="AM254" s="185" t="n">
        <v>0</v>
      </c>
      <c r="AN254" s="184" t="n"/>
      <c r="AO254" s="184" t="n"/>
      <c r="AP254" s="184" t="n"/>
      <c r="AQ254" s="185" t="n">
        <v>4.714</v>
      </c>
      <c r="AR254" s="185" t="n">
        <v>4.714</v>
      </c>
      <c r="AS254" s="185" t="n">
        <v>7.856</v>
      </c>
      <c r="AT254" s="185" t="n">
        <v>-0.103</v>
      </c>
      <c r="AU254" s="185" t="n">
        <v>-0.041</v>
      </c>
      <c r="AV254" s="185" t="n">
        <v>0</v>
      </c>
      <c r="AW254" s="185" t="n">
        <v>7.712</v>
      </c>
      <c r="AX254" s="185" t="n">
        <v>0</v>
      </c>
      <c r="AY254" s="185" t="n">
        <v>0</v>
      </c>
      <c r="AZ254" s="185" t="n">
        <v>0</v>
      </c>
      <c r="BA254" s="185" t="n">
        <v>0</v>
      </c>
      <c r="BB254" s="185" t="n">
        <v>0</v>
      </c>
      <c r="BC254" s="184" t="n"/>
      <c r="BD254" s="185" t="n">
        <v>17.486</v>
      </c>
      <c r="BE254" s="185" t="n">
        <v>-0.675</v>
      </c>
      <c r="BF254" s="185" t="n">
        <v>0</v>
      </c>
      <c r="BG254" s="185" t="n">
        <v>16.811</v>
      </c>
      <c r="BH254" s="184" t="n"/>
      <c r="BI254" s="185" t="n">
        <v>0</v>
      </c>
      <c r="BJ254" s="185" t="n">
        <v>0.75</v>
      </c>
      <c r="BK254" s="185" t="n">
        <v>0</v>
      </c>
      <c r="BL254" s="185" t="n">
        <v>0.75</v>
      </c>
      <c r="BM254" s="185" t="n">
        <v>0.75</v>
      </c>
      <c r="BN254" s="185" t="n">
        <v>0</v>
      </c>
      <c r="BO254" s="185" t="n">
        <v>0</v>
      </c>
      <c r="BP254" s="185" t="n">
        <v>0</v>
      </c>
      <c r="BQ254" s="185" t="n">
        <v>0.75</v>
      </c>
      <c r="BR254" s="185" t="n">
        <v>0</v>
      </c>
      <c r="BS254" s="185" t="n">
        <v>0</v>
      </c>
      <c r="BT254" s="185" t="n">
        <v>0</v>
      </c>
      <c r="BU254" s="185" t="n">
        <v>4.275</v>
      </c>
      <c r="BV254" s="185" t="n">
        <v>4.275</v>
      </c>
      <c r="BW254" s="184" t="n"/>
      <c r="BX254" s="184" t="n"/>
      <c r="BY254" s="168" t="n"/>
      <c r="BZ254" s="168" t="n"/>
      <c r="CA254" s="186">
        <f>(BW254+BX254)</f>
        <v>0</v>
      </c>
      <c r="CB254" s="186">
        <f>0</f>
        <v>0</v>
      </c>
      <c r="CC254" s="186">
        <f>0</f>
        <v>0</v>
      </c>
      <c r="CD254" s="186">
        <f>0</f>
        <v>0</v>
      </c>
      <c r="CE254" s="186">
        <f>0</f>
        <v>0</v>
      </c>
      <c r="CF254" s="20" t="n"/>
    </row>
    <row r="255" ht="15" customHeight="1">
      <c r="B255" s="26" t="inlineStr">
        <is>
          <t>Other investing activities, net (derived; marketable securities, permits &amp; intangibles, insurance)</t>
        </is>
      </c>
      <c r="C255" s="185" t="n">
        <v>-8.734999999999999</v>
      </c>
      <c r="D255" s="185" t="n">
        <v>0.532</v>
      </c>
      <c r="E255" s="185" t="n">
        <v>0.038</v>
      </c>
      <c r="F255" s="185" t="n">
        <v>-2.123</v>
      </c>
      <c r="G255" s="185" t="n">
        <v>-10.644</v>
      </c>
      <c r="H255" s="185" t="n">
        <v>-1.502</v>
      </c>
      <c r="I255" s="185" t="n">
        <v>-9.443</v>
      </c>
      <c r="J255" s="185" t="n">
        <v>-0.725</v>
      </c>
      <c r="K255" s="185" t="n">
        <v>-1.444</v>
      </c>
      <c r="L255" s="185" t="n">
        <v>-2.199</v>
      </c>
      <c r="M255" s="185" t="n">
        <v>-2.372</v>
      </c>
      <c r="N255" s="185" t="n">
        <v>-6.74</v>
      </c>
      <c r="O255" s="185" t="n">
        <v>11.795</v>
      </c>
      <c r="P255" s="185" t="n">
        <v>-1.739</v>
      </c>
      <c r="Q255" s="185" t="n">
        <v>-1.638</v>
      </c>
      <c r="R255" s="185" t="n">
        <v>-1.076</v>
      </c>
      <c r="S255" s="185" t="n">
        <v>7.342</v>
      </c>
      <c r="T255" s="185" t="n">
        <v>-1.171</v>
      </c>
      <c r="U255" s="185" t="n">
        <v>-1.917</v>
      </c>
      <c r="V255" s="185" t="n">
        <v>-1.545</v>
      </c>
      <c r="W255" s="185" t="n">
        <v>-0.663</v>
      </c>
      <c r="X255" s="185" t="n">
        <v>-5.296</v>
      </c>
      <c r="Y255" s="185" t="n">
        <v>-0.512</v>
      </c>
      <c r="Z255" s="185" t="n">
        <v>-1.059</v>
      </c>
      <c r="AA255" s="185" t="n">
        <v>-0.947</v>
      </c>
      <c r="AB255" s="185" t="n">
        <v>-0.911</v>
      </c>
      <c r="AC255" s="185" t="n">
        <v>-3.429</v>
      </c>
      <c r="AD255" s="185" t="n">
        <v>-0.508</v>
      </c>
      <c r="AE255" s="185" t="n">
        <v>-0.355</v>
      </c>
      <c r="AF255" s="185" t="n">
        <v>-0.109</v>
      </c>
      <c r="AG255" s="185" t="n">
        <v>-38.611</v>
      </c>
      <c r="AH255" s="185" t="n">
        <v>-39.583</v>
      </c>
      <c r="AI255" s="185" t="n">
        <v>-0.984</v>
      </c>
      <c r="AJ255" s="185" t="n">
        <v>0.091</v>
      </c>
      <c r="AK255" s="185" t="n">
        <v>-2.955</v>
      </c>
      <c r="AL255" s="185" t="n">
        <v>-16.889</v>
      </c>
      <c r="AM255" s="185" t="n">
        <v>-20.737</v>
      </c>
      <c r="AN255" s="185" t="n">
        <v>-5.473</v>
      </c>
      <c r="AO255" s="185" t="n">
        <v>6.067</v>
      </c>
      <c r="AP255" s="185" t="n">
        <v>7.361</v>
      </c>
      <c r="AQ255" s="185" t="n">
        <v>3.507</v>
      </c>
      <c r="AR255" s="185" t="n">
        <v>11.462</v>
      </c>
      <c r="AS255" s="185" t="n">
        <v>-20.326</v>
      </c>
      <c r="AT255" s="185" t="n">
        <v>2.385</v>
      </c>
      <c r="AU255" s="185" t="n">
        <v>1.822</v>
      </c>
      <c r="AV255" s="185" t="n">
        <v>4.419</v>
      </c>
      <c r="AW255" s="185" t="n">
        <v>-11.7</v>
      </c>
      <c r="AX255" s="185" t="n">
        <v>-23.11</v>
      </c>
      <c r="AY255" s="185" t="n">
        <v>2.197</v>
      </c>
      <c r="AZ255" s="185" t="n">
        <v>4.695</v>
      </c>
      <c r="BA255" s="185" t="n">
        <v>-18.452</v>
      </c>
      <c r="BB255" s="185" t="n">
        <v>-34.67</v>
      </c>
      <c r="BC255" s="185" t="n">
        <v>5.127</v>
      </c>
      <c r="BD255" s="185" t="n">
        <v>3.69</v>
      </c>
      <c r="BE255" s="185" t="n">
        <v>5.407</v>
      </c>
      <c r="BF255" s="185" t="n">
        <v>2.576</v>
      </c>
      <c r="BG255" s="185" t="n">
        <v>16.8</v>
      </c>
      <c r="BH255" s="185" t="n">
        <v>-9.57</v>
      </c>
      <c r="BI255" s="185" t="n">
        <v>-15.705</v>
      </c>
      <c r="BJ255" s="185" t="n">
        <v>3.829</v>
      </c>
      <c r="BK255" s="185" t="n">
        <v>-22.108</v>
      </c>
      <c r="BL255" s="185" t="n">
        <v>-43.554</v>
      </c>
      <c r="BM255" s="185" t="n">
        <v>1.588</v>
      </c>
      <c r="BN255" s="185" t="n">
        <v>12.921</v>
      </c>
      <c r="BO255" s="185" t="n">
        <v>9.285</v>
      </c>
      <c r="BP255" s="185" t="n">
        <v>-27.065</v>
      </c>
      <c r="BQ255" s="185" t="n">
        <v>-3.271</v>
      </c>
      <c r="BR255" s="185" t="n">
        <v>-2.978</v>
      </c>
      <c r="BS255" s="185" t="n">
        <v>6.897</v>
      </c>
      <c r="BT255" s="185" t="n">
        <v>7.413</v>
      </c>
      <c r="BU255" s="185" t="n">
        <v>-38.043</v>
      </c>
      <c r="BV255" s="185" t="n">
        <v>-26.711</v>
      </c>
      <c r="BW255" s="185" t="n">
        <v>6.018</v>
      </c>
      <c r="BX255" s="185" t="n">
        <v>11.999</v>
      </c>
      <c r="BY255" s="168" t="n"/>
      <c r="BZ255" s="168" t="n"/>
      <c r="CA255" s="186">
        <f>(BW255+BX255)</f>
        <v>18.017</v>
      </c>
      <c r="CB255" s="186">
        <f>0</f>
        <v>0</v>
      </c>
      <c r="CC255" s="186">
        <f>0</f>
        <v>0</v>
      </c>
      <c r="CD255" s="186">
        <f>0</f>
        <v>0</v>
      </c>
      <c r="CE255" s="186">
        <f>0</f>
        <v>0</v>
      </c>
      <c r="CF255" s="20" t="n"/>
    </row>
    <row r="256" ht="15" customHeight="1">
      <c r="B256" s="17" t="inlineStr">
        <is>
          <t>Net cash used in investing activities</t>
        </is>
      </c>
      <c r="C256" s="175" t="n">
        <v>-98.88500000000001</v>
      </c>
      <c r="D256" s="175" t="n">
        <v>-42.791</v>
      </c>
      <c r="E256" s="175" t="n">
        <v>-84.515</v>
      </c>
      <c r="F256" s="175" t="n">
        <v>-118.391</v>
      </c>
      <c r="G256" s="175" t="n">
        <v>-125.687</v>
      </c>
      <c r="H256" s="175" t="n">
        <v>-480.181</v>
      </c>
      <c r="I256" s="175" t="n">
        <v>-1572.636</v>
      </c>
      <c r="J256" s="175" t="n">
        <v>-72.25</v>
      </c>
      <c r="K256" s="175" t="n">
        <v>-69.191</v>
      </c>
      <c r="L256" s="175" t="n">
        <v>-126.326</v>
      </c>
      <c r="M256" s="175" t="n">
        <v>-77.745</v>
      </c>
      <c r="N256" s="175" t="n">
        <v>-345.512</v>
      </c>
      <c r="O256" s="175" t="n">
        <v>-62.334</v>
      </c>
      <c r="P256" s="175" t="n">
        <v>-68.95999999999999</v>
      </c>
      <c r="Q256" s="175" t="n">
        <v>-59.402</v>
      </c>
      <c r="R256" s="175" t="n">
        <v>-67.598</v>
      </c>
      <c r="S256" s="175" t="n">
        <v>-258.294</v>
      </c>
      <c r="T256" s="175" t="n">
        <v>-53.36</v>
      </c>
      <c r="U256" s="175" t="n">
        <v>-150.837</v>
      </c>
      <c r="V256" s="175" t="n">
        <v>-66.30500000000001</v>
      </c>
      <c r="W256" s="175" t="n">
        <v>-80.14</v>
      </c>
      <c r="X256" s="175" t="n">
        <v>-350.642</v>
      </c>
      <c r="Y256" s="175" t="n">
        <v>-110.013</v>
      </c>
      <c r="Z256" s="175" t="n">
        <v>-71.408</v>
      </c>
      <c r="AA256" s="175" t="n">
        <v>-152.418</v>
      </c>
      <c r="AB256" s="175" t="n">
        <v>-27.938</v>
      </c>
      <c r="AC256" s="175" t="n">
        <v>-361.777</v>
      </c>
      <c r="AD256" s="175" t="n">
        <v>-51.868</v>
      </c>
      <c r="AE256" s="175" t="n">
        <v>1.498</v>
      </c>
      <c r="AF256" s="175" t="n">
        <v>-71.056</v>
      </c>
      <c r="AG256" s="175" t="n">
        <v>-81.84099999999999</v>
      </c>
      <c r="AH256" s="175" t="n">
        <v>-203.267</v>
      </c>
      <c r="AI256" s="175" t="n">
        <v>-164.428</v>
      </c>
      <c r="AJ256" s="175" t="n">
        <v>-51.713</v>
      </c>
      <c r="AK256" s="175" t="n">
        <v>-83.34099999999999</v>
      </c>
      <c r="AL256" s="175" t="n">
        <v>-50.177</v>
      </c>
      <c r="AM256" s="175" t="n">
        <v>-349.659</v>
      </c>
      <c r="AN256" s="175" t="n">
        <v>-74.96899999999999</v>
      </c>
      <c r="AO256" s="175" t="n">
        <v>-64.899</v>
      </c>
      <c r="AP256" s="175" t="n">
        <v>-47.241</v>
      </c>
      <c r="AQ256" s="175" t="n">
        <v>-30.747</v>
      </c>
      <c r="AR256" s="175" t="n">
        <v>-217.856</v>
      </c>
      <c r="AS256" s="175" t="n">
        <v>-93.087</v>
      </c>
      <c r="AT256" s="175" t="n">
        <v>-48.598</v>
      </c>
      <c r="AU256" s="175" t="n">
        <v>-18.611</v>
      </c>
      <c r="AV256" s="175" t="n">
        <v>-39.164</v>
      </c>
      <c r="AW256" s="175" t="n">
        <v>-199.46</v>
      </c>
      <c r="AX256" s="175" t="n">
        <v>-86.73699999999999</v>
      </c>
      <c r="AY256" s="175" t="n">
        <v>-45.603</v>
      </c>
      <c r="AZ256" s="175" t="n">
        <v>-36.927</v>
      </c>
      <c r="BA256" s="175" t="n">
        <v>-1338.335</v>
      </c>
      <c r="BB256" s="175" t="n">
        <v>-1507.602</v>
      </c>
      <c r="BC256" s="175" t="n">
        <v>-58.861</v>
      </c>
      <c r="BD256" s="175" t="n">
        <v>-128.621</v>
      </c>
      <c r="BE256" s="175" t="n">
        <v>-94.48</v>
      </c>
      <c r="BF256" s="175" t="n">
        <v>-106.982</v>
      </c>
      <c r="BG256" s="175" t="n">
        <v>-388.944</v>
      </c>
      <c r="BH256" s="175" t="n">
        <v>-197.934</v>
      </c>
      <c r="BI256" s="175" t="n">
        <v>-149.331</v>
      </c>
      <c r="BJ256" s="175" t="n">
        <v>-99.804</v>
      </c>
      <c r="BK256" s="175" t="n">
        <v>-127.981</v>
      </c>
      <c r="BL256" s="175" t="n">
        <v>-575.05</v>
      </c>
      <c r="BM256" s="175" t="n">
        <v>-609.873</v>
      </c>
      <c r="BN256" s="175" t="n">
        <v>-120.797</v>
      </c>
      <c r="BO256" s="175" t="n">
        <v>-82.27</v>
      </c>
      <c r="BP256" s="175" t="n">
        <v>-90.73399999999999</v>
      </c>
      <c r="BQ256" s="175" t="n">
        <v>-903.674</v>
      </c>
      <c r="BR256" s="175" t="n">
        <v>-120.33</v>
      </c>
      <c r="BS256" s="175" t="n">
        <v>-80.41200000000001</v>
      </c>
      <c r="BT256" s="175" t="n">
        <v>-75.845</v>
      </c>
      <c r="BU256" s="175" t="n">
        <v>-149.199</v>
      </c>
      <c r="BV256" s="175" t="n">
        <v>-425.786</v>
      </c>
      <c r="BW256" s="175" t="n">
        <v>-222.723</v>
      </c>
      <c r="BX256" s="175" t="n">
        <v>-337.797</v>
      </c>
      <c r="BY256" s="34" t="n"/>
      <c r="BZ256" s="34" t="n"/>
      <c r="CA256" s="176">
        <f>SUM(CA251:CA255)</f>
        <v>-1664.576</v>
      </c>
      <c r="CB256" s="176">
        <f>SUM(CB251:CB255)</f>
        <v>-808.973146435558</v>
      </c>
      <c r="CC256" s="176">
        <f>SUM(CC251:CC255)</f>
        <v>-852.108837532076</v>
      </c>
      <c r="CD256" s="176">
        <f>SUM(CD251:CD255)</f>
        <v>-895.795397184042</v>
      </c>
      <c r="CE256" s="176">
        <f>SUM(CE251:CE255)</f>
        <v>-940.912019540284</v>
      </c>
      <c r="CF256" s="177" t="n"/>
    </row>
    <row r="257" ht="15" customHeight="1">
      <c r="B257" s="26" t="inlineStr">
        <is>
          <t>Proceeds from borrowings (notes, term loans, revolver draws)</t>
        </is>
      </c>
      <c r="C257" s="185" t="n">
        <v>30</v>
      </c>
      <c r="D257" s="185" t="n">
        <v>0</v>
      </c>
      <c r="E257" s="185" t="n">
        <v>0</v>
      </c>
      <c r="F257" s="185" t="n">
        <v>292.107</v>
      </c>
      <c r="G257" s="185" t="n">
        <v>0</v>
      </c>
      <c r="H257" s="185" t="n">
        <v>261.25</v>
      </c>
      <c r="I257" s="185" t="n">
        <v>1400</v>
      </c>
      <c r="J257" s="184" t="n"/>
      <c r="K257" s="184" t="n"/>
      <c r="L257" s="185" t="n">
        <v>0</v>
      </c>
      <c r="M257" s="185" t="n">
        <v>0</v>
      </c>
      <c r="N257" s="185" t="n">
        <v>0</v>
      </c>
      <c r="O257" s="184" t="n"/>
      <c r="P257" s="184" t="n"/>
      <c r="Q257" s="184" t="n"/>
      <c r="R257" s="185" t="n">
        <v>0</v>
      </c>
      <c r="S257" s="185" t="n">
        <v>0</v>
      </c>
      <c r="T257" s="184" t="n"/>
      <c r="U257" s="184" t="n"/>
      <c r="V257" s="184" t="n"/>
      <c r="W257" s="184" t="n"/>
      <c r="X257" s="184" t="n"/>
      <c r="Y257" s="185" t="n">
        <v>250.625</v>
      </c>
      <c r="Z257" s="185" t="n">
        <v>0</v>
      </c>
      <c r="AA257" s="185" t="n">
        <v>0</v>
      </c>
      <c r="AB257" s="185" t="n">
        <v>0</v>
      </c>
      <c r="AC257" s="185" t="n">
        <v>250.625</v>
      </c>
      <c r="AD257" s="185" t="n">
        <v>0</v>
      </c>
      <c r="AE257" s="185" t="n">
        <v>399</v>
      </c>
      <c r="AF257" s="185" t="n">
        <v>0</v>
      </c>
      <c r="AG257" s="185" t="n">
        <v>0</v>
      </c>
      <c r="AH257" s="185" t="n">
        <v>399</v>
      </c>
      <c r="AI257" s="184" t="n"/>
      <c r="AJ257" s="185" t="n">
        <v>0</v>
      </c>
      <c r="AK257" s="185" t="n">
        <v>398.25</v>
      </c>
      <c r="AL257" s="185" t="n">
        <v>0</v>
      </c>
      <c r="AM257" s="185" t="n">
        <v>398.25</v>
      </c>
      <c r="AN257" s="184" t="n"/>
      <c r="AO257" s="184" t="n"/>
      <c r="AP257" s="185" t="n">
        <v>845</v>
      </c>
      <c r="AQ257" s="185" t="n">
        <v>0</v>
      </c>
      <c r="AR257" s="185" t="n">
        <v>845</v>
      </c>
      <c r="AS257" s="185" t="n">
        <v>150</v>
      </c>
      <c r="AT257" s="185" t="n">
        <v>0</v>
      </c>
      <c r="AU257" s="185" t="n">
        <v>0</v>
      </c>
      <c r="AV257" s="185" t="n">
        <v>0</v>
      </c>
      <c r="AW257" s="185" t="n">
        <v>150</v>
      </c>
      <c r="AX257" s="185" t="n">
        <v>0</v>
      </c>
      <c r="AY257" s="185" t="n">
        <v>0</v>
      </c>
      <c r="AZ257" s="185" t="n">
        <v>0</v>
      </c>
      <c r="BA257" s="185" t="n">
        <v>995</v>
      </c>
      <c r="BB257" s="185" t="n">
        <v>995</v>
      </c>
      <c r="BC257" s="184" t="n"/>
      <c r="BD257" s="184" t="n"/>
      <c r="BE257" s="184" t="n"/>
      <c r="BF257" s="185" t="n">
        <v>0</v>
      </c>
      <c r="BG257" s="185" t="n">
        <v>0</v>
      </c>
      <c r="BH257" s="185" t="n">
        <v>614</v>
      </c>
      <c r="BI257" s="185" t="n">
        <v>0</v>
      </c>
      <c r="BJ257" s="185" t="n">
        <v>0</v>
      </c>
      <c r="BK257" s="185" t="n">
        <v>0</v>
      </c>
      <c r="BL257" s="185" t="n">
        <v>614</v>
      </c>
      <c r="BM257" s="185" t="n">
        <v>499.375</v>
      </c>
      <c r="BN257" s="185" t="n">
        <v>0</v>
      </c>
      <c r="BO257" s="185" t="n">
        <v>0</v>
      </c>
      <c r="BP257" s="185" t="n">
        <v>0</v>
      </c>
      <c r="BQ257" s="185" t="n">
        <v>499.375</v>
      </c>
      <c r="BR257" s="185" t="n">
        <v>0</v>
      </c>
      <c r="BS257" s="185" t="n">
        <v>0</v>
      </c>
      <c r="BT257" s="185" t="n">
        <v>0</v>
      </c>
      <c r="BU257" s="185" t="n">
        <v>2005</v>
      </c>
      <c r="BV257" s="185" t="n">
        <v>2005</v>
      </c>
      <c r="BW257" s="184" t="n"/>
      <c r="BX257" s="184" t="n"/>
      <c r="BY257" s="168" t="n"/>
      <c r="BZ257" s="168" t="n"/>
      <c r="CA257" s="186">
        <f>(BW257+BX257)+CA370+MAX(0,CA378-BX378)</f>
        <v>600</v>
      </c>
      <c r="CB257" s="186">
        <f>CB373+MAX(0,CB378-CA378)</f>
        <v>0</v>
      </c>
      <c r="CC257" s="186">
        <f>CC373+MAX(0,CC378-CB378)</f>
        <v>25.8005405084793</v>
      </c>
      <c r="CD257" s="186">
        <f>CD373+MAX(0,CD378-CC378)</f>
        <v>589.23358513789</v>
      </c>
      <c r="CE257" s="186">
        <f>CE373+MAX(0,CE378-CD378)</f>
        <v>280.53766082058</v>
      </c>
      <c r="CF257" s="20" t="n"/>
    </row>
    <row r="258" ht="15" customHeight="1">
      <c r="B258" s="26" t="inlineStr">
        <is>
          <t>Repayments of debt (term-loan amortization, note redemptions, revolver)</t>
        </is>
      </c>
      <c r="C258" s="185" t="n">
        <v>-58.482</v>
      </c>
      <c r="D258" s="185" t="n">
        <v>0</v>
      </c>
      <c r="E258" s="185" t="n">
        <v>-68.486</v>
      </c>
      <c r="F258" s="185" t="n">
        <v>-283.777</v>
      </c>
      <c r="G258" s="185" t="n">
        <v>-30</v>
      </c>
      <c r="H258" s="185" t="n">
        <v>0</v>
      </c>
      <c r="I258" s="185" t="n">
        <v>-520</v>
      </c>
      <c r="J258" s="184" t="n"/>
      <c r="K258" s="184" t="n"/>
      <c r="L258" s="185" t="n">
        <v>0</v>
      </c>
      <c r="M258" s="185" t="n">
        <v>0</v>
      </c>
      <c r="N258" s="185" t="n">
        <v>0</v>
      </c>
      <c r="O258" s="184" t="n"/>
      <c r="P258" s="185" t="n">
        <v>-5</v>
      </c>
      <c r="Q258" s="185" t="n">
        <v>0</v>
      </c>
      <c r="R258" s="185" t="n">
        <v>0</v>
      </c>
      <c r="S258" s="185" t="n">
        <v>-5</v>
      </c>
      <c r="T258" s="184" t="n"/>
      <c r="U258" s="185" t="n">
        <v>0</v>
      </c>
      <c r="V258" s="185" t="n">
        <v>0</v>
      </c>
      <c r="W258" s="185" t="n">
        <v>0</v>
      </c>
      <c r="X258" s="185" t="n">
        <v>0</v>
      </c>
      <c r="Y258" s="184" t="n"/>
      <c r="Z258" s="184" t="n"/>
      <c r="AA258" s="184" t="n"/>
      <c r="AB258" s="185" t="n">
        <v>0</v>
      </c>
      <c r="AC258" s="185" t="n">
        <v>0</v>
      </c>
      <c r="AD258" s="184" t="n"/>
      <c r="AE258" s="185" t="n">
        <v>-296.202</v>
      </c>
      <c r="AF258" s="185" t="n">
        <v>-104.798</v>
      </c>
      <c r="AG258" s="185" t="n">
        <v>-1</v>
      </c>
      <c r="AH258" s="185" t="n">
        <v>-402</v>
      </c>
      <c r="AI258" s="185" t="n">
        <v>-1</v>
      </c>
      <c r="AJ258" s="185" t="n">
        <v>-1</v>
      </c>
      <c r="AK258" s="185" t="n">
        <v>-401.884</v>
      </c>
      <c r="AL258" s="185" t="n">
        <v>-51.884</v>
      </c>
      <c r="AM258" s="185" t="n">
        <v>-455.768</v>
      </c>
      <c r="AN258" s="185" t="n">
        <v>-1.884</v>
      </c>
      <c r="AO258" s="185" t="n">
        <v>-1.884</v>
      </c>
      <c r="AP258" s="185" t="n">
        <v>-846.884</v>
      </c>
      <c r="AQ258" s="185" t="n">
        <v>-1.883</v>
      </c>
      <c r="AR258" s="185" t="n">
        <v>-852.535</v>
      </c>
      <c r="AS258" s="185" t="n">
        <v>-1.884</v>
      </c>
      <c r="AT258" s="185" t="n">
        <v>-76.884</v>
      </c>
      <c r="AU258" s="185" t="n">
        <v>-76.884</v>
      </c>
      <c r="AV258" s="185" t="n">
        <v>-1.883</v>
      </c>
      <c r="AW258" s="185" t="n">
        <v>-157.535</v>
      </c>
      <c r="AX258" s="185" t="n">
        <v>-1.884</v>
      </c>
      <c r="AY258" s="185" t="n">
        <v>-1.884</v>
      </c>
      <c r="AZ258" s="185" t="n">
        <v>-1.884</v>
      </c>
      <c r="BA258" s="185" t="n">
        <v>-1.883</v>
      </c>
      <c r="BB258" s="185" t="n">
        <v>-7.535</v>
      </c>
      <c r="BC258" s="185" t="n">
        <v>-4.384</v>
      </c>
      <c r="BD258" s="185" t="n">
        <v>-4.384</v>
      </c>
      <c r="BE258" s="185" t="n">
        <v>-4.384</v>
      </c>
      <c r="BF258" s="185" t="n">
        <v>-102.5</v>
      </c>
      <c r="BG258" s="185" t="n">
        <v>-115.652</v>
      </c>
      <c r="BH258" s="185" t="n">
        <v>-616.475</v>
      </c>
      <c r="BI258" s="185" t="n">
        <v>-116.5</v>
      </c>
      <c r="BJ258" s="185" t="n">
        <v>-2.5</v>
      </c>
      <c r="BK258" s="185" t="n">
        <v>-2.5</v>
      </c>
      <c r="BL258" s="185" t="n">
        <v>-737.975</v>
      </c>
      <c r="BM258" s="185" t="n">
        <v>-3.776</v>
      </c>
      <c r="BN258" s="185" t="n">
        <v>-3.775</v>
      </c>
      <c r="BO258" s="185" t="n">
        <v>-3.776</v>
      </c>
      <c r="BP258" s="185" t="n">
        <v>-3.775</v>
      </c>
      <c r="BQ258" s="185" t="n">
        <v>-15.102</v>
      </c>
      <c r="BR258" s="185" t="n">
        <v>-3.776</v>
      </c>
      <c r="BS258" s="185" t="n">
        <v>-3.775</v>
      </c>
      <c r="BT258" s="185" t="n">
        <v>-3.776</v>
      </c>
      <c r="BU258" s="185" t="n">
        <v>-1998.571</v>
      </c>
      <c r="BV258" s="185" t="n">
        <v>-2009.898</v>
      </c>
      <c r="BW258" s="185" t="n">
        <v>-3.15</v>
      </c>
      <c r="BX258" s="185" t="n">
        <v>-3.15</v>
      </c>
      <c r="BY258" s="168" t="n"/>
      <c r="BZ258" s="168" t="n"/>
      <c r="CA258" s="186">
        <f>(BW258+BX258)+CA374+CA371+MIN(0,CA378-BX378)</f>
        <v>-12.6</v>
      </c>
      <c r="CB258" s="186">
        <f>CB374+CB371+MIN(0,CB378-CA378)</f>
        <v>-12.6</v>
      </c>
      <c r="CC258" s="186">
        <f>CC374+CC371+MIN(0,CC378-CB378)</f>
        <v>-12.6</v>
      </c>
      <c r="CD258" s="186">
        <f>CD374+CD371+MIN(0,CD378-CC378)</f>
        <v>-312.6</v>
      </c>
      <c r="CE258" s="186">
        <f>CE374+CE371+MIN(0,CE378-CD378)</f>
        <v>-12.6</v>
      </c>
      <c r="CF258" s="20" t="inlineStr">
        <is>
          <t>Net issuance / (repayment) = change in total debt per the debt schedule.</t>
        </is>
      </c>
    </row>
    <row r="259" ht="15" customHeight="1">
      <c r="B259" s="26" t="inlineStr">
        <is>
          <t>Dividends paid (preferred stock; to 2009)</t>
        </is>
      </c>
      <c r="C259" s="185" t="n">
        <v>-0.276</v>
      </c>
      <c r="D259" s="185" t="n">
        <v>-0.206</v>
      </c>
      <c r="E259" s="185" t="n">
        <v>0</v>
      </c>
      <c r="F259" s="185" t="n">
        <v>0</v>
      </c>
      <c r="G259" s="184" t="n"/>
      <c r="H259" s="184" t="n"/>
      <c r="I259" s="184" t="n"/>
      <c r="J259" s="184" t="n"/>
      <c r="K259" s="184" t="n"/>
      <c r="L259" s="184" t="n"/>
      <c r="M259" s="184" t="n"/>
      <c r="N259" s="184" t="n"/>
      <c r="O259" s="184" t="n"/>
      <c r="P259" s="184" t="n"/>
      <c r="Q259" s="184" t="n"/>
      <c r="R259" s="184" t="n"/>
      <c r="S259" s="184" t="n"/>
      <c r="T259" s="184" t="n"/>
      <c r="U259" s="184" t="n"/>
      <c r="V259" s="184" t="n"/>
      <c r="W259" s="184" t="n"/>
      <c r="X259" s="184" t="n"/>
      <c r="Y259" s="184" t="n"/>
      <c r="Z259" s="184" t="n"/>
      <c r="AA259" s="184" t="n"/>
      <c r="AB259" s="184" t="n"/>
      <c r="AC259" s="184" t="n"/>
      <c r="AD259" s="184" t="n"/>
      <c r="AE259" s="184" t="n"/>
      <c r="AF259" s="184" t="n"/>
      <c r="AG259" s="184" t="n"/>
      <c r="AH259" s="184" t="n"/>
      <c r="AI259" s="184" t="n"/>
      <c r="AJ259" s="184" t="n"/>
      <c r="AK259" s="184" t="n"/>
      <c r="AL259" s="184" t="n"/>
      <c r="AM259" s="184" t="n"/>
      <c r="AN259" s="184" t="n"/>
      <c r="AO259" s="184" t="n"/>
      <c r="AP259" s="184" t="n"/>
      <c r="AQ259" s="184" t="n"/>
      <c r="AR259" s="184" t="n"/>
      <c r="AS259" s="184" t="n"/>
      <c r="AT259" s="184" t="n"/>
      <c r="AU259" s="184" t="n"/>
      <c r="AV259" s="184" t="n"/>
      <c r="AW259" s="184" t="n"/>
      <c r="AX259" s="184" t="n"/>
      <c r="AY259" s="184" t="n"/>
      <c r="AZ259" s="184" t="n"/>
      <c r="BA259" s="184" t="n"/>
      <c r="BB259" s="184" t="n"/>
      <c r="BC259" s="184" t="n"/>
      <c r="BD259" s="184" t="n"/>
      <c r="BE259" s="184" t="n"/>
      <c r="BF259" s="184" t="n"/>
      <c r="BG259" s="184" t="n"/>
      <c r="BH259" s="184" t="n"/>
      <c r="BI259" s="184" t="n"/>
      <c r="BJ259" s="184" t="n"/>
      <c r="BK259" s="184" t="n"/>
      <c r="BL259" s="184" t="n"/>
      <c r="BM259" s="184" t="n"/>
      <c r="BN259" s="184" t="n"/>
      <c r="BO259" s="184" t="n"/>
      <c r="BP259" s="184" t="n"/>
      <c r="BQ259" s="184" t="n"/>
      <c r="BR259" s="184" t="n"/>
      <c r="BS259" s="184" t="n"/>
      <c r="BT259" s="184" t="n"/>
      <c r="BU259" s="184" t="n"/>
      <c r="BV259" s="184" t="n"/>
      <c r="BW259" s="184" t="n"/>
      <c r="BX259" s="184" t="n"/>
      <c r="BY259" s="168" t="n"/>
      <c r="BZ259" s="168" t="n"/>
      <c r="CA259" s="186">
        <f>(BW259+BX259)</f>
        <v>0</v>
      </c>
      <c r="CB259" s="186">
        <f>0</f>
        <v>0</v>
      </c>
      <c r="CC259" s="186">
        <f>0</f>
        <v>0</v>
      </c>
      <c r="CD259" s="186">
        <f>0</f>
        <v>0</v>
      </c>
      <c r="CE259" s="186">
        <f>0</f>
        <v>0</v>
      </c>
      <c r="CF259" s="20" t="n"/>
    </row>
    <row r="260" ht="15" customHeight="1">
      <c r="B260" s="26" t="inlineStr">
        <is>
          <t>Repurchases of common stock</t>
        </is>
      </c>
      <c r="C260" s="184" t="n"/>
      <c r="D260" s="184" t="n"/>
      <c r="E260" s="184" t="n"/>
      <c r="F260" s="184" t="n"/>
      <c r="G260" s="184" t="n"/>
      <c r="H260" s="184" t="n"/>
      <c r="I260" s="184" t="n"/>
      <c r="J260" s="184" t="n"/>
      <c r="K260" s="184" t="n"/>
      <c r="L260" s="184" t="n"/>
      <c r="M260" s="184" t="n"/>
      <c r="N260" s="184" t="n"/>
      <c r="O260" s="185" t="n">
        <v>-1.225</v>
      </c>
      <c r="P260" s="185" t="n">
        <v>-13.432</v>
      </c>
      <c r="Q260" s="185" t="n">
        <v>-33.672</v>
      </c>
      <c r="R260" s="185" t="n">
        <v>-56.012</v>
      </c>
      <c r="S260" s="185" t="n">
        <v>-104.341</v>
      </c>
      <c r="T260" s="185" t="n">
        <v>-15.379</v>
      </c>
      <c r="U260" s="185" t="n">
        <v>-16.824</v>
      </c>
      <c r="V260" s="185" t="n">
        <v>-36.952</v>
      </c>
      <c r="W260" s="185" t="n">
        <v>-4.192</v>
      </c>
      <c r="X260" s="185" t="n">
        <v>-73.34699999999999</v>
      </c>
      <c r="Y260" s="185" t="n">
        <v>-4.998</v>
      </c>
      <c r="Z260" s="185" t="n">
        <v>-5.136</v>
      </c>
      <c r="AA260" s="185" t="n">
        <v>-5.735</v>
      </c>
      <c r="AB260" s="185" t="n">
        <v>-6.319</v>
      </c>
      <c r="AC260" s="185" t="n">
        <v>-22.188</v>
      </c>
      <c r="AD260" s="185" t="n">
        <v>-6.796</v>
      </c>
      <c r="AE260" s="185" t="n">
        <v>-5.461</v>
      </c>
      <c r="AF260" s="185" t="n">
        <v>-12.208</v>
      </c>
      <c r="AG260" s="185" t="n">
        <v>-24.506</v>
      </c>
      <c r="AH260" s="185" t="n">
        <v>-48.971</v>
      </c>
      <c r="AI260" s="185" t="n">
        <v>-14.264</v>
      </c>
      <c r="AJ260" s="185" t="n">
        <v>-12.218</v>
      </c>
      <c r="AK260" s="185" t="n">
        <v>-7.099</v>
      </c>
      <c r="AL260" s="185" t="n">
        <v>-11.499</v>
      </c>
      <c r="AM260" s="185" t="n">
        <v>-45.08</v>
      </c>
      <c r="AN260" s="185" t="n">
        <v>-6.324</v>
      </c>
      <c r="AO260" s="185" t="n">
        <v>-4.948</v>
      </c>
      <c r="AP260" s="185" t="n">
        <v>-5.118</v>
      </c>
      <c r="AQ260" s="185" t="n">
        <v>-5</v>
      </c>
      <c r="AR260" s="185" t="n">
        <v>-21.39</v>
      </c>
      <c r="AS260" s="185" t="n">
        <v>-17.341</v>
      </c>
      <c r="AT260" s="185" t="n">
        <v>0</v>
      </c>
      <c r="AU260" s="185" t="n">
        <v>-22.201</v>
      </c>
      <c r="AV260" s="185" t="n">
        <v>-35.302</v>
      </c>
      <c r="AW260" s="185" t="n">
        <v>-74.84399999999999</v>
      </c>
      <c r="AX260" s="185" t="n">
        <v>-26.546</v>
      </c>
      <c r="AY260" s="185" t="n">
        <v>-18.863</v>
      </c>
      <c r="AZ260" s="185" t="n">
        <v>-3</v>
      </c>
      <c r="BA260" s="185" t="n">
        <v>-6.001</v>
      </c>
      <c r="BB260" s="185" t="n">
        <v>-54.41</v>
      </c>
      <c r="BC260" s="185" t="n">
        <v>-3.694</v>
      </c>
      <c r="BD260" s="185" t="n">
        <v>-30</v>
      </c>
      <c r="BE260" s="185" t="n">
        <v>-10.488</v>
      </c>
      <c r="BF260" s="185" t="n">
        <v>-6.001</v>
      </c>
      <c r="BG260" s="185" t="n">
        <v>-50.183</v>
      </c>
      <c r="BH260" s="185" t="n">
        <v>-3</v>
      </c>
      <c r="BI260" s="185" t="n">
        <v>-5.001</v>
      </c>
      <c r="BJ260" s="185" t="n">
        <v>-9.999000000000001</v>
      </c>
      <c r="BK260" s="185" t="n">
        <v>-33.164</v>
      </c>
      <c r="BL260" s="185" t="n">
        <v>-51.164</v>
      </c>
      <c r="BM260" s="185" t="n">
        <v>-5</v>
      </c>
      <c r="BN260" s="185" t="n">
        <v>-5.215</v>
      </c>
      <c r="BO260" s="185" t="n">
        <v>-20</v>
      </c>
      <c r="BP260" s="185" t="n">
        <v>-24.963</v>
      </c>
      <c r="BQ260" s="185" t="n">
        <v>-55.178</v>
      </c>
      <c r="BR260" s="185" t="n">
        <v>-55</v>
      </c>
      <c r="BS260" s="185" t="n">
        <v>-12.001</v>
      </c>
      <c r="BT260" s="185" t="n">
        <v>-50</v>
      </c>
      <c r="BU260" s="185" t="n">
        <v>-133.001</v>
      </c>
      <c r="BV260" s="185" t="n">
        <v>-250.002</v>
      </c>
      <c r="BW260" s="185" t="n">
        <v>-25</v>
      </c>
      <c r="BX260" s="185" t="n">
        <v>-27.133</v>
      </c>
      <c r="BY260" s="168" t="n"/>
      <c r="BZ260" s="168" t="n"/>
      <c r="CA260" s="186">
        <f>(BW260+BX260)-CHOOSE(MATCH($CF$2,{"Bull","Base","Bear"},0),$CO$25,$CP$25,$CQ$25)</f>
        <v>-102.133</v>
      </c>
      <c r="CB260" s="186">
        <f>-CB389</f>
        <v>-276.794805861467</v>
      </c>
      <c r="CC260" s="186">
        <f>-CC389</f>
        <v>-629.837686266395</v>
      </c>
      <c r="CD260" s="186">
        <f>-CD389</f>
        <v>-689.869377074459</v>
      </c>
      <c r="CE260" s="186">
        <f>-CE389</f>
        <v>-748.831047317828</v>
      </c>
      <c r="CF260" s="20" t="inlineStr">
        <is>
          <t>2026E = 1H/26 actual + 2H scenario amount; 2027E+ = max(minimum programme, leverage plug).</t>
        </is>
      </c>
    </row>
    <row r="261" ht="15" customHeight="1">
      <c r="B261" s="26" t="inlineStr">
        <is>
          <t>Stock issuance (options, ESPP, equity offerings) net of shares withheld for taxes</t>
        </is>
      </c>
      <c r="C261" s="185" t="n">
        <v>3.155</v>
      </c>
      <c r="D261" s="185" t="n">
        <v>4.016</v>
      </c>
      <c r="E261" s="185" t="n">
        <v>179.749</v>
      </c>
      <c r="F261" s="185" t="n">
        <v>2.33</v>
      </c>
      <c r="G261" s="185" t="n">
        <v>2.912</v>
      </c>
      <c r="H261" s="185" t="n">
        <v>0.805</v>
      </c>
      <c r="I261" s="185" t="n">
        <v>373.092</v>
      </c>
      <c r="J261" s="185" t="n">
        <v>1.652</v>
      </c>
      <c r="K261" s="185" t="n">
        <v>1.719</v>
      </c>
      <c r="L261" s="185" t="n">
        <v>1.506</v>
      </c>
      <c r="M261" s="185" t="n">
        <v>1.967</v>
      </c>
      <c r="N261" s="185" t="n">
        <v>6.844</v>
      </c>
      <c r="O261" s="185" t="n">
        <v>1.391</v>
      </c>
      <c r="P261" s="185" t="n">
        <v>0.758</v>
      </c>
      <c r="Q261" s="185" t="n">
        <v>-0.453</v>
      </c>
      <c r="R261" s="185" t="n">
        <v>-0.125</v>
      </c>
      <c r="S261" s="185" t="n">
        <v>1.571</v>
      </c>
      <c r="T261" s="185" t="n">
        <v>-1.154</v>
      </c>
      <c r="U261" s="185" t="n">
        <v>-0.286</v>
      </c>
      <c r="V261" s="185" t="n">
        <v>-0.19</v>
      </c>
      <c r="W261" s="185" t="n">
        <v>-0.132</v>
      </c>
      <c r="X261" s="185" t="n">
        <v>-1.762</v>
      </c>
      <c r="Y261" s="185" t="n">
        <v>-1.425</v>
      </c>
      <c r="Z261" s="185" t="n">
        <v>-0.27</v>
      </c>
      <c r="AA261" s="185" t="n">
        <v>-0.575</v>
      </c>
      <c r="AB261" s="185" t="n">
        <v>0.078</v>
      </c>
      <c r="AC261" s="185" t="n">
        <v>-2.192</v>
      </c>
      <c r="AD261" s="185" t="n">
        <v>-0.975</v>
      </c>
      <c r="AE261" s="185" t="n">
        <v>-1.111</v>
      </c>
      <c r="AF261" s="185" t="n">
        <v>-0.189</v>
      </c>
      <c r="AG261" s="185" t="n">
        <v>-0.828</v>
      </c>
      <c r="AH261" s="185" t="n">
        <v>-3.103</v>
      </c>
      <c r="AI261" s="185" t="n">
        <v>-0.548</v>
      </c>
      <c r="AJ261" s="185" t="n">
        <v>-1.627</v>
      </c>
      <c r="AK261" s="185" t="n">
        <v>-0.391</v>
      </c>
      <c r="AL261" s="185" t="n">
        <v>-0.7</v>
      </c>
      <c r="AM261" s="185" t="n">
        <v>-3.266</v>
      </c>
      <c r="AN261" s="185" t="n">
        <v>-2.276</v>
      </c>
      <c r="AO261" s="185" t="n">
        <v>-2.704</v>
      </c>
      <c r="AP261" s="185" t="n">
        <v>-0.525</v>
      </c>
      <c r="AQ261" s="185" t="n">
        <v>-1.924</v>
      </c>
      <c r="AR261" s="185" t="n">
        <v>-7.429</v>
      </c>
      <c r="AS261" s="185" t="n">
        <v>-2.224</v>
      </c>
      <c r="AT261" s="185" t="n">
        <v>-1.171</v>
      </c>
      <c r="AU261" s="185" t="n">
        <v>-1.012</v>
      </c>
      <c r="AV261" s="185" t="n">
        <v>-0.924</v>
      </c>
      <c r="AW261" s="185" t="n">
        <v>-5.331</v>
      </c>
      <c r="AX261" s="185" t="n">
        <v>-3.719</v>
      </c>
      <c r="AY261" s="185" t="n">
        <v>-1.02</v>
      </c>
      <c r="AZ261" s="185" t="n">
        <v>-2.644</v>
      </c>
      <c r="BA261" s="185" t="n">
        <v>-3.422</v>
      </c>
      <c r="BB261" s="185" t="n">
        <v>-10.805</v>
      </c>
      <c r="BC261" s="185" t="n">
        <v>-1.831</v>
      </c>
      <c r="BD261" s="185" t="n">
        <v>-0.74</v>
      </c>
      <c r="BE261" s="185" t="n">
        <v>-3.643</v>
      </c>
      <c r="BF261" s="185" t="n">
        <v>-2.587</v>
      </c>
      <c r="BG261" s="185" t="n">
        <v>-8.801</v>
      </c>
      <c r="BH261" s="185" t="n">
        <v>-3.351</v>
      </c>
      <c r="BI261" s="185" t="n">
        <v>-0.984</v>
      </c>
      <c r="BJ261" s="185" t="n">
        <v>-6.551</v>
      </c>
      <c r="BK261" s="185" t="n">
        <v>-2.952</v>
      </c>
      <c r="BL261" s="185" t="n">
        <v>-13.838</v>
      </c>
      <c r="BM261" s="185" t="n">
        <v>-3.052</v>
      </c>
      <c r="BN261" s="185" t="n">
        <v>-1.547</v>
      </c>
      <c r="BO261" s="185" t="n">
        <v>-6.915</v>
      </c>
      <c r="BP261" s="185" t="n">
        <v>0.764</v>
      </c>
      <c r="BQ261" s="185" t="n">
        <v>-10.75</v>
      </c>
      <c r="BR261" s="185" t="n">
        <v>-8.688000000000001</v>
      </c>
      <c r="BS261" s="185" t="n">
        <v>1.592</v>
      </c>
      <c r="BT261" s="185" t="n">
        <v>-3.377</v>
      </c>
      <c r="BU261" s="185" t="n">
        <v>1.797</v>
      </c>
      <c r="BV261" s="185" t="n">
        <v>-8.676</v>
      </c>
      <c r="BW261" s="185" t="n">
        <v>-9.303000000000001</v>
      </c>
      <c r="BX261" s="185" t="n">
        <v>1.11</v>
      </c>
      <c r="BY261" s="168" t="n"/>
      <c r="BZ261" s="168" t="n"/>
      <c r="CA261" s="186">
        <f>(BW261+BX261)+3</f>
        <v>-5.193</v>
      </c>
      <c r="CB261" s="186">
        <f>-10</f>
        <v>-10</v>
      </c>
      <c r="CC261" s="186">
        <f>-10</f>
        <v>-10</v>
      </c>
      <c r="CD261" s="186">
        <f>-10</f>
        <v>-10</v>
      </c>
      <c r="CE261" s="186">
        <f>-10</f>
        <v>-10</v>
      </c>
      <c r="CF261" s="20" t="n"/>
    </row>
    <row r="262" ht="15" customHeight="1">
      <c r="B262" s="26" t="inlineStr">
        <is>
          <t>Other financing activities, net (derived; finance-lease payments, uncashed checks, financing costs)</t>
        </is>
      </c>
      <c r="C262" s="185" t="n">
        <v>5.273</v>
      </c>
      <c r="D262" s="185" t="n">
        <v>-1.086</v>
      </c>
      <c r="E262" s="185" t="n">
        <v>5.532</v>
      </c>
      <c r="F262" s="185" t="n">
        <v>-7.076</v>
      </c>
      <c r="G262" s="185" t="n">
        <v>-5.142</v>
      </c>
      <c r="H262" s="185" t="n">
        <v>-3.315</v>
      </c>
      <c r="I262" s="185" t="n">
        <v>-35.224</v>
      </c>
      <c r="J262" s="185" t="n">
        <v>23.982</v>
      </c>
      <c r="K262" s="185" t="n">
        <v>12.666</v>
      </c>
      <c r="L262" s="185" t="n">
        <v>-31.847</v>
      </c>
      <c r="M262" s="185" t="n">
        <v>1.481</v>
      </c>
      <c r="N262" s="185" t="n">
        <v>6.282</v>
      </c>
      <c r="O262" s="185" t="n">
        <v>-0.5</v>
      </c>
      <c r="P262" s="185" t="n">
        <v>3.116</v>
      </c>
      <c r="Q262" s="185" t="n">
        <v>-4.06</v>
      </c>
      <c r="R262" s="185" t="n">
        <v>15.269</v>
      </c>
      <c r="S262" s="185" t="n">
        <v>13.825</v>
      </c>
      <c r="T262" s="185" t="n">
        <v>-20.661</v>
      </c>
      <c r="U262" s="185" t="n">
        <v>-1.868</v>
      </c>
      <c r="V262" s="185" t="n">
        <v>0.249</v>
      </c>
      <c r="W262" s="185" t="n">
        <v>7.21</v>
      </c>
      <c r="X262" s="185" t="n">
        <v>-15.07</v>
      </c>
      <c r="Y262" s="185" t="n">
        <v>-7.408</v>
      </c>
      <c r="Z262" s="185" t="n">
        <v>-6.226</v>
      </c>
      <c r="AA262" s="185" t="n">
        <v>3.957</v>
      </c>
      <c r="AB262" s="185" t="n">
        <v>3.667</v>
      </c>
      <c r="AC262" s="185" t="n">
        <v>-6.01</v>
      </c>
      <c r="AD262" s="185" t="n">
        <v>-7.665</v>
      </c>
      <c r="AE262" s="185" t="n">
        <v>-10.088</v>
      </c>
      <c r="AF262" s="185" t="n">
        <v>-2.678</v>
      </c>
      <c r="AG262" s="185" t="n">
        <v>2.745</v>
      </c>
      <c r="AH262" s="185" t="n">
        <v>-17.686</v>
      </c>
      <c r="AI262" s="185" t="n">
        <v>-3.843</v>
      </c>
      <c r="AJ262" s="185" t="n">
        <v>0.572</v>
      </c>
      <c r="AK262" s="185" t="n">
        <v>-5.362</v>
      </c>
      <c r="AL262" s="185" t="n">
        <v>3.5</v>
      </c>
      <c r="AM262" s="185" t="n">
        <v>-5.133</v>
      </c>
      <c r="AN262" s="185" t="n">
        <v>-4.884</v>
      </c>
      <c r="AO262" s="185" t="n">
        <v>1.111</v>
      </c>
      <c r="AP262" s="185" t="n">
        <v>-12.812</v>
      </c>
      <c r="AQ262" s="185" t="n">
        <v>-0.486</v>
      </c>
      <c r="AR262" s="185" t="n">
        <v>-17.071</v>
      </c>
      <c r="AS262" s="185" t="n">
        <v>-2.104</v>
      </c>
      <c r="AT262" s="185" t="n">
        <v>-1.375</v>
      </c>
      <c r="AU262" s="185" t="n">
        <v>1.105</v>
      </c>
      <c r="AV262" s="185" t="n">
        <v>1.138</v>
      </c>
      <c r="AW262" s="185" t="n">
        <v>-1.236</v>
      </c>
      <c r="AX262" s="185" t="n">
        <v>-8.471</v>
      </c>
      <c r="AY262" s="185" t="n">
        <v>1.853</v>
      </c>
      <c r="AZ262" s="185" t="n">
        <v>-3.7</v>
      </c>
      <c r="BA262" s="185" t="n">
        <v>-13.683</v>
      </c>
      <c r="BB262" s="185" t="n">
        <v>-24.001</v>
      </c>
      <c r="BC262" s="185" t="n">
        <v>-6.171</v>
      </c>
      <c r="BD262" s="185" t="n">
        <v>-0.227</v>
      </c>
      <c r="BE262" s="185" t="n">
        <v>-2.663</v>
      </c>
      <c r="BF262" s="185" t="n">
        <v>-3.618</v>
      </c>
      <c r="BG262" s="185" t="n">
        <v>-12.679</v>
      </c>
      <c r="BH262" s="185" t="n">
        <v>-9.619</v>
      </c>
      <c r="BI262" s="185" t="n">
        <v>-1.923</v>
      </c>
      <c r="BJ262" s="185" t="n">
        <v>-3.419</v>
      </c>
      <c r="BK262" s="185" t="n">
        <v>-4.953</v>
      </c>
      <c r="BL262" s="185" t="n">
        <v>-19.914</v>
      </c>
      <c r="BM262" s="185" t="n">
        <v>-1.528</v>
      </c>
      <c r="BN262" s="185" t="n">
        <v>-19.979</v>
      </c>
      <c r="BO262" s="185" t="n">
        <v>-16.257</v>
      </c>
      <c r="BP262" s="185" t="n">
        <v>-3.549</v>
      </c>
      <c r="BQ262" s="185" t="n">
        <v>-41.313</v>
      </c>
      <c r="BR262" s="185" t="n">
        <v>-11.795</v>
      </c>
      <c r="BS262" s="185" t="n">
        <v>-7.726</v>
      </c>
      <c r="BT262" s="185" t="n">
        <v>-8.206</v>
      </c>
      <c r="BU262" s="185" t="n">
        <v>-18.039</v>
      </c>
      <c r="BV262" s="185" t="n">
        <v>-45.766</v>
      </c>
      <c r="BW262" s="185" t="n">
        <v>-20.8</v>
      </c>
      <c r="BX262" s="185" t="n">
        <v>-10.82</v>
      </c>
      <c r="BY262" s="168" t="n"/>
      <c r="BZ262" s="168" t="n"/>
      <c r="CA262" s="186">
        <f>(BW262+BX262)</f>
        <v>-31.62</v>
      </c>
      <c r="CB262" s="186">
        <f>0</f>
        <v>0</v>
      </c>
      <c r="CC262" s="186">
        <f>0</f>
        <v>0</v>
      </c>
      <c r="CD262" s="186">
        <f>0</f>
        <v>0</v>
      </c>
      <c r="CE262" s="186">
        <f>0</f>
        <v>0</v>
      </c>
      <c r="CF262" s="20" t="inlineStr">
        <is>
          <t>Finance-lease payments (~$50m p.a.) not forecast separately (leases held flat on the balance sheet).</t>
        </is>
      </c>
    </row>
    <row r="263" ht="15" customHeight="1">
      <c r="B263" s="17" t="inlineStr">
        <is>
          <t>Net cash from (used in) financing activities</t>
        </is>
      </c>
      <c r="C263" s="175" t="n">
        <v>-20.33</v>
      </c>
      <c r="D263" s="175" t="n">
        <v>2.724</v>
      </c>
      <c r="E263" s="175" t="n">
        <v>116.795</v>
      </c>
      <c r="F263" s="175" t="n">
        <v>3.584</v>
      </c>
      <c r="G263" s="175" t="n">
        <v>-32.23</v>
      </c>
      <c r="H263" s="175" t="n">
        <v>258.74</v>
      </c>
      <c r="I263" s="175" t="n">
        <v>1217.868</v>
      </c>
      <c r="J263" s="175" t="n">
        <v>25.634</v>
      </c>
      <c r="K263" s="175" t="n">
        <v>14.385</v>
      </c>
      <c r="L263" s="175" t="n">
        <v>-30.341</v>
      </c>
      <c r="M263" s="175" t="n">
        <v>3.448</v>
      </c>
      <c r="N263" s="175" t="n">
        <v>13.126</v>
      </c>
      <c r="O263" s="175" t="n">
        <v>-0.334</v>
      </c>
      <c r="P263" s="175" t="n">
        <v>-14.558</v>
      </c>
      <c r="Q263" s="175" t="n">
        <v>-38.185</v>
      </c>
      <c r="R263" s="175" t="n">
        <v>-40.868</v>
      </c>
      <c r="S263" s="175" t="n">
        <v>-93.94499999999999</v>
      </c>
      <c r="T263" s="175" t="n">
        <v>-37.194</v>
      </c>
      <c r="U263" s="175" t="n">
        <v>-18.978</v>
      </c>
      <c r="V263" s="175" t="n">
        <v>-36.893</v>
      </c>
      <c r="W263" s="175" t="n">
        <v>2.886</v>
      </c>
      <c r="X263" s="175" t="n">
        <v>-90.179</v>
      </c>
      <c r="Y263" s="175" t="n">
        <v>236.794</v>
      </c>
      <c r="Z263" s="175" t="n">
        <v>-11.632</v>
      </c>
      <c r="AA263" s="175" t="n">
        <v>-2.353</v>
      </c>
      <c r="AB263" s="175" t="n">
        <v>-2.574</v>
      </c>
      <c r="AC263" s="175" t="n">
        <v>220.235</v>
      </c>
      <c r="AD263" s="175" t="n">
        <v>-15.436</v>
      </c>
      <c r="AE263" s="175" t="n">
        <v>86.13800000000001</v>
      </c>
      <c r="AF263" s="175" t="n">
        <v>-119.873</v>
      </c>
      <c r="AG263" s="175" t="n">
        <v>-23.589</v>
      </c>
      <c r="AH263" s="175" t="n">
        <v>-72.76000000000001</v>
      </c>
      <c r="AI263" s="175" t="n">
        <v>-19.655</v>
      </c>
      <c r="AJ263" s="175" t="n">
        <v>-14.273</v>
      </c>
      <c r="AK263" s="175" t="n">
        <v>-16.486</v>
      </c>
      <c r="AL263" s="175" t="n">
        <v>-60.583</v>
      </c>
      <c r="AM263" s="175" t="n">
        <v>-110.997</v>
      </c>
      <c r="AN263" s="175" t="n">
        <v>-15.368</v>
      </c>
      <c r="AO263" s="175" t="n">
        <v>-8.425000000000001</v>
      </c>
      <c r="AP263" s="175" t="n">
        <v>-20.339</v>
      </c>
      <c r="AQ263" s="175" t="n">
        <v>-9.292999999999999</v>
      </c>
      <c r="AR263" s="175" t="n">
        <v>-53.425</v>
      </c>
      <c r="AS263" s="175" t="n">
        <v>126.447</v>
      </c>
      <c r="AT263" s="175" t="n">
        <v>-79.43000000000001</v>
      </c>
      <c r="AU263" s="175" t="n">
        <v>-98.992</v>
      </c>
      <c r="AV263" s="175" t="n">
        <v>-36.971</v>
      </c>
      <c r="AW263" s="175" t="n">
        <v>-88.946</v>
      </c>
      <c r="AX263" s="175" t="n">
        <v>-40.62</v>
      </c>
      <c r="AY263" s="175" t="n">
        <v>-19.914</v>
      </c>
      <c r="AZ263" s="175" t="n">
        <v>-11.228</v>
      </c>
      <c r="BA263" s="175" t="n">
        <v>970.011</v>
      </c>
      <c r="BB263" s="175" t="n">
        <v>898.249</v>
      </c>
      <c r="BC263" s="175" t="n">
        <v>-16.08</v>
      </c>
      <c r="BD263" s="175" t="n">
        <v>-35.351</v>
      </c>
      <c r="BE263" s="175" t="n">
        <v>-21.178</v>
      </c>
      <c r="BF263" s="175" t="n">
        <v>-114.706</v>
      </c>
      <c r="BG263" s="175" t="n">
        <v>-187.315</v>
      </c>
      <c r="BH263" s="175" t="n">
        <v>-18.445</v>
      </c>
      <c r="BI263" s="175" t="n">
        <v>-124.408</v>
      </c>
      <c r="BJ263" s="175" t="n">
        <v>-22.469</v>
      </c>
      <c r="BK263" s="175" t="n">
        <v>-43.569</v>
      </c>
      <c r="BL263" s="175" t="n">
        <v>-208.891</v>
      </c>
      <c r="BM263" s="175" t="n">
        <v>486.019</v>
      </c>
      <c r="BN263" s="175" t="n">
        <v>-30.516</v>
      </c>
      <c r="BO263" s="175" t="n">
        <v>-46.948</v>
      </c>
      <c r="BP263" s="175" t="n">
        <v>-31.523</v>
      </c>
      <c r="BQ263" s="175" t="n">
        <v>377.032</v>
      </c>
      <c r="BR263" s="175" t="n">
        <v>-79.259</v>
      </c>
      <c r="BS263" s="175" t="n">
        <v>-21.91</v>
      </c>
      <c r="BT263" s="175" t="n">
        <v>-65.35899999999999</v>
      </c>
      <c r="BU263" s="175" t="n">
        <v>-142.814</v>
      </c>
      <c r="BV263" s="175" t="n">
        <v>-309.342</v>
      </c>
      <c r="BW263" s="175" t="n">
        <v>-58.253</v>
      </c>
      <c r="BX263" s="175" t="n">
        <v>-39.993</v>
      </c>
      <c r="BY263" s="34" t="n"/>
      <c r="BZ263" s="34" t="n"/>
      <c r="CA263" s="176">
        <f>SUM(CA257:CA262)</f>
        <v>448.454</v>
      </c>
      <c r="CB263" s="176">
        <f>SUM(CB257:CB262)</f>
        <v>-299.394805861467</v>
      </c>
      <c r="CC263" s="176">
        <f>SUM(CC257:CC262)</f>
        <v>-626.637145757915</v>
      </c>
      <c r="CD263" s="176">
        <f>SUM(CD257:CD262)</f>
        <v>-423.235791936569</v>
      </c>
      <c r="CE263" s="176">
        <f>SUM(CE257:CE262)</f>
        <v>-490.893386497248</v>
      </c>
      <c r="CF263" s="177" t="n"/>
    </row>
    <row r="264" ht="15" customHeight="1">
      <c r="B264" s="26" t="inlineStr">
        <is>
          <t>Effect of exchange rate changes on cash</t>
        </is>
      </c>
      <c r="C264" s="185" t="n">
        <v>-1.066</v>
      </c>
      <c r="D264" s="185" t="n">
        <v>6.06</v>
      </c>
      <c r="E264" s="185" t="n">
        <v>-11.884</v>
      </c>
      <c r="F264" s="185" t="n">
        <v>5.559</v>
      </c>
      <c r="G264" s="185" t="n">
        <v>2.473</v>
      </c>
      <c r="H264" s="185" t="n">
        <v>0.423</v>
      </c>
      <c r="I264" s="185" t="n">
        <v>-0.484</v>
      </c>
      <c r="J264" s="185" t="n">
        <v>-0.705</v>
      </c>
      <c r="K264" s="185" t="n">
        <v>-1.843</v>
      </c>
      <c r="L264" s="185" t="n">
        <v>-0.678</v>
      </c>
      <c r="M264" s="185" t="n">
        <v>0.01</v>
      </c>
      <c r="N264" s="185" t="n">
        <v>-3.216</v>
      </c>
      <c r="O264" s="185" t="n">
        <v>-2.994</v>
      </c>
      <c r="P264" s="185" t="n">
        <v>2.807</v>
      </c>
      <c r="Q264" s="185" t="n">
        <v>-4.131</v>
      </c>
      <c r="R264" s="185" t="n">
        <v>-4.003</v>
      </c>
      <c r="S264" s="185" t="n">
        <v>-8.321</v>
      </c>
      <c r="T264" s="185" t="n">
        <v>-7.363</v>
      </c>
      <c r="U264" s="185" t="n">
        <v>0.659</v>
      </c>
      <c r="V264" s="185" t="n">
        <v>-7.01</v>
      </c>
      <c r="W264" s="185" t="n">
        <v>-4.019</v>
      </c>
      <c r="X264" s="185" t="n">
        <v>-17.733</v>
      </c>
      <c r="Y264" s="185" t="n">
        <v>4.567</v>
      </c>
      <c r="Z264" s="185" t="n">
        <v>-0.144</v>
      </c>
      <c r="AA264" s="185" t="n">
        <v>0.929</v>
      </c>
      <c r="AB264" s="185" t="n">
        <v>-1.145</v>
      </c>
      <c r="AC264" s="185" t="n">
        <v>4.207</v>
      </c>
      <c r="AD264" s="185" t="n">
        <v>0.554</v>
      </c>
      <c r="AE264" s="185" t="n">
        <v>1.552</v>
      </c>
      <c r="AF264" s="185" t="n">
        <v>1.683</v>
      </c>
      <c r="AG264" s="185" t="n">
        <v>-1.058</v>
      </c>
      <c r="AH264" s="185" t="n">
        <v>2.731</v>
      </c>
      <c r="AI264" s="185" t="n">
        <v>-0.867</v>
      </c>
      <c r="AJ264" s="185" t="n">
        <v>-1.065</v>
      </c>
      <c r="AK264" s="185" t="n">
        <v>0.711</v>
      </c>
      <c r="AL264" s="185" t="n">
        <v>-4.225</v>
      </c>
      <c r="AM264" s="185" t="n">
        <v>-5.446</v>
      </c>
      <c r="AN264" s="185" t="n">
        <v>1.461</v>
      </c>
      <c r="AO264" s="185" t="n">
        <v>1.678</v>
      </c>
      <c r="AP264" s="185" t="n">
        <v>-0.847</v>
      </c>
      <c r="AQ264" s="185" t="n">
        <v>1.281</v>
      </c>
      <c r="AR264" s="185" t="n">
        <v>3.573</v>
      </c>
      <c r="AS264" s="185" t="n">
        <v>-6.827</v>
      </c>
      <c r="AT264" s="185" t="n">
        <v>3.384</v>
      </c>
      <c r="AU264" s="185" t="n">
        <v>1.997</v>
      </c>
      <c r="AV264" s="185" t="n">
        <v>6.365</v>
      </c>
      <c r="AW264" s="185" t="n">
        <v>4.919</v>
      </c>
      <c r="AX264" s="185" t="n">
        <v>1.639</v>
      </c>
      <c r="AY264" s="185" t="n">
        <v>2.276</v>
      </c>
      <c r="AZ264" s="185" t="n">
        <v>-3.55</v>
      </c>
      <c r="BA264" s="185" t="n">
        <v>-3.535</v>
      </c>
      <c r="BB264" s="185" t="n">
        <v>-3.17</v>
      </c>
      <c r="BC264" s="185" t="n">
        <v>0.579</v>
      </c>
      <c r="BD264" s="185" t="n">
        <v>-1.58</v>
      </c>
      <c r="BE264" s="185" t="n">
        <v>-5.522</v>
      </c>
      <c r="BF264" s="185" t="n">
        <v>-3.404</v>
      </c>
      <c r="BG264" s="185" t="n">
        <v>-9.927</v>
      </c>
      <c r="BH264" s="185" t="n">
        <v>0.075</v>
      </c>
      <c r="BI264" s="185" t="n">
        <v>0.643</v>
      </c>
      <c r="BJ264" s="185" t="n">
        <v>-0.657</v>
      </c>
      <c r="BK264" s="185" t="n">
        <v>1.423</v>
      </c>
      <c r="BL264" s="185" t="n">
        <v>1.484</v>
      </c>
      <c r="BM264" s="185" t="n">
        <v>-1.568</v>
      </c>
      <c r="BN264" s="185" t="n">
        <v>-0.5649999999999999</v>
      </c>
      <c r="BO264" s="185" t="n">
        <v>0.358</v>
      </c>
      <c r="BP264" s="185" t="n">
        <v>-6.86</v>
      </c>
      <c r="BQ264" s="185" t="n">
        <v>-8.635</v>
      </c>
      <c r="BR264" s="185" t="n">
        <v>0.209</v>
      </c>
      <c r="BS264" s="185" t="n">
        <v>5.051</v>
      </c>
      <c r="BT264" s="185" t="n">
        <v>-1.772</v>
      </c>
      <c r="BU264" s="185" t="n">
        <v>4.038</v>
      </c>
      <c r="BV264" s="185" t="n">
        <v>7.526</v>
      </c>
      <c r="BW264" s="185" t="n">
        <v>-3.642</v>
      </c>
      <c r="BX264" s="185" t="n">
        <v>-1.02</v>
      </c>
      <c r="BY264" s="168" t="n"/>
      <c r="BZ264" s="168" t="n"/>
      <c r="CA264" s="186">
        <f>(BW264+BX264)</f>
        <v>-4.662</v>
      </c>
      <c r="CB264" s="186">
        <f>0</f>
        <v>0</v>
      </c>
      <c r="CC264" s="186">
        <f>0</f>
        <v>0</v>
      </c>
      <c r="CD264" s="186">
        <f>0</f>
        <v>0</v>
      </c>
      <c r="CE264" s="186">
        <f>0</f>
        <v>0</v>
      </c>
      <c r="CF264" s="20" t="n"/>
    </row>
    <row r="265" ht="15" customHeight="1">
      <c r="B265" s="26" t="inlineStr">
        <is>
          <t>Net increase (decrease) in cash</t>
        </is>
      </c>
      <c r="C265" s="185" t="n">
        <v>-58.899</v>
      </c>
      <c r="D265" s="185" t="n">
        <v>45.988</v>
      </c>
      <c r="E265" s="185" t="n">
        <v>129.986</v>
      </c>
      <c r="F265" s="185" t="n">
        <v>-15.978</v>
      </c>
      <c r="G265" s="185" t="n">
        <v>68.664</v>
      </c>
      <c r="H265" s="185" t="n">
        <v>-41.487</v>
      </c>
      <c r="I265" s="185" t="n">
        <v>-30.887</v>
      </c>
      <c r="J265" s="185" t="n">
        <v>-7.732</v>
      </c>
      <c r="K265" s="185" t="n">
        <v>41.374</v>
      </c>
      <c r="L265" s="185" t="n">
        <v>-14.843</v>
      </c>
      <c r="M265" s="185" t="n">
        <v>61.438</v>
      </c>
      <c r="N265" s="185" t="n">
        <v>80.23699999999999</v>
      </c>
      <c r="O265" s="185" t="n">
        <v>-61.066</v>
      </c>
      <c r="P265" s="185" t="n">
        <v>29.637</v>
      </c>
      <c r="Q265" s="185" t="n">
        <v>-20.623</v>
      </c>
      <c r="R265" s="185" t="n">
        <v>-11.142</v>
      </c>
      <c r="S265" s="185" t="n">
        <v>-63.194</v>
      </c>
      <c r="T265" s="185" t="n">
        <v>-13.14</v>
      </c>
      <c r="U265" s="185" t="n">
        <v>-60.118</v>
      </c>
      <c r="V265" s="185" t="n">
        <v>5.57</v>
      </c>
      <c r="W265" s="185" t="n">
        <v>5.517</v>
      </c>
      <c r="X265" s="185" t="n">
        <v>-62.171</v>
      </c>
      <c r="Y265" s="185" t="n">
        <v>170.637</v>
      </c>
      <c r="Z265" s="185" t="n">
        <v>-2.422</v>
      </c>
      <c r="AA265" s="185" t="n">
        <v>-95.066</v>
      </c>
      <c r="AB265" s="185" t="n">
        <v>49.14</v>
      </c>
      <c r="AC265" s="185" t="n">
        <v>122.289</v>
      </c>
      <c r="AD265" s="185" t="n">
        <v>-9.631</v>
      </c>
      <c r="AE265" s="185" t="n">
        <v>149</v>
      </c>
      <c r="AF265" s="185" t="n">
        <v>-84.708</v>
      </c>
      <c r="AG265" s="185" t="n">
        <v>-42.259</v>
      </c>
      <c r="AH265" s="185" t="n">
        <v>12.402</v>
      </c>
      <c r="AI265" s="185" t="n">
        <v>-133.047</v>
      </c>
      <c r="AJ265" s="185" t="n">
        <v>10.716</v>
      </c>
      <c r="AK265" s="185" t="n">
        <v>18.429</v>
      </c>
      <c r="AL265" s="185" t="n">
        <v>11.01</v>
      </c>
      <c r="AM265" s="185" t="n">
        <v>-92.892</v>
      </c>
      <c r="AN265" s="185" t="n">
        <v>-59.136</v>
      </c>
      <c r="AO265" s="185" t="n">
        <v>37.084</v>
      </c>
      <c r="AP265" s="185" t="n">
        <v>77.77800000000001</v>
      </c>
      <c r="AQ265" s="185" t="n">
        <v>89.758</v>
      </c>
      <c r="AR265" s="185" t="n">
        <v>145.484</v>
      </c>
      <c r="AS265" s="185" t="n">
        <v>60.214</v>
      </c>
      <c r="AT265" s="185" t="n">
        <v>15.161</v>
      </c>
      <c r="AU265" s="185" t="n">
        <v>28.34</v>
      </c>
      <c r="AV265" s="185" t="n">
        <v>43.395</v>
      </c>
      <c r="AW265" s="185" t="n">
        <v>147.11</v>
      </c>
      <c r="AX265" s="185" t="n">
        <v>-22.718</v>
      </c>
      <c r="AY265" s="185" t="n">
        <v>99.191</v>
      </c>
      <c r="AZ265" s="185" t="n">
        <v>51.089</v>
      </c>
      <c r="BA265" s="185" t="n">
        <v>-194.088</v>
      </c>
      <c r="BB265" s="185" t="n">
        <v>-66.526</v>
      </c>
      <c r="BC265" s="185" t="n">
        <v>-112.991</v>
      </c>
      <c r="BD265" s="185" t="n">
        <v>5.047</v>
      </c>
      <c r="BE265" s="185" t="n">
        <v>104.392</v>
      </c>
      <c r="BF265" s="185" t="n">
        <v>43.58</v>
      </c>
      <c r="BG265" s="185" t="n">
        <v>40.028</v>
      </c>
      <c r="BH265" s="185" t="n">
        <v>-188.296</v>
      </c>
      <c r="BI265" s="185" t="n">
        <v>-65.53100000000001</v>
      </c>
      <c r="BJ265" s="185" t="n">
        <v>97.18899999999999</v>
      </c>
      <c r="BK265" s="185" t="n">
        <v>108.733</v>
      </c>
      <c r="BL265" s="185" t="n">
        <v>-47.905</v>
      </c>
      <c r="BM265" s="185" t="n">
        <v>-106.873</v>
      </c>
      <c r="BN265" s="185" t="n">
        <v>64.167</v>
      </c>
      <c r="BO265" s="185" t="n">
        <v>110.379</v>
      </c>
      <c r="BP265" s="185" t="n">
        <v>174.821</v>
      </c>
      <c r="BQ265" s="185" t="n">
        <v>242.494</v>
      </c>
      <c r="BR265" s="185" t="n">
        <v>-197.775</v>
      </c>
      <c r="BS265" s="185" t="n">
        <v>110.769</v>
      </c>
      <c r="BT265" s="185" t="n">
        <v>159.011</v>
      </c>
      <c r="BU265" s="185" t="n">
        <v>67.11799999999999</v>
      </c>
      <c r="BV265" s="185" t="n">
        <v>139.123</v>
      </c>
      <c r="BW265" s="185" t="n">
        <v>-278.321</v>
      </c>
      <c r="BX265" s="185" t="n">
        <v>-139.637</v>
      </c>
      <c r="BY265" s="168" t="n"/>
      <c r="BZ265" s="168" t="n"/>
      <c r="CA265" s="186">
        <f>CA250+CA256+CA263+CA264</f>
        <v>-279.360281894291</v>
      </c>
      <c r="CB265" s="186">
        <f>CB250+CB256+CB263+CB264</f>
        <v>-15.1323170184841</v>
      </c>
      <c r="CC265" s="186">
        <f>CC250+CC256+CC263+CC264</f>
        <v>-281.822401087225</v>
      </c>
      <c r="CD265" s="186">
        <f>CD250+CD256+CD263+CD264</f>
        <v>0</v>
      </c>
      <c r="CE265" s="186">
        <f>CE250+CE256+CE263+CE264</f>
        <v>0</v>
      </c>
      <c r="CF265" s="20" t="n"/>
    </row>
    <row r="266" ht="15" customHeight="1">
      <c r="B266" s="26" t="inlineStr">
        <is>
          <t>Cash — beginning of period</t>
        </is>
      </c>
      <c r="C266" s="185" t="n">
        <v>132.449</v>
      </c>
      <c r="D266" s="185" t="n">
        <v>73.55</v>
      </c>
      <c r="E266" s="185" t="n">
        <v>119.538</v>
      </c>
      <c r="F266" s="185" t="n">
        <v>249.524</v>
      </c>
      <c r="G266" s="185" t="n">
        <v>233.546</v>
      </c>
      <c r="H266" s="185" t="n">
        <v>302.21</v>
      </c>
      <c r="I266" s="185" t="n">
        <v>260.723</v>
      </c>
      <c r="J266" s="185" t="n">
        <v>229.836</v>
      </c>
      <c r="K266" s="185" t="n">
        <v>222.104</v>
      </c>
      <c r="L266" s="185" t="n">
        <v>263.478</v>
      </c>
      <c r="M266" s="185" t="n">
        <v>248.635</v>
      </c>
      <c r="N266" s="185" t="n">
        <v>229.836</v>
      </c>
      <c r="O266" s="185" t="n">
        <v>310.073</v>
      </c>
      <c r="P266" s="185" t="n">
        <v>249.007</v>
      </c>
      <c r="Q266" s="185" t="n">
        <v>278.644</v>
      </c>
      <c r="R266" s="185" t="n">
        <v>258.021</v>
      </c>
      <c r="S266" s="185" t="n">
        <v>310.073</v>
      </c>
      <c r="T266" s="185" t="n">
        <v>246.879</v>
      </c>
      <c r="U266" s="185" t="n">
        <v>233.739</v>
      </c>
      <c r="V266" s="185" t="n">
        <v>173.621</v>
      </c>
      <c r="W266" s="185" t="n">
        <v>179.191</v>
      </c>
      <c r="X266" s="185" t="n">
        <v>246.879</v>
      </c>
      <c r="Y266" s="185" t="n">
        <v>184.708</v>
      </c>
      <c r="Z266" s="185" t="n">
        <v>355.345</v>
      </c>
      <c r="AA266" s="185" t="n">
        <v>352.923</v>
      </c>
      <c r="AB266" s="185" t="n">
        <v>257.857</v>
      </c>
      <c r="AC266" s="185" t="n">
        <v>184.708</v>
      </c>
      <c r="AD266" s="185" t="n">
        <v>306.997</v>
      </c>
      <c r="AE266" s="185" t="n">
        <v>297.366</v>
      </c>
      <c r="AF266" s="185" t="n">
        <v>446.366</v>
      </c>
      <c r="AG266" s="185" t="n">
        <v>361.658</v>
      </c>
      <c r="AH266" s="185" t="n">
        <v>306.997</v>
      </c>
      <c r="AI266" s="185" t="n">
        <v>319.399</v>
      </c>
      <c r="AJ266" s="185" t="n">
        <v>186.352</v>
      </c>
      <c r="AK266" s="185" t="n">
        <v>197.068</v>
      </c>
      <c r="AL266" s="185" t="n">
        <v>215.497</v>
      </c>
      <c r="AM266" s="185" t="n">
        <v>319.399</v>
      </c>
      <c r="AN266" s="185" t="n">
        <v>226.507</v>
      </c>
      <c r="AO266" s="185" t="n">
        <v>167.371</v>
      </c>
      <c r="AP266" s="185" t="n">
        <v>204.455</v>
      </c>
      <c r="AQ266" s="185" t="n">
        <v>282.233</v>
      </c>
      <c r="AR266" s="185" t="n">
        <v>226.507</v>
      </c>
      <c r="AS266" s="185" t="n">
        <v>371.991</v>
      </c>
      <c r="AT266" s="185" t="n">
        <v>432.205</v>
      </c>
      <c r="AU266" s="185" t="n">
        <v>447.366</v>
      </c>
      <c r="AV266" s="185" t="n">
        <v>475.706</v>
      </c>
      <c r="AW266" s="185" t="n">
        <v>371.991</v>
      </c>
      <c r="AX266" s="185" t="n">
        <v>519.101</v>
      </c>
      <c r="AY266" s="185" t="n">
        <v>496.383</v>
      </c>
      <c r="AZ266" s="185" t="n">
        <v>595.574</v>
      </c>
      <c r="BA266" s="185" t="n">
        <v>646.663</v>
      </c>
      <c r="BB266" s="185" t="n">
        <v>519.101</v>
      </c>
      <c r="BC266" s="185" t="n">
        <v>452.575</v>
      </c>
      <c r="BD266" s="185" t="n">
        <v>339.584</v>
      </c>
      <c r="BE266" s="185" t="n">
        <v>344.631</v>
      </c>
      <c r="BF266" s="185" t="n">
        <v>449.023</v>
      </c>
      <c r="BG266" s="185" t="n">
        <v>452.575</v>
      </c>
      <c r="BH266" s="185" t="n">
        <v>492.603</v>
      </c>
      <c r="BI266" s="185" t="n">
        <v>304.307</v>
      </c>
      <c r="BJ266" s="185" t="n">
        <v>238.776</v>
      </c>
      <c r="BK266" s="185" t="n">
        <v>335.965</v>
      </c>
      <c r="BL266" s="185" t="n">
        <v>492.603</v>
      </c>
      <c r="BM266" s="185" t="n">
        <v>444.698</v>
      </c>
      <c r="BN266" s="185" t="n">
        <v>337.825</v>
      </c>
      <c r="BO266" s="185" t="n">
        <v>401.992</v>
      </c>
      <c r="BP266" s="185" t="n">
        <v>512.371</v>
      </c>
      <c r="BQ266" s="185" t="n">
        <v>444.698</v>
      </c>
      <c r="BR266" s="185" t="n">
        <v>687.192</v>
      </c>
      <c r="BS266" s="185" t="n">
        <v>489.417</v>
      </c>
      <c r="BT266" s="185" t="n">
        <v>600.186</v>
      </c>
      <c r="BU266" s="185" t="n">
        <v>759.197</v>
      </c>
      <c r="BV266" s="185" t="n">
        <v>687.192</v>
      </c>
      <c r="BW266" s="185" t="n">
        <v>826.3150000000001</v>
      </c>
      <c r="BX266" s="185" t="n">
        <v>547.994</v>
      </c>
      <c r="BY266" s="168" t="n"/>
      <c r="BZ266" s="168" t="n"/>
      <c r="CA266" s="186">
        <f>BV267</f>
        <v>826.315</v>
      </c>
      <c r="CB266" s="186">
        <f>CA267</f>
        <v>546.954718105709</v>
      </c>
      <c r="CC266" s="186">
        <f>CB267</f>
        <v>531.822401087225</v>
      </c>
      <c r="CD266" s="186">
        <f>CC267</f>
        <v>250</v>
      </c>
      <c r="CE266" s="186">
        <f>CD267</f>
        <v>250</v>
      </c>
      <c r="CF266" s="20" t="n"/>
    </row>
    <row r="267" ht="15" customHeight="1">
      <c r="B267" s="17" t="inlineStr">
        <is>
          <t>Cash — end of period</t>
        </is>
      </c>
      <c r="C267" s="175" t="n">
        <v>73.55</v>
      </c>
      <c r="D267" s="175" t="n">
        <v>119.538</v>
      </c>
      <c r="E267" s="175" t="n">
        <v>249.524</v>
      </c>
      <c r="F267" s="175" t="n">
        <v>233.546</v>
      </c>
      <c r="G267" s="175" t="n">
        <v>302.21</v>
      </c>
      <c r="H267" s="175" t="n">
        <v>260.723</v>
      </c>
      <c r="I267" s="175" t="n">
        <v>229.836</v>
      </c>
      <c r="J267" s="175" t="n">
        <v>222.104</v>
      </c>
      <c r="K267" s="175" t="n">
        <v>263.478</v>
      </c>
      <c r="L267" s="175" t="n">
        <v>248.635</v>
      </c>
      <c r="M267" s="175" t="n">
        <v>310.073</v>
      </c>
      <c r="N267" s="175" t="n">
        <v>310.073</v>
      </c>
      <c r="O267" s="175" t="n">
        <v>249.007</v>
      </c>
      <c r="P267" s="175" t="n">
        <v>278.644</v>
      </c>
      <c r="Q267" s="175" t="n">
        <v>258.021</v>
      </c>
      <c r="R267" s="175" t="n">
        <v>246.879</v>
      </c>
      <c r="S267" s="175" t="n">
        <v>246.879</v>
      </c>
      <c r="T267" s="175" t="n">
        <v>233.739</v>
      </c>
      <c r="U267" s="175" t="n">
        <v>173.621</v>
      </c>
      <c r="V267" s="175" t="n">
        <v>179.191</v>
      </c>
      <c r="W267" s="175" t="n">
        <v>184.708</v>
      </c>
      <c r="X267" s="175" t="n">
        <v>184.708</v>
      </c>
      <c r="Y267" s="175" t="n">
        <v>355.345</v>
      </c>
      <c r="Z267" s="175" t="n">
        <v>352.923</v>
      </c>
      <c r="AA267" s="175" t="n">
        <v>257.857</v>
      </c>
      <c r="AB267" s="175" t="n">
        <v>306.997</v>
      </c>
      <c r="AC267" s="175" t="n">
        <v>306.997</v>
      </c>
      <c r="AD267" s="175" t="n">
        <v>297.366</v>
      </c>
      <c r="AE267" s="175" t="n">
        <v>446.366</v>
      </c>
      <c r="AF267" s="175" t="n">
        <v>361.658</v>
      </c>
      <c r="AG267" s="175" t="n">
        <v>319.399</v>
      </c>
      <c r="AH267" s="175" t="n">
        <v>319.399</v>
      </c>
      <c r="AI267" s="175" t="n">
        <v>186.352</v>
      </c>
      <c r="AJ267" s="175" t="n">
        <v>197.068</v>
      </c>
      <c r="AK267" s="175" t="n">
        <v>215.497</v>
      </c>
      <c r="AL267" s="175" t="n">
        <v>226.507</v>
      </c>
      <c r="AM267" s="175" t="n">
        <v>226.507</v>
      </c>
      <c r="AN267" s="175" t="n">
        <v>167.371</v>
      </c>
      <c r="AO267" s="175" t="n">
        <v>204.455</v>
      </c>
      <c r="AP267" s="175" t="n">
        <v>282.233</v>
      </c>
      <c r="AQ267" s="175" t="n">
        <v>371.991</v>
      </c>
      <c r="AR267" s="175" t="n">
        <v>371.991</v>
      </c>
      <c r="AS267" s="175" t="n">
        <v>432.205</v>
      </c>
      <c r="AT267" s="175" t="n">
        <v>447.366</v>
      </c>
      <c r="AU267" s="175" t="n">
        <v>475.706</v>
      </c>
      <c r="AV267" s="175" t="n">
        <v>519.101</v>
      </c>
      <c r="AW267" s="175" t="n">
        <v>519.101</v>
      </c>
      <c r="AX267" s="175" t="n">
        <v>496.383</v>
      </c>
      <c r="AY267" s="175" t="n">
        <v>595.574</v>
      </c>
      <c r="AZ267" s="175" t="n">
        <v>646.663</v>
      </c>
      <c r="BA267" s="175" t="n">
        <v>452.575</v>
      </c>
      <c r="BB267" s="175" t="n">
        <v>452.575</v>
      </c>
      <c r="BC267" s="175" t="n">
        <v>339.584</v>
      </c>
      <c r="BD267" s="175" t="n">
        <v>344.631</v>
      </c>
      <c r="BE267" s="175" t="n">
        <v>449.023</v>
      </c>
      <c r="BF267" s="175" t="n">
        <v>492.603</v>
      </c>
      <c r="BG267" s="175" t="n">
        <v>492.603</v>
      </c>
      <c r="BH267" s="175" t="n">
        <v>304.307</v>
      </c>
      <c r="BI267" s="175" t="n">
        <v>238.776</v>
      </c>
      <c r="BJ267" s="175" t="n">
        <v>335.965</v>
      </c>
      <c r="BK267" s="175" t="n">
        <v>444.698</v>
      </c>
      <c r="BL267" s="175" t="n">
        <v>444.698</v>
      </c>
      <c r="BM267" s="175" t="n">
        <v>337.825</v>
      </c>
      <c r="BN267" s="175" t="n">
        <v>401.992</v>
      </c>
      <c r="BO267" s="175" t="n">
        <v>512.371</v>
      </c>
      <c r="BP267" s="175" t="n">
        <v>687.192</v>
      </c>
      <c r="BQ267" s="175" t="n">
        <v>687.192</v>
      </c>
      <c r="BR267" s="175" t="n">
        <v>489.417</v>
      </c>
      <c r="BS267" s="175" t="n">
        <v>600.186</v>
      </c>
      <c r="BT267" s="175" t="n">
        <v>759.197</v>
      </c>
      <c r="BU267" s="175" t="n">
        <v>826.3150000000001</v>
      </c>
      <c r="BV267" s="175" t="n">
        <v>826.3150000000001</v>
      </c>
      <c r="BW267" s="175" t="n">
        <v>547.994</v>
      </c>
      <c r="BX267" s="175" t="n">
        <v>408.357</v>
      </c>
      <c r="BY267" s="34" t="n"/>
      <c r="BZ267" s="34" t="n"/>
      <c r="CA267" s="176">
        <f>CA266+CA265</f>
        <v>546.954718105709</v>
      </c>
      <c r="CB267" s="176">
        <f>CB266+CB265</f>
        <v>531.822401087225</v>
      </c>
      <c r="CC267" s="176">
        <f>CC266+CC265</f>
        <v>250</v>
      </c>
      <c r="CD267" s="176">
        <f>CD266+CD265</f>
        <v>250</v>
      </c>
      <c r="CE267" s="176">
        <f>CE266+CE265</f>
        <v>250</v>
      </c>
      <c r="CF267" s="177" t="n"/>
    </row>
    <row r="268" ht="15" customHeight="1">
      <c r="B268" s="61" t="inlineStr">
        <is>
          <t xml:space="preserve">  Check: CFO + CFI + CFF + FX = change in cash (should be 0)</t>
        </is>
      </c>
      <c r="C268" s="188">
        <f>IF(ISNUMBER(C250),ROUND(C250+C256+C263+N(C264)-C265,1),"")</f>
        <v>0</v>
      </c>
      <c r="D268" s="188">
        <f>IF(ISNUMBER(D250),ROUND(D250+D256+D263+N(D264)-D265,1),"")</f>
        <v>0</v>
      </c>
      <c r="E268" s="188">
        <f>IF(ISNUMBER(E250),ROUND(E250+E256+E263+N(E264)-E265,1),"")</f>
        <v>0</v>
      </c>
      <c r="F268" s="188">
        <f>IF(ISNUMBER(F250),ROUND(F250+F256+F263+N(F264)-F265,1),"")</f>
        <v>0</v>
      </c>
      <c r="G268" s="188">
        <f>IF(ISNUMBER(G250),ROUND(G250+G256+G263+N(G264)-G265,1),"")</f>
        <v>0</v>
      </c>
      <c r="H268" s="188">
        <f>IF(ISNUMBER(H250),ROUND(H250+H256+H263+N(H264)-H265,1),"")</f>
        <v>0</v>
      </c>
      <c r="I268" s="188">
        <f>IF(ISNUMBER(I250),ROUND(I250+I256+I263+N(I264)-I265,1),"")</f>
        <v>0</v>
      </c>
      <c r="J268" s="188">
        <f>IF(ISNUMBER(J250),ROUND(J250+J256+J263+N(J264)-J265,1),"")</f>
        <v>0</v>
      </c>
      <c r="K268" s="188">
        <f>IF(ISNUMBER(K250),ROUND(K250+K256+K263+N(K264)-K265,1),"")</f>
        <v>0</v>
      </c>
      <c r="L268" s="188">
        <f>IF(ISNUMBER(L250),ROUND(L250+L256+L263+N(L264)-L265,1),"")</f>
        <v>0</v>
      </c>
      <c r="M268" s="188">
        <f>IF(ISNUMBER(M250),ROUND(M250+M256+M263+N(M264)-M265,1),"")</f>
        <v>0</v>
      </c>
      <c r="N268" s="188">
        <f>IF(ISNUMBER(N250),ROUND(N250+N256+N263+N(N264)-N265,1),"")</f>
        <v>0</v>
      </c>
      <c r="O268" s="188">
        <f>IF(ISNUMBER(O250),ROUND(O250+O256+O263+N(O264)-O265,1),"")</f>
        <v>0</v>
      </c>
      <c r="P268" s="188">
        <f>IF(ISNUMBER(P250),ROUND(P250+P256+P263+N(P264)-P265,1),"")</f>
        <v>0</v>
      </c>
      <c r="Q268" s="188">
        <f>IF(ISNUMBER(Q250),ROUND(Q250+Q256+Q263+N(Q264)-Q265,1),"")</f>
        <v>0</v>
      </c>
      <c r="R268" s="188">
        <f>IF(ISNUMBER(R250),ROUND(R250+R256+R263+N(R264)-R265,1),"")</f>
        <v>0</v>
      </c>
      <c r="S268" s="188">
        <f>IF(ISNUMBER(S250),ROUND(S250+S256+S263+N(S264)-S265,1),"")</f>
        <v>0</v>
      </c>
      <c r="T268" s="188">
        <f>IF(ISNUMBER(T250),ROUND(T250+T256+T263+N(T264)-T265,1),"")</f>
        <v>0</v>
      </c>
      <c r="U268" s="188">
        <f>IF(ISNUMBER(U250),ROUND(U250+U256+U263+N(U264)-U265,1),"")</f>
        <v>0</v>
      </c>
      <c r="V268" s="188">
        <f>IF(ISNUMBER(V250),ROUND(V250+V256+V263+N(V264)-V265,1),"")</f>
        <v>0</v>
      </c>
      <c r="W268" s="188">
        <f>IF(ISNUMBER(W250),ROUND(W250+W256+W263+N(W264)-W265,1),"")</f>
        <v>0</v>
      </c>
      <c r="X268" s="188">
        <f>IF(ISNUMBER(X250),ROUND(X250+X256+X263+N(X264)-X265,1),"")</f>
        <v>0</v>
      </c>
      <c r="Y268" s="188">
        <f>IF(ISNUMBER(Y250),ROUND(Y250+Y256+Y263+N(Y264)-Y265,1),"")</f>
        <v>0</v>
      </c>
      <c r="Z268" s="188">
        <f>IF(ISNUMBER(Z250),ROUND(Z250+Z256+Z263+N(Z264)-Z265,1),"")</f>
        <v>0</v>
      </c>
      <c r="AA268" s="188">
        <f>IF(ISNUMBER(AA250),ROUND(AA250+AA256+AA263+N(AA264)-AA265,1),"")</f>
        <v>0</v>
      </c>
      <c r="AB268" s="188">
        <f>IF(ISNUMBER(AB250),ROUND(AB250+AB256+AB263+N(AB264)-AB265,1),"")</f>
        <v>0</v>
      </c>
      <c r="AC268" s="188">
        <f>IF(ISNUMBER(AC250),ROUND(AC250+AC256+AC263+N(AC264)-AC265,1),"")</f>
        <v>0</v>
      </c>
      <c r="AD268" s="188">
        <f>IF(ISNUMBER(AD250),ROUND(AD250+AD256+AD263+N(AD264)-AD265,1),"")</f>
        <v>0</v>
      </c>
      <c r="AE268" s="188">
        <f>IF(ISNUMBER(AE250),ROUND(AE250+AE256+AE263+N(AE264)-AE265,1),"")</f>
        <v>0</v>
      </c>
      <c r="AF268" s="188">
        <f>IF(ISNUMBER(AF250),ROUND(AF250+AF256+AF263+N(AF264)-AF265,1),"")</f>
        <v>0</v>
      </c>
      <c r="AG268" s="188">
        <f>IF(ISNUMBER(AG250),ROUND(AG250+AG256+AG263+N(AG264)-AG265,1),"")</f>
        <v>0</v>
      </c>
      <c r="AH268" s="188">
        <f>IF(ISNUMBER(AH250),ROUND(AH250+AH256+AH263+N(AH264)-AH265,1),"")</f>
        <v>0</v>
      </c>
      <c r="AI268" s="188">
        <f>IF(ISNUMBER(AI250),ROUND(AI250+AI256+AI263+N(AI264)-AI265,1),"")</f>
        <v>0</v>
      </c>
      <c r="AJ268" s="188">
        <f>IF(ISNUMBER(AJ250),ROUND(AJ250+AJ256+AJ263+N(AJ264)-AJ265,1),"")</f>
        <v>0</v>
      </c>
      <c r="AK268" s="188">
        <f>IF(ISNUMBER(AK250),ROUND(AK250+AK256+AK263+N(AK264)-AK265,1),"")</f>
        <v>0</v>
      </c>
      <c r="AL268" s="188">
        <f>IF(ISNUMBER(AL250),ROUND(AL250+AL256+AL263+N(AL264)-AL265,1),"")</f>
        <v>0</v>
      </c>
      <c r="AM268" s="188">
        <f>IF(ISNUMBER(AM250),ROUND(AM250+AM256+AM263+N(AM264)-AM265,1),"")</f>
        <v>0</v>
      </c>
      <c r="AN268" s="188">
        <f>IF(ISNUMBER(AN250),ROUND(AN250+AN256+AN263+N(AN264)-AN265,1),"")</f>
        <v>0</v>
      </c>
      <c r="AO268" s="188">
        <f>IF(ISNUMBER(AO250),ROUND(AO250+AO256+AO263+N(AO264)-AO265,1),"")</f>
        <v>0</v>
      </c>
      <c r="AP268" s="188">
        <f>IF(ISNUMBER(AP250),ROUND(AP250+AP256+AP263+N(AP264)-AP265,1),"")</f>
        <v>0</v>
      </c>
      <c r="AQ268" s="188">
        <f>IF(ISNUMBER(AQ250),ROUND(AQ250+AQ256+AQ263+N(AQ264)-AQ265,1),"")</f>
        <v>0</v>
      </c>
      <c r="AR268" s="188">
        <f>IF(ISNUMBER(AR250),ROUND(AR250+AR256+AR263+N(AR264)-AR265,1),"")</f>
        <v>0</v>
      </c>
      <c r="AS268" s="188">
        <f>IF(ISNUMBER(AS250),ROUND(AS250+AS256+AS263+N(AS264)-AS265,1),"")</f>
        <v>0</v>
      </c>
      <c r="AT268" s="188">
        <f>IF(ISNUMBER(AT250),ROUND(AT250+AT256+AT263+N(AT264)-AT265,1),"")</f>
        <v>0</v>
      </c>
      <c r="AU268" s="188">
        <f>IF(ISNUMBER(AU250),ROUND(AU250+AU256+AU263+N(AU264)-AU265,1),"")</f>
        <v>0</v>
      </c>
      <c r="AV268" s="188">
        <f>IF(ISNUMBER(AV250),ROUND(AV250+AV256+AV263+N(AV264)-AV265,1),"")</f>
        <v>0</v>
      </c>
      <c r="AW268" s="188">
        <f>IF(ISNUMBER(AW250),ROUND(AW250+AW256+AW263+N(AW264)-AW265,1),"")</f>
        <v>0</v>
      </c>
      <c r="AX268" s="188">
        <f>IF(ISNUMBER(AX250),ROUND(AX250+AX256+AX263+N(AX264)-AX265,1),"")</f>
        <v>0</v>
      </c>
      <c r="AY268" s="188">
        <f>IF(ISNUMBER(AY250),ROUND(AY250+AY256+AY263+N(AY264)-AY265,1),"")</f>
        <v>0</v>
      </c>
      <c r="AZ268" s="188">
        <f>IF(ISNUMBER(AZ250),ROUND(AZ250+AZ256+AZ263+N(AZ264)-AZ265,1),"")</f>
        <v>0</v>
      </c>
      <c r="BA268" s="188">
        <f>IF(ISNUMBER(BA250),ROUND(BA250+BA256+BA263+N(BA264)-BA265,1),"")</f>
        <v>0</v>
      </c>
      <c r="BB268" s="188">
        <f>IF(ISNUMBER(BB250),ROUND(BB250+BB256+BB263+N(BB264)-BB265,1),"")</f>
        <v>0</v>
      </c>
      <c r="BC268" s="188">
        <f>IF(ISNUMBER(BC250),ROUND(BC250+BC256+BC263+N(BC264)-BC265,1),"")</f>
        <v>0</v>
      </c>
      <c r="BD268" s="188">
        <f>IF(ISNUMBER(BD250),ROUND(BD250+BD256+BD263+N(BD264)-BD265,1),"")</f>
        <v>0</v>
      </c>
      <c r="BE268" s="188">
        <f>IF(ISNUMBER(BE250),ROUND(BE250+BE256+BE263+N(BE264)-BE265,1),"")</f>
        <v>0</v>
      </c>
      <c r="BF268" s="188">
        <f>IF(ISNUMBER(BF250),ROUND(BF250+BF256+BF263+N(BF264)-BF265,1),"")</f>
        <v>0</v>
      </c>
      <c r="BG268" s="188">
        <f>IF(ISNUMBER(BG250),ROUND(BG250+BG256+BG263+N(BG264)-BG265,1),"")</f>
        <v>0</v>
      </c>
      <c r="BH268" s="188">
        <f>IF(ISNUMBER(BH250),ROUND(BH250+BH256+BH263+N(BH264)-BH265,1),"")</f>
        <v>0</v>
      </c>
      <c r="BI268" s="188">
        <f>IF(ISNUMBER(BI250),ROUND(BI250+BI256+BI263+N(BI264)-BI265,1),"")</f>
        <v>0</v>
      </c>
      <c r="BJ268" s="188">
        <f>IF(ISNUMBER(BJ250),ROUND(BJ250+BJ256+BJ263+N(BJ264)-BJ265,1),"")</f>
        <v>0</v>
      </c>
      <c r="BK268" s="188">
        <f>IF(ISNUMBER(BK250),ROUND(BK250+BK256+BK263+N(BK264)-BK265,1),"")</f>
        <v>0</v>
      </c>
      <c r="BL268" s="188">
        <f>IF(ISNUMBER(BL250),ROUND(BL250+BL256+BL263+N(BL264)-BL265,1),"")</f>
        <v>0</v>
      </c>
      <c r="BM268" s="188">
        <f>IF(ISNUMBER(BM250),ROUND(BM250+BM256+BM263+N(BM264)-BM265,1),"")</f>
        <v>0</v>
      </c>
      <c r="BN268" s="188">
        <f>IF(ISNUMBER(BN250),ROUND(BN250+BN256+BN263+N(BN264)-BN265,1),"")</f>
        <v>0</v>
      </c>
      <c r="BO268" s="188">
        <f>IF(ISNUMBER(BO250),ROUND(BO250+BO256+BO263+N(BO264)-BO265,1),"")</f>
        <v>0</v>
      </c>
      <c r="BP268" s="188">
        <f>IF(ISNUMBER(BP250),ROUND(BP250+BP256+BP263+N(BP264)-BP265,1),"")</f>
        <v>0</v>
      </c>
      <c r="BQ268" s="188">
        <f>IF(ISNUMBER(BQ250),ROUND(BQ250+BQ256+BQ263+N(BQ264)-BQ265,1),"")</f>
        <v>0</v>
      </c>
      <c r="BR268" s="188">
        <f>IF(ISNUMBER(BR250),ROUND(BR250+BR256+BR263+N(BR264)-BR265,1),"")</f>
        <v>0</v>
      </c>
      <c r="BS268" s="188">
        <f>IF(ISNUMBER(BS250),ROUND(BS250+BS256+BS263+N(BS264)-BS265,1),"")</f>
        <v>0</v>
      </c>
      <c r="BT268" s="188">
        <f>IF(ISNUMBER(BT250),ROUND(BT250+BT256+BT263+N(BT264)-BT265,1),"")</f>
        <v>0</v>
      </c>
      <c r="BU268" s="188">
        <f>IF(ISNUMBER(BU250),ROUND(BU250+BU256+BU263+N(BU264)-BU265,1),"")</f>
        <v>0</v>
      </c>
      <c r="BV268" s="188">
        <f>IF(ISNUMBER(BV250),ROUND(BV250+BV256+BV263+N(BV264)-BV265,1),"")</f>
        <v>0</v>
      </c>
      <c r="BW268" s="188">
        <f>IF(ISNUMBER(BW250),ROUND(BW250+BW256+BW263+N(BW264)-BW265,1),"")</f>
        <v>0</v>
      </c>
      <c r="BX268" s="188">
        <f>IF(ISNUMBER(BX250),ROUND(BX250+BX256+BX263+N(BX264)-BX265,1),"")</f>
        <v>0</v>
      </c>
      <c r="BY268" s="189" t="n"/>
      <c r="BZ268" s="189" t="n"/>
      <c r="CA268" s="211">
        <f>IF(ISNUMBER(CA250),ROUND(CA250+CA256+CA263+N(CA264)-CA265,1),"")</f>
        <v>0</v>
      </c>
      <c r="CB268" s="211">
        <f>IF(ISNUMBER(CB250),ROUND(CB250+CB256+CB263+N(CB264)-CB265,1),"")</f>
        <v>0</v>
      </c>
      <c r="CC268" s="211">
        <f>IF(ISNUMBER(CC250),ROUND(CC250+CC256+CC263+N(CC264)-CC265,1),"")</f>
        <v>0</v>
      </c>
      <c r="CD268" s="211">
        <f>IF(ISNUMBER(CD250),ROUND(CD250+CD256+CD263+N(CD264)-CD265,1),"")</f>
        <v>0</v>
      </c>
      <c r="CE268" s="211">
        <f>IF(ISNUMBER(CE250),ROUND(CE250+CE256+CE263+N(CE264)-CE265,1),"")</f>
        <v>0</v>
      </c>
      <c r="CF268" s="177" t="n"/>
    </row>
    <row r="269" ht="15" customHeight="1">
      <c r="B269" s="61" t="inlineStr">
        <is>
          <t xml:space="preserve">  Check: beginning cash + change = ending cash (should be 0)</t>
        </is>
      </c>
      <c r="C269" s="188">
        <f>IF(ISNUMBER(C266),ROUND(C266+C265-C267,1),"")</f>
        <v>0</v>
      </c>
      <c r="D269" s="188">
        <f>IF(ISNUMBER(D266),ROUND(D266+D265-D267,1),"")</f>
        <v>0</v>
      </c>
      <c r="E269" s="188">
        <f>IF(ISNUMBER(E266),ROUND(E266+E265-E267,1),"")</f>
        <v>0</v>
      </c>
      <c r="F269" s="188">
        <f>IF(ISNUMBER(F266),ROUND(F266+F265-F267,1),"")</f>
        <v>0</v>
      </c>
      <c r="G269" s="188">
        <f>IF(ISNUMBER(G266),ROUND(G266+G265-G267,1),"")</f>
        <v>0</v>
      </c>
      <c r="H269" s="188">
        <f>IF(ISNUMBER(H266),ROUND(H266+H265-H267,1),"")</f>
        <v>0</v>
      </c>
      <c r="I269" s="188">
        <f>IF(ISNUMBER(I266),ROUND(I266+I265-I267,1),"")</f>
        <v>0</v>
      </c>
      <c r="J269" s="188">
        <f>IF(ISNUMBER(J266),ROUND(J266+J265-J267,1),"")</f>
        <v>0</v>
      </c>
      <c r="K269" s="188">
        <f>IF(ISNUMBER(K266),ROUND(K266+K265-K267,1),"")</f>
        <v>0</v>
      </c>
      <c r="L269" s="188">
        <f>IF(ISNUMBER(L266),ROUND(L266+L265-L267,1),"")</f>
        <v>0</v>
      </c>
      <c r="M269" s="188">
        <f>IF(ISNUMBER(M266),ROUND(M266+M265-M267,1),"")</f>
        <v>0</v>
      </c>
      <c r="N269" s="188">
        <f>IF(ISNUMBER(N266),ROUND(N266+N265-N267,1),"")</f>
        <v>0</v>
      </c>
      <c r="O269" s="188">
        <f>IF(ISNUMBER(O266),ROUND(O266+O265-O267,1),"")</f>
        <v>0</v>
      </c>
      <c r="P269" s="188">
        <f>IF(ISNUMBER(P266),ROUND(P266+P265-P267,1),"")</f>
        <v>0</v>
      </c>
      <c r="Q269" s="188">
        <f>IF(ISNUMBER(Q266),ROUND(Q266+Q265-Q267,1),"")</f>
        <v>0</v>
      </c>
      <c r="R269" s="188">
        <f>IF(ISNUMBER(R266),ROUND(R266+R265-R267,1),"")</f>
        <v>0</v>
      </c>
      <c r="S269" s="188">
        <f>IF(ISNUMBER(S266),ROUND(S266+S265-S267,1),"")</f>
        <v>0</v>
      </c>
      <c r="T269" s="188">
        <f>IF(ISNUMBER(T266),ROUND(T266+T265-T267,1),"")</f>
        <v>0</v>
      </c>
      <c r="U269" s="188">
        <f>IF(ISNUMBER(U266),ROUND(U266+U265-U267,1),"")</f>
        <v>0</v>
      </c>
      <c r="V269" s="188">
        <f>IF(ISNUMBER(V266),ROUND(V266+V265-V267,1),"")</f>
        <v>0</v>
      </c>
      <c r="W269" s="188">
        <f>IF(ISNUMBER(W266),ROUND(W266+W265-W267,1),"")</f>
        <v>0</v>
      </c>
      <c r="X269" s="188">
        <f>IF(ISNUMBER(X266),ROUND(X266+X265-X267,1),"")</f>
        <v>0</v>
      </c>
      <c r="Y269" s="188">
        <f>IF(ISNUMBER(Y266),ROUND(Y266+Y265-Y267,1),"")</f>
        <v>0</v>
      </c>
      <c r="Z269" s="188">
        <f>IF(ISNUMBER(Z266),ROUND(Z266+Z265-Z267,1),"")</f>
        <v>0</v>
      </c>
      <c r="AA269" s="188">
        <f>IF(ISNUMBER(AA266),ROUND(AA266+AA265-AA267,1),"")</f>
        <v>0</v>
      </c>
      <c r="AB269" s="188">
        <f>IF(ISNUMBER(AB266),ROUND(AB266+AB265-AB267,1),"")</f>
        <v>0</v>
      </c>
      <c r="AC269" s="188">
        <f>IF(ISNUMBER(AC266),ROUND(AC266+AC265-AC267,1),"")</f>
        <v>0</v>
      </c>
      <c r="AD269" s="188">
        <f>IF(ISNUMBER(AD266),ROUND(AD266+AD265-AD267,1),"")</f>
        <v>0</v>
      </c>
      <c r="AE269" s="188">
        <f>IF(ISNUMBER(AE266),ROUND(AE266+AE265-AE267,1),"")</f>
        <v>0</v>
      </c>
      <c r="AF269" s="188">
        <f>IF(ISNUMBER(AF266),ROUND(AF266+AF265-AF267,1),"")</f>
        <v>0</v>
      </c>
      <c r="AG269" s="188">
        <f>IF(ISNUMBER(AG266),ROUND(AG266+AG265-AG267,1),"")</f>
        <v>0</v>
      </c>
      <c r="AH269" s="188">
        <f>IF(ISNUMBER(AH266),ROUND(AH266+AH265-AH267,1),"")</f>
        <v>0</v>
      </c>
      <c r="AI269" s="188">
        <f>IF(ISNUMBER(AI266),ROUND(AI266+AI265-AI267,1),"")</f>
        <v>0</v>
      </c>
      <c r="AJ269" s="188">
        <f>IF(ISNUMBER(AJ266),ROUND(AJ266+AJ265-AJ267,1),"")</f>
        <v>0</v>
      </c>
      <c r="AK269" s="188">
        <f>IF(ISNUMBER(AK266),ROUND(AK266+AK265-AK267,1),"")</f>
        <v>0</v>
      </c>
      <c r="AL269" s="188">
        <f>IF(ISNUMBER(AL266),ROUND(AL266+AL265-AL267,1),"")</f>
        <v>0</v>
      </c>
      <c r="AM269" s="188">
        <f>IF(ISNUMBER(AM266),ROUND(AM266+AM265-AM267,1),"")</f>
        <v>0</v>
      </c>
      <c r="AN269" s="188">
        <f>IF(ISNUMBER(AN266),ROUND(AN266+AN265-AN267,1),"")</f>
        <v>0</v>
      </c>
      <c r="AO269" s="188">
        <f>IF(ISNUMBER(AO266),ROUND(AO266+AO265-AO267,1),"")</f>
        <v>0</v>
      </c>
      <c r="AP269" s="188">
        <f>IF(ISNUMBER(AP266),ROUND(AP266+AP265-AP267,1),"")</f>
        <v>0</v>
      </c>
      <c r="AQ269" s="188">
        <f>IF(ISNUMBER(AQ266),ROUND(AQ266+AQ265-AQ267,1),"")</f>
        <v>0</v>
      </c>
      <c r="AR269" s="188">
        <f>IF(ISNUMBER(AR266),ROUND(AR266+AR265-AR267,1),"")</f>
        <v>0</v>
      </c>
      <c r="AS269" s="188">
        <f>IF(ISNUMBER(AS266),ROUND(AS266+AS265-AS267,1),"")</f>
        <v>0</v>
      </c>
      <c r="AT269" s="188">
        <f>IF(ISNUMBER(AT266),ROUND(AT266+AT265-AT267,1),"")</f>
        <v>0</v>
      </c>
      <c r="AU269" s="188">
        <f>IF(ISNUMBER(AU266),ROUND(AU266+AU265-AU267,1),"")</f>
        <v>0</v>
      </c>
      <c r="AV269" s="188">
        <f>IF(ISNUMBER(AV266),ROUND(AV266+AV265-AV267,1),"")</f>
        <v>0</v>
      </c>
      <c r="AW269" s="188">
        <f>IF(ISNUMBER(AW266),ROUND(AW266+AW265-AW267,1),"")</f>
        <v>0</v>
      </c>
      <c r="AX269" s="188">
        <f>IF(ISNUMBER(AX266),ROUND(AX266+AX265-AX267,1),"")</f>
        <v>0</v>
      </c>
      <c r="AY269" s="188">
        <f>IF(ISNUMBER(AY266),ROUND(AY266+AY265-AY267,1),"")</f>
        <v>0</v>
      </c>
      <c r="AZ269" s="188">
        <f>IF(ISNUMBER(AZ266),ROUND(AZ266+AZ265-AZ267,1),"")</f>
        <v>0</v>
      </c>
      <c r="BA269" s="188">
        <f>IF(ISNUMBER(BA266),ROUND(BA266+BA265-BA267,1),"")</f>
        <v>0</v>
      </c>
      <c r="BB269" s="188">
        <f>IF(ISNUMBER(BB266),ROUND(BB266+BB265-BB267,1),"")</f>
        <v>0</v>
      </c>
      <c r="BC269" s="188">
        <f>IF(ISNUMBER(BC266),ROUND(BC266+BC265-BC267,1),"")</f>
        <v>0</v>
      </c>
      <c r="BD269" s="188">
        <f>IF(ISNUMBER(BD266),ROUND(BD266+BD265-BD267,1),"")</f>
        <v>0</v>
      </c>
      <c r="BE269" s="188">
        <f>IF(ISNUMBER(BE266),ROUND(BE266+BE265-BE267,1),"")</f>
        <v>0</v>
      </c>
      <c r="BF269" s="188">
        <f>IF(ISNUMBER(BF266),ROUND(BF266+BF265-BF267,1),"")</f>
        <v>0</v>
      </c>
      <c r="BG269" s="188">
        <f>IF(ISNUMBER(BG266),ROUND(BG266+BG265-BG267,1),"")</f>
        <v>0</v>
      </c>
      <c r="BH269" s="188">
        <f>IF(ISNUMBER(BH266),ROUND(BH266+BH265-BH267,1),"")</f>
        <v>0</v>
      </c>
      <c r="BI269" s="188">
        <f>IF(ISNUMBER(BI266),ROUND(BI266+BI265-BI267,1),"")</f>
        <v>0</v>
      </c>
      <c r="BJ269" s="188">
        <f>IF(ISNUMBER(BJ266),ROUND(BJ266+BJ265-BJ267,1),"")</f>
        <v>0</v>
      </c>
      <c r="BK269" s="188">
        <f>IF(ISNUMBER(BK266),ROUND(BK266+BK265-BK267,1),"")</f>
        <v>0</v>
      </c>
      <c r="BL269" s="188">
        <f>IF(ISNUMBER(BL266),ROUND(BL266+BL265-BL267,1),"")</f>
        <v>0</v>
      </c>
      <c r="BM269" s="188">
        <f>IF(ISNUMBER(BM266),ROUND(BM266+BM265-BM267,1),"")</f>
        <v>0</v>
      </c>
      <c r="BN269" s="188">
        <f>IF(ISNUMBER(BN266),ROUND(BN266+BN265-BN267,1),"")</f>
        <v>0</v>
      </c>
      <c r="BO269" s="188">
        <f>IF(ISNUMBER(BO266),ROUND(BO266+BO265-BO267,1),"")</f>
        <v>0</v>
      </c>
      <c r="BP269" s="188">
        <f>IF(ISNUMBER(BP266),ROUND(BP266+BP265-BP267,1),"")</f>
        <v>0</v>
      </c>
      <c r="BQ269" s="188">
        <f>IF(ISNUMBER(BQ266),ROUND(BQ266+BQ265-BQ267,1),"")</f>
        <v>0</v>
      </c>
      <c r="BR269" s="188">
        <f>IF(ISNUMBER(BR266),ROUND(BR266+BR265-BR267,1),"")</f>
        <v>0</v>
      </c>
      <c r="BS269" s="188">
        <f>IF(ISNUMBER(BS266),ROUND(BS266+BS265-BS267,1),"")</f>
        <v>0</v>
      </c>
      <c r="BT269" s="188">
        <f>IF(ISNUMBER(BT266),ROUND(BT266+BT265-BT267,1),"")</f>
        <v>0</v>
      </c>
      <c r="BU269" s="188">
        <f>IF(ISNUMBER(BU266),ROUND(BU266+BU265-BU267,1),"")</f>
        <v>0</v>
      </c>
      <c r="BV269" s="188">
        <f>IF(ISNUMBER(BV266),ROUND(BV266+BV265-BV267,1),"")</f>
        <v>0</v>
      </c>
      <c r="BW269" s="188">
        <f>IF(ISNUMBER(BW266),ROUND(BW266+BW265-BW267,1),"")</f>
        <v>0</v>
      </c>
      <c r="BX269" s="188">
        <f>IF(ISNUMBER(BX266),ROUND(BX266+BX265-BX267,1),"")</f>
        <v>0</v>
      </c>
      <c r="BY269" s="189" t="n"/>
      <c r="BZ269" s="189" t="n"/>
      <c r="CA269" s="211">
        <f>IF(ISNUMBER(CA266),ROUND(CA266+CA265-CA267,1),"")</f>
        <v>0</v>
      </c>
      <c r="CB269" s="211">
        <f>IF(ISNUMBER(CB266),ROUND(CB266+CB265-CB267,1),"")</f>
        <v>0</v>
      </c>
      <c r="CC269" s="211">
        <f>IF(ISNUMBER(CC266),ROUND(CC266+CC265-CC267,1),"")</f>
        <v>0</v>
      </c>
      <c r="CD269" s="211">
        <f>IF(ISNUMBER(CD266),ROUND(CD266+CD265-CD267,1),"")</f>
        <v>0</v>
      </c>
      <c r="CE269" s="211">
        <f>IF(ISNUMBER(CE266),ROUND(CE266+CE265-CE267,1),"")</f>
        <v>0</v>
      </c>
      <c r="CF269" s="177" t="n"/>
    </row>
    <row r="270" ht="15" customHeight="1">
      <c r="B270" s="26" t="inlineStr">
        <is>
          <t>(Memo)</t>
        </is>
      </c>
      <c r="C270" s="217" t="n"/>
      <c r="D270" s="217" t="n"/>
      <c r="E270" s="217" t="n"/>
      <c r="F270" s="217" t="n"/>
      <c r="G270" s="217" t="n"/>
      <c r="H270" s="217" t="n"/>
      <c r="I270" s="217" t="n"/>
      <c r="J270" s="217" t="n"/>
      <c r="K270" s="217" t="n"/>
      <c r="L270" s="217" t="n"/>
      <c r="M270" s="217" t="n"/>
      <c r="N270" s="217" t="n"/>
      <c r="O270" s="217" t="n"/>
      <c r="P270" s="217" t="n"/>
      <c r="Q270" s="217" t="n"/>
      <c r="R270" s="217" t="n"/>
      <c r="S270" s="217" t="n"/>
      <c r="T270" s="217" t="n"/>
      <c r="U270" s="217" t="n"/>
      <c r="V270" s="217" t="n"/>
      <c r="W270" s="217" t="n"/>
      <c r="X270" s="217" t="n"/>
      <c r="Y270" s="217" t="n"/>
      <c r="Z270" s="217" t="n"/>
      <c r="AA270" s="217" t="n"/>
      <c r="AB270" s="217" t="n"/>
      <c r="AC270" s="217" t="n"/>
      <c r="AD270" s="217" t="n"/>
      <c r="AE270" s="217" t="n"/>
      <c r="AF270" s="217" t="n"/>
      <c r="AG270" s="217" t="n"/>
      <c r="AH270" s="217" t="n"/>
      <c r="AI270" s="217" t="n"/>
      <c r="AJ270" s="217" t="n"/>
      <c r="AK270" s="217" t="n"/>
      <c r="AL270" s="217" t="n"/>
      <c r="AM270" s="217" t="n"/>
      <c r="AN270" s="217" t="n"/>
      <c r="AO270" s="217" t="n"/>
      <c r="AP270" s="217" t="n"/>
      <c r="AQ270" s="217" t="n"/>
      <c r="AR270" s="217" t="n"/>
      <c r="AS270" s="217" t="n"/>
      <c r="AT270" s="217" t="n"/>
      <c r="AU270" s="217" t="n"/>
      <c r="AV270" s="217" t="n"/>
      <c r="AW270" s="217" t="n"/>
      <c r="AX270" s="217" t="n"/>
      <c r="AY270" s="217" t="n"/>
      <c r="AZ270" s="217" t="n"/>
      <c r="BA270" s="217" t="n"/>
      <c r="BB270" s="217" t="n"/>
      <c r="BC270" s="217" t="n"/>
      <c r="BD270" s="217" t="n"/>
      <c r="BE270" s="217" t="n"/>
      <c r="BF270" s="217" t="n"/>
      <c r="BG270" s="217" t="n"/>
      <c r="BH270" s="217" t="n"/>
      <c r="BI270" s="217" t="n"/>
      <c r="BJ270" s="217" t="n"/>
      <c r="BK270" s="217" t="n"/>
      <c r="BL270" s="217" t="n"/>
      <c r="BM270" s="217" t="n"/>
      <c r="BN270" s="217" t="n"/>
      <c r="BO270" s="217" t="n"/>
      <c r="BP270" s="217" t="n"/>
      <c r="BQ270" s="217" t="n"/>
      <c r="BR270" s="217" t="n"/>
      <c r="BS270" s="217" t="n"/>
      <c r="BT270" s="217" t="n"/>
      <c r="BU270" s="217" t="n"/>
      <c r="BV270" s="217" t="n"/>
      <c r="BW270" s="217" t="n"/>
      <c r="BX270" s="217" t="n"/>
      <c r="BY270" s="218" t="n"/>
      <c r="BZ270" s="218" t="n"/>
      <c r="CA270" s="218" t="n"/>
      <c r="CB270" s="218" t="n"/>
      <c r="CC270" s="218" t="n"/>
      <c r="CD270" s="218" t="n"/>
      <c r="CE270" s="218" t="n"/>
      <c r="CF270" s="20" t="n"/>
    </row>
    <row r="271" ht="15" customHeight="1">
      <c r="B271" s="17" t="inlineStr">
        <is>
          <t>Free cash flow (operating cash flow − capital expenditures)</t>
        </is>
      </c>
      <c r="C271" s="214">
        <f>IF(ISNUMBER(C250),C250+C251,"")</f>
        <v>20.714</v>
      </c>
      <c r="D271" s="214">
        <f>IF(ISNUMBER(D250),D250+D251,"")</f>
        <v>43.467</v>
      </c>
      <c r="E271" s="214">
        <f>IF(ISNUMBER(E250),E250+E251,"")</f>
        <v>52.128</v>
      </c>
      <c r="F271" s="214">
        <f>IF(ISNUMBER(F250),F250+F251,"")</f>
        <v>31.026</v>
      </c>
      <c r="G271" s="214">
        <f>IF(ISNUMBER(G250),G250+G251,"")</f>
        <v>107.658</v>
      </c>
      <c r="H271" s="214">
        <f>IF(ISNUMBER(H250),H250+H251,"")</f>
        <v>31.018</v>
      </c>
      <c r="I271" s="214">
        <f>IF(ISNUMBER(I250),I250+I251,"")</f>
        <v>126.968</v>
      </c>
      <c r="J271" s="214">
        <f>IF(ISNUMBER(J250),J250+J251,"")</f>
        <v>-32.66</v>
      </c>
      <c r="K271" s="214">
        <f>IF(ISNUMBER(K250),K250+K251,"")</f>
        <v>28.806</v>
      </c>
      <c r="L271" s="214">
        <f>IF(ISNUMBER(L250),L250+L251,"")</f>
        <v>76.327</v>
      </c>
      <c r="M271" s="214">
        <f>IF(ISNUMBER(M250),M250+M251,"")</f>
        <v>63.159</v>
      </c>
      <c r="N271" s="214">
        <f>IF(ISNUMBER(N250),N250+N251,"")</f>
        <v>135.632</v>
      </c>
      <c r="O271" s="214">
        <f>IF(ISNUMBER(O250),O250+O251,"")</f>
        <v>-70.409</v>
      </c>
      <c r="P271" s="214">
        <f>IF(ISNUMBER(P250),P250+P251,"")</f>
        <v>47.167</v>
      </c>
      <c r="Q271" s="214">
        <f>IF(ISNUMBER(Q250),Q250+Q251,"")</f>
        <v>20.404</v>
      </c>
      <c r="R271" s="214">
        <f>IF(ISNUMBER(R250),R250+R251,"")</f>
        <v>42.591</v>
      </c>
      <c r="S271" s="214">
        <f>IF(ISNUMBER(S250),S250+S251,"")</f>
        <v>39.753</v>
      </c>
      <c r="T271" s="214">
        <f>IF(ISNUMBER(T250),T250+T251,"")</f>
        <v>31.828</v>
      </c>
      <c r="U271" s="214">
        <f>IF(ISNUMBER(U250),U250+U251,"")</f>
        <v>37.842</v>
      </c>
      <c r="V271" s="214">
        <f>IF(ISNUMBER(V250),V250+V251,"")</f>
        <v>49.924</v>
      </c>
      <c r="W271" s="214">
        <f>IF(ISNUMBER(W250),W250+W251,"")</f>
        <v>19.593</v>
      </c>
      <c r="X271" s="214">
        <f>IF(ISNUMBER(X250),X250+X251,"")</f>
        <v>139.187</v>
      </c>
      <c r="Y271" s="214">
        <f>IF(ISNUMBER(Y250),Y250+Y251,"")</f>
        <v>-36.492</v>
      </c>
      <c r="Z271" s="214">
        <f>IF(ISNUMBER(Z250),Z250+Z251,"")</f>
        <v>33.014</v>
      </c>
      <c r="AA271" s="214">
        <f>IF(ISNUMBER(AA250),AA250+AA251,"")</f>
        <v>6.957</v>
      </c>
      <c r="AB271" s="214">
        <f>IF(ISNUMBER(AB250),AB250+AB251,"")</f>
        <v>36.761</v>
      </c>
      <c r="AC271" s="214">
        <f>IF(ISNUMBER(AC250),AC250+AC251,"")</f>
        <v>40.24</v>
      </c>
      <c r="AD271" s="214">
        <f>IF(ISNUMBER(AD250),AD250+AD251,"")</f>
        <v>14.657</v>
      </c>
      <c r="AE271" s="214">
        <f>IF(ISNUMBER(AE250),AE250+AE251,"")</f>
        <v>13.532</v>
      </c>
      <c r="AF271" s="214">
        <f>IF(ISNUMBER(AF250),AF250+AF251,"")</f>
        <v>65.544</v>
      </c>
      <c r="AG271" s="214">
        <f>IF(ISNUMBER(AG250),AG250+AG251,"")</f>
        <v>24.958</v>
      </c>
      <c r="AH271" s="214">
        <f>IF(ISNUMBER(AH250),AH250+AH251,"")</f>
        <v>118.691</v>
      </c>
      <c r="AI271" s="214">
        <f>IF(ISNUMBER(AI250),AI250+AI251,"")</f>
        <v>7.661</v>
      </c>
      <c r="AJ271" s="214">
        <f>IF(ISNUMBER(AJ250),AJ250+AJ251,"")</f>
        <v>27.87</v>
      </c>
      <c r="AK271" s="214">
        <f>IF(ISNUMBER(AK250),AK250+AK251,"")</f>
        <v>60.962</v>
      </c>
      <c r="AL271" s="214">
        <f>IF(ISNUMBER(AL250),AL250+AL251,"")</f>
        <v>83.373</v>
      </c>
      <c r="AM271" s="214">
        <f>IF(ISNUMBER(AM250),AM250+AM251,"")</f>
        <v>179.866</v>
      </c>
      <c r="AN271" s="214">
        <f>IF(ISNUMBER(AN250),AN250+AN251,"")</f>
        <v>-29.207</v>
      </c>
      <c r="AO271" s="214">
        <f>IF(ISNUMBER(AO250),AO250+AO251,"")</f>
        <v>49.305</v>
      </c>
      <c r="AP271" s="214">
        <f>IF(ISNUMBER(AP250),AP250+AP251,"")</f>
        <v>90.044</v>
      </c>
      <c r="AQ271" s="214">
        <f>IF(ISNUMBER(AQ250),AQ250+AQ251,"")</f>
        <v>86.726</v>
      </c>
      <c r="AR271" s="214">
        <f>IF(ISNUMBER(AR250),AR250+AR251,"")</f>
        <v>196.868</v>
      </c>
      <c r="AS271" s="214">
        <f>IF(ISNUMBER(AS250),AS250+AS251,"")</f>
        <v>-49.086</v>
      </c>
      <c r="AT271" s="214">
        <f>IF(ISNUMBER(AT250),AT250+AT251,"")</f>
        <v>96.851</v>
      </c>
      <c r="AU271" s="214">
        <f>IF(ISNUMBER(AU250),AU250+AU251,"")</f>
        <v>119.31</v>
      </c>
      <c r="AV271" s="214">
        <f>IF(ISNUMBER(AV250),AV250+AV251,"")</f>
        <v>67.266</v>
      </c>
      <c r="AW271" s="214">
        <f>IF(ISNUMBER(AW250),AW250+AW251,"")</f>
        <v>234.341</v>
      </c>
      <c r="AX271" s="214">
        <f>IF(ISNUMBER(AX250),AX250+AX251,"")</f>
        <v>61.087</v>
      </c>
      <c r="AY271" s="214">
        <f>IF(ISNUMBER(AY250),AY250+AY251,"")</f>
        <v>112.357</v>
      </c>
      <c r="AZ271" s="214">
        <f>IF(ISNUMBER(AZ250),AZ250+AZ251,"")</f>
        <v>48.128</v>
      </c>
      <c r="BA271" s="214">
        <f>IF(ISNUMBER(BA250),BA250+BA251,"")</f>
        <v>82.569</v>
      </c>
      <c r="BB271" s="214">
        <f>IF(ISNUMBER(BB250),BB250+BB251,"")</f>
        <v>304.141</v>
      </c>
      <c r="BC271" s="214">
        <f>IF(ISNUMBER(BC250),BC250+BC251,"")</f>
        <v>-108.937</v>
      </c>
      <c r="BD271" s="214">
        <f>IF(ISNUMBER(BD250),BD250+BD251,"")</f>
        <v>92.865</v>
      </c>
      <c r="BE271" s="214">
        <f>IF(ISNUMBER(BE250),BE250+BE251,"")</f>
        <v>129.067</v>
      </c>
      <c r="BF271" s="214">
        <f>IF(ISNUMBER(BF250),BF250+BF251,"")</f>
        <v>168.163</v>
      </c>
      <c r="BG271" s="214">
        <f>IF(ISNUMBER(BG250),BG250+BG251,"")</f>
        <v>281.158</v>
      </c>
      <c r="BH271" s="214">
        <f>IF(ISNUMBER(BH250),BH250+BH251,"")</f>
        <v>-53.678</v>
      </c>
      <c r="BI271" s="214">
        <f>IF(ISNUMBER(BI250),BI250+BI251,"")</f>
        <v>84.953</v>
      </c>
      <c r="BJ271" s="214">
        <f>IF(ISNUMBER(BJ250),BJ250+BJ251,"")</f>
        <v>112.511</v>
      </c>
      <c r="BK271" s="214">
        <f>IF(ISNUMBER(BK250),BK250+BK251,"")</f>
        <v>168.466</v>
      </c>
      <c r="BL271" s="214">
        <f>IF(ISNUMBER(BL250),BL250+BL251,"")</f>
        <v>312.252</v>
      </c>
      <c r="BM271" s="214">
        <f>IF(ISNUMBER(BM250),BM250+BM251,"")</f>
        <v>-119.364</v>
      </c>
      <c r="BN271" s="214">
        <f>IF(ISNUMBER(BN250),BN250+BN251,"")</f>
        <v>80.935</v>
      </c>
      <c r="BO271" s="214">
        <f>IF(ISNUMBER(BO250),BO250+BO251,"")</f>
        <v>142.436</v>
      </c>
      <c r="BP271" s="214">
        <f>IF(ISNUMBER(BP250),BP250+BP251,"")</f>
        <v>241.523</v>
      </c>
      <c r="BQ271" s="214">
        <f>IF(ISNUMBER(BQ250),BQ250+BQ251,"")</f>
        <v>345.53</v>
      </c>
      <c r="BR271" s="214">
        <f>IF(ISNUMBER(BR250),BR250+BR251,"")</f>
        <v>-117.09</v>
      </c>
      <c r="BS271" s="214">
        <f>IF(ISNUMBER(BS250),BS250+BS251,"")</f>
        <v>118.011</v>
      </c>
      <c r="BT271" s="214">
        <f>IF(ISNUMBER(BT250),BT250+BT251,"")</f>
        <v>207.542</v>
      </c>
      <c r="BU271" s="214">
        <f>IF(ISNUMBER(BU250),BU250+BU251,"")</f>
        <v>233.344</v>
      </c>
      <c r="BV271" s="214">
        <f>IF(ISNUMBER(BV250),BV250+BV251,"")</f>
        <v>441.807</v>
      </c>
      <c r="BW271" s="214">
        <f>IF(ISNUMBER(BW250),BW250+BW251,"")</f>
        <v>-92.146</v>
      </c>
      <c r="BX271" s="214">
        <f>IF(ISNUMBER(BX250),BX250+BX251,"")</f>
        <v>112.978</v>
      </c>
      <c r="BY271" s="34" t="n"/>
      <c r="BZ271" s="34" t="n"/>
      <c r="CA271" s="176">
        <f>IF(ISNUMBER(CA250),CA250+CA251,"")</f>
        <v>406.423718105709</v>
      </c>
      <c r="CB271" s="176">
        <f>IF(ISNUMBER(CB250),CB250+CB251,"")</f>
        <v>569.262488842983</v>
      </c>
      <c r="CC271" s="176">
        <f>IF(ISNUMBER(CC250),CC250+CC251,"")</f>
        <v>629.81474467069</v>
      </c>
      <c r="CD271" s="176">
        <f>IF(ISNUMBER(CD250),CD250+CD251,"")</f>
        <v>708.235791936569</v>
      </c>
      <c r="CE271" s="176">
        <f>IF(ISNUMBER(CE250),CE250+CE251,"")</f>
        <v>775.893386497248</v>
      </c>
      <c r="CF271" s="177" t="inlineStr">
        <is>
          <t>Simple FCF = CFO − additions to PP&amp;E (company adjusted FCF reconciled above).</t>
        </is>
      </c>
      <c r="CH271" s="21">
        <f>IFERROR((CE271/BV271)^(1/5)-1,"n/m")</f>
        <v>0.119215952122873</v>
      </c>
      <c r="CI271" s="21">
        <f>IFERROR((BV271/AW271)^(1/5)-1,"n/m")</f>
        <v>0.13521171107436</v>
      </c>
      <c r="CJ271" s="21">
        <f>IFERROR((BV271/X271)^(1/10)-1,"n/m")</f>
        <v>0.122440663530709</v>
      </c>
      <c r="CK271" s="21">
        <f>IFERROR((BV271/C271)^(1/19)-1,"n/m")</f>
        <v>0.174750711895764</v>
      </c>
    </row>
    <row r="272" ht="15" customHeight="1">
      <c r="B272" s="23" t="inlineStr">
        <is>
          <t xml:space="preserve">  FCF y/y %</t>
        </is>
      </c>
      <c r="C272" s="24" t="n"/>
      <c r="D272" s="178">
        <f>IF(AND(ISNUMBER(D271),ISNUMBER(C271)),IFERROR(D271/C271-1,""),"")</f>
        <v>1.09843584049435</v>
      </c>
      <c r="E272" s="178">
        <f>IF(AND(ISNUMBER(E271),ISNUMBER(D271)),IFERROR(E271/D271-1,""),"")</f>
        <v>0.199254606943198</v>
      </c>
      <c r="F272" s="178">
        <f>IF(AND(ISNUMBER(F271),ISNUMBER(E271)),IFERROR(F271/E271-1,""),"")</f>
        <v>-0.40481123388582</v>
      </c>
      <c r="G272" s="178">
        <f>IF(AND(ISNUMBER(G271),ISNUMBER(F271)),IFERROR(G271/F271-1,""),"")</f>
        <v>2.46992844710888</v>
      </c>
      <c r="H272" s="178">
        <f>IF(AND(ISNUMBER(H271),ISNUMBER(G271)),IFERROR(H271/G271-1,""),"")</f>
        <v>-0.711883928737298</v>
      </c>
      <c r="I272" s="178">
        <f>IF(AND(ISNUMBER(I271),ISNUMBER(H271)),IFERROR(I271/H271-1,""),"")</f>
        <v>3.0933651428203</v>
      </c>
      <c r="J272" s="24" t="n"/>
      <c r="K272" s="24" t="n"/>
      <c r="L272" s="24" t="n"/>
      <c r="M272" s="24" t="n"/>
      <c r="N272" s="178">
        <f>IF(AND(ISNUMBER(N271),ISNUMBER(I271)),IFERROR(N271/I271-1,""),"")</f>
        <v>0.0682376661836053</v>
      </c>
      <c r="O272" s="178">
        <f>IF(AND(ISNUMBER(O271),ISNUMBER(J271)),IFERROR(O271/J271-1,""),"")</f>
        <v>1.15581751377832</v>
      </c>
      <c r="P272" s="178">
        <f>IF(AND(ISNUMBER(P271),ISNUMBER(K271)),IFERROR(P271/K271-1,""),"")</f>
        <v>0.63740193015344</v>
      </c>
      <c r="Q272" s="178">
        <f>IF(AND(ISNUMBER(Q271),ISNUMBER(L271)),IFERROR(Q271/L271-1,""),"")</f>
        <v>-0.732676510278145</v>
      </c>
      <c r="R272" s="178">
        <f>IF(AND(ISNUMBER(R271),ISNUMBER(M271)),IFERROR(R271/M271-1,""),"")</f>
        <v>-0.325654301049732</v>
      </c>
      <c r="S272" s="178">
        <f>IF(AND(ISNUMBER(S271),ISNUMBER(N271)),IFERROR(S271/N271-1,""),"")</f>
        <v>-0.706905450041288</v>
      </c>
      <c r="T272" s="178">
        <f>IF(AND(ISNUMBER(T271),ISNUMBER(O271)),IFERROR(T271/O271-1,""),"")</f>
        <v>-1.45204448294962</v>
      </c>
      <c r="U272" s="178">
        <f>IF(AND(ISNUMBER(U271),ISNUMBER(P271)),IFERROR(U271/P271-1,""),"")</f>
        <v>-0.197701783026268</v>
      </c>
      <c r="V272" s="178">
        <f>IF(AND(ISNUMBER(V271),ISNUMBER(Q271)),IFERROR(V271/Q271-1,""),"")</f>
        <v>1.446775142129</v>
      </c>
      <c r="W272" s="178">
        <f>IF(AND(ISNUMBER(W271),ISNUMBER(R271)),IFERROR(W271/R271-1,""),"")</f>
        <v>-0.539973233781785</v>
      </c>
      <c r="X272" s="178">
        <f>IF(AND(ISNUMBER(X271),ISNUMBER(S271)),IFERROR(X271/S271-1,""),"")</f>
        <v>2.50129549971071</v>
      </c>
      <c r="Y272" s="178">
        <f>IF(AND(ISNUMBER(Y271),ISNUMBER(T271)),IFERROR(Y271/T271-1,""),"")</f>
        <v>-2.146537639814</v>
      </c>
      <c r="Z272" s="178">
        <f>IF(AND(ISNUMBER(Z271),ISNUMBER(U271)),IFERROR(Z271/U271-1,""),"")</f>
        <v>-0.127583108715184</v>
      </c>
      <c r="AA272" s="178">
        <f>IF(AND(ISNUMBER(AA271),ISNUMBER(V271)),IFERROR(AA271/V271-1,""),"")</f>
        <v>-0.860648185241567</v>
      </c>
      <c r="AB272" s="178">
        <f>IF(AND(ISNUMBER(AB271),ISNUMBER(W271)),IFERROR(AB271/W271-1,""),"")</f>
        <v>0.876231307099474</v>
      </c>
      <c r="AC272" s="178">
        <f>IF(AND(ISNUMBER(AC271),ISNUMBER(X271)),IFERROR(AC271/X271-1,""),"")</f>
        <v>-0.710892540251604</v>
      </c>
      <c r="AD272" s="178">
        <f>IF(AND(ISNUMBER(AD271),ISNUMBER(Y271)),IFERROR(AD271/Y271-1,""),"")</f>
        <v>-1.40164967664146</v>
      </c>
      <c r="AE272" s="178">
        <f>IF(AND(ISNUMBER(AE271),ISNUMBER(Z271)),IFERROR(AE271/Z271-1,""),"")</f>
        <v>-0.590113285272915</v>
      </c>
      <c r="AF272" s="178">
        <f>IF(AND(ISNUMBER(AF271),ISNUMBER(AA271)),IFERROR(AF271/AA271-1,""),"")</f>
        <v>8.42130228546787</v>
      </c>
      <c r="AG272" s="178">
        <f>IF(AND(ISNUMBER(AG271),ISNUMBER(AB271)),IFERROR(AG271/AB271-1,""),"")</f>
        <v>-0.321073964255597</v>
      </c>
      <c r="AH272" s="178">
        <f>IF(AND(ISNUMBER(AH271),ISNUMBER(AC271)),IFERROR(AH271/AC271-1,""),"")</f>
        <v>1.94957753479125</v>
      </c>
      <c r="AI272" s="178">
        <f>IF(AND(ISNUMBER(AI271),ISNUMBER(AD271)),IFERROR(AI271/AD271-1,""),"")</f>
        <v>-0.47731459370949</v>
      </c>
      <c r="AJ272" s="178">
        <f>IF(AND(ISNUMBER(AJ271),ISNUMBER(AE271)),IFERROR(AJ271/AE271-1,""),"")</f>
        <v>1.05956251847473</v>
      </c>
      <c r="AK272" s="178">
        <f>IF(AND(ISNUMBER(AK271),ISNUMBER(AF271)),IFERROR(AK271/AF271-1,""),"")</f>
        <v>-0.0699072378860002</v>
      </c>
      <c r="AL272" s="178">
        <f>IF(AND(ISNUMBER(AL271),ISNUMBER(AG271)),IFERROR(AL271/AG271-1,""),"")</f>
        <v>2.34053209391778</v>
      </c>
      <c r="AM272" s="178">
        <f>IF(AND(ISNUMBER(AM271),ISNUMBER(AH271)),IFERROR(AM271/AH271-1,""),"")</f>
        <v>0.515413974100817</v>
      </c>
      <c r="AN272" s="178">
        <f>IF(AND(ISNUMBER(AN271),ISNUMBER(AI271)),IFERROR(AN271/AI271-1,""),"")</f>
        <v>-4.81242657616499</v>
      </c>
      <c r="AO272" s="178">
        <f>IF(AND(ISNUMBER(AO271),ISNUMBER(AJ271)),IFERROR(AO271/AJ271-1,""),"")</f>
        <v>0.769106566200216</v>
      </c>
      <c r="AP272" s="178">
        <f>IF(AND(ISNUMBER(AP271),ISNUMBER(AK271)),IFERROR(AP271/AK271-1,""),"")</f>
        <v>0.477051277845215</v>
      </c>
      <c r="AQ272" s="178">
        <f>IF(AND(ISNUMBER(AQ271),ISNUMBER(AL271)),IFERROR(AQ271/AL271-1,""),"")</f>
        <v>0.0402168567761745</v>
      </c>
      <c r="AR272" s="178">
        <f>IF(AND(ISNUMBER(AR271),ISNUMBER(AM271)),IFERROR(AR271/AM271-1,""),"")</f>
        <v>0.09452592485517</v>
      </c>
      <c r="AS272" s="178">
        <f>IF(AND(ISNUMBER(AS271),ISNUMBER(AN271)),IFERROR(AS271/AN271-1,""),"")</f>
        <v>0.680624507823467</v>
      </c>
      <c r="AT272" s="178">
        <f>IF(AND(ISNUMBER(AT271),ISNUMBER(AO271)),IFERROR(AT271/AO271-1,""),"")</f>
        <v>0.964324105060338</v>
      </c>
      <c r="AU272" s="178">
        <f>IF(AND(ISNUMBER(AU271),ISNUMBER(AP271)),IFERROR(AU271/AP271-1,""),"")</f>
        <v>0.325018879658833</v>
      </c>
      <c r="AV272" s="178">
        <f>IF(AND(ISNUMBER(AV271),ISNUMBER(AQ271)),IFERROR(AV271/AQ271-1,""),"")</f>
        <v>-0.224384844222033</v>
      </c>
      <c r="AW272" s="178">
        <f>IF(AND(ISNUMBER(AW271),ISNUMBER(AR271)),IFERROR(AW271/AR271-1,""),"")</f>
        <v>0.190345815470264</v>
      </c>
      <c r="AX272" s="178">
        <f>IF(AND(ISNUMBER(AX271),ISNUMBER(AS271)),IFERROR(AX271/AS271-1,""),"")</f>
        <v>-2.24448926374119</v>
      </c>
      <c r="AY272" s="178">
        <f>IF(AND(ISNUMBER(AY271),ISNUMBER(AT271)),IFERROR(AY271/AT271-1,""),"")</f>
        <v>0.160101599363971</v>
      </c>
      <c r="AZ272" s="178">
        <f>IF(AND(ISNUMBER(AZ271),ISNUMBER(AU271)),IFERROR(AZ271/AU271-1,""),"")</f>
        <v>-0.596613863045847</v>
      </c>
      <c r="BA272" s="178">
        <f>IF(AND(ISNUMBER(BA271),ISNUMBER(AV271)),IFERROR(BA271/AV271-1,""),"")</f>
        <v>0.227499777004727</v>
      </c>
      <c r="BB272" s="178">
        <f>IF(AND(ISNUMBER(BB271),ISNUMBER(AW271)),IFERROR(BB271/AW271-1,""),"")</f>
        <v>0.297856542389082</v>
      </c>
      <c r="BC272" s="178">
        <f>IF(AND(ISNUMBER(BC271),ISNUMBER(AX271)),IFERROR(BC271/AX271-1,""),"")</f>
        <v>-2.78330905102559</v>
      </c>
      <c r="BD272" s="178">
        <f>IF(AND(ISNUMBER(BD271),ISNUMBER(AY271)),IFERROR(BD271/AY271-1,""),"")</f>
        <v>-0.173482738058154</v>
      </c>
      <c r="BE272" s="178">
        <f>IF(AND(ISNUMBER(BE271),ISNUMBER(AZ271)),IFERROR(BE271/AZ271-1,""),"")</f>
        <v>1.68174451462766</v>
      </c>
      <c r="BF272" s="178">
        <f>IF(AND(ISNUMBER(BF271),ISNUMBER(BA271)),IFERROR(BF271/BA271-1,""),"")</f>
        <v>1.03663602562705</v>
      </c>
      <c r="BG272" s="178">
        <f>IF(AND(ISNUMBER(BG271),ISNUMBER(BB271)),IFERROR(BG271/BB271-1,""),"")</f>
        <v>-0.0755669245514412</v>
      </c>
      <c r="BH272" s="178">
        <f>IF(AND(ISNUMBER(BH271),ISNUMBER(BC271)),IFERROR(BH271/BC271-1,""),"")</f>
        <v>-0.507256487694723</v>
      </c>
      <c r="BI272" s="178">
        <f>IF(AND(ISNUMBER(BI271),ISNUMBER(BD271)),IFERROR(BI271/BD271-1,""),"")</f>
        <v>-0.0851989447046787</v>
      </c>
      <c r="BJ272" s="178">
        <f>IF(AND(ISNUMBER(BJ271),ISNUMBER(BE271)),IFERROR(BJ271/BE271-1,""),"")</f>
        <v>-0.128274462101079</v>
      </c>
      <c r="BK272" s="178">
        <f>IF(AND(ISNUMBER(BK271),ISNUMBER(BF271)),IFERROR(BK271/BF271-1,""),"")</f>
        <v>0.00180182323103173</v>
      </c>
      <c r="BL272" s="178">
        <f>IF(AND(ISNUMBER(BL271),ISNUMBER(BG271)),IFERROR(BL271/BG271-1,""),"")</f>
        <v>0.110592620519423</v>
      </c>
      <c r="BM272" s="178">
        <f>IF(AND(ISNUMBER(BM271),ISNUMBER(BH271)),IFERROR(BM271/BH271-1,""),"")</f>
        <v>1.22370431089087</v>
      </c>
      <c r="BN272" s="178">
        <f>IF(AND(ISNUMBER(BN271),ISNUMBER(BI271)),IFERROR(BN271/BI271-1,""),"")</f>
        <v>-0.0472967405506578</v>
      </c>
      <c r="BO272" s="178">
        <f>IF(AND(ISNUMBER(BO271),ISNUMBER(BJ271)),IFERROR(BO271/BJ271-1,""),"")</f>
        <v>0.265973993653954</v>
      </c>
      <c r="BP272" s="178">
        <f>IF(AND(ISNUMBER(BP271),ISNUMBER(BK271)),IFERROR(BP271/BK271-1,""),"")</f>
        <v>0.433660204432942</v>
      </c>
      <c r="BQ272" s="178">
        <f>IF(AND(ISNUMBER(BQ271),ISNUMBER(BL271)),IFERROR(BQ271/BL271-1,""),"")</f>
        <v>0.106574177267079</v>
      </c>
      <c r="BR272" s="178">
        <f>IF(AND(ISNUMBER(BR271),ISNUMBER(BM271)),IFERROR(BR271/BM271-1,""),"")</f>
        <v>-0.0190509701417514</v>
      </c>
      <c r="BS272" s="178">
        <f>IF(AND(ISNUMBER(BS271),ISNUMBER(BN271)),IFERROR(BS271/BN271-1,""),"")</f>
        <v>0.458096002965343</v>
      </c>
      <c r="BT272" s="178">
        <f>IF(AND(ISNUMBER(BT271),ISNUMBER(BO271)),IFERROR(BT271/BO271-1,""),"")</f>
        <v>0.457089499845545</v>
      </c>
      <c r="BU272" s="178">
        <f>IF(AND(ISNUMBER(BU271),ISNUMBER(BP271)),IFERROR(BU271/BP271-1,""),"")</f>
        <v>-0.0338642696554778</v>
      </c>
      <c r="BV272" s="178">
        <f>IF(AND(ISNUMBER(BV271),ISNUMBER(BQ271)),IFERROR(BV271/BQ271-1,""),"")</f>
        <v>0.278635719040315</v>
      </c>
      <c r="BW272" s="178">
        <f>IF(AND(ISNUMBER(BW271),ISNUMBER(BR271)),IFERROR(BW271/BR271-1,""),"")</f>
        <v>-0.213032709881288</v>
      </c>
      <c r="BX272" s="178">
        <f>IF(AND(ISNUMBER(BX271),ISNUMBER(BS271)),IFERROR(BX271/BS271-1,""),"")</f>
        <v>-0.0426485666590402</v>
      </c>
      <c r="BY272" s="179">
        <f>IFERROR(BY271/BT271-1,"")</f>
        <v>-1</v>
      </c>
      <c r="BZ272" s="179">
        <f>IFERROR(BZ271/BU271-1,"")</f>
        <v>-1</v>
      </c>
      <c r="CA272" s="179">
        <f>IFERROR(CA271/BV271-1,"")</f>
        <v>-0.0800876443657329</v>
      </c>
      <c r="CB272" s="179">
        <f>IFERROR(CB271/CA271-1,"")</f>
        <v>0.400662568356605</v>
      </c>
      <c r="CC272" s="179">
        <f>IFERROR(CC271/CB271-1,"")</f>
        <v>0.106369657257374</v>
      </c>
      <c r="CD272" s="179">
        <f>IFERROR(CD271/CC271-1,"")</f>
        <v>0.124514467038848</v>
      </c>
      <c r="CE272" s="179">
        <f>IFERROR(CE271/CD271-1,"")</f>
        <v>0.0955297590590254</v>
      </c>
      <c r="CF272" s="20" t="n"/>
    </row>
    <row r="273" ht="15" customHeight="1">
      <c r="B273" s="26" t="inlineStr">
        <is>
          <t xml:space="preserve">  FCF % of revenues</t>
        </is>
      </c>
      <c r="C273" s="190">
        <f>IF(AND(ISNUMBER(C271),ISNUMBER(C138)),IFERROR(C271/C138,""),"")</f>
        <v>0.0249623708588362</v>
      </c>
      <c r="D273" s="190">
        <f>IF(AND(ISNUMBER(D271),ISNUMBER(D138)),IFERROR(D271/D138,""),"")</f>
        <v>0.0459037064494565</v>
      </c>
      <c r="E273" s="190">
        <f>IF(AND(ISNUMBER(E271),ISNUMBER(E138)),IFERROR(E271/E138,""),"")</f>
        <v>0.0505746992615791</v>
      </c>
      <c r="F273" s="190">
        <f>IF(AND(ISNUMBER(F271),ISNUMBER(F138)),IFERROR(F271/F138,""),"")</f>
        <v>0.0288823518459906</v>
      </c>
      <c r="G273" s="190">
        <f>IF(AND(ISNUMBER(G271),ISNUMBER(G138)),IFERROR(G271/G138,""),"")</f>
        <v>0.0621853418697769</v>
      </c>
      <c r="H273" s="190">
        <f>IF(AND(ISNUMBER(H271),ISNUMBER(H138)),IFERROR(H271/H138,""),"")</f>
        <v>0.0156330009636436</v>
      </c>
      <c r="I273" s="190">
        <f>IF(AND(ISNUMBER(I271),ISNUMBER(I138)),IFERROR(I271/I138,""),"")</f>
        <v>0.0580316905464032</v>
      </c>
      <c r="J273" s="190">
        <f>IF(AND(ISNUMBER(J271),ISNUMBER(J138)),IFERROR(J271/J138,""),"")</f>
        <v>-0.0378814678894826</v>
      </c>
      <c r="K273" s="190">
        <f>IF(AND(ISNUMBER(K271),ISNUMBER(K138)),IFERROR(K271/K138,""),"")</f>
        <v>0.0334747968688991</v>
      </c>
      <c r="L273" s="190">
        <f>IF(AND(ISNUMBER(L271),ISNUMBER(L138)),IFERROR(L271/L138,""),"")</f>
        <v>0.0841036433856546</v>
      </c>
      <c r="M273" s="190">
        <f>IF(AND(ISNUMBER(M271),ISNUMBER(M138)),IFERROR(M271/M138,""),"")</f>
        <v>0.0718181094572621</v>
      </c>
      <c r="N273" s="190">
        <f>IF(AND(ISNUMBER(N271),ISNUMBER(N138)),IFERROR(N271/N138,""),"")</f>
        <v>0.0386453829093222</v>
      </c>
      <c r="O273" s="190">
        <f>IF(AND(ISNUMBER(O271),ISNUMBER(O138)),IFERROR(O271/O138,""),"")</f>
        <v>-0.0831602034802348</v>
      </c>
      <c r="P273" s="190">
        <f>IF(AND(ISNUMBER(P271),ISNUMBER(P138)),IFERROR(P271/P138,""),"")</f>
        <v>0.0549424564346286</v>
      </c>
      <c r="Q273" s="190">
        <f>IF(AND(ISNUMBER(Q271),ISNUMBER(Q138)),IFERROR(Q271/Q138,""),"")</f>
        <v>0.0239634042503215</v>
      </c>
      <c r="R273" s="190">
        <f>IF(AND(ISNUMBER(R271),ISNUMBER(R138)),IFERROR(R271/R138,""),"")</f>
        <v>0.0504021187563904</v>
      </c>
      <c r="S273" s="190">
        <f>IF(AND(ISNUMBER(S271),ISNUMBER(S138)),IFERROR(S271/S138,""),"")</f>
        <v>0.0116864355857005</v>
      </c>
      <c r="T273" s="190">
        <f>IF(AND(ISNUMBER(T271),ISNUMBER(T138)),IFERROR(T271/T138,""),"")</f>
        <v>0.043451253858367</v>
      </c>
      <c r="U273" s="190">
        <f>IF(AND(ISNUMBER(U271),ISNUMBER(U138)),IFERROR(U271/U138,""),"")</f>
        <v>0.04041964136941</v>
      </c>
      <c r="V273" s="190">
        <f>IF(AND(ISNUMBER(V271),ISNUMBER(V138)),IFERROR(V271/V138,""),"")</f>
        <v>0.0558830311428911</v>
      </c>
      <c r="W273" s="190">
        <f>IF(AND(ISNUMBER(W271),ISNUMBER(W138)),IFERROR(W271/W138,""),"")</f>
        <v>0.027477967699048</v>
      </c>
      <c r="X273" s="190">
        <f>IF(AND(ISNUMBER(X271),ISNUMBER(X138)),IFERROR(X271/X138,""),"")</f>
        <v>0.0424980695464037</v>
      </c>
      <c r="Y273" s="190">
        <f>IF(AND(ISNUMBER(Y271),ISNUMBER(Y138)),IFERROR(Y271/Y138,""),"")</f>
        <v>-0.0573698715419214</v>
      </c>
      <c r="Z273" s="190">
        <f>IF(AND(ISNUMBER(Z271),ISNUMBER(Z138)),IFERROR(Z271/Z138,""),"")</f>
        <v>0.0473312210577626</v>
      </c>
      <c r="AA273" s="190">
        <f>IF(AND(ISNUMBER(AA271),ISNUMBER(AA138)),IFERROR(AA271/AA138,""),"")</f>
        <v>0.00953640750082246</v>
      </c>
      <c r="AB273" s="190">
        <f>IF(AND(ISNUMBER(AB271),ISNUMBER(AB138)),IFERROR(AB271/AB138,""),"")</f>
        <v>0.0531141591040769</v>
      </c>
      <c r="AC273" s="190">
        <f>IF(AND(ISNUMBER(AC271),ISNUMBER(AC138)),IFERROR(AC271/AC138,""),"")</f>
        <v>0.0146049725140515</v>
      </c>
      <c r="AD273" s="190">
        <f>IF(AND(ISNUMBER(AD271),ISNUMBER(AD138)),IFERROR(AD271/AD138,""),"")</f>
        <v>0.0212746809959053</v>
      </c>
      <c r="AE273" s="190">
        <f>IF(AND(ISNUMBER(AE271),ISNUMBER(AE138)),IFERROR(AE271/AE138,""),"")</f>
        <v>0.0179758444608575</v>
      </c>
      <c r="AF273" s="190">
        <f>IF(AND(ISNUMBER(AF271),ISNUMBER(AF138)),IFERROR(AF271/AF138,""),"")</f>
        <v>0.0867160770844855</v>
      </c>
      <c r="AG273" s="190">
        <f>IF(AND(ISNUMBER(AG271),ISNUMBER(AG138)),IFERROR(AG271/AG138,""),"")</f>
        <v>0.0333929620298554</v>
      </c>
      <c r="AH273" s="190">
        <f>IF(AND(ISNUMBER(AH271),ISNUMBER(AH138)),IFERROR(AH271/AH138,""),"")</f>
        <v>0.0403028477632091</v>
      </c>
      <c r="AI273" s="190">
        <f>IF(AND(ISNUMBER(AI271),ISNUMBER(AI138)),IFERROR(AI271/AI138,""),"")</f>
        <v>0.0102176911032332</v>
      </c>
      <c r="AJ273" s="190">
        <f>IF(AND(ISNUMBER(AJ271),ISNUMBER(AJ138)),IFERROR(AJ271/AJ138,""),"")</f>
        <v>0.0328214428716113</v>
      </c>
      <c r="AK273" s="190">
        <f>IF(AND(ISNUMBER(AK271),ISNUMBER(AK138)),IFERROR(AK271/AK138,""),"")</f>
        <v>0.0723000162479942</v>
      </c>
      <c r="AL273" s="190">
        <f>IF(AND(ISNUMBER(AL271),ISNUMBER(AL138)),IFERROR(AL271/AL138,""),"")</f>
        <v>0.0971482304906526</v>
      </c>
      <c r="AM273" s="190">
        <f>IF(AND(ISNUMBER(AM271),ISNUMBER(AM138)),IFERROR(AM271/AM138,""),"")</f>
        <v>0.0544998444082255</v>
      </c>
      <c r="AN273" s="190">
        <f>IF(AND(ISNUMBER(AN271),ISNUMBER(AN138)),IFERROR(AN271/AN138,""),"")</f>
        <v>-0.0374046378318706</v>
      </c>
      <c r="AO273" s="190">
        <f>IF(AND(ISNUMBER(AO271),ISNUMBER(AO138)),IFERROR(AO271/AO138,""),"")</f>
        <v>0.0567586608616772</v>
      </c>
      <c r="AP273" s="190">
        <f>IF(AND(ISNUMBER(AP271),ISNUMBER(AP138)),IFERROR(AP271/AP138,""),"")</f>
        <v>0.10098377422987</v>
      </c>
      <c r="AQ273" s="190">
        <f>IF(AND(ISNUMBER(AQ271),ISNUMBER(AQ138)),IFERROR(AQ271/AQ138,""),"")</f>
        <v>0.099570036911384</v>
      </c>
      <c r="AR273" s="190">
        <f>IF(AND(ISNUMBER(AR271),ISNUMBER(AR138)),IFERROR(AR271/AR138,""),"")</f>
        <v>0.05769549761297</v>
      </c>
      <c r="AS273" s="190">
        <f>IF(AND(ISNUMBER(AS271),ISNUMBER(AS138)),IFERROR(AS271/AS138,""),"")</f>
        <v>-0.0571722750689233</v>
      </c>
      <c r="AT273" s="190">
        <f>IF(AND(ISNUMBER(AT271),ISNUMBER(AT138)),IFERROR(AT271/AT138,""),"")</f>
        <v>0.13640985915493</v>
      </c>
      <c r="AU273" s="190">
        <f>IF(AND(ISNUMBER(AU271),ISNUMBER(AU138)),IFERROR(AU271/AU138,""),"")</f>
        <v>0.153090291321932</v>
      </c>
      <c r="AV273" s="190">
        <f>IF(AND(ISNUMBER(AV271),ISNUMBER(AV138)),IFERROR(AV271/AV138,""),"")</f>
        <v>0.0844848591416622</v>
      </c>
      <c r="AW273" s="190">
        <f>IF(AND(ISNUMBER(AW271),ISNUMBER(AW138)),IFERROR(AW271/AW138,""),"")</f>
        <v>0.074533641932803</v>
      </c>
      <c r="AX273" s="190">
        <f>IF(AND(ISNUMBER(AX271),ISNUMBER(AX138)),IFERROR(AX271/AX138,""),"")</f>
        <v>0.0755888772848538</v>
      </c>
      <c r="AY273" s="190">
        <f>IF(AND(ISNUMBER(AY271),ISNUMBER(AY138)),IFERROR(AY271/AY138,""),"")</f>
        <v>0.121275870034044</v>
      </c>
      <c r="AZ273" s="190">
        <f>IF(AND(ISNUMBER(AZ271),ISNUMBER(AZ138)),IFERROR(AZ271/AZ138,""),"")</f>
        <v>0.0505823039709757</v>
      </c>
      <c r="BA273" s="190">
        <f>IF(AND(ISNUMBER(BA271),ISNUMBER(BA138)),IFERROR(BA271/BA138,""),"")</f>
        <v>0.0737564996636834</v>
      </c>
      <c r="BB273" s="190">
        <f>IF(AND(ISNUMBER(BB271),ISNUMBER(BB138)),IFERROR(BB271/BB138,""),"")</f>
        <v>0.0799200434311217</v>
      </c>
      <c r="BC273" s="190">
        <f>IF(AND(ISNUMBER(BC271),ISNUMBER(BC138)),IFERROR(BC271/BC138,""),"")</f>
        <v>-0.0931795067867924</v>
      </c>
      <c r="BD273" s="190">
        <f>IF(AND(ISNUMBER(BD271),ISNUMBER(BD138)),IFERROR(BD271/BD138,""),"")</f>
        <v>0.0684687594004919</v>
      </c>
      <c r="BE273" s="190">
        <f>IF(AND(ISNUMBER(BE271),ISNUMBER(BE138)),IFERROR(BE271/BE138,""),"")</f>
        <v>0.0946873491474493</v>
      </c>
      <c r="BF273" s="190">
        <f>IF(AND(ISNUMBER(BF271),ISNUMBER(BF138)),IFERROR(BF271/BF138,""),"")</f>
        <v>0.131572852785937</v>
      </c>
      <c r="BG273" s="190">
        <f>IF(AND(ISNUMBER(BG271),ISNUMBER(BG138)),IFERROR(BG271/BG138,""),"")</f>
        <v>0.0544183269284182</v>
      </c>
      <c r="BH273" s="190">
        <f>IF(AND(ISNUMBER(BH271),ISNUMBER(BH138)),IFERROR(BH271/BH138,""),"")</f>
        <v>-0.0410574680641616</v>
      </c>
      <c r="BI273" s="190">
        <f>IF(AND(ISNUMBER(BI271),ISNUMBER(BI138)),IFERROR(BI271/BI138,""),"")</f>
        <v>0.0607718720938551</v>
      </c>
      <c r="BJ273" s="190">
        <f>IF(AND(ISNUMBER(BJ271),ISNUMBER(BJ138)),IFERROR(BJ271/BJ138,""),"")</f>
        <v>0.0823836344252308</v>
      </c>
      <c r="BK273" s="190">
        <f>IF(AND(ISNUMBER(BK271),ISNUMBER(BK138)),IFERROR(BK271/BK138,""),"")</f>
        <v>0.125892917860151</v>
      </c>
      <c r="BL273" s="190">
        <f>IF(AND(ISNUMBER(BL271),ISNUMBER(BL138)),IFERROR(BL271/BL138,""),"")</f>
        <v>0.0577266085330935</v>
      </c>
      <c r="BM273" s="190">
        <f>IF(AND(ISNUMBER(BM271),ISNUMBER(BM138)),IFERROR(BM271/BM138,""),"")</f>
        <v>-0.0867033002952724</v>
      </c>
      <c r="BN273" s="190">
        <f>IF(AND(ISNUMBER(BN271),ISNUMBER(BN138)),IFERROR(BN271/BN138,""),"")</f>
        <v>0.0521246922334305</v>
      </c>
      <c r="BO273" s="190">
        <f>IF(AND(ISNUMBER(BO271),ISNUMBER(BO138)),IFERROR(BO271/BO138,""),"")</f>
        <v>0.0931306075105498</v>
      </c>
      <c r="BP273" s="190">
        <f>IF(AND(ISNUMBER(BP271),ISNUMBER(BP138)),IFERROR(BP271/BP138,""),"")</f>
        <v>0.168765494900483</v>
      </c>
      <c r="BQ273" s="190">
        <f>IF(AND(ISNUMBER(BQ271),ISNUMBER(BQ138)),IFERROR(BQ271/BQ138,""),"")</f>
        <v>0.0586643150911926</v>
      </c>
      <c r="BR273" s="190">
        <f>IF(AND(ISNUMBER(BR271),ISNUMBER(BR138)),IFERROR(BR271/BR138,""),"")</f>
        <v>-0.0817696148608541</v>
      </c>
      <c r="BS273" s="190">
        <f>IF(AND(ISNUMBER(BS271),ISNUMBER(BS138)),IFERROR(BS271/BS138,""),"")</f>
        <v>0.0761433012399878</v>
      </c>
      <c r="BT273" s="190">
        <f>IF(AND(ISNUMBER(BT271),ISNUMBER(BT138)),IFERROR(BT271/BT138,""),"")</f>
        <v>0.1339553628423</v>
      </c>
      <c r="BU273" s="190">
        <f>IF(AND(ISNUMBER(BU271),ISNUMBER(BU138)),IFERROR(BU271/BU138,""),"")</f>
        <v>0.155594200424619</v>
      </c>
      <c r="BV273" s="190">
        <f>IF(AND(ISNUMBER(BV271),ISNUMBER(BV138)),IFERROR(BV271/BV138,""),"")</f>
        <v>0.0732579905575296</v>
      </c>
      <c r="BW273" s="190">
        <f>IF(AND(ISNUMBER(BW271),ISNUMBER(BW138)),IFERROR(BW271/BW138,""),"")</f>
        <v>-0.0631337198029238</v>
      </c>
      <c r="BX273" s="190">
        <f>IF(AND(ISNUMBER(BX271),ISNUMBER(BX138)),IFERROR(BX271/BX138,""),"")</f>
        <v>0.0651168152253164</v>
      </c>
      <c r="BY273" s="169" t="n"/>
      <c r="BZ273" s="169" t="n"/>
      <c r="CA273" s="179">
        <f>IF(AND(ISNUMBER(CA271),ISNUMBER(CA138)),IFERROR(CA271/CA138,""),"")</f>
        <v>0.0616414121409217</v>
      </c>
      <c r="CB273" s="179">
        <f>IF(AND(ISNUMBER(CB271),ISNUMBER(CB138)),IFERROR(CB271/CB138,""),"")</f>
        <v>0.0782232820050361</v>
      </c>
      <c r="CC273" s="179">
        <f>IF(AND(ISNUMBER(CC271),ISNUMBER(CC138)),IFERROR(CC271/CC138,""),"")</f>
        <v>0.0799611267100469</v>
      </c>
      <c r="CD273" s="179">
        <f>IF(AND(ISNUMBER(CD271),ISNUMBER(CD138)),IFERROR(CD271/CD138,""),"")</f>
        <v>0.0834861841698982</v>
      </c>
      <c r="CE273" s="179">
        <f>IF(AND(ISNUMBER(CE271),ISNUMBER(CE138)),IFERROR(CE271/CE138,""),"")</f>
        <v>0.0851704529930037</v>
      </c>
      <c r="CF273" s="20" t="n"/>
      <c r="CH273" s="39">
        <f>IFERROR(AVERAGE(CA273,CB273,CC273,CD273,CE273),"n/m")</f>
        <v>0.0776964916037813</v>
      </c>
      <c r="CI273" s="39">
        <f>IFERROR(AVERAGE(BB273,BG273,BL273,BQ273,BV273),"n/m")</f>
        <v>0.0647974569082711</v>
      </c>
      <c r="CJ273" s="39">
        <f>IFERROR(AVERAGE(AC273,AH273,AM273,AR273,AW273,BB273,BG273,BL273,BQ273,BV273),"n/m")</f>
        <v>0.0565624088772615</v>
      </c>
      <c r="CK273" s="39">
        <f>IFERROR(AVERAGE(C273,D273,E273,F273,G273,H273,I273,N273,S273,X273,AC273,AH273,AM273,AR273,AW273,BB273,BG273,BL273,BQ273,BV273),"n/m")</f>
        <v>0.0472313569304864</v>
      </c>
    </row>
    <row r="274" ht="15" customHeight="1">
      <c r="B274" s="26" t="inlineStr">
        <is>
          <t xml:space="preserve">  FCF / adjusted net income conversion %</t>
        </is>
      </c>
      <c r="C274" s="190">
        <f>IF(AND(ISNUMBER(C271),ISNUMBER(C204)),IFERROR(C271/C204,""),"")</f>
        <v>0.386104776168646</v>
      </c>
      <c r="D274" s="190">
        <f>IF(AND(ISNUMBER(D271),ISNUMBER(D204)),IFERROR(D271/D204,""),"")</f>
        <v>0.988066012002183</v>
      </c>
      <c r="E274" s="190">
        <f>IF(AND(ISNUMBER(E271),ISNUMBER(E204)),IFERROR(E271/E204,""),"")</f>
        <v>0.85689135564465</v>
      </c>
      <c r="F274" s="190">
        <f>IF(AND(ISNUMBER(F271),ISNUMBER(F204)),IFERROR(F271/F204,""),"")</f>
        <v>0.783528377839171</v>
      </c>
      <c r="G274" s="190">
        <f>IF(AND(ISNUMBER(G271),ISNUMBER(G204)),IFERROR(G271/G204,""),"")</f>
        <v>0.814953576065621</v>
      </c>
      <c r="H274" s="190">
        <f>IF(AND(ISNUMBER(H271),ISNUMBER(H204)),IFERROR(H271/H204,""),"")</f>
        <v>0.243752553987364</v>
      </c>
      <c r="I274" s="190">
        <f>IF(AND(ISNUMBER(I271),ISNUMBER(I204)),IFERROR(I271/I204,""),"")</f>
        <v>0.834759740633296</v>
      </c>
      <c r="J274" s="190">
        <f>IF(AND(ISNUMBER(J271),ISNUMBER(J204)),IFERROR(J271/J204,""),"")</f>
        <v>-3.10988383165111</v>
      </c>
      <c r="K274" s="190">
        <f>IF(AND(ISNUMBER(K271),ISNUMBER(K204)),IFERROR(K271/K204,""),"")</f>
        <v>1.25779407911973</v>
      </c>
      <c r="L274" s="190">
        <f>IF(AND(ISNUMBER(L271),ISNUMBER(L204)),IFERROR(L271/L204,""),"")</f>
        <v>2.15850796074772</v>
      </c>
      <c r="M274" s="190">
        <f>IF(AND(ISNUMBER(M271),ISNUMBER(M204)),IFERROR(M271/M204,""),"")</f>
        <v>2.3565911719712</v>
      </c>
      <c r="N274" s="190">
        <f>IF(AND(ISNUMBER(N271),ISNUMBER(N204)),IFERROR(N271/N204,""),"")</f>
        <v>1.41924952388925</v>
      </c>
      <c r="O274" s="190">
        <f>IF(AND(ISNUMBER(O271),ISNUMBER(O204)),IFERROR(O271/O204,""),"")</f>
        <v>-7.85814732142859</v>
      </c>
      <c r="P274" s="190">
        <f>IF(AND(ISNUMBER(P271),ISNUMBER(P204)),IFERROR(P271/P204,""),"")</f>
        <v>1.64505440848215</v>
      </c>
      <c r="Q274" s="190">
        <f>IF(AND(ISNUMBER(Q271),ISNUMBER(Q204)),IFERROR(Q271/Q204,""),"")</f>
        <v>0.751084533820706</v>
      </c>
      <c r="R274" s="190">
        <f>IF(AND(ISNUMBER(R271),ISNUMBER(R204)),IFERROR(R271/R204,""),"")</f>
        <v>1.55572195638675</v>
      </c>
      <c r="S274" s="190">
        <f>IF(AND(ISNUMBER(S271),ISNUMBER(S204)),IFERROR(S271/S204,""),"")</f>
        <v>0.430806203531304</v>
      </c>
      <c r="T274" s="190">
        <f>IF(AND(ISNUMBER(T271),ISNUMBER(T204)),IFERROR(T271/T204,""),"")</f>
        <v>-4.48977288757235</v>
      </c>
      <c r="U274" s="190">
        <f>IF(AND(ISNUMBER(U271),ISNUMBER(U204)),IFERROR(U271/U204,""),"")</f>
        <v>0.895219440186227</v>
      </c>
      <c r="V274" s="190">
        <f>IF(AND(ISNUMBER(V271),ISNUMBER(V204)),IFERROR(V271/V204,""),"")</f>
        <v>1.24173857328904</v>
      </c>
      <c r="W274" s="190">
        <f>IF(AND(ISNUMBER(W271),ISNUMBER(W204)),IFERROR(W271/W204,""),"")</f>
        <v>34.4947183098622</v>
      </c>
      <c r="X274" s="190">
        <f>IF(AND(ISNUMBER(X271),ISNUMBER(X204)),IFERROR(X271/X204,""),"")</f>
        <v>1.87555298271769</v>
      </c>
      <c r="Y274" s="190">
        <f>IF(AND(ISNUMBER(Y271),ISNUMBER(Y204)),IFERROR(Y271/Y204,""),"")</f>
        <v>1.74845479373293</v>
      </c>
      <c r="Z274" s="190">
        <f>IF(AND(ISNUMBER(Z271),ISNUMBER(Z204)),IFERROR(Z271/Z204,""),"")</f>
        <v>3.81589745367963</v>
      </c>
      <c r="AA274" s="190">
        <f>IF(AND(ISNUMBER(AA271),ISNUMBER(AA204)),IFERROR(AA271/AA204,""),"")</f>
        <v>0.756366656809369</v>
      </c>
      <c r="AB274" s="190">
        <f>IF(AND(ISNUMBER(AB271),ISNUMBER(AB204)),IFERROR(AB271/AB204,""),"")</f>
        <v>-2.83107941593249</v>
      </c>
      <c r="AC274" s="190">
        <f>IF(AND(ISNUMBER(AC271),ISNUMBER(AC204)),IFERROR(AC271/AC204,""),"")</f>
        <v>-1.35966157131466</v>
      </c>
      <c r="AD274" s="190">
        <f>IF(AND(ISNUMBER(AD271),ISNUMBER(AD204)),IFERROR(AD271/AD204,""),"")</f>
        <v>-0.685130650212687</v>
      </c>
      <c r="AE274" s="190">
        <f>IF(AND(ISNUMBER(AE271),ISNUMBER(AE204)),IFERROR(AE271/AE204,""),"")</f>
        <v>0.983384493744476</v>
      </c>
      <c r="AF274" s="190">
        <f>IF(AND(ISNUMBER(AF271),ISNUMBER(AF204)),IFERROR(AF271/AF204,""),"")</f>
        <v>5.45702046882221</v>
      </c>
      <c r="AG274" s="190">
        <f>IF(AND(ISNUMBER(AG271),ISNUMBER(AG204)),IFERROR(AG271/AG204,""),"")</f>
        <v>0.293727024992924</v>
      </c>
      <c r="AH274" s="190">
        <f>IF(AND(ISNUMBER(AH271),ISNUMBER(AH204)),IFERROR(AH271/AH204,""),"")</f>
        <v>1.45948036345907</v>
      </c>
      <c r="AI274" s="190">
        <f>IF(AND(ISNUMBER(AI271),ISNUMBER(AI204)),IFERROR(AI271/AI204,""),"")</f>
        <v>-0.606523632333152</v>
      </c>
      <c r="AJ274" s="190">
        <f>IF(AND(ISNUMBER(AJ271),ISNUMBER(AJ204)),IFERROR(AJ271/AJ204,""),"")</f>
        <v>0.913390162129211</v>
      </c>
      <c r="AK274" s="190">
        <f>IF(AND(ISNUMBER(AK271),ISNUMBER(AK204)),IFERROR(AK271/AK204,""),"")</f>
        <v>1.83555850039105</v>
      </c>
      <c r="AL274" s="190">
        <f>IF(AND(ISNUMBER(AL271),ISNUMBER(AL204)),IFERROR(AL271/AL204,""),"")</f>
        <v>6.18050242852314</v>
      </c>
      <c r="AM274" s="190">
        <f>IF(AND(ISNUMBER(AM271),ISNUMBER(AM204)),IFERROR(AM271/AM204,""),"")</f>
        <v>2.53373792058601</v>
      </c>
      <c r="AN274" s="190">
        <f>IF(AND(ISNUMBER(AN271),ISNUMBER(AN204)),IFERROR(AN271/AN204,""),"")</f>
        <v>-5.78656649588497</v>
      </c>
      <c r="AO274" s="190">
        <f>IF(AND(ISNUMBER(AO271),ISNUMBER(AO204)),IFERROR(AO271/AO204,""),"")</f>
        <v>1.3324393652935</v>
      </c>
      <c r="AP274" s="190">
        <f>IF(AND(ISNUMBER(AP271),ISNUMBER(AP204)),IFERROR(AP271/AP204,""),"")</f>
        <v>2.22667341029358</v>
      </c>
      <c r="AQ274" s="190">
        <f>IF(AND(ISNUMBER(AQ271),ISNUMBER(AQ204)),IFERROR(AQ271/AQ204,""),"")</f>
        <v>3.67918311271711</v>
      </c>
      <c r="AR274" s="190">
        <f>IF(AND(ISNUMBER(AR271),ISNUMBER(AR204)),IFERROR(AR271/AR204,""),"")</f>
        <v>1.8557780007724</v>
      </c>
      <c r="AS274" s="190">
        <f>IF(AND(ISNUMBER(AS271),ISNUMBER(AS204)),IFERROR(AS271/AS204,""),"")</f>
        <v>-3.12741312741314</v>
      </c>
      <c r="AT274" s="190">
        <f>IF(AND(ISNUMBER(AT271),ISNUMBER(AT204)),IFERROR(AT271/AT204,""),"")</f>
        <v>3.34096158141681</v>
      </c>
      <c r="AU274" s="190">
        <f>IF(AND(ISNUMBER(AU271),ISNUMBER(AU204)),IFERROR(AU271/AU204,""),"")</f>
        <v>2.37838935401567</v>
      </c>
      <c r="AV274" s="190">
        <f>IF(AND(ISNUMBER(AV271),ISNUMBER(AV204)),IFERROR(AV271/AV204,""),"")</f>
        <v>1.93202498138803</v>
      </c>
      <c r="AW274" s="190">
        <f>IF(AND(ISNUMBER(AW271),ISNUMBER(AW204)),IFERROR(AW271/AW204,""),"")</f>
        <v>1.81377359339176</v>
      </c>
      <c r="AX274" s="190">
        <f>IF(AND(ISNUMBER(AX271),ISNUMBER(AX204)),IFERROR(AX271/AX204,""),"")</f>
        <v>2.64239300356517</v>
      </c>
      <c r="AY274" s="190">
        <f>IF(AND(ISNUMBER(AY271),ISNUMBER(AY204)),IFERROR(AY271/AY204,""),"")</f>
        <v>1.72125363799948</v>
      </c>
      <c r="AZ274" s="190">
        <f>IF(AND(ISNUMBER(AZ271),ISNUMBER(AZ204)),IFERROR(AZ271/AZ204,""),"")</f>
        <v>0.771702777700277</v>
      </c>
      <c r="BA274" s="190">
        <f>IF(AND(ISNUMBER(BA271),ISNUMBER(BA204)),IFERROR(BA271/BA204,""),"")</f>
        <v>1.69735733659063</v>
      </c>
      <c r="BB274" s="190">
        <f>IF(AND(ISNUMBER(BB271),ISNUMBER(BB204)),IFERROR(BB271/BB204,""),"")</f>
        <v>1.52581617903654</v>
      </c>
      <c r="BC274" s="190">
        <f>IF(AND(ISNUMBER(BC271),ISNUMBER(BC204)),IFERROR(BC271/BC204,""),"")</f>
        <v>-2.40066940280878</v>
      </c>
      <c r="BD274" s="190">
        <f>IF(AND(ISNUMBER(BD271),ISNUMBER(BD204)),IFERROR(BD271/BD204,""),"")</f>
        <v>0.697097388504358</v>
      </c>
      <c r="BE274" s="190">
        <f>IF(AND(ISNUMBER(BE271),ISNUMBER(BE204)),IFERROR(BE271/BE204,""),"")</f>
        <v>0.976701270104399</v>
      </c>
      <c r="BF274" s="190">
        <f>IF(AND(ISNUMBER(BF271),ISNUMBER(BF204)),IFERROR(BF271/BF204,""),"")</f>
        <v>2.14755711605923</v>
      </c>
      <c r="BG274" s="190">
        <f>IF(AND(ISNUMBER(BG271),ISNUMBER(BG204)),IFERROR(BG271/BG204,""),"")</f>
        <v>0.721691361905573</v>
      </c>
      <c r="BH274" s="190">
        <f>IF(AND(ISNUMBER(BH271),ISNUMBER(BH204)),IFERROR(BH271/BH204,""),"")</f>
        <v>-0.725481908050247</v>
      </c>
      <c r="BI274" s="190">
        <f>IF(AND(ISNUMBER(BI271),ISNUMBER(BI204)),IFERROR(BI271/BI204,""),"")</f>
        <v>0.732516117372271</v>
      </c>
      <c r="BJ274" s="190">
        <f>IF(AND(ISNUMBER(BJ271),ISNUMBER(BJ204)),IFERROR(BJ271/BJ204,""),"")</f>
        <v>1.23065167190381</v>
      </c>
      <c r="BK274" s="190">
        <f>IF(AND(ISNUMBER(BK271),ISNUMBER(BK204)),IFERROR(BK271/BK204,""),"")</f>
        <v>1.70596096538638</v>
      </c>
      <c r="BL274" s="190">
        <f>IF(AND(ISNUMBER(BL271),ISNUMBER(BL204)),IFERROR(BL271/BL204,""),"")</f>
        <v>0.821434382502862</v>
      </c>
      <c r="BM274" s="190">
        <f>IF(AND(ISNUMBER(BM271),ISNUMBER(BM204)),IFERROR(BM271/BM204,""),"")</f>
        <v>-1.70679048490472</v>
      </c>
      <c r="BN274" s="190">
        <f>IF(AND(ISNUMBER(BN271),ISNUMBER(BN204)),IFERROR(BN271/BN204,""),"")</f>
        <v>0.607255402160863</v>
      </c>
      <c r="BO274" s="190">
        <f>IF(AND(ISNUMBER(BO271),ISNUMBER(BO204)),IFERROR(BO271/BO204,""),"")</f>
        <v>1.23628409988456</v>
      </c>
      <c r="BP274" s="190">
        <f>IF(AND(ISNUMBER(BP271),ISNUMBER(BP204)),IFERROR(BP271/BP204,""),"")</f>
        <v>2.865878967086</v>
      </c>
      <c r="BQ274" s="190">
        <f>IF(AND(ISNUMBER(BQ271),ISNUMBER(BQ204)),IFERROR(BQ271/BQ204,""),"")</f>
        <v>0.858291611767661</v>
      </c>
      <c r="BR274" s="190">
        <f>IF(AND(ISNUMBER(BR271),ISNUMBER(BR204)),IFERROR(BR271/BR204,""),"")</f>
        <v>-1.99539877300613</v>
      </c>
      <c r="BS274" s="190">
        <f>IF(AND(ISNUMBER(BS271),ISNUMBER(BS204)),IFERROR(BS271/BS204,""),"")</f>
        <v>0.9299160789567</v>
      </c>
      <c r="BT274" s="190">
        <f>IF(AND(ISNUMBER(BT271),ISNUMBER(BT204)),IFERROR(BT271/BT204,""),"")</f>
        <v>1.74700123738415</v>
      </c>
      <c r="BU274" s="190">
        <f>IF(AND(ISNUMBER(BU271),ISNUMBER(BU204)),IFERROR(BU271/BU204,""),"")</f>
        <v>2.53620409122086</v>
      </c>
      <c r="BV274" s="190">
        <f>IF(AND(ISNUMBER(BV271),ISNUMBER(BV204)),IFERROR(BV271/BV204,""),"")</f>
        <v>1.11418670299999</v>
      </c>
      <c r="BW274" s="190">
        <f>IF(AND(ISNUMBER(BW271),ISNUMBER(BW204)),IFERROR(BW271/BW204,""),"")</f>
        <v>-1.45798325975855</v>
      </c>
      <c r="BX274" s="190">
        <f>IF(AND(ISNUMBER(BX271),ISNUMBER(BX204)),IFERROR(BX271/BX204,""),"")</f>
        <v>0.66276750516238</v>
      </c>
      <c r="BY274" s="169" t="n"/>
      <c r="BZ274" s="169" t="n"/>
      <c r="CA274" s="179">
        <f>IF(AND(ISNUMBER(CA271),ISNUMBER(CA204)),IFERROR(CA271/CA204,""),"")</f>
        <v>0.819612268459979</v>
      </c>
      <c r="CB274" s="179">
        <f>IF(AND(ISNUMBER(CB271),ISNUMBER(CB204)),IFERROR(CB271/CB204,""),"")</f>
        <v>1.01576062310635</v>
      </c>
      <c r="CC274" s="179">
        <f>IF(AND(ISNUMBER(CC271),ISNUMBER(CC204)),IFERROR(CC271/CC204,""),"")</f>
        <v>0.978608505449926</v>
      </c>
      <c r="CD274" s="179">
        <f>IF(AND(ISNUMBER(CD271),ISNUMBER(CD204)),IFERROR(CD271/CD204,""),"")</f>
        <v>0.993152555336107</v>
      </c>
      <c r="CE274" s="179">
        <f>IF(AND(ISNUMBER(CE271),ISNUMBER(CE204)),IFERROR(CE271/CE204,""),"")</f>
        <v>1.00292738536239</v>
      </c>
      <c r="CF274" s="20" t="n"/>
      <c r="CH274" s="39">
        <f>IFERROR(AVERAGE(CA274,CB274,CC274,CD274,CE274),"n/m")</f>
        <v>0.962012267542951</v>
      </c>
      <c r="CI274" s="39">
        <f>IFERROR(AVERAGE(BB274,BG274,BL274,BQ274,BV274),"n/m")</f>
        <v>1.00828404764253</v>
      </c>
      <c r="CJ274" s="39">
        <f>IFERROR(AVERAGE(AC274,AH274,AM274,AR274,AW274,BB274,BG274,BL274,BQ274,BV274),"n/m")</f>
        <v>1.13445285451072</v>
      </c>
      <c r="CK274" s="39">
        <f>IFERROR(AVERAGE(C274,D274,E274,F274,G274,H274,I274,N274,S274,X274,AC274,AH274,AM274,AR274,AW274,BB274,BG274,BL274,BQ274,BV274),"n/m")</f>
        <v>0.998909682379319</v>
      </c>
    </row>
    <row r="275" ht="15" customHeight="1">
      <c r="B275" s="26" t="inlineStr">
        <is>
          <t xml:space="preserve">  FCF per diluted share ($)</t>
        </is>
      </c>
      <c r="C275" s="219">
        <f>IF(AND(ISNUMBER(C271),ISNUMBER(C165)),IFERROR(C271/C165,""),"")</f>
        <v>1.00275935518226</v>
      </c>
      <c r="D275" s="219">
        <f>IF(AND(ISNUMBER(D271),ISNUMBER(D165)),IFERROR(D271/D165,""),"")</f>
        <v>2.10698012603005</v>
      </c>
      <c r="E275" s="219">
        <f>IF(AND(ISNUMBER(E271),ISNUMBER(E165)),IFERROR(E271/E165,""),"")</f>
        <v>2.2797166098137</v>
      </c>
      <c r="F275" s="219">
        <f>IF(AND(ISNUMBER(F271),ISNUMBER(F165)),IFERROR(F271/F165,""),"")</f>
        <v>1.24437492479846</v>
      </c>
      <c r="G275" s="219">
        <f>IF(AND(ISNUMBER(G271),ISNUMBER(G165)),IFERROR(G271/G165,""),"")</f>
        <v>4.06763139003287</v>
      </c>
      <c r="H275" s="219">
        <f>IF(AND(ISNUMBER(H271),ISNUMBER(H165)),IFERROR(H271/H165,""),"")</f>
        <v>0.581689295626735</v>
      </c>
      <c r="I275" s="219">
        <f>IF(AND(ISNUMBER(I271),ISNUMBER(I165)),IFERROR(I271/I165,""),"")</f>
        <v>2.34782447900294</v>
      </c>
      <c r="J275" s="219">
        <f>IF(AND(ISNUMBER(J271),ISNUMBER(J165)),IFERROR(J271/J165,""),"")</f>
        <v>-0.538677222497114</v>
      </c>
      <c r="K275" s="219">
        <f>IF(AND(ISNUMBER(K271),ISNUMBER(K165)),IFERROR(K271/K165,""),"")</f>
        <v>0.474665084779277</v>
      </c>
      <c r="L275" s="219">
        <f>IF(AND(ISNUMBER(L271),ISNUMBER(L165)),IFERROR(L271/L165,""),"")</f>
        <v>1.2562047399605</v>
      </c>
      <c r="M275" s="219">
        <f>IF(AND(ISNUMBER(M271),ISNUMBER(M165)),IFERROR(M271/M165,""),"")</f>
        <v>1.0382016931043</v>
      </c>
      <c r="N275" s="219">
        <f>IF(AND(ISNUMBER(N271),ISNUMBER(N165)),IFERROR(N271/N165,""),"")</f>
        <v>2.23343433012778</v>
      </c>
      <c r="O275" s="219">
        <f>IF(AND(ISNUMBER(O271),ISNUMBER(O165)),IFERROR(O271/O165,""),"")</f>
        <v>-1.1568820755492</v>
      </c>
      <c r="P275" s="219">
        <f>IF(AND(ISNUMBER(P271),ISNUMBER(P165)),IFERROR(P271/P165,""),"")</f>
        <v>0.776053835269341</v>
      </c>
      <c r="Q275" s="219">
        <f>IF(AND(ISNUMBER(Q271),ISNUMBER(Q165)),IFERROR(Q271/Q165,""),"")</f>
        <v>0.337988040219318</v>
      </c>
      <c r="R275" s="219">
        <f>IF(AND(ISNUMBER(R271),ISNUMBER(R165)),IFERROR(R271/R165,""),"")</f>
        <v>0.714458255749585</v>
      </c>
      <c r="S275" s="219">
        <f>IF(AND(ISNUMBER(S271),ISNUMBER(S165)),IFERROR(S271/S165,""),"")</f>
        <v>0.659133491402895</v>
      </c>
      <c r="T275" s="219">
        <f>IF(AND(ISNUMBER(T271),ISNUMBER(T165)),IFERROR(T271/T165,""),"")</f>
        <v>0.540602972399151</v>
      </c>
      <c r="U275" s="219">
        <f>IF(AND(ISNUMBER(U271),ISNUMBER(U165)),IFERROR(U271/U165,""),"")</f>
        <v>0.644557996934083</v>
      </c>
      <c r="V275" s="219">
        <f>IF(AND(ISNUMBER(V271),ISNUMBER(V165)),IFERROR(V271/V165,""),"")</f>
        <v>0.856799615569438</v>
      </c>
      <c r="W275" s="219">
        <f>IF(AND(ISNUMBER(W271),ISNUMBER(W165)),IFERROR(W271/W165,""),"")</f>
        <v>0.339449064449065</v>
      </c>
      <c r="X275" s="219">
        <f>IF(AND(ISNUMBER(X271),ISNUMBER(X165)),IFERROR(X271/X165,""),"")</f>
        <v>2.38195228805148</v>
      </c>
      <c r="Y275" s="219">
        <f>IF(AND(ISNUMBER(Y271),ISNUMBER(Y165)),IFERROR(Y271/Y165,""),"")</f>
        <v>-0.63335473905271</v>
      </c>
      <c r="Z275" s="219">
        <f>IF(AND(ISNUMBER(Z271),ISNUMBER(Z165)),IFERROR(Z271/Z165,""),"")</f>
        <v>0.572384618051944</v>
      </c>
      <c r="AA275" s="219">
        <f>IF(AND(ISNUMBER(AA271),ISNUMBER(AA165)),IFERROR(AA271/AA165,""),"")</f>
        <v>0.121018665089499</v>
      </c>
      <c r="AB275" s="219">
        <f>IF(AND(ISNUMBER(AB271),ISNUMBER(AB165)),IFERROR(AB271/AB165,""),"")</f>
        <v>0.640993897122929</v>
      </c>
      <c r="AC275" s="219">
        <f>IF(AND(ISNUMBER(AC271),ISNUMBER(AC165)),IFERROR(AC271/AC165,""),"")</f>
        <v>0.699436835152612</v>
      </c>
      <c r="AD275" s="219">
        <f>IF(AND(ISNUMBER(AD271),ISNUMBER(AD165)),IFERROR(AD271/AD165,""),"")</f>
        <v>0.255963815444798</v>
      </c>
      <c r="AE275" s="219">
        <f>IF(AND(ISNUMBER(AE271),ISNUMBER(AE165)),IFERROR(AE271/AE165,""),"")</f>
        <v>0.236012278498674</v>
      </c>
      <c r="AF275" s="219">
        <f>IF(AND(ISNUMBER(AF271),ISNUMBER(AF165)),IFERROR(AF271/AF165,""),"")</f>
        <v>1.14597429845266</v>
      </c>
      <c r="AG275" s="219">
        <f>IF(AND(ISNUMBER(AG271),ISNUMBER(AG165)),IFERROR(AG271/AG165,""),"")</f>
        <v>0.438205600913002</v>
      </c>
      <c r="AH275" s="219">
        <f>IF(AND(ISNUMBER(AH271),ISNUMBER(AH165)),IFERROR(AH271/AH165,""),"")</f>
        <v>2.07501748251748</v>
      </c>
      <c r="AI275" s="219">
        <f>IF(AND(ISNUMBER(AI271),ISNUMBER(AI165)),IFERROR(AI271/AI165,""),"")</f>
        <v>0.135696193563243</v>
      </c>
      <c r="AJ275" s="219">
        <f>IF(AND(ISNUMBER(AJ271),ISNUMBER(AJ165)),IFERROR(AJ271/AJ165,""),"")</f>
        <v>0.493230687549774</v>
      </c>
      <c r="AK275" s="219">
        <f>IF(AND(ISNUMBER(AK271),ISNUMBER(AK165)),IFERROR(AK271/AK165,""),"")</f>
        <v>1.08297951715194</v>
      </c>
      <c r="AL275" s="219">
        <f>IF(AND(ISNUMBER(AL271),ISNUMBER(AL165)),IFERROR(AL271/AL165,""),"")</f>
        <v>1.48332058284555</v>
      </c>
      <c r="AM275" s="219">
        <f>IF(AND(ISNUMBER(AM271),ISNUMBER(AM165)),IFERROR(AM271/AM165,""),"")</f>
        <v>3.19250976215832</v>
      </c>
      <c r="AN275" s="219">
        <f>IF(AND(ISNUMBER(AN271),ISNUMBER(AN165)),IFERROR(AN271/AN165,""),"")</f>
        <v>-0.52079098462965</v>
      </c>
      <c r="AO275" s="219">
        <f>IF(AND(ISNUMBER(AO271),ISNUMBER(AO165)),IFERROR(AO271/AO165,""),"")</f>
        <v>0.879409981093711</v>
      </c>
      <c r="AP275" s="219">
        <f>IF(AND(ISNUMBER(AP271),ISNUMBER(AP165)),IFERROR(AP271/AP165,""),"")</f>
        <v>1.60320484287368</v>
      </c>
      <c r="AQ275" s="219">
        <f>IF(AND(ISNUMBER(AQ271),ISNUMBER(AQ165)),IFERROR(AQ271/AQ165,""),"")</f>
        <v>1.54525693108118</v>
      </c>
      <c r="AR275" s="219">
        <f>IF(AND(ISNUMBER(AR271),ISNUMBER(AR165)),IFERROR(AR271/AR165,""),"")</f>
        <v>3.50742040656345</v>
      </c>
      <c r="AS275" s="219">
        <f>IF(AND(ISNUMBER(AS271),ISNUMBER(AS165)),IFERROR(AS271/AS165,""),"")</f>
        <v>-0.875675675675676</v>
      </c>
      <c r="AT275" s="219">
        <f>IF(AND(ISNUMBER(AT271),ISNUMBER(AT165)),IFERROR(AT271/AT165,""),"")</f>
        <v>1.73729999282485</v>
      </c>
      <c r="AU275" s="219">
        <f>IF(AND(ISNUMBER(AU271),ISNUMBER(AU165)),IFERROR(AU271/AU165,""),"")</f>
        <v>2.14055043238006</v>
      </c>
      <c r="AV275" s="219">
        <f>IF(AND(ISNUMBER(AV271),ISNUMBER(AV165)),IFERROR(AV271/AV165,""),"")</f>
        <v>1.21717573827446</v>
      </c>
      <c r="AW275" s="219">
        <f>IF(AND(ISNUMBER(AW271),ISNUMBER(AW165)),IFERROR(AW271/AW165,""),"")</f>
        <v>4.2079547495062</v>
      </c>
      <c r="AX275" s="219">
        <f>IF(AND(ISNUMBER(AX271),ISNUMBER(AX165)),IFERROR(AX271/AX165,""),"")</f>
        <v>1.10980506149738</v>
      </c>
      <c r="AY275" s="219">
        <f>IF(AND(ISNUMBER(AY271),ISNUMBER(AY165)),IFERROR(AY271/AY165,""),"")</f>
        <v>2.04829182921938</v>
      </c>
      <c r="AZ275" s="219">
        <f>IF(AND(ISNUMBER(AZ271),ISNUMBER(AZ165)),IFERROR(AZ271/AZ165,""),"")</f>
        <v>0.879741166578317</v>
      </c>
      <c r="BA275" s="219">
        <f>IF(AND(ISNUMBER(BA271),ISNUMBER(BA165)),IFERROR(BA271/BA165,""),"")</f>
        <v>1.51064802956566</v>
      </c>
      <c r="BB275" s="219">
        <f>IF(AND(ISNUMBER(BB271),ISNUMBER(BB165)),IFERROR(BB271/BB165,""),"")</f>
        <v>5.55397089169299</v>
      </c>
      <c r="BC275" s="219">
        <f>IF(AND(ISNUMBER(BC271),ISNUMBER(BC165)),IFERROR(BC271/BC165,""),"")</f>
        <v>-1.99255560433129</v>
      </c>
      <c r="BD275" s="219">
        <f>IF(AND(ISNUMBER(BD271),ISNUMBER(BD165)),IFERROR(BD271/BD165,""),"")</f>
        <v>1.70091763283697</v>
      </c>
      <c r="BE275" s="219">
        <f>IF(AND(ISNUMBER(BE271),ISNUMBER(BE165)),IFERROR(BE271/BE165,""),"")</f>
        <v>2.37338408635369</v>
      </c>
      <c r="BF275" s="219">
        <f>IF(AND(ISNUMBER(BF271),ISNUMBER(BF165)),IFERROR(BF271/BF165,""),"")</f>
        <v>3.09248225385266</v>
      </c>
      <c r="BG275" s="219">
        <f>IF(AND(ISNUMBER(BG271),ISNUMBER(BG165)),IFERROR(BG271/BG165,""),"")</f>
        <v>5.1600932332483</v>
      </c>
      <c r="BH275" s="219">
        <f>IF(AND(ISNUMBER(BH271),ISNUMBER(BH165)),IFERROR(BH271/BH165,""),"")</f>
        <v>-0.98665539298581</v>
      </c>
      <c r="BI275" s="219">
        <f>IF(AND(ISNUMBER(BI271),ISNUMBER(BI165)),IFERROR(BI271/BI165,""),"")</f>
        <v>1.56025933000294</v>
      </c>
      <c r="BJ275" s="219">
        <f>IF(AND(ISNUMBER(BJ271),ISNUMBER(BJ165)),IFERROR(BJ271/BJ165,""),"")</f>
        <v>2.0674948087984</v>
      </c>
      <c r="BK275" s="219">
        <f>IF(AND(ISNUMBER(BK271),ISNUMBER(BK165)),IFERROR(BK271/BK165,""),"")</f>
        <v>3.10484896514864</v>
      </c>
      <c r="BL275" s="219">
        <f>IF(AND(ISNUMBER(BL271),ISNUMBER(BL165)),IFERROR(BL271/BL165,""),"")</f>
        <v>5.74182633959766</v>
      </c>
      <c r="BM275" s="219">
        <f>IF(AND(ISNUMBER(BM271),ISNUMBER(BM165)),IFERROR(BM271/BM165,""),"")</f>
        <v>-2.20175972552709</v>
      </c>
      <c r="BN275" s="219">
        <f>IF(AND(ISNUMBER(BN271),ISNUMBER(BN165)),IFERROR(BN271/BN165,""),"")</f>
        <v>1.49194440348031</v>
      </c>
      <c r="BO275" s="219">
        <f>IF(AND(ISNUMBER(BO271),ISNUMBER(BO165)),IFERROR(BO271/BO165,""),"")</f>
        <v>2.6265651219827</v>
      </c>
      <c r="BP275" s="219">
        <f>IF(AND(ISNUMBER(BP271),ISNUMBER(BP165)),IFERROR(BP271/BP165,""),"")</f>
        <v>4.45877639935017</v>
      </c>
      <c r="BQ275" s="219">
        <f>IF(AND(ISNUMBER(BQ271),ISNUMBER(BQ165)),IFERROR(BQ271/BQ165,""),"")</f>
        <v>6.37520987472094</v>
      </c>
      <c r="BR275" s="219">
        <f>IF(AND(ISNUMBER(BR271),ISNUMBER(BR165)),IFERROR(BR271/BR165,""),"")</f>
        <v>-2.1686144500213</v>
      </c>
      <c r="BS275" s="219">
        <f>IF(AND(ISNUMBER(BS271),ISNUMBER(BS165)),IFERROR(BS271/BS165,""),"")</f>
        <v>2.19355378352758</v>
      </c>
      <c r="BT275" s="219">
        <f>IF(AND(ISNUMBER(BT271),ISNUMBER(BT165)),IFERROR(BT271/BT165,""),"")</f>
        <v>3.86390631690652</v>
      </c>
      <c r="BU275" s="219">
        <f>IF(AND(ISNUMBER(BU271),ISNUMBER(BU165)),IFERROR(BU271/BU165,""),"")</f>
        <v>4.37121126971638</v>
      </c>
      <c r="BV275" s="219">
        <f>IF(AND(ISNUMBER(BV271),ISNUMBER(BV165)),IFERROR(BV271/BV165,""),"")</f>
        <v>8.22486782336734</v>
      </c>
      <c r="BW275" s="219">
        <f>IF(AND(ISNUMBER(BW271),ISNUMBER(BW165)),IFERROR(BW271/BW165,""),"")</f>
        <v>-1.73886624396135</v>
      </c>
      <c r="BX275" s="219">
        <f>IF(AND(ISNUMBER(BX271),ISNUMBER(BX165)),IFERROR(BX271/BX165,""),"")</f>
        <v>2.13323011272446</v>
      </c>
      <c r="BY275" s="229" t="n"/>
      <c r="BZ275" s="229" t="n"/>
      <c r="CA275" s="220">
        <f>IF(AND(ISNUMBER(CA271),ISNUMBER(CA165)),IFERROR(CA271/CA165,""),"")</f>
        <v>7.67853517617929</v>
      </c>
      <c r="CB275" s="220">
        <f>IF(AND(ISNUMBER(CB271),ISNUMBER(CB165)),IFERROR(CB271/CB165,""),"")</f>
        <v>10.8414464923763</v>
      </c>
      <c r="CC275" s="220">
        <f>IF(AND(ISNUMBER(CC271),ISNUMBER(CC165)),IFERROR(CC271/CC165,""),"")</f>
        <v>12.2533278558032</v>
      </c>
      <c r="CD275" s="220">
        <f>IF(AND(ISNUMBER(CD271),ISNUMBER(CD165)),IFERROR(CD271/CD165,""),"")</f>
        <v>14.2166736088722</v>
      </c>
      <c r="CE275" s="220">
        <f>IF(AND(ISNUMBER(CE271),ISNUMBER(CE165)),IFERROR(CE271/CE165,""),"")</f>
        <v>16.0966627617286</v>
      </c>
      <c r="CF275" s="20" t="n"/>
    </row>
    <row r="276" ht="15" customHeight="1">
      <c r="B276" s="26" t="inlineStr">
        <is>
          <t>Capex ratios</t>
        </is>
      </c>
      <c r="C276" s="217" t="n"/>
      <c r="D276" s="217" t="n"/>
      <c r="E276" s="217" t="n"/>
      <c r="F276" s="217" t="n"/>
      <c r="G276" s="217" t="n"/>
      <c r="H276" s="217" t="n"/>
      <c r="I276" s="217" t="n"/>
      <c r="J276" s="217" t="n"/>
      <c r="K276" s="217" t="n"/>
      <c r="L276" s="217" t="n"/>
      <c r="M276" s="217" t="n"/>
      <c r="N276" s="217" t="n"/>
      <c r="O276" s="217" t="n"/>
      <c r="P276" s="217" t="n"/>
      <c r="Q276" s="217" t="n"/>
      <c r="R276" s="217" t="n"/>
      <c r="S276" s="217" t="n"/>
      <c r="T276" s="217" t="n"/>
      <c r="U276" s="217" t="n"/>
      <c r="V276" s="217" t="n"/>
      <c r="W276" s="217" t="n"/>
      <c r="X276" s="217" t="n"/>
      <c r="Y276" s="217" t="n"/>
      <c r="Z276" s="217" t="n"/>
      <c r="AA276" s="217" t="n"/>
      <c r="AB276" s="217" t="n"/>
      <c r="AC276" s="217" t="n"/>
      <c r="AD276" s="217" t="n"/>
      <c r="AE276" s="217" t="n"/>
      <c r="AF276" s="217" t="n"/>
      <c r="AG276" s="217" t="n"/>
      <c r="AH276" s="217" t="n"/>
      <c r="AI276" s="217" t="n"/>
      <c r="AJ276" s="217" t="n"/>
      <c r="AK276" s="217" t="n"/>
      <c r="AL276" s="217" t="n"/>
      <c r="AM276" s="217" t="n"/>
      <c r="AN276" s="217" t="n"/>
      <c r="AO276" s="217" t="n"/>
      <c r="AP276" s="217" t="n"/>
      <c r="AQ276" s="217" t="n"/>
      <c r="AR276" s="217" t="n"/>
      <c r="AS276" s="217" t="n"/>
      <c r="AT276" s="217" t="n"/>
      <c r="AU276" s="217" t="n"/>
      <c r="AV276" s="217" t="n"/>
      <c r="AW276" s="217" t="n"/>
      <c r="AX276" s="217" t="n"/>
      <c r="AY276" s="217" t="n"/>
      <c r="AZ276" s="217" t="n"/>
      <c r="BA276" s="217" t="n"/>
      <c r="BB276" s="217" t="n"/>
      <c r="BC276" s="217" t="n"/>
      <c r="BD276" s="217" t="n"/>
      <c r="BE276" s="217" t="n"/>
      <c r="BF276" s="217" t="n"/>
      <c r="BG276" s="217" t="n"/>
      <c r="BH276" s="217" t="n"/>
      <c r="BI276" s="217" t="n"/>
      <c r="BJ276" s="217" t="n"/>
      <c r="BK276" s="217" t="n"/>
      <c r="BL276" s="217" t="n"/>
      <c r="BM276" s="217" t="n"/>
      <c r="BN276" s="217" t="n"/>
      <c r="BO276" s="217" t="n"/>
      <c r="BP276" s="217" t="n"/>
      <c r="BQ276" s="217" t="n"/>
      <c r="BR276" s="217" t="n"/>
      <c r="BS276" s="217" t="n"/>
      <c r="BT276" s="217" t="n"/>
      <c r="BU276" s="217" t="n"/>
      <c r="BV276" s="217" t="n"/>
      <c r="BW276" s="217" t="n"/>
      <c r="BX276" s="217" t="n"/>
      <c r="BY276" s="218" t="n"/>
      <c r="BZ276" s="218" t="n"/>
      <c r="CA276" s="218" t="n"/>
      <c r="CB276" s="218" t="n"/>
      <c r="CC276" s="218" t="n"/>
      <c r="CD276" s="218" t="n"/>
      <c r="CE276" s="218" t="n"/>
      <c r="CF276" s="20" t="n"/>
    </row>
    <row r="277" ht="15" customHeight="1">
      <c r="B277" s="26" t="inlineStr">
        <is>
          <t xml:space="preserve">  Capex % of revenues</t>
        </is>
      </c>
      <c r="C277" s="190">
        <f>IFERROR(-N(C251)/C138,"")</f>
        <v>0.0490088683058391</v>
      </c>
      <c r="D277" s="190">
        <f>IFERROR(-N(D251)/D138,"")</f>
        <v>0.0385757146613695</v>
      </c>
      <c r="E277" s="190">
        <f>IFERROR(-N(E251)/E138,"")</f>
        <v>0.0557497576920054</v>
      </c>
      <c r="F277" s="190">
        <f>IFERROR(-N(F251)/F138,"")</f>
        <v>0.0579434380294539</v>
      </c>
      <c r="G277" s="190">
        <f>IFERROR(-N(G251)/G138,"")</f>
        <v>0.0672637710224555</v>
      </c>
      <c r="H277" s="190">
        <f>IFERROR(-N(H251)/H138,"")</f>
        <v>0.0748502118806372</v>
      </c>
      <c r="I277" s="190">
        <f>IFERROR(-N(I251)/I138,"")</f>
        <v>0.0902218009166747</v>
      </c>
      <c r="J277" s="190">
        <f>IFERROR(-N(J251)/J138,"")</f>
        <v>0.083799699128819</v>
      </c>
      <c r="K277" s="190">
        <f>IFERROR(-N(K251)/K138,"")</f>
        <v>0.0804355000650763</v>
      </c>
      <c r="L277" s="190">
        <f>IFERROR(-N(L251)/L138,"")</f>
        <v>0.0729172979554508</v>
      </c>
      <c r="M277" s="190">
        <f>IFERROR(-N(M251)/M138,"")</f>
        <v>0.0825148107296772</v>
      </c>
      <c r="N277" s="190">
        <f>IFERROR(-N(N251)/N138,"")</f>
        <v>0.0798388787960985</v>
      </c>
      <c r="O277" s="190">
        <f>IFERROR(-N(O251)/O138,"")</f>
        <v>0.0885885477997843</v>
      </c>
      <c r="P277" s="190">
        <f>IFERROR(-N(P251)/P138,"")</f>
        <v>0.0735963563507595</v>
      </c>
      <c r="Q277" s="190">
        <f>IFERROR(-N(Q251)/Q138,"")</f>
        <v>0.0712783261789974</v>
      </c>
      <c r="R277" s="190">
        <f>IFERROR(-N(R251)/R138,"")</f>
        <v>0.0695080849774681</v>
      </c>
      <c r="S277" s="190">
        <f>IFERROR(-N(S251)/S138,"")</f>
        <v>0.0757320889125115</v>
      </c>
      <c r="T277" s="190">
        <f>IFERROR(-N(T251)/T138,"")</f>
        <v>0.0722854229152531</v>
      </c>
      <c r="U277" s="190">
        <f>IFERROR(-N(U251)/U138,"")</f>
        <v>0.0760455786411002</v>
      </c>
      <c r="V277" s="190">
        <f>IFERROR(-N(V251)/V138,"")</f>
        <v>0.073714468650027</v>
      </c>
      <c r="W277" s="190">
        <f>IFERROR(-N(W251)/W138,"")</f>
        <v>0.0942396261661272</v>
      </c>
      <c r="X277" s="190">
        <f>IFERROR(-N(X251)/X138,"")</f>
        <v>0.0785298447057329</v>
      </c>
      <c r="Y277" s="190">
        <f>IFERROR(-N(Y251)/Y138,"")</f>
        <v>0.119136967974305</v>
      </c>
      <c r="Z277" s="190">
        <f>IFERROR(-N(Z251)/Z138,"")</f>
        <v>0.06845493254577</v>
      </c>
      <c r="AA277" s="190">
        <f>IFERROR(-N(AA251)/AA138,"")</f>
        <v>0.0710316372409256</v>
      </c>
      <c r="AB277" s="190">
        <f>IFERROR(-N(AB251)/AB138,"")</f>
        <v>0.0636254484455573</v>
      </c>
      <c r="AC277" s="190">
        <f>IFERROR(-N(AC251)/AC138,"")</f>
        <v>0.0796246841456926</v>
      </c>
      <c r="AD277" s="190">
        <f>IFERROR(-N(AD251)/AD138,"")</f>
        <v>0.0616337248037205</v>
      </c>
      <c r="AE277" s="190">
        <f>IFERROR(-N(AE251)/AE138,"")</f>
        <v>0.0614781319574701</v>
      </c>
      <c r="AF277" s="190">
        <f>IFERROR(-N(AF251)/AF138,"")</f>
        <v>0.0515898741277985</v>
      </c>
      <c r="AG277" s="190">
        <f>IFERROR(-N(AG251)/AG138,"")</f>
        <v>0.0525432731739102</v>
      </c>
      <c r="AH277" s="190">
        <f>IFERROR(-N(AH251)/AH138,"")</f>
        <v>0.0567090823768463</v>
      </c>
      <c r="AI277" s="190">
        <f>IFERROR(-N(AI251)/AI138,"")</f>
        <v>0.0590067993459397</v>
      </c>
      <c r="AJ277" s="190">
        <f>IFERROR(-N(AJ251)/AJ138,"")</f>
        <v>0.0587618060626045</v>
      </c>
      <c r="AK277" s="190">
        <f>IFERROR(-N(AK251)/AK138,"")</f>
        <v>0.067106588027956</v>
      </c>
      <c r="AL277" s="190">
        <f>IFERROR(-N(AL251)/AL138,"")</f>
        <v>0.0496641824088445</v>
      </c>
      <c r="AM277" s="190">
        <f>IFERROR(-N(AM251)/AM138,"")</f>
        <v>0.0585837118591838</v>
      </c>
      <c r="AN277" s="190">
        <f>IFERROR(-N(AN251)/AN138,"")</f>
        <v>0.0754918747654766</v>
      </c>
      <c r="AO277" s="190">
        <f>IFERROR(-N(AO251)/AO138,"")</f>
        <v>0.0684085472407497</v>
      </c>
      <c r="AP277" s="190">
        <f>IFERROR(-N(AP251)/AP138,"")</f>
        <v>0.062984204883432</v>
      </c>
      <c r="AQ277" s="190">
        <f>IFERROR(-N(AQ251)/AQ138,"")</f>
        <v>0.0479802067726362</v>
      </c>
      <c r="AR277" s="190">
        <f>IFERROR(-N(AR251)/AR138,"")</f>
        <v>0.0633974075300613</v>
      </c>
      <c r="AS277" s="190">
        <f>IFERROR(-N(AS251)/AS138,"")</f>
        <v>0.0964017783202863</v>
      </c>
      <c r="AT277" s="190">
        <f>IFERROR(-N(AT251)/AT138,"")</f>
        <v>0.0604985915492958</v>
      </c>
      <c r="AU277" s="190">
        <f>IFERROR(-N(AU251)/AU138,"")</f>
        <v>0.0316112012153811</v>
      </c>
      <c r="AV277" s="190">
        <f>IFERROR(-N(AV251)/AV138,"")</f>
        <v>0.0576483000288876</v>
      </c>
      <c r="AW277" s="190">
        <f>IFERROR(-N(AW251)/AW138,"")</f>
        <v>0.06242046603524</v>
      </c>
      <c r="AX277" s="190">
        <f>IFERROR(-N(AX251)/AX138,"")</f>
        <v>0.0518630250894638</v>
      </c>
      <c r="AY277" s="190">
        <f>IFERROR(-N(AY251)/AY138,"")</f>
        <v>0.054049940742052</v>
      </c>
      <c r="AZ277" s="190">
        <f>IFERROR(-N(AZ251)/AZ138,"")</f>
        <v>0.0574537115375116</v>
      </c>
      <c r="BA277" s="190">
        <f>IFERROR(-N(BA251)/BA138,"")</f>
        <v>0.0850411931957755</v>
      </c>
      <c r="BB277" s="190">
        <f>IFERROR(-N(BB251)/BB138,"")</f>
        <v>0.0635532270363988</v>
      </c>
      <c r="BC277" s="190">
        <f>IFERROR(-N(BC251)/BC138,"")</f>
        <v>0.0601381051724005</v>
      </c>
      <c r="BD277" s="190">
        <f>IFERROR(-N(BD251)/BD138,"")</f>
        <v>0.0573127716926489</v>
      </c>
      <c r="BE277" s="190">
        <f>IFERROR(-N(BE251)/BE138,"")</f>
        <v>0.0707989077725103</v>
      </c>
      <c r="BF277" s="190">
        <f>IFERROR(-N(BF251)/BF138,"")</f>
        <v>0.0786395096463652</v>
      </c>
      <c r="BG277" s="190">
        <f>IFERROR(-N(BG251)/BG138,"")</f>
        <v>0.0667858293792539</v>
      </c>
      <c r="BH277" s="190">
        <f>IFERROR(-N(BH251)/BH138,"")</f>
        <v>0.0624803520304241</v>
      </c>
      <c r="BI277" s="190">
        <f>IFERROR(-N(BI251)/BI138,"")</f>
        <v>0.0877115673510265</v>
      </c>
      <c r="BJ277" s="190">
        <f>IFERROR(-N(BJ251)/BJ138,"")</f>
        <v>0.078793523595295</v>
      </c>
      <c r="BK277" s="190">
        <f>IFERROR(-N(BK251)/BK138,"")</f>
        <v>0.0824963065203274</v>
      </c>
      <c r="BL277" s="190">
        <f>IFERROR(-N(BL251)/BL138,"")</f>
        <v>0.0780713871601316</v>
      </c>
      <c r="BM277" s="190">
        <f>IFERROR(-N(BM251)/BM138,"")</f>
        <v>0.100176872873076</v>
      </c>
      <c r="BN277" s="190">
        <f>IFERROR(-N(BN251)/BN138,"")</f>
        <v>0.0870151006073861</v>
      </c>
      <c r="BO277" s="190">
        <f>IFERROR(-N(BO251)/BO138,"")</f>
        <v>0.0632938456488791</v>
      </c>
      <c r="BP277" s="190">
        <f>IFERROR(-N(BP251)/BP138,"")</f>
        <v>0.0436128168506257</v>
      </c>
      <c r="BQ277" s="190">
        <f>IFERROR(-N(BQ251)/BQ138,"")</f>
        <v>0.0733861668142627</v>
      </c>
      <c r="BR277" s="190">
        <f>IFERROR(-N(BR251)/BR138,"")</f>
        <v>0.0828904640525158</v>
      </c>
      <c r="BS277" s="190">
        <f>IFERROR(-N(BS251)/BS138,"")</f>
        <v>0.0580886973869797</v>
      </c>
      <c r="BT277" s="190">
        <f>IFERROR(-N(BT251)/BT138,"")</f>
        <v>0.0609583324996434</v>
      </c>
      <c r="BU277" s="190">
        <f>IFERROR(-N(BU251)/BU138,"")</f>
        <v>0.0811824529771367</v>
      </c>
      <c r="BV277" s="190">
        <f>IFERROR(-N(BV251)/BV138,"")</f>
        <v>0.0704575500879894</v>
      </c>
      <c r="BW277" s="190">
        <f>IFERROR(-N(BW251)/BW138,"")</f>
        <v>0.067448101692523</v>
      </c>
      <c r="BX277" s="190">
        <f>IFERROR(-N(BX251)/BX138,"")</f>
        <v>0.0727346607070297</v>
      </c>
      <c r="BY277" s="169" t="n"/>
      <c r="BZ277" s="169" t="n"/>
      <c r="CA277" s="179">
        <f>IFERROR(-N(CA251)/CA138,"")</f>
        <v>0.0811423005751246</v>
      </c>
      <c r="CB277" s="179">
        <f>0.072</f>
        <v>0.072</v>
      </c>
      <c r="CC277" s="179">
        <f>0.072</f>
        <v>0.072</v>
      </c>
      <c r="CD277" s="179">
        <f>0.072</f>
        <v>0.072</v>
      </c>
      <c r="CE277" s="179">
        <f>0.072</f>
        <v>0.072</v>
      </c>
      <c r="CF277" s="20" t="inlineStr">
        <is>
          <t>2027E+: 7.2% input (FY25 ~7.6% incl. Kimball / growth projects; FY26 guidance ~8% incl. $120m strategic growth).</t>
        </is>
      </c>
      <c r="CH277" s="39">
        <f>IFERROR(AVERAGE(CA277,CB277,CC277,CD277,CE277),"n/m")</f>
        <v>0.0738284601150249</v>
      </c>
      <c r="CI277" s="39">
        <f>IFERROR(AVERAGE(BB277,BG277,BL277,BQ277,BV277),"n/m")</f>
        <v>0.0704508320956073</v>
      </c>
      <c r="CJ277" s="39">
        <f>IFERROR(AVERAGE(AC277,AH277,AM277,AR277,AW277,BB277,BG277,BL277,BQ277,BV277),"n/m")</f>
        <v>0.067298951242506</v>
      </c>
      <c r="CK277" s="39">
        <f>IFERROR(AVERAGE(C277,D277,E277,F277,G277,H277,I277,N277,S277,X277,AC277,AH277,AM277,AR277,AW277,BB277,BG277,BL277,BQ277,BV277),"n/m")</f>
        <v>0.0670351943673919</v>
      </c>
    </row>
    <row r="278" ht="15" customHeight="1">
      <c r="B278" s="26" t="inlineStr">
        <is>
          <t xml:space="preserve">  Capex / D&amp;A (x)</t>
        </is>
      </c>
      <c r="C278" s="230">
        <f>IFERROR(-N(C251)/C145,"")</f>
        <v>1.15079657036136</v>
      </c>
      <c r="D278" s="230">
        <f>IFERROR(-N(D251)/D145,"")</f>
        <v>0.971747805267358</v>
      </c>
      <c r="E278" s="230">
        <f>IFERROR(-N(E251)/E145,"")</f>
        <v>1.29212295653347</v>
      </c>
      <c r="F278" s="230">
        <f>IFERROR(-N(F251)/F145,"")</f>
        <v>0.959105057166631</v>
      </c>
      <c r="G278" s="230">
        <f>IFERROR(-N(G251)/G145,"")</f>
        <v>1.25928649443621</v>
      </c>
      <c r="H278" s="230">
        <f>IFERROR(-N(H251)/H145,"")</f>
        <v>1.2107399949455</v>
      </c>
      <c r="I278" s="230">
        <f>IFERROR(-N(I251)/I145,"")</f>
        <v>1.22116847926952</v>
      </c>
      <c r="J278" s="230">
        <f>IFERROR(-N(J251)/J145,"")</f>
        <v>1.2040295970403</v>
      </c>
      <c r="K278" s="230">
        <f>IFERROR(-N(K251)/K145,"")</f>
        <v>1.02592340072331</v>
      </c>
      <c r="L278" s="230">
        <f>IFERROR(-N(L251)/L145,"")</f>
        <v>0.953118248595708</v>
      </c>
      <c r="M278" s="230">
        <f>IFERROR(-N(M251)/M145,"")</f>
        <v>1.07433562809979</v>
      </c>
      <c r="N278" s="230">
        <f>IFERROR(-N(N251)/N145,"")</f>
        <v>1.05958804911344</v>
      </c>
      <c r="O278" s="230">
        <f>IFERROR(-N(O251)/O145,"")</f>
        <v>1.08144933387162</v>
      </c>
      <c r="P278" s="230">
        <f>IFERROR(-N(P251)/P145,"")</f>
        <v>0.95620128641695</v>
      </c>
      <c r="Q278" s="230">
        <f>IFERROR(-N(Q251)/Q145,"")</f>
        <v>0.866407800254108</v>
      </c>
      <c r="R278" s="230">
        <f>IFERROR(-N(R251)/R145,"")</f>
        <v>0.831919323541493</v>
      </c>
      <c r="S278" s="230">
        <f>IFERROR(-N(S251)/S145,"")</f>
        <v>0.93309982867471</v>
      </c>
      <c r="T278" s="230">
        <f>IFERROR(-N(T251)/T145,"")</f>
        <v>0.774606471999532</v>
      </c>
      <c r="U278" s="230">
        <f>IFERROR(-N(U251)/U145,"")</f>
        <v>1.05050683900668</v>
      </c>
      <c r="V278" s="230">
        <f>IFERROR(-N(V251)/V145,"")</f>
        <v>0.953576600057921</v>
      </c>
      <c r="W278" s="230">
        <f>IFERROR(-N(W251)/W145,"")</f>
        <v>0.973799000072459</v>
      </c>
      <c r="X278" s="230">
        <f>IFERROR(-N(X251)/X145,"")</f>
        <v>0.938007396223112</v>
      </c>
      <c r="Y278" s="230">
        <f>IFERROR(-N(Y251)/Y145,"")</f>
        <v>1.09983745029172</v>
      </c>
      <c r="Z278" s="230">
        <f>IFERROR(-N(Z251)/Z145,"")</f>
        <v>0.65057975556252</v>
      </c>
      <c r="AA278" s="230">
        <f>IFERROR(-N(AA251)/AA145,"")</f>
        <v>0.70636586695747</v>
      </c>
      <c r="AB278" s="230">
        <f>IFERROR(-N(AB251)/AB145,"")</f>
        <v>0.617208852509566</v>
      </c>
      <c r="AC278" s="230">
        <f>IFERROR(-N(AC251)/AC145,"")</f>
        <v>0.764398854363384</v>
      </c>
      <c r="AD278" s="230">
        <f>IFERROR(-N(AD251)/AD145,"")</f>
        <v>0.586394520245263</v>
      </c>
      <c r="AE278" s="230">
        <f>IFERROR(-N(AE251)/AE145,"")</f>
        <v>0.64699221316632</v>
      </c>
      <c r="AF278" s="230">
        <f>IFERROR(-N(AF251)/AF145,"")</f>
        <v>0.534244886215731</v>
      </c>
      <c r="AG278" s="230">
        <f>IFERROR(-N(AG251)/AG145,"")</f>
        <v>0.549321583438243</v>
      </c>
      <c r="AH278" s="230">
        <f>IFERROR(-N(AH251)/AH145,"")</f>
        <v>0.579036966666898</v>
      </c>
      <c r="AI278" s="230">
        <f>IFERROR(-N(AI251)/AI145,"")</f>
        <v>0.591122868900647</v>
      </c>
      <c r="AJ278" s="230">
        <f>IFERROR(-N(AJ251)/AJ145,"")</f>
        <v>0.685775151181968</v>
      </c>
      <c r="AK278" s="230">
        <f>IFERROR(-N(AK251)/AK145,"")</f>
        <v>0.774239894912564</v>
      </c>
      <c r="AL278" s="230">
        <f>IFERROR(-N(AL251)/AL145,"")</f>
        <v>0.546863572794108</v>
      </c>
      <c r="AM278" s="230">
        <f>IFERROR(-N(AM251)/AM145,"")</f>
        <v>0.647447467559648</v>
      </c>
      <c r="AN278" s="230">
        <f>IFERROR(-N(AN251)/AN145,"")</f>
        <v>0.782257315373897</v>
      </c>
      <c r="AO278" s="230">
        <f>IFERROR(-N(AO251)/AO145,"")</f>
        <v>0.800692563698344</v>
      </c>
      <c r="AP278" s="230">
        <f>IFERROR(-N(AP251)/AP145,"")</f>
        <v>0.761443136829546</v>
      </c>
      <c r="AQ278" s="230">
        <f>IFERROR(-N(AQ251)/AQ145,"")</f>
        <v>0.539956329056682</v>
      </c>
      <c r="AR278" s="230">
        <f>IFERROR(-N(AR251)/AR145,"")</f>
        <v>0.719341591154709</v>
      </c>
      <c r="AS278" s="230">
        <f>IFERROR(-N(AS251)/AS145,"")</f>
        <v>1.11047455489515</v>
      </c>
      <c r="AT278" s="230">
        <f>IFERROR(-N(AT251)/AT145,"")</f>
        <v>0.592518001489779</v>
      </c>
      <c r="AU278" s="230">
        <f>IFERROR(-N(AU251)/AU145,"")</f>
        <v>0.330817778971398</v>
      </c>
      <c r="AV278" s="230">
        <f>IFERROR(-N(AV251)/AV145,"")</f>
        <v>0.642681116805287</v>
      </c>
      <c r="AW278" s="230">
        <f>IFERROR(-N(AW251)/AW145,"")</f>
        <v>0.670010071181059</v>
      </c>
      <c r="AX278" s="230">
        <f>IFERROR(-N(AX251)/AX145,"")</f>
        <v>0.580810110444411</v>
      </c>
      <c r="AY278" s="230">
        <f>IFERROR(-N(AY251)/AY145,"")</f>
        <v>0.699449659179797</v>
      </c>
      <c r="AZ278" s="230">
        <f>IFERROR(-N(AZ251)/AZ145,"")</f>
        <v>0.765083763698199</v>
      </c>
      <c r="BA278" s="230">
        <f>IFERROR(-N(BA251)/BA145,"")</f>
        <v>1.14799406721412</v>
      </c>
      <c r="BB278" s="230">
        <f>IFERROR(-N(BB251)/BB145,"")</f>
        <v>0.81122981199792</v>
      </c>
      <c r="BC278" s="230">
        <f>IFERROR(-N(BC251)/BC145,"")</f>
        <v>0.834041139766068</v>
      </c>
      <c r="BD278" s="230">
        <f>IFERROR(-N(BD251)/BD145,"")</f>
        <v>0.884667910957345</v>
      </c>
      <c r="BE278" s="230">
        <f>IFERROR(-N(BE251)/BE145,"")</f>
        <v>1.09175962169378</v>
      </c>
      <c r="BF278" s="230">
        <f>IFERROR(-N(BF251)/BF145,"")</f>
        <v>1.15482455132477</v>
      </c>
      <c r="BG278" s="230">
        <f>IFERROR(-N(BG251)/BG145,"")</f>
        <v>0.992698377992716</v>
      </c>
      <c r="BH278" s="230">
        <f>IFERROR(-N(BH251)/BH145,"")</f>
        <v>0.963755633686496</v>
      </c>
      <c r="BI278" s="230">
        <f>IFERROR(-N(BI251)/BI145,"")</f>
        <v>1.36695764629809</v>
      </c>
      <c r="BJ278" s="230">
        <f>IFERROR(-N(BJ251)/BJ145,"")</f>
        <v>1.15744863934603</v>
      </c>
      <c r="BK278" s="230">
        <f>IFERROR(-N(BK251)/BK145,"")</f>
        <v>1.12262040351448</v>
      </c>
      <c r="BL278" s="230">
        <f>IFERROR(-N(BL251)/BL145,"")</f>
        <v>1.15457908306244</v>
      </c>
      <c r="BM278" s="230">
        <f>IFERROR(-N(BM251)/BM145,"")</f>
        <v>1.45072318939673</v>
      </c>
      <c r="BN278" s="230">
        <f>IFERROR(-N(BN251)/BN145,"")</f>
        <v>1.34432460399586</v>
      </c>
      <c r="BO278" s="230">
        <f>IFERROR(-N(BO251)/BO145,"")</f>
        <v>0.967420525069206</v>
      </c>
      <c r="BP278" s="230">
        <f>IFERROR(-N(BP251)/BP145,"")</f>
        <v>0.592791338208757</v>
      </c>
      <c r="BQ278" s="230">
        <f>IFERROR(-N(BQ251)/BQ145,"")</f>
        <v>1.07811743930241</v>
      </c>
      <c r="BR278" s="230">
        <f>IFERROR(-N(BR251)/BR145,"")</f>
        <v>1.05996606536882</v>
      </c>
      <c r="BS278" s="230">
        <f>IFERROR(-N(BS251)/BS145,"")</f>
        <v>0.77420991529432</v>
      </c>
      <c r="BT278" s="230">
        <f>IFERROR(-N(BT251)/BT145,"")</f>
        <v>0.823200760051948</v>
      </c>
      <c r="BU278" s="230">
        <f>IFERROR(-N(BU251)/BU145,"")</f>
        <v>1.18189143012465</v>
      </c>
      <c r="BV278" s="230">
        <f>IFERROR(-N(BV251)/BV145,"")</f>
        <v>0.952718124868275</v>
      </c>
      <c r="BW278" s="230">
        <f>IFERROR(-N(BW251)/BW145,"")</f>
        <v>0.850119603796233</v>
      </c>
      <c r="BX278" s="230">
        <f>IFERROR(-N(BX251)/BX145,"")</f>
        <v>1.03602420222155</v>
      </c>
      <c r="BY278" s="205" t="n"/>
      <c r="BZ278" s="205" t="n"/>
      <c r="CA278" s="207">
        <f>IFERROR(-N(CA251)/CA145,"")</f>
        <v>1.09390221290074</v>
      </c>
      <c r="CB278" s="207">
        <f>IFERROR(-N(CB251)/CB145,"")</f>
        <v>0.955663937169238</v>
      </c>
      <c r="CC278" s="207">
        <f>IFERROR(-N(CC251)/CC145,"")</f>
        <v>0.952985901276391</v>
      </c>
      <c r="CD278" s="207">
        <f>IFERROR(-N(CD251)/CD145,"")</f>
        <v>0.950479487771237</v>
      </c>
      <c r="CE278" s="207">
        <f>IFERROR(-N(CE251)/CE145,"")</f>
        <v>0.948165246782068</v>
      </c>
      <c r="CF278" s="20" t="n"/>
    </row>
    <row r="279" ht="15" customHeight="1"/>
    <row r="280" ht="15" customHeight="1">
      <c r="B280" s="11" t="inlineStr">
        <is>
          <t>SHARE BUYBACK SCHEDULE</t>
        </is>
      </c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  <c r="AG280" s="11" t="n"/>
      <c r="AH280" s="11" t="n"/>
      <c r="AI280" s="11" t="n"/>
      <c r="AJ280" s="11" t="n"/>
      <c r="AK280" s="11" t="n"/>
      <c r="AL280" s="11" t="n"/>
      <c r="AM280" s="11" t="n"/>
      <c r="AN280" s="11" t="n"/>
      <c r="AO280" s="11" t="n"/>
      <c r="AP280" s="11" t="n"/>
      <c r="AQ280" s="11" t="n"/>
      <c r="AR280" s="11" t="n"/>
      <c r="AS280" s="11" t="n"/>
      <c r="AT280" s="11" t="n"/>
      <c r="AU280" s="11" t="n"/>
      <c r="AV280" s="11" t="n"/>
      <c r="AW280" s="11" t="n"/>
      <c r="AX280" s="11" t="n"/>
      <c r="AY280" s="11" t="n"/>
      <c r="AZ280" s="11" t="n"/>
      <c r="BA280" s="11" t="n"/>
      <c r="BB280" s="11" t="n"/>
      <c r="BC280" s="11" t="n"/>
      <c r="BD280" s="11" t="n"/>
      <c r="BE280" s="11" t="n"/>
      <c r="BF280" s="11" t="n"/>
      <c r="BG280" s="11" t="n"/>
      <c r="BH280" s="11" t="n"/>
      <c r="BI280" s="11" t="n"/>
      <c r="BJ280" s="11" t="n"/>
      <c r="BK280" s="11" t="n"/>
      <c r="BL280" s="11" t="n"/>
      <c r="BM280" s="11" t="n"/>
      <c r="BN280" s="11" t="n"/>
      <c r="BO280" s="11" t="n"/>
      <c r="BP280" s="11" t="n"/>
      <c r="BQ280" s="11" t="n"/>
      <c r="BR280" s="11" t="n"/>
      <c r="BS280" s="11" t="n"/>
      <c r="BT280" s="11" t="n"/>
      <c r="BU280" s="11" t="n"/>
      <c r="BV280" s="11" t="n"/>
      <c r="BW280" s="11" t="n"/>
      <c r="BX280" s="11" t="n"/>
      <c r="BY280" s="11" t="n"/>
      <c r="BZ280" s="11" t="n"/>
      <c r="CA280" s="11" t="n"/>
      <c r="CB280" s="11" t="n"/>
      <c r="CC280" s="11" t="n"/>
      <c r="CD280" s="11" t="n"/>
      <c r="CE280" s="11" t="n"/>
      <c r="CF280" s="11" t="inlineStr">
        <is>
          <t>SHARES — CLH retires repurchased shares; $549m authorisation remaining at 30-Jun-2026</t>
        </is>
      </c>
    </row>
    <row r="281" ht="15" customHeight="1">
      <c r="B281" s="26" t="inlineStr">
        <is>
          <t xml:space="preserve">  Avg buyback price ($)</t>
        </is>
      </c>
      <c r="C281" s="225" t="n"/>
      <c r="D281" s="225" t="n"/>
      <c r="E281" s="225" t="n"/>
      <c r="F281" s="225" t="n"/>
      <c r="G281" s="225" t="n"/>
      <c r="H281" s="225" t="n"/>
      <c r="I281" s="225" t="n"/>
      <c r="J281" s="225" t="n"/>
      <c r="K281" s="225" t="n"/>
      <c r="L281" s="225" t="n"/>
      <c r="M281" s="225" t="n"/>
      <c r="N281" s="225" t="n"/>
      <c r="O281" s="225" t="n"/>
      <c r="P281" s="225" t="n"/>
      <c r="Q281" s="225" t="n"/>
      <c r="R281" s="225" t="n"/>
      <c r="S281" s="225" t="n"/>
      <c r="T281" s="225" t="n"/>
      <c r="U281" s="225" t="n"/>
      <c r="V281" s="225" t="n"/>
      <c r="W281" s="225" t="n"/>
      <c r="X281" s="225" t="n"/>
      <c r="Y281" s="225" t="n"/>
      <c r="Z281" s="225" t="n"/>
      <c r="AA281" s="225" t="n"/>
      <c r="AB281" s="225" t="n"/>
      <c r="AC281" s="225" t="n"/>
      <c r="AD281" s="225" t="n"/>
      <c r="AE281" s="225" t="n"/>
      <c r="AF281" s="225" t="n"/>
      <c r="AG281" s="225" t="n"/>
      <c r="AH281" s="225" t="n"/>
      <c r="AI281" s="225" t="n"/>
      <c r="AJ281" s="225" t="n"/>
      <c r="AK281" s="225" t="n"/>
      <c r="AL281" s="225" t="n"/>
      <c r="AM281" s="225" t="n"/>
      <c r="AN281" s="225" t="n"/>
      <c r="AO281" s="225" t="n"/>
      <c r="AP281" s="225" t="n"/>
      <c r="AQ281" s="225" t="n"/>
      <c r="AR281" s="225" t="n"/>
      <c r="AS281" s="225" t="n"/>
      <c r="AT281" s="225" t="n"/>
      <c r="AU281" s="225" t="n"/>
      <c r="AV281" s="225" t="n"/>
      <c r="AW281" s="225" t="n"/>
      <c r="AX281" s="225" t="n"/>
      <c r="AY281" s="225" t="n"/>
      <c r="AZ281" s="225" t="n"/>
      <c r="BA281" s="225" t="n"/>
      <c r="BB281" s="225" t="n"/>
      <c r="BC281" s="225" t="n"/>
      <c r="BD281" s="225" t="n"/>
      <c r="BE281" s="225" t="n"/>
      <c r="BF281" s="225" t="n"/>
      <c r="BG281" s="225" t="n"/>
      <c r="BH281" s="225" t="n"/>
      <c r="BI281" s="225" t="n"/>
      <c r="BJ281" s="225" t="n"/>
      <c r="BK281" s="225" t="n"/>
      <c r="BL281" s="225" t="n"/>
      <c r="BM281" s="225" t="n"/>
      <c r="BN281" s="225" t="n"/>
      <c r="BO281" s="225" t="n"/>
      <c r="BP281" s="225" t="n"/>
      <c r="BQ281" s="225" t="n"/>
      <c r="BR281" s="225" t="n"/>
      <c r="BS281" s="225" t="n"/>
      <c r="BT281" s="225" t="n"/>
      <c r="BU281" s="225" t="n"/>
      <c r="BV281" s="225" t="n"/>
      <c r="BW281" s="225" t="n"/>
      <c r="BX281" s="225" t="n"/>
      <c r="BY281" s="229" t="n"/>
      <c r="BZ281" s="229" t="n"/>
      <c r="CA281" s="220">
        <f>CA424</f>
        <v>321.34</v>
      </c>
      <c r="CB281" s="220">
        <f>CA281*(1+CB366)</f>
        <v>343.8338</v>
      </c>
      <c r="CC281" s="220">
        <f>CB281*(1+CC366)</f>
        <v>367.902166</v>
      </c>
      <c r="CD281" s="220">
        <f>CC281*(1+CD366)</f>
        <v>393.65531762</v>
      </c>
      <c r="CE281" s="220">
        <f>CD281*(1+CE366)</f>
        <v>421.2111898534</v>
      </c>
      <c r="CF281" s="20" t="inlineStr">
        <is>
          <t>2026E = current share price (valuation input); appreciates with the share-price input.</t>
        </is>
      </c>
    </row>
    <row r="282" ht="15" customHeight="1">
      <c r="B282" s="26" t="inlineStr">
        <is>
          <t xml:space="preserve">  Buyback cash deployed (USDm)</t>
        </is>
      </c>
      <c r="C282" s="184" t="n"/>
      <c r="D282" s="184" t="n"/>
      <c r="E282" s="184" t="n"/>
      <c r="F282" s="184" t="n"/>
      <c r="G282" s="184" t="n"/>
      <c r="H282" s="184" t="n"/>
      <c r="I282" s="184" t="n"/>
      <c r="J282" s="184" t="n"/>
      <c r="K282" s="184" t="n"/>
      <c r="L282" s="184" t="n"/>
      <c r="M282" s="184" t="n"/>
      <c r="N282" s="184" t="n"/>
      <c r="O282" s="184" t="n"/>
      <c r="P282" s="184" t="n"/>
      <c r="Q282" s="184" t="n"/>
      <c r="R282" s="184" t="n"/>
      <c r="S282" s="184" t="n"/>
      <c r="T282" s="184" t="n"/>
      <c r="U282" s="184" t="n"/>
      <c r="V282" s="184" t="n"/>
      <c r="W282" s="184" t="n"/>
      <c r="X282" s="184" t="n"/>
      <c r="Y282" s="184" t="n"/>
      <c r="Z282" s="184" t="n"/>
      <c r="AA282" s="184" t="n"/>
      <c r="AB282" s="184" t="n"/>
      <c r="AC282" s="184" t="n"/>
      <c r="AD282" s="184" t="n"/>
      <c r="AE282" s="184" t="n"/>
      <c r="AF282" s="184" t="n"/>
      <c r="AG282" s="184" t="n"/>
      <c r="AH282" s="184" t="n"/>
      <c r="AI282" s="184" t="n"/>
      <c r="AJ282" s="184" t="n"/>
      <c r="AK282" s="184" t="n"/>
      <c r="AL282" s="184" t="n"/>
      <c r="AM282" s="184" t="n"/>
      <c r="AN282" s="184" t="n"/>
      <c r="AO282" s="184" t="n"/>
      <c r="AP282" s="184" t="n"/>
      <c r="AQ282" s="184" t="n"/>
      <c r="AR282" s="184" t="n"/>
      <c r="AS282" s="184" t="n"/>
      <c r="AT282" s="184" t="n"/>
      <c r="AU282" s="184" t="n"/>
      <c r="AV282" s="184" t="n"/>
      <c r="AW282" s="184" t="n"/>
      <c r="AX282" s="184" t="n"/>
      <c r="AY282" s="184" t="n"/>
      <c r="AZ282" s="184" t="n"/>
      <c r="BA282" s="184" t="n"/>
      <c r="BB282" s="184" t="n"/>
      <c r="BC282" s="184" t="n"/>
      <c r="BD282" s="184" t="n"/>
      <c r="BE282" s="184" t="n"/>
      <c r="BF282" s="184" t="n"/>
      <c r="BG282" s="184" t="n"/>
      <c r="BH282" s="184" t="n"/>
      <c r="BI282" s="184" t="n"/>
      <c r="BJ282" s="184" t="n"/>
      <c r="BK282" s="184" t="n"/>
      <c r="BL282" s="184" t="n"/>
      <c r="BM282" s="184" t="n"/>
      <c r="BN282" s="184" t="n"/>
      <c r="BO282" s="184" t="n"/>
      <c r="BP282" s="184" t="n"/>
      <c r="BQ282" s="184" t="n"/>
      <c r="BR282" s="184" t="n"/>
      <c r="BS282" s="184" t="n"/>
      <c r="BT282" s="184" t="n"/>
      <c r="BU282" s="184" t="n"/>
      <c r="BV282" s="184" t="n"/>
      <c r="BW282" s="184" t="n"/>
      <c r="BX282" s="184" t="n"/>
      <c r="BY282" s="168" t="n"/>
      <c r="BZ282" s="168" t="n"/>
      <c r="CA282" s="186">
        <f>CHOOSE(MATCH($CF$2,{"Bull","Base","Bear"},0),$CO$25,$CP$25,$CQ$25)</f>
        <v>50</v>
      </c>
      <c r="CB282" s="186">
        <f>-CB260</f>
        <v>276.794805861467</v>
      </c>
      <c r="CC282" s="186">
        <f>-CC260</f>
        <v>629.837686266395</v>
      </c>
      <c r="CD282" s="186">
        <f>-CD260</f>
        <v>689.869377074459</v>
      </c>
      <c r="CE282" s="186">
        <f>-CE260</f>
        <v>748.831047317828</v>
      </c>
      <c r="CF282" s="20" t="inlineStr">
        <is>
          <t>2026E row = 2H/26 buyback only (1H/26 repurchases already in Q1/Q2 share counts).</t>
        </is>
      </c>
    </row>
    <row r="283" ht="15" customHeight="1">
      <c r="B283" s="26" t="inlineStr">
        <is>
          <t xml:space="preserve">  Implied shares repurchased (m)</t>
        </is>
      </c>
      <c r="C283" s="231" t="n"/>
      <c r="D283" s="231" t="n"/>
      <c r="E283" s="231" t="n"/>
      <c r="F283" s="231" t="n"/>
      <c r="G283" s="231" t="n"/>
      <c r="H283" s="231" t="n"/>
      <c r="I283" s="231" t="n"/>
      <c r="J283" s="231" t="n"/>
      <c r="K283" s="231" t="n"/>
      <c r="L283" s="231" t="n"/>
      <c r="M283" s="231" t="n"/>
      <c r="N283" s="231" t="n"/>
      <c r="O283" s="231" t="n"/>
      <c r="P283" s="231" t="n"/>
      <c r="Q283" s="231" t="n"/>
      <c r="R283" s="231" t="n"/>
      <c r="S283" s="231" t="n"/>
      <c r="T283" s="231" t="n"/>
      <c r="U283" s="231" t="n"/>
      <c r="V283" s="231" t="n"/>
      <c r="W283" s="231" t="n"/>
      <c r="X283" s="231" t="n"/>
      <c r="Y283" s="231" t="n"/>
      <c r="Z283" s="231" t="n"/>
      <c r="AA283" s="231" t="n"/>
      <c r="AB283" s="231" t="n"/>
      <c r="AC283" s="231" t="n"/>
      <c r="AD283" s="231" t="n"/>
      <c r="AE283" s="231" t="n"/>
      <c r="AF283" s="231" t="n"/>
      <c r="AG283" s="231" t="n"/>
      <c r="AH283" s="231" t="n"/>
      <c r="AI283" s="231" t="n"/>
      <c r="AJ283" s="231" t="n"/>
      <c r="AK283" s="231" t="n"/>
      <c r="AL283" s="231" t="n"/>
      <c r="AM283" s="231" t="n"/>
      <c r="AN283" s="231" t="n"/>
      <c r="AO283" s="231" t="n"/>
      <c r="AP283" s="231" t="n"/>
      <c r="AQ283" s="231" t="n"/>
      <c r="AR283" s="231" t="n"/>
      <c r="AS283" s="231" t="n"/>
      <c r="AT283" s="231" t="n"/>
      <c r="AU283" s="231" t="n"/>
      <c r="AV283" s="231" t="n"/>
      <c r="AW283" s="231" t="n"/>
      <c r="AX283" s="231" t="n"/>
      <c r="AY283" s="231" t="n"/>
      <c r="AZ283" s="231" t="n"/>
      <c r="BA283" s="231" t="n"/>
      <c r="BB283" s="231" t="n"/>
      <c r="BC283" s="231" t="n"/>
      <c r="BD283" s="231" t="n"/>
      <c r="BE283" s="231" t="n"/>
      <c r="BF283" s="231" t="n"/>
      <c r="BG283" s="231" t="n"/>
      <c r="BH283" s="231" t="n"/>
      <c r="BI283" s="231" t="n"/>
      <c r="BJ283" s="231" t="n"/>
      <c r="BK283" s="231" t="n"/>
      <c r="BL283" s="231" t="n"/>
      <c r="BM283" s="231" t="n"/>
      <c r="BN283" s="231" t="n"/>
      <c r="BO283" s="231" t="n"/>
      <c r="BP283" s="231" t="n"/>
      <c r="BQ283" s="231" t="n"/>
      <c r="BR283" s="231" t="n"/>
      <c r="BS283" s="231" t="n"/>
      <c r="BT283" s="231" t="n"/>
      <c r="BU283" s="231" t="n"/>
      <c r="BV283" s="231" t="n"/>
      <c r="BW283" s="231" t="n"/>
      <c r="BX283" s="231" t="n"/>
      <c r="BY283" s="232" t="n"/>
      <c r="BZ283" s="232" t="n"/>
      <c r="CA283" s="233">
        <f>IFERROR(CA282/CA281,0)</f>
        <v>0.15559843156781</v>
      </c>
      <c r="CB283" s="233">
        <f>IFERROR(CB282/CB281,0)</f>
        <v>0.805025002956273</v>
      </c>
      <c r="CC283" s="233">
        <f>IFERROR(CC282/CC281,0)</f>
        <v>1.71197058477333</v>
      </c>
      <c r="CD283" s="233">
        <f>IFERROR(CD282/CD281,0)</f>
        <v>1.75247061628772</v>
      </c>
      <c r="CE283" s="233">
        <f>IFERROR(CE282/CE281,0)</f>
        <v>1.77780425913769</v>
      </c>
      <c r="CF283" s="20" t="n"/>
    </row>
    <row r="284" ht="15" customHeight="1">
      <c r="B284" s="26" t="inlineStr">
        <is>
          <t xml:space="preserve">  Shares issued under equity plans (m)</t>
        </is>
      </c>
      <c r="C284" s="231" t="n"/>
      <c r="D284" s="231" t="n"/>
      <c r="E284" s="231" t="n"/>
      <c r="F284" s="231" t="n"/>
      <c r="G284" s="231" t="n"/>
      <c r="H284" s="231" t="n"/>
      <c r="I284" s="231" t="n"/>
      <c r="J284" s="231" t="n"/>
      <c r="K284" s="231" t="n"/>
      <c r="L284" s="231" t="n"/>
      <c r="M284" s="231" t="n"/>
      <c r="N284" s="231" t="n"/>
      <c r="O284" s="231" t="n"/>
      <c r="P284" s="231" t="n"/>
      <c r="Q284" s="231" t="n"/>
      <c r="R284" s="231" t="n"/>
      <c r="S284" s="231" t="n"/>
      <c r="T284" s="231" t="n"/>
      <c r="U284" s="231" t="n"/>
      <c r="V284" s="231" t="n"/>
      <c r="W284" s="231" t="n"/>
      <c r="X284" s="231" t="n"/>
      <c r="Y284" s="231" t="n"/>
      <c r="Z284" s="231" t="n"/>
      <c r="AA284" s="231" t="n"/>
      <c r="AB284" s="231" t="n"/>
      <c r="AC284" s="231" t="n"/>
      <c r="AD284" s="231" t="n"/>
      <c r="AE284" s="231" t="n"/>
      <c r="AF284" s="231" t="n"/>
      <c r="AG284" s="231" t="n"/>
      <c r="AH284" s="231" t="n"/>
      <c r="AI284" s="231" t="n"/>
      <c r="AJ284" s="231" t="n"/>
      <c r="AK284" s="231" t="n"/>
      <c r="AL284" s="231" t="n"/>
      <c r="AM284" s="231" t="n"/>
      <c r="AN284" s="231" t="n"/>
      <c r="AO284" s="231" t="n"/>
      <c r="AP284" s="231" t="n"/>
      <c r="AQ284" s="231" t="n"/>
      <c r="AR284" s="231" t="n"/>
      <c r="AS284" s="231" t="n"/>
      <c r="AT284" s="231" t="n"/>
      <c r="AU284" s="231" t="n"/>
      <c r="AV284" s="231" t="n"/>
      <c r="AW284" s="231" t="n"/>
      <c r="AX284" s="231" t="n"/>
      <c r="AY284" s="231" t="n"/>
      <c r="AZ284" s="231" t="n"/>
      <c r="BA284" s="231" t="n"/>
      <c r="BB284" s="231" t="n"/>
      <c r="BC284" s="231" t="n"/>
      <c r="BD284" s="231" t="n"/>
      <c r="BE284" s="231" t="n"/>
      <c r="BF284" s="231" t="n"/>
      <c r="BG284" s="231" t="n"/>
      <c r="BH284" s="231" t="n"/>
      <c r="BI284" s="231" t="n"/>
      <c r="BJ284" s="231" t="n"/>
      <c r="BK284" s="231" t="n"/>
      <c r="BL284" s="231" t="n"/>
      <c r="BM284" s="231" t="n"/>
      <c r="BN284" s="231" t="n"/>
      <c r="BO284" s="231" t="n"/>
      <c r="BP284" s="231" t="n"/>
      <c r="BQ284" s="231" t="n"/>
      <c r="BR284" s="231" t="n"/>
      <c r="BS284" s="231" t="n"/>
      <c r="BT284" s="231" t="n"/>
      <c r="BU284" s="231" t="n"/>
      <c r="BV284" s="231" t="n"/>
      <c r="BW284" s="231" t="n"/>
      <c r="BX284" s="231" t="n"/>
      <c r="BY284" s="232" t="n"/>
      <c r="BZ284" s="232" t="n"/>
      <c r="CA284" s="233">
        <f>0.05</f>
        <v>0.05</v>
      </c>
      <c r="CB284" s="233">
        <f>0.15</f>
        <v>0.15</v>
      </c>
      <c r="CC284" s="233">
        <f>0.15</f>
        <v>0.15</v>
      </c>
      <c r="CD284" s="233">
        <f>0.15</f>
        <v>0.15</v>
      </c>
      <c r="CE284" s="233">
        <f>0.15</f>
        <v>0.15</v>
      </c>
      <c r="CF284" s="20" t="n"/>
    </row>
    <row r="285" ht="15" customHeight="1">
      <c r="B285" s="26" t="inlineStr">
        <is>
          <t xml:space="preserve">  Beginning shares outstanding (m)</t>
        </is>
      </c>
      <c r="C285" s="231" t="n"/>
      <c r="D285" s="231" t="n"/>
      <c r="E285" s="231" t="n"/>
      <c r="F285" s="231" t="n"/>
      <c r="G285" s="231" t="n"/>
      <c r="H285" s="231" t="n"/>
      <c r="I285" s="231" t="n"/>
      <c r="J285" s="231" t="n"/>
      <c r="K285" s="231" t="n"/>
      <c r="L285" s="231" t="n"/>
      <c r="M285" s="231" t="n"/>
      <c r="N285" s="231" t="n"/>
      <c r="O285" s="231" t="n"/>
      <c r="P285" s="231" t="n"/>
      <c r="Q285" s="231" t="n"/>
      <c r="R285" s="231" t="n"/>
      <c r="S285" s="231" t="n"/>
      <c r="T285" s="231" t="n"/>
      <c r="U285" s="231" t="n"/>
      <c r="V285" s="231" t="n"/>
      <c r="W285" s="231" t="n"/>
      <c r="X285" s="231" t="n"/>
      <c r="Y285" s="231" t="n"/>
      <c r="Z285" s="231" t="n"/>
      <c r="AA285" s="231" t="n"/>
      <c r="AB285" s="231" t="n"/>
      <c r="AC285" s="231" t="n"/>
      <c r="AD285" s="231" t="n"/>
      <c r="AE285" s="231" t="n"/>
      <c r="AF285" s="231" t="n"/>
      <c r="AG285" s="231" t="n"/>
      <c r="AH285" s="231" t="n"/>
      <c r="AI285" s="231" t="n"/>
      <c r="AJ285" s="231" t="n"/>
      <c r="AK285" s="231" t="n"/>
      <c r="AL285" s="231" t="n"/>
      <c r="AM285" s="231" t="n"/>
      <c r="AN285" s="231" t="n"/>
      <c r="AO285" s="231" t="n"/>
      <c r="AP285" s="231" t="n"/>
      <c r="AQ285" s="231" t="n"/>
      <c r="AR285" s="231" t="n"/>
      <c r="AS285" s="231" t="n"/>
      <c r="AT285" s="231" t="n"/>
      <c r="AU285" s="231" t="n"/>
      <c r="AV285" s="231" t="n"/>
      <c r="AW285" s="231" t="n"/>
      <c r="AX285" s="231" t="n"/>
      <c r="AY285" s="231" t="n"/>
      <c r="AZ285" s="231" t="n"/>
      <c r="BA285" s="231" t="n"/>
      <c r="BB285" s="231" t="n"/>
      <c r="BC285" s="231" t="n"/>
      <c r="BD285" s="231" t="n"/>
      <c r="BE285" s="231" t="n"/>
      <c r="BF285" s="231" t="n"/>
      <c r="BG285" s="231" t="n"/>
      <c r="BH285" s="231" t="n"/>
      <c r="BI285" s="231" t="n"/>
      <c r="BJ285" s="231" t="n"/>
      <c r="BK285" s="231" t="n"/>
      <c r="BL285" s="231" t="n"/>
      <c r="BM285" s="231" t="n"/>
      <c r="BN285" s="231" t="n"/>
      <c r="BO285" s="231" t="n"/>
      <c r="BP285" s="231" t="n"/>
      <c r="BQ285" s="231" t="n"/>
      <c r="BR285" s="231" t="n"/>
      <c r="BS285" s="231" t="n"/>
      <c r="BT285" s="231" t="n"/>
      <c r="BU285" s="231" t="n"/>
      <c r="BV285" s="231" t="n"/>
      <c r="BW285" s="231" t="n"/>
      <c r="BX285" s="231" t="n"/>
      <c r="BY285" s="232" t="n"/>
      <c r="BZ285" s="232" t="n"/>
      <c r="CA285" s="233">
        <f>BX332</f>
        <v>52.791094</v>
      </c>
      <c r="CB285" s="233">
        <f>CA286</f>
        <v>52.6854955684322</v>
      </c>
      <c r="CC285" s="233">
        <f>CB286</f>
        <v>52.0304705654759</v>
      </c>
      <c r="CD285" s="233">
        <f>CC286</f>
        <v>50.4684999807026</v>
      </c>
      <c r="CE285" s="233">
        <f>CD286</f>
        <v>48.8660293644149</v>
      </c>
      <c r="CF285" s="20" t="inlineStr">
        <is>
          <t>2026E begins from shares outstanding at 30-Jun-2026 (balance-sheet caption).</t>
        </is>
      </c>
    </row>
    <row r="286" ht="15" customHeight="1">
      <c r="B286" s="26" t="inlineStr">
        <is>
          <t xml:space="preserve">  Ending shares outstanding (m)</t>
        </is>
      </c>
      <c r="C286" s="231" t="n"/>
      <c r="D286" s="231" t="n"/>
      <c r="E286" s="231" t="n"/>
      <c r="F286" s="231" t="n"/>
      <c r="G286" s="231" t="n"/>
      <c r="H286" s="231" t="n"/>
      <c r="I286" s="231" t="n"/>
      <c r="J286" s="231" t="n"/>
      <c r="K286" s="231" t="n"/>
      <c r="L286" s="231" t="n"/>
      <c r="M286" s="231" t="n"/>
      <c r="N286" s="231" t="n"/>
      <c r="O286" s="231" t="n"/>
      <c r="P286" s="231" t="n"/>
      <c r="Q286" s="231" t="n"/>
      <c r="R286" s="231" t="n"/>
      <c r="S286" s="231" t="n"/>
      <c r="T286" s="231" t="n"/>
      <c r="U286" s="231" t="n"/>
      <c r="V286" s="231" t="n"/>
      <c r="W286" s="231" t="n"/>
      <c r="X286" s="231" t="n"/>
      <c r="Y286" s="231" t="n"/>
      <c r="Z286" s="231" t="n"/>
      <c r="AA286" s="231" t="n"/>
      <c r="AB286" s="231" t="n"/>
      <c r="AC286" s="231" t="n"/>
      <c r="AD286" s="231" t="n"/>
      <c r="AE286" s="231" t="n"/>
      <c r="AF286" s="231" t="n"/>
      <c r="AG286" s="231" t="n"/>
      <c r="AH286" s="231" t="n"/>
      <c r="AI286" s="231" t="n"/>
      <c r="AJ286" s="231" t="n"/>
      <c r="AK286" s="231" t="n"/>
      <c r="AL286" s="231" t="n"/>
      <c r="AM286" s="231" t="n"/>
      <c r="AN286" s="231" t="n"/>
      <c r="AO286" s="231" t="n"/>
      <c r="AP286" s="231" t="n"/>
      <c r="AQ286" s="231" t="n"/>
      <c r="AR286" s="231" t="n"/>
      <c r="AS286" s="231" t="n"/>
      <c r="AT286" s="231" t="n"/>
      <c r="AU286" s="231" t="n"/>
      <c r="AV286" s="231" t="n"/>
      <c r="AW286" s="231" t="n"/>
      <c r="AX286" s="231" t="n"/>
      <c r="AY286" s="231" t="n"/>
      <c r="AZ286" s="231" t="n"/>
      <c r="BA286" s="231" t="n"/>
      <c r="BB286" s="231" t="n"/>
      <c r="BC286" s="231" t="n"/>
      <c r="BD286" s="231" t="n"/>
      <c r="BE286" s="231" t="n"/>
      <c r="BF286" s="231" t="n"/>
      <c r="BG286" s="231" t="n"/>
      <c r="BH286" s="231" t="n"/>
      <c r="BI286" s="231" t="n"/>
      <c r="BJ286" s="231" t="n"/>
      <c r="BK286" s="231" t="n"/>
      <c r="BL286" s="231" t="n"/>
      <c r="BM286" s="231" t="n"/>
      <c r="BN286" s="231" t="n"/>
      <c r="BO286" s="231" t="n"/>
      <c r="BP286" s="231" t="n"/>
      <c r="BQ286" s="231" t="n"/>
      <c r="BR286" s="231" t="n"/>
      <c r="BS286" s="231" t="n"/>
      <c r="BT286" s="231" t="n"/>
      <c r="BU286" s="231" t="n"/>
      <c r="BV286" s="231" t="n"/>
      <c r="BW286" s="231" t="n"/>
      <c r="BX286" s="231" t="n"/>
      <c r="BY286" s="232" t="n"/>
      <c r="BZ286" s="232" t="n"/>
      <c r="CA286" s="233">
        <f>CA285-CA283+CA284</f>
        <v>52.6854955684322</v>
      </c>
      <c r="CB286" s="233">
        <f>CB285-CB283+CB284</f>
        <v>52.0304705654759</v>
      </c>
      <c r="CC286" s="233">
        <f>CC285-CC283+CC284</f>
        <v>50.4684999807026</v>
      </c>
      <c r="CD286" s="233">
        <f>CD285-CD283+CD284</f>
        <v>48.8660293644149</v>
      </c>
      <c r="CE286" s="233">
        <f>CE285-CE283+CE284</f>
        <v>47.2382251052772</v>
      </c>
      <c r="CF286" s="20" t="n"/>
    </row>
    <row r="287" ht="15" customHeight="1">
      <c r="B287" s="26" t="inlineStr">
        <is>
          <t xml:space="preserve">  % of shares repurchased</t>
        </is>
      </c>
      <c r="C287" s="181" t="n"/>
      <c r="D287" s="181" t="n"/>
      <c r="E287" s="181" t="n"/>
      <c r="F287" s="181" t="n"/>
      <c r="G287" s="181" t="n"/>
      <c r="H287" s="181" t="n"/>
      <c r="I287" s="181" t="n"/>
      <c r="J287" s="181" t="n"/>
      <c r="K287" s="181" t="n"/>
      <c r="L287" s="181" t="n"/>
      <c r="M287" s="181" t="n"/>
      <c r="N287" s="181" t="n"/>
      <c r="O287" s="181" t="n"/>
      <c r="P287" s="181" t="n"/>
      <c r="Q287" s="181" t="n"/>
      <c r="R287" s="181" t="n"/>
      <c r="S287" s="181" t="n"/>
      <c r="T287" s="181" t="n"/>
      <c r="U287" s="181" t="n"/>
      <c r="V287" s="181" t="n"/>
      <c r="W287" s="181" t="n"/>
      <c r="X287" s="181" t="n"/>
      <c r="Y287" s="181" t="n"/>
      <c r="Z287" s="181" t="n"/>
      <c r="AA287" s="181" t="n"/>
      <c r="AB287" s="181" t="n"/>
      <c r="AC287" s="181" t="n"/>
      <c r="AD287" s="181" t="n"/>
      <c r="AE287" s="181" t="n"/>
      <c r="AF287" s="181" t="n"/>
      <c r="AG287" s="181" t="n"/>
      <c r="AH287" s="181" t="n"/>
      <c r="AI287" s="181" t="n"/>
      <c r="AJ287" s="181" t="n"/>
      <c r="AK287" s="181" t="n"/>
      <c r="AL287" s="181" t="n"/>
      <c r="AM287" s="181" t="n"/>
      <c r="AN287" s="181" t="n"/>
      <c r="AO287" s="181" t="n"/>
      <c r="AP287" s="181" t="n"/>
      <c r="AQ287" s="181" t="n"/>
      <c r="AR287" s="181" t="n"/>
      <c r="AS287" s="181" t="n"/>
      <c r="AT287" s="181" t="n"/>
      <c r="AU287" s="181" t="n"/>
      <c r="AV287" s="181" t="n"/>
      <c r="AW287" s="181" t="n"/>
      <c r="AX287" s="181" t="n"/>
      <c r="AY287" s="181" t="n"/>
      <c r="AZ287" s="181" t="n"/>
      <c r="BA287" s="181" t="n"/>
      <c r="BB287" s="181" t="n"/>
      <c r="BC287" s="181" t="n"/>
      <c r="BD287" s="181" t="n"/>
      <c r="BE287" s="181" t="n"/>
      <c r="BF287" s="181" t="n"/>
      <c r="BG287" s="181" t="n"/>
      <c r="BH287" s="181" t="n"/>
      <c r="BI287" s="181" t="n"/>
      <c r="BJ287" s="181" t="n"/>
      <c r="BK287" s="181" t="n"/>
      <c r="BL287" s="181" t="n"/>
      <c r="BM287" s="181" t="n"/>
      <c r="BN287" s="181" t="n"/>
      <c r="BO287" s="181" t="n"/>
      <c r="BP287" s="181" t="n"/>
      <c r="BQ287" s="181" t="n"/>
      <c r="BR287" s="181" t="n"/>
      <c r="BS287" s="181" t="n"/>
      <c r="BT287" s="181" t="n"/>
      <c r="BU287" s="181" t="n"/>
      <c r="BV287" s="181" t="n"/>
      <c r="BW287" s="181" t="n"/>
      <c r="BX287" s="181" t="n"/>
      <c r="BY287" s="169" t="n"/>
      <c r="BZ287" s="169" t="n"/>
      <c r="CA287" s="179">
        <f>IFERROR(CA283/CA285,"")</f>
        <v>0.0029474371485427</v>
      </c>
      <c r="CB287" s="179">
        <f>IFERROR(CB283/CB285,"")</f>
        <v>0.015279822164919</v>
      </c>
      <c r="CC287" s="179">
        <f>IFERROR(CC283/CC285,"")</f>
        <v>0.0329032308600584</v>
      </c>
      <c r="CD287" s="179">
        <f>IFERROR(CD283/CD285,"")</f>
        <v>0.0347240480093089</v>
      </c>
      <c r="CE287" s="179">
        <f>IFERROR(CE283/CE285,"")</f>
        <v>0.0363811891872745</v>
      </c>
      <c r="CF287" s="20" t="n"/>
    </row>
    <row r="288" ht="15" customHeight="1">
      <c r="B288" s="26" t="inlineStr">
        <is>
          <t xml:space="preserve">  Memo: cumulative shares repurchased since 2H/26 (m)</t>
        </is>
      </c>
      <c r="C288" s="231" t="n"/>
      <c r="D288" s="231" t="n"/>
      <c r="E288" s="231" t="n"/>
      <c r="F288" s="231" t="n"/>
      <c r="G288" s="231" t="n"/>
      <c r="H288" s="231" t="n"/>
      <c r="I288" s="231" t="n"/>
      <c r="J288" s="231" t="n"/>
      <c r="K288" s="231" t="n"/>
      <c r="L288" s="231" t="n"/>
      <c r="M288" s="231" t="n"/>
      <c r="N288" s="231" t="n"/>
      <c r="O288" s="231" t="n"/>
      <c r="P288" s="231" t="n"/>
      <c r="Q288" s="231" t="n"/>
      <c r="R288" s="231" t="n"/>
      <c r="S288" s="231" t="n"/>
      <c r="T288" s="231" t="n"/>
      <c r="U288" s="231" t="n"/>
      <c r="V288" s="231" t="n"/>
      <c r="W288" s="231" t="n"/>
      <c r="X288" s="231" t="n"/>
      <c r="Y288" s="231" t="n"/>
      <c r="Z288" s="231" t="n"/>
      <c r="AA288" s="231" t="n"/>
      <c r="AB288" s="231" t="n"/>
      <c r="AC288" s="231" t="n"/>
      <c r="AD288" s="231" t="n"/>
      <c r="AE288" s="231" t="n"/>
      <c r="AF288" s="231" t="n"/>
      <c r="AG288" s="231" t="n"/>
      <c r="AH288" s="231" t="n"/>
      <c r="AI288" s="231" t="n"/>
      <c r="AJ288" s="231" t="n"/>
      <c r="AK288" s="231" t="n"/>
      <c r="AL288" s="231" t="n"/>
      <c r="AM288" s="231" t="n"/>
      <c r="AN288" s="231" t="n"/>
      <c r="AO288" s="231" t="n"/>
      <c r="AP288" s="231" t="n"/>
      <c r="AQ288" s="231" t="n"/>
      <c r="AR288" s="231" t="n"/>
      <c r="AS288" s="231" t="n"/>
      <c r="AT288" s="231" t="n"/>
      <c r="AU288" s="231" t="n"/>
      <c r="AV288" s="231" t="n"/>
      <c r="AW288" s="231" t="n"/>
      <c r="AX288" s="231" t="n"/>
      <c r="AY288" s="231" t="n"/>
      <c r="AZ288" s="231" t="n"/>
      <c r="BA288" s="231" t="n"/>
      <c r="BB288" s="231" t="n"/>
      <c r="BC288" s="231" t="n"/>
      <c r="BD288" s="231" t="n"/>
      <c r="BE288" s="231" t="n"/>
      <c r="BF288" s="231" t="n"/>
      <c r="BG288" s="231" t="n"/>
      <c r="BH288" s="231" t="n"/>
      <c r="BI288" s="231" t="n"/>
      <c r="BJ288" s="231" t="n"/>
      <c r="BK288" s="231" t="n"/>
      <c r="BL288" s="231" t="n"/>
      <c r="BM288" s="231" t="n"/>
      <c r="BN288" s="231" t="n"/>
      <c r="BO288" s="231" t="n"/>
      <c r="BP288" s="231" t="n"/>
      <c r="BQ288" s="231" t="n"/>
      <c r="BR288" s="231" t="n"/>
      <c r="BS288" s="231" t="n"/>
      <c r="BT288" s="231" t="n"/>
      <c r="BU288" s="231" t="n"/>
      <c r="BV288" s="231" t="n"/>
      <c r="BW288" s="231" t="n"/>
      <c r="BX288" s="231" t="n"/>
      <c r="BY288" s="232" t="n"/>
      <c r="BZ288" s="232" t="n"/>
      <c r="CA288" s="233">
        <f>CA283</f>
        <v>0.15559843156781</v>
      </c>
      <c r="CB288" s="233">
        <f>CA288+CB283</f>
        <v>0.960623434524083</v>
      </c>
      <c r="CC288" s="233">
        <f>CB288+CC283</f>
        <v>2.67259401929741</v>
      </c>
      <c r="CD288" s="233">
        <f>CC288+CD283</f>
        <v>4.42506463558513</v>
      </c>
      <c r="CE288" s="233">
        <f>CD288+CE283</f>
        <v>6.20286889472282</v>
      </c>
      <c r="CF288" s="20" t="n"/>
    </row>
    <row r="289" ht="15" customHeight="1"/>
    <row r="290" ht="15" customHeight="1">
      <c r="B290" s="11" t="inlineStr">
        <is>
          <t>CONSOLIDATED BALANCE SHEET</t>
        </is>
      </c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  <c r="AG290" s="11" t="n"/>
      <c r="AH290" s="11" t="n"/>
      <c r="AI290" s="11" t="n"/>
      <c r="AJ290" s="11" t="n"/>
      <c r="AK290" s="11" t="n"/>
      <c r="AL290" s="11" t="n"/>
      <c r="AM290" s="11" t="n"/>
      <c r="AN290" s="11" t="n"/>
      <c r="AO290" s="11" t="n"/>
      <c r="AP290" s="11" t="n"/>
      <c r="AQ290" s="11" t="n"/>
      <c r="AR290" s="11" t="n"/>
      <c r="AS290" s="11" t="n"/>
      <c r="AT290" s="11" t="n"/>
      <c r="AU290" s="11" t="n"/>
      <c r="AV290" s="11" t="n"/>
      <c r="AW290" s="11" t="n"/>
      <c r="AX290" s="11" t="n"/>
      <c r="AY290" s="11" t="n"/>
      <c r="AZ290" s="11" t="n"/>
      <c r="BA290" s="11" t="n"/>
      <c r="BB290" s="11" t="n"/>
      <c r="BC290" s="11" t="n"/>
      <c r="BD290" s="11" t="n"/>
      <c r="BE290" s="11" t="n"/>
      <c r="BF290" s="11" t="n"/>
      <c r="BG290" s="11" t="n"/>
      <c r="BH290" s="11" t="n"/>
      <c r="BI290" s="11" t="n"/>
      <c r="BJ290" s="11" t="n"/>
      <c r="BK290" s="11" t="n"/>
      <c r="BL290" s="11" t="n"/>
      <c r="BM290" s="11" t="n"/>
      <c r="BN290" s="11" t="n"/>
      <c r="BO290" s="11" t="n"/>
      <c r="BP290" s="11" t="n"/>
      <c r="BQ290" s="11" t="n"/>
      <c r="BR290" s="11" t="n"/>
      <c r="BS290" s="11" t="n"/>
      <c r="BT290" s="11" t="n"/>
      <c r="BU290" s="11" t="n"/>
      <c r="BV290" s="11" t="n"/>
      <c r="BW290" s="11" t="n"/>
      <c r="BX290" s="11" t="n"/>
      <c r="BY290" s="11" t="n"/>
      <c r="BZ290" s="11" t="n"/>
      <c r="CA290" s="11" t="n"/>
      <c r="CB290" s="11" t="n"/>
      <c r="CC290" s="11" t="n"/>
      <c r="CD290" s="11" t="n"/>
      <c r="CE290" s="11" t="n"/>
      <c r="CF290" s="11" t="inlineStr">
        <is>
          <t>BS FORECAST — 2026E rolled forward from the 30-Jun-2026 balance sheet (Q2/26) + pending-deal purchase-price allocation + 2H flows; 2027E+ from prior year end</t>
        </is>
      </c>
    </row>
    <row r="291" ht="15" customHeight="1">
      <c r="B291" s="26" t="inlineStr">
        <is>
          <t>ASSETS</t>
        </is>
      </c>
      <c r="C291" s="217" t="n"/>
      <c r="D291" s="217" t="n"/>
      <c r="E291" s="217" t="n"/>
      <c r="F291" s="217" t="n"/>
      <c r="G291" s="217" t="n"/>
      <c r="H291" s="217" t="n"/>
      <c r="I291" s="217" t="n"/>
      <c r="J291" s="217" t="n"/>
      <c r="K291" s="217" t="n"/>
      <c r="L291" s="217" t="n"/>
      <c r="M291" s="217" t="n"/>
      <c r="N291" s="217" t="n"/>
      <c r="O291" s="217" t="n"/>
      <c r="P291" s="217" t="n"/>
      <c r="Q291" s="217" t="n"/>
      <c r="R291" s="217" t="n"/>
      <c r="S291" s="217" t="n"/>
      <c r="T291" s="217" t="n"/>
      <c r="U291" s="217" t="n"/>
      <c r="V291" s="217" t="n"/>
      <c r="W291" s="217" t="n"/>
      <c r="X291" s="217" t="n"/>
      <c r="Y291" s="217" t="n"/>
      <c r="Z291" s="217" t="n"/>
      <c r="AA291" s="217" t="n"/>
      <c r="AB291" s="217" t="n"/>
      <c r="AC291" s="217" t="n"/>
      <c r="AD291" s="217" t="n"/>
      <c r="AE291" s="217" t="n"/>
      <c r="AF291" s="217" t="n"/>
      <c r="AG291" s="217" t="n"/>
      <c r="AH291" s="217" t="n"/>
      <c r="AI291" s="217" t="n"/>
      <c r="AJ291" s="217" t="n"/>
      <c r="AK291" s="217" t="n"/>
      <c r="AL291" s="217" t="n"/>
      <c r="AM291" s="217" t="n"/>
      <c r="AN291" s="217" t="n"/>
      <c r="AO291" s="217" t="n"/>
      <c r="AP291" s="217" t="n"/>
      <c r="AQ291" s="217" t="n"/>
      <c r="AR291" s="217" t="n"/>
      <c r="AS291" s="217" t="n"/>
      <c r="AT291" s="217" t="n"/>
      <c r="AU291" s="217" t="n"/>
      <c r="AV291" s="217" t="n"/>
      <c r="AW291" s="217" t="n"/>
      <c r="AX291" s="217" t="n"/>
      <c r="AY291" s="217" t="n"/>
      <c r="AZ291" s="217" t="n"/>
      <c r="BA291" s="217" t="n"/>
      <c r="BB291" s="217" t="n"/>
      <c r="BC291" s="217" t="n"/>
      <c r="BD291" s="217" t="n"/>
      <c r="BE291" s="217" t="n"/>
      <c r="BF291" s="217" t="n"/>
      <c r="BG291" s="217" t="n"/>
      <c r="BH291" s="217" t="n"/>
      <c r="BI291" s="217" t="n"/>
      <c r="BJ291" s="217" t="n"/>
      <c r="BK291" s="217" t="n"/>
      <c r="BL291" s="217" t="n"/>
      <c r="BM291" s="217" t="n"/>
      <c r="BN291" s="217" t="n"/>
      <c r="BO291" s="217" t="n"/>
      <c r="BP291" s="217" t="n"/>
      <c r="BQ291" s="217" t="n"/>
      <c r="BR291" s="217" t="n"/>
      <c r="BS291" s="217" t="n"/>
      <c r="BT291" s="217" t="n"/>
      <c r="BU291" s="217" t="n"/>
      <c r="BV291" s="217" t="n"/>
      <c r="BW291" s="217" t="n"/>
      <c r="BX291" s="217" t="n"/>
      <c r="BY291" s="218" t="n"/>
      <c r="BZ291" s="218" t="n"/>
      <c r="CA291" s="218" t="n"/>
      <c r="CB291" s="218" t="n"/>
      <c r="CC291" s="218" t="n"/>
      <c r="CD291" s="218" t="n"/>
      <c r="CE291" s="218" t="n"/>
      <c r="CF291" s="20" t="n"/>
    </row>
    <row r="292" ht="15" customHeight="1">
      <c r="B292" s="26" t="inlineStr">
        <is>
          <t xml:space="preserve">  Cash and cash equivalents (incl. restricted cash 2005–06)</t>
        </is>
      </c>
      <c r="C292" s="185" t="n">
        <v>73.55</v>
      </c>
      <c r="D292" s="185" t="n">
        <v>119.538</v>
      </c>
      <c r="E292" s="185" t="n">
        <v>249.524</v>
      </c>
      <c r="F292" s="185" t="n">
        <v>233.546</v>
      </c>
      <c r="G292" s="185" t="n">
        <v>302.21</v>
      </c>
      <c r="H292" s="185" t="n">
        <v>260.723</v>
      </c>
      <c r="I292" s="185" t="n">
        <v>229.836</v>
      </c>
      <c r="J292" s="185" t="n">
        <v>222.104</v>
      </c>
      <c r="K292" s="185" t="n">
        <v>263.478</v>
      </c>
      <c r="L292" s="185" t="n">
        <v>248.635</v>
      </c>
      <c r="M292" s="185" t="n">
        <v>310.073</v>
      </c>
      <c r="N292" s="185" t="n">
        <v>310.073</v>
      </c>
      <c r="O292" s="185" t="n">
        <v>249.007</v>
      </c>
      <c r="P292" s="185" t="n">
        <v>278.644</v>
      </c>
      <c r="Q292" s="185" t="n">
        <v>258.021</v>
      </c>
      <c r="R292" s="185" t="n">
        <v>246.879</v>
      </c>
      <c r="S292" s="185" t="n">
        <v>246.879</v>
      </c>
      <c r="T292" s="185" t="n">
        <v>233.739</v>
      </c>
      <c r="U292" s="185" t="n">
        <v>173.621</v>
      </c>
      <c r="V292" s="185" t="n">
        <v>179.191</v>
      </c>
      <c r="W292" s="185" t="n">
        <v>184.708</v>
      </c>
      <c r="X292" s="185" t="n">
        <v>184.708</v>
      </c>
      <c r="Y292" s="185" t="n">
        <v>355.345</v>
      </c>
      <c r="Z292" s="185" t="n">
        <v>352.923</v>
      </c>
      <c r="AA292" s="185" t="n">
        <v>257.857</v>
      </c>
      <c r="AB292" s="185" t="n">
        <v>306.997</v>
      </c>
      <c r="AC292" s="185" t="n">
        <v>306.997</v>
      </c>
      <c r="AD292" s="185" t="n">
        <v>297.366</v>
      </c>
      <c r="AE292" s="185" t="n">
        <v>446.366</v>
      </c>
      <c r="AF292" s="185" t="n">
        <v>361.658</v>
      </c>
      <c r="AG292" s="185" t="n">
        <v>319.399</v>
      </c>
      <c r="AH292" s="185" t="n">
        <v>319.399</v>
      </c>
      <c r="AI292" s="185" t="n">
        <v>186.352</v>
      </c>
      <c r="AJ292" s="185" t="n">
        <v>197.068</v>
      </c>
      <c r="AK292" s="185" t="n">
        <v>215.497</v>
      </c>
      <c r="AL292" s="185" t="n">
        <v>226.507</v>
      </c>
      <c r="AM292" s="185" t="n">
        <v>226.507</v>
      </c>
      <c r="AN292" s="185" t="n">
        <v>167.371</v>
      </c>
      <c r="AO292" s="185" t="n">
        <v>204.455</v>
      </c>
      <c r="AP292" s="185" t="n">
        <v>282.233</v>
      </c>
      <c r="AQ292" s="185" t="n">
        <v>371.991</v>
      </c>
      <c r="AR292" s="185" t="n">
        <v>371.991</v>
      </c>
      <c r="AS292" s="185" t="n">
        <v>432.205</v>
      </c>
      <c r="AT292" s="185" t="n">
        <v>447.366</v>
      </c>
      <c r="AU292" s="185" t="n">
        <v>475.706</v>
      </c>
      <c r="AV292" s="185" t="n">
        <v>519.101</v>
      </c>
      <c r="AW292" s="185" t="n">
        <v>519.101</v>
      </c>
      <c r="AX292" s="185" t="n">
        <v>496.383</v>
      </c>
      <c r="AY292" s="185" t="n">
        <v>595.574</v>
      </c>
      <c r="AZ292" s="185" t="n">
        <v>646.663</v>
      </c>
      <c r="BA292" s="185" t="n">
        <v>452.575</v>
      </c>
      <c r="BB292" s="185" t="n">
        <v>452.575</v>
      </c>
      <c r="BC292" s="185" t="n">
        <v>339.584</v>
      </c>
      <c r="BD292" s="185" t="n">
        <v>344.631</v>
      </c>
      <c r="BE292" s="185" t="n">
        <v>449.023</v>
      </c>
      <c r="BF292" s="185" t="n">
        <v>492.603</v>
      </c>
      <c r="BG292" s="185" t="n">
        <v>492.603</v>
      </c>
      <c r="BH292" s="185" t="n">
        <v>304.307</v>
      </c>
      <c r="BI292" s="185" t="n">
        <v>238.776</v>
      </c>
      <c r="BJ292" s="185" t="n">
        <v>335.965</v>
      </c>
      <c r="BK292" s="185" t="n">
        <v>444.698</v>
      </c>
      <c r="BL292" s="185" t="n">
        <v>444.698</v>
      </c>
      <c r="BM292" s="185" t="n">
        <v>337.825</v>
      </c>
      <c r="BN292" s="185" t="n">
        <v>401.992</v>
      </c>
      <c r="BO292" s="185" t="n">
        <v>512.371</v>
      </c>
      <c r="BP292" s="185" t="n">
        <v>687.192</v>
      </c>
      <c r="BQ292" s="185" t="n">
        <v>687.192</v>
      </c>
      <c r="BR292" s="185" t="n">
        <v>489.417</v>
      </c>
      <c r="BS292" s="185" t="n">
        <v>600.186</v>
      </c>
      <c r="BT292" s="185" t="n">
        <v>759.197</v>
      </c>
      <c r="BU292" s="185" t="n">
        <v>826.3150000000001</v>
      </c>
      <c r="BV292" s="185" t="n">
        <v>826.3150000000001</v>
      </c>
      <c r="BW292" s="185" t="n">
        <v>547.994</v>
      </c>
      <c r="BX292" s="185" t="n">
        <v>408.357</v>
      </c>
      <c r="BY292" s="168" t="n"/>
      <c r="BZ292" s="168" t="n"/>
      <c r="CA292" s="186">
        <f>CA267</f>
        <v>546.954718105709</v>
      </c>
      <c r="CB292" s="186">
        <f>CB267</f>
        <v>531.822401087225</v>
      </c>
      <c r="CC292" s="186">
        <f>CC267</f>
        <v>250</v>
      </c>
      <c r="CD292" s="186">
        <f>CD267</f>
        <v>250</v>
      </c>
      <c r="CE292" s="186">
        <f>CE267</f>
        <v>250</v>
      </c>
      <c r="CF292" s="20" t="n"/>
    </row>
    <row r="293" ht="15" customHeight="1">
      <c r="B293" s="26" t="inlineStr">
        <is>
          <t xml:space="preserve">  Short-term marketable securities</t>
        </is>
      </c>
      <c r="C293" s="185" t="n">
        <v>10.24</v>
      </c>
      <c r="D293" s="185" t="n">
        <v>0.85</v>
      </c>
      <c r="E293" s="185" t="n">
        <v>0.175</v>
      </c>
      <c r="F293" s="185" t="n">
        <v>2.072</v>
      </c>
      <c r="G293" s="185" t="n">
        <v>3.174</v>
      </c>
      <c r="H293" s="185" t="n">
        <v>0.111</v>
      </c>
      <c r="I293" s="185" t="n">
        <v>11.778</v>
      </c>
      <c r="J293" s="185" t="n">
        <v>10.905</v>
      </c>
      <c r="K293" s="185" t="n">
        <v>10.339</v>
      </c>
      <c r="L293" s="185" t="n">
        <v>11.787</v>
      </c>
      <c r="M293" s="185" t="n">
        <v>12.435</v>
      </c>
      <c r="N293" s="185" t="n">
        <v>12.435</v>
      </c>
      <c r="O293" s="185" t="n">
        <v>0.213</v>
      </c>
      <c r="P293" s="185" t="n">
        <v>0</v>
      </c>
      <c r="Q293" s="185" t="n">
        <v>0</v>
      </c>
      <c r="R293" s="185" t="n">
        <v>0</v>
      </c>
      <c r="S293" s="185" t="n">
        <v>0</v>
      </c>
      <c r="T293" s="184" t="n"/>
      <c r="U293" s="184" t="n"/>
      <c r="V293" s="184" t="n"/>
      <c r="W293" s="184" t="n"/>
      <c r="X293" s="184" t="n"/>
      <c r="Y293" s="184" t="n"/>
      <c r="Z293" s="184" t="n"/>
      <c r="AA293" s="184" t="n"/>
      <c r="AB293" s="184" t="n"/>
      <c r="AC293" s="184" t="n"/>
      <c r="AD293" s="184" t="n"/>
      <c r="AE293" s="184" t="n"/>
      <c r="AF293" s="184" t="n"/>
      <c r="AG293" s="185" t="n">
        <v>38.179</v>
      </c>
      <c r="AH293" s="185" t="n">
        <v>38.179</v>
      </c>
      <c r="AI293" s="185" t="n">
        <v>37.792</v>
      </c>
      <c r="AJ293" s="185" t="n">
        <v>36.862</v>
      </c>
      <c r="AK293" s="185" t="n">
        <v>37.38</v>
      </c>
      <c r="AL293" s="185" t="n">
        <v>52.856</v>
      </c>
      <c r="AM293" s="185" t="n">
        <v>52.856</v>
      </c>
      <c r="AN293" s="185" t="n">
        <v>57.477</v>
      </c>
      <c r="AO293" s="185" t="n">
        <v>55.198</v>
      </c>
      <c r="AP293" s="185" t="n">
        <v>46.877</v>
      </c>
      <c r="AQ293" s="185" t="n">
        <v>42.421</v>
      </c>
      <c r="AR293" s="185" t="n">
        <v>42.421</v>
      </c>
      <c r="AS293" s="185" t="n">
        <v>62.143</v>
      </c>
      <c r="AT293" s="185" t="n">
        <v>59.326</v>
      </c>
      <c r="AU293" s="185" t="n">
        <v>56.639</v>
      </c>
      <c r="AV293" s="185" t="n">
        <v>51.857</v>
      </c>
      <c r="AW293" s="185" t="n">
        <v>51.857</v>
      </c>
      <c r="AX293" s="185" t="n">
        <v>74.31999999999999</v>
      </c>
      <c r="AY293" s="185" t="n">
        <v>70.68300000000001</v>
      </c>
      <c r="AZ293" s="185" t="n">
        <v>64.84399999999999</v>
      </c>
      <c r="BA293" s="185" t="n">
        <v>81.724</v>
      </c>
      <c r="BB293" s="185" t="n">
        <v>81.724</v>
      </c>
      <c r="BC293" s="185" t="n">
        <v>75.364</v>
      </c>
      <c r="BD293" s="185" t="n">
        <v>70.797</v>
      </c>
      <c r="BE293" s="185" t="n">
        <v>65.03400000000001</v>
      </c>
      <c r="BF293" s="185" t="n">
        <v>62.033</v>
      </c>
      <c r="BG293" s="185" t="n">
        <v>62.033</v>
      </c>
      <c r="BH293" s="185" t="n">
        <v>71.818</v>
      </c>
      <c r="BI293" s="185" t="n">
        <v>87.346</v>
      </c>
      <c r="BJ293" s="185" t="n">
        <v>84.00700000000001</v>
      </c>
      <c r="BK293" s="185" t="n">
        <v>106.101</v>
      </c>
      <c r="BL293" s="185" t="n">
        <v>106.101</v>
      </c>
      <c r="BM293" s="185" t="n">
        <v>104.811</v>
      </c>
      <c r="BN293" s="185" t="n">
        <v>91.294</v>
      </c>
      <c r="BO293" s="185" t="n">
        <v>82.371</v>
      </c>
      <c r="BP293" s="185" t="n">
        <v>102.634</v>
      </c>
      <c r="BQ293" s="185" t="n">
        <v>102.634</v>
      </c>
      <c r="BR293" s="185" t="n">
        <v>105.895</v>
      </c>
      <c r="BS293" s="185" t="n">
        <v>98.88800000000001</v>
      </c>
      <c r="BT293" s="185" t="n">
        <v>91.176</v>
      </c>
      <c r="BU293" s="185" t="n">
        <v>127.363</v>
      </c>
      <c r="BV293" s="185" t="n">
        <v>127.363</v>
      </c>
      <c r="BW293" s="185" t="n">
        <v>121.04</v>
      </c>
      <c r="BX293" s="185" t="n">
        <v>108.361</v>
      </c>
      <c r="BY293" s="168" t="n"/>
      <c r="BZ293" s="168" t="n"/>
      <c r="CA293" s="186">
        <f>BX293</f>
        <v>108.361</v>
      </c>
      <c r="CB293" s="186">
        <f>CA293</f>
        <v>108.361</v>
      </c>
      <c r="CC293" s="186">
        <f>CB293</f>
        <v>108.361</v>
      </c>
      <c r="CD293" s="186">
        <f>CC293</f>
        <v>108.361</v>
      </c>
      <c r="CE293" s="186">
        <f>CD293</f>
        <v>108.361</v>
      </c>
      <c r="CF293" s="20" t="n"/>
    </row>
    <row r="294" ht="15" customHeight="1">
      <c r="B294" s="26" t="inlineStr">
        <is>
          <t xml:space="preserve">  Accounts receivable, net</t>
        </is>
      </c>
      <c r="C294" s="185" t="n">
        <v>169.581</v>
      </c>
      <c r="D294" s="185" t="n">
        <v>193.126</v>
      </c>
      <c r="E294" s="185" t="n">
        <v>174.99</v>
      </c>
      <c r="F294" s="185" t="n">
        <v>274.918</v>
      </c>
      <c r="G294" s="185" t="n">
        <v>332.678</v>
      </c>
      <c r="H294" s="185" t="n">
        <v>449.553</v>
      </c>
      <c r="I294" s="185" t="n">
        <v>541.423</v>
      </c>
      <c r="J294" s="185" t="n">
        <v>563.691</v>
      </c>
      <c r="K294" s="185" t="n">
        <v>549.909</v>
      </c>
      <c r="L294" s="185" t="n">
        <v>603.054</v>
      </c>
      <c r="M294" s="185" t="n">
        <v>579.394</v>
      </c>
      <c r="N294" s="185" t="n">
        <v>579.394</v>
      </c>
      <c r="O294" s="185" t="n">
        <v>566.394</v>
      </c>
      <c r="P294" s="185" t="n">
        <v>575.187</v>
      </c>
      <c r="Q294" s="185" t="n">
        <v>575.575</v>
      </c>
      <c r="R294" s="185" t="n">
        <v>557.131</v>
      </c>
      <c r="S294" s="185" t="n">
        <v>557.131</v>
      </c>
      <c r="T294" s="185" t="n">
        <v>521.563</v>
      </c>
      <c r="U294" s="185" t="n">
        <v>684.875</v>
      </c>
      <c r="V294" s="185" t="n">
        <v>600.283</v>
      </c>
      <c r="W294" s="185" t="n">
        <v>496.004</v>
      </c>
      <c r="X294" s="185" t="n">
        <v>496.004</v>
      </c>
      <c r="Y294" s="185" t="n">
        <v>458.301</v>
      </c>
      <c r="Z294" s="185" t="n">
        <v>503.749</v>
      </c>
      <c r="AA294" s="185" t="n">
        <v>512.376</v>
      </c>
      <c r="AB294" s="185" t="n">
        <v>496.226</v>
      </c>
      <c r="AC294" s="185" t="n">
        <v>496.226</v>
      </c>
      <c r="AD294" s="185" t="n">
        <v>480.044</v>
      </c>
      <c r="AE294" s="185" t="n">
        <v>512.375</v>
      </c>
      <c r="AF294" s="185" t="n">
        <v>531.696</v>
      </c>
      <c r="AG294" s="185" t="n">
        <v>528.924</v>
      </c>
      <c r="AH294" s="185" t="n">
        <v>528.924</v>
      </c>
      <c r="AI294" s="185" t="n">
        <v>551.841</v>
      </c>
      <c r="AJ294" s="185" t="n">
        <v>590.58</v>
      </c>
      <c r="AK294" s="185" t="n">
        <v>608.645</v>
      </c>
      <c r="AL294" s="185" t="n">
        <v>606.952</v>
      </c>
      <c r="AM294" s="185" t="n">
        <v>606.952</v>
      </c>
      <c r="AN294" s="185" t="n">
        <v>613.5069999999999</v>
      </c>
      <c r="AO294" s="185" t="n">
        <v>632.888</v>
      </c>
      <c r="AP294" s="185" t="n">
        <v>641.667</v>
      </c>
      <c r="AQ294" s="185" t="n">
        <v>644.7380000000001</v>
      </c>
      <c r="AR294" s="185" t="n">
        <v>644.7380000000001</v>
      </c>
      <c r="AS294" s="185" t="n">
        <v>658.482</v>
      </c>
      <c r="AT294" s="185" t="n">
        <v>572.373</v>
      </c>
      <c r="AU294" s="185" t="n">
        <v>602.069</v>
      </c>
      <c r="AV294" s="185" t="n">
        <v>611.534</v>
      </c>
      <c r="AW294" s="185" t="n">
        <v>611.534</v>
      </c>
      <c r="AX294" s="185" t="n">
        <v>620.184</v>
      </c>
      <c r="AY294" s="185" t="n">
        <v>659.364</v>
      </c>
      <c r="AZ294" s="185" t="n">
        <v>703.199</v>
      </c>
      <c r="BA294" s="185" t="n">
        <v>792.734</v>
      </c>
      <c r="BB294" s="185" t="n">
        <v>792.734</v>
      </c>
      <c r="BC294" s="185" t="n">
        <v>900.273</v>
      </c>
      <c r="BD294" s="185" t="n">
        <v>1005.488</v>
      </c>
      <c r="BE294" s="185" t="n">
        <v>1026.226</v>
      </c>
      <c r="BF294" s="185" t="n">
        <v>964.603</v>
      </c>
      <c r="BG294" s="185" t="n">
        <v>964.603</v>
      </c>
      <c r="BH294" s="185" t="n">
        <v>963.659</v>
      </c>
      <c r="BI294" s="185" t="n">
        <v>981.2329999999999</v>
      </c>
      <c r="BJ294" s="185" t="n">
        <v>1010.335</v>
      </c>
      <c r="BK294" s="185" t="n">
        <v>983.111</v>
      </c>
      <c r="BL294" s="185" t="n">
        <v>983.111</v>
      </c>
      <c r="BM294" s="185" t="n">
        <v>1039.763</v>
      </c>
      <c r="BN294" s="185" t="n">
        <v>1089.832</v>
      </c>
      <c r="BO294" s="185" t="n">
        <v>1100.66</v>
      </c>
      <c r="BP294" s="185" t="n">
        <v>1015.357</v>
      </c>
      <c r="BQ294" s="185" t="n">
        <v>1015.357</v>
      </c>
      <c r="BR294" s="185" t="n">
        <v>1077.51</v>
      </c>
      <c r="BS294" s="185" t="n">
        <v>1117.714</v>
      </c>
      <c r="BT294" s="185" t="n">
        <v>1104.805</v>
      </c>
      <c r="BU294" s="185" t="n">
        <v>1044.137</v>
      </c>
      <c r="BV294" s="185" t="n">
        <v>1044.137</v>
      </c>
      <c r="BW294" s="185" t="n">
        <v>1113.163</v>
      </c>
      <c r="BX294" s="185" t="n">
        <v>1276.62</v>
      </c>
      <c r="BY294" s="168" t="n"/>
      <c r="BZ294" s="168" t="n"/>
      <c r="CA294" s="186">
        <f>CA335*CA337/365</f>
        <v>1184.31232989041</v>
      </c>
      <c r="CB294" s="186">
        <f>CB335*CB337/365</f>
        <v>1256.10000857839</v>
      </c>
      <c r="CC294" s="186">
        <f>CC335*CC337/365</f>
        <v>1359.50748723443</v>
      </c>
      <c r="CD294" s="186">
        <f>CD335*CD337/365</f>
        <v>1464.23554119462</v>
      </c>
      <c r="CE294" s="186">
        <f>CE335*CE337/365</f>
        <v>1572.39182766506</v>
      </c>
      <c r="CF294" s="20" t="inlineStr">
        <is>
          <t>Receivables = revenues (2026E: pro forma full year incl. pending deals) × DSO / 365.</t>
        </is>
      </c>
    </row>
    <row r="295" ht="15" customHeight="1">
      <c r="B295" s="26" t="inlineStr">
        <is>
          <t xml:space="preserve">  Unbilled accounts receivable</t>
        </is>
      </c>
      <c r="C295" s="185" t="n">
        <v>16.078</v>
      </c>
      <c r="D295" s="185" t="n">
        <v>14.703</v>
      </c>
      <c r="E295" s="185" t="n">
        <v>5.545</v>
      </c>
      <c r="F295" s="185" t="n">
        <v>12.331</v>
      </c>
      <c r="G295" s="185" t="n">
        <v>19.117</v>
      </c>
      <c r="H295" s="185" t="n">
        <v>29.385</v>
      </c>
      <c r="I295" s="185" t="n">
        <v>27.072</v>
      </c>
      <c r="J295" s="185" t="n">
        <v>32.22</v>
      </c>
      <c r="K295" s="185" t="n">
        <v>34.277</v>
      </c>
      <c r="L295" s="185" t="n">
        <v>42.122</v>
      </c>
      <c r="M295" s="185" t="n">
        <v>26.568</v>
      </c>
      <c r="N295" s="185" t="n">
        <v>26.568</v>
      </c>
      <c r="O295" s="185" t="n">
        <v>40.832</v>
      </c>
      <c r="P295" s="185" t="n">
        <v>35.529</v>
      </c>
      <c r="Q295" s="185" t="n">
        <v>50.05</v>
      </c>
      <c r="R295" s="185" t="n">
        <v>40.775</v>
      </c>
      <c r="S295" s="185" t="n">
        <v>40.775</v>
      </c>
      <c r="T295" s="185" t="n">
        <v>33.333</v>
      </c>
      <c r="U295" s="185" t="n">
        <v>37.095</v>
      </c>
      <c r="V295" s="185" t="n">
        <v>41.562</v>
      </c>
      <c r="W295" s="185" t="n">
        <v>25.94</v>
      </c>
      <c r="X295" s="185" t="n">
        <v>25.94</v>
      </c>
      <c r="Y295" s="185" t="n">
        <v>31.805</v>
      </c>
      <c r="Z295" s="185" t="n">
        <v>29.119</v>
      </c>
      <c r="AA295" s="185" t="n">
        <v>41.542</v>
      </c>
      <c r="AB295" s="185" t="n">
        <v>36.19</v>
      </c>
      <c r="AC295" s="185" t="n">
        <v>36.19</v>
      </c>
      <c r="AD295" s="185" t="n">
        <v>28.106</v>
      </c>
      <c r="AE295" s="185" t="n">
        <v>46.576</v>
      </c>
      <c r="AF295" s="185" t="n">
        <v>40.933</v>
      </c>
      <c r="AG295" s="185" t="n">
        <v>35.922</v>
      </c>
      <c r="AH295" s="185" t="n">
        <v>35.922</v>
      </c>
      <c r="AI295" s="185" t="n">
        <v>63.375</v>
      </c>
      <c r="AJ295" s="185" t="n">
        <v>62.762</v>
      </c>
      <c r="AK295" s="185" t="n">
        <v>63.964</v>
      </c>
      <c r="AL295" s="185" t="n">
        <v>54.794</v>
      </c>
      <c r="AM295" s="185" t="n">
        <v>54.794</v>
      </c>
      <c r="AN295" s="185" t="n">
        <v>42.513</v>
      </c>
      <c r="AO295" s="185" t="n">
        <v>52.174</v>
      </c>
      <c r="AP295" s="185" t="n">
        <v>58.842</v>
      </c>
      <c r="AQ295" s="185" t="n">
        <v>56.326</v>
      </c>
      <c r="AR295" s="185" t="n">
        <v>56.326</v>
      </c>
      <c r="AS295" s="185" t="n">
        <v>51.215</v>
      </c>
      <c r="AT295" s="185" t="n">
        <v>44.761</v>
      </c>
      <c r="AU295" s="185" t="n">
        <v>59.438</v>
      </c>
      <c r="AV295" s="185" t="n">
        <v>55.681</v>
      </c>
      <c r="AW295" s="185" t="n">
        <v>55.681</v>
      </c>
      <c r="AX295" s="185" t="n">
        <v>55.239</v>
      </c>
      <c r="AY295" s="185" t="n">
        <v>59.446</v>
      </c>
      <c r="AZ295" s="185" t="n">
        <v>69.91200000000001</v>
      </c>
      <c r="BA295" s="185" t="n">
        <v>94.96299999999999</v>
      </c>
      <c r="BB295" s="185" t="n">
        <v>94.96299999999999</v>
      </c>
      <c r="BC295" s="185" t="n">
        <v>123.945</v>
      </c>
      <c r="BD295" s="185" t="n">
        <v>134.173</v>
      </c>
      <c r="BE295" s="185" t="n">
        <v>134.742</v>
      </c>
      <c r="BF295" s="185" t="n">
        <v>107.01</v>
      </c>
      <c r="BG295" s="185" t="n">
        <v>107.01</v>
      </c>
      <c r="BH295" s="185" t="n">
        <v>137.507</v>
      </c>
      <c r="BI295" s="185" t="n">
        <v>122.679</v>
      </c>
      <c r="BJ295" s="185" t="n">
        <v>130.888</v>
      </c>
      <c r="BK295" s="185" t="n">
        <v>107.859</v>
      </c>
      <c r="BL295" s="185" t="n">
        <v>107.859</v>
      </c>
      <c r="BM295" s="185" t="n">
        <v>165.592</v>
      </c>
      <c r="BN295" s="185" t="n">
        <v>187.148</v>
      </c>
      <c r="BO295" s="185" t="n">
        <v>204.308</v>
      </c>
      <c r="BP295" s="185" t="n">
        <v>162.215</v>
      </c>
      <c r="BQ295" s="185" t="n">
        <v>162.215</v>
      </c>
      <c r="BR295" s="185" t="n">
        <v>171.089</v>
      </c>
      <c r="BS295" s="185" t="n">
        <v>177.91</v>
      </c>
      <c r="BT295" s="185" t="n">
        <v>182.059</v>
      </c>
      <c r="BU295" s="185" t="n">
        <v>160.888</v>
      </c>
      <c r="BV295" s="185" t="n">
        <v>160.888</v>
      </c>
      <c r="BW295" s="185" t="n">
        <v>192.241</v>
      </c>
      <c r="BX295" s="185" t="n">
        <v>186.764</v>
      </c>
      <c r="BY295" s="168" t="n"/>
      <c r="BZ295" s="168" t="n"/>
      <c r="CA295" s="186">
        <f>CA335*CA338/365</f>
        <v>187.986084109589</v>
      </c>
      <c r="CB295" s="186">
        <f>CB335*CB338/365</f>
        <v>199.380953742602</v>
      </c>
      <c r="CC295" s="186">
        <f>CC335*CC338/365</f>
        <v>215.79483924356</v>
      </c>
      <c r="CD295" s="186">
        <f>CD335*CD338/365</f>
        <v>232.418339872162</v>
      </c>
      <c r="CE295" s="186">
        <f>CE335*CE338/365</f>
        <v>249.58600439128</v>
      </c>
      <c r="CF295" s="20" t="n"/>
    </row>
    <row r="296" ht="15" customHeight="1">
      <c r="B296" s="26" t="inlineStr">
        <is>
          <t xml:space="preserve">  Inventories and supplies</t>
        </is>
      </c>
      <c r="C296" s="185" t="n">
        <v>20.101</v>
      </c>
      <c r="D296" s="185" t="n">
        <v>22.363</v>
      </c>
      <c r="E296" s="185" t="n">
        <v>26.905</v>
      </c>
      <c r="F296" s="185" t="n">
        <v>41.417</v>
      </c>
      <c r="G296" s="185" t="n">
        <v>44.546</v>
      </c>
      <c r="H296" s="185" t="n">
        <v>56.242</v>
      </c>
      <c r="I296" s="185" t="n">
        <v>171.441</v>
      </c>
      <c r="J296" s="185" t="n">
        <v>144.476</v>
      </c>
      <c r="K296" s="185" t="n">
        <v>155.538</v>
      </c>
      <c r="L296" s="185" t="n">
        <v>155.301</v>
      </c>
      <c r="M296" s="185" t="n">
        <v>152.096</v>
      </c>
      <c r="N296" s="185" t="n">
        <v>152.096</v>
      </c>
      <c r="O296" s="185" t="n">
        <v>152.443</v>
      </c>
      <c r="P296" s="185" t="n">
        <v>161.792</v>
      </c>
      <c r="Q296" s="185" t="n">
        <v>170.934</v>
      </c>
      <c r="R296" s="185" t="n">
        <v>168.663</v>
      </c>
      <c r="S296" s="185" t="n">
        <v>168.663</v>
      </c>
      <c r="T296" s="185" t="n">
        <v>143.052</v>
      </c>
      <c r="U296" s="185" t="n">
        <v>149.861</v>
      </c>
      <c r="V296" s="185" t="n">
        <v>150.255</v>
      </c>
      <c r="W296" s="185" t="n">
        <v>149.521</v>
      </c>
      <c r="X296" s="185" t="n">
        <v>149.521</v>
      </c>
      <c r="Y296" s="185" t="n">
        <v>154.768</v>
      </c>
      <c r="Z296" s="185" t="n">
        <v>162.404</v>
      </c>
      <c r="AA296" s="185" t="n">
        <v>177.288</v>
      </c>
      <c r="AB296" s="185" t="n">
        <v>178.428</v>
      </c>
      <c r="AC296" s="185" t="n">
        <v>178.428</v>
      </c>
      <c r="AD296" s="185" t="n">
        <v>182.038</v>
      </c>
      <c r="AE296" s="185" t="n">
        <v>172.54</v>
      </c>
      <c r="AF296" s="185" t="n">
        <v>173.097</v>
      </c>
      <c r="AG296" s="185" t="n">
        <v>176.012</v>
      </c>
      <c r="AH296" s="185" t="n">
        <v>176.012</v>
      </c>
      <c r="AI296" s="185" t="n">
        <v>181.438</v>
      </c>
      <c r="AJ296" s="185" t="n">
        <v>193.544</v>
      </c>
      <c r="AK296" s="185" t="n">
        <v>196.045</v>
      </c>
      <c r="AL296" s="185" t="n">
        <v>199.479</v>
      </c>
      <c r="AM296" s="185" t="n">
        <v>199.479</v>
      </c>
      <c r="AN296" s="185" t="n">
        <v>200.814</v>
      </c>
      <c r="AO296" s="185" t="n">
        <v>203.331</v>
      </c>
      <c r="AP296" s="185" t="n">
        <v>210.827</v>
      </c>
      <c r="AQ296" s="185" t="n">
        <v>214.744</v>
      </c>
      <c r="AR296" s="185" t="n">
        <v>214.744</v>
      </c>
      <c r="AS296" s="185" t="n">
        <v>216.532</v>
      </c>
      <c r="AT296" s="185" t="n">
        <v>219.808</v>
      </c>
      <c r="AU296" s="185" t="n">
        <v>220.884</v>
      </c>
      <c r="AV296" s="185" t="n">
        <v>220.498</v>
      </c>
      <c r="AW296" s="185" t="n">
        <v>220.498</v>
      </c>
      <c r="AX296" s="185" t="n">
        <v>219.499</v>
      </c>
      <c r="AY296" s="185" t="n">
        <v>215.725</v>
      </c>
      <c r="AZ296" s="185" t="n">
        <v>228.682</v>
      </c>
      <c r="BA296" s="185" t="n">
        <v>250.692</v>
      </c>
      <c r="BB296" s="185" t="n">
        <v>250.692</v>
      </c>
      <c r="BC296" s="185" t="n">
        <v>264.733</v>
      </c>
      <c r="BD296" s="185" t="n">
        <v>275.696</v>
      </c>
      <c r="BE296" s="185" t="n">
        <v>294.22</v>
      </c>
      <c r="BF296" s="185" t="n">
        <v>324.994</v>
      </c>
      <c r="BG296" s="185" t="n">
        <v>324.994</v>
      </c>
      <c r="BH296" s="185" t="n">
        <v>322.386</v>
      </c>
      <c r="BI296" s="185" t="n">
        <v>325.882</v>
      </c>
      <c r="BJ296" s="185" t="n">
        <v>311.512</v>
      </c>
      <c r="BK296" s="185" t="n">
        <v>327.511</v>
      </c>
      <c r="BL296" s="185" t="n">
        <v>327.511</v>
      </c>
      <c r="BM296" s="185" t="n">
        <v>354.31</v>
      </c>
      <c r="BN296" s="185" t="n">
        <v>365.356</v>
      </c>
      <c r="BO296" s="185" t="n">
        <v>376.564</v>
      </c>
      <c r="BP296" s="185" t="n">
        <v>384.657</v>
      </c>
      <c r="BQ296" s="185" t="n">
        <v>384.657</v>
      </c>
      <c r="BR296" s="185" t="n">
        <v>376.024</v>
      </c>
      <c r="BS296" s="185" t="n">
        <v>383.351</v>
      </c>
      <c r="BT296" s="185" t="n">
        <v>377.308</v>
      </c>
      <c r="BU296" s="185" t="n">
        <v>372.088</v>
      </c>
      <c r="BV296" s="185" t="n">
        <v>372.088</v>
      </c>
      <c r="BW296" s="185" t="n">
        <v>363.935</v>
      </c>
      <c r="BX296" s="185" t="n">
        <v>382.935</v>
      </c>
      <c r="BY296" s="168" t="n"/>
      <c r="BZ296" s="168" t="n"/>
      <c r="CA296" s="186">
        <f>CA336*CA339/365</f>
        <v>424.689773944952</v>
      </c>
      <c r="CB296" s="186">
        <f>CB336*CB339/365</f>
        <v>451.807014918915</v>
      </c>
      <c r="CC296" s="186">
        <f>CC336*CC339/365</f>
        <v>485.185691543774</v>
      </c>
      <c r="CD296" s="186">
        <f>CD336*CD339/365</f>
        <v>520.170026655966</v>
      </c>
      <c r="CE296" s="186">
        <f>CE336*CE339/365</f>
        <v>557.244450082123</v>
      </c>
      <c r="CF296" s="20" t="n"/>
    </row>
    <row r="297" ht="15" customHeight="1">
      <c r="B297" s="26" t="inlineStr">
        <is>
          <t xml:space="preserve">  Prepaid expenses &amp; other current assets (derived; incl. deferred costs / taxes, held for sale)</t>
        </is>
      </c>
      <c r="C297" s="185" t="n">
        <v>33.269</v>
      </c>
      <c r="D297" s="185" t="n">
        <v>29.858</v>
      </c>
      <c r="E297" s="185" t="n">
        <v>31.913</v>
      </c>
      <c r="F297" s="185" t="n">
        <v>55.966</v>
      </c>
      <c r="G297" s="185" t="n">
        <v>50.812</v>
      </c>
      <c r="H297" s="185" t="n">
        <v>95.854</v>
      </c>
      <c r="I297" s="185" t="n">
        <v>105.243</v>
      </c>
      <c r="J297" s="185" t="n">
        <v>100.186</v>
      </c>
      <c r="K297" s="185" t="n">
        <v>91.65000000000001</v>
      </c>
      <c r="L297" s="185" t="n">
        <v>80.875</v>
      </c>
      <c r="M297" s="185" t="n">
        <v>90.613</v>
      </c>
      <c r="N297" s="185" t="n">
        <v>90.613</v>
      </c>
      <c r="O297" s="185" t="n">
        <v>105.669</v>
      </c>
      <c r="P297" s="185" t="n">
        <v>99.139</v>
      </c>
      <c r="Q297" s="185" t="n">
        <v>99.357</v>
      </c>
      <c r="R297" s="185" t="n">
        <v>112.985</v>
      </c>
      <c r="S297" s="185" t="n">
        <v>112.985</v>
      </c>
      <c r="T297" s="185" t="n">
        <v>111.498</v>
      </c>
      <c r="U297" s="185" t="n">
        <v>117.865</v>
      </c>
      <c r="V297" s="185" t="n">
        <v>101.264</v>
      </c>
      <c r="W297" s="185" t="n">
        <v>65.023</v>
      </c>
      <c r="X297" s="185" t="n">
        <v>65.023</v>
      </c>
      <c r="Y297" s="185" t="n">
        <v>63.402</v>
      </c>
      <c r="Z297" s="185" t="n">
        <v>70.93899999999999</v>
      </c>
      <c r="AA297" s="185" t="n">
        <v>60.868</v>
      </c>
      <c r="AB297" s="185" t="n">
        <v>75.03</v>
      </c>
      <c r="AC297" s="185" t="n">
        <v>75.03</v>
      </c>
      <c r="AD297" s="185" t="n">
        <v>74.217</v>
      </c>
      <c r="AE297" s="185" t="n">
        <v>56.877</v>
      </c>
      <c r="AF297" s="185" t="n">
        <v>52.874</v>
      </c>
      <c r="AG297" s="185" t="n">
        <v>55.62</v>
      </c>
      <c r="AH297" s="185" t="n">
        <v>55.62</v>
      </c>
      <c r="AI297" s="185" t="n">
        <v>59.024</v>
      </c>
      <c r="AJ297" s="185" t="n">
        <v>55.666</v>
      </c>
      <c r="AK297" s="185" t="n">
        <v>55.29</v>
      </c>
      <c r="AL297" s="185" t="n">
        <v>61.57</v>
      </c>
      <c r="AM297" s="185" t="n">
        <v>61.57</v>
      </c>
      <c r="AN297" s="185" t="n">
        <v>66.44</v>
      </c>
      <c r="AO297" s="185" t="n">
        <v>65.14</v>
      </c>
      <c r="AP297" s="185" t="n">
        <v>60.138</v>
      </c>
      <c r="AQ297" s="185" t="n">
        <v>70.688</v>
      </c>
      <c r="AR297" s="185" t="n">
        <v>70.688</v>
      </c>
      <c r="AS297" s="185" t="n">
        <v>65.899</v>
      </c>
      <c r="AT297" s="185" t="n">
        <v>88.17</v>
      </c>
      <c r="AU297" s="185" t="n">
        <v>78.923</v>
      </c>
      <c r="AV297" s="185" t="n">
        <v>67.051</v>
      </c>
      <c r="AW297" s="185" t="n">
        <v>67.051</v>
      </c>
      <c r="AX297" s="185" t="n">
        <v>76.726</v>
      </c>
      <c r="AY297" s="185" t="n">
        <v>76.524</v>
      </c>
      <c r="AZ297" s="185" t="n">
        <v>70.864</v>
      </c>
      <c r="BA297" s="185" t="n">
        <v>68.483</v>
      </c>
      <c r="BB297" s="185" t="n">
        <v>68.483</v>
      </c>
      <c r="BC297" s="185" t="n">
        <v>103.349</v>
      </c>
      <c r="BD297" s="185" t="n">
        <v>93.31999999999999</v>
      </c>
      <c r="BE297" s="185" t="n">
        <v>71.846</v>
      </c>
      <c r="BF297" s="185" t="n">
        <v>82.518</v>
      </c>
      <c r="BG297" s="185" t="n">
        <v>82.518</v>
      </c>
      <c r="BH297" s="185" t="n">
        <v>103.37</v>
      </c>
      <c r="BI297" s="185" t="n">
        <v>92.559</v>
      </c>
      <c r="BJ297" s="185" t="n">
        <v>78.045</v>
      </c>
      <c r="BK297" s="185" t="n">
        <v>82.93899999999999</v>
      </c>
      <c r="BL297" s="185" t="n">
        <v>82.93899999999999</v>
      </c>
      <c r="BM297" s="185" t="n">
        <v>103.495</v>
      </c>
      <c r="BN297" s="185" t="n">
        <v>93.44</v>
      </c>
      <c r="BO297" s="185" t="n">
        <v>78.20399999999999</v>
      </c>
      <c r="BP297" s="185" t="n">
        <v>81.741</v>
      </c>
      <c r="BQ297" s="185" t="n">
        <v>81.741</v>
      </c>
      <c r="BR297" s="185" t="n">
        <v>90.747</v>
      </c>
      <c r="BS297" s="185" t="n">
        <v>97.33199999999999</v>
      </c>
      <c r="BT297" s="185" t="n">
        <v>93.71599999999999</v>
      </c>
      <c r="BU297" s="185" t="n">
        <v>116.452</v>
      </c>
      <c r="BV297" s="185" t="n">
        <v>116.452</v>
      </c>
      <c r="BW297" s="185" t="n">
        <v>104.759</v>
      </c>
      <c r="BX297" s="185" t="n">
        <v>109.203</v>
      </c>
      <c r="BY297" s="168" t="n"/>
      <c r="BZ297" s="168" t="n"/>
      <c r="CA297" s="186">
        <f>BX297+CA353</f>
        <v>116.003</v>
      </c>
      <c r="CB297" s="186">
        <f>CA297</f>
        <v>116.003</v>
      </c>
      <c r="CC297" s="186">
        <f>CB297</f>
        <v>116.003</v>
      </c>
      <c r="CD297" s="186">
        <f>CC297</f>
        <v>116.003</v>
      </c>
      <c r="CE297" s="186">
        <f>CD297</f>
        <v>116.003</v>
      </c>
      <c r="CF297" s="20" t="n"/>
    </row>
    <row r="298" ht="15" customHeight="1">
      <c r="B298" s="17" t="inlineStr">
        <is>
          <t>Total current assets</t>
        </is>
      </c>
      <c r="C298" s="214">
        <f>IF(ISNUMBER(C292),SUM(C292:C297),"")</f>
        <v>322.819</v>
      </c>
      <c r="D298" s="214">
        <f>IF(ISNUMBER(D292),SUM(D292:D297),"")</f>
        <v>380.438</v>
      </c>
      <c r="E298" s="214">
        <f>IF(ISNUMBER(E292),SUM(E292:E297),"")</f>
        <v>489.052</v>
      </c>
      <c r="F298" s="214">
        <f>IF(ISNUMBER(F292),SUM(F292:F297),"")</f>
        <v>620.25</v>
      </c>
      <c r="G298" s="214">
        <f>IF(ISNUMBER(G292),SUM(G292:G297),"")</f>
        <v>752.537</v>
      </c>
      <c r="H298" s="214">
        <f>IF(ISNUMBER(H292),SUM(H292:H297),"")</f>
        <v>891.868</v>
      </c>
      <c r="I298" s="214">
        <f>IF(ISNUMBER(I292),SUM(I292:I297),"")</f>
        <v>1086.793</v>
      </c>
      <c r="J298" s="214">
        <f>IF(ISNUMBER(J292),SUM(J292:J297),"")</f>
        <v>1073.582</v>
      </c>
      <c r="K298" s="214">
        <f>IF(ISNUMBER(K292),SUM(K292:K297),"")</f>
        <v>1105.191</v>
      </c>
      <c r="L298" s="214">
        <f>IF(ISNUMBER(L292),SUM(L292:L297),"")</f>
        <v>1141.774</v>
      </c>
      <c r="M298" s="214">
        <f>IF(ISNUMBER(M292),SUM(M292:M297),"")</f>
        <v>1171.179</v>
      </c>
      <c r="N298" s="214">
        <f>IF(ISNUMBER(N292),SUM(N292:N297),"")</f>
        <v>1171.179</v>
      </c>
      <c r="O298" s="214">
        <f>IF(ISNUMBER(O292),SUM(O292:O297),"")</f>
        <v>1114.558</v>
      </c>
      <c r="P298" s="214">
        <f>IF(ISNUMBER(P292),SUM(P292:P297),"")</f>
        <v>1150.291</v>
      </c>
      <c r="Q298" s="214">
        <f>IF(ISNUMBER(Q292),SUM(Q292:Q297),"")</f>
        <v>1153.937</v>
      </c>
      <c r="R298" s="214">
        <f>IF(ISNUMBER(R292),SUM(R292:R297),"")</f>
        <v>1126.433</v>
      </c>
      <c r="S298" s="214">
        <f>IF(ISNUMBER(S292),SUM(S292:S297),"")</f>
        <v>1126.433</v>
      </c>
      <c r="T298" s="214">
        <f>IF(ISNUMBER(T292),SUM(T292:T297),"")</f>
        <v>1043.185</v>
      </c>
      <c r="U298" s="214">
        <f>IF(ISNUMBER(U292),SUM(U292:U297),"")</f>
        <v>1163.317</v>
      </c>
      <c r="V298" s="214">
        <f>IF(ISNUMBER(V292),SUM(V292:V297),"")</f>
        <v>1072.555</v>
      </c>
      <c r="W298" s="214">
        <f>IF(ISNUMBER(W292),SUM(W292:W297),"")</f>
        <v>921.196</v>
      </c>
      <c r="X298" s="214">
        <f>IF(ISNUMBER(X292),SUM(X292:X297),"")</f>
        <v>921.196</v>
      </c>
      <c r="Y298" s="214">
        <f>IF(ISNUMBER(Y292),SUM(Y292:Y297),"")</f>
        <v>1063.621</v>
      </c>
      <c r="Z298" s="214">
        <f>IF(ISNUMBER(Z292),SUM(Z292:Z297),"")</f>
        <v>1119.134</v>
      </c>
      <c r="AA298" s="214">
        <f>IF(ISNUMBER(AA292),SUM(AA292:AA297),"")</f>
        <v>1049.931</v>
      </c>
      <c r="AB298" s="214">
        <f>IF(ISNUMBER(AB292),SUM(AB292:AB297),"")</f>
        <v>1092.871</v>
      </c>
      <c r="AC298" s="214">
        <f>IF(ISNUMBER(AC292),SUM(AC292:AC297),"")</f>
        <v>1092.871</v>
      </c>
      <c r="AD298" s="214">
        <f>IF(ISNUMBER(AD292),SUM(AD292:AD297),"")</f>
        <v>1061.771</v>
      </c>
      <c r="AE298" s="214">
        <f>IF(ISNUMBER(AE292),SUM(AE292:AE297),"")</f>
        <v>1234.734</v>
      </c>
      <c r="AF298" s="214">
        <f>IF(ISNUMBER(AF292),SUM(AF292:AF297),"")</f>
        <v>1160.258</v>
      </c>
      <c r="AG298" s="214">
        <f>IF(ISNUMBER(AG292),SUM(AG292:AG297),"")</f>
        <v>1154.056</v>
      </c>
      <c r="AH298" s="214">
        <f>IF(ISNUMBER(AH292),SUM(AH292:AH297),"")</f>
        <v>1154.056</v>
      </c>
      <c r="AI298" s="214">
        <f>IF(ISNUMBER(AI292),SUM(AI292:AI297),"")</f>
        <v>1079.822</v>
      </c>
      <c r="AJ298" s="214">
        <f>IF(ISNUMBER(AJ292),SUM(AJ292:AJ297),"")</f>
        <v>1136.482</v>
      </c>
      <c r="AK298" s="214">
        <f>IF(ISNUMBER(AK292),SUM(AK292:AK297),"")</f>
        <v>1176.821</v>
      </c>
      <c r="AL298" s="214">
        <f>IF(ISNUMBER(AL292),SUM(AL292:AL297),"")</f>
        <v>1202.158</v>
      </c>
      <c r="AM298" s="214">
        <f>IF(ISNUMBER(AM292),SUM(AM292:AM297),"")</f>
        <v>1202.158</v>
      </c>
      <c r="AN298" s="214">
        <f>IF(ISNUMBER(AN292),SUM(AN292:AN297),"")</f>
        <v>1148.122</v>
      </c>
      <c r="AO298" s="214">
        <f>IF(ISNUMBER(AO292),SUM(AO292:AO297),"")</f>
        <v>1213.186</v>
      </c>
      <c r="AP298" s="214">
        <f>IF(ISNUMBER(AP292),SUM(AP292:AP297),"")</f>
        <v>1300.584</v>
      </c>
      <c r="AQ298" s="214">
        <f>IF(ISNUMBER(AQ292),SUM(AQ292:AQ297),"")</f>
        <v>1400.908</v>
      </c>
      <c r="AR298" s="214">
        <f>IF(ISNUMBER(AR292),SUM(AR292:AR297),"")</f>
        <v>1400.908</v>
      </c>
      <c r="AS298" s="214">
        <f>IF(ISNUMBER(AS292),SUM(AS292:AS297),"")</f>
        <v>1486.476</v>
      </c>
      <c r="AT298" s="214">
        <f>IF(ISNUMBER(AT292),SUM(AT292:AT297),"")</f>
        <v>1431.804</v>
      </c>
      <c r="AU298" s="214">
        <f>IF(ISNUMBER(AU292),SUM(AU292:AU297),"")</f>
        <v>1493.659</v>
      </c>
      <c r="AV298" s="214">
        <f>IF(ISNUMBER(AV292),SUM(AV292:AV297),"")</f>
        <v>1525.722</v>
      </c>
      <c r="AW298" s="214">
        <f>IF(ISNUMBER(AW292),SUM(AW292:AW297),"")</f>
        <v>1525.722</v>
      </c>
      <c r="AX298" s="214">
        <f>IF(ISNUMBER(AX292),SUM(AX292:AX297),"")</f>
        <v>1542.351</v>
      </c>
      <c r="AY298" s="214">
        <f>IF(ISNUMBER(AY292),SUM(AY292:AY297),"")</f>
        <v>1677.316</v>
      </c>
      <c r="AZ298" s="214">
        <f>IF(ISNUMBER(AZ292),SUM(AZ292:AZ297),"")</f>
        <v>1784.164</v>
      </c>
      <c r="BA298" s="214">
        <f>IF(ISNUMBER(BA292),SUM(BA292:BA297),"")</f>
        <v>1741.171</v>
      </c>
      <c r="BB298" s="214">
        <f>IF(ISNUMBER(BB292),SUM(BB292:BB297),"")</f>
        <v>1741.171</v>
      </c>
      <c r="BC298" s="214">
        <f>IF(ISNUMBER(BC292),SUM(BC292:BC297),"")</f>
        <v>1807.248</v>
      </c>
      <c r="BD298" s="214">
        <f>IF(ISNUMBER(BD292),SUM(BD292:BD297),"")</f>
        <v>1924.105</v>
      </c>
      <c r="BE298" s="214">
        <f>IF(ISNUMBER(BE292),SUM(BE292:BE297),"")</f>
        <v>2041.091</v>
      </c>
      <c r="BF298" s="214">
        <f>IF(ISNUMBER(BF292),SUM(BF292:BF297),"")</f>
        <v>2033.761</v>
      </c>
      <c r="BG298" s="214">
        <f>IF(ISNUMBER(BG292),SUM(BG292:BG297),"")</f>
        <v>2033.761</v>
      </c>
      <c r="BH298" s="214">
        <f>IF(ISNUMBER(BH292),SUM(BH292:BH297),"")</f>
        <v>1903.047</v>
      </c>
      <c r="BI298" s="214">
        <f>IF(ISNUMBER(BI292),SUM(BI292:BI297),"")</f>
        <v>1848.475</v>
      </c>
      <c r="BJ298" s="214">
        <f>IF(ISNUMBER(BJ292),SUM(BJ292:BJ297),"")</f>
        <v>1950.752</v>
      </c>
      <c r="BK298" s="214">
        <f>IF(ISNUMBER(BK292),SUM(BK292:BK297),"")</f>
        <v>2052.219</v>
      </c>
      <c r="BL298" s="214">
        <f>IF(ISNUMBER(BL292),SUM(BL292:BL297),"")</f>
        <v>2052.219</v>
      </c>
      <c r="BM298" s="214">
        <f>IF(ISNUMBER(BM292),SUM(BM292:BM297),"")</f>
        <v>2105.796</v>
      </c>
      <c r="BN298" s="214">
        <f>IF(ISNUMBER(BN292),SUM(BN292:BN297),"")</f>
        <v>2229.062</v>
      </c>
      <c r="BO298" s="214">
        <f>IF(ISNUMBER(BO292),SUM(BO292:BO297),"")</f>
        <v>2354.478</v>
      </c>
      <c r="BP298" s="214">
        <f>IF(ISNUMBER(BP292),SUM(BP292:BP297),"")</f>
        <v>2433.796</v>
      </c>
      <c r="BQ298" s="214">
        <f>IF(ISNUMBER(BQ292),SUM(BQ292:BQ297),"")</f>
        <v>2433.796</v>
      </c>
      <c r="BR298" s="214">
        <f>IF(ISNUMBER(BR292),SUM(BR292:BR297),"")</f>
        <v>2310.682</v>
      </c>
      <c r="BS298" s="214">
        <f>IF(ISNUMBER(BS292),SUM(BS292:BS297),"")</f>
        <v>2475.381</v>
      </c>
      <c r="BT298" s="214">
        <f>IF(ISNUMBER(BT292),SUM(BT292:BT297),"")</f>
        <v>2608.261</v>
      </c>
      <c r="BU298" s="214">
        <f>IF(ISNUMBER(BU292),SUM(BU292:BU297),"")</f>
        <v>2647.243</v>
      </c>
      <c r="BV298" s="214">
        <f>IF(ISNUMBER(BV292),SUM(BV292:BV297),"")</f>
        <v>2647.243</v>
      </c>
      <c r="BW298" s="214">
        <f>IF(ISNUMBER(BW292),SUM(BW292:BW297),"")</f>
        <v>2443.132</v>
      </c>
      <c r="BX298" s="214">
        <f>IF(ISNUMBER(BX292),SUM(BX292:BX297),"")</f>
        <v>2472.24</v>
      </c>
      <c r="BY298" s="34" t="n"/>
      <c r="BZ298" s="34" t="n"/>
      <c r="CA298" s="176">
        <f>SUM(CA292:CA297)</f>
        <v>2568.30690605066</v>
      </c>
      <c r="CB298" s="176">
        <f>SUM(CB292:CB297)</f>
        <v>2663.47437832713</v>
      </c>
      <c r="CC298" s="176">
        <f>SUM(CC292:CC297)</f>
        <v>2534.85201802176</v>
      </c>
      <c r="CD298" s="176">
        <f>SUM(CD292:CD297)</f>
        <v>2691.18790772275</v>
      </c>
      <c r="CE298" s="176">
        <f>SUM(CE292:CE297)</f>
        <v>2853.58628213847</v>
      </c>
      <c r="CF298" s="177" t="n"/>
    </row>
    <row r="299" ht="15" customHeight="1">
      <c r="B299" s="26" t="inlineStr">
        <is>
          <t xml:space="preserve">  Property, plant &amp; equipment, net (incl. landfill assets)</t>
        </is>
      </c>
      <c r="C299" s="185" t="n">
        <v>244.126</v>
      </c>
      <c r="D299" s="185" t="n">
        <v>262.601</v>
      </c>
      <c r="E299" s="185" t="n">
        <v>295.461</v>
      </c>
      <c r="F299" s="185" t="n">
        <v>589.944</v>
      </c>
      <c r="G299" s="185" t="n">
        <v>655.394</v>
      </c>
      <c r="H299" s="185" t="n">
        <v>903.947</v>
      </c>
      <c r="I299" s="185" t="n">
        <v>1531.763</v>
      </c>
      <c r="J299" s="185" t="n">
        <v>1549.806</v>
      </c>
      <c r="K299" s="185" t="n">
        <v>1554.972</v>
      </c>
      <c r="L299" s="185" t="n">
        <v>1615.427</v>
      </c>
      <c r="M299" s="185" t="n">
        <v>1602.17</v>
      </c>
      <c r="N299" s="185" t="n">
        <v>1602.17</v>
      </c>
      <c r="O299" s="185" t="n">
        <v>1588.286</v>
      </c>
      <c r="P299" s="185" t="n">
        <v>1611.298</v>
      </c>
      <c r="Q299" s="185" t="n">
        <v>1579.701</v>
      </c>
      <c r="R299" s="185" t="n">
        <v>1558.834</v>
      </c>
      <c r="S299" s="185" t="n">
        <v>1558.834</v>
      </c>
      <c r="T299" s="185" t="n">
        <v>1502.497</v>
      </c>
      <c r="U299" s="185" t="n">
        <v>1562.254</v>
      </c>
      <c r="V299" s="185" t="n">
        <v>1531.548</v>
      </c>
      <c r="W299" s="185" t="n">
        <v>1532.467</v>
      </c>
      <c r="X299" s="185" t="n">
        <v>1532.467</v>
      </c>
      <c r="Y299" s="185" t="n">
        <v>1596.872</v>
      </c>
      <c r="Z299" s="185" t="n">
        <v>1594.987</v>
      </c>
      <c r="AA299" s="185" t="n">
        <v>1648.571</v>
      </c>
      <c r="AB299" s="185" t="n">
        <v>1611.827</v>
      </c>
      <c r="AC299" s="185" t="n">
        <v>1611.827</v>
      </c>
      <c r="AD299" s="185" t="n">
        <v>1609.49</v>
      </c>
      <c r="AE299" s="185" t="n">
        <v>1602.453</v>
      </c>
      <c r="AF299" s="185" t="n">
        <v>1611.971</v>
      </c>
      <c r="AG299" s="185" t="n">
        <v>1587.365</v>
      </c>
      <c r="AH299" s="185" t="n">
        <v>1587.365</v>
      </c>
      <c r="AI299" s="185" t="n">
        <v>1631.648</v>
      </c>
      <c r="AJ299" s="185" t="n">
        <v>1609.382</v>
      </c>
      <c r="AK299" s="185" t="n">
        <v>1614.429</v>
      </c>
      <c r="AL299" s="185" t="n">
        <v>1561.978</v>
      </c>
      <c r="AM299" s="185" t="n">
        <v>1561.978</v>
      </c>
      <c r="AN299" s="185" t="n">
        <v>1588.613</v>
      </c>
      <c r="AO299" s="185" t="n">
        <v>1596.917</v>
      </c>
      <c r="AP299" s="185" t="n">
        <v>1593.993</v>
      </c>
      <c r="AQ299" s="185" t="n">
        <v>1588.151</v>
      </c>
      <c r="AR299" s="185" t="n">
        <v>1588.151</v>
      </c>
      <c r="AS299" s="185" t="n">
        <v>1547.119</v>
      </c>
      <c r="AT299" s="185" t="n">
        <v>1553.808</v>
      </c>
      <c r="AU299" s="185" t="n">
        <v>1539.333</v>
      </c>
      <c r="AV299" s="185" t="n">
        <v>1525.298</v>
      </c>
      <c r="AW299" s="185" t="n">
        <v>1525.298</v>
      </c>
      <c r="AX299" s="185" t="n">
        <v>1527.944</v>
      </c>
      <c r="AY299" s="185" t="n">
        <v>1531.289</v>
      </c>
      <c r="AZ299" s="185" t="n">
        <v>1508.356</v>
      </c>
      <c r="BA299" s="185" t="n">
        <v>1863.175</v>
      </c>
      <c r="BB299" s="185" t="n">
        <v>1863.175</v>
      </c>
      <c r="BC299" s="185" t="n">
        <v>1881.542</v>
      </c>
      <c r="BD299" s="185" t="n">
        <v>1913.145</v>
      </c>
      <c r="BE299" s="185" t="n">
        <v>1923.675</v>
      </c>
      <c r="BF299" s="185" t="n">
        <v>1980.302</v>
      </c>
      <c r="BG299" s="185" t="n">
        <v>1980.302</v>
      </c>
      <c r="BH299" s="185" t="n">
        <v>2027.513</v>
      </c>
      <c r="BI299" s="185" t="n">
        <v>2082.693</v>
      </c>
      <c r="BJ299" s="185" t="n">
        <v>2128.508</v>
      </c>
      <c r="BK299" s="185" t="n">
        <v>2193.318</v>
      </c>
      <c r="BL299" s="185" t="n">
        <v>2193.318</v>
      </c>
      <c r="BM299" s="185" t="n">
        <v>2330.484</v>
      </c>
      <c r="BN299" s="185" t="n">
        <v>2408.647</v>
      </c>
      <c r="BO299" s="185" t="n">
        <v>2452.312</v>
      </c>
      <c r="BP299" s="185" t="n">
        <v>2447.941</v>
      </c>
      <c r="BQ299" s="185" t="n">
        <v>2447.941</v>
      </c>
      <c r="BR299" s="185" t="n">
        <v>2463.62</v>
      </c>
      <c r="BS299" s="185" t="n">
        <v>2507.101</v>
      </c>
      <c r="BT299" s="185" t="n">
        <v>2497.6</v>
      </c>
      <c r="BU299" s="185" t="n">
        <v>2541.067</v>
      </c>
      <c r="BV299" s="185" t="n">
        <v>2541.067</v>
      </c>
      <c r="BW299" s="185" t="n">
        <v>2562.156</v>
      </c>
      <c r="BX299" s="185" t="n">
        <v>2636.955</v>
      </c>
      <c r="BY299" s="168" t="n"/>
      <c r="BZ299" s="168" t="n"/>
      <c r="CA299" s="186">
        <f>BX299-(CA251-(BW251+BX251))-(CA252-(BW252+BX252))-((BY145+BZ145)-(BY363+BZ363))+CA354</f>
        <v>2998.25521917808</v>
      </c>
      <c r="CB299" s="186">
        <f>CA299-CB251-CB252-(CB145-CB363)+CB75*CB85</f>
        <v>3141.19656271584</v>
      </c>
      <c r="CC299" s="186">
        <f>CB299-CC251-CC252-(CC145-CC363)+CC75*CC85</f>
        <v>3286.71911746817</v>
      </c>
      <c r="CD299" s="186">
        <f>CC299-CD251-CD252-(CD145-CD363)+CD75*CD85</f>
        <v>3434.64633609868</v>
      </c>
      <c r="CE299" s="186">
        <f>CD299-CE251-CE252-(CE145-CE363)+CE75*CE85</f>
        <v>3584.7886227086</v>
      </c>
      <c r="CF299" s="20" t="inlineStr">
        <is>
          <t>PP&amp;E roll-forward: prior + capex − disposals (at book = proceeds) − depreciation (total D&amp;A less intangible amortization) + acquired PP&amp;E.</t>
        </is>
      </c>
    </row>
    <row r="300" ht="15" customHeight="1">
      <c r="B300" s="26" t="inlineStr">
        <is>
          <t xml:space="preserve">  Goodwill</t>
        </is>
      </c>
      <c r="C300" s="185" t="n">
        <v>19.032</v>
      </c>
      <c r="D300" s="185" t="n">
        <v>21.572</v>
      </c>
      <c r="E300" s="185" t="n">
        <v>24.578</v>
      </c>
      <c r="F300" s="185" t="n">
        <v>56.085</v>
      </c>
      <c r="G300" s="185" t="n">
        <v>60.252</v>
      </c>
      <c r="H300" s="185" t="n">
        <v>122.392</v>
      </c>
      <c r="I300" s="185" t="n">
        <v>593.771</v>
      </c>
      <c r="J300" s="185" t="n">
        <v>572.4059999999999</v>
      </c>
      <c r="K300" s="185" t="n">
        <v>575.275</v>
      </c>
      <c r="L300" s="185" t="n">
        <v>590.152</v>
      </c>
      <c r="M300" s="185" t="n">
        <v>570.96</v>
      </c>
      <c r="N300" s="185" t="n">
        <v>570.96</v>
      </c>
      <c r="O300" s="185" t="n">
        <v>565.062</v>
      </c>
      <c r="P300" s="185" t="n">
        <v>578.974</v>
      </c>
      <c r="Q300" s="185" t="n">
        <v>449.577</v>
      </c>
      <c r="R300" s="185" t="n">
        <v>452.669</v>
      </c>
      <c r="S300" s="185" t="n">
        <v>452.669</v>
      </c>
      <c r="T300" s="185" t="n">
        <v>445.412</v>
      </c>
      <c r="U300" s="185" t="n">
        <v>452.858</v>
      </c>
      <c r="V300" s="185" t="n">
        <v>447.918</v>
      </c>
      <c r="W300" s="185" t="n">
        <v>453.105</v>
      </c>
      <c r="X300" s="185" t="n">
        <v>453.105</v>
      </c>
      <c r="Y300" s="185" t="n">
        <v>460.642</v>
      </c>
      <c r="Z300" s="185" t="n">
        <v>461.491</v>
      </c>
      <c r="AA300" s="185" t="n">
        <v>470.633</v>
      </c>
      <c r="AB300" s="185" t="n">
        <v>465.154</v>
      </c>
      <c r="AC300" s="185" t="n">
        <v>465.154</v>
      </c>
      <c r="AD300" s="185" t="n">
        <v>469.86</v>
      </c>
      <c r="AE300" s="185" t="n">
        <v>472.819</v>
      </c>
      <c r="AF300" s="185" t="n">
        <v>478.728</v>
      </c>
      <c r="AG300" s="185" t="n">
        <v>478.523</v>
      </c>
      <c r="AH300" s="185" t="n">
        <v>478.523</v>
      </c>
      <c r="AI300" s="185" t="n">
        <v>492.705</v>
      </c>
      <c r="AJ300" s="185" t="n">
        <v>497.251</v>
      </c>
      <c r="AK300" s="185" t="n">
        <v>514.102</v>
      </c>
      <c r="AL300" s="185" t="n">
        <v>514.189</v>
      </c>
      <c r="AM300" s="185" t="n">
        <v>514.189</v>
      </c>
      <c r="AN300" s="185" t="n">
        <v>517.91</v>
      </c>
      <c r="AO300" s="185" t="n">
        <v>525.044</v>
      </c>
      <c r="AP300" s="185" t="n">
        <v>524.581</v>
      </c>
      <c r="AQ300" s="185" t="n">
        <v>525.013</v>
      </c>
      <c r="AR300" s="185" t="n">
        <v>525.013</v>
      </c>
      <c r="AS300" s="185" t="n">
        <v>519.627</v>
      </c>
      <c r="AT300" s="185" t="n">
        <v>523.154</v>
      </c>
      <c r="AU300" s="185" t="n">
        <v>524.261</v>
      </c>
      <c r="AV300" s="185" t="n">
        <v>527.023</v>
      </c>
      <c r="AW300" s="185" t="n">
        <v>527.023</v>
      </c>
      <c r="AX300" s="185" t="n">
        <v>543.605</v>
      </c>
      <c r="AY300" s="185" t="n">
        <v>544.639</v>
      </c>
      <c r="AZ300" s="185" t="n">
        <v>543.028</v>
      </c>
      <c r="BA300" s="185" t="n">
        <v>1227.042</v>
      </c>
      <c r="BB300" s="185" t="n">
        <v>1227.042</v>
      </c>
      <c r="BC300" s="185" t="n">
        <v>1221.399</v>
      </c>
      <c r="BD300" s="185" t="n">
        <v>1244.655</v>
      </c>
      <c r="BE300" s="185" t="n">
        <v>1246.327</v>
      </c>
      <c r="BF300" s="185" t="n">
        <v>1246.878</v>
      </c>
      <c r="BG300" s="185" t="n">
        <v>1246.878</v>
      </c>
      <c r="BH300" s="185" t="n">
        <v>1287.416</v>
      </c>
      <c r="BI300" s="185" t="n">
        <v>1288.291</v>
      </c>
      <c r="BJ300" s="185" t="n">
        <v>1286.473</v>
      </c>
      <c r="BK300" s="185" t="n">
        <v>1287.736</v>
      </c>
      <c r="BL300" s="185" t="n">
        <v>1287.736</v>
      </c>
      <c r="BM300" s="185" t="n">
        <v>1487.821</v>
      </c>
      <c r="BN300" s="185" t="n">
        <v>1482.085</v>
      </c>
      <c r="BO300" s="185" t="n">
        <v>1485.065</v>
      </c>
      <c r="BP300" s="185" t="n">
        <v>1477.199</v>
      </c>
      <c r="BQ300" s="185" t="n">
        <v>1477.199</v>
      </c>
      <c r="BR300" s="185" t="n">
        <v>1477.307</v>
      </c>
      <c r="BS300" s="185" t="n">
        <v>1479.805</v>
      </c>
      <c r="BT300" s="185" t="n">
        <v>1478.831</v>
      </c>
      <c r="BU300" s="185" t="n">
        <v>1479.05</v>
      </c>
      <c r="BV300" s="185" t="n">
        <v>1479.05</v>
      </c>
      <c r="BW300" s="185" t="n">
        <v>1555.062</v>
      </c>
      <c r="BX300" s="185" t="n">
        <v>1672.635</v>
      </c>
      <c r="BY300" s="168" t="n"/>
      <c r="BZ300" s="168" t="n"/>
      <c r="CA300" s="186">
        <f>BX300+CA357</f>
        <v>1959.88979452055</v>
      </c>
      <c r="CB300" s="186">
        <f>CA300+CB75*(1-CB85-CB86)</f>
        <v>2079.88979452055</v>
      </c>
      <c r="CC300" s="186">
        <f>CB300+CC75*(1-CC85-CC86)</f>
        <v>2199.88979452055</v>
      </c>
      <c r="CD300" s="186">
        <f>CC300+CD75*(1-CD85-CD86)</f>
        <v>2319.88979452055</v>
      </c>
      <c r="CE300" s="186">
        <f>CD300+CE75*(1-CE85-CE86)</f>
        <v>2439.88979452055</v>
      </c>
      <c r="CF300" s="20" t="n"/>
    </row>
    <row r="301" ht="15" customHeight="1">
      <c r="B301" s="26" t="inlineStr">
        <is>
          <t xml:space="preserve">  Permits &amp; other intangibles, net</t>
        </is>
      </c>
      <c r="C301" s="185" t="n">
        <v>65.74299999999999</v>
      </c>
      <c r="D301" s="185" t="n">
        <v>74.809</v>
      </c>
      <c r="E301" s="185" t="n">
        <v>71.754</v>
      </c>
      <c r="F301" s="185" t="n">
        <v>114.188</v>
      </c>
      <c r="G301" s="185" t="n">
        <v>114.4</v>
      </c>
      <c r="H301" s="185" t="n">
        <v>139.644</v>
      </c>
      <c r="I301" s="185" t="n">
        <v>572.817</v>
      </c>
      <c r="J301" s="185" t="n">
        <v>566.91</v>
      </c>
      <c r="K301" s="185" t="n">
        <v>555.422</v>
      </c>
      <c r="L301" s="185" t="n">
        <v>567.776</v>
      </c>
      <c r="M301" s="185" t="n">
        <v>569.973</v>
      </c>
      <c r="N301" s="185" t="n">
        <v>569.973</v>
      </c>
      <c r="O301" s="185" t="n">
        <v>557.211</v>
      </c>
      <c r="P301" s="185" t="n">
        <v>553.658</v>
      </c>
      <c r="Q301" s="185" t="n">
        <v>541.874</v>
      </c>
      <c r="R301" s="185" t="n">
        <v>530.08</v>
      </c>
      <c r="S301" s="185" t="n">
        <v>530.08</v>
      </c>
      <c r="T301" s="185" t="n">
        <v>520.045</v>
      </c>
      <c r="U301" s="185" t="n">
        <v>534.621</v>
      </c>
      <c r="V301" s="185" t="n">
        <v>518.995</v>
      </c>
      <c r="W301" s="185" t="n">
        <v>506.818</v>
      </c>
      <c r="X301" s="185" t="n">
        <v>506.818</v>
      </c>
      <c r="Y301" s="185" t="n">
        <v>502.532</v>
      </c>
      <c r="Z301" s="185" t="n">
        <v>492.224</v>
      </c>
      <c r="AA301" s="185" t="n">
        <v>507.337</v>
      </c>
      <c r="AB301" s="185" t="n">
        <v>498.721</v>
      </c>
      <c r="AC301" s="185" t="n">
        <v>498.721</v>
      </c>
      <c r="AD301" s="185" t="n">
        <v>490.952</v>
      </c>
      <c r="AE301" s="185" t="n">
        <v>482.828</v>
      </c>
      <c r="AF301" s="185" t="n">
        <v>477.639</v>
      </c>
      <c r="AG301" s="185" t="n">
        <v>469.128</v>
      </c>
      <c r="AH301" s="185" t="n">
        <v>469.128</v>
      </c>
      <c r="AI301" s="185" t="n">
        <v>464.635</v>
      </c>
      <c r="AJ301" s="185" t="n">
        <v>455.92</v>
      </c>
      <c r="AK301" s="185" t="n">
        <v>451.355</v>
      </c>
      <c r="AL301" s="185" t="n">
        <v>441.875</v>
      </c>
      <c r="AM301" s="185" t="n">
        <v>441.875</v>
      </c>
      <c r="AN301" s="185" t="n">
        <v>438.958</v>
      </c>
      <c r="AO301" s="185" t="n">
        <v>433.853</v>
      </c>
      <c r="AP301" s="185" t="n">
        <v>425.863</v>
      </c>
      <c r="AQ301" s="185" t="n">
        <v>419.066</v>
      </c>
      <c r="AR301" s="185" t="n">
        <v>419.066</v>
      </c>
      <c r="AS301" s="185" t="n">
        <v>406.881</v>
      </c>
      <c r="AT301" s="185" t="n">
        <v>400.448</v>
      </c>
      <c r="AU301" s="185" t="n">
        <v>392.401</v>
      </c>
      <c r="AV301" s="185" t="n">
        <v>386.62</v>
      </c>
      <c r="AW301" s="185" t="n">
        <v>386.62</v>
      </c>
      <c r="AX301" s="185" t="n">
        <v>380.053</v>
      </c>
      <c r="AY301" s="185" t="n">
        <v>374.23</v>
      </c>
      <c r="AZ301" s="185" t="n">
        <v>366.497</v>
      </c>
      <c r="BA301" s="185" t="n">
        <v>644.912</v>
      </c>
      <c r="BB301" s="185" t="n">
        <v>644.912</v>
      </c>
      <c r="BC301" s="185" t="n">
        <v>633.4450000000001</v>
      </c>
      <c r="BD301" s="185" t="n">
        <v>637.254</v>
      </c>
      <c r="BE301" s="185" t="n">
        <v>621.8339999999999</v>
      </c>
      <c r="BF301" s="185" t="n">
        <v>620.782</v>
      </c>
      <c r="BG301" s="185" t="n">
        <v>620.782</v>
      </c>
      <c r="BH301" s="185" t="n">
        <v>636.523</v>
      </c>
      <c r="BI301" s="185" t="n">
        <v>626.3200000000001</v>
      </c>
      <c r="BJ301" s="185" t="n">
        <v>613.54</v>
      </c>
      <c r="BK301" s="185" t="n">
        <v>602.797</v>
      </c>
      <c r="BL301" s="185" t="n">
        <v>602.797</v>
      </c>
      <c r="BM301" s="185" t="n">
        <v>739.975</v>
      </c>
      <c r="BN301" s="185" t="n">
        <v>727.463</v>
      </c>
      <c r="BO301" s="185" t="n">
        <v>708.9349999999999</v>
      </c>
      <c r="BP301" s="185" t="n">
        <v>701.987</v>
      </c>
      <c r="BQ301" s="185" t="n">
        <v>701.987</v>
      </c>
      <c r="BR301" s="185" t="n">
        <v>688.957</v>
      </c>
      <c r="BS301" s="185" t="n">
        <v>677.1799999999999</v>
      </c>
      <c r="BT301" s="185" t="n">
        <v>663.965</v>
      </c>
      <c r="BU301" s="185" t="n">
        <v>653.027</v>
      </c>
      <c r="BV301" s="185" t="n">
        <v>653.027</v>
      </c>
      <c r="BW301" s="185" t="n">
        <v>679.081</v>
      </c>
      <c r="BX301" s="185" t="n">
        <v>749.111</v>
      </c>
      <c r="BY301" s="168" t="n"/>
      <c r="BZ301" s="168" t="n"/>
      <c r="CA301" s="186">
        <f>BX301+CA355-(BY363+BZ363)</f>
        <v>918.39798630137</v>
      </c>
      <c r="CB301" s="186">
        <f>CA301+CB75*CB86-CB363</f>
        <v>916.14798630137</v>
      </c>
      <c r="CC301" s="186">
        <f>CB301+CC75*CC86-CC363</f>
        <v>907.64798630137</v>
      </c>
      <c r="CD301" s="186">
        <f>CC301+CD75*CD86-CD363</f>
        <v>892.89798630137</v>
      </c>
      <c r="CE301" s="186">
        <f>CD301+CE75*CE86-CE363</f>
        <v>871.89798630137</v>
      </c>
      <c r="CF301" s="20" t="inlineStr">
        <is>
          <t>Intangibles roll-forward: prior + acquired − amortization (legacy ~$54m p.a. per XBRL next-12-month schedule + pending deals + M&amp;A).</t>
        </is>
      </c>
    </row>
    <row r="302" ht="15" customHeight="1">
      <c r="B302" s="26" t="inlineStr">
        <is>
          <t xml:space="preserve">  Operating lease right-of-use assets (2019+)</t>
        </is>
      </c>
      <c r="C302" s="184" t="n"/>
      <c r="D302" s="184" t="n"/>
      <c r="E302" s="184" t="n"/>
      <c r="F302" s="184" t="n"/>
      <c r="G302" s="184" t="n"/>
      <c r="H302" s="184" t="n"/>
      <c r="I302" s="184" t="n"/>
      <c r="J302" s="184" t="n"/>
      <c r="K302" s="184" t="n"/>
      <c r="L302" s="184" t="n"/>
      <c r="M302" s="184" t="n"/>
      <c r="N302" s="184" t="n"/>
      <c r="O302" s="184" t="n"/>
      <c r="P302" s="184" t="n"/>
      <c r="Q302" s="184" t="n"/>
      <c r="R302" s="184" t="n"/>
      <c r="S302" s="184" t="n"/>
      <c r="T302" s="184" t="n"/>
      <c r="U302" s="184" t="n"/>
      <c r="V302" s="184" t="n"/>
      <c r="W302" s="184" t="n"/>
      <c r="X302" s="184" t="n"/>
      <c r="Y302" s="184" t="n"/>
      <c r="Z302" s="184" t="n"/>
      <c r="AA302" s="184" t="n"/>
      <c r="AB302" s="184" t="n"/>
      <c r="AC302" s="184" t="n"/>
      <c r="AD302" s="184" t="n"/>
      <c r="AE302" s="184" t="n"/>
      <c r="AF302" s="184" t="n"/>
      <c r="AG302" s="184" t="n"/>
      <c r="AH302" s="184" t="n"/>
      <c r="AI302" s="184" t="n"/>
      <c r="AJ302" s="184" t="n"/>
      <c r="AK302" s="184" t="n"/>
      <c r="AL302" s="184" t="n"/>
      <c r="AM302" s="184" t="n"/>
      <c r="AN302" s="185" t="n">
        <v>170.55</v>
      </c>
      <c r="AO302" s="185" t="n">
        <v>173.504</v>
      </c>
      <c r="AP302" s="185" t="n">
        <v>164.302</v>
      </c>
      <c r="AQ302" s="185" t="n">
        <v>162.206</v>
      </c>
      <c r="AR302" s="185" t="n">
        <v>162.206</v>
      </c>
      <c r="AS302" s="185" t="n">
        <v>160.526</v>
      </c>
      <c r="AT302" s="185" t="n">
        <v>153.522</v>
      </c>
      <c r="AU302" s="185" t="n">
        <v>146.454</v>
      </c>
      <c r="AV302" s="185" t="n">
        <v>150.341</v>
      </c>
      <c r="AW302" s="185" t="n">
        <v>150.341</v>
      </c>
      <c r="AX302" s="185" t="n">
        <v>142.006</v>
      </c>
      <c r="AY302" s="185" t="n">
        <v>135.363</v>
      </c>
      <c r="AZ302" s="185" t="n">
        <v>137.429</v>
      </c>
      <c r="BA302" s="185" t="n">
        <v>161.797</v>
      </c>
      <c r="BB302" s="185" t="n">
        <v>161.797</v>
      </c>
      <c r="BC302" s="185" t="n">
        <v>156.811</v>
      </c>
      <c r="BD302" s="185" t="n">
        <v>157.048</v>
      </c>
      <c r="BE302" s="185" t="n">
        <v>161.668</v>
      </c>
      <c r="BF302" s="185" t="n">
        <v>166.181</v>
      </c>
      <c r="BG302" s="185" t="n">
        <v>166.181</v>
      </c>
      <c r="BH302" s="185" t="n">
        <v>167.144</v>
      </c>
      <c r="BI302" s="185" t="n">
        <v>181.243</v>
      </c>
      <c r="BJ302" s="185" t="n">
        <v>188.695</v>
      </c>
      <c r="BK302" s="185" t="n">
        <v>187.06</v>
      </c>
      <c r="BL302" s="185" t="n">
        <v>187.06</v>
      </c>
      <c r="BM302" s="185" t="n">
        <v>206.577</v>
      </c>
      <c r="BN302" s="185" t="n">
        <v>214.858</v>
      </c>
      <c r="BO302" s="185" t="n">
        <v>246.061</v>
      </c>
      <c r="BP302" s="185" t="n">
        <v>250.853</v>
      </c>
      <c r="BQ302" s="185" t="n">
        <v>250.853</v>
      </c>
      <c r="BR302" s="185" t="n">
        <v>247.414</v>
      </c>
      <c r="BS302" s="185" t="n">
        <v>247.033</v>
      </c>
      <c r="BT302" s="185" t="n">
        <v>241.048</v>
      </c>
      <c r="BU302" s="185" t="n">
        <v>255.084</v>
      </c>
      <c r="BV302" s="185" t="n">
        <v>255.084</v>
      </c>
      <c r="BW302" s="185" t="n">
        <v>263.251</v>
      </c>
      <c r="BX302" s="185" t="n">
        <v>257.518</v>
      </c>
      <c r="BY302" s="168" t="n"/>
      <c r="BZ302" s="168" t="n"/>
      <c r="CA302" s="186">
        <f>BX302</f>
        <v>257.518</v>
      </c>
      <c r="CB302" s="186">
        <f>CA302</f>
        <v>257.518</v>
      </c>
      <c r="CC302" s="186">
        <f>CB302</f>
        <v>257.518</v>
      </c>
      <c r="CD302" s="186">
        <f>CC302</f>
        <v>257.518</v>
      </c>
      <c r="CE302" s="186">
        <f>CD302</f>
        <v>257.518</v>
      </c>
      <c r="CF302" s="20" t="n"/>
    </row>
    <row r="303" ht="15" customHeight="1">
      <c r="B303" s="26" t="inlineStr">
        <is>
          <t xml:space="preserve">  Other noncurrent assets (derived; deferred tax assets, LT investments, financing costs, other)</t>
        </is>
      </c>
      <c r="C303" s="185" t="n">
        <v>19.088</v>
      </c>
      <c r="D303" s="185" t="n">
        <v>30.468</v>
      </c>
      <c r="E303" s="185" t="n">
        <v>17.491</v>
      </c>
      <c r="F303" s="185" t="n">
        <v>20.601</v>
      </c>
      <c r="G303" s="185" t="n">
        <v>19.892</v>
      </c>
      <c r="H303" s="185" t="n">
        <v>27.952</v>
      </c>
      <c r="I303" s="185" t="n">
        <v>40.662</v>
      </c>
      <c r="J303" s="185" t="n">
        <v>40.674</v>
      </c>
      <c r="K303" s="185" t="n">
        <v>41.253</v>
      </c>
      <c r="L303" s="185" t="n">
        <v>41.723</v>
      </c>
      <c r="M303" s="185" t="n">
        <v>39.396</v>
      </c>
      <c r="N303" s="185" t="n">
        <v>39.396</v>
      </c>
      <c r="O303" s="185" t="n">
        <v>38.838</v>
      </c>
      <c r="P303" s="185" t="n">
        <v>38.222</v>
      </c>
      <c r="Q303" s="185" t="n">
        <v>36.128</v>
      </c>
      <c r="R303" s="185" t="n">
        <v>36.262</v>
      </c>
      <c r="S303" s="185" t="n">
        <v>36.262</v>
      </c>
      <c r="T303" s="185" t="n">
        <v>34.903</v>
      </c>
      <c r="U303" s="185" t="n">
        <v>33.587</v>
      </c>
      <c r="V303" s="185" t="n">
        <v>28.845</v>
      </c>
      <c r="W303" s="185" t="n">
        <v>17.842</v>
      </c>
      <c r="X303" s="185" t="n">
        <v>17.842</v>
      </c>
      <c r="Y303" s="185" t="n">
        <v>18.008</v>
      </c>
      <c r="Z303" s="185" t="n">
        <v>24.545</v>
      </c>
      <c r="AA303" s="185" t="n">
        <v>36.141</v>
      </c>
      <c r="AB303" s="185" t="n">
        <v>13.347</v>
      </c>
      <c r="AC303" s="185" t="n">
        <v>13.347</v>
      </c>
      <c r="AD303" s="185" t="n">
        <v>13.58</v>
      </c>
      <c r="AE303" s="185" t="n">
        <v>13.448</v>
      </c>
      <c r="AF303" s="185" t="n">
        <v>19.757</v>
      </c>
      <c r="AG303" s="185" t="n">
        <v>17.498</v>
      </c>
      <c r="AH303" s="185" t="n">
        <v>17.498</v>
      </c>
      <c r="AI303" s="185" t="n">
        <v>16.006</v>
      </c>
      <c r="AJ303" s="185" t="n">
        <v>16.426</v>
      </c>
      <c r="AK303" s="185" t="n">
        <v>17.622</v>
      </c>
      <c r="AL303" s="185" t="n">
        <v>18.121</v>
      </c>
      <c r="AM303" s="185" t="n">
        <v>18.121</v>
      </c>
      <c r="AN303" s="185" t="n">
        <v>17.901</v>
      </c>
      <c r="AO303" s="185" t="n">
        <v>12.817</v>
      </c>
      <c r="AP303" s="185" t="n">
        <v>12.539</v>
      </c>
      <c r="AQ303" s="185" t="n">
        <v>13.56</v>
      </c>
      <c r="AR303" s="185" t="n">
        <v>13.56</v>
      </c>
      <c r="AS303" s="185" t="n">
        <v>11.392</v>
      </c>
      <c r="AT303" s="185" t="n">
        <v>14.893</v>
      </c>
      <c r="AU303" s="185" t="n">
        <v>10.079</v>
      </c>
      <c r="AV303" s="185" t="n">
        <v>16.516</v>
      </c>
      <c r="AW303" s="185" t="n">
        <v>16.516</v>
      </c>
      <c r="AX303" s="185" t="n">
        <v>16.58</v>
      </c>
      <c r="AY303" s="185" t="n">
        <v>13.042</v>
      </c>
      <c r="AZ303" s="185" t="n">
        <v>14.825</v>
      </c>
      <c r="BA303" s="185" t="n">
        <v>15.602</v>
      </c>
      <c r="BB303" s="185" t="n">
        <v>15.602</v>
      </c>
      <c r="BC303" s="185" t="n">
        <v>25.812</v>
      </c>
      <c r="BD303" s="185" t="n">
        <v>48.449</v>
      </c>
      <c r="BE303" s="185" t="n">
        <v>78.032</v>
      </c>
      <c r="BF303" s="185" t="n">
        <v>81.803</v>
      </c>
      <c r="BG303" s="185" t="n">
        <v>81.803</v>
      </c>
      <c r="BH303" s="185" t="n">
        <v>62.365</v>
      </c>
      <c r="BI303" s="185" t="n">
        <v>74.315</v>
      </c>
      <c r="BJ303" s="185" t="n">
        <v>80.211</v>
      </c>
      <c r="BK303" s="185" t="n">
        <v>59.739</v>
      </c>
      <c r="BL303" s="185" t="n">
        <v>59.739</v>
      </c>
      <c r="BM303" s="185" t="n">
        <v>69.17</v>
      </c>
      <c r="BN303" s="185" t="n">
        <v>74.833</v>
      </c>
      <c r="BO303" s="185" t="n">
        <v>59.159</v>
      </c>
      <c r="BP303" s="185" t="n">
        <v>65.502</v>
      </c>
      <c r="BQ303" s="185" t="n">
        <v>65.502</v>
      </c>
      <c r="BR303" s="185" t="n">
        <v>58.407</v>
      </c>
      <c r="BS303" s="185" t="n">
        <v>53.429</v>
      </c>
      <c r="BT303" s="185" t="n">
        <v>50.594</v>
      </c>
      <c r="BU303" s="185" t="n">
        <v>48.585</v>
      </c>
      <c r="BV303" s="185" t="n">
        <v>48.585</v>
      </c>
      <c r="BW303" s="185" t="n">
        <v>49.884</v>
      </c>
      <c r="BX303" s="185" t="n">
        <v>48.574</v>
      </c>
      <c r="BY303" s="168" t="n"/>
      <c r="BZ303" s="168" t="n"/>
      <c r="CA303" s="186">
        <f>BX303</f>
        <v>48.574</v>
      </c>
      <c r="CB303" s="186">
        <f>CA303</f>
        <v>48.574</v>
      </c>
      <c r="CC303" s="186">
        <f>CB303</f>
        <v>48.574</v>
      </c>
      <c r="CD303" s="186">
        <f>CC303</f>
        <v>48.574</v>
      </c>
      <c r="CE303" s="186">
        <f>CD303</f>
        <v>48.574</v>
      </c>
      <c r="CF303" s="20" t="n"/>
    </row>
    <row r="304" ht="15" customHeight="1">
      <c r="B304" s="209" t="inlineStr">
        <is>
          <t>TOTAL ASSETS</t>
        </is>
      </c>
      <c r="C304" s="210">
        <f>IF(ISNUMBER(C292),C298+SUM(C299:C303),"")</f>
        <v>670.808</v>
      </c>
      <c r="D304" s="210">
        <f>IF(ISNUMBER(D292),D298+SUM(D299:D303),"")</f>
        <v>769.888</v>
      </c>
      <c r="E304" s="210">
        <f>IF(ISNUMBER(E292),E298+SUM(E299:E303),"")</f>
        <v>898.336</v>
      </c>
      <c r="F304" s="210">
        <f>IF(ISNUMBER(F292),F298+SUM(F299:F303),"")</f>
        <v>1401.068</v>
      </c>
      <c r="G304" s="210">
        <f>IF(ISNUMBER(G292),G298+SUM(G299:G303),"")</f>
        <v>1602.475</v>
      </c>
      <c r="H304" s="210">
        <f>IF(ISNUMBER(H292),H298+SUM(H299:H303),"")</f>
        <v>2085.803</v>
      </c>
      <c r="I304" s="210">
        <f>IF(ISNUMBER(I292),I298+SUM(I299:I303),"")</f>
        <v>3825.806</v>
      </c>
      <c r="J304" s="210">
        <f>IF(ISNUMBER(J292),J298+SUM(J299:J303),"")</f>
        <v>3803.378</v>
      </c>
      <c r="K304" s="210">
        <f>IF(ISNUMBER(K292),K298+SUM(K299:K303),"")</f>
        <v>3832.113</v>
      </c>
      <c r="L304" s="210">
        <f>IF(ISNUMBER(L292),L298+SUM(L299:L303),"")</f>
        <v>3956.852</v>
      </c>
      <c r="M304" s="210">
        <f>IF(ISNUMBER(M292),M298+SUM(M299:M303),"")</f>
        <v>3953.678</v>
      </c>
      <c r="N304" s="210">
        <f>IF(ISNUMBER(N292),N298+SUM(N299:N303),"")</f>
        <v>3953.678</v>
      </c>
      <c r="O304" s="210">
        <f>IF(ISNUMBER(O292),O298+SUM(O299:O303),"")</f>
        <v>3863.955</v>
      </c>
      <c r="P304" s="210">
        <f>IF(ISNUMBER(P292),P298+SUM(P299:P303),"")</f>
        <v>3932.443</v>
      </c>
      <c r="Q304" s="210">
        <f>IF(ISNUMBER(Q292),Q298+SUM(Q299:Q303),"")</f>
        <v>3761.217</v>
      </c>
      <c r="R304" s="210">
        <f>IF(ISNUMBER(R292),R298+SUM(R299:R303),"")</f>
        <v>3704.278</v>
      </c>
      <c r="S304" s="210">
        <f>IF(ISNUMBER(S292),S298+SUM(S299:S303),"")</f>
        <v>3704.278</v>
      </c>
      <c r="T304" s="210">
        <f>IF(ISNUMBER(T292),T298+SUM(T299:T303),"")</f>
        <v>3546.042</v>
      </c>
      <c r="U304" s="210">
        <f>IF(ISNUMBER(U292),U298+SUM(U299:U303),"")</f>
        <v>3746.637</v>
      </c>
      <c r="V304" s="210">
        <f>IF(ISNUMBER(V292),V298+SUM(V299:V303),"")</f>
        <v>3599.861</v>
      </c>
      <c r="W304" s="210">
        <f>IF(ISNUMBER(W292),W298+SUM(W299:W303),"")</f>
        <v>3431.428</v>
      </c>
      <c r="X304" s="210">
        <f>IF(ISNUMBER(X292),X298+SUM(X299:X303),"")</f>
        <v>3431.428</v>
      </c>
      <c r="Y304" s="210">
        <f>IF(ISNUMBER(Y292),Y298+SUM(Y299:Y303),"")</f>
        <v>3641.675</v>
      </c>
      <c r="Z304" s="210">
        <f>IF(ISNUMBER(Z292),Z298+SUM(Z299:Z303),"")</f>
        <v>3692.381</v>
      </c>
      <c r="AA304" s="210">
        <f>IF(ISNUMBER(AA292),AA298+SUM(AA299:AA303),"")</f>
        <v>3712.613</v>
      </c>
      <c r="AB304" s="210">
        <f>IF(ISNUMBER(AB292),AB298+SUM(AB299:AB303),"")</f>
        <v>3681.92</v>
      </c>
      <c r="AC304" s="210">
        <f>IF(ISNUMBER(AC292),AC298+SUM(AC299:AC303),"")</f>
        <v>3681.92</v>
      </c>
      <c r="AD304" s="210">
        <f>IF(ISNUMBER(AD292),AD298+SUM(AD299:AD303),"")</f>
        <v>3645.653</v>
      </c>
      <c r="AE304" s="210">
        <f>IF(ISNUMBER(AE292),AE298+SUM(AE299:AE303),"")</f>
        <v>3806.282</v>
      </c>
      <c r="AF304" s="210">
        <f>IF(ISNUMBER(AF292),AF298+SUM(AF299:AF303),"")</f>
        <v>3748.353</v>
      </c>
      <c r="AG304" s="210">
        <f>IF(ISNUMBER(AG292),AG298+SUM(AG299:AG303),"")</f>
        <v>3706.57</v>
      </c>
      <c r="AH304" s="210">
        <f>IF(ISNUMBER(AH292),AH298+SUM(AH299:AH303),"")</f>
        <v>3706.57</v>
      </c>
      <c r="AI304" s="210">
        <f>IF(ISNUMBER(AI292),AI298+SUM(AI299:AI303),"")</f>
        <v>3684.816</v>
      </c>
      <c r="AJ304" s="210">
        <f>IF(ISNUMBER(AJ292),AJ298+SUM(AJ299:AJ303),"")</f>
        <v>3715.461</v>
      </c>
      <c r="AK304" s="210">
        <f>IF(ISNUMBER(AK292),AK298+SUM(AK299:AK303),"")</f>
        <v>3774.329</v>
      </c>
      <c r="AL304" s="210">
        <f>IF(ISNUMBER(AL292),AL298+SUM(AL299:AL303),"")</f>
        <v>3738.321</v>
      </c>
      <c r="AM304" s="210">
        <f>IF(ISNUMBER(AM292),AM298+SUM(AM299:AM303),"")</f>
        <v>3738.321</v>
      </c>
      <c r="AN304" s="210">
        <f>IF(ISNUMBER(AN292),AN298+SUM(AN299:AN303),"")</f>
        <v>3882.054</v>
      </c>
      <c r="AO304" s="210">
        <f>IF(ISNUMBER(AO292),AO298+SUM(AO299:AO303),"")</f>
        <v>3955.321</v>
      </c>
      <c r="AP304" s="210">
        <f>IF(ISNUMBER(AP292),AP298+SUM(AP299:AP303),"")</f>
        <v>4021.862</v>
      </c>
      <c r="AQ304" s="210">
        <f>IF(ISNUMBER(AQ292),AQ298+SUM(AQ299:AQ303),"")</f>
        <v>4108.904</v>
      </c>
      <c r="AR304" s="210">
        <f>IF(ISNUMBER(AR292),AR298+SUM(AR299:AR303),"")</f>
        <v>4108.904</v>
      </c>
      <c r="AS304" s="210">
        <f>IF(ISNUMBER(AS292),AS298+SUM(AS299:AS303),"")</f>
        <v>4132.021</v>
      </c>
      <c r="AT304" s="210">
        <f>IF(ISNUMBER(AT292),AT298+SUM(AT299:AT303),"")</f>
        <v>4077.629</v>
      </c>
      <c r="AU304" s="210">
        <f>IF(ISNUMBER(AU292),AU298+SUM(AU299:AU303),"")</f>
        <v>4106.187</v>
      </c>
      <c r="AV304" s="210">
        <f>IF(ISNUMBER(AV292),AV298+SUM(AV299:AV303),"")</f>
        <v>4131.52</v>
      </c>
      <c r="AW304" s="210">
        <f>IF(ISNUMBER(AW292),AW298+SUM(AW299:AW303),"")</f>
        <v>4131.52</v>
      </c>
      <c r="AX304" s="210">
        <f>IF(ISNUMBER(AX292),AX298+SUM(AX299:AX303),"")</f>
        <v>4152.539</v>
      </c>
      <c r="AY304" s="210">
        <f>IF(ISNUMBER(AY292),AY298+SUM(AY299:AY303),"")</f>
        <v>4275.879</v>
      </c>
      <c r="AZ304" s="210">
        <f>IF(ISNUMBER(AZ292),AZ298+SUM(AZ299:AZ303),"")</f>
        <v>4354.299</v>
      </c>
      <c r="BA304" s="210">
        <f>IF(ISNUMBER(BA292),BA298+SUM(BA299:BA303),"")</f>
        <v>5653.699</v>
      </c>
      <c r="BB304" s="210">
        <f>IF(ISNUMBER(BB292),BB298+SUM(BB299:BB303),"")</f>
        <v>5653.699</v>
      </c>
      <c r="BC304" s="210">
        <f>IF(ISNUMBER(BC292),BC298+SUM(BC299:BC303),"")</f>
        <v>5726.257</v>
      </c>
      <c r="BD304" s="210">
        <f>IF(ISNUMBER(BD292),BD298+SUM(BD299:BD303),"")</f>
        <v>5924.656</v>
      </c>
      <c r="BE304" s="210">
        <f>IF(ISNUMBER(BE292),BE298+SUM(BE299:BE303),"")</f>
        <v>6072.627</v>
      </c>
      <c r="BF304" s="210">
        <f>IF(ISNUMBER(BF292),BF298+SUM(BF299:BF303),"")</f>
        <v>6129.707</v>
      </c>
      <c r="BG304" s="210">
        <f>IF(ISNUMBER(BG292),BG298+SUM(BG299:BG303),"")</f>
        <v>6129.707</v>
      </c>
      <c r="BH304" s="210">
        <f>IF(ISNUMBER(BH292),BH298+SUM(BH299:BH303),"")</f>
        <v>6084.008</v>
      </c>
      <c r="BI304" s="210">
        <f>IF(ISNUMBER(BI292),BI298+SUM(BI299:BI303),"")</f>
        <v>6101.337</v>
      </c>
      <c r="BJ304" s="210">
        <f>IF(ISNUMBER(BJ292),BJ298+SUM(BJ299:BJ303),"")</f>
        <v>6248.179</v>
      </c>
      <c r="BK304" s="210">
        <f>IF(ISNUMBER(BK292),BK298+SUM(BK299:BK303),"")</f>
        <v>6382.869</v>
      </c>
      <c r="BL304" s="210">
        <f>IF(ISNUMBER(BL292),BL298+SUM(BL299:BL303),"")</f>
        <v>6382.869</v>
      </c>
      <c r="BM304" s="210">
        <f>IF(ISNUMBER(BM292),BM298+SUM(BM299:BM303),"")</f>
        <v>6939.823</v>
      </c>
      <c r="BN304" s="210">
        <f>IF(ISNUMBER(BN292),BN298+SUM(BN299:BN303),"")</f>
        <v>7136.948</v>
      </c>
      <c r="BO304" s="210">
        <f>IF(ISNUMBER(BO292),BO298+SUM(BO299:BO303),"")</f>
        <v>7306.01</v>
      </c>
      <c r="BP304" s="210">
        <f>IF(ISNUMBER(BP292),BP298+SUM(BP299:BP303),"")</f>
        <v>7377.278</v>
      </c>
      <c r="BQ304" s="210">
        <f>IF(ISNUMBER(BQ292),BQ298+SUM(BQ299:BQ303),"")</f>
        <v>7377.278</v>
      </c>
      <c r="BR304" s="210">
        <f>IF(ISNUMBER(BR292),BR298+SUM(BR299:BR303),"")</f>
        <v>7246.387</v>
      </c>
      <c r="BS304" s="210">
        <f>IF(ISNUMBER(BS292),BS298+SUM(BS299:BS303),"")</f>
        <v>7439.929</v>
      </c>
      <c r="BT304" s="210">
        <f>IF(ISNUMBER(BT292),BT298+SUM(BT299:BT303),"")</f>
        <v>7540.299</v>
      </c>
      <c r="BU304" s="210">
        <f>IF(ISNUMBER(BU292),BU298+SUM(BU299:BU303),"")</f>
        <v>7624.056</v>
      </c>
      <c r="BV304" s="210">
        <f>IF(ISNUMBER(BV292),BV298+SUM(BV299:BV303),"")</f>
        <v>7624.056</v>
      </c>
      <c r="BW304" s="210">
        <f>IF(ISNUMBER(BW292),BW298+SUM(BW299:BW303),"")</f>
        <v>7552.566</v>
      </c>
      <c r="BX304" s="210">
        <f>IF(ISNUMBER(BX292),BX298+SUM(BX299:BX303),"")</f>
        <v>7837.033</v>
      </c>
      <c r="BY304" s="60" t="n"/>
      <c r="BZ304" s="60" t="n"/>
      <c r="CA304" s="210">
        <f>CA298+SUM(CA299:CA303)</f>
        <v>8750.94190605066</v>
      </c>
      <c r="CB304" s="210">
        <f>CB298+SUM(CB299:CB303)</f>
        <v>9106.8007218649</v>
      </c>
      <c r="CC304" s="210">
        <f>CC298+SUM(CC299:CC303)</f>
        <v>9235.20091631185</v>
      </c>
      <c r="CD304" s="210">
        <f>CD298+SUM(CD299:CD303)</f>
        <v>9644.71402464335</v>
      </c>
      <c r="CE304" s="210">
        <f>CE298+SUM(CE299:CE303)</f>
        <v>10056.254685669</v>
      </c>
      <c r="CF304" s="20" t="n"/>
      <c r="CH304" s="21">
        <f>IFERROR((CE304/BV304)^(1/5)-1,"n/m")</f>
        <v>0.0569392774564677</v>
      </c>
      <c r="CI304" s="21">
        <f>IFERROR((BV304/AW304)^(1/5)-1,"n/m")</f>
        <v>0.130355999268935</v>
      </c>
      <c r="CJ304" s="21">
        <f>IFERROR((BV304/X304)^(1/10)-1,"n/m")</f>
        <v>0.0831063915962715</v>
      </c>
      <c r="CK304" s="21">
        <f>IFERROR((BV304/C304)^(1/19)-1,"n/m")</f>
        <v>0.136468113409471</v>
      </c>
    </row>
    <row r="305" ht="15" customHeight="1">
      <c r="B305" s="26" t="inlineStr">
        <is>
          <t>LIABILITIES AND EQUITY</t>
        </is>
      </c>
      <c r="C305" s="217" t="n"/>
      <c r="D305" s="217" t="n"/>
      <c r="E305" s="217" t="n"/>
      <c r="F305" s="217" t="n"/>
      <c r="G305" s="217" t="n"/>
      <c r="H305" s="217" t="n"/>
      <c r="I305" s="217" t="n"/>
      <c r="J305" s="217" t="n"/>
      <c r="K305" s="217" t="n"/>
      <c r="L305" s="217" t="n"/>
      <c r="M305" s="217" t="n"/>
      <c r="N305" s="217" t="n"/>
      <c r="O305" s="217" t="n"/>
      <c r="P305" s="217" t="n"/>
      <c r="Q305" s="217" t="n"/>
      <c r="R305" s="217" t="n"/>
      <c r="S305" s="217" t="n"/>
      <c r="T305" s="217" t="n"/>
      <c r="U305" s="217" t="n"/>
      <c r="V305" s="217" t="n"/>
      <c r="W305" s="217" t="n"/>
      <c r="X305" s="217" t="n"/>
      <c r="Y305" s="217" t="n"/>
      <c r="Z305" s="217" t="n"/>
      <c r="AA305" s="217" t="n"/>
      <c r="AB305" s="217" t="n"/>
      <c r="AC305" s="217" t="n"/>
      <c r="AD305" s="217" t="n"/>
      <c r="AE305" s="217" t="n"/>
      <c r="AF305" s="217" t="n"/>
      <c r="AG305" s="217" t="n"/>
      <c r="AH305" s="217" t="n"/>
      <c r="AI305" s="217" t="n"/>
      <c r="AJ305" s="217" t="n"/>
      <c r="AK305" s="217" t="n"/>
      <c r="AL305" s="217" t="n"/>
      <c r="AM305" s="217" t="n"/>
      <c r="AN305" s="217" t="n"/>
      <c r="AO305" s="217" t="n"/>
      <c r="AP305" s="217" t="n"/>
      <c r="AQ305" s="217" t="n"/>
      <c r="AR305" s="217" t="n"/>
      <c r="AS305" s="217" t="n"/>
      <c r="AT305" s="217" t="n"/>
      <c r="AU305" s="217" t="n"/>
      <c r="AV305" s="217" t="n"/>
      <c r="AW305" s="217" t="n"/>
      <c r="AX305" s="217" t="n"/>
      <c r="AY305" s="217" t="n"/>
      <c r="AZ305" s="217" t="n"/>
      <c r="BA305" s="217" t="n"/>
      <c r="BB305" s="217" t="n"/>
      <c r="BC305" s="217" t="n"/>
      <c r="BD305" s="217" t="n"/>
      <c r="BE305" s="217" t="n"/>
      <c r="BF305" s="217" t="n"/>
      <c r="BG305" s="217" t="n"/>
      <c r="BH305" s="217" t="n"/>
      <c r="BI305" s="217" t="n"/>
      <c r="BJ305" s="217" t="n"/>
      <c r="BK305" s="217" t="n"/>
      <c r="BL305" s="217" t="n"/>
      <c r="BM305" s="217" t="n"/>
      <c r="BN305" s="217" t="n"/>
      <c r="BO305" s="217" t="n"/>
      <c r="BP305" s="217" t="n"/>
      <c r="BQ305" s="217" t="n"/>
      <c r="BR305" s="217" t="n"/>
      <c r="BS305" s="217" t="n"/>
      <c r="BT305" s="217" t="n"/>
      <c r="BU305" s="217" t="n"/>
      <c r="BV305" s="217" t="n"/>
      <c r="BW305" s="217" t="n"/>
      <c r="BX305" s="217" t="n"/>
      <c r="BY305" s="218" t="n"/>
      <c r="BZ305" s="218" t="n"/>
      <c r="CA305" s="218" t="n"/>
      <c r="CB305" s="218" t="n"/>
      <c r="CC305" s="218" t="n"/>
      <c r="CD305" s="218" t="n"/>
      <c r="CE305" s="218" t="n"/>
      <c r="CF305" s="20" t="n"/>
    </row>
    <row r="306" ht="15" customHeight="1">
      <c r="B306" s="26" t="inlineStr">
        <is>
          <t xml:space="preserve">  Current portion of long-term debt (incl. capital leases to 2015)</t>
        </is>
      </c>
      <c r="C306" s="185" t="n">
        <v>1.391</v>
      </c>
      <c r="D306" s="185" t="n">
        <v>1.251</v>
      </c>
      <c r="E306" s="185" t="n">
        <v>0.4</v>
      </c>
      <c r="F306" s="185" t="n">
        <v>1.923</v>
      </c>
      <c r="G306" s="185" t="n">
        <v>7.954</v>
      </c>
      <c r="H306" s="185" t="n">
        <v>8.31</v>
      </c>
      <c r="I306" s="185" t="n">
        <v>5.092</v>
      </c>
      <c r="J306" s="185" t="n">
        <v>4.32</v>
      </c>
      <c r="K306" s="185" t="n">
        <v>2.923</v>
      </c>
      <c r="L306" s="185" t="n">
        <v>1.973</v>
      </c>
      <c r="M306" s="185" t="n">
        <v>1.329</v>
      </c>
      <c r="N306" s="185" t="n">
        <v>1.329</v>
      </c>
      <c r="O306" s="185" t="n">
        <v>1.119</v>
      </c>
      <c r="P306" s="185" t="n">
        <v>0.709</v>
      </c>
      <c r="Q306" s="185" t="n">
        <v>0.264</v>
      </c>
      <c r="R306" s="185" t="n">
        <v>0.536</v>
      </c>
      <c r="S306" s="185" t="n">
        <v>0.536</v>
      </c>
      <c r="T306" s="185" t="n">
        <v>0.116</v>
      </c>
      <c r="U306" s="185" t="n">
        <v>0.045</v>
      </c>
      <c r="V306" s="185" t="n">
        <v>0.011</v>
      </c>
      <c r="W306" s="185" t="n">
        <v>0</v>
      </c>
      <c r="X306" s="185" t="n">
        <v>0</v>
      </c>
      <c r="Y306" s="184" t="n"/>
      <c r="Z306" s="184" t="n"/>
      <c r="AA306" s="184" t="n"/>
      <c r="AB306" s="184" t="n"/>
      <c r="AC306" s="184" t="n"/>
      <c r="AD306" s="184" t="n"/>
      <c r="AE306" s="185" t="n">
        <v>107.798</v>
      </c>
      <c r="AF306" s="185" t="n">
        <v>4</v>
      </c>
      <c r="AG306" s="185" t="n">
        <v>4</v>
      </c>
      <c r="AH306" s="185" t="n">
        <v>4</v>
      </c>
      <c r="AI306" s="185" t="n">
        <v>4</v>
      </c>
      <c r="AJ306" s="185" t="n">
        <v>4</v>
      </c>
      <c r="AK306" s="185" t="n">
        <v>7.535</v>
      </c>
      <c r="AL306" s="185" t="n">
        <v>7.535</v>
      </c>
      <c r="AM306" s="185" t="n">
        <v>7.535</v>
      </c>
      <c r="AN306" s="185" t="n">
        <v>7.535</v>
      </c>
      <c r="AO306" s="185" t="n">
        <v>7.535</v>
      </c>
      <c r="AP306" s="185" t="n">
        <v>7.535</v>
      </c>
      <c r="AQ306" s="185" t="n">
        <v>7.535</v>
      </c>
      <c r="AR306" s="185" t="n">
        <v>7.535</v>
      </c>
      <c r="AS306" s="185" t="n">
        <v>7.535</v>
      </c>
      <c r="AT306" s="185" t="n">
        <v>7.535</v>
      </c>
      <c r="AU306" s="185" t="n">
        <v>7.535</v>
      </c>
      <c r="AV306" s="185" t="n">
        <v>7.535</v>
      </c>
      <c r="AW306" s="185" t="n">
        <v>7.535</v>
      </c>
      <c r="AX306" s="185" t="n">
        <v>7.535</v>
      </c>
      <c r="AY306" s="185" t="n">
        <v>7.535</v>
      </c>
      <c r="AZ306" s="185" t="n">
        <v>7.535</v>
      </c>
      <c r="BA306" s="185" t="n">
        <v>17.535</v>
      </c>
      <c r="BB306" s="185" t="n">
        <v>17.535</v>
      </c>
      <c r="BC306" s="185" t="n">
        <v>17.535</v>
      </c>
      <c r="BD306" s="185" t="n">
        <v>17.535</v>
      </c>
      <c r="BE306" s="185" t="n">
        <v>17.535</v>
      </c>
      <c r="BF306" s="185" t="n">
        <v>10</v>
      </c>
      <c r="BG306" s="185" t="n">
        <v>10</v>
      </c>
      <c r="BH306" s="185" t="n">
        <v>10</v>
      </c>
      <c r="BI306" s="185" t="n">
        <v>10</v>
      </c>
      <c r="BJ306" s="185" t="n">
        <v>10</v>
      </c>
      <c r="BK306" s="185" t="n">
        <v>10</v>
      </c>
      <c r="BL306" s="185" t="n">
        <v>10</v>
      </c>
      <c r="BM306" s="185" t="n">
        <v>15.102</v>
      </c>
      <c r="BN306" s="185" t="n">
        <v>15.102</v>
      </c>
      <c r="BO306" s="185" t="n">
        <v>15.102</v>
      </c>
      <c r="BP306" s="185" t="n">
        <v>15.102</v>
      </c>
      <c r="BQ306" s="185" t="n">
        <v>15.102</v>
      </c>
      <c r="BR306" s="185" t="n">
        <v>15.102</v>
      </c>
      <c r="BS306" s="185" t="n">
        <v>15.102</v>
      </c>
      <c r="BT306" s="185" t="n">
        <v>15.102</v>
      </c>
      <c r="BU306" s="185" t="n">
        <v>12.6</v>
      </c>
      <c r="BV306" s="185" t="n">
        <v>12.6</v>
      </c>
      <c r="BW306" s="185" t="n">
        <v>12.6</v>
      </c>
      <c r="BX306" s="185" t="n">
        <v>12.6</v>
      </c>
      <c r="BY306" s="168" t="n"/>
      <c r="BZ306" s="168" t="n"/>
      <c r="CA306" s="186">
        <f>-CB374-CB371</f>
        <v>12.6</v>
      </c>
      <c r="CB306" s="186">
        <f>-CC374-CC371</f>
        <v>12.6</v>
      </c>
      <c r="CC306" s="186">
        <f>-CD374-CD371</f>
        <v>312.6</v>
      </c>
      <c r="CD306" s="186">
        <f>-CE374-CE371</f>
        <v>12.6</v>
      </c>
      <c r="CE306" s="186">
        <f>12.6</f>
        <v>12.6</v>
      </c>
      <c r="CF306" s="20" t="inlineStr">
        <is>
          <t>Forecast: next year's term-loan amortization + scheduled note maturities.</t>
        </is>
      </c>
    </row>
    <row r="307" ht="15" customHeight="1">
      <c r="B307" s="26" t="inlineStr">
        <is>
          <t xml:space="preserve">  Accounts payable</t>
        </is>
      </c>
      <c r="C307" s="185" t="n">
        <v>81.432</v>
      </c>
      <c r="D307" s="185" t="n">
        <v>81.309</v>
      </c>
      <c r="E307" s="185" t="n">
        <v>63.885</v>
      </c>
      <c r="F307" s="185" t="n">
        <v>97.923</v>
      </c>
      <c r="G307" s="185" t="n">
        <v>136.978</v>
      </c>
      <c r="H307" s="185" t="n">
        <v>178.084</v>
      </c>
      <c r="I307" s="185" t="n">
        <v>256.468</v>
      </c>
      <c r="J307" s="185" t="n">
        <v>263.564</v>
      </c>
      <c r="K307" s="185" t="n">
        <v>273.058</v>
      </c>
      <c r="L307" s="185" t="n">
        <v>321.097</v>
      </c>
      <c r="M307" s="185" t="n">
        <v>316.462</v>
      </c>
      <c r="N307" s="185" t="n">
        <v>316.462</v>
      </c>
      <c r="O307" s="185" t="n">
        <v>284.768</v>
      </c>
      <c r="P307" s="185" t="n">
        <v>262.553</v>
      </c>
      <c r="Q307" s="185" t="n">
        <v>251.832</v>
      </c>
      <c r="R307" s="185" t="n">
        <v>267.329</v>
      </c>
      <c r="S307" s="185" t="n">
        <v>267.329</v>
      </c>
      <c r="T307" s="185" t="n">
        <v>244.216</v>
      </c>
      <c r="U307" s="185" t="n">
        <v>365.088</v>
      </c>
      <c r="V307" s="185" t="n">
        <v>295.476</v>
      </c>
      <c r="W307" s="185" t="n">
        <v>241.183</v>
      </c>
      <c r="X307" s="185" t="n">
        <v>241.183</v>
      </c>
      <c r="Y307" s="185" t="n">
        <v>188.834</v>
      </c>
      <c r="Z307" s="185" t="n">
        <v>222.302</v>
      </c>
      <c r="AA307" s="185" t="n">
        <v>226.776</v>
      </c>
      <c r="AB307" s="185" t="n">
        <v>229.534</v>
      </c>
      <c r="AC307" s="185" t="n">
        <v>229.534</v>
      </c>
      <c r="AD307" s="185" t="n">
        <v>218.676</v>
      </c>
      <c r="AE307" s="185" t="n">
        <v>224.218</v>
      </c>
      <c r="AF307" s="185" t="n">
        <v>223.599</v>
      </c>
      <c r="AG307" s="185" t="n">
        <v>224.231</v>
      </c>
      <c r="AH307" s="185" t="n">
        <v>224.231</v>
      </c>
      <c r="AI307" s="185" t="n">
        <v>237.953</v>
      </c>
      <c r="AJ307" s="185" t="n">
        <v>247.821</v>
      </c>
      <c r="AK307" s="185" t="n">
        <v>248.405</v>
      </c>
      <c r="AL307" s="185" t="n">
        <v>276.461</v>
      </c>
      <c r="AM307" s="185" t="n">
        <v>276.461</v>
      </c>
      <c r="AN307" s="185" t="n">
        <v>242.26</v>
      </c>
      <c r="AO307" s="185" t="n">
        <v>253.177</v>
      </c>
      <c r="AP307" s="185" t="n">
        <v>277.545</v>
      </c>
      <c r="AQ307" s="185" t="n">
        <v>298.375</v>
      </c>
      <c r="AR307" s="185" t="n">
        <v>298.375</v>
      </c>
      <c r="AS307" s="185" t="n">
        <v>267.892</v>
      </c>
      <c r="AT307" s="185" t="n">
        <v>188.34</v>
      </c>
      <c r="AU307" s="185" t="n">
        <v>213.776</v>
      </c>
      <c r="AV307" s="185" t="n">
        <v>195.878</v>
      </c>
      <c r="AW307" s="185" t="n">
        <v>195.878</v>
      </c>
      <c r="AX307" s="185" t="n">
        <v>213.355</v>
      </c>
      <c r="AY307" s="185" t="n">
        <v>249.206</v>
      </c>
      <c r="AZ307" s="185" t="n">
        <v>286.565</v>
      </c>
      <c r="BA307" s="185" t="n">
        <v>359.866</v>
      </c>
      <c r="BB307" s="185" t="n">
        <v>359.866</v>
      </c>
      <c r="BC307" s="185" t="n">
        <v>394.152</v>
      </c>
      <c r="BD307" s="185" t="n">
        <v>409.218</v>
      </c>
      <c r="BE307" s="185" t="n">
        <v>416.913</v>
      </c>
      <c r="BF307" s="185" t="n">
        <v>446.629</v>
      </c>
      <c r="BG307" s="185" t="n">
        <v>446.629</v>
      </c>
      <c r="BH307" s="185" t="n">
        <v>427.48</v>
      </c>
      <c r="BI307" s="185" t="n">
        <v>374.438</v>
      </c>
      <c r="BJ307" s="185" t="n">
        <v>414.963</v>
      </c>
      <c r="BK307" s="185" t="n">
        <v>451.806</v>
      </c>
      <c r="BL307" s="185" t="n">
        <v>451.806</v>
      </c>
      <c r="BM307" s="185" t="n">
        <v>452.848</v>
      </c>
      <c r="BN307" s="185" t="n">
        <v>447.94</v>
      </c>
      <c r="BO307" s="185" t="n">
        <v>504.206</v>
      </c>
      <c r="BP307" s="185" t="n">
        <v>487.286</v>
      </c>
      <c r="BQ307" s="185" t="n">
        <v>487.286</v>
      </c>
      <c r="BR307" s="185" t="n">
        <v>443.654</v>
      </c>
      <c r="BS307" s="185" t="n">
        <v>432.771</v>
      </c>
      <c r="BT307" s="185" t="n">
        <v>444.119</v>
      </c>
      <c r="BU307" s="185" t="n">
        <v>506.592</v>
      </c>
      <c r="BV307" s="185" t="n">
        <v>506.592</v>
      </c>
      <c r="BW307" s="185" t="n">
        <v>464.173</v>
      </c>
      <c r="BX307" s="185" t="n">
        <v>518.186</v>
      </c>
      <c r="BY307" s="168" t="n"/>
      <c r="BZ307" s="168" t="n"/>
      <c r="CA307" s="186">
        <f>CA336*CA340/365</f>
        <v>562.089406691848</v>
      </c>
      <c r="CB307" s="186">
        <f>CB336*CB340/365</f>
        <v>597.979872686799</v>
      </c>
      <c r="CC307" s="186">
        <f>CC336*CC340/365</f>
        <v>642.157532925583</v>
      </c>
      <c r="CD307" s="186">
        <f>CD336*CD340/365</f>
        <v>688.460329397602</v>
      </c>
      <c r="CE307" s="186">
        <f>CE336*CE340/365</f>
        <v>737.52941922634</v>
      </c>
      <c r="CF307" s="20" t="n"/>
    </row>
    <row r="308" ht="15" customHeight="1">
      <c r="B308" s="26" t="inlineStr">
        <is>
          <t xml:space="preserve">  Deferred revenue</t>
        </is>
      </c>
      <c r="C308" s="185" t="n">
        <v>29.409</v>
      </c>
      <c r="D308" s="185" t="n">
        <v>29.73</v>
      </c>
      <c r="E308" s="185" t="n">
        <v>24.19</v>
      </c>
      <c r="F308" s="185" t="n">
        <v>21.156</v>
      </c>
      <c r="G308" s="185" t="n">
        <v>30.745</v>
      </c>
      <c r="H308" s="185" t="n">
        <v>32.297</v>
      </c>
      <c r="I308" s="185" t="n">
        <v>50.942</v>
      </c>
      <c r="J308" s="185" t="n">
        <v>62.162</v>
      </c>
      <c r="K308" s="185" t="n">
        <v>63.374</v>
      </c>
      <c r="L308" s="185" t="n">
        <v>61.912</v>
      </c>
      <c r="M308" s="185" t="n">
        <v>55.454</v>
      </c>
      <c r="N308" s="185" t="n">
        <v>55.454</v>
      </c>
      <c r="O308" s="185" t="n">
        <v>56.469</v>
      </c>
      <c r="P308" s="185" t="n">
        <v>61.593</v>
      </c>
      <c r="Q308" s="185" t="n">
        <v>63.909</v>
      </c>
      <c r="R308" s="185" t="n">
        <v>62.966</v>
      </c>
      <c r="S308" s="185" t="n">
        <v>62.966</v>
      </c>
      <c r="T308" s="185" t="n">
        <v>62.677</v>
      </c>
      <c r="U308" s="185" t="n">
        <v>64.642</v>
      </c>
      <c r="V308" s="185" t="n">
        <v>62.837</v>
      </c>
      <c r="W308" s="185" t="n">
        <v>61.882</v>
      </c>
      <c r="X308" s="185" t="n">
        <v>61.882</v>
      </c>
      <c r="Y308" s="185" t="n">
        <v>63.587</v>
      </c>
      <c r="Z308" s="185" t="n">
        <v>70.26300000000001</v>
      </c>
      <c r="AA308" s="185" t="n">
        <v>66.023</v>
      </c>
      <c r="AB308" s="185" t="n">
        <v>64.39700000000001</v>
      </c>
      <c r="AC308" s="185" t="n">
        <v>64.39700000000001</v>
      </c>
      <c r="AD308" s="185" t="n">
        <v>64.379</v>
      </c>
      <c r="AE308" s="185" t="n">
        <v>72.089</v>
      </c>
      <c r="AF308" s="185" t="n">
        <v>69.236</v>
      </c>
      <c r="AG308" s="185" t="n">
        <v>67.822</v>
      </c>
      <c r="AH308" s="185" t="n">
        <v>67.822</v>
      </c>
      <c r="AI308" s="185" t="n">
        <v>68.748</v>
      </c>
      <c r="AJ308" s="185" t="n">
        <v>68.705</v>
      </c>
      <c r="AK308" s="185" t="n">
        <v>65.172</v>
      </c>
      <c r="AL308" s="185" t="n">
        <v>61.843</v>
      </c>
      <c r="AM308" s="185" t="n">
        <v>61.843</v>
      </c>
      <c r="AN308" s="185" t="n">
        <v>67.557</v>
      </c>
      <c r="AO308" s="185" t="n">
        <v>75.17</v>
      </c>
      <c r="AP308" s="185" t="n">
        <v>73.157</v>
      </c>
      <c r="AQ308" s="185" t="n">
        <v>73.37</v>
      </c>
      <c r="AR308" s="185" t="n">
        <v>73.37</v>
      </c>
      <c r="AS308" s="185" t="n">
        <v>71.24299999999999</v>
      </c>
      <c r="AT308" s="185" t="n">
        <v>61.902</v>
      </c>
      <c r="AU308" s="185" t="n">
        <v>67.41200000000001</v>
      </c>
      <c r="AV308" s="185" t="n">
        <v>74.066</v>
      </c>
      <c r="AW308" s="185" t="n">
        <v>74.066</v>
      </c>
      <c r="AX308" s="185" t="n">
        <v>83.16500000000001</v>
      </c>
      <c r="AY308" s="185" t="n">
        <v>83.733</v>
      </c>
      <c r="AZ308" s="185" t="n">
        <v>86.589</v>
      </c>
      <c r="BA308" s="185" t="n">
        <v>83.749</v>
      </c>
      <c r="BB308" s="185" t="n">
        <v>83.749</v>
      </c>
      <c r="BC308" s="185" t="n">
        <v>90.116</v>
      </c>
      <c r="BD308" s="185" t="n">
        <v>94.53100000000001</v>
      </c>
      <c r="BE308" s="185" t="n">
        <v>93.425</v>
      </c>
      <c r="BF308" s="185" t="n">
        <v>94.09399999999999</v>
      </c>
      <c r="BG308" s="185" t="n">
        <v>94.09399999999999</v>
      </c>
      <c r="BH308" s="185" t="n">
        <v>101.336</v>
      </c>
      <c r="BI308" s="185" t="n">
        <v>105.327</v>
      </c>
      <c r="BJ308" s="185" t="n">
        <v>102.468</v>
      </c>
      <c r="BK308" s="185" t="n">
        <v>95.23</v>
      </c>
      <c r="BL308" s="185" t="n">
        <v>95.23</v>
      </c>
      <c r="BM308" s="185" t="n">
        <v>106.425</v>
      </c>
      <c r="BN308" s="185" t="n">
        <v>108.035</v>
      </c>
      <c r="BO308" s="185" t="n">
        <v>103.291</v>
      </c>
      <c r="BP308" s="185" t="n">
        <v>88.545</v>
      </c>
      <c r="BQ308" s="185" t="n">
        <v>88.545</v>
      </c>
      <c r="BR308" s="185" t="n">
        <v>96.17100000000001</v>
      </c>
      <c r="BS308" s="185" t="n">
        <v>87.792</v>
      </c>
      <c r="BT308" s="185" t="n">
        <v>91.96599999999999</v>
      </c>
      <c r="BU308" s="185" t="n">
        <v>81.529</v>
      </c>
      <c r="BV308" s="185" t="n">
        <v>81.529</v>
      </c>
      <c r="BW308" s="185" t="n">
        <v>82.858</v>
      </c>
      <c r="BX308" s="185" t="n">
        <v>84.038</v>
      </c>
      <c r="BY308" s="168" t="n"/>
      <c r="BZ308" s="168" t="n"/>
      <c r="CA308" s="186">
        <f>CA335*CA341</f>
        <v>92.630142945</v>
      </c>
      <c r="CB308" s="186">
        <f>CB335*CB341</f>
        <v>98.2449649566671</v>
      </c>
      <c r="CC308" s="186">
        <f>CC335*CC341</f>
        <v>106.332907037264</v>
      </c>
      <c r="CD308" s="186">
        <f>CD335*CD341</f>
        <v>114.524136972008</v>
      </c>
      <c r="CE308" s="186">
        <f>CE335*CE341</f>
        <v>122.983503663803</v>
      </c>
      <c r="CF308" s="20" t="n"/>
    </row>
    <row r="309" ht="15" customHeight="1">
      <c r="B309" s="26" t="inlineStr">
        <is>
          <t xml:space="preserve">  Accrued expenses &amp; other current liabilities (derived; incl. uncashed checks, income taxes, held for sale)</t>
        </is>
      </c>
      <c r="C309" s="185" t="n">
        <v>72.41500000000001</v>
      </c>
      <c r="D309" s="185" t="n">
        <v>79.705</v>
      </c>
      <c r="E309" s="185" t="n">
        <v>75.634</v>
      </c>
      <c r="F309" s="185" t="n">
        <v>93.90600000000001</v>
      </c>
      <c r="G309" s="185" t="n">
        <v>116.089</v>
      </c>
      <c r="H309" s="185" t="n">
        <v>147.992</v>
      </c>
      <c r="I309" s="185" t="n">
        <v>232.429</v>
      </c>
      <c r="J309" s="185" t="n">
        <v>212.424</v>
      </c>
      <c r="K309" s="185" t="n">
        <v>242.362</v>
      </c>
      <c r="L309" s="185" t="n">
        <v>256.813</v>
      </c>
      <c r="M309" s="185" t="n">
        <v>236.829</v>
      </c>
      <c r="N309" s="185" t="n">
        <v>236.829</v>
      </c>
      <c r="O309" s="185" t="n">
        <v>213.096</v>
      </c>
      <c r="P309" s="185" t="n">
        <v>245.368</v>
      </c>
      <c r="Q309" s="185" t="n">
        <v>260.123</v>
      </c>
      <c r="R309" s="185" t="n">
        <v>219.549</v>
      </c>
      <c r="S309" s="185" t="n">
        <v>219.549</v>
      </c>
      <c r="T309" s="185" t="n">
        <v>187.728</v>
      </c>
      <c r="U309" s="185" t="n">
        <v>241.098</v>
      </c>
      <c r="V309" s="185" t="n">
        <v>244.79</v>
      </c>
      <c r="W309" s="185" t="n">
        <v>193.66</v>
      </c>
      <c r="X309" s="185" t="n">
        <v>193.66</v>
      </c>
      <c r="Y309" s="185" t="n">
        <v>191.592</v>
      </c>
      <c r="Z309" s="185" t="n">
        <v>203.813</v>
      </c>
      <c r="AA309" s="185" t="n">
        <v>226.08</v>
      </c>
      <c r="AB309" s="185" t="n">
        <v>190.721</v>
      </c>
      <c r="AC309" s="185" t="n">
        <v>190.721</v>
      </c>
      <c r="AD309" s="185" t="n">
        <v>183.957</v>
      </c>
      <c r="AE309" s="185" t="n">
        <v>191.495</v>
      </c>
      <c r="AF309" s="185" t="n">
        <v>213.189</v>
      </c>
      <c r="AG309" s="185" t="n">
        <v>187.982</v>
      </c>
      <c r="AH309" s="185" t="n">
        <v>187.982</v>
      </c>
      <c r="AI309" s="185" t="n">
        <v>194.16</v>
      </c>
      <c r="AJ309" s="185" t="n">
        <v>200.135</v>
      </c>
      <c r="AK309" s="185" t="n">
        <v>229.932</v>
      </c>
      <c r="AL309" s="185" t="n">
        <v>233.405</v>
      </c>
      <c r="AM309" s="185" t="n">
        <v>233.405</v>
      </c>
      <c r="AN309" s="185" t="n">
        <v>208.386</v>
      </c>
      <c r="AO309" s="185" t="n">
        <v>224.497</v>
      </c>
      <c r="AP309" s="185" t="n">
        <v>253.455</v>
      </c>
      <c r="AQ309" s="185" t="n">
        <v>276.54</v>
      </c>
      <c r="AR309" s="185" t="n">
        <v>276.54</v>
      </c>
      <c r="AS309" s="185" t="n">
        <v>255.513</v>
      </c>
      <c r="AT309" s="185" t="n">
        <v>289.414</v>
      </c>
      <c r="AU309" s="185" t="n">
        <v>293.2</v>
      </c>
      <c r="AV309" s="185" t="n">
        <v>295.823</v>
      </c>
      <c r="AW309" s="185" t="n">
        <v>295.823</v>
      </c>
      <c r="AX309" s="185" t="n">
        <v>284.212</v>
      </c>
      <c r="AY309" s="185" t="n">
        <v>311.656</v>
      </c>
      <c r="AZ309" s="185" t="n">
        <v>299.427</v>
      </c>
      <c r="BA309" s="185" t="n">
        <v>391.414</v>
      </c>
      <c r="BB309" s="185" t="n">
        <v>391.414</v>
      </c>
      <c r="BC309" s="185" t="n">
        <v>338.835</v>
      </c>
      <c r="BD309" s="185" t="n">
        <v>387.047</v>
      </c>
      <c r="BE309" s="185" t="n">
        <v>405.257</v>
      </c>
      <c r="BF309" s="185" t="n">
        <v>396.716</v>
      </c>
      <c r="BG309" s="185" t="n">
        <v>396.716</v>
      </c>
      <c r="BH309" s="185" t="n">
        <v>313.916</v>
      </c>
      <c r="BI309" s="185" t="n">
        <v>348.857</v>
      </c>
      <c r="BJ309" s="185" t="n">
        <v>369.097</v>
      </c>
      <c r="BK309" s="185" t="n">
        <v>397.157</v>
      </c>
      <c r="BL309" s="185" t="n">
        <v>397.157</v>
      </c>
      <c r="BM309" s="185" t="n">
        <v>349.435</v>
      </c>
      <c r="BN309" s="185" t="n">
        <v>392.708</v>
      </c>
      <c r="BO309" s="185" t="n">
        <v>398.236</v>
      </c>
      <c r="BP309" s="185" t="n">
        <v>419.445</v>
      </c>
      <c r="BQ309" s="185" t="n">
        <v>419.445</v>
      </c>
      <c r="BR309" s="185" t="n">
        <v>325.759</v>
      </c>
      <c r="BS309" s="185" t="n">
        <v>376.585</v>
      </c>
      <c r="BT309" s="185" t="n">
        <v>415.17</v>
      </c>
      <c r="BU309" s="185" t="n">
        <v>441.788</v>
      </c>
      <c r="BV309" s="185" t="n">
        <v>441.788</v>
      </c>
      <c r="BW309" s="185" t="n">
        <v>384.13</v>
      </c>
      <c r="BX309" s="185" t="n">
        <v>442.435</v>
      </c>
      <c r="BY309" s="168" t="n"/>
      <c r="BZ309" s="168" t="n"/>
      <c r="CA309" s="186">
        <f>BX309+CA356</f>
        <v>470.380205479452</v>
      </c>
      <c r="CB309" s="186">
        <f>CA309</f>
        <v>470.380205479452</v>
      </c>
      <c r="CC309" s="186">
        <f>CB309</f>
        <v>470.380205479452</v>
      </c>
      <c r="CD309" s="186">
        <f>CC309</f>
        <v>470.380205479452</v>
      </c>
      <c r="CE309" s="186">
        <f>CD309</f>
        <v>470.380205479452</v>
      </c>
      <c r="CF309" s="20" t="n"/>
    </row>
    <row r="310" ht="15" customHeight="1">
      <c r="B310" s="26" t="inlineStr">
        <is>
          <t xml:space="preserve">  Current portion of closure, post-closure &amp; remedial liabilities</t>
        </is>
      </c>
      <c r="C310" s="185" t="n">
        <v>13.707</v>
      </c>
      <c r="D310" s="185" t="n">
        <v>18.858</v>
      </c>
      <c r="E310" s="185" t="n">
        <v>17.264</v>
      </c>
      <c r="F310" s="185" t="n">
        <v>18.412</v>
      </c>
      <c r="G310" s="185" t="n">
        <v>14.518</v>
      </c>
      <c r="H310" s="185" t="n">
        <v>15.059</v>
      </c>
      <c r="I310" s="185" t="n">
        <v>24.121</v>
      </c>
      <c r="J310" s="185" t="n">
        <v>21.575</v>
      </c>
      <c r="K310" s="185" t="n">
        <v>22.47</v>
      </c>
      <c r="L310" s="185" t="n">
        <v>27.737</v>
      </c>
      <c r="M310" s="185" t="n">
        <v>29.471</v>
      </c>
      <c r="N310" s="185" t="n">
        <v>29.471</v>
      </c>
      <c r="O310" s="185" t="n">
        <v>31.866</v>
      </c>
      <c r="P310" s="185" t="n">
        <v>36.043</v>
      </c>
      <c r="Q310" s="185" t="n">
        <v>32.742</v>
      </c>
      <c r="R310" s="185" t="n">
        <v>22.091</v>
      </c>
      <c r="S310" s="185" t="n">
        <v>22.091</v>
      </c>
      <c r="T310" s="185" t="n">
        <v>25.124</v>
      </c>
      <c r="U310" s="185" t="n">
        <v>26.321</v>
      </c>
      <c r="V310" s="185" t="n">
        <v>21.902</v>
      </c>
      <c r="W310" s="185" t="n">
        <v>20.395</v>
      </c>
      <c r="X310" s="185" t="n">
        <v>20.395</v>
      </c>
      <c r="Y310" s="185" t="n">
        <v>21.497</v>
      </c>
      <c r="Z310" s="185" t="n">
        <v>24.043</v>
      </c>
      <c r="AA310" s="185" t="n">
        <v>20.217</v>
      </c>
      <c r="AB310" s="185" t="n">
        <v>20.016</v>
      </c>
      <c r="AC310" s="185" t="n">
        <v>20.016</v>
      </c>
      <c r="AD310" s="185" t="n">
        <v>21.569</v>
      </c>
      <c r="AE310" s="185" t="n">
        <v>23.7</v>
      </c>
      <c r="AF310" s="185" t="n">
        <v>19.516</v>
      </c>
      <c r="AG310" s="185" t="n">
        <v>19.782</v>
      </c>
      <c r="AH310" s="185" t="n">
        <v>19.782</v>
      </c>
      <c r="AI310" s="185" t="n">
        <v>19.823</v>
      </c>
      <c r="AJ310" s="185" t="n">
        <v>23.007</v>
      </c>
      <c r="AK310" s="185" t="n">
        <v>25.256</v>
      </c>
      <c r="AL310" s="185" t="n">
        <v>23.034</v>
      </c>
      <c r="AM310" s="185" t="n">
        <v>23.034</v>
      </c>
      <c r="AN310" s="185" t="n">
        <v>27.914</v>
      </c>
      <c r="AO310" s="185" t="n">
        <v>30.747</v>
      </c>
      <c r="AP310" s="185" t="n">
        <v>26.986</v>
      </c>
      <c r="AQ310" s="185" t="n">
        <v>23.301</v>
      </c>
      <c r="AR310" s="185" t="n">
        <v>23.301</v>
      </c>
      <c r="AS310" s="185" t="n">
        <v>16.231</v>
      </c>
      <c r="AT310" s="185" t="n">
        <v>19.129</v>
      </c>
      <c r="AU310" s="185" t="n">
        <v>22.324</v>
      </c>
      <c r="AV310" s="185" t="n">
        <v>26.093</v>
      </c>
      <c r="AW310" s="185" t="n">
        <v>26.093</v>
      </c>
      <c r="AX310" s="185" t="n">
        <v>26.896</v>
      </c>
      <c r="AY310" s="185" t="n">
        <v>23.865</v>
      </c>
      <c r="AZ310" s="185" t="n">
        <v>23.288</v>
      </c>
      <c r="BA310" s="185" t="n">
        <v>25.136</v>
      </c>
      <c r="BB310" s="185" t="n">
        <v>25.136</v>
      </c>
      <c r="BC310" s="185" t="n">
        <v>26.393</v>
      </c>
      <c r="BD310" s="185" t="n">
        <v>34.551</v>
      </c>
      <c r="BE310" s="185" t="n">
        <v>36.904</v>
      </c>
      <c r="BF310" s="185" t="n">
        <v>23.123</v>
      </c>
      <c r="BG310" s="185" t="n">
        <v>23.123</v>
      </c>
      <c r="BH310" s="185" t="n">
        <v>22.78</v>
      </c>
      <c r="BI310" s="185" t="n">
        <v>21.802</v>
      </c>
      <c r="BJ310" s="185" t="n">
        <v>21.759</v>
      </c>
      <c r="BK310" s="185" t="n">
        <v>26.914</v>
      </c>
      <c r="BL310" s="185" t="n">
        <v>26.914</v>
      </c>
      <c r="BM310" s="185" t="n">
        <v>29.179</v>
      </c>
      <c r="BN310" s="185" t="n">
        <v>31.954</v>
      </c>
      <c r="BO310" s="185" t="n">
        <v>30.477</v>
      </c>
      <c r="BP310" s="185" t="n">
        <v>20.625</v>
      </c>
      <c r="BQ310" s="185" t="n">
        <v>20.625</v>
      </c>
      <c r="BR310" s="185" t="n">
        <v>23.792</v>
      </c>
      <c r="BS310" s="185" t="n">
        <v>26.524</v>
      </c>
      <c r="BT310" s="185" t="n">
        <v>28.814</v>
      </c>
      <c r="BU310" s="185" t="n">
        <v>19.112</v>
      </c>
      <c r="BV310" s="185" t="n">
        <v>19.112</v>
      </c>
      <c r="BW310" s="185" t="n">
        <v>21.129</v>
      </c>
      <c r="BX310" s="185" t="n">
        <v>22.774</v>
      </c>
      <c r="BY310" s="168" t="n"/>
      <c r="BZ310" s="168" t="n"/>
      <c r="CA310" s="186">
        <f>BX310</f>
        <v>22.774</v>
      </c>
      <c r="CB310" s="186">
        <f>CA310</f>
        <v>22.774</v>
      </c>
      <c r="CC310" s="186">
        <f>CB310</f>
        <v>22.774</v>
      </c>
      <c r="CD310" s="186">
        <f>CC310</f>
        <v>22.774</v>
      </c>
      <c r="CE310" s="186">
        <f>CD310</f>
        <v>22.774</v>
      </c>
      <c r="CF310" s="20" t="n"/>
    </row>
    <row r="311" ht="15" customHeight="1">
      <c r="B311" s="26" t="inlineStr">
        <is>
          <t xml:space="preserve">  Current portion of operating lease liabilities</t>
        </is>
      </c>
      <c r="C311" s="184" t="n"/>
      <c r="D311" s="184" t="n"/>
      <c r="E311" s="184" t="n"/>
      <c r="F311" s="184" t="n"/>
      <c r="G311" s="184" t="n"/>
      <c r="H311" s="184" t="n"/>
      <c r="I311" s="184" t="n"/>
      <c r="J311" s="184" t="n"/>
      <c r="K311" s="184" t="n"/>
      <c r="L311" s="184" t="n"/>
      <c r="M311" s="184" t="n"/>
      <c r="N311" s="184" t="n"/>
      <c r="O311" s="184" t="n"/>
      <c r="P311" s="184" t="n"/>
      <c r="Q311" s="184" t="n"/>
      <c r="R311" s="184" t="n"/>
      <c r="S311" s="184" t="n"/>
      <c r="T311" s="184" t="n"/>
      <c r="U311" s="184" t="n"/>
      <c r="V311" s="184" t="n"/>
      <c r="W311" s="184" t="n"/>
      <c r="X311" s="184" t="n"/>
      <c r="Y311" s="184" t="n"/>
      <c r="Z311" s="184" t="n"/>
      <c r="AA311" s="184" t="n"/>
      <c r="AB311" s="184" t="n"/>
      <c r="AC311" s="184" t="n"/>
      <c r="AD311" s="184" t="n"/>
      <c r="AE311" s="184" t="n"/>
      <c r="AF311" s="184" t="n"/>
      <c r="AG311" s="184" t="n"/>
      <c r="AH311" s="184" t="n"/>
      <c r="AI311" s="184" t="n"/>
      <c r="AJ311" s="184" t="n"/>
      <c r="AK311" s="184" t="n"/>
      <c r="AL311" s="184" t="n"/>
      <c r="AM311" s="184" t="n"/>
      <c r="AN311" s="185" t="n">
        <v>43.858</v>
      </c>
      <c r="AO311" s="185" t="n">
        <v>42.564</v>
      </c>
      <c r="AP311" s="185" t="n">
        <v>41.364</v>
      </c>
      <c r="AQ311" s="185" t="n">
        <v>40.979</v>
      </c>
      <c r="AR311" s="185" t="n">
        <v>40.979</v>
      </c>
      <c r="AS311" s="185" t="n">
        <v>39.998</v>
      </c>
      <c r="AT311" s="185" t="n">
        <v>38.62</v>
      </c>
      <c r="AU311" s="185" t="n">
        <v>36.814</v>
      </c>
      <c r="AV311" s="185" t="n">
        <v>36.75</v>
      </c>
      <c r="AW311" s="185" t="n">
        <v>36.75</v>
      </c>
      <c r="AX311" s="185" t="n">
        <v>35.39</v>
      </c>
      <c r="AY311" s="185" t="n">
        <v>35.074</v>
      </c>
      <c r="AZ311" s="185" t="n">
        <v>36.497</v>
      </c>
      <c r="BA311" s="185" t="n">
        <v>47.614</v>
      </c>
      <c r="BB311" s="185" t="n">
        <v>47.614</v>
      </c>
      <c r="BC311" s="185" t="n">
        <v>47.108</v>
      </c>
      <c r="BD311" s="185" t="n">
        <v>47.176</v>
      </c>
      <c r="BE311" s="185" t="n">
        <v>47.879</v>
      </c>
      <c r="BF311" s="185" t="n">
        <v>49.532</v>
      </c>
      <c r="BG311" s="185" t="n">
        <v>49.532</v>
      </c>
      <c r="BH311" s="185" t="n">
        <v>51.325</v>
      </c>
      <c r="BI311" s="185" t="n">
        <v>53.991</v>
      </c>
      <c r="BJ311" s="185" t="n">
        <v>57.1</v>
      </c>
      <c r="BK311" s="185" t="n">
        <v>56.43</v>
      </c>
      <c r="BL311" s="185" t="n">
        <v>56.43</v>
      </c>
      <c r="BM311" s="185" t="n">
        <v>64.53400000000001</v>
      </c>
      <c r="BN311" s="185" t="n">
        <v>65.901</v>
      </c>
      <c r="BO311" s="185" t="n">
        <v>70.539</v>
      </c>
      <c r="BP311" s="185" t="n">
        <v>71.663</v>
      </c>
      <c r="BQ311" s="185" t="n">
        <v>71.663</v>
      </c>
      <c r="BR311" s="185" t="n">
        <v>71.86499999999999</v>
      </c>
      <c r="BS311" s="185" t="n">
        <v>72.976</v>
      </c>
      <c r="BT311" s="185" t="n">
        <v>72.241</v>
      </c>
      <c r="BU311" s="185" t="n">
        <v>75.226</v>
      </c>
      <c r="BV311" s="185" t="n">
        <v>75.226</v>
      </c>
      <c r="BW311" s="185" t="n">
        <v>78.069</v>
      </c>
      <c r="BX311" s="185" t="n">
        <v>80.291</v>
      </c>
      <c r="BY311" s="168" t="n"/>
      <c r="BZ311" s="168" t="n"/>
      <c r="CA311" s="186">
        <f>BX311</f>
        <v>80.291</v>
      </c>
      <c r="CB311" s="186">
        <f>CA311</f>
        <v>80.291</v>
      </c>
      <c r="CC311" s="186">
        <f>CB311</f>
        <v>80.291</v>
      </c>
      <c r="CD311" s="186">
        <f>CC311</f>
        <v>80.291</v>
      </c>
      <c r="CE311" s="186">
        <f>CD311</f>
        <v>80.291</v>
      </c>
      <c r="CF311" s="20" t="n"/>
    </row>
    <row r="312" ht="15" customHeight="1">
      <c r="B312" s="17" t="inlineStr">
        <is>
          <t>Total current liabilities</t>
        </is>
      </c>
      <c r="C312" s="214">
        <f>IF(ISNUMBER(C307),SUM(C306:C311),"")</f>
        <v>198.354</v>
      </c>
      <c r="D312" s="214">
        <f>IF(ISNUMBER(D307),SUM(D306:D311),"")</f>
        <v>210.853</v>
      </c>
      <c r="E312" s="214">
        <f>IF(ISNUMBER(E307),SUM(E306:E311),"")</f>
        <v>181.373</v>
      </c>
      <c r="F312" s="214">
        <f>IF(ISNUMBER(F307),SUM(F306:F311),"")</f>
        <v>233.32</v>
      </c>
      <c r="G312" s="214">
        <f>IF(ISNUMBER(G307),SUM(G306:G311),"")</f>
        <v>306.284</v>
      </c>
      <c r="H312" s="214">
        <f>IF(ISNUMBER(H307),SUM(H306:H311),"")</f>
        <v>381.742</v>
      </c>
      <c r="I312" s="214">
        <f>IF(ISNUMBER(I307),SUM(I306:I311),"")</f>
        <v>569.052</v>
      </c>
      <c r="J312" s="214">
        <f>IF(ISNUMBER(J307),SUM(J306:J311),"")</f>
        <v>564.045</v>
      </c>
      <c r="K312" s="214">
        <f>IF(ISNUMBER(K307),SUM(K306:K311),"")</f>
        <v>604.187</v>
      </c>
      <c r="L312" s="214">
        <f>IF(ISNUMBER(L307),SUM(L306:L311),"")</f>
        <v>669.532</v>
      </c>
      <c r="M312" s="214">
        <f>IF(ISNUMBER(M307),SUM(M306:M311),"")</f>
        <v>639.545</v>
      </c>
      <c r="N312" s="214">
        <f>IF(ISNUMBER(N307),SUM(N306:N311),"")</f>
        <v>639.545</v>
      </c>
      <c r="O312" s="214">
        <f>IF(ISNUMBER(O307),SUM(O306:O311),"")</f>
        <v>587.318</v>
      </c>
      <c r="P312" s="214">
        <f>IF(ISNUMBER(P307),SUM(P306:P311),"")</f>
        <v>606.266</v>
      </c>
      <c r="Q312" s="214">
        <f>IF(ISNUMBER(Q307),SUM(Q306:Q311),"")</f>
        <v>608.87</v>
      </c>
      <c r="R312" s="214">
        <f>IF(ISNUMBER(R307),SUM(R306:R311),"")</f>
        <v>572.471</v>
      </c>
      <c r="S312" s="214">
        <f>IF(ISNUMBER(S307),SUM(S306:S311),"")</f>
        <v>572.471</v>
      </c>
      <c r="T312" s="214">
        <f>IF(ISNUMBER(T307),SUM(T306:T311),"")</f>
        <v>519.861</v>
      </c>
      <c r="U312" s="214">
        <f>IF(ISNUMBER(U307),SUM(U306:U311),"")</f>
        <v>697.194</v>
      </c>
      <c r="V312" s="214">
        <f>IF(ISNUMBER(V307),SUM(V306:V311),"")</f>
        <v>625.016</v>
      </c>
      <c r="W312" s="214">
        <f>IF(ISNUMBER(W307),SUM(W306:W311),"")</f>
        <v>517.12</v>
      </c>
      <c r="X312" s="214">
        <f>IF(ISNUMBER(X307),SUM(X306:X311),"")</f>
        <v>517.12</v>
      </c>
      <c r="Y312" s="214">
        <f>IF(ISNUMBER(Y307),SUM(Y306:Y311),"")</f>
        <v>465.51</v>
      </c>
      <c r="Z312" s="214">
        <f>IF(ISNUMBER(Z307),SUM(Z306:Z311),"")</f>
        <v>520.421</v>
      </c>
      <c r="AA312" s="214">
        <f>IF(ISNUMBER(AA307),SUM(AA306:AA311),"")</f>
        <v>539.096</v>
      </c>
      <c r="AB312" s="214">
        <f>IF(ISNUMBER(AB307),SUM(AB306:AB311),"")</f>
        <v>504.668</v>
      </c>
      <c r="AC312" s="214">
        <f>IF(ISNUMBER(AC307),SUM(AC306:AC311),"")</f>
        <v>504.668</v>
      </c>
      <c r="AD312" s="214">
        <f>IF(ISNUMBER(AD307),SUM(AD306:AD311),"")</f>
        <v>488.581</v>
      </c>
      <c r="AE312" s="214">
        <f>IF(ISNUMBER(AE307),SUM(AE306:AE311),"")</f>
        <v>619.3</v>
      </c>
      <c r="AF312" s="214">
        <f>IF(ISNUMBER(AF307),SUM(AF306:AF311),"")</f>
        <v>529.54</v>
      </c>
      <c r="AG312" s="214">
        <f>IF(ISNUMBER(AG307),SUM(AG306:AG311),"")</f>
        <v>503.817</v>
      </c>
      <c r="AH312" s="214">
        <f>IF(ISNUMBER(AH307),SUM(AH306:AH311),"")</f>
        <v>503.817</v>
      </c>
      <c r="AI312" s="214">
        <f>IF(ISNUMBER(AI307),SUM(AI306:AI311),"")</f>
        <v>524.684</v>
      </c>
      <c r="AJ312" s="214">
        <f>IF(ISNUMBER(AJ307),SUM(AJ306:AJ311),"")</f>
        <v>543.668</v>
      </c>
      <c r="AK312" s="214">
        <f>IF(ISNUMBER(AK307),SUM(AK306:AK311),"")</f>
        <v>576.3</v>
      </c>
      <c r="AL312" s="214">
        <f>IF(ISNUMBER(AL307),SUM(AL306:AL311),"")</f>
        <v>602.278</v>
      </c>
      <c r="AM312" s="214">
        <f>IF(ISNUMBER(AM307),SUM(AM306:AM311),"")</f>
        <v>602.278</v>
      </c>
      <c r="AN312" s="214">
        <f>IF(ISNUMBER(AN307),SUM(AN306:AN311),"")</f>
        <v>597.51</v>
      </c>
      <c r="AO312" s="214">
        <f>IF(ISNUMBER(AO307),SUM(AO306:AO311),"")</f>
        <v>633.69</v>
      </c>
      <c r="AP312" s="214">
        <f>IF(ISNUMBER(AP307),SUM(AP306:AP311),"")</f>
        <v>680.042</v>
      </c>
      <c r="AQ312" s="214">
        <f>IF(ISNUMBER(AQ307),SUM(AQ306:AQ311),"")</f>
        <v>720.1</v>
      </c>
      <c r="AR312" s="214">
        <f>IF(ISNUMBER(AR307),SUM(AR306:AR311),"")</f>
        <v>720.1</v>
      </c>
      <c r="AS312" s="214">
        <f>IF(ISNUMBER(AS307),SUM(AS306:AS311),"")</f>
        <v>658.412</v>
      </c>
      <c r="AT312" s="214">
        <f>IF(ISNUMBER(AT307),SUM(AT306:AT311),"")</f>
        <v>604.94</v>
      </c>
      <c r="AU312" s="214">
        <f>IF(ISNUMBER(AU307),SUM(AU306:AU311),"")</f>
        <v>641.061</v>
      </c>
      <c r="AV312" s="214">
        <f>IF(ISNUMBER(AV307),SUM(AV306:AV311),"")</f>
        <v>636.145</v>
      </c>
      <c r="AW312" s="214">
        <f>IF(ISNUMBER(AW307),SUM(AW306:AW311),"")</f>
        <v>636.145</v>
      </c>
      <c r="AX312" s="214">
        <f>IF(ISNUMBER(AX307),SUM(AX306:AX311),"")</f>
        <v>650.553</v>
      </c>
      <c r="AY312" s="214">
        <f>IF(ISNUMBER(AY307),SUM(AY306:AY311),"")</f>
        <v>711.069</v>
      </c>
      <c r="AZ312" s="214">
        <f>IF(ISNUMBER(AZ307),SUM(AZ306:AZ311),"")</f>
        <v>739.901</v>
      </c>
      <c r="BA312" s="214">
        <f>IF(ISNUMBER(BA307),SUM(BA306:BA311),"")</f>
        <v>925.314</v>
      </c>
      <c r="BB312" s="214">
        <f>IF(ISNUMBER(BB307),SUM(BB306:BB311),"")</f>
        <v>925.314</v>
      </c>
      <c r="BC312" s="214">
        <f>IF(ISNUMBER(BC307),SUM(BC306:BC311),"")</f>
        <v>914.139</v>
      </c>
      <c r="BD312" s="214">
        <f>IF(ISNUMBER(BD307),SUM(BD306:BD311),"")</f>
        <v>990.058</v>
      </c>
      <c r="BE312" s="214">
        <f>IF(ISNUMBER(BE307),SUM(BE306:BE311),"")</f>
        <v>1017.913</v>
      </c>
      <c r="BF312" s="214">
        <f>IF(ISNUMBER(BF307),SUM(BF306:BF311),"")</f>
        <v>1020.094</v>
      </c>
      <c r="BG312" s="214">
        <f>IF(ISNUMBER(BG307),SUM(BG306:BG311),"")</f>
        <v>1020.094</v>
      </c>
      <c r="BH312" s="214">
        <f>IF(ISNUMBER(BH307),SUM(BH306:BH311),"")</f>
        <v>926.837</v>
      </c>
      <c r="BI312" s="214">
        <f>IF(ISNUMBER(BI307),SUM(BI306:BI311),"")</f>
        <v>914.415</v>
      </c>
      <c r="BJ312" s="214">
        <f>IF(ISNUMBER(BJ307),SUM(BJ306:BJ311),"")</f>
        <v>975.387</v>
      </c>
      <c r="BK312" s="214">
        <f>IF(ISNUMBER(BK307),SUM(BK306:BK311),"")</f>
        <v>1037.537</v>
      </c>
      <c r="BL312" s="214">
        <f>IF(ISNUMBER(BL307),SUM(BL306:BL311),"")</f>
        <v>1037.537</v>
      </c>
      <c r="BM312" s="214">
        <f>IF(ISNUMBER(BM307),SUM(BM306:BM311),"")</f>
        <v>1017.523</v>
      </c>
      <c r="BN312" s="214">
        <f>IF(ISNUMBER(BN307),SUM(BN306:BN311),"")</f>
        <v>1061.64</v>
      </c>
      <c r="BO312" s="214">
        <f>IF(ISNUMBER(BO307),SUM(BO306:BO311),"")</f>
        <v>1121.851</v>
      </c>
      <c r="BP312" s="214">
        <f>IF(ISNUMBER(BP307),SUM(BP306:BP311),"")</f>
        <v>1102.666</v>
      </c>
      <c r="BQ312" s="214">
        <f>IF(ISNUMBER(BQ307),SUM(BQ306:BQ311),"")</f>
        <v>1102.666</v>
      </c>
      <c r="BR312" s="214">
        <f>IF(ISNUMBER(BR307),SUM(BR306:BR311),"")</f>
        <v>976.343</v>
      </c>
      <c r="BS312" s="214">
        <f>IF(ISNUMBER(BS307),SUM(BS306:BS311),"")</f>
        <v>1011.75</v>
      </c>
      <c r="BT312" s="214">
        <f>IF(ISNUMBER(BT307),SUM(BT306:BT311),"")</f>
        <v>1067.412</v>
      </c>
      <c r="BU312" s="214">
        <f>IF(ISNUMBER(BU307),SUM(BU306:BU311),"")</f>
        <v>1136.847</v>
      </c>
      <c r="BV312" s="214">
        <f>IF(ISNUMBER(BV307),SUM(BV306:BV311),"")</f>
        <v>1136.847</v>
      </c>
      <c r="BW312" s="214">
        <f>IF(ISNUMBER(BW307),SUM(BW306:BW311),"")</f>
        <v>1042.959</v>
      </c>
      <c r="BX312" s="214">
        <f>IF(ISNUMBER(BX307),SUM(BX306:BX311),"")</f>
        <v>1160.324</v>
      </c>
      <c r="BY312" s="34" t="n"/>
      <c r="BZ312" s="34" t="n"/>
      <c r="CA312" s="176">
        <f>SUM(CA306:CA311)</f>
        <v>1240.7647551163</v>
      </c>
      <c r="CB312" s="176">
        <f>SUM(CB306:CB311)</f>
        <v>1282.27004312292</v>
      </c>
      <c r="CC312" s="176">
        <f>SUM(CC306:CC311)</f>
        <v>1634.5356454423</v>
      </c>
      <c r="CD312" s="176">
        <f>SUM(CD306:CD311)</f>
        <v>1389.02967184906</v>
      </c>
      <c r="CE312" s="176">
        <f>SUM(CE306:CE311)</f>
        <v>1446.5581283696</v>
      </c>
      <c r="CF312" s="177" t="n"/>
    </row>
    <row r="313" ht="15" customHeight="1">
      <c r="B313" s="26" t="inlineStr">
        <is>
          <t xml:space="preserve">  Long-term debt, less current portion (incl. capital leases to 2014)</t>
        </is>
      </c>
      <c r="C313" s="185" t="n">
        <v>123.17</v>
      </c>
      <c r="D313" s="185" t="n">
        <v>122.232</v>
      </c>
      <c r="E313" s="185" t="n">
        <v>53.23</v>
      </c>
      <c r="F313" s="185" t="n">
        <v>299.348</v>
      </c>
      <c r="G313" s="185" t="n">
        <v>270.846</v>
      </c>
      <c r="H313" s="185" t="n">
        <v>530.578</v>
      </c>
      <c r="I313" s="185" t="n">
        <v>1402.879</v>
      </c>
      <c r="J313" s="185" t="n">
        <v>1402.154</v>
      </c>
      <c r="K313" s="185" t="n">
        <v>1402.14</v>
      </c>
      <c r="L313" s="185" t="n">
        <v>1401.669</v>
      </c>
      <c r="M313" s="185" t="n">
        <v>1401.435</v>
      </c>
      <c r="N313" s="185" t="n">
        <v>1401.435</v>
      </c>
      <c r="O313" s="185" t="n">
        <v>1400.913</v>
      </c>
      <c r="P313" s="185" t="n">
        <v>1395.827</v>
      </c>
      <c r="Q313" s="185" t="n">
        <v>1395.733</v>
      </c>
      <c r="R313" s="185" t="n">
        <v>1395</v>
      </c>
      <c r="S313" s="185" t="n">
        <v>1395</v>
      </c>
      <c r="T313" s="185" t="n">
        <v>1395</v>
      </c>
      <c r="U313" s="185" t="n">
        <v>1395</v>
      </c>
      <c r="V313" s="185" t="n">
        <v>1395</v>
      </c>
      <c r="W313" s="185" t="n">
        <v>1382.543</v>
      </c>
      <c r="X313" s="185" t="n">
        <v>1382.543</v>
      </c>
      <c r="Y313" s="185" t="n">
        <v>1631.603</v>
      </c>
      <c r="Z313" s="185" t="n">
        <v>1631.881</v>
      </c>
      <c r="AA313" s="185" t="n">
        <v>1632.577</v>
      </c>
      <c r="AB313" s="185" t="n">
        <v>1633.272</v>
      </c>
      <c r="AC313" s="185" t="n">
        <v>1633.272</v>
      </c>
      <c r="AD313" s="185" t="n">
        <v>1633.968</v>
      </c>
      <c r="AE313" s="185" t="n">
        <v>1626.505</v>
      </c>
      <c r="AF313" s="185" t="n">
        <v>1625.971</v>
      </c>
      <c r="AG313" s="185" t="n">
        <v>1625.537</v>
      </c>
      <c r="AH313" s="185" t="n">
        <v>1625.537</v>
      </c>
      <c r="AI313" s="185" t="n">
        <v>1625.259</v>
      </c>
      <c r="AJ313" s="185" t="n">
        <v>1624.727</v>
      </c>
      <c r="AK313" s="185" t="n">
        <v>1616.156</v>
      </c>
      <c r="AL313" s="185" t="n">
        <v>1565.021</v>
      </c>
      <c r="AM313" s="185" t="n">
        <v>1565.021</v>
      </c>
      <c r="AN313" s="185" t="n">
        <v>1564.005</v>
      </c>
      <c r="AO313" s="185" t="n">
        <v>1562.989</v>
      </c>
      <c r="AP313" s="185" t="n">
        <v>1555.257</v>
      </c>
      <c r="AQ313" s="185" t="n">
        <v>1554.116</v>
      </c>
      <c r="AR313" s="185" t="n">
        <v>1554.116</v>
      </c>
      <c r="AS313" s="185" t="n">
        <v>1702.992</v>
      </c>
      <c r="AT313" s="185" t="n">
        <v>1626.871</v>
      </c>
      <c r="AU313" s="185" t="n">
        <v>1550.756</v>
      </c>
      <c r="AV313" s="185" t="n">
        <v>1549.641</v>
      </c>
      <c r="AW313" s="185" t="n">
        <v>1549.641</v>
      </c>
      <c r="AX313" s="185" t="n">
        <v>1548.517</v>
      </c>
      <c r="AY313" s="185" t="n">
        <v>1547.398</v>
      </c>
      <c r="AZ313" s="185" t="n">
        <v>1546.284</v>
      </c>
      <c r="BA313" s="185" t="n">
        <v>2517.024</v>
      </c>
      <c r="BB313" s="185" t="n">
        <v>2517.024</v>
      </c>
      <c r="BC313" s="185" t="n">
        <v>2513.944</v>
      </c>
      <c r="BD313" s="185" t="n">
        <v>2510.963</v>
      </c>
      <c r="BE313" s="185" t="n">
        <v>2507.946</v>
      </c>
      <c r="BF313" s="185" t="n">
        <v>2414.828</v>
      </c>
      <c r="BG313" s="185" t="n">
        <v>2414.828</v>
      </c>
      <c r="BH313" s="185" t="n">
        <v>2409.654</v>
      </c>
      <c r="BI313" s="185" t="n">
        <v>2294.306</v>
      </c>
      <c r="BJ313" s="185" t="n">
        <v>2292.952</v>
      </c>
      <c r="BK313" s="185" t="n">
        <v>2291.717</v>
      </c>
      <c r="BL313" s="185" t="n">
        <v>2291.717</v>
      </c>
      <c r="BM313" s="185" t="n">
        <v>2778.624</v>
      </c>
      <c r="BN313" s="185" t="n">
        <v>2775.837</v>
      </c>
      <c r="BO313" s="185" t="n">
        <v>2773.659</v>
      </c>
      <c r="BP313" s="185" t="n">
        <v>2771.117</v>
      </c>
      <c r="BQ313" s="185" t="n">
        <v>2771.117</v>
      </c>
      <c r="BR313" s="185" t="n">
        <v>2768.815</v>
      </c>
      <c r="BS313" s="185" t="n">
        <v>2766.53</v>
      </c>
      <c r="BT313" s="185" t="n">
        <v>2764.231</v>
      </c>
      <c r="BU313" s="185" t="n">
        <v>2763.563</v>
      </c>
      <c r="BV313" s="185" t="n">
        <v>2763.563</v>
      </c>
      <c r="BW313" s="185" t="n">
        <v>2761.417</v>
      </c>
      <c r="BX313" s="185" t="n">
        <v>2759.327</v>
      </c>
      <c r="BY313" s="168" t="n"/>
      <c r="BZ313" s="168" t="n"/>
      <c r="CA313" s="186">
        <f>CA368-CA306</f>
        <v>3353.027</v>
      </c>
      <c r="CB313" s="186">
        <f>CB368-CB306</f>
        <v>3340.427</v>
      </c>
      <c r="CC313" s="186">
        <f>CC368-CC306</f>
        <v>3053.62754050848</v>
      </c>
      <c r="CD313" s="186">
        <f>CD368-CD306</f>
        <v>3630.26112564637</v>
      </c>
      <c r="CE313" s="186">
        <f>CE368-CE306</f>
        <v>3898.19878646695</v>
      </c>
      <c r="CF313" s="20" t="n"/>
    </row>
    <row r="314" ht="15" customHeight="1">
      <c r="B314" s="26" t="inlineStr">
        <is>
          <t xml:space="preserve">  Closure &amp; post-closure liabilities, less current portion</t>
        </is>
      </c>
      <c r="C314" s="185" t="n">
        <v>23.52</v>
      </c>
      <c r="D314" s="185" t="n">
        <v>24.202</v>
      </c>
      <c r="E314" s="185" t="n">
        <v>26.254</v>
      </c>
      <c r="F314" s="185" t="n">
        <v>28.505</v>
      </c>
      <c r="G314" s="185" t="n">
        <v>32.83</v>
      </c>
      <c r="H314" s="185" t="n">
        <v>30.996</v>
      </c>
      <c r="I314" s="185" t="n">
        <v>45.457</v>
      </c>
      <c r="J314" s="185" t="n">
        <v>41.67</v>
      </c>
      <c r="K314" s="185" t="n">
        <v>40.896</v>
      </c>
      <c r="L314" s="185" t="n">
        <v>39.982</v>
      </c>
      <c r="M314" s="185" t="n">
        <v>41.201</v>
      </c>
      <c r="N314" s="185" t="n">
        <v>41.201</v>
      </c>
      <c r="O314" s="185" t="n">
        <v>40.809</v>
      </c>
      <c r="P314" s="185" t="n">
        <v>43.63</v>
      </c>
      <c r="Q314" s="185" t="n">
        <v>46.287</v>
      </c>
      <c r="R314" s="185" t="n">
        <v>45.702</v>
      </c>
      <c r="S314" s="185" t="n">
        <v>45.702</v>
      </c>
      <c r="T314" s="185" t="n">
        <v>42.848</v>
      </c>
      <c r="U314" s="185" t="n">
        <v>44.153</v>
      </c>
      <c r="V314" s="185" t="n">
        <v>47.861</v>
      </c>
      <c r="W314" s="185" t="n">
        <v>49.02</v>
      </c>
      <c r="X314" s="185" t="n">
        <v>49.02</v>
      </c>
      <c r="Y314" s="185" t="n">
        <v>50.896</v>
      </c>
      <c r="Z314" s="185" t="n">
        <v>51.143</v>
      </c>
      <c r="AA314" s="185" t="n">
        <v>56.51</v>
      </c>
      <c r="AB314" s="185" t="n">
        <v>52.111</v>
      </c>
      <c r="AC314" s="185" t="n">
        <v>52.111</v>
      </c>
      <c r="AD314" s="185" t="n">
        <v>54.332</v>
      </c>
      <c r="AE314" s="185" t="n">
        <v>53.048</v>
      </c>
      <c r="AF314" s="185" t="n">
        <v>55.762</v>
      </c>
      <c r="AG314" s="185" t="n">
        <v>54.593</v>
      </c>
      <c r="AH314" s="185" t="n">
        <v>54.593</v>
      </c>
      <c r="AI314" s="185" t="n">
        <v>58.561</v>
      </c>
      <c r="AJ314" s="185" t="n">
        <v>58.99</v>
      </c>
      <c r="AK314" s="185" t="n">
        <v>57.805</v>
      </c>
      <c r="AL314" s="185" t="n">
        <v>60.339</v>
      </c>
      <c r="AM314" s="185" t="n">
        <v>60.339</v>
      </c>
      <c r="AN314" s="185" t="n">
        <v>62.084</v>
      </c>
      <c r="AO314" s="185" t="n">
        <v>62.339</v>
      </c>
      <c r="AP314" s="185" t="n">
        <v>64.26300000000001</v>
      </c>
      <c r="AQ314" s="185" t="n">
        <v>68.36799999999999</v>
      </c>
      <c r="AR314" s="185" t="n">
        <v>68.36799999999999</v>
      </c>
      <c r="AS314" s="185" t="n">
        <v>76.10599999999999</v>
      </c>
      <c r="AT314" s="185" t="n">
        <v>76.93300000000001</v>
      </c>
      <c r="AU314" s="185" t="n">
        <v>77.06999999999999</v>
      </c>
      <c r="AV314" s="185" t="n">
        <v>74.023</v>
      </c>
      <c r="AW314" s="185" t="n">
        <v>74.023</v>
      </c>
      <c r="AX314" s="185" t="n">
        <v>79.218</v>
      </c>
      <c r="AY314" s="185" t="n">
        <v>83.742</v>
      </c>
      <c r="AZ314" s="185" t="n">
        <v>82.809</v>
      </c>
      <c r="BA314" s="185" t="n">
        <v>87.08799999999999</v>
      </c>
      <c r="BB314" s="185" t="n">
        <v>87.08799999999999</v>
      </c>
      <c r="BC314" s="185" t="n">
        <v>92.89100000000001</v>
      </c>
      <c r="BD314" s="185" t="n">
        <v>90.61799999999999</v>
      </c>
      <c r="BE314" s="185" t="n">
        <v>89.399</v>
      </c>
      <c r="BF314" s="185" t="n">
        <v>105.596</v>
      </c>
      <c r="BG314" s="185" t="n">
        <v>105.596</v>
      </c>
      <c r="BH314" s="185" t="n">
        <v>109.372</v>
      </c>
      <c r="BI314" s="185" t="n">
        <v>108.522</v>
      </c>
      <c r="BJ314" s="185" t="n">
        <v>108.466</v>
      </c>
      <c r="BK314" s="185" t="n">
        <v>105.044</v>
      </c>
      <c r="BL314" s="185" t="n">
        <v>105.044</v>
      </c>
      <c r="BM314" s="185" t="n">
        <v>105.493</v>
      </c>
      <c r="BN314" s="185" t="n">
        <v>103.299</v>
      </c>
      <c r="BO314" s="185" t="n">
        <v>105.375</v>
      </c>
      <c r="BP314" s="185" t="n">
        <v>119.484</v>
      </c>
      <c r="BQ314" s="185" t="n">
        <v>119.484</v>
      </c>
      <c r="BR314" s="185" t="n">
        <v>121.221</v>
      </c>
      <c r="BS314" s="185" t="n">
        <v>122.795</v>
      </c>
      <c r="BT314" s="185" t="n">
        <v>122.546</v>
      </c>
      <c r="BU314" s="185" t="n">
        <v>125.038</v>
      </c>
      <c r="BV314" s="185" t="n">
        <v>125.038</v>
      </c>
      <c r="BW314" s="185" t="n">
        <v>123.334</v>
      </c>
      <c r="BX314" s="185" t="n">
        <v>124.554</v>
      </c>
      <c r="BY314" s="168" t="n"/>
      <c r="BZ314" s="168" t="n"/>
      <c r="CA314" s="186">
        <f>BX314+(CA244-(BW244+BX244))+(CA245-(BW245+BX245))</f>
        <v>124.01</v>
      </c>
      <c r="CB314" s="186">
        <f>CA314+CB244+CB245</f>
        <v>122.748031066691</v>
      </c>
      <c r="CC314" s="186">
        <f>CB314+CC244+CC245</f>
        <v>122.864007821188</v>
      </c>
      <c r="CD314" s="186">
        <f>CC314+CD244+CD245</f>
        <v>124.375527453456</v>
      </c>
      <c r="CE314" s="186">
        <f>CD314+CE244+CE245</f>
        <v>127.328272522104</v>
      </c>
      <c r="CF314" s="20" t="inlineStr">
        <is>
          <t>Environmental liabilities roll-forward (closure / post-closure and remedial combined here): + accretion − cash spend (incl. estimate changes).</t>
        </is>
      </c>
    </row>
    <row r="315" ht="15" customHeight="1">
      <c r="B315" s="26" t="inlineStr">
        <is>
          <t xml:space="preserve">  Remedial liabilities, less current portion</t>
        </is>
      </c>
      <c r="C315" s="185" t="n">
        <v>136.173</v>
      </c>
      <c r="D315" s="185" t="n">
        <v>141.428</v>
      </c>
      <c r="E315" s="185" t="n">
        <v>135.007</v>
      </c>
      <c r="F315" s="185" t="n">
        <v>134.379</v>
      </c>
      <c r="G315" s="185" t="n">
        <v>128.944</v>
      </c>
      <c r="H315" s="185" t="n">
        <v>124.146</v>
      </c>
      <c r="I315" s="185" t="n">
        <v>151.89</v>
      </c>
      <c r="J315" s="185" t="n">
        <v>156.676</v>
      </c>
      <c r="K315" s="185" t="n">
        <v>154.983</v>
      </c>
      <c r="L315" s="185" t="n">
        <v>151.866</v>
      </c>
      <c r="M315" s="185" t="n">
        <v>148.911</v>
      </c>
      <c r="N315" s="185" t="n">
        <v>148.911</v>
      </c>
      <c r="O315" s="185" t="n">
        <v>144.485</v>
      </c>
      <c r="P315" s="185" t="n">
        <v>138.036</v>
      </c>
      <c r="Q315" s="185" t="n">
        <v>133.972</v>
      </c>
      <c r="R315" s="185" t="n">
        <v>138.029</v>
      </c>
      <c r="S315" s="185" t="n">
        <v>138.029</v>
      </c>
      <c r="T315" s="185" t="n">
        <v>132.893</v>
      </c>
      <c r="U315" s="185" t="n">
        <v>130.149</v>
      </c>
      <c r="V315" s="185" t="n">
        <v>126.816</v>
      </c>
      <c r="W315" s="185" t="n">
        <v>118.826</v>
      </c>
      <c r="X315" s="185" t="n">
        <v>118.826</v>
      </c>
      <c r="Y315" s="185" t="n">
        <v>117.076</v>
      </c>
      <c r="Z315" s="185" t="n">
        <v>114.291</v>
      </c>
      <c r="AA315" s="185" t="n">
        <v>114.921</v>
      </c>
      <c r="AB315" s="185" t="n">
        <v>114.211</v>
      </c>
      <c r="AC315" s="185" t="n">
        <v>114.211</v>
      </c>
      <c r="AD315" s="185" t="n">
        <v>111.057</v>
      </c>
      <c r="AE315" s="185" t="n">
        <v>109.204</v>
      </c>
      <c r="AF315" s="185" t="n">
        <v>110.074</v>
      </c>
      <c r="AG315" s="185" t="n">
        <v>111.13</v>
      </c>
      <c r="AH315" s="185" t="n">
        <v>111.13</v>
      </c>
      <c r="AI315" s="185" t="n">
        <v>108.143</v>
      </c>
      <c r="AJ315" s="185" t="n">
        <v>104.782</v>
      </c>
      <c r="AK315" s="185" t="n">
        <v>105.032</v>
      </c>
      <c r="AL315" s="185" t="n">
        <v>107.575</v>
      </c>
      <c r="AM315" s="185" t="n">
        <v>107.575</v>
      </c>
      <c r="AN315" s="185" t="n">
        <v>103.384</v>
      </c>
      <c r="AO315" s="185" t="n">
        <v>101.019</v>
      </c>
      <c r="AP315" s="185" t="n">
        <v>100.179</v>
      </c>
      <c r="AQ315" s="185" t="n">
        <v>98.155</v>
      </c>
      <c r="AR315" s="185" t="n">
        <v>98.155</v>
      </c>
      <c r="AS315" s="185" t="n">
        <v>98.96599999999999</v>
      </c>
      <c r="AT315" s="185" t="n">
        <v>99.062</v>
      </c>
      <c r="AU315" s="185" t="n">
        <v>100.389</v>
      </c>
      <c r="AV315" s="185" t="n">
        <v>102.623</v>
      </c>
      <c r="AW315" s="185" t="n">
        <v>102.623</v>
      </c>
      <c r="AX315" s="185" t="n">
        <v>99.239</v>
      </c>
      <c r="AY315" s="185" t="n">
        <v>98.34099999999999</v>
      </c>
      <c r="AZ315" s="185" t="n">
        <v>97.747</v>
      </c>
      <c r="BA315" s="185" t="n">
        <v>98.752</v>
      </c>
      <c r="BB315" s="185" t="n">
        <v>98.752</v>
      </c>
      <c r="BC315" s="185" t="n">
        <v>106.144</v>
      </c>
      <c r="BD315" s="185" t="n">
        <v>101.484</v>
      </c>
      <c r="BE315" s="185" t="n">
        <v>97.73699999999999</v>
      </c>
      <c r="BF315" s="185" t="n">
        <v>106.372</v>
      </c>
      <c r="BG315" s="185" t="n">
        <v>106.372</v>
      </c>
      <c r="BH315" s="185" t="n">
        <v>103.8</v>
      </c>
      <c r="BI315" s="185" t="n">
        <v>102.56</v>
      </c>
      <c r="BJ315" s="185" t="n">
        <v>101.37</v>
      </c>
      <c r="BK315" s="185" t="n">
        <v>97.88500000000001</v>
      </c>
      <c r="BL315" s="185" t="n">
        <v>97.88500000000001</v>
      </c>
      <c r="BM315" s="185" t="n">
        <v>94.68600000000001</v>
      </c>
      <c r="BN315" s="185" t="n">
        <v>95.458</v>
      </c>
      <c r="BO315" s="185" t="n">
        <v>94.384</v>
      </c>
      <c r="BP315" s="185" t="n">
        <v>101.424</v>
      </c>
      <c r="BQ315" s="185" t="n">
        <v>101.424</v>
      </c>
      <c r="BR315" s="185" t="n">
        <v>89.03100000000001</v>
      </c>
      <c r="BS315" s="185" t="n">
        <v>86.88</v>
      </c>
      <c r="BT315" s="185" t="n">
        <v>85.29900000000001</v>
      </c>
      <c r="BU315" s="185" t="n">
        <v>86.547</v>
      </c>
      <c r="BV315" s="185" t="n">
        <v>86.547</v>
      </c>
      <c r="BW315" s="185" t="n">
        <v>85.009</v>
      </c>
      <c r="BX315" s="185" t="n">
        <v>83.512</v>
      </c>
      <c r="BY315" s="168" t="n"/>
      <c r="BZ315" s="168" t="n"/>
      <c r="CA315" s="186">
        <f>BX315</f>
        <v>83.512</v>
      </c>
      <c r="CB315" s="186">
        <f>CA315</f>
        <v>83.512</v>
      </c>
      <c r="CC315" s="186">
        <f>CB315</f>
        <v>83.512</v>
      </c>
      <c r="CD315" s="186">
        <f>CC315</f>
        <v>83.512</v>
      </c>
      <c r="CE315" s="186">
        <f>CD315</f>
        <v>83.512</v>
      </c>
      <c r="CF315" s="20" t="n"/>
    </row>
    <row r="316" ht="15" customHeight="1">
      <c r="B316" s="26" t="inlineStr">
        <is>
          <t xml:space="preserve">  Operating lease liabilities, less current portion</t>
        </is>
      </c>
      <c r="C316" s="184" t="n"/>
      <c r="D316" s="184" t="n"/>
      <c r="E316" s="184" t="n"/>
      <c r="F316" s="184" t="n"/>
      <c r="G316" s="184" t="n"/>
      <c r="H316" s="184" t="n"/>
      <c r="I316" s="184" t="n"/>
      <c r="J316" s="184" t="n"/>
      <c r="K316" s="184" t="n"/>
      <c r="L316" s="184" t="n"/>
      <c r="M316" s="184" t="n"/>
      <c r="N316" s="184" t="n"/>
      <c r="O316" s="184" t="n"/>
      <c r="P316" s="184" t="n"/>
      <c r="Q316" s="184" t="n"/>
      <c r="R316" s="184" t="n"/>
      <c r="S316" s="184" t="n"/>
      <c r="T316" s="184" t="n"/>
      <c r="U316" s="184" t="n"/>
      <c r="V316" s="184" t="n"/>
      <c r="W316" s="184" t="n"/>
      <c r="X316" s="184" t="n"/>
      <c r="Y316" s="184" t="n"/>
      <c r="Z316" s="184" t="n"/>
      <c r="AA316" s="184" t="n"/>
      <c r="AB316" s="184" t="n"/>
      <c r="AC316" s="184" t="n"/>
      <c r="AD316" s="184" t="n"/>
      <c r="AE316" s="184" t="n"/>
      <c r="AF316" s="184" t="n"/>
      <c r="AG316" s="184" t="n"/>
      <c r="AH316" s="184" t="n"/>
      <c r="AI316" s="184" t="n"/>
      <c r="AJ316" s="184" t="n"/>
      <c r="AK316" s="184" t="n"/>
      <c r="AL316" s="184" t="n"/>
      <c r="AM316" s="184" t="n"/>
      <c r="AN316" s="185" t="n">
        <v>128.689</v>
      </c>
      <c r="AO316" s="185" t="n">
        <v>130.704</v>
      </c>
      <c r="AP316" s="185" t="n">
        <v>122.668</v>
      </c>
      <c r="AQ316" s="185" t="n">
        <v>121.02</v>
      </c>
      <c r="AR316" s="185" t="n">
        <v>121.02</v>
      </c>
      <c r="AS316" s="185" t="n">
        <v>120.649</v>
      </c>
      <c r="AT316" s="185" t="n">
        <v>115.089</v>
      </c>
      <c r="AU316" s="185" t="n">
        <v>110.097</v>
      </c>
      <c r="AV316" s="185" t="n">
        <v>114.258</v>
      </c>
      <c r="AW316" s="185" t="n">
        <v>114.258</v>
      </c>
      <c r="AX316" s="185" t="n">
        <v>107.554</v>
      </c>
      <c r="AY316" s="185" t="n">
        <v>101.377</v>
      </c>
      <c r="AZ316" s="185" t="n">
        <v>102.093</v>
      </c>
      <c r="BA316" s="185" t="n">
        <v>117.991</v>
      </c>
      <c r="BB316" s="185" t="n">
        <v>117.991</v>
      </c>
      <c r="BC316" s="185" t="n">
        <v>113.059</v>
      </c>
      <c r="BD316" s="185" t="n">
        <v>112.854</v>
      </c>
      <c r="BE316" s="185" t="n">
        <v>116.607</v>
      </c>
      <c r="BF316" s="185" t="n">
        <v>119.259</v>
      </c>
      <c r="BG316" s="185" t="n">
        <v>119.259</v>
      </c>
      <c r="BH316" s="185" t="n">
        <v>118.074</v>
      </c>
      <c r="BI316" s="185" t="n">
        <v>129.058</v>
      </c>
      <c r="BJ316" s="185" t="n">
        <v>133.163</v>
      </c>
      <c r="BK316" s="185" t="n">
        <v>131.743</v>
      </c>
      <c r="BL316" s="185" t="n">
        <v>131.743</v>
      </c>
      <c r="BM316" s="185" t="n">
        <v>145.544</v>
      </c>
      <c r="BN316" s="185" t="n">
        <v>152.328</v>
      </c>
      <c r="BO316" s="185" t="n">
        <v>179.04</v>
      </c>
      <c r="BP316" s="185" t="n">
        <v>182.883</v>
      </c>
      <c r="BQ316" s="185" t="n">
        <v>182.883</v>
      </c>
      <c r="BR316" s="185" t="n">
        <v>179.454</v>
      </c>
      <c r="BS316" s="185" t="n">
        <v>178.343</v>
      </c>
      <c r="BT316" s="185" t="n">
        <v>173.137</v>
      </c>
      <c r="BU316" s="185" t="n">
        <v>184.308</v>
      </c>
      <c r="BV316" s="185" t="n">
        <v>184.308</v>
      </c>
      <c r="BW316" s="185" t="n">
        <v>189.797</v>
      </c>
      <c r="BX316" s="185" t="n">
        <v>182.077</v>
      </c>
      <c r="BY316" s="168" t="n"/>
      <c r="BZ316" s="168" t="n"/>
      <c r="CA316" s="186">
        <f>BX316</f>
        <v>182.077</v>
      </c>
      <c r="CB316" s="186">
        <f>CA316</f>
        <v>182.077</v>
      </c>
      <c r="CC316" s="186">
        <f>CB316</f>
        <v>182.077</v>
      </c>
      <c r="CD316" s="186">
        <f>CC316</f>
        <v>182.077</v>
      </c>
      <c r="CE316" s="186">
        <f>CD316</f>
        <v>182.077</v>
      </c>
      <c r="CF316" s="20" t="n"/>
    </row>
    <row r="317" ht="15" customHeight="1">
      <c r="B317" s="26" t="inlineStr">
        <is>
          <t xml:space="preserve">  Deferred tax liabilities (separate from 2020)</t>
        </is>
      </c>
      <c r="C317" s="184" t="n"/>
      <c r="D317" s="184" t="n"/>
      <c r="E317" s="184" t="n"/>
      <c r="F317" s="184" t="n"/>
      <c r="G317" s="184" t="n"/>
      <c r="H317" s="184" t="n"/>
      <c r="I317" s="184" t="n"/>
      <c r="J317" s="184" t="n"/>
      <c r="K317" s="184" t="n"/>
      <c r="L317" s="184" t="n"/>
      <c r="M317" s="184" t="n"/>
      <c r="N317" s="184" t="n"/>
      <c r="O317" s="184" t="n"/>
      <c r="P317" s="184" t="n"/>
      <c r="Q317" s="184" t="n"/>
      <c r="R317" s="184" t="n"/>
      <c r="S317" s="184" t="n"/>
      <c r="T317" s="184" t="n"/>
      <c r="U317" s="184" t="n"/>
      <c r="V317" s="184" t="n"/>
      <c r="W317" s="184" t="n"/>
      <c r="X317" s="184" t="n"/>
      <c r="Y317" s="184" t="n"/>
      <c r="Z317" s="184" t="n"/>
      <c r="AA317" s="184" t="n"/>
      <c r="AB317" s="184" t="n"/>
      <c r="AC317" s="184" t="n"/>
      <c r="AD317" s="184" t="n"/>
      <c r="AE317" s="184" t="n"/>
      <c r="AF317" s="184" t="n"/>
      <c r="AG317" s="184" t="n"/>
      <c r="AH317" s="184" t="n"/>
      <c r="AI317" s="184" t="n"/>
      <c r="AJ317" s="184" t="n"/>
      <c r="AK317" s="184" t="n"/>
      <c r="AL317" s="184" t="n"/>
      <c r="AM317" s="184" t="n"/>
      <c r="AN317" s="184" t="n"/>
      <c r="AO317" s="184" t="n"/>
      <c r="AP317" s="184" t="n"/>
      <c r="AQ317" s="184" t="n"/>
      <c r="AR317" s="184" t="n"/>
      <c r="AS317" s="184" t="n"/>
      <c r="AT317" s="184" t="n"/>
      <c r="AU317" s="184" t="n"/>
      <c r="AV317" s="185" t="n">
        <v>230.097</v>
      </c>
      <c r="AW317" s="185" t="n">
        <v>230.097</v>
      </c>
      <c r="AX317" s="185" t="n">
        <v>230.236</v>
      </c>
      <c r="AY317" s="185" t="n">
        <v>228.718</v>
      </c>
      <c r="AZ317" s="185" t="n">
        <v>231.663</v>
      </c>
      <c r="BA317" s="185" t="n">
        <v>314.853</v>
      </c>
      <c r="BB317" s="185" t="n">
        <v>314.853</v>
      </c>
      <c r="BC317" s="185" t="n">
        <v>312.668</v>
      </c>
      <c r="BD317" s="185" t="n">
        <v>322.108</v>
      </c>
      <c r="BE317" s="185" t="n">
        <v>326.842</v>
      </c>
      <c r="BF317" s="185" t="n">
        <v>350.389</v>
      </c>
      <c r="BG317" s="185" t="n">
        <v>350.389</v>
      </c>
      <c r="BH317" s="185" t="n">
        <v>344.333</v>
      </c>
      <c r="BI317" s="185" t="n">
        <v>346.328</v>
      </c>
      <c r="BJ317" s="185" t="n">
        <v>347.628</v>
      </c>
      <c r="BK317" s="185" t="n">
        <v>353.107</v>
      </c>
      <c r="BL317" s="185" t="n">
        <v>353.107</v>
      </c>
      <c r="BM317" s="185" t="n">
        <v>361.223</v>
      </c>
      <c r="BN317" s="185" t="n">
        <v>360.861</v>
      </c>
      <c r="BO317" s="185" t="n">
        <v>356.15</v>
      </c>
      <c r="BP317" s="185" t="n">
        <v>363.623</v>
      </c>
      <c r="BQ317" s="185" t="n">
        <v>363.623</v>
      </c>
      <c r="BR317" s="185" t="n">
        <v>360.404</v>
      </c>
      <c r="BS317" s="185" t="n">
        <v>359.661</v>
      </c>
      <c r="BT317" s="185" t="n">
        <v>358.597</v>
      </c>
      <c r="BU317" s="185" t="n">
        <v>384.207</v>
      </c>
      <c r="BV317" s="185" t="n">
        <v>384.207</v>
      </c>
      <c r="BW317" s="185" t="n">
        <v>384.297</v>
      </c>
      <c r="BX317" s="185" t="n">
        <v>384.008</v>
      </c>
      <c r="BY317" s="168" t="n"/>
      <c r="BZ317" s="168" t="n"/>
      <c r="CA317" s="186">
        <f>BX317+(CA247-(BW247+BX247))</f>
        <v>384.008</v>
      </c>
      <c r="CB317" s="186">
        <f>CA317+CB247</f>
        <v>384.008</v>
      </c>
      <c r="CC317" s="186">
        <f>CB317+CC247</f>
        <v>384.008</v>
      </c>
      <c r="CD317" s="186">
        <f>CC317+CD247</f>
        <v>384.008</v>
      </c>
      <c r="CE317" s="186">
        <f>CD317+CE247</f>
        <v>384.008</v>
      </c>
      <c r="CF317" s="20" t="n"/>
    </row>
    <row r="318" ht="15" customHeight="1">
      <c r="B318" s="26" t="inlineStr">
        <is>
          <t xml:space="preserve">  Other long-term liabilities (derived; unrecognized tax benefits, deferred taxes to 2019, finance leases, other)</t>
        </is>
      </c>
      <c r="C318" s="185" t="n">
        <v>16.405</v>
      </c>
      <c r="D318" s="185" t="n">
        <v>68.276</v>
      </c>
      <c r="E318" s="185" t="n">
        <v>73.42700000000001</v>
      </c>
      <c r="F318" s="185" t="n">
        <v>91.691</v>
      </c>
      <c r="G318" s="185" t="n">
        <v>82.744</v>
      </c>
      <c r="H318" s="185" t="n">
        <v>117.354</v>
      </c>
      <c r="I318" s="185" t="n">
        <v>224.456</v>
      </c>
      <c r="J318" s="185" t="n">
        <v>215.365</v>
      </c>
      <c r="K318" s="185" t="n">
        <v>215.187</v>
      </c>
      <c r="L318" s="185" t="n">
        <v>217.683</v>
      </c>
      <c r="M318" s="185" t="n">
        <v>246.947</v>
      </c>
      <c r="N318" s="185" t="n">
        <v>246.947</v>
      </c>
      <c r="O318" s="185" t="n">
        <v>244.795</v>
      </c>
      <c r="P318" s="185" t="n">
        <v>249.968</v>
      </c>
      <c r="Q318" s="185" t="n">
        <v>255.804</v>
      </c>
      <c r="R318" s="185" t="n">
        <v>290.205</v>
      </c>
      <c r="S318" s="185" t="n">
        <v>290.205</v>
      </c>
      <c r="T318" s="185" t="n">
        <v>292.591</v>
      </c>
      <c r="U318" s="185" t="n">
        <v>306.705</v>
      </c>
      <c r="V318" s="185" t="n">
        <v>282.447</v>
      </c>
      <c r="W318" s="185" t="n">
        <v>267.637</v>
      </c>
      <c r="X318" s="185" t="n">
        <v>267.637</v>
      </c>
      <c r="Y318" s="185" t="n">
        <v>260.017</v>
      </c>
      <c r="Z318" s="185" t="n">
        <v>258.302</v>
      </c>
      <c r="AA318" s="185" t="n">
        <v>268.564</v>
      </c>
      <c r="AB318" s="185" t="n">
        <v>293.417</v>
      </c>
      <c r="AC318" s="185" t="n">
        <v>293.417</v>
      </c>
      <c r="AD318" s="185" t="n">
        <v>294.085</v>
      </c>
      <c r="AE318" s="185" t="n">
        <v>297.288</v>
      </c>
      <c r="AF318" s="185" t="n">
        <v>298.659</v>
      </c>
      <c r="AG318" s="185" t="n">
        <v>223.291</v>
      </c>
      <c r="AH318" s="185" t="n">
        <v>223.291</v>
      </c>
      <c r="AI318" s="185" t="n">
        <v>222.643</v>
      </c>
      <c r="AJ318" s="185" t="n">
        <v>222.246</v>
      </c>
      <c r="AK318" s="185" t="n">
        <v>221.712</v>
      </c>
      <c r="AL318" s="185" t="n">
        <v>233.352</v>
      </c>
      <c r="AM318" s="185" t="n">
        <v>233.352</v>
      </c>
      <c r="AN318" s="185" t="n">
        <v>254.417</v>
      </c>
      <c r="AO318" s="185" t="n">
        <v>255.113</v>
      </c>
      <c r="AP318" s="185" t="n">
        <v>263.658</v>
      </c>
      <c r="AQ318" s="185" t="n">
        <v>277.332</v>
      </c>
      <c r="AR318" s="185" t="n">
        <v>277.332</v>
      </c>
      <c r="AS318" s="185" t="n">
        <v>269.091</v>
      </c>
      <c r="AT318" s="185" t="n">
        <v>300.763</v>
      </c>
      <c r="AU318" s="185" t="n">
        <v>322.099</v>
      </c>
      <c r="AV318" s="185" t="n">
        <v>83.182</v>
      </c>
      <c r="AW318" s="185" t="n">
        <v>83.182</v>
      </c>
      <c r="AX318" s="185" t="n">
        <v>88.77200000000001</v>
      </c>
      <c r="AY318" s="185" t="n">
        <v>95.64700000000001</v>
      </c>
      <c r="AZ318" s="185" t="n">
        <v>90.242</v>
      </c>
      <c r="BA318" s="185" t="n">
        <v>78.79000000000001</v>
      </c>
      <c r="BB318" s="185" t="n">
        <v>78.79000000000001</v>
      </c>
      <c r="BC318" s="185" t="n">
        <v>80.175</v>
      </c>
      <c r="BD318" s="185" t="n">
        <v>79.621</v>
      </c>
      <c r="BE318" s="185" t="n">
        <v>78.602</v>
      </c>
      <c r="BF318" s="185" t="n">
        <v>90.84699999999999</v>
      </c>
      <c r="BG318" s="185" t="n">
        <v>90.84699999999999</v>
      </c>
      <c r="BH318" s="185" t="n">
        <v>91.89400000000001</v>
      </c>
      <c r="BI318" s="185" t="n">
        <v>96.262</v>
      </c>
      <c r="BJ318" s="185" t="n">
        <v>103.419</v>
      </c>
      <c r="BK318" s="185" t="n">
        <v>118.33</v>
      </c>
      <c r="BL318" s="185" t="n">
        <v>118.33</v>
      </c>
      <c r="BM318" s="185" t="n">
        <v>125.393</v>
      </c>
      <c r="BN318" s="185" t="n">
        <v>145.804</v>
      </c>
      <c r="BO318" s="185" t="n">
        <v>147.241</v>
      </c>
      <c r="BP318" s="185" t="n">
        <v>162.552</v>
      </c>
      <c r="BQ318" s="185" t="n">
        <v>162.552</v>
      </c>
      <c r="BR318" s="185" t="n">
        <v>179.895</v>
      </c>
      <c r="BS318" s="185" t="n">
        <v>199.903</v>
      </c>
      <c r="BT318" s="185" t="n">
        <v>193.237</v>
      </c>
      <c r="BU318" s="185" t="n">
        <v>197.886</v>
      </c>
      <c r="BV318" s="185" t="n">
        <v>197.886</v>
      </c>
      <c r="BW318" s="185" t="n">
        <v>190.25</v>
      </c>
      <c r="BX318" s="185" t="n">
        <v>214.809</v>
      </c>
      <c r="BY318" s="168" t="n"/>
      <c r="BZ318" s="168" t="n"/>
      <c r="CA318" s="186">
        <f>BX318</f>
        <v>214.809</v>
      </c>
      <c r="CB318" s="186">
        <f>CA318</f>
        <v>214.809</v>
      </c>
      <c r="CC318" s="186">
        <f>CB318</f>
        <v>214.809</v>
      </c>
      <c r="CD318" s="186">
        <f>CC318</f>
        <v>214.809</v>
      </c>
      <c r="CE318" s="186">
        <f>CD318</f>
        <v>214.809</v>
      </c>
      <c r="CF318" s="20" t="n"/>
    </row>
    <row r="319" ht="15" customHeight="1">
      <c r="B319" s="17" t="inlineStr">
        <is>
          <t>Total liabilities</t>
        </is>
      </c>
      <c r="C319" s="214">
        <f>IF(ISNUMBER(C307),C312+SUM(C313:C318),"")</f>
        <v>497.622</v>
      </c>
      <c r="D319" s="214">
        <f>IF(ISNUMBER(D307),D312+SUM(D313:D318),"")</f>
        <v>566.991</v>
      </c>
      <c r="E319" s="214">
        <f>IF(ISNUMBER(E307),E312+SUM(E313:E318),"")</f>
        <v>469.291</v>
      </c>
      <c r="F319" s="214">
        <f>IF(ISNUMBER(F307),F312+SUM(F313:F318),"")</f>
        <v>787.243</v>
      </c>
      <c r="G319" s="214">
        <f>IF(ISNUMBER(G307),G312+SUM(G313:G318),"")</f>
        <v>821.648</v>
      </c>
      <c r="H319" s="214">
        <f>IF(ISNUMBER(H307),H312+SUM(H313:H318),"")</f>
        <v>1184.816</v>
      </c>
      <c r="I319" s="214">
        <f>IF(ISNUMBER(I307),I312+SUM(I313:I318),"")</f>
        <v>2393.734</v>
      </c>
      <c r="J319" s="214">
        <f>IF(ISNUMBER(J307),J312+SUM(J313:J318),"")</f>
        <v>2379.91</v>
      </c>
      <c r="K319" s="214">
        <f>IF(ISNUMBER(K307),K312+SUM(K313:K318),"")</f>
        <v>2417.393</v>
      </c>
      <c r="L319" s="214">
        <f>IF(ISNUMBER(L307),L312+SUM(L313:L318),"")</f>
        <v>2480.732</v>
      </c>
      <c r="M319" s="214">
        <f>IF(ISNUMBER(M307),M312+SUM(M313:M318),"")</f>
        <v>2478.039</v>
      </c>
      <c r="N319" s="214">
        <f>IF(ISNUMBER(N307),N312+SUM(N313:N318),"")</f>
        <v>2478.039</v>
      </c>
      <c r="O319" s="214">
        <f>IF(ISNUMBER(O307),O312+SUM(O313:O318),"")</f>
        <v>2418.32</v>
      </c>
      <c r="P319" s="214">
        <f>IF(ISNUMBER(P307),P312+SUM(P313:P318),"")</f>
        <v>2433.727</v>
      </c>
      <c r="Q319" s="214">
        <f>IF(ISNUMBER(Q307),Q312+SUM(Q313:Q318),"")</f>
        <v>2440.666</v>
      </c>
      <c r="R319" s="214">
        <f>IF(ISNUMBER(R307),R312+SUM(R313:R318),"")</f>
        <v>2441.407</v>
      </c>
      <c r="S319" s="214">
        <f>IF(ISNUMBER(S307),S312+SUM(S313:S318),"")</f>
        <v>2441.407</v>
      </c>
      <c r="T319" s="214">
        <f>IF(ISNUMBER(T307),T312+SUM(T313:T318),"")</f>
        <v>2383.193</v>
      </c>
      <c r="U319" s="214">
        <f>IF(ISNUMBER(U307),U312+SUM(U313:U318),"")</f>
        <v>2573.201</v>
      </c>
      <c r="V319" s="214">
        <f>IF(ISNUMBER(V307),V312+SUM(V313:V318),"")</f>
        <v>2477.14</v>
      </c>
      <c r="W319" s="214">
        <f>IF(ISNUMBER(W307),W312+SUM(W313:W318),"")</f>
        <v>2335.146</v>
      </c>
      <c r="X319" s="214">
        <f>IF(ISNUMBER(X307),X312+SUM(X313:X318),"")</f>
        <v>2335.146</v>
      </c>
      <c r="Y319" s="214">
        <f>IF(ISNUMBER(Y307),Y312+SUM(Y313:Y318),"")</f>
        <v>2525.102</v>
      </c>
      <c r="Z319" s="214">
        <f>IF(ISNUMBER(Z307),Z312+SUM(Z313:Z318),"")</f>
        <v>2576.038</v>
      </c>
      <c r="AA319" s="214">
        <f>IF(ISNUMBER(AA307),AA312+SUM(AA313:AA318),"")</f>
        <v>2611.668</v>
      </c>
      <c r="AB319" s="214">
        <f>IF(ISNUMBER(AB307),AB312+SUM(AB313:AB318),"")</f>
        <v>2597.679</v>
      </c>
      <c r="AC319" s="214">
        <f>IF(ISNUMBER(AC307),AC312+SUM(AC313:AC318),"")</f>
        <v>2597.679</v>
      </c>
      <c r="AD319" s="214">
        <f>IF(ISNUMBER(AD307),AD312+SUM(AD313:AD318),"")</f>
        <v>2582.023</v>
      </c>
      <c r="AE319" s="214">
        <f>IF(ISNUMBER(AE307),AE312+SUM(AE313:AE318),"")</f>
        <v>2705.345</v>
      </c>
      <c r="AF319" s="214">
        <f>IF(ISNUMBER(AF307),AF312+SUM(AF313:AF318),"")</f>
        <v>2620.006</v>
      </c>
      <c r="AG319" s="214">
        <f>IF(ISNUMBER(AG307),AG312+SUM(AG313:AG318),"")</f>
        <v>2518.368</v>
      </c>
      <c r="AH319" s="214">
        <f>IF(ISNUMBER(AH307),AH312+SUM(AH313:AH318),"")</f>
        <v>2518.368</v>
      </c>
      <c r="AI319" s="214">
        <f>IF(ISNUMBER(AI307),AI312+SUM(AI313:AI318),"")</f>
        <v>2539.29</v>
      </c>
      <c r="AJ319" s="214">
        <f>IF(ISNUMBER(AJ307),AJ312+SUM(AJ313:AJ318),"")</f>
        <v>2554.413</v>
      </c>
      <c r="AK319" s="214">
        <f>IF(ISNUMBER(AK307),AK312+SUM(AK313:AK318),"")</f>
        <v>2577.005</v>
      </c>
      <c r="AL319" s="214">
        <f>IF(ISNUMBER(AL307),AL312+SUM(AL313:AL318),"")</f>
        <v>2568.565</v>
      </c>
      <c r="AM319" s="214">
        <f>IF(ISNUMBER(AM307),AM312+SUM(AM313:AM318),"")</f>
        <v>2568.565</v>
      </c>
      <c r="AN319" s="214">
        <f>IF(ISNUMBER(AN307),AN312+SUM(AN313:AN318),"")</f>
        <v>2710.089</v>
      </c>
      <c r="AO319" s="214">
        <f>IF(ISNUMBER(AO307),AO312+SUM(AO313:AO318),"")</f>
        <v>2745.854</v>
      </c>
      <c r="AP319" s="214">
        <f>IF(ISNUMBER(AP307),AP312+SUM(AP313:AP318),"")</f>
        <v>2786.067</v>
      </c>
      <c r="AQ319" s="214">
        <f>IF(ISNUMBER(AQ307),AQ312+SUM(AQ313:AQ318),"")</f>
        <v>2839.091</v>
      </c>
      <c r="AR319" s="214">
        <f>IF(ISNUMBER(AR307),AR312+SUM(AR313:AR318),"")</f>
        <v>2839.091</v>
      </c>
      <c r="AS319" s="214">
        <f>IF(ISNUMBER(AS307),AS312+SUM(AS313:AS318),"")</f>
        <v>2926.216</v>
      </c>
      <c r="AT319" s="214">
        <f>IF(ISNUMBER(AT307),AT312+SUM(AT313:AT318),"")</f>
        <v>2823.658</v>
      </c>
      <c r="AU319" s="214">
        <f>IF(ISNUMBER(AU307),AU312+SUM(AU313:AU318),"")</f>
        <v>2801.472</v>
      </c>
      <c r="AV319" s="214">
        <f>IF(ISNUMBER(AV307),AV312+SUM(AV313:AV318),"")</f>
        <v>2789.969</v>
      </c>
      <c r="AW319" s="214">
        <f>IF(ISNUMBER(AW307),AW312+SUM(AW313:AW318),"")</f>
        <v>2789.969</v>
      </c>
      <c r="AX319" s="214">
        <f>IF(ISNUMBER(AX307),AX312+SUM(AX313:AX318),"")</f>
        <v>2804.089</v>
      </c>
      <c r="AY319" s="214">
        <f>IF(ISNUMBER(AY307),AY312+SUM(AY313:AY318),"")</f>
        <v>2866.292</v>
      </c>
      <c r="AZ319" s="214">
        <f>IF(ISNUMBER(AZ307),AZ312+SUM(AZ313:AZ318),"")</f>
        <v>2890.739</v>
      </c>
      <c r="BA319" s="214">
        <f>IF(ISNUMBER(BA307),BA312+SUM(BA313:BA318),"")</f>
        <v>4139.812</v>
      </c>
      <c r="BB319" s="214">
        <f>IF(ISNUMBER(BB307),BB312+SUM(BB313:BB318),"")</f>
        <v>4139.812</v>
      </c>
      <c r="BC319" s="214">
        <f>IF(ISNUMBER(BC307),BC312+SUM(BC313:BC318),"")</f>
        <v>4133.02</v>
      </c>
      <c r="BD319" s="214">
        <f>IF(ISNUMBER(BD307),BD312+SUM(BD313:BD318),"")</f>
        <v>4207.706</v>
      </c>
      <c r="BE319" s="214">
        <f>IF(ISNUMBER(BE307),BE312+SUM(BE313:BE318),"")</f>
        <v>4235.046</v>
      </c>
      <c r="BF319" s="214">
        <f>IF(ISNUMBER(BF307),BF312+SUM(BF313:BF318),"")</f>
        <v>4207.385</v>
      </c>
      <c r="BG319" s="214">
        <f>IF(ISNUMBER(BG307),BG312+SUM(BG313:BG318),"")</f>
        <v>4207.385</v>
      </c>
      <c r="BH319" s="214">
        <f>IF(ISNUMBER(BH307),BH312+SUM(BH313:BH318),"")</f>
        <v>4103.964</v>
      </c>
      <c r="BI319" s="214">
        <f>IF(ISNUMBER(BI307),BI312+SUM(BI313:BI318),"")</f>
        <v>3991.451</v>
      </c>
      <c r="BJ319" s="214">
        <f>IF(ISNUMBER(BJ307),BJ312+SUM(BJ313:BJ318),"")</f>
        <v>4062.385</v>
      </c>
      <c r="BK319" s="214">
        <f>IF(ISNUMBER(BK307),BK312+SUM(BK313:BK318),"")</f>
        <v>4135.363</v>
      </c>
      <c r="BL319" s="214">
        <f>IF(ISNUMBER(BL307),BL312+SUM(BL313:BL318),"")</f>
        <v>4135.363</v>
      </c>
      <c r="BM319" s="214">
        <f>IF(ISNUMBER(BM307),BM312+SUM(BM313:BM318),"")</f>
        <v>4628.486</v>
      </c>
      <c r="BN319" s="214">
        <f>IF(ISNUMBER(BN307),BN312+SUM(BN313:BN318),"")</f>
        <v>4695.227</v>
      </c>
      <c r="BO319" s="214">
        <f>IF(ISNUMBER(BO307),BO312+SUM(BO313:BO318),"")</f>
        <v>4777.7</v>
      </c>
      <c r="BP319" s="214">
        <f>IF(ISNUMBER(BP307),BP312+SUM(BP313:BP318),"")</f>
        <v>4803.749</v>
      </c>
      <c r="BQ319" s="214">
        <f>IF(ISNUMBER(BQ307),BQ312+SUM(BQ313:BQ318),"")</f>
        <v>4803.749</v>
      </c>
      <c r="BR319" s="214">
        <f>IF(ISNUMBER(BR307),BR312+SUM(BR313:BR318),"")</f>
        <v>4675.163</v>
      </c>
      <c r="BS319" s="214">
        <f>IF(ISNUMBER(BS307),BS312+SUM(BS313:BS318),"")</f>
        <v>4725.862</v>
      </c>
      <c r="BT319" s="214">
        <f>IF(ISNUMBER(BT307),BT312+SUM(BT313:BT318),"")</f>
        <v>4764.459</v>
      </c>
      <c r="BU319" s="214">
        <f>IF(ISNUMBER(BU307),BU312+SUM(BU313:BU318),"")</f>
        <v>4878.396</v>
      </c>
      <c r="BV319" s="214">
        <f>IF(ISNUMBER(BV307),BV312+SUM(BV313:BV318),"")</f>
        <v>4878.396</v>
      </c>
      <c r="BW319" s="214">
        <f>IF(ISNUMBER(BW307),BW312+SUM(BW313:BW318),"")</f>
        <v>4777.063</v>
      </c>
      <c r="BX319" s="214">
        <f>IF(ISNUMBER(BX307),BX312+SUM(BX313:BX318),"")</f>
        <v>4908.611</v>
      </c>
      <c r="BY319" s="34" t="n"/>
      <c r="BZ319" s="34" t="n"/>
      <c r="CA319" s="176">
        <f>CA312+SUM(CA313:CA318)</f>
        <v>5582.2077551163</v>
      </c>
      <c r="CB319" s="176">
        <f>CB312+SUM(CB313:CB318)</f>
        <v>5609.85107418961</v>
      </c>
      <c r="CC319" s="176">
        <f>CC312+SUM(CC313:CC318)</f>
        <v>5675.43319377197</v>
      </c>
      <c r="CD319" s="176">
        <f>CD312+SUM(CD313:CD318)</f>
        <v>6008.07232494889</v>
      </c>
      <c r="CE319" s="176">
        <f>CE312+SUM(CE313:CE318)</f>
        <v>6336.49118735865</v>
      </c>
      <c r="CF319" s="177" t="n"/>
    </row>
    <row r="320" ht="15" customHeight="1">
      <c r="B320" s="26" t="inlineStr">
        <is>
          <t>Stockholders' equity:</t>
        </is>
      </c>
      <c r="C320" s="217" t="n"/>
      <c r="D320" s="217" t="n"/>
      <c r="E320" s="217" t="n"/>
      <c r="F320" s="217" t="n"/>
      <c r="G320" s="217" t="n"/>
      <c r="H320" s="217" t="n"/>
      <c r="I320" s="217" t="n"/>
      <c r="J320" s="217" t="n"/>
      <c r="K320" s="217" t="n"/>
      <c r="L320" s="217" t="n"/>
      <c r="M320" s="217" t="n"/>
      <c r="N320" s="217" t="n"/>
      <c r="O320" s="217" t="n"/>
      <c r="P320" s="217" t="n"/>
      <c r="Q320" s="217" t="n"/>
      <c r="R320" s="217" t="n"/>
      <c r="S320" s="217" t="n"/>
      <c r="T320" s="217" t="n"/>
      <c r="U320" s="217" t="n"/>
      <c r="V320" s="217" t="n"/>
      <c r="W320" s="217" t="n"/>
      <c r="X320" s="217" t="n"/>
      <c r="Y320" s="217" t="n"/>
      <c r="Z320" s="217" t="n"/>
      <c r="AA320" s="217" t="n"/>
      <c r="AB320" s="217" t="n"/>
      <c r="AC320" s="217" t="n"/>
      <c r="AD320" s="217" t="n"/>
      <c r="AE320" s="217" t="n"/>
      <c r="AF320" s="217" t="n"/>
      <c r="AG320" s="217" t="n"/>
      <c r="AH320" s="217" t="n"/>
      <c r="AI320" s="217" t="n"/>
      <c r="AJ320" s="217" t="n"/>
      <c r="AK320" s="217" t="n"/>
      <c r="AL320" s="217" t="n"/>
      <c r="AM320" s="217" t="n"/>
      <c r="AN320" s="217" t="n"/>
      <c r="AO320" s="217" t="n"/>
      <c r="AP320" s="217" t="n"/>
      <c r="AQ320" s="217" t="n"/>
      <c r="AR320" s="217" t="n"/>
      <c r="AS320" s="217" t="n"/>
      <c r="AT320" s="217" t="n"/>
      <c r="AU320" s="217" t="n"/>
      <c r="AV320" s="217" t="n"/>
      <c r="AW320" s="217" t="n"/>
      <c r="AX320" s="217" t="n"/>
      <c r="AY320" s="217" t="n"/>
      <c r="AZ320" s="217" t="n"/>
      <c r="BA320" s="217" t="n"/>
      <c r="BB320" s="217" t="n"/>
      <c r="BC320" s="217" t="n"/>
      <c r="BD320" s="217" t="n"/>
      <c r="BE320" s="217" t="n"/>
      <c r="BF320" s="217" t="n"/>
      <c r="BG320" s="217" t="n"/>
      <c r="BH320" s="217" t="n"/>
      <c r="BI320" s="217" t="n"/>
      <c r="BJ320" s="217" t="n"/>
      <c r="BK320" s="217" t="n"/>
      <c r="BL320" s="217" t="n"/>
      <c r="BM320" s="217" t="n"/>
      <c r="BN320" s="217" t="n"/>
      <c r="BO320" s="217" t="n"/>
      <c r="BP320" s="217" t="n"/>
      <c r="BQ320" s="217" t="n"/>
      <c r="BR320" s="217" t="n"/>
      <c r="BS320" s="217" t="n"/>
      <c r="BT320" s="217" t="n"/>
      <c r="BU320" s="217" t="n"/>
      <c r="BV320" s="217" t="n"/>
      <c r="BW320" s="217" t="n"/>
      <c r="BX320" s="217" t="n"/>
      <c r="BY320" s="218" t="n"/>
      <c r="BZ320" s="218" t="n"/>
      <c r="CA320" s="218" t="n"/>
      <c r="CB320" s="218" t="n"/>
      <c r="CC320" s="218" t="n"/>
      <c r="CD320" s="218" t="n"/>
      <c r="CE320" s="218" t="n"/>
      <c r="CF320" s="20" t="n"/>
    </row>
    <row r="321" ht="15" customHeight="1">
      <c r="B321" s="26" t="inlineStr">
        <is>
          <t xml:space="preserve">  Common stock, APIC &amp; other (derived; treasury / plan shares, preferred stock to 2007)</t>
        </is>
      </c>
      <c r="C321" s="185" t="n">
        <v>151.889</v>
      </c>
      <c r="D321" s="185" t="n">
        <v>165.686</v>
      </c>
      <c r="E321" s="185" t="n">
        <v>352.534</v>
      </c>
      <c r="F321" s="185" t="n">
        <v>473.111</v>
      </c>
      <c r="G321" s="185" t="n">
        <v>485.668</v>
      </c>
      <c r="H321" s="185" t="n">
        <v>497.982</v>
      </c>
      <c r="I321" s="185" t="n">
        <v>881.114</v>
      </c>
      <c r="J321" s="185" t="n">
        <v>885.869</v>
      </c>
      <c r="K321" s="185" t="n">
        <v>889.725</v>
      </c>
      <c r="L321" s="185" t="n">
        <v>893.9589999999999</v>
      </c>
      <c r="M321" s="185" t="n">
        <v>898.303</v>
      </c>
      <c r="N321" s="185" t="n">
        <v>898.303</v>
      </c>
      <c r="O321" s="185" t="n">
        <v>900.864</v>
      </c>
      <c r="P321" s="185" t="n">
        <v>889.217</v>
      </c>
      <c r="Q321" s="185" t="n">
        <v>853.481</v>
      </c>
      <c r="R321" s="185" t="n">
        <v>805.149</v>
      </c>
      <c r="S321" s="185" t="n">
        <v>805.149</v>
      </c>
      <c r="T321" s="185" t="n">
        <v>789.619</v>
      </c>
      <c r="U321" s="185" t="n">
        <v>777.58</v>
      </c>
      <c r="V321" s="185" t="n">
        <v>740.178</v>
      </c>
      <c r="W321" s="185" t="n">
        <v>738.508</v>
      </c>
      <c r="X321" s="185" t="n">
        <v>738.508</v>
      </c>
      <c r="Y321" s="185" t="n">
        <v>733.833</v>
      </c>
      <c r="Z321" s="185" t="n">
        <v>730.8150000000001</v>
      </c>
      <c r="AA321" s="185" t="n">
        <v>726.9829999999999</v>
      </c>
      <c r="AB321" s="185" t="n">
        <v>725.774</v>
      </c>
      <c r="AC321" s="185" t="n">
        <v>725.774</v>
      </c>
      <c r="AD321" s="185" t="n">
        <v>720.955</v>
      </c>
      <c r="AE321" s="185" t="n">
        <v>717.284</v>
      </c>
      <c r="AF321" s="185" t="n">
        <v>708.927</v>
      </c>
      <c r="AG321" s="185" t="n">
        <v>687.527</v>
      </c>
      <c r="AH321" s="185" t="n">
        <v>687.527</v>
      </c>
      <c r="AI321" s="185" t="n">
        <v>675.792</v>
      </c>
      <c r="AJ321" s="185" t="n">
        <v>665.509</v>
      </c>
      <c r="AK321" s="185" t="n">
        <v>662.106</v>
      </c>
      <c r="AL321" s="185" t="n">
        <v>655.973</v>
      </c>
      <c r="AM321" s="185" t="n">
        <v>655.973</v>
      </c>
      <c r="AN321" s="185" t="n">
        <v>653.182</v>
      </c>
      <c r="AO321" s="185" t="n">
        <v>649.364</v>
      </c>
      <c r="AP321" s="185" t="n">
        <v>648.742</v>
      </c>
      <c r="AQ321" s="185" t="n">
        <v>644.97</v>
      </c>
      <c r="AR321" s="185" t="n">
        <v>644.97</v>
      </c>
      <c r="AS321" s="185" t="n">
        <v>628.696</v>
      </c>
      <c r="AT321" s="185" t="n">
        <v>630.311</v>
      </c>
      <c r="AU321" s="185" t="n">
        <v>613.76</v>
      </c>
      <c r="AV321" s="185" t="n">
        <v>583.297</v>
      </c>
      <c r="AW321" s="185" t="n">
        <v>583.297</v>
      </c>
      <c r="AX321" s="185" t="n">
        <v>556.5119999999999</v>
      </c>
      <c r="AY321" s="185" t="n">
        <v>539.934</v>
      </c>
      <c r="AZ321" s="185" t="n">
        <v>540.2910000000001</v>
      </c>
      <c r="BA321" s="185" t="n">
        <v>536.921</v>
      </c>
      <c r="BB321" s="185" t="n">
        <v>536.921</v>
      </c>
      <c r="BC321" s="185" t="n">
        <v>537.1079999999999</v>
      </c>
      <c r="BD321" s="185" t="n">
        <v>513.203</v>
      </c>
      <c r="BE321" s="185" t="n">
        <v>506.9</v>
      </c>
      <c r="BF321" s="185" t="n">
        <v>504.781</v>
      </c>
      <c r="BG321" s="185" t="n">
        <v>504.781</v>
      </c>
      <c r="BH321" s="185" t="n">
        <v>504.448</v>
      </c>
      <c r="BI321" s="185" t="n">
        <v>502.963</v>
      </c>
      <c r="BJ321" s="185" t="n">
        <v>490.704</v>
      </c>
      <c r="BK321" s="185" t="n">
        <v>460.267</v>
      </c>
      <c r="BL321" s="185" t="n">
        <v>460.267</v>
      </c>
      <c r="BM321" s="185" t="n">
        <v>458.553</v>
      </c>
      <c r="BN321" s="185" t="n">
        <v>460.521</v>
      </c>
      <c r="BO321" s="185" t="n">
        <v>439.443</v>
      </c>
      <c r="BP321" s="185" t="n">
        <v>422.287</v>
      </c>
      <c r="BQ321" s="185" t="n">
        <v>422.287</v>
      </c>
      <c r="BR321" s="185" t="n">
        <v>366.234</v>
      </c>
      <c r="BS321" s="185" t="n">
        <v>362.134</v>
      </c>
      <c r="BT321" s="185" t="n">
        <v>317.679</v>
      </c>
      <c r="BU321" s="185" t="n">
        <v>194.425</v>
      </c>
      <c r="BV321" s="185" t="n">
        <v>194.425</v>
      </c>
      <c r="BW321" s="185" t="n">
        <v>169.7</v>
      </c>
      <c r="BX321" s="185" t="n">
        <v>160.628</v>
      </c>
      <c r="BY321" s="168" t="n"/>
      <c r="BZ321" s="168" t="n"/>
      <c r="CA321" s="186">
        <f>BX321+(CA243-(BW243+BX243))+(CA261-(BW261+BX261))</f>
        <v>188.732</v>
      </c>
      <c r="CB321" s="186">
        <f>CA321+CB243+CB261</f>
        <v>233.312536087037</v>
      </c>
      <c r="CC321" s="186">
        <f>CB321+CC243+CC261</f>
        <v>282.386373329962</v>
      </c>
      <c r="CD321" s="186">
        <f>CC321+CD243+CD261</f>
        <v>336.010893869966</v>
      </c>
      <c r="CE321" s="186">
        <f>CD321+CE243+CE261</f>
        <v>394.335062572079</v>
      </c>
      <c r="CF321" s="20" t="inlineStr">
        <is>
          <t>+ stock-based compensation + net issuances.</t>
        </is>
      </c>
    </row>
    <row r="322" ht="15" customHeight="1">
      <c r="B322" s="26" t="inlineStr">
        <is>
          <t xml:space="preserve">  Retained earnings (accumulated earnings / deficit)</t>
        </is>
      </c>
      <c r="C322" s="185" t="n">
        <v>12.358</v>
      </c>
      <c r="D322" s="185" t="n">
        <v>19.713</v>
      </c>
      <c r="E322" s="185" t="n">
        <v>77.199</v>
      </c>
      <c r="F322" s="185" t="n">
        <v>113.885</v>
      </c>
      <c r="G322" s="185" t="n">
        <v>244.4</v>
      </c>
      <c r="H322" s="185" t="n">
        <v>371.652</v>
      </c>
      <c r="I322" s="185" t="n">
        <v>501.326</v>
      </c>
      <c r="J322" s="185" t="n">
        <v>511.828</v>
      </c>
      <c r="K322" s="185" t="n">
        <v>534.73</v>
      </c>
      <c r="L322" s="185" t="n">
        <v>570.091</v>
      </c>
      <c r="M322" s="185" t="n">
        <v>596.8920000000001</v>
      </c>
      <c r="N322" s="185" t="n">
        <v>596.8920000000001</v>
      </c>
      <c r="O322" s="185" t="n">
        <v>605.852</v>
      </c>
      <c r="P322" s="185" t="n">
        <v>634.524</v>
      </c>
      <c r="Q322" s="185" t="n">
        <v>541.187</v>
      </c>
      <c r="R322" s="185" t="n">
        <v>568.564</v>
      </c>
      <c r="S322" s="185" t="n">
        <v>568.564</v>
      </c>
      <c r="T322" s="185" t="n">
        <v>561.475</v>
      </c>
      <c r="U322" s="185" t="n">
        <v>571.87</v>
      </c>
      <c r="V322" s="185" t="n">
        <v>612.098</v>
      </c>
      <c r="W322" s="185" t="n">
        <v>612.6660000000001</v>
      </c>
      <c r="X322" s="185" t="n">
        <v>612.6660000000001</v>
      </c>
      <c r="Y322" s="185" t="n">
        <v>591.795</v>
      </c>
      <c r="Z322" s="185" t="n">
        <v>595.761</v>
      </c>
      <c r="AA322" s="185" t="n">
        <v>585.506</v>
      </c>
      <c r="AB322" s="185" t="n">
        <v>572.793</v>
      </c>
      <c r="AC322" s="185" t="n">
        <v>572.793</v>
      </c>
      <c r="AD322" s="185" t="n">
        <v>550.95</v>
      </c>
      <c r="AE322" s="185" t="n">
        <v>576.83</v>
      </c>
      <c r="AF322" s="185" t="n">
        <v>588.888</v>
      </c>
      <c r="AG322" s="185" t="n">
        <v>673.082</v>
      </c>
      <c r="AH322" s="185" t="n">
        <v>673.082</v>
      </c>
      <c r="AI322" s="185" t="n">
        <v>658.8869999999999</v>
      </c>
      <c r="AJ322" s="185" t="n">
        <v>689.634</v>
      </c>
      <c r="AK322" s="185" t="n">
        <v>720.723</v>
      </c>
      <c r="AL322" s="185" t="n">
        <v>737.154</v>
      </c>
      <c r="AM322" s="185" t="n">
        <v>737.154</v>
      </c>
      <c r="AN322" s="185" t="n">
        <v>738.13</v>
      </c>
      <c r="AO322" s="185" t="n">
        <v>774.374</v>
      </c>
      <c r="AP322" s="185" t="n">
        <v>810.7430000000001</v>
      </c>
      <c r="AQ322" s="185" t="n">
        <v>834.894</v>
      </c>
      <c r="AR322" s="185" t="n">
        <v>834.894</v>
      </c>
      <c r="AS322" s="185" t="n">
        <v>846.466</v>
      </c>
      <c r="AT322" s="185" t="n">
        <v>875.489</v>
      </c>
      <c r="AU322" s="185" t="n">
        <v>930.399</v>
      </c>
      <c r="AV322" s="185" t="n">
        <v>969.731</v>
      </c>
      <c r="AW322" s="185" t="n">
        <v>969.731</v>
      </c>
      <c r="AX322" s="185" t="n">
        <v>991.467</v>
      </c>
      <c r="AY322" s="185" t="n">
        <v>1058.542</v>
      </c>
      <c r="AZ322" s="185" t="n">
        <v>1123.985</v>
      </c>
      <c r="BA322" s="185" t="n">
        <v>1172.978</v>
      </c>
      <c r="BB322" s="185" t="n">
        <v>1172.978</v>
      </c>
      <c r="BC322" s="185" t="n">
        <v>1218.292</v>
      </c>
      <c r="BD322" s="185" t="n">
        <v>1366.449</v>
      </c>
      <c r="BE322" s="185" t="n">
        <v>1502.248</v>
      </c>
      <c r="BF322" s="185" t="n">
        <v>1584.722</v>
      </c>
      <c r="BG322" s="185" t="n">
        <v>1584.722</v>
      </c>
      <c r="BH322" s="185" t="n">
        <v>1657.123</v>
      </c>
      <c r="BI322" s="185" t="n">
        <v>1772.889</v>
      </c>
      <c r="BJ322" s="185" t="n">
        <v>1864.229</v>
      </c>
      <c r="BK322" s="185" t="n">
        <v>1962.578</v>
      </c>
      <c r="BL322" s="185" t="n">
        <v>1962.578</v>
      </c>
      <c r="BM322" s="185" t="n">
        <v>2032.41</v>
      </c>
      <c r="BN322" s="185" t="n">
        <v>2165.69</v>
      </c>
      <c r="BO322" s="185" t="n">
        <v>2280.903</v>
      </c>
      <c r="BP322" s="185" t="n">
        <v>2364.877</v>
      </c>
      <c r="BQ322" s="185" t="n">
        <v>2364.877</v>
      </c>
      <c r="BR322" s="185" t="n">
        <v>2423.557</v>
      </c>
      <c r="BS322" s="185" t="n">
        <v>2550.462</v>
      </c>
      <c r="BT322" s="185" t="n">
        <v>2669.261</v>
      </c>
      <c r="BU322" s="185" t="n">
        <v>2755.851</v>
      </c>
      <c r="BV322" s="185" t="n">
        <v>2755.851</v>
      </c>
      <c r="BW322" s="185" t="n">
        <v>2819.052</v>
      </c>
      <c r="BX322" s="185" t="n">
        <v>2989.516</v>
      </c>
      <c r="BY322" s="168" t="n"/>
      <c r="BZ322" s="168" t="n"/>
      <c r="CA322" s="186">
        <f>BX322+BY157+BZ157+(CA260-(BW260+BX260))+(CA259-(BW259+BX259))</f>
        <v>3201.72415093436</v>
      </c>
      <c r="CB322" s="186">
        <f>CA322+CB157+CB260+CB259</f>
        <v>3485.35911158825</v>
      </c>
      <c r="CC322" s="186">
        <f>CB322+CC157+CC260+CC259</f>
        <v>3499.10334920992</v>
      </c>
      <c r="CD322" s="186">
        <f>CC322+CD157+CD260+CD259</f>
        <v>3522.3528058245</v>
      </c>
      <c r="CE322" s="186">
        <f>CD322+CE157+CE260+CE259</f>
        <v>3547.15043573826</v>
      </c>
      <c r="CF322" s="20" t="inlineStr">
        <is>
          <t>+ net income − share repurchases (CLH retires repurchased shares; cost charged to equity).</t>
        </is>
      </c>
    </row>
    <row r="323" ht="15" customHeight="1">
      <c r="B323" s="26" t="inlineStr">
        <is>
          <t xml:space="preserve">  Accumulated other comprehensive income (loss)</t>
        </is>
      </c>
      <c r="C323" s="185" t="n">
        <v>8.939</v>
      </c>
      <c r="D323" s="185" t="n">
        <v>17.498</v>
      </c>
      <c r="E323" s="185" t="n">
        <v>-0.6879999999999999</v>
      </c>
      <c r="F323" s="185" t="n">
        <v>26.829</v>
      </c>
      <c r="G323" s="185" t="n">
        <v>50.759</v>
      </c>
      <c r="H323" s="185" t="n">
        <v>31.353</v>
      </c>
      <c r="I323" s="185" t="n">
        <v>49.632</v>
      </c>
      <c r="J323" s="185" t="n">
        <v>25.771</v>
      </c>
      <c r="K323" s="185" t="n">
        <v>-9.734999999999999</v>
      </c>
      <c r="L323" s="185" t="n">
        <v>12.07</v>
      </c>
      <c r="M323" s="185" t="n">
        <v>-19.556</v>
      </c>
      <c r="N323" s="185" t="n">
        <v>-19.556</v>
      </c>
      <c r="O323" s="185" t="n">
        <v>-61.081</v>
      </c>
      <c r="P323" s="185" t="n">
        <v>-25.025</v>
      </c>
      <c r="Q323" s="185" t="n">
        <v>-74.117</v>
      </c>
      <c r="R323" s="185" t="n">
        <v>-110.842</v>
      </c>
      <c r="S323" s="185" t="n">
        <v>-110.842</v>
      </c>
      <c r="T323" s="185" t="n">
        <v>-188.245</v>
      </c>
      <c r="U323" s="185" t="n">
        <v>-176.014</v>
      </c>
      <c r="V323" s="185" t="n">
        <v>-229.555</v>
      </c>
      <c r="W323" s="185" t="n">
        <v>-254.892</v>
      </c>
      <c r="X323" s="185" t="n">
        <v>-254.892</v>
      </c>
      <c r="Y323" s="185" t="n">
        <v>-209.055</v>
      </c>
      <c r="Z323" s="185" t="n">
        <v>-210.233</v>
      </c>
      <c r="AA323" s="185" t="n">
        <v>-211.544</v>
      </c>
      <c r="AB323" s="185" t="n">
        <v>-214.326</v>
      </c>
      <c r="AC323" s="185" t="n">
        <v>-214.326</v>
      </c>
      <c r="AD323" s="185" t="n">
        <v>-208.275</v>
      </c>
      <c r="AE323" s="185" t="n">
        <v>-193.177</v>
      </c>
      <c r="AF323" s="185" t="n">
        <v>-169.468</v>
      </c>
      <c r="AG323" s="185" t="n">
        <v>-172.407</v>
      </c>
      <c r="AH323" s="185" t="n">
        <v>-172.407</v>
      </c>
      <c r="AI323" s="185" t="n">
        <v>-189.153</v>
      </c>
      <c r="AJ323" s="185" t="n">
        <v>-194.095</v>
      </c>
      <c r="AK323" s="185" t="n">
        <v>-185.505</v>
      </c>
      <c r="AL323" s="185" t="n">
        <v>-223.371</v>
      </c>
      <c r="AM323" s="185" t="n">
        <v>-223.371</v>
      </c>
      <c r="AN323" s="185" t="n">
        <v>-219.347</v>
      </c>
      <c r="AO323" s="185" t="n">
        <v>-214.271</v>
      </c>
      <c r="AP323" s="185" t="n">
        <v>-223.69</v>
      </c>
      <c r="AQ323" s="185" t="n">
        <v>-210.051</v>
      </c>
      <c r="AR323" s="185" t="n">
        <v>-210.051</v>
      </c>
      <c r="AS323" s="185" t="n">
        <v>-269.357</v>
      </c>
      <c r="AT323" s="185" t="n">
        <v>-251.829</v>
      </c>
      <c r="AU323" s="185" t="n">
        <v>-239.444</v>
      </c>
      <c r="AV323" s="185" t="n">
        <v>-211.477</v>
      </c>
      <c r="AW323" s="185" t="n">
        <v>-211.477</v>
      </c>
      <c r="AX323" s="185" t="n">
        <v>-199.529</v>
      </c>
      <c r="AY323" s="185" t="n">
        <v>-188.889</v>
      </c>
      <c r="AZ323" s="185" t="n">
        <v>-200.716</v>
      </c>
      <c r="BA323" s="185" t="n">
        <v>-196.012</v>
      </c>
      <c r="BB323" s="185" t="n">
        <v>-196.012</v>
      </c>
      <c r="BC323" s="185" t="n">
        <v>-162.163</v>
      </c>
      <c r="BD323" s="185" t="n">
        <v>-162.702</v>
      </c>
      <c r="BE323" s="185" t="n">
        <v>-171.567</v>
      </c>
      <c r="BF323" s="185" t="n">
        <v>-167.181</v>
      </c>
      <c r="BG323" s="185" t="n">
        <v>-167.181</v>
      </c>
      <c r="BH323" s="185" t="n">
        <v>-181.527</v>
      </c>
      <c r="BI323" s="185" t="n">
        <v>-165.966</v>
      </c>
      <c r="BJ323" s="185" t="n">
        <v>-169.139</v>
      </c>
      <c r="BK323" s="185" t="n">
        <v>-175.339</v>
      </c>
      <c r="BL323" s="185" t="n">
        <v>-175.339</v>
      </c>
      <c r="BM323" s="185" t="n">
        <v>-179.626</v>
      </c>
      <c r="BN323" s="185" t="n">
        <v>-184.49</v>
      </c>
      <c r="BO323" s="185" t="n">
        <v>-192.036</v>
      </c>
      <c r="BP323" s="185" t="n">
        <v>-213.635</v>
      </c>
      <c r="BQ323" s="185" t="n">
        <v>-213.635</v>
      </c>
      <c r="BR323" s="185" t="n">
        <v>-218.567</v>
      </c>
      <c r="BS323" s="185" t="n">
        <v>-198.529</v>
      </c>
      <c r="BT323" s="185" t="n">
        <v>-211.1</v>
      </c>
      <c r="BU323" s="185" t="n">
        <v>-204.616</v>
      </c>
      <c r="BV323" s="185" t="n">
        <v>-204.616</v>
      </c>
      <c r="BW323" s="185" t="n">
        <v>-213.249</v>
      </c>
      <c r="BX323" s="185" t="n">
        <v>-221.722</v>
      </c>
      <c r="BY323" s="168" t="n"/>
      <c r="BZ323" s="168" t="n"/>
      <c r="CA323" s="186">
        <f>BX323</f>
        <v>-221.722</v>
      </c>
      <c r="CB323" s="186">
        <f>CA323</f>
        <v>-221.722</v>
      </c>
      <c r="CC323" s="186">
        <f>CB323</f>
        <v>-221.722</v>
      </c>
      <c r="CD323" s="186">
        <f>CC323</f>
        <v>-221.722</v>
      </c>
      <c r="CE323" s="186">
        <f>CD323</f>
        <v>-221.722</v>
      </c>
      <c r="CF323" s="20" t="n"/>
    </row>
    <row r="324" ht="15" customHeight="1">
      <c r="B324" s="17" t="inlineStr">
        <is>
          <t>Total stockholders' equity</t>
        </is>
      </c>
      <c r="C324" s="214">
        <f>IF(ISNUMBER(C321),SUM(C321:C323),"")</f>
        <v>173.186</v>
      </c>
      <c r="D324" s="214">
        <f>IF(ISNUMBER(D321),SUM(D321:D323),"")</f>
        <v>202.897</v>
      </c>
      <c r="E324" s="214">
        <f>IF(ISNUMBER(E321),SUM(E321:E323),"")</f>
        <v>429.045</v>
      </c>
      <c r="F324" s="214">
        <f>IF(ISNUMBER(F321),SUM(F321:F323),"")</f>
        <v>613.825</v>
      </c>
      <c r="G324" s="214">
        <f>IF(ISNUMBER(G321),SUM(G321:G323),"")</f>
        <v>780.827</v>
      </c>
      <c r="H324" s="214">
        <f>IF(ISNUMBER(H321),SUM(H321:H323),"")</f>
        <v>900.987</v>
      </c>
      <c r="I324" s="214">
        <f>IF(ISNUMBER(I321),SUM(I321:I323),"")</f>
        <v>1432.072</v>
      </c>
      <c r="J324" s="214">
        <f>IF(ISNUMBER(J321),SUM(J321:J323),"")</f>
        <v>1423.468</v>
      </c>
      <c r="K324" s="214">
        <f>IF(ISNUMBER(K321),SUM(K321:K323),"")</f>
        <v>1414.72</v>
      </c>
      <c r="L324" s="214">
        <f>IF(ISNUMBER(L321),SUM(L321:L323),"")</f>
        <v>1476.12</v>
      </c>
      <c r="M324" s="214">
        <f>IF(ISNUMBER(M321),SUM(M321:M323),"")</f>
        <v>1475.639</v>
      </c>
      <c r="N324" s="214">
        <f>IF(ISNUMBER(N321),SUM(N321:N323),"")</f>
        <v>1475.639</v>
      </c>
      <c r="O324" s="214">
        <f>IF(ISNUMBER(O321),SUM(O321:O323),"")</f>
        <v>1445.635</v>
      </c>
      <c r="P324" s="214">
        <f>IF(ISNUMBER(P321),SUM(P321:P323),"")</f>
        <v>1498.716</v>
      </c>
      <c r="Q324" s="214">
        <f>IF(ISNUMBER(Q321),SUM(Q321:Q323),"")</f>
        <v>1320.551</v>
      </c>
      <c r="R324" s="214">
        <f>IF(ISNUMBER(R321),SUM(R321:R323),"")</f>
        <v>1262.871</v>
      </c>
      <c r="S324" s="214">
        <f>IF(ISNUMBER(S321),SUM(S321:S323),"")</f>
        <v>1262.871</v>
      </c>
      <c r="T324" s="214">
        <f>IF(ISNUMBER(T321),SUM(T321:T323),"")</f>
        <v>1162.849</v>
      </c>
      <c r="U324" s="214">
        <f>IF(ISNUMBER(U321),SUM(U321:U323),"")</f>
        <v>1173.436</v>
      </c>
      <c r="V324" s="214">
        <f>IF(ISNUMBER(V321),SUM(V321:V323),"")</f>
        <v>1122.721</v>
      </c>
      <c r="W324" s="214">
        <f>IF(ISNUMBER(W321),SUM(W321:W323),"")</f>
        <v>1096.282</v>
      </c>
      <c r="X324" s="214">
        <f>IF(ISNUMBER(X321),SUM(X321:X323),"")</f>
        <v>1096.282</v>
      </c>
      <c r="Y324" s="214">
        <f>IF(ISNUMBER(Y321),SUM(Y321:Y323),"")</f>
        <v>1116.573</v>
      </c>
      <c r="Z324" s="214">
        <f>IF(ISNUMBER(Z321),SUM(Z321:Z323),"")</f>
        <v>1116.343</v>
      </c>
      <c r="AA324" s="214">
        <f>IF(ISNUMBER(AA321),SUM(AA321:AA323),"")</f>
        <v>1100.945</v>
      </c>
      <c r="AB324" s="214">
        <f>IF(ISNUMBER(AB321),SUM(AB321:AB323),"")</f>
        <v>1084.241</v>
      </c>
      <c r="AC324" s="214">
        <f>IF(ISNUMBER(AC321),SUM(AC321:AC323),"")</f>
        <v>1084.241</v>
      </c>
      <c r="AD324" s="214">
        <f>IF(ISNUMBER(AD321),SUM(AD321:AD323),"")</f>
        <v>1063.63</v>
      </c>
      <c r="AE324" s="214">
        <f>IF(ISNUMBER(AE321),SUM(AE321:AE323),"")</f>
        <v>1100.937</v>
      </c>
      <c r="AF324" s="214">
        <f>IF(ISNUMBER(AF321),SUM(AF321:AF323),"")</f>
        <v>1128.347</v>
      </c>
      <c r="AG324" s="214">
        <f>IF(ISNUMBER(AG321),SUM(AG321:AG323),"")</f>
        <v>1188.202</v>
      </c>
      <c r="AH324" s="214">
        <f>IF(ISNUMBER(AH321),SUM(AH321:AH323),"")</f>
        <v>1188.202</v>
      </c>
      <c r="AI324" s="214">
        <f>IF(ISNUMBER(AI321),SUM(AI321:AI323),"")</f>
        <v>1145.526</v>
      </c>
      <c r="AJ324" s="214">
        <f>IF(ISNUMBER(AJ321),SUM(AJ321:AJ323),"")</f>
        <v>1161.048</v>
      </c>
      <c r="AK324" s="214">
        <f>IF(ISNUMBER(AK321),SUM(AK321:AK323),"")</f>
        <v>1197.324</v>
      </c>
      <c r="AL324" s="214">
        <f>IF(ISNUMBER(AL321),SUM(AL321:AL323),"")</f>
        <v>1169.756</v>
      </c>
      <c r="AM324" s="214">
        <f>IF(ISNUMBER(AM321),SUM(AM321:AM323),"")</f>
        <v>1169.756</v>
      </c>
      <c r="AN324" s="214">
        <f>IF(ISNUMBER(AN321),SUM(AN321:AN323),"")</f>
        <v>1171.965</v>
      </c>
      <c r="AO324" s="214">
        <f>IF(ISNUMBER(AO321),SUM(AO321:AO323),"")</f>
        <v>1209.467</v>
      </c>
      <c r="AP324" s="214">
        <f>IF(ISNUMBER(AP321),SUM(AP321:AP323),"")</f>
        <v>1235.795</v>
      </c>
      <c r="AQ324" s="214">
        <f>IF(ISNUMBER(AQ321),SUM(AQ321:AQ323),"")</f>
        <v>1269.813</v>
      </c>
      <c r="AR324" s="214">
        <f>IF(ISNUMBER(AR321),SUM(AR321:AR323),"")</f>
        <v>1269.813</v>
      </c>
      <c r="AS324" s="214">
        <f>IF(ISNUMBER(AS321),SUM(AS321:AS323),"")</f>
        <v>1205.805</v>
      </c>
      <c r="AT324" s="214">
        <f>IF(ISNUMBER(AT321),SUM(AT321:AT323),"")</f>
        <v>1253.971</v>
      </c>
      <c r="AU324" s="214">
        <f>IF(ISNUMBER(AU321),SUM(AU321:AU323),"")</f>
        <v>1304.715</v>
      </c>
      <c r="AV324" s="214">
        <f>IF(ISNUMBER(AV321),SUM(AV321:AV323),"")</f>
        <v>1341.551</v>
      </c>
      <c r="AW324" s="214">
        <f>IF(ISNUMBER(AW321),SUM(AW321:AW323),"")</f>
        <v>1341.551</v>
      </c>
      <c r="AX324" s="214">
        <f>IF(ISNUMBER(AX321),SUM(AX321:AX323),"")</f>
        <v>1348.45</v>
      </c>
      <c r="AY324" s="214">
        <f>IF(ISNUMBER(AY321),SUM(AY321:AY323),"")</f>
        <v>1409.587</v>
      </c>
      <c r="AZ324" s="214">
        <f>IF(ISNUMBER(AZ321),SUM(AZ321:AZ323),"")</f>
        <v>1463.56</v>
      </c>
      <c r="BA324" s="214">
        <f>IF(ISNUMBER(BA321),SUM(BA321:BA323),"")</f>
        <v>1513.887</v>
      </c>
      <c r="BB324" s="214">
        <f>IF(ISNUMBER(BB321),SUM(BB321:BB323),"")</f>
        <v>1513.887</v>
      </c>
      <c r="BC324" s="214">
        <f>IF(ISNUMBER(BC321),SUM(BC321:BC323),"")</f>
        <v>1593.237</v>
      </c>
      <c r="BD324" s="214">
        <f>IF(ISNUMBER(BD321),SUM(BD321:BD323),"")</f>
        <v>1716.95</v>
      </c>
      <c r="BE324" s="214">
        <f>IF(ISNUMBER(BE321),SUM(BE321:BE323),"")</f>
        <v>1837.581</v>
      </c>
      <c r="BF324" s="214">
        <f>IF(ISNUMBER(BF321),SUM(BF321:BF323),"")</f>
        <v>1922.322</v>
      </c>
      <c r="BG324" s="214">
        <f>IF(ISNUMBER(BG321),SUM(BG321:BG323),"")</f>
        <v>1922.322</v>
      </c>
      <c r="BH324" s="214">
        <f>IF(ISNUMBER(BH321),SUM(BH321:BH323),"")</f>
        <v>1980.044</v>
      </c>
      <c r="BI324" s="214">
        <f>IF(ISNUMBER(BI321),SUM(BI321:BI323),"")</f>
        <v>2109.886</v>
      </c>
      <c r="BJ324" s="214">
        <f>IF(ISNUMBER(BJ321),SUM(BJ321:BJ323),"")</f>
        <v>2185.794</v>
      </c>
      <c r="BK324" s="214">
        <f>IF(ISNUMBER(BK321),SUM(BK321:BK323),"")</f>
        <v>2247.506</v>
      </c>
      <c r="BL324" s="214">
        <f>IF(ISNUMBER(BL321),SUM(BL321:BL323),"")</f>
        <v>2247.506</v>
      </c>
      <c r="BM324" s="214">
        <f>IF(ISNUMBER(BM321),SUM(BM321:BM323),"")</f>
        <v>2311.337</v>
      </c>
      <c r="BN324" s="214">
        <f>IF(ISNUMBER(BN321),SUM(BN321:BN323),"")</f>
        <v>2441.721</v>
      </c>
      <c r="BO324" s="214">
        <f>IF(ISNUMBER(BO321),SUM(BO321:BO323),"")</f>
        <v>2528.31</v>
      </c>
      <c r="BP324" s="214">
        <f>IF(ISNUMBER(BP321),SUM(BP321:BP323),"")</f>
        <v>2573.529</v>
      </c>
      <c r="BQ324" s="214">
        <f>IF(ISNUMBER(BQ321),SUM(BQ321:BQ323),"")</f>
        <v>2573.529</v>
      </c>
      <c r="BR324" s="214">
        <f>IF(ISNUMBER(BR321),SUM(BR321:BR323),"")</f>
        <v>2571.224</v>
      </c>
      <c r="BS324" s="214">
        <f>IF(ISNUMBER(BS321),SUM(BS321:BS323),"")</f>
        <v>2714.067</v>
      </c>
      <c r="BT324" s="214">
        <f>IF(ISNUMBER(BT321),SUM(BT321:BT323),"")</f>
        <v>2775.84</v>
      </c>
      <c r="BU324" s="214">
        <f>IF(ISNUMBER(BU321),SUM(BU321:BU323),"")</f>
        <v>2745.66</v>
      </c>
      <c r="BV324" s="214">
        <f>IF(ISNUMBER(BV321),SUM(BV321:BV323),"")</f>
        <v>2745.66</v>
      </c>
      <c r="BW324" s="214">
        <f>IF(ISNUMBER(BW321),SUM(BW321:BW323),"")</f>
        <v>2775.503</v>
      </c>
      <c r="BX324" s="214">
        <f>IF(ISNUMBER(BX321),SUM(BX321:BX323),"")</f>
        <v>2928.422</v>
      </c>
      <c r="BY324" s="34" t="n"/>
      <c r="BZ324" s="34" t="n"/>
      <c r="CA324" s="176">
        <f>SUM(CA321:CA323)</f>
        <v>3168.73415093436</v>
      </c>
      <c r="CB324" s="176">
        <f>SUM(CB321:CB323)</f>
        <v>3496.94964767528</v>
      </c>
      <c r="CC324" s="176">
        <f>SUM(CC321:CC323)</f>
        <v>3559.76772253988</v>
      </c>
      <c r="CD324" s="176">
        <f>SUM(CD321:CD323)</f>
        <v>3636.64169969446</v>
      </c>
      <c r="CE324" s="176">
        <f>SUM(CE321:CE323)</f>
        <v>3719.76349831034</v>
      </c>
      <c r="CF324" s="177" t="n"/>
    </row>
    <row r="325" ht="15" customHeight="1">
      <c r="B325" s="26" t="inlineStr">
        <is>
          <t xml:space="preserve">  Noncontrolling interest (2009)</t>
        </is>
      </c>
      <c r="C325" s="184" t="n"/>
      <c r="D325" s="184" t="n"/>
      <c r="E325" s="184" t="n"/>
      <c r="F325" s="184" t="n"/>
      <c r="G325" s="184" t="n"/>
      <c r="H325" s="184" t="n"/>
      <c r="I325" s="184" t="n"/>
      <c r="J325" s="184" t="n"/>
      <c r="K325" s="184" t="n"/>
      <c r="L325" s="184" t="n"/>
      <c r="M325" s="184" t="n"/>
      <c r="N325" s="184" t="n"/>
      <c r="O325" s="184" t="n"/>
      <c r="P325" s="184" t="n"/>
      <c r="Q325" s="184" t="n"/>
      <c r="R325" s="184" t="n"/>
      <c r="S325" s="184" t="n"/>
      <c r="T325" s="184" t="n"/>
      <c r="U325" s="184" t="n"/>
      <c r="V325" s="184" t="n"/>
      <c r="W325" s="184" t="n"/>
      <c r="X325" s="184" t="n"/>
      <c r="Y325" s="184" t="n"/>
      <c r="Z325" s="184" t="n"/>
      <c r="AA325" s="184" t="n"/>
      <c r="AB325" s="184" t="n"/>
      <c r="AC325" s="184" t="n"/>
      <c r="AD325" s="184" t="n"/>
      <c r="AE325" s="184" t="n"/>
      <c r="AF325" s="184" t="n"/>
      <c r="AG325" s="184" t="n"/>
      <c r="AH325" s="184" t="n"/>
      <c r="AI325" s="184" t="n"/>
      <c r="AJ325" s="184" t="n"/>
      <c r="AK325" s="184" t="n"/>
      <c r="AL325" s="184" t="n"/>
      <c r="AM325" s="184" t="n"/>
      <c r="AN325" s="184" t="n"/>
      <c r="AO325" s="184" t="n"/>
      <c r="AP325" s="184" t="n"/>
      <c r="AQ325" s="184" t="n"/>
      <c r="AR325" s="184" t="n"/>
      <c r="AS325" s="184" t="n"/>
      <c r="AT325" s="184" t="n"/>
      <c r="AU325" s="184" t="n"/>
      <c r="AV325" s="184" t="n"/>
      <c r="AW325" s="184" t="n"/>
      <c r="AX325" s="184" t="n"/>
      <c r="AY325" s="184" t="n"/>
      <c r="AZ325" s="184" t="n"/>
      <c r="BA325" s="184" t="n"/>
      <c r="BB325" s="184" t="n"/>
      <c r="BC325" s="184" t="n"/>
      <c r="BD325" s="184" t="n"/>
      <c r="BE325" s="184" t="n"/>
      <c r="BF325" s="184" t="n"/>
      <c r="BG325" s="184" t="n"/>
      <c r="BH325" s="184" t="n"/>
      <c r="BI325" s="184" t="n"/>
      <c r="BJ325" s="184" t="n"/>
      <c r="BK325" s="184" t="n"/>
      <c r="BL325" s="184" t="n"/>
      <c r="BM325" s="184" t="n"/>
      <c r="BN325" s="184" t="n"/>
      <c r="BO325" s="184" t="n"/>
      <c r="BP325" s="184" t="n"/>
      <c r="BQ325" s="184" t="n"/>
      <c r="BR325" s="184" t="n"/>
      <c r="BS325" s="184" t="n"/>
      <c r="BT325" s="184" t="n"/>
      <c r="BU325" s="184" t="n"/>
      <c r="BV325" s="184" t="n"/>
      <c r="BW325" s="184" t="n"/>
      <c r="BX325" s="184" t="n"/>
      <c r="BY325" s="168" t="n"/>
      <c r="BZ325" s="168" t="n"/>
      <c r="CA325" s="186">
        <f>0</f>
        <v>0</v>
      </c>
      <c r="CB325" s="186">
        <f>0</f>
        <v>0</v>
      </c>
      <c r="CC325" s="186">
        <f>0</f>
        <v>0</v>
      </c>
      <c r="CD325" s="186">
        <f>0</f>
        <v>0</v>
      </c>
      <c r="CE325" s="186">
        <f>0</f>
        <v>0</v>
      </c>
      <c r="CF325" s="20" t="n"/>
    </row>
    <row r="326" ht="15" customHeight="1">
      <c r="B326" s="17" t="inlineStr">
        <is>
          <t>Total equity</t>
        </is>
      </c>
      <c r="C326" s="214">
        <f>IF(ISNUMBER(C324),C324+N(C325),"")</f>
        <v>173.186</v>
      </c>
      <c r="D326" s="214">
        <f>IF(ISNUMBER(D324),D324+N(D325),"")</f>
        <v>202.897</v>
      </c>
      <c r="E326" s="214">
        <f>IF(ISNUMBER(E324),E324+N(E325),"")</f>
        <v>429.045</v>
      </c>
      <c r="F326" s="214">
        <f>IF(ISNUMBER(F324),F324+N(F325),"")</f>
        <v>613.825</v>
      </c>
      <c r="G326" s="214">
        <f>IF(ISNUMBER(G324),G324+N(G325),"")</f>
        <v>780.827</v>
      </c>
      <c r="H326" s="214">
        <f>IF(ISNUMBER(H324),H324+N(H325),"")</f>
        <v>900.987</v>
      </c>
      <c r="I326" s="214">
        <f>IF(ISNUMBER(I324),I324+N(I325),"")</f>
        <v>1432.072</v>
      </c>
      <c r="J326" s="214">
        <f>IF(ISNUMBER(J324),J324+N(J325),"")</f>
        <v>1423.468</v>
      </c>
      <c r="K326" s="214">
        <f>IF(ISNUMBER(K324),K324+N(K325),"")</f>
        <v>1414.72</v>
      </c>
      <c r="L326" s="214">
        <f>IF(ISNUMBER(L324),L324+N(L325),"")</f>
        <v>1476.12</v>
      </c>
      <c r="M326" s="214">
        <f>IF(ISNUMBER(M324),M324+N(M325),"")</f>
        <v>1475.639</v>
      </c>
      <c r="N326" s="214">
        <f>IF(ISNUMBER(N324),N324+N(N325),"")</f>
        <v>1475.639</v>
      </c>
      <c r="O326" s="214">
        <f>IF(ISNUMBER(O324),O324+N(O325),"")</f>
        <v>1445.635</v>
      </c>
      <c r="P326" s="214">
        <f>IF(ISNUMBER(P324),P324+N(P325),"")</f>
        <v>1498.716</v>
      </c>
      <c r="Q326" s="214">
        <f>IF(ISNUMBER(Q324),Q324+N(Q325),"")</f>
        <v>1320.551</v>
      </c>
      <c r="R326" s="214">
        <f>IF(ISNUMBER(R324),R324+N(R325),"")</f>
        <v>1262.871</v>
      </c>
      <c r="S326" s="214">
        <f>IF(ISNUMBER(S324),S324+N(S325),"")</f>
        <v>1262.871</v>
      </c>
      <c r="T326" s="214">
        <f>IF(ISNUMBER(T324),T324+N(T325),"")</f>
        <v>1162.849</v>
      </c>
      <c r="U326" s="214">
        <f>IF(ISNUMBER(U324),U324+N(U325),"")</f>
        <v>1173.436</v>
      </c>
      <c r="V326" s="214">
        <f>IF(ISNUMBER(V324),V324+N(V325),"")</f>
        <v>1122.721</v>
      </c>
      <c r="W326" s="214">
        <f>IF(ISNUMBER(W324),W324+N(W325),"")</f>
        <v>1096.282</v>
      </c>
      <c r="X326" s="214">
        <f>IF(ISNUMBER(X324),X324+N(X325),"")</f>
        <v>1096.282</v>
      </c>
      <c r="Y326" s="214">
        <f>IF(ISNUMBER(Y324),Y324+N(Y325),"")</f>
        <v>1116.573</v>
      </c>
      <c r="Z326" s="214">
        <f>IF(ISNUMBER(Z324),Z324+N(Z325),"")</f>
        <v>1116.343</v>
      </c>
      <c r="AA326" s="214">
        <f>IF(ISNUMBER(AA324),AA324+N(AA325),"")</f>
        <v>1100.945</v>
      </c>
      <c r="AB326" s="214">
        <f>IF(ISNUMBER(AB324),AB324+N(AB325),"")</f>
        <v>1084.241</v>
      </c>
      <c r="AC326" s="214">
        <f>IF(ISNUMBER(AC324),AC324+N(AC325),"")</f>
        <v>1084.241</v>
      </c>
      <c r="AD326" s="214">
        <f>IF(ISNUMBER(AD324),AD324+N(AD325),"")</f>
        <v>1063.63</v>
      </c>
      <c r="AE326" s="214">
        <f>IF(ISNUMBER(AE324),AE324+N(AE325),"")</f>
        <v>1100.937</v>
      </c>
      <c r="AF326" s="214">
        <f>IF(ISNUMBER(AF324),AF324+N(AF325),"")</f>
        <v>1128.347</v>
      </c>
      <c r="AG326" s="214">
        <f>IF(ISNUMBER(AG324),AG324+N(AG325),"")</f>
        <v>1188.202</v>
      </c>
      <c r="AH326" s="214">
        <f>IF(ISNUMBER(AH324),AH324+N(AH325),"")</f>
        <v>1188.202</v>
      </c>
      <c r="AI326" s="214">
        <f>IF(ISNUMBER(AI324),AI324+N(AI325),"")</f>
        <v>1145.526</v>
      </c>
      <c r="AJ326" s="214">
        <f>IF(ISNUMBER(AJ324),AJ324+N(AJ325),"")</f>
        <v>1161.048</v>
      </c>
      <c r="AK326" s="214">
        <f>IF(ISNUMBER(AK324),AK324+N(AK325),"")</f>
        <v>1197.324</v>
      </c>
      <c r="AL326" s="214">
        <f>IF(ISNUMBER(AL324),AL324+N(AL325),"")</f>
        <v>1169.756</v>
      </c>
      <c r="AM326" s="214">
        <f>IF(ISNUMBER(AM324),AM324+N(AM325),"")</f>
        <v>1169.756</v>
      </c>
      <c r="AN326" s="214">
        <f>IF(ISNUMBER(AN324),AN324+N(AN325),"")</f>
        <v>1171.965</v>
      </c>
      <c r="AO326" s="214">
        <f>IF(ISNUMBER(AO324),AO324+N(AO325),"")</f>
        <v>1209.467</v>
      </c>
      <c r="AP326" s="214">
        <f>IF(ISNUMBER(AP324),AP324+N(AP325),"")</f>
        <v>1235.795</v>
      </c>
      <c r="AQ326" s="214">
        <f>IF(ISNUMBER(AQ324),AQ324+N(AQ325),"")</f>
        <v>1269.813</v>
      </c>
      <c r="AR326" s="214">
        <f>IF(ISNUMBER(AR324),AR324+N(AR325),"")</f>
        <v>1269.813</v>
      </c>
      <c r="AS326" s="214">
        <f>IF(ISNUMBER(AS324),AS324+N(AS325),"")</f>
        <v>1205.805</v>
      </c>
      <c r="AT326" s="214">
        <f>IF(ISNUMBER(AT324),AT324+N(AT325),"")</f>
        <v>1253.971</v>
      </c>
      <c r="AU326" s="214">
        <f>IF(ISNUMBER(AU324),AU324+N(AU325),"")</f>
        <v>1304.715</v>
      </c>
      <c r="AV326" s="214">
        <f>IF(ISNUMBER(AV324),AV324+N(AV325),"")</f>
        <v>1341.551</v>
      </c>
      <c r="AW326" s="214">
        <f>IF(ISNUMBER(AW324),AW324+N(AW325),"")</f>
        <v>1341.551</v>
      </c>
      <c r="AX326" s="214">
        <f>IF(ISNUMBER(AX324),AX324+N(AX325),"")</f>
        <v>1348.45</v>
      </c>
      <c r="AY326" s="214">
        <f>IF(ISNUMBER(AY324),AY324+N(AY325),"")</f>
        <v>1409.587</v>
      </c>
      <c r="AZ326" s="214">
        <f>IF(ISNUMBER(AZ324),AZ324+N(AZ325),"")</f>
        <v>1463.56</v>
      </c>
      <c r="BA326" s="214">
        <f>IF(ISNUMBER(BA324),BA324+N(BA325),"")</f>
        <v>1513.887</v>
      </c>
      <c r="BB326" s="214">
        <f>IF(ISNUMBER(BB324),BB324+N(BB325),"")</f>
        <v>1513.887</v>
      </c>
      <c r="BC326" s="214">
        <f>IF(ISNUMBER(BC324),BC324+N(BC325),"")</f>
        <v>1593.237</v>
      </c>
      <c r="BD326" s="214">
        <f>IF(ISNUMBER(BD324),BD324+N(BD325),"")</f>
        <v>1716.95</v>
      </c>
      <c r="BE326" s="214">
        <f>IF(ISNUMBER(BE324),BE324+N(BE325),"")</f>
        <v>1837.581</v>
      </c>
      <c r="BF326" s="214">
        <f>IF(ISNUMBER(BF324),BF324+N(BF325),"")</f>
        <v>1922.322</v>
      </c>
      <c r="BG326" s="214">
        <f>IF(ISNUMBER(BG324),BG324+N(BG325),"")</f>
        <v>1922.322</v>
      </c>
      <c r="BH326" s="214">
        <f>IF(ISNUMBER(BH324),BH324+N(BH325),"")</f>
        <v>1980.044</v>
      </c>
      <c r="BI326" s="214">
        <f>IF(ISNUMBER(BI324),BI324+N(BI325),"")</f>
        <v>2109.886</v>
      </c>
      <c r="BJ326" s="214">
        <f>IF(ISNUMBER(BJ324),BJ324+N(BJ325),"")</f>
        <v>2185.794</v>
      </c>
      <c r="BK326" s="214">
        <f>IF(ISNUMBER(BK324),BK324+N(BK325),"")</f>
        <v>2247.506</v>
      </c>
      <c r="BL326" s="214">
        <f>IF(ISNUMBER(BL324),BL324+N(BL325),"")</f>
        <v>2247.506</v>
      </c>
      <c r="BM326" s="214">
        <f>IF(ISNUMBER(BM324),BM324+N(BM325),"")</f>
        <v>2311.337</v>
      </c>
      <c r="BN326" s="214">
        <f>IF(ISNUMBER(BN324),BN324+N(BN325),"")</f>
        <v>2441.721</v>
      </c>
      <c r="BO326" s="214">
        <f>IF(ISNUMBER(BO324),BO324+N(BO325),"")</f>
        <v>2528.31</v>
      </c>
      <c r="BP326" s="214">
        <f>IF(ISNUMBER(BP324),BP324+N(BP325),"")</f>
        <v>2573.529</v>
      </c>
      <c r="BQ326" s="214">
        <f>IF(ISNUMBER(BQ324),BQ324+N(BQ325),"")</f>
        <v>2573.529</v>
      </c>
      <c r="BR326" s="214">
        <f>IF(ISNUMBER(BR324),BR324+N(BR325),"")</f>
        <v>2571.224</v>
      </c>
      <c r="BS326" s="214">
        <f>IF(ISNUMBER(BS324),BS324+N(BS325),"")</f>
        <v>2714.067</v>
      </c>
      <c r="BT326" s="214">
        <f>IF(ISNUMBER(BT324),BT324+N(BT325),"")</f>
        <v>2775.84</v>
      </c>
      <c r="BU326" s="214">
        <f>IF(ISNUMBER(BU324),BU324+N(BU325),"")</f>
        <v>2745.66</v>
      </c>
      <c r="BV326" s="214">
        <f>IF(ISNUMBER(BV324),BV324+N(BV325),"")</f>
        <v>2745.66</v>
      </c>
      <c r="BW326" s="214">
        <f>IF(ISNUMBER(BW324),BW324+N(BW325),"")</f>
        <v>2775.503</v>
      </c>
      <c r="BX326" s="214">
        <f>IF(ISNUMBER(BX324),BX324+N(BX325),"")</f>
        <v>2928.422</v>
      </c>
      <c r="BY326" s="34" t="n"/>
      <c r="BZ326" s="34" t="n"/>
      <c r="CA326" s="176">
        <f>CA324+N(CA325)</f>
        <v>3168.73415093436</v>
      </c>
      <c r="CB326" s="176">
        <f>CB324+N(CB325)</f>
        <v>3496.94964767528</v>
      </c>
      <c r="CC326" s="176">
        <f>CC324+N(CC325)</f>
        <v>3559.76772253988</v>
      </c>
      <c r="CD326" s="176">
        <f>CD324+N(CD325)</f>
        <v>3636.64169969446</v>
      </c>
      <c r="CE326" s="176">
        <f>CE324+N(CE325)</f>
        <v>3719.76349831034</v>
      </c>
      <c r="CF326" s="177" t="n"/>
    </row>
    <row r="327" ht="15" customHeight="1">
      <c r="B327" s="209" t="inlineStr">
        <is>
          <t>TOTAL LIABILITIES AND EQUITY</t>
        </is>
      </c>
      <c r="C327" s="210">
        <f>IF(ISNUMBER(C319),C319+C326,"")</f>
        <v>670.808</v>
      </c>
      <c r="D327" s="210">
        <f>IF(ISNUMBER(D319),D319+D326,"")</f>
        <v>769.888</v>
      </c>
      <c r="E327" s="210">
        <f>IF(ISNUMBER(E319),E319+E326,"")</f>
        <v>898.336</v>
      </c>
      <c r="F327" s="210">
        <f>IF(ISNUMBER(F319),F319+F326,"")</f>
        <v>1401.068</v>
      </c>
      <c r="G327" s="210">
        <f>IF(ISNUMBER(G319),G319+G326,"")</f>
        <v>1602.475</v>
      </c>
      <c r="H327" s="210">
        <f>IF(ISNUMBER(H319),H319+H326,"")</f>
        <v>2085.803</v>
      </c>
      <c r="I327" s="210">
        <f>IF(ISNUMBER(I319),I319+I326,"")</f>
        <v>3825.806</v>
      </c>
      <c r="J327" s="210">
        <f>IF(ISNUMBER(J319),J319+J326,"")</f>
        <v>3803.378</v>
      </c>
      <c r="K327" s="210">
        <f>IF(ISNUMBER(K319),K319+K326,"")</f>
        <v>3832.113</v>
      </c>
      <c r="L327" s="210">
        <f>IF(ISNUMBER(L319),L319+L326,"")</f>
        <v>3956.852</v>
      </c>
      <c r="M327" s="210">
        <f>IF(ISNUMBER(M319),M319+M326,"")</f>
        <v>3953.678</v>
      </c>
      <c r="N327" s="210">
        <f>IF(ISNUMBER(N319),N319+N326,"")</f>
        <v>3953.678</v>
      </c>
      <c r="O327" s="210">
        <f>IF(ISNUMBER(O319),O319+O326,"")</f>
        <v>3863.955</v>
      </c>
      <c r="P327" s="210">
        <f>IF(ISNUMBER(P319),P319+P326,"")</f>
        <v>3932.443</v>
      </c>
      <c r="Q327" s="210">
        <f>IF(ISNUMBER(Q319),Q319+Q326,"")</f>
        <v>3761.217</v>
      </c>
      <c r="R327" s="210">
        <f>IF(ISNUMBER(R319),R319+R326,"")</f>
        <v>3704.278</v>
      </c>
      <c r="S327" s="210">
        <f>IF(ISNUMBER(S319),S319+S326,"")</f>
        <v>3704.278</v>
      </c>
      <c r="T327" s="210">
        <f>IF(ISNUMBER(T319),T319+T326,"")</f>
        <v>3546.042</v>
      </c>
      <c r="U327" s="210">
        <f>IF(ISNUMBER(U319),U319+U326,"")</f>
        <v>3746.637</v>
      </c>
      <c r="V327" s="210">
        <f>IF(ISNUMBER(V319),V319+V326,"")</f>
        <v>3599.861</v>
      </c>
      <c r="W327" s="210">
        <f>IF(ISNUMBER(W319),W319+W326,"")</f>
        <v>3431.428</v>
      </c>
      <c r="X327" s="210">
        <f>IF(ISNUMBER(X319),X319+X326,"")</f>
        <v>3431.428</v>
      </c>
      <c r="Y327" s="210">
        <f>IF(ISNUMBER(Y319),Y319+Y326,"")</f>
        <v>3641.675</v>
      </c>
      <c r="Z327" s="210">
        <f>IF(ISNUMBER(Z319),Z319+Z326,"")</f>
        <v>3692.381</v>
      </c>
      <c r="AA327" s="210">
        <f>IF(ISNUMBER(AA319),AA319+AA326,"")</f>
        <v>3712.613</v>
      </c>
      <c r="AB327" s="210">
        <f>IF(ISNUMBER(AB319),AB319+AB326,"")</f>
        <v>3681.92</v>
      </c>
      <c r="AC327" s="210">
        <f>IF(ISNUMBER(AC319),AC319+AC326,"")</f>
        <v>3681.92</v>
      </c>
      <c r="AD327" s="210">
        <f>IF(ISNUMBER(AD319),AD319+AD326,"")</f>
        <v>3645.653</v>
      </c>
      <c r="AE327" s="210">
        <f>IF(ISNUMBER(AE319),AE319+AE326,"")</f>
        <v>3806.282</v>
      </c>
      <c r="AF327" s="210">
        <f>IF(ISNUMBER(AF319),AF319+AF326,"")</f>
        <v>3748.353</v>
      </c>
      <c r="AG327" s="210">
        <f>IF(ISNUMBER(AG319),AG319+AG326,"")</f>
        <v>3706.57</v>
      </c>
      <c r="AH327" s="210">
        <f>IF(ISNUMBER(AH319),AH319+AH326,"")</f>
        <v>3706.57</v>
      </c>
      <c r="AI327" s="210">
        <f>IF(ISNUMBER(AI319),AI319+AI326,"")</f>
        <v>3684.816</v>
      </c>
      <c r="AJ327" s="210">
        <f>IF(ISNUMBER(AJ319),AJ319+AJ326,"")</f>
        <v>3715.461</v>
      </c>
      <c r="AK327" s="210">
        <f>IF(ISNUMBER(AK319),AK319+AK326,"")</f>
        <v>3774.329</v>
      </c>
      <c r="AL327" s="210">
        <f>IF(ISNUMBER(AL319),AL319+AL326,"")</f>
        <v>3738.321</v>
      </c>
      <c r="AM327" s="210">
        <f>IF(ISNUMBER(AM319),AM319+AM326,"")</f>
        <v>3738.321</v>
      </c>
      <c r="AN327" s="210">
        <f>IF(ISNUMBER(AN319),AN319+AN326,"")</f>
        <v>3882.054</v>
      </c>
      <c r="AO327" s="210">
        <f>IF(ISNUMBER(AO319),AO319+AO326,"")</f>
        <v>3955.321</v>
      </c>
      <c r="AP327" s="210">
        <f>IF(ISNUMBER(AP319),AP319+AP326,"")</f>
        <v>4021.862</v>
      </c>
      <c r="AQ327" s="210">
        <f>IF(ISNUMBER(AQ319),AQ319+AQ326,"")</f>
        <v>4108.904</v>
      </c>
      <c r="AR327" s="210">
        <f>IF(ISNUMBER(AR319),AR319+AR326,"")</f>
        <v>4108.904</v>
      </c>
      <c r="AS327" s="210">
        <f>IF(ISNUMBER(AS319),AS319+AS326,"")</f>
        <v>4132.021</v>
      </c>
      <c r="AT327" s="210">
        <f>IF(ISNUMBER(AT319),AT319+AT326,"")</f>
        <v>4077.629</v>
      </c>
      <c r="AU327" s="210">
        <f>IF(ISNUMBER(AU319),AU319+AU326,"")</f>
        <v>4106.187</v>
      </c>
      <c r="AV327" s="210">
        <f>IF(ISNUMBER(AV319),AV319+AV326,"")</f>
        <v>4131.52</v>
      </c>
      <c r="AW327" s="210">
        <f>IF(ISNUMBER(AW319),AW319+AW326,"")</f>
        <v>4131.52</v>
      </c>
      <c r="AX327" s="210">
        <f>IF(ISNUMBER(AX319),AX319+AX326,"")</f>
        <v>4152.539</v>
      </c>
      <c r="AY327" s="210">
        <f>IF(ISNUMBER(AY319),AY319+AY326,"")</f>
        <v>4275.879</v>
      </c>
      <c r="AZ327" s="210">
        <f>IF(ISNUMBER(AZ319),AZ319+AZ326,"")</f>
        <v>4354.299</v>
      </c>
      <c r="BA327" s="210">
        <f>IF(ISNUMBER(BA319),BA319+BA326,"")</f>
        <v>5653.699</v>
      </c>
      <c r="BB327" s="210">
        <f>IF(ISNUMBER(BB319),BB319+BB326,"")</f>
        <v>5653.699</v>
      </c>
      <c r="BC327" s="210">
        <f>IF(ISNUMBER(BC319),BC319+BC326,"")</f>
        <v>5726.257</v>
      </c>
      <c r="BD327" s="210">
        <f>IF(ISNUMBER(BD319),BD319+BD326,"")</f>
        <v>5924.656</v>
      </c>
      <c r="BE327" s="210">
        <f>IF(ISNUMBER(BE319),BE319+BE326,"")</f>
        <v>6072.627</v>
      </c>
      <c r="BF327" s="210">
        <f>IF(ISNUMBER(BF319),BF319+BF326,"")</f>
        <v>6129.707</v>
      </c>
      <c r="BG327" s="210">
        <f>IF(ISNUMBER(BG319),BG319+BG326,"")</f>
        <v>6129.707</v>
      </c>
      <c r="BH327" s="210">
        <f>IF(ISNUMBER(BH319),BH319+BH326,"")</f>
        <v>6084.008</v>
      </c>
      <c r="BI327" s="210">
        <f>IF(ISNUMBER(BI319),BI319+BI326,"")</f>
        <v>6101.337</v>
      </c>
      <c r="BJ327" s="210">
        <f>IF(ISNUMBER(BJ319),BJ319+BJ326,"")</f>
        <v>6248.179</v>
      </c>
      <c r="BK327" s="210">
        <f>IF(ISNUMBER(BK319),BK319+BK326,"")</f>
        <v>6382.869</v>
      </c>
      <c r="BL327" s="210">
        <f>IF(ISNUMBER(BL319),BL319+BL326,"")</f>
        <v>6382.869</v>
      </c>
      <c r="BM327" s="210">
        <f>IF(ISNUMBER(BM319),BM319+BM326,"")</f>
        <v>6939.823</v>
      </c>
      <c r="BN327" s="210">
        <f>IF(ISNUMBER(BN319),BN319+BN326,"")</f>
        <v>7136.948</v>
      </c>
      <c r="BO327" s="210">
        <f>IF(ISNUMBER(BO319),BO319+BO326,"")</f>
        <v>7306.01</v>
      </c>
      <c r="BP327" s="210">
        <f>IF(ISNUMBER(BP319),BP319+BP326,"")</f>
        <v>7377.278</v>
      </c>
      <c r="BQ327" s="210">
        <f>IF(ISNUMBER(BQ319),BQ319+BQ326,"")</f>
        <v>7377.278</v>
      </c>
      <c r="BR327" s="210">
        <f>IF(ISNUMBER(BR319),BR319+BR326,"")</f>
        <v>7246.387</v>
      </c>
      <c r="BS327" s="210">
        <f>IF(ISNUMBER(BS319),BS319+BS326,"")</f>
        <v>7439.929</v>
      </c>
      <c r="BT327" s="210">
        <f>IF(ISNUMBER(BT319),BT319+BT326,"")</f>
        <v>7540.299</v>
      </c>
      <c r="BU327" s="210">
        <f>IF(ISNUMBER(BU319),BU319+BU326,"")</f>
        <v>7624.056</v>
      </c>
      <c r="BV327" s="210">
        <f>IF(ISNUMBER(BV319),BV319+BV326,"")</f>
        <v>7624.056</v>
      </c>
      <c r="BW327" s="210">
        <f>IF(ISNUMBER(BW319),BW319+BW326,"")</f>
        <v>7552.566</v>
      </c>
      <c r="BX327" s="210">
        <f>IF(ISNUMBER(BX319),BX319+BX326,"")</f>
        <v>7837.033</v>
      </c>
      <c r="BY327" s="60" t="n"/>
      <c r="BZ327" s="60" t="n"/>
      <c r="CA327" s="210">
        <f>CA319+CA326</f>
        <v>8750.94190605066</v>
      </c>
      <c r="CB327" s="210">
        <f>CB319+CB326</f>
        <v>9106.8007218649</v>
      </c>
      <c r="CC327" s="210">
        <f>CC319+CC326</f>
        <v>9235.20091631185</v>
      </c>
      <c r="CD327" s="210">
        <f>CD319+CD326</f>
        <v>9644.71402464335</v>
      </c>
      <c r="CE327" s="210">
        <f>CE319+CE326</f>
        <v>10056.254685669</v>
      </c>
      <c r="CF327" s="20" t="n"/>
    </row>
    <row r="328" ht="15" customHeight="1">
      <c r="B328" s="61" t="inlineStr">
        <is>
          <t>BS tie-out check (TA − TL&amp;E)</t>
        </is>
      </c>
      <c r="C328" s="188">
        <f>IF(ISNUMBER(C304),ROUND(C304-C327,1),"")</f>
        <v>0</v>
      </c>
      <c r="D328" s="188">
        <f>IF(ISNUMBER(D304),ROUND(D304-D327,1),"")</f>
        <v>0</v>
      </c>
      <c r="E328" s="188">
        <f>IF(ISNUMBER(E304),ROUND(E304-E327,1),"")</f>
        <v>0</v>
      </c>
      <c r="F328" s="188">
        <f>IF(ISNUMBER(F304),ROUND(F304-F327,1),"")</f>
        <v>0</v>
      </c>
      <c r="G328" s="188">
        <f>IF(ISNUMBER(G304),ROUND(G304-G327,1),"")</f>
        <v>0</v>
      </c>
      <c r="H328" s="188">
        <f>IF(ISNUMBER(H304),ROUND(H304-H327,1),"")</f>
        <v>0</v>
      </c>
      <c r="I328" s="188">
        <f>IF(ISNUMBER(I304),ROUND(I304-I327,1),"")</f>
        <v>0</v>
      </c>
      <c r="J328" s="188">
        <f>IF(ISNUMBER(J304),ROUND(J304-J327,1),"")</f>
        <v>0</v>
      </c>
      <c r="K328" s="188">
        <f>IF(ISNUMBER(K304),ROUND(K304-K327,1),"")</f>
        <v>0</v>
      </c>
      <c r="L328" s="188">
        <f>IF(ISNUMBER(L304),ROUND(L304-L327,1),"")</f>
        <v>0</v>
      </c>
      <c r="M328" s="188">
        <f>IF(ISNUMBER(M304),ROUND(M304-M327,1),"")</f>
        <v>0</v>
      </c>
      <c r="N328" s="188">
        <f>IF(ISNUMBER(N304),ROUND(N304-N327,1),"")</f>
        <v>0</v>
      </c>
      <c r="O328" s="188">
        <f>IF(ISNUMBER(O304),ROUND(O304-O327,1),"")</f>
        <v>0</v>
      </c>
      <c r="P328" s="188">
        <f>IF(ISNUMBER(P304),ROUND(P304-P327,1),"")</f>
        <v>0</v>
      </c>
      <c r="Q328" s="188">
        <f>IF(ISNUMBER(Q304),ROUND(Q304-Q327,1),"")</f>
        <v>0</v>
      </c>
      <c r="R328" s="188">
        <f>IF(ISNUMBER(R304),ROUND(R304-R327,1),"")</f>
        <v>0</v>
      </c>
      <c r="S328" s="188">
        <f>IF(ISNUMBER(S304),ROUND(S304-S327,1),"")</f>
        <v>0</v>
      </c>
      <c r="T328" s="188">
        <f>IF(ISNUMBER(T304),ROUND(T304-T327,1),"")</f>
        <v>0</v>
      </c>
      <c r="U328" s="188">
        <f>IF(ISNUMBER(U304),ROUND(U304-U327,1),"")</f>
        <v>0</v>
      </c>
      <c r="V328" s="188">
        <f>IF(ISNUMBER(V304),ROUND(V304-V327,1),"")</f>
        <v>0</v>
      </c>
      <c r="W328" s="188">
        <f>IF(ISNUMBER(W304),ROUND(W304-W327,1),"")</f>
        <v>0</v>
      </c>
      <c r="X328" s="188">
        <f>IF(ISNUMBER(X304),ROUND(X304-X327,1),"")</f>
        <v>0</v>
      </c>
      <c r="Y328" s="188">
        <f>IF(ISNUMBER(Y304),ROUND(Y304-Y327,1),"")</f>
        <v>0</v>
      </c>
      <c r="Z328" s="188">
        <f>IF(ISNUMBER(Z304),ROUND(Z304-Z327,1),"")</f>
        <v>0</v>
      </c>
      <c r="AA328" s="188">
        <f>IF(ISNUMBER(AA304),ROUND(AA304-AA327,1),"")</f>
        <v>0</v>
      </c>
      <c r="AB328" s="188">
        <f>IF(ISNUMBER(AB304),ROUND(AB304-AB327,1),"")</f>
        <v>0</v>
      </c>
      <c r="AC328" s="188">
        <f>IF(ISNUMBER(AC304),ROUND(AC304-AC327,1),"")</f>
        <v>0</v>
      </c>
      <c r="AD328" s="188">
        <f>IF(ISNUMBER(AD304),ROUND(AD304-AD327,1),"")</f>
        <v>0</v>
      </c>
      <c r="AE328" s="188">
        <f>IF(ISNUMBER(AE304),ROUND(AE304-AE327,1),"")</f>
        <v>0</v>
      </c>
      <c r="AF328" s="188">
        <f>IF(ISNUMBER(AF304),ROUND(AF304-AF327,1),"")</f>
        <v>0</v>
      </c>
      <c r="AG328" s="188">
        <f>IF(ISNUMBER(AG304),ROUND(AG304-AG327,1),"")</f>
        <v>0</v>
      </c>
      <c r="AH328" s="188">
        <f>IF(ISNUMBER(AH304),ROUND(AH304-AH327,1),"")</f>
        <v>0</v>
      </c>
      <c r="AI328" s="188">
        <f>IF(ISNUMBER(AI304),ROUND(AI304-AI327,1),"")</f>
        <v>0</v>
      </c>
      <c r="AJ328" s="188">
        <f>IF(ISNUMBER(AJ304),ROUND(AJ304-AJ327,1),"")</f>
        <v>0</v>
      </c>
      <c r="AK328" s="188">
        <f>IF(ISNUMBER(AK304),ROUND(AK304-AK327,1),"")</f>
        <v>0</v>
      </c>
      <c r="AL328" s="188">
        <f>IF(ISNUMBER(AL304),ROUND(AL304-AL327,1),"")</f>
        <v>0</v>
      </c>
      <c r="AM328" s="188">
        <f>IF(ISNUMBER(AM304),ROUND(AM304-AM327,1),"")</f>
        <v>0</v>
      </c>
      <c r="AN328" s="188">
        <f>IF(ISNUMBER(AN304),ROUND(AN304-AN327,1),"")</f>
        <v>0</v>
      </c>
      <c r="AO328" s="188">
        <f>IF(ISNUMBER(AO304),ROUND(AO304-AO327,1),"")</f>
        <v>0</v>
      </c>
      <c r="AP328" s="188">
        <f>IF(ISNUMBER(AP304),ROUND(AP304-AP327,1),"")</f>
        <v>0</v>
      </c>
      <c r="AQ328" s="188">
        <f>IF(ISNUMBER(AQ304),ROUND(AQ304-AQ327,1),"")</f>
        <v>0</v>
      </c>
      <c r="AR328" s="188">
        <f>IF(ISNUMBER(AR304),ROUND(AR304-AR327,1),"")</f>
        <v>0</v>
      </c>
      <c r="AS328" s="188">
        <f>IF(ISNUMBER(AS304),ROUND(AS304-AS327,1),"")</f>
        <v>0</v>
      </c>
      <c r="AT328" s="188">
        <f>IF(ISNUMBER(AT304),ROUND(AT304-AT327,1),"")</f>
        <v>0</v>
      </c>
      <c r="AU328" s="188">
        <f>IF(ISNUMBER(AU304),ROUND(AU304-AU327,1),"")</f>
        <v>0</v>
      </c>
      <c r="AV328" s="188">
        <f>IF(ISNUMBER(AV304),ROUND(AV304-AV327,1),"")</f>
        <v>0</v>
      </c>
      <c r="AW328" s="188">
        <f>IF(ISNUMBER(AW304),ROUND(AW304-AW327,1),"")</f>
        <v>0</v>
      </c>
      <c r="AX328" s="188">
        <f>IF(ISNUMBER(AX304),ROUND(AX304-AX327,1),"")</f>
        <v>0</v>
      </c>
      <c r="AY328" s="188">
        <f>IF(ISNUMBER(AY304),ROUND(AY304-AY327,1),"")</f>
        <v>0</v>
      </c>
      <c r="AZ328" s="188">
        <f>IF(ISNUMBER(AZ304),ROUND(AZ304-AZ327,1),"")</f>
        <v>0</v>
      </c>
      <c r="BA328" s="188">
        <f>IF(ISNUMBER(BA304),ROUND(BA304-BA327,1),"")</f>
        <v>0</v>
      </c>
      <c r="BB328" s="188">
        <f>IF(ISNUMBER(BB304),ROUND(BB304-BB327,1),"")</f>
        <v>0</v>
      </c>
      <c r="BC328" s="188">
        <f>IF(ISNUMBER(BC304),ROUND(BC304-BC327,1),"")</f>
        <v>0</v>
      </c>
      <c r="BD328" s="188">
        <f>IF(ISNUMBER(BD304),ROUND(BD304-BD327,1),"")</f>
        <v>0</v>
      </c>
      <c r="BE328" s="188">
        <f>IF(ISNUMBER(BE304),ROUND(BE304-BE327,1),"")</f>
        <v>0</v>
      </c>
      <c r="BF328" s="188">
        <f>IF(ISNUMBER(BF304),ROUND(BF304-BF327,1),"")</f>
        <v>0</v>
      </c>
      <c r="BG328" s="188">
        <f>IF(ISNUMBER(BG304),ROUND(BG304-BG327,1),"")</f>
        <v>0</v>
      </c>
      <c r="BH328" s="188">
        <f>IF(ISNUMBER(BH304),ROUND(BH304-BH327,1),"")</f>
        <v>0</v>
      </c>
      <c r="BI328" s="188">
        <f>IF(ISNUMBER(BI304),ROUND(BI304-BI327,1),"")</f>
        <v>0</v>
      </c>
      <c r="BJ328" s="188">
        <f>IF(ISNUMBER(BJ304),ROUND(BJ304-BJ327,1),"")</f>
        <v>0</v>
      </c>
      <c r="BK328" s="188">
        <f>IF(ISNUMBER(BK304),ROUND(BK304-BK327,1),"")</f>
        <v>0</v>
      </c>
      <c r="BL328" s="188">
        <f>IF(ISNUMBER(BL304),ROUND(BL304-BL327,1),"")</f>
        <v>0</v>
      </c>
      <c r="BM328" s="188">
        <f>IF(ISNUMBER(BM304),ROUND(BM304-BM327,1),"")</f>
        <v>0</v>
      </c>
      <c r="BN328" s="188">
        <f>IF(ISNUMBER(BN304),ROUND(BN304-BN327,1),"")</f>
        <v>0</v>
      </c>
      <c r="BO328" s="188">
        <f>IF(ISNUMBER(BO304),ROUND(BO304-BO327,1),"")</f>
        <v>0</v>
      </c>
      <c r="BP328" s="188">
        <f>IF(ISNUMBER(BP304),ROUND(BP304-BP327,1),"")</f>
        <v>0</v>
      </c>
      <c r="BQ328" s="188">
        <f>IF(ISNUMBER(BQ304),ROUND(BQ304-BQ327,1),"")</f>
        <v>0</v>
      </c>
      <c r="BR328" s="188">
        <f>IF(ISNUMBER(BR304),ROUND(BR304-BR327,1),"")</f>
        <v>0</v>
      </c>
      <c r="BS328" s="188">
        <f>IF(ISNUMBER(BS304),ROUND(BS304-BS327,1),"")</f>
        <v>0</v>
      </c>
      <c r="BT328" s="188">
        <f>IF(ISNUMBER(BT304),ROUND(BT304-BT327,1),"")</f>
        <v>0</v>
      </c>
      <c r="BU328" s="188">
        <f>IF(ISNUMBER(BU304),ROUND(BU304-BU327,1),"")</f>
        <v>0</v>
      </c>
      <c r="BV328" s="188">
        <f>IF(ISNUMBER(BV304),ROUND(BV304-BV327,1),"")</f>
        <v>0</v>
      </c>
      <c r="BW328" s="188">
        <f>IF(ISNUMBER(BW304),ROUND(BW304-BW327,1),"")</f>
        <v>0</v>
      </c>
      <c r="BX328" s="188">
        <f>IF(ISNUMBER(BX304),ROUND(BX304-BX327,1),"")</f>
        <v>0</v>
      </c>
      <c r="BY328" s="189" t="n"/>
      <c r="BZ328" s="189" t="n"/>
      <c r="CA328" s="211">
        <f>IF(ISNUMBER(CA304),ROUND(CA304-CA327,1),"")</f>
        <v>0</v>
      </c>
      <c r="CB328" s="211">
        <f>IF(ISNUMBER(CB304),ROUND(CB304-CB327,1),"")</f>
        <v>0</v>
      </c>
      <c r="CC328" s="211">
        <f>IF(ISNUMBER(CC304),ROUND(CC304-CC327,1),"")</f>
        <v>0</v>
      </c>
      <c r="CD328" s="211">
        <f>IF(ISNUMBER(CD304),ROUND(CD304-CD327,1),"")</f>
        <v>0</v>
      </c>
      <c r="CE328" s="211">
        <f>IF(ISNUMBER(CE304),ROUND(CE304-CE327,1),"")</f>
        <v>0</v>
      </c>
      <c r="CF328" s="177" t="n"/>
    </row>
    <row r="329" ht="15" customHeight="1">
      <c r="B329" s="61" t="inlineStr">
        <is>
          <t xml:space="preserve">  Check: model total assets vs reported (should be 0)</t>
        </is>
      </c>
      <c r="C329" s="188">
        <f>IF(ISNUMBER(C330),ROUND(C304-C330,1),"")</f>
        <v>0</v>
      </c>
      <c r="D329" s="188">
        <f>IF(ISNUMBER(D330),ROUND(D304-D330,1),"")</f>
        <v>0</v>
      </c>
      <c r="E329" s="188">
        <f>IF(ISNUMBER(E330),ROUND(E304-E330,1),"")</f>
        <v>0</v>
      </c>
      <c r="F329" s="188">
        <f>IF(ISNUMBER(F330),ROUND(F304-F330,1),"")</f>
        <v>0</v>
      </c>
      <c r="G329" s="188">
        <f>IF(ISNUMBER(G330),ROUND(G304-G330,1),"")</f>
        <v>0</v>
      </c>
      <c r="H329" s="188">
        <f>IF(ISNUMBER(H330),ROUND(H304-H330,1),"")</f>
        <v>0</v>
      </c>
      <c r="I329" s="188">
        <f>IF(ISNUMBER(I330),ROUND(I304-I330,1),"")</f>
        <v>0</v>
      </c>
      <c r="J329" s="188">
        <f>IF(ISNUMBER(J330),ROUND(J304-J330,1),"")</f>
        <v>0</v>
      </c>
      <c r="K329" s="188">
        <f>IF(ISNUMBER(K330),ROUND(K304-K330,1),"")</f>
        <v>0</v>
      </c>
      <c r="L329" s="188">
        <f>IF(ISNUMBER(L330),ROUND(L304-L330,1),"")</f>
        <v>0</v>
      </c>
      <c r="M329" s="188">
        <f>IF(ISNUMBER(M330),ROUND(M304-M330,1),"")</f>
        <v>0</v>
      </c>
      <c r="N329" s="188">
        <f>IF(ISNUMBER(N330),ROUND(N304-N330,1),"")</f>
        <v>0</v>
      </c>
      <c r="O329" s="188">
        <f>IF(ISNUMBER(O330),ROUND(O304-O330,1),"")</f>
        <v>0</v>
      </c>
      <c r="P329" s="188">
        <f>IF(ISNUMBER(P330),ROUND(P304-P330,1),"")</f>
        <v>0</v>
      </c>
      <c r="Q329" s="188">
        <f>IF(ISNUMBER(Q330),ROUND(Q304-Q330,1),"")</f>
        <v>0</v>
      </c>
      <c r="R329" s="188">
        <f>IF(ISNUMBER(R330),ROUND(R304-R330,1),"")</f>
        <v>0</v>
      </c>
      <c r="S329" s="188">
        <f>IF(ISNUMBER(S330),ROUND(S304-S330,1),"")</f>
        <v>0</v>
      </c>
      <c r="T329" s="188">
        <f>IF(ISNUMBER(T330),ROUND(T304-T330,1),"")</f>
        <v>0</v>
      </c>
      <c r="U329" s="188">
        <f>IF(ISNUMBER(U330),ROUND(U304-U330,1),"")</f>
        <v>0</v>
      </c>
      <c r="V329" s="188">
        <f>IF(ISNUMBER(V330),ROUND(V304-V330,1),"")</f>
        <v>0</v>
      </c>
      <c r="W329" s="188">
        <f>IF(ISNUMBER(W330),ROUND(W304-W330,1),"")</f>
        <v>0</v>
      </c>
      <c r="X329" s="188">
        <f>IF(ISNUMBER(X330),ROUND(X304-X330,1),"")</f>
        <v>0</v>
      </c>
      <c r="Y329" s="188">
        <f>IF(ISNUMBER(Y330),ROUND(Y304-Y330,1),"")</f>
        <v>0</v>
      </c>
      <c r="Z329" s="188">
        <f>IF(ISNUMBER(Z330),ROUND(Z304-Z330,1),"")</f>
        <v>0</v>
      </c>
      <c r="AA329" s="188">
        <f>IF(ISNUMBER(AA330),ROUND(AA304-AA330,1),"")</f>
        <v>0</v>
      </c>
      <c r="AB329" s="188">
        <f>IF(ISNUMBER(AB330),ROUND(AB304-AB330,1),"")</f>
        <v>0</v>
      </c>
      <c r="AC329" s="188">
        <f>IF(ISNUMBER(AC330),ROUND(AC304-AC330,1),"")</f>
        <v>0</v>
      </c>
      <c r="AD329" s="188">
        <f>IF(ISNUMBER(AD330),ROUND(AD304-AD330,1),"")</f>
        <v>0</v>
      </c>
      <c r="AE329" s="188">
        <f>IF(ISNUMBER(AE330),ROUND(AE304-AE330,1),"")</f>
        <v>0</v>
      </c>
      <c r="AF329" s="188">
        <f>IF(ISNUMBER(AF330),ROUND(AF304-AF330,1),"")</f>
        <v>0</v>
      </c>
      <c r="AG329" s="188">
        <f>IF(ISNUMBER(AG330),ROUND(AG304-AG330,1),"")</f>
        <v>0</v>
      </c>
      <c r="AH329" s="188">
        <f>IF(ISNUMBER(AH330),ROUND(AH304-AH330,1),"")</f>
        <v>0</v>
      </c>
      <c r="AI329" s="188">
        <f>IF(ISNUMBER(AI330),ROUND(AI304-AI330,1),"")</f>
        <v>0</v>
      </c>
      <c r="AJ329" s="188">
        <f>IF(ISNUMBER(AJ330),ROUND(AJ304-AJ330,1),"")</f>
        <v>0</v>
      </c>
      <c r="AK329" s="188">
        <f>IF(ISNUMBER(AK330),ROUND(AK304-AK330,1),"")</f>
        <v>0</v>
      </c>
      <c r="AL329" s="188">
        <f>IF(ISNUMBER(AL330),ROUND(AL304-AL330,1),"")</f>
        <v>0</v>
      </c>
      <c r="AM329" s="188">
        <f>IF(ISNUMBER(AM330),ROUND(AM304-AM330,1),"")</f>
        <v>0</v>
      </c>
      <c r="AN329" s="188">
        <f>IF(ISNUMBER(AN330),ROUND(AN304-AN330,1),"")</f>
        <v>0</v>
      </c>
      <c r="AO329" s="188">
        <f>IF(ISNUMBER(AO330),ROUND(AO304-AO330,1),"")</f>
        <v>0</v>
      </c>
      <c r="AP329" s="188">
        <f>IF(ISNUMBER(AP330),ROUND(AP304-AP330,1),"")</f>
        <v>0</v>
      </c>
      <c r="AQ329" s="188">
        <f>IF(ISNUMBER(AQ330),ROUND(AQ304-AQ330,1),"")</f>
        <v>0</v>
      </c>
      <c r="AR329" s="188">
        <f>IF(ISNUMBER(AR330),ROUND(AR304-AR330,1),"")</f>
        <v>0</v>
      </c>
      <c r="AS329" s="188">
        <f>IF(ISNUMBER(AS330),ROUND(AS304-AS330,1),"")</f>
        <v>0</v>
      </c>
      <c r="AT329" s="188">
        <f>IF(ISNUMBER(AT330),ROUND(AT304-AT330,1),"")</f>
        <v>0</v>
      </c>
      <c r="AU329" s="188">
        <f>IF(ISNUMBER(AU330),ROUND(AU304-AU330,1),"")</f>
        <v>0</v>
      </c>
      <c r="AV329" s="188">
        <f>IF(ISNUMBER(AV330),ROUND(AV304-AV330,1),"")</f>
        <v>0</v>
      </c>
      <c r="AW329" s="188">
        <f>IF(ISNUMBER(AW330),ROUND(AW304-AW330,1),"")</f>
        <v>0</v>
      </c>
      <c r="AX329" s="188">
        <f>IF(ISNUMBER(AX330),ROUND(AX304-AX330,1),"")</f>
        <v>0</v>
      </c>
      <c r="AY329" s="188">
        <f>IF(ISNUMBER(AY330),ROUND(AY304-AY330,1),"")</f>
        <v>0</v>
      </c>
      <c r="AZ329" s="188">
        <f>IF(ISNUMBER(AZ330),ROUND(AZ304-AZ330,1),"")</f>
        <v>0</v>
      </c>
      <c r="BA329" s="188">
        <f>IF(ISNUMBER(BA330),ROUND(BA304-BA330,1),"")</f>
        <v>0</v>
      </c>
      <c r="BB329" s="188">
        <f>IF(ISNUMBER(BB330),ROUND(BB304-BB330,1),"")</f>
        <v>0</v>
      </c>
      <c r="BC329" s="188">
        <f>IF(ISNUMBER(BC330),ROUND(BC304-BC330,1),"")</f>
        <v>0</v>
      </c>
      <c r="BD329" s="188">
        <f>IF(ISNUMBER(BD330),ROUND(BD304-BD330,1),"")</f>
        <v>0</v>
      </c>
      <c r="BE329" s="188">
        <f>IF(ISNUMBER(BE330),ROUND(BE304-BE330,1),"")</f>
        <v>0</v>
      </c>
      <c r="BF329" s="188">
        <f>IF(ISNUMBER(BF330),ROUND(BF304-BF330,1),"")</f>
        <v>0</v>
      </c>
      <c r="BG329" s="188">
        <f>IF(ISNUMBER(BG330),ROUND(BG304-BG330,1),"")</f>
        <v>0</v>
      </c>
      <c r="BH329" s="188">
        <f>IF(ISNUMBER(BH330),ROUND(BH304-BH330,1),"")</f>
        <v>0</v>
      </c>
      <c r="BI329" s="188">
        <f>IF(ISNUMBER(BI330),ROUND(BI304-BI330,1),"")</f>
        <v>0</v>
      </c>
      <c r="BJ329" s="188">
        <f>IF(ISNUMBER(BJ330),ROUND(BJ304-BJ330,1),"")</f>
        <v>0</v>
      </c>
      <c r="BK329" s="188">
        <f>IF(ISNUMBER(BK330),ROUND(BK304-BK330,1),"")</f>
        <v>0</v>
      </c>
      <c r="BL329" s="188">
        <f>IF(ISNUMBER(BL330),ROUND(BL304-BL330,1),"")</f>
        <v>0</v>
      </c>
      <c r="BM329" s="188">
        <f>IF(ISNUMBER(BM330),ROUND(BM304-BM330,1),"")</f>
        <v>0</v>
      </c>
      <c r="BN329" s="188">
        <f>IF(ISNUMBER(BN330),ROUND(BN304-BN330,1),"")</f>
        <v>0</v>
      </c>
      <c r="BO329" s="188">
        <f>IF(ISNUMBER(BO330),ROUND(BO304-BO330,1),"")</f>
        <v>0</v>
      </c>
      <c r="BP329" s="188">
        <f>IF(ISNUMBER(BP330),ROUND(BP304-BP330,1),"")</f>
        <v>0</v>
      </c>
      <c r="BQ329" s="188">
        <f>IF(ISNUMBER(BQ330),ROUND(BQ304-BQ330,1),"")</f>
        <v>0</v>
      </c>
      <c r="BR329" s="188">
        <f>IF(ISNUMBER(BR330),ROUND(BR304-BR330,1),"")</f>
        <v>0</v>
      </c>
      <c r="BS329" s="188">
        <f>IF(ISNUMBER(BS330),ROUND(BS304-BS330,1),"")</f>
        <v>0</v>
      </c>
      <c r="BT329" s="188">
        <f>IF(ISNUMBER(BT330),ROUND(BT304-BT330,1),"")</f>
        <v>0</v>
      </c>
      <c r="BU329" s="188">
        <f>IF(ISNUMBER(BU330),ROUND(BU304-BU330,1),"")</f>
        <v>0</v>
      </c>
      <c r="BV329" s="188">
        <f>IF(ISNUMBER(BV330),ROUND(BV304-BV330,1),"")</f>
        <v>0</v>
      </c>
      <c r="BW329" s="188">
        <f>IF(ISNUMBER(BW330),ROUND(BW304-BW330,1),"")</f>
        <v>0</v>
      </c>
      <c r="BX329" s="188">
        <f>IF(ISNUMBER(BX330),ROUND(BX304-BX330,1),"")</f>
        <v>0</v>
      </c>
      <c r="BY329" s="189" t="n"/>
      <c r="BZ329" s="189" t="n"/>
      <c r="CA329" s="189" t="n"/>
      <c r="CB329" s="189" t="n"/>
      <c r="CC329" s="189" t="n"/>
      <c r="CD329" s="189" t="n"/>
      <c r="CE329" s="189" t="n"/>
      <c r="CF329" s="177" t="n"/>
    </row>
    <row r="330" ht="15" customHeight="1">
      <c r="B330" s="42" t="inlineStr">
        <is>
          <t xml:space="preserve">  Memo: total assets as reported</t>
        </is>
      </c>
      <c r="C330" s="200" t="n">
        <v>670.808</v>
      </c>
      <c r="D330" s="200" t="n">
        <v>769.888</v>
      </c>
      <c r="E330" s="200" t="n">
        <v>898.336</v>
      </c>
      <c r="F330" s="200" t="n">
        <v>1401.068</v>
      </c>
      <c r="G330" s="200" t="n">
        <v>1602.475</v>
      </c>
      <c r="H330" s="200" t="n">
        <v>2085.803</v>
      </c>
      <c r="I330" s="200" t="n">
        <v>3825.806</v>
      </c>
      <c r="J330" s="200" t="n">
        <v>3803.378</v>
      </c>
      <c r="K330" s="200" t="n">
        <v>3832.113</v>
      </c>
      <c r="L330" s="200" t="n">
        <v>3956.852</v>
      </c>
      <c r="M330" s="200" t="n">
        <v>3953.678</v>
      </c>
      <c r="N330" s="200" t="n">
        <v>3953.678</v>
      </c>
      <c r="O330" s="200" t="n">
        <v>3863.955</v>
      </c>
      <c r="P330" s="200" t="n">
        <v>3932.443</v>
      </c>
      <c r="Q330" s="200" t="n">
        <v>3761.217</v>
      </c>
      <c r="R330" s="200" t="n">
        <v>3704.278</v>
      </c>
      <c r="S330" s="200" t="n">
        <v>3704.278</v>
      </c>
      <c r="T330" s="200" t="n">
        <v>3546.042</v>
      </c>
      <c r="U330" s="200" t="n">
        <v>3746.637</v>
      </c>
      <c r="V330" s="200" t="n">
        <v>3599.861</v>
      </c>
      <c r="W330" s="200" t="n">
        <v>3431.428</v>
      </c>
      <c r="X330" s="200" t="n">
        <v>3431.428</v>
      </c>
      <c r="Y330" s="200" t="n">
        <v>3641.675</v>
      </c>
      <c r="Z330" s="200" t="n">
        <v>3692.381</v>
      </c>
      <c r="AA330" s="200" t="n">
        <v>3712.613</v>
      </c>
      <c r="AB330" s="200" t="n">
        <v>3681.92</v>
      </c>
      <c r="AC330" s="200" t="n">
        <v>3681.92</v>
      </c>
      <c r="AD330" s="200" t="n">
        <v>3645.653</v>
      </c>
      <c r="AE330" s="200" t="n">
        <v>3806.282</v>
      </c>
      <c r="AF330" s="200" t="n">
        <v>3748.353</v>
      </c>
      <c r="AG330" s="200" t="n">
        <v>3706.57</v>
      </c>
      <c r="AH330" s="200" t="n">
        <v>3706.57</v>
      </c>
      <c r="AI330" s="200" t="n">
        <v>3684.816</v>
      </c>
      <c r="AJ330" s="200" t="n">
        <v>3715.461</v>
      </c>
      <c r="AK330" s="200" t="n">
        <v>3774.329</v>
      </c>
      <c r="AL330" s="200" t="n">
        <v>3738.321</v>
      </c>
      <c r="AM330" s="200" t="n">
        <v>3738.321</v>
      </c>
      <c r="AN330" s="200" t="n">
        <v>3882.054</v>
      </c>
      <c r="AO330" s="200" t="n">
        <v>3955.321</v>
      </c>
      <c r="AP330" s="200" t="n">
        <v>4021.862</v>
      </c>
      <c r="AQ330" s="200" t="n">
        <v>4108.904</v>
      </c>
      <c r="AR330" s="200" t="n">
        <v>4108.904</v>
      </c>
      <c r="AS330" s="200" t="n">
        <v>4132.021</v>
      </c>
      <c r="AT330" s="200" t="n">
        <v>4077.629</v>
      </c>
      <c r="AU330" s="200" t="n">
        <v>4106.187</v>
      </c>
      <c r="AV330" s="200" t="n">
        <v>4131.52</v>
      </c>
      <c r="AW330" s="200" t="n">
        <v>4131.52</v>
      </c>
      <c r="AX330" s="200" t="n">
        <v>4152.539</v>
      </c>
      <c r="AY330" s="200" t="n">
        <v>4275.879</v>
      </c>
      <c r="AZ330" s="200" t="n">
        <v>4354.299</v>
      </c>
      <c r="BA330" s="200" t="n">
        <v>5653.699</v>
      </c>
      <c r="BB330" s="200" t="n">
        <v>5653.699</v>
      </c>
      <c r="BC330" s="200" t="n">
        <v>5726.257</v>
      </c>
      <c r="BD330" s="200" t="n">
        <v>5924.656</v>
      </c>
      <c r="BE330" s="200" t="n">
        <v>6072.627</v>
      </c>
      <c r="BF330" s="200" t="n">
        <v>6129.707</v>
      </c>
      <c r="BG330" s="200" t="n">
        <v>6129.707</v>
      </c>
      <c r="BH330" s="200" t="n">
        <v>6084.008</v>
      </c>
      <c r="BI330" s="200" t="n">
        <v>6101.337</v>
      </c>
      <c r="BJ330" s="200" t="n">
        <v>6248.179</v>
      </c>
      <c r="BK330" s="200" t="n">
        <v>6382.869</v>
      </c>
      <c r="BL330" s="200" t="n">
        <v>6382.869</v>
      </c>
      <c r="BM330" s="200" t="n">
        <v>6939.823</v>
      </c>
      <c r="BN330" s="200" t="n">
        <v>7136.948</v>
      </c>
      <c r="BO330" s="200" t="n">
        <v>7306.01</v>
      </c>
      <c r="BP330" s="200" t="n">
        <v>7377.278</v>
      </c>
      <c r="BQ330" s="200" t="n">
        <v>7377.278</v>
      </c>
      <c r="BR330" s="200" t="n">
        <v>7246.387</v>
      </c>
      <c r="BS330" s="200" t="n">
        <v>7439.929</v>
      </c>
      <c r="BT330" s="200" t="n">
        <v>7540.299</v>
      </c>
      <c r="BU330" s="200" t="n">
        <v>7624.056</v>
      </c>
      <c r="BV330" s="200" t="n">
        <v>7624.056</v>
      </c>
      <c r="BW330" s="200" t="n">
        <v>7552.566</v>
      </c>
      <c r="BX330" s="200" t="n">
        <v>7837.033</v>
      </c>
      <c r="BY330" s="189" t="n"/>
      <c r="BZ330" s="189" t="n"/>
      <c r="CA330" s="189" t="n"/>
      <c r="CB330" s="189" t="n"/>
      <c r="CC330" s="189" t="n"/>
      <c r="CD330" s="189" t="n"/>
      <c r="CE330" s="189" t="n"/>
      <c r="CF330" s="177" t="n"/>
    </row>
    <row r="331" ht="15" customHeight="1">
      <c r="B331" s="61" t="inlineStr">
        <is>
          <t xml:space="preserve">  Check: BS cash vs cash-flow ending cash (should be 0)</t>
        </is>
      </c>
      <c r="C331" s="188">
        <f>IF(AND(ISNUMBER(C292),ISNUMBER(C267)),ROUND(C292-C267,1),"")</f>
        <v>0</v>
      </c>
      <c r="D331" s="188">
        <f>IF(AND(ISNUMBER(D292),ISNUMBER(D267)),ROUND(D292-D267,1),"")</f>
        <v>0</v>
      </c>
      <c r="E331" s="188">
        <f>IF(AND(ISNUMBER(E292),ISNUMBER(E267)),ROUND(E292-E267,1),"")</f>
        <v>0</v>
      </c>
      <c r="F331" s="188">
        <f>IF(AND(ISNUMBER(F292),ISNUMBER(F267)),ROUND(F292-F267,1),"")</f>
        <v>0</v>
      </c>
      <c r="G331" s="188">
        <f>IF(AND(ISNUMBER(G292),ISNUMBER(G267)),ROUND(G292-G267,1),"")</f>
        <v>0</v>
      </c>
      <c r="H331" s="188">
        <f>IF(AND(ISNUMBER(H292),ISNUMBER(H267)),ROUND(H292-H267,1),"")</f>
        <v>0</v>
      </c>
      <c r="I331" s="188">
        <f>IF(AND(ISNUMBER(I292),ISNUMBER(I267)),ROUND(I292-I267,1),"")</f>
        <v>0</v>
      </c>
      <c r="J331" s="188">
        <f>IF(AND(ISNUMBER(J292),ISNUMBER(J267)),ROUND(J292-J267,1),"")</f>
        <v>0</v>
      </c>
      <c r="K331" s="188">
        <f>IF(AND(ISNUMBER(K292),ISNUMBER(K267)),ROUND(K292-K267,1),"")</f>
        <v>0</v>
      </c>
      <c r="L331" s="188">
        <f>IF(AND(ISNUMBER(L292),ISNUMBER(L267)),ROUND(L292-L267,1),"")</f>
        <v>0</v>
      </c>
      <c r="M331" s="188">
        <f>IF(AND(ISNUMBER(M292),ISNUMBER(M267)),ROUND(M292-M267,1),"")</f>
        <v>0</v>
      </c>
      <c r="N331" s="188">
        <f>IF(AND(ISNUMBER(N292),ISNUMBER(N267)),ROUND(N292-N267,1),"")</f>
        <v>0</v>
      </c>
      <c r="O331" s="188">
        <f>IF(AND(ISNUMBER(O292),ISNUMBER(O267)),ROUND(O292-O267,1),"")</f>
        <v>0</v>
      </c>
      <c r="P331" s="188">
        <f>IF(AND(ISNUMBER(P292),ISNUMBER(P267)),ROUND(P292-P267,1),"")</f>
        <v>0</v>
      </c>
      <c r="Q331" s="188">
        <f>IF(AND(ISNUMBER(Q292),ISNUMBER(Q267)),ROUND(Q292-Q267,1),"")</f>
        <v>0</v>
      </c>
      <c r="R331" s="188">
        <f>IF(AND(ISNUMBER(R292),ISNUMBER(R267)),ROUND(R292-R267,1),"")</f>
        <v>0</v>
      </c>
      <c r="S331" s="188">
        <f>IF(AND(ISNUMBER(S292),ISNUMBER(S267)),ROUND(S292-S267,1),"")</f>
        <v>0</v>
      </c>
      <c r="T331" s="188">
        <f>IF(AND(ISNUMBER(T292),ISNUMBER(T267)),ROUND(T292-T267,1),"")</f>
        <v>0</v>
      </c>
      <c r="U331" s="188">
        <f>IF(AND(ISNUMBER(U292),ISNUMBER(U267)),ROUND(U292-U267,1),"")</f>
        <v>0</v>
      </c>
      <c r="V331" s="188">
        <f>IF(AND(ISNUMBER(V292),ISNUMBER(V267)),ROUND(V292-V267,1),"")</f>
        <v>0</v>
      </c>
      <c r="W331" s="188">
        <f>IF(AND(ISNUMBER(W292),ISNUMBER(W267)),ROUND(W292-W267,1),"")</f>
        <v>0</v>
      </c>
      <c r="X331" s="188">
        <f>IF(AND(ISNUMBER(X292),ISNUMBER(X267)),ROUND(X292-X267,1),"")</f>
        <v>0</v>
      </c>
      <c r="Y331" s="188">
        <f>IF(AND(ISNUMBER(Y292),ISNUMBER(Y267)),ROUND(Y292-Y267,1),"")</f>
        <v>0</v>
      </c>
      <c r="Z331" s="188">
        <f>IF(AND(ISNUMBER(Z292),ISNUMBER(Z267)),ROUND(Z292-Z267,1),"")</f>
        <v>0</v>
      </c>
      <c r="AA331" s="188">
        <f>IF(AND(ISNUMBER(AA292),ISNUMBER(AA267)),ROUND(AA292-AA267,1),"")</f>
        <v>0</v>
      </c>
      <c r="AB331" s="188">
        <f>IF(AND(ISNUMBER(AB292),ISNUMBER(AB267)),ROUND(AB292-AB267,1),"")</f>
        <v>0</v>
      </c>
      <c r="AC331" s="188">
        <f>IF(AND(ISNUMBER(AC292),ISNUMBER(AC267)),ROUND(AC292-AC267,1),"")</f>
        <v>0</v>
      </c>
      <c r="AD331" s="188">
        <f>IF(AND(ISNUMBER(AD292),ISNUMBER(AD267)),ROUND(AD292-AD267,1),"")</f>
        <v>0</v>
      </c>
      <c r="AE331" s="188">
        <f>IF(AND(ISNUMBER(AE292),ISNUMBER(AE267)),ROUND(AE292-AE267,1),"")</f>
        <v>0</v>
      </c>
      <c r="AF331" s="188">
        <f>IF(AND(ISNUMBER(AF292),ISNUMBER(AF267)),ROUND(AF292-AF267,1),"")</f>
        <v>0</v>
      </c>
      <c r="AG331" s="188">
        <f>IF(AND(ISNUMBER(AG292),ISNUMBER(AG267)),ROUND(AG292-AG267,1),"")</f>
        <v>0</v>
      </c>
      <c r="AH331" s="188">
        <f>IF(AND(ISNUMBER(AH292),ISNUMBER(AH267)),ROUND(AH292-AH267,1),"")</f>
        <v>0</v>
      </c>
      <c r="AI331" s="188">
        <f>IF(AND(ISNUMBER(AI292),ISNUMBER(AI267)),ROUND(AI292-AI267,1),"")</f>
        <v>0</v>
      </c>
      <c r="AJ331" s="188">
        <f>IF(AND(ISNUMBER(AJ292),ISNUMBER(AJ267)),ROUND(AJ292-AJ267,1),"")</f>
        <v>0</v>
      </c>
      <c r="AK331" s="188">
        <f>IF(AND(ISNUMBER(AK292),ISNUMBER(AK267)),ROUND(AK292-AK267,1),"")</f>
        <v>0</v>
      </c>
      <c r="AL331" s="188">
        <f>IF(AND(ISNUMBER(AL292),ISNUMBER(AL267)),ROUND(AL292-AL267,1),"")</f>
        <v>0</v>
      </c>
      <c r="AM331" s="188">
        <f>IF(AND(ISNUMBER(AM292),ISNUMBER(AM267)),ROUND(AM292-AM267,1),"")</f>
        <v>0</v>
      </c>
      <c r="AN331" s="188">
        <f>IF(AND(ISNUMBER(AN292),ISNUMBER(AN267)),ROUND(AN292-AN267,1),"")</f>
        <v>0</v>
      </c>
      <c r="AO331" s="188">
        <f>IF(AND(ISNUMBER(AO292),ISNUMBER(AO267)),ROUND(AO292-AO267,1),"")</f>
        <v>0</v>
      </c>
      <c r="AP331" s="188">
        <f>IF(AND(ISNUMBER(AP292),ISNUMBER(AP267)),ROUND(AP292-AP267,1),"")</f>
        <v>0</v>
      </c>
      <c r="AQ331" s="188">
        <f>IF(AND(ISNUMBER(AQ292),ISNUMBER(AQ267)),ROUND(AQ292-AQ267,1),"")</f>
        <v>0</v>
      </c>
      <c r="AR331" s="188">
        <f>IF(AND(ISNUMBER(AR292),ISNUMBER(AR267)),ROUND(AR292-AR267,1),"")</f>
        <v>0</v>
      </c>
      <c r="AS331" s="188">
        <f>IF(AND(ISNUMBER(AS292),ISNUMBER(AS267)),ROUND(AS292-AS267,1),"")</f>
        <v>0</v>
      </c>
      <c r="AT331" s="188">
        <f>IF(AND(ISNUMBER(AT292),ISNUMBER(AT267)),ROUND(AT292-AT267,1),"")</f>
        <v>0</v>
      </c>
      <c r="AU331" s="188">
        <f>IF(AND(ISNUMBER(AU292),ISNUMBER(AU267)),ROUND(AU292-AU267,1),"")</f>
        <v>0</v>
      </c>
      <c r="AV331" s="188">
        <f>IF(AND(ISNUMBER(AV292),ISNUMBER(AV267)),ROUND(AV292-AV267,1),"")</f>
        <v>0</v>
      </c>
      <c r="AW331" s="188">
        <f>IF(AND(ISNUMBER(AW292),ISNUMBER(AW267)),ROUND(AW292-AW267,1),"")</f>
        <v>0</v>
      </c>
      <c r="AX331" s="188">
        <f>IF(AND(ISNUMBER(AX292),ISNUMBER(AX267)),ROUND(AX292-AX267,1),"")</f>
        <v>0</v>
      </c>
      <c r="AY331" s="188">
        <f>IF(AND(ISNUMBER(AY292),ISNUMBER(AY267)),ROUND(AY292-AY267,1),"")</f>
        <v>0</v>
      </c>
      <c r="AZ331" s="188">
        <f>IF(AND(ISNUMBER(AZ292),ISNUMBER(AZ267)),ROUND(AZ292-AZ267,1),"")</f>
        <v>0</v>
      </c>
      <c r="BA331" s="188">
        <f>IF(AND(ISNUMBER(BA292),ISNUMBER(BA267)),ROUND(BA292-BA267,1),"")</f>
        <v>0</v>
      </c>
      <c r="BB331" s="188">
        <f>IF(AND(ISNUMBER(BB292),ISNUMBER(BB267)),ROUND(BB292-BB267,1),"")</f>
        <v>0</v>
      </c>
      <c r="BC331" s="188">
        <f>IF(AND(ISNUMBER(BC292),ISNUMBER(BC267)),ROUND(BC292-BC267,1),"")</f>
        <v>0</v>
      </c>
      <c r="BD331" s="188">
        <f>IF(AND(ISNUMBER(BD292),ISNUMBER(BD267)),ROUND(BD292-BD267,1),"")</f>
        <v>0</v>
      </c>
      <c r="BE331" s="188">
        <f>IF(AND(ISNUMBER(BE292),ISNUMBER(BE267)),ROUND(BE292-BE267,1),"")</f>
        <v>0</v>
      </c>
      <c r="BF331" s="188">
        <f>IF(AND(ISNUMBER(BF292),ISNUMBER(BF267)),ROUND(BF292-BF267,1),"")</f>
        <v>0</v>
      </c>
      <c r="BG331" s="188">
        <f>IF(AND(ISNUMBER(BG292),ISNUMBER(BG267)),ROUND(BG292-BG267,1),"")</f>
        <v>0</v>
      </c>
      <c r="BH331" s="188">
        <f>IF(AND(ISNUMBER(BH292),ISNUMBER(BH267)),ROUND(BH292-BH267,1),"")</f>
        <v>0</v>
      </c>
      <c r="BI331" s="188">
        <f>IF(AND(ISNUMBER(BI292),ISNUMBER(BI267)),ROUND(BI292-BI267,1),"")</f>
        <v>0</v>
      </c>
      <c r="BJ331" s="188">
        <f>IF(AND(ISNUMBER(BJ292),ISNUMBER(BJ267)),ROUND(BJ292-BJ267,1),"")</f>
        <v>0</v>
      </c>
      <c r="BK331" s="188">
        <f>IF(AND(ISNUMBER(BK292),ISNUMBER(BK267)),ROUND(BK292-BK267,1),"")</f>
        <v>0</v>
      </c>
      <c r="BL331" s="188">
        <f>IF(AND(ISNUMBER(BL292),ISNUMBER(BL267)),ROUND(BL292-BL267,1),"")</f>
        <v>0</v>
      </c>
      <c r="BM331" s="188">
        <f>IF(AND(ISNUMBER(BM292),ISNUMBER(BM267)),ROUND(BM292-BM267,1),"")</f>
        <v>0</v>
      </c>
      <c r="BN331" s="188">
        <f>IF(AND(ISNUMBER(BN292),ISNUMBER(BN267)),ROUND(BN292-BN267,1),"")</f>
        <v>0</v>
      </c>
      <c r="BO331" s="188">
        <f>IF(AND(ISNUMBER(BO292),ISNUMBER(BO267)),ROUND(BO292-BO267,1),"")</f>
        <v>0</v>
      </c>
      <c r="BP331" s="188">
        <f>IF(AND(ISNUMBER(BP292),ISNUMBER(BP267)),ROUND(BP292-BP267,1),"")</f>
        <v>0</v>
      </c>
      <c r="BQ331" s="188">
        <f>IF(AND(ISNUMBER(BQ292),ISNUMBER(BQ267)),ROUND(BQ292-BQ267,1),"")</f>
        <v>0</v>
      </c>
      <c r="BR331" s="188">
        <f>IF(AND(ISNUMBER(BR292),ISNUMBER(BR267)),ROUND(BR292-BR267,1),"")</f>
        <v>0</v>
      </c>
      <c r="BS331" s="188">
        <f>IF(AND(ISNUMBER(BS292),ISNUMBER(BS267)),ROUND(BS292-BS267,1),"")</f>
        <v>0</v>
      </c>
      <c r="BT331" s="188">
        <f>IF(AND(ISNUMBER(BT292),ISNUMBER(BT267)),ROUND(BT292-BT267,1),"")</f>
        <v>0</v>
      </c>
      <c r="BU331" s="188">
        <f>IF(AND(ISNUMBER(BU292),ISNUMBER(BU267)),ROUND(BU292-BU267,1),"")</f>
        <v>0</v>
      </c>
      <c r="BV331" s="188">
        <f>IF(AND(ISNUMBER(BV292),ISNUMBER(BV267)),ROUND(BV292-BV267,1),"")</f>
        <v>0</v>
      </c>
      <c r="BW331" s="188">
        <f>IF(AND(ISNUMBER(BW292),ISNUMBER(BW267)),ROUND(BW292-BW267,1),"")</f>
        <v>0</v>
      </c>
      <c r="BX331" s="188">
        <f>IF(AND(ISNUMBER(BX292),ISNUMBER(BX267)),ROUND(BX292-BX267,1),"")</f>
        <v>0</v>
      </c>
      <c r="BY331" s="189" t="n"/>
      <c r="BZ331" s="189" t="n"/>
      <c r="CA331" s="211">
        <f>IF(AND(ISNUMBER(CA292),ISNUMBER(CA267)),ROUND(CA292-CA267,1),"")</f>
        <v>0</v>
      </c>
      <c r="CB331" s="211">
        <f>IF(AND(ISNUMBER(CB292),ISNUMBER(CB267)),ROUND(CB292-CB267,1),"")</f>
        <v>0</v>
      </c>
      <c r="CC331" s="211">
        <f>IF(AND(ISNUMBER(CC292),ISNUMBER(CC267)),ROUND(CC292-CC267,1),"")</f>
        <v>0</v>
      </c>
      <c r="CD331" s="211">
        <f>IF(AND(ISNUMBER(CD292),ISNUMBER(CD267)),ROUND(CD292-CD267,1),"")</f>
        <v>0</v>
      </c>
      <c r="CE331" s="211">
        <f>IF(AND(ISNUMBER(CE292),ISNUMBER(CE267)),ROUND(CE292-CE267,1),"")</f>
        <v>0</v>
      </c>
      <c r="CF331" s="177" t="n"/>
    </row>
    <row r="332" ht="15" customHeight="1">
      <c r="B332" s="42" t="inlineStr">
        <is>
          <t xml:space="preserve">  Memo: common shares outstanding at period end (m)</t>
        </is>
      </c>
      <c r="C332" s="234" t="n">
        <v>0.06900000000000001</v>
      </c>
      <c r="D332" s="234" t="n">
        <v>0</v>
      </c>
      <c r="E332" s="234" t="n">
        <v>23.733257</v>
      </c>
      <c r="F332" s="234" t="n">
        <v>26.230803</v>
      </c>
      <c r="G332" s="234" t="n">
        <v>26.386196</v>
      </c>
      <c r="H332" s="234" t="n">
        <v>53.182859</v>
      </c>
      <c r="I332" s="234" t="n">
        <v>60.385453</v>
      </c>
      <c r="J332" s="234" t="n">
        <v>60.491452</v>
      </c>
      <c r="K332" s="234" t="n">
        <v>60.550064</v>
      </c>
      <c r="L332" s="234" t="n">
        <v>60.612702</v>
      </c>
      <c r="M332" s="234" t="n">
        <v>60.67218</v>
      </c>
      <c r="N332" s="234" t="n">
        <v>60.67218</v>
      </c>
      <c r="O332" s="234" t="n">
        <v>60.717774</v>
      </c>
      <c r="P332" s="234" t="n">
        <v>60.579425</v>
      </c>
      <c r="Q332" s="234" t="n">
        <v>59.947866</v>
      </c>
      <c r="R332" s="234" t="n">
        <v>58.903482</v>
      </c>
      <c r="S332" s="234" t="n">
        <v>58.903482</v>
      </c>
      <c r="T332" s="234" t="n">
        <v>58.661384</v>
      </c>
      <c r="U332" s="234" t="n">
        <v>58.428068</v>
      </c>
      <c r="V332" s="234" t="n">
        <v>57.664992</v>
      </c>
      <c r="W332" s="234" t="n">
        <v>57.593201</v>
      </c>
      <c r="X332" s="234" t="n">
        <v>57.593201</v>
      </c>
      <c r="Y332" s="234" t="n">
        <v>57.551188</v>
      </c>
      <c r="Z332" s="234" t="n">
        <v>57.495095</v>
      </c>
      <c r="AA332" s="234" t="n">
        <v>57.389531</v>
      </c>
      <c r="AB332" s="234" t="n">
        <v>57.297978</v>
      </c>
      <c r="AC332" s="234" t="n">
        <v>57.297978</v>
      </c>
      <c r="AD332" s="234" t="n">
        <v>57.188805</v>
      </c>
      <c r="AE332" s="234" t="n">
        <v>57.153687</v>
      </c>
      <c r="AF332" s="234" t="n">
        <v>56.926549</v>
      </c>
      <c r="AG332" s="234" t="n">
        <v>56.50119</v>
      </c>
      <c r="AH332" s="234" t="n">
        <v>56.50119</v>
      </c>
      <c r="AI332" s="234" t="n">
        <v>56.244601</v>
      </c>
      <c r="AJ332" s="234" t="n">
        <v>56.087256</v>
      </c>
      <c r="AK332" s="234" t="n">
        <v>55.997893</v>
      </c>
      <c r="AL332" s="234" t="n">
        <v>55.847261</v>
      </c>
      <c r="AM332" s="234" t="n">
        <v>55.847261</v>
      </c>
      <c r="AN332" s="234" t="n">
        <v>55.827714</v>
      </c>
      <c r="AO332" s="234" t="n">
        <v>55.859402</v>
      </c>
      <c r="AP332" s="234" t="n">
        <v>55.807524</v>
      </c>
      <c r="AQ332" s="234" t="n">
        <v>55.797734</v>
      </c>
      <c r="AR332" s="234" t="n">
        <v>55.797734</v>
      </c>
      <c r="AS332" s="234" t="n">
        <v>55.554925</v>
      </c>
      <c r="AT332" s="234" t="n">
        <v>55.61286</v>
      </c>
      <c r="AU332" s="234" t="n">
        <v>55.245611</v>
      </c>
      <c r="AV332" s="234" t="n">
        <v>54.772696</v>
      </c>
      <c r="AW332" s="234" t="n">
        <v>54.772696</v>
      </c>
      <c r="AX332" s="234" t="n">
        <v>54.550817</v>
      </c>
      <c r="AY332" s="234" t="n">
        <v>54.393252</v>
      </c>
      <c r="AZ332" s="234" t="n">
        <v>54.409894</v>
      </c>
      <c r="BA332" s="234" t="n">
        <v>54.419321</v>
      </c>
      <c r="BB332" s="234" t="n">
        <v>54.419321</v>
      </c>
      <c r="BC332" s="234" t="n">
        <v>54.414189</v>
      </c>
      <c r="BD332" s="234" t="n">
        <v>54.110459</v>
      </c>
      <c r="BE332" s="234" t="n">
        <v>54.070197</v>
      </c>
      <c r="BF332" s="234" t="n">
        <v>54.064797</v>
      </c>
      <c r="BG332" s="234" t="n">
        <v>54.064797</v>
      </c>
      <c r="BH332" s="234" t="n">
        <v>54.09224</v>
      </c>
      <c r="BI332" s="234" t="n">
        <v>54.090202</v>
      </c>
      <c r="BJ332" s="234" t="n">
        <v>54.102982</v>
      </c>
      <c r="BK332" s="234" t="n">
        <v>53.929703</v>
      </c>
      <c r="BL332" s="234" t="n">
        <v>53.929703</v>
      </c>
      <c r="BM332" s="234" t="n">
        <v>53.926191</v>
      </c>
      <c r="BN332" s="234" t="n">
        <v>53.930201</v>
      </c>
      <c r="BO332" s="234" t="n">
        <v>53.898805</v>
      </c>
      <c r="BP332" s="234" t="n">
        <v>53.832692</v>
      </c>
      <c r="BQ332" s="234" t="n">
        <v>53.832692</v>
      </c>
      <c r="BR332" s="234" t="n">
        <v>53.636038</v>
      </c>
      <c r="BS332" s="234" t="n">
        <v>53.614135</v>
      </c>
      <c r="BT332" s="234" t="n">
        <v>53.430975</v>
      </c>
      <c r="BU332" s="234" t="n">
        <v>52.870599</v>
      </c>
      <c r="BV332" s="234" t="n">
        <v>52.870599</v>
      </c>
      <c r="BW332" s="234" t="n">
        <v>52.833291</v>
      </c>
      <c r="BX332" s="234" t="n">
        <v>52.791094</v>
      </c>
      <c r="BY332" s="235" t="n"/>
      <c r="BZ332" s="235" t="n"/>
      <c r="CA332" s="236">
        <f>CA286</f>
        <v>52.6854955684322</v>
      </c>
      <c r="CB332" s="236">
        <f>CB286</f>
        <v>52.0304705654759</v>
      </c>
      <c r="CC332" s="236">
        <f>CC286</f>
        <v>50.4684999807026</v>
      </c>
      <c r="CD332" s="236">
        <f>CD286</f>
        <v>48.8660293644149</v>
      </c>
      <c r="CE332" s="236">
        <f>CE286</f>
        <v>47.2382251052772</v>
      </c>
      <c r="CF332" s="177" t="n"/>
    </row>
    <row r="333" ht="15" customHeight="1"/>
    <row r="334" ht="15" customHeight="1">
      <c r="B334" s="11" t="inlineStr">
        <is>
          <t>WORKING CAPITAL &amp; CASH CONVERSION</t>
        </is>
      </c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  <c r="AG334" s="11" t="n"/>
      <c r="AH334" s="11" t="n"/>
      <c r="AI334" s="11" t="n"/>
      <c r="AJ334" s="11" t="n"/>
      <c r="AK334" s="11" t="n"/>
      <c r="AL334" s="11" t="n"/>
      <c r="AM334" s="11" t="n"/>
      <c r="AN334" s="11" t="n"/>
      <c r="AO334" s="11" t="n"/>
      <c r="AP334" s="11" t="n"/>
      <c r="AQ334" s="11" t="n"/>
      <c r="AR334" s="11" t="n"/>
      <c r="AS334" s="11" t="n"/>
      <c r="AT334" s="11" t="n"/>
      <c r="AU334" s="11" t="n"/>
      <c r="AV334" s="11" t="n"/>
      <c r="AW334" s="11" t="n"/>
      <c r="AX334" s="11" t="n"/>
      <c r="AY334" s="11" t="n"/>
      <c r="AZ334" s="11" t="n"/>
      <c r="BA334" s="11" t="n"/>
      <c r="BB334" s="11" t="n"/>
      <c r="BC334" s="11" t="n"/>
      <c r="BD334" s="11" t="n"/>
      <c r="BE334" s="11" t="n"/>
      <c r="BF334" s="11" t="n"/>
      <c r="BG334" s="11" t="n"/>
      <c r="BH334" s="11" t="n"/>
      <c r="BI334" s="11" t="n"/>
      <c r="BJ334" s="11" t="n"/>
      <c r="BK334" s="11" t="n"/>
      <c r="BL334" s="11" t="n"/>
      <c r="BM334" s="11" t="n"/>
      <c r="BN334" s="11" t="n"/>
      <c r="BO334" s="11" t="n"/>
      <c r="BP334" s="11" t="n"/>
      <c r="BQ334" s="11" t="n"/>
      <c r="BR334" s="11" t="n"/>
      <c r="BS334" s="11" t="n"/>
      <c r="BT334" s="11" t="n"/>
      <c r="BU334" s="11" t="n"/>
      <c r="BV334" s="11" t="n"/>
      <c r="BW334" s="11" t="n"/>
      <c r="BX334" s="11" t="n"/>
      <c r="BY334" s="11" t="n"/>
      <c r="BZ334" s="11" t="n"/>
      <c r="CA334" s="11" t="n"/>
      <c r="CB334" s="11" t="n"/>
      <c r="CC334" s="11" t="n"/>
      <c r="CD334" s="11" t="n"/>
      <c r="CE334" s="11" t="n"/>
      <c r="CF334" s="11" t="inlineStr">
        <is>
          <t>WORKING CAPITAL — forecast drivers (blue = input); quarterly ratios annualised (× 4)</t>
        </is>
      </c>
    </row>
    <row r="335" ht="15" customHeight="1">
      <c r="B335" s="26" t="inlineStr">
        <is>
          <t xml:space="preserve">  Revenues — pro forma full-year basis (2026E incl. pending deals pre-closing)</t>
        </is>
      </c>
      <c r="C335" s="212">
        <f>C138</f>
        <v>829.809</v>
      </c>
      <c r="D335" s="212">
        <f>D138</f>
        <v>946.917</v>
      </c>
      <c r="E335" s="212">
        <f>E138</f>
        <v>1030.713</v>
      </c>
      <c r="F335" s="212">
        <f>F138</f>
        <v>1074.22</v>
      </c>
      <c r="G335" s="212">
        <f>G138</f>
        <v>1731.244</v>
      </c>
      <c r="H335" s="212">
        <f>H138</f>
        <v>1984.136</v>
      </c>
      <c r="I335" s="212">
        <f>I138</f>
        <v>2187.908</v>
      </c>
      <c r="J335" s="212">
        <f>J138*4</f>
        <v>3448.652</v>
      </c>
      <c r="K335" s="212">
        <f>K138*4</f>
        <v>3442.112</v>
      </c>
      <c r="L335" s="212">
        <f>L138*4</f>
        <v>3630.14</v>
      </c>
      <c r="M335" s="212">
        <f>M138*4</f>
        <v>3517.72</v>
      </c>
      <c r="N335" s="212">
        <f>N138</f>
        <v>3509.656</v>
      </c>
      <c r="O335" s="212">
        <f>O138*4</f>
        <v>3386.668</v>
      </c>
      <c r="P335" s="212">
        <f>P138*4</f>
        <v>3433.92</v>
      </c>
      <c r="Q335" s="212">
        <f>Q138*4</f>
        <v>3405.86</v>
      </c>
      <c r="R335" s="212">
        <f>R138*4</f>
        <v>3380.096</v>
      </c>
      <c r="S335" s="212">
        <f>S138</f>
        <v>3401.636</v>
      </c>
      <c r="T335" s="212">
        <f>T138*4</f>
        <v>2929.996</v>
      </c>
      <c r="U335" s="212">
        <f>U138*4</f>
        <v>3744.912</v>
      </c>
      <c r="V335" s="212">
        <f>V138*4</f>
        <v>3573.464</v>
      </c>
      <c r="W335" s="212">
        <f>W138*4</f>
        <v>2852.176</v>
      </c>
      <c r="X335" s="212">
        <f>X138</f>
        <v>3275.137</v>
      </c>
      <c r="Y335" s="212">
        <f>Y138*4</f>
        <v>2544.332</v>
      </c>
      <c r="Z335" s="212">
        <f>Z138*4</f>
        <v>2790.04</v>
      </c>
      <c r="AA335" s="212">
        <f>AA138*4</f>
        <v>2918.08</v>
      </c>
      <c r="AB335" s="212">
        <f>AB138*4</f>
        <v>2768.452</v>
      </c>
      <c r="AC335" s="212">
        <f>AC138</f>
        <v>2755.226</v>
      </c>
      <c r="AD335" s="212">
        <f>AD138*4</f>
        <v>2755.764</v>
      </c>
      <c r="AE335" s="212">
        <f>AE138*4</f>
        <v>3011.152</v>
      </c>
      <c r="AF335" s="212">
        <f>AF138*4</f>
        <v>3023.384</v>
      </c>
      <c r="AG335" s="212">
        <f>AG138*4</f>
        <v>2989.612</v>
      </c>
      <c r="AH335" s="212">
        <f>AH138</f>
        <v>2944.978</v>
      </c>
      <c r="AI335" s="212">
        <f>AI138*4</f>
        <v>2999.112</v>
      </c>
      <c r="AJ335" s="212">
        <f>AJ138*4</f>
        <v>3396.56</v>
      </c>
      <c r="AK335" s="212">
        <f>AK138*4</f>
        <v>3372.724</v>
      </c>
      <c r="AL335" s="212">
        <f>AL138*4</f>
        <v>3432.816</v>
      </c>
      <c r="AM335" s="212">
        <f>AM138</f>
        <v>3300.303</v>
      </c>
      <c r="AN335" s="212">
        <f>AN138*4</f>
        <v>3123.356</v>
      </c>
      <c r="AO335" s="212">
        <f>AO138*4</f>
        <v>3474.712</v>
      </c>
      <c r="AP335" s="212">
        <f>AP138*4</f>
        <v>3566.672</v>
      </c>
      <c r="AQ335" s="212">
        <f>AQ138*4</f>
        <v>3484.02</v>
      </c>
      <c r="AR335" s="212">
        <f>AR138</f>
        <v>3412.19</v>
      </c>
      <c r="AS335" s="212">
        <f>AS138*4</f>
        <v>3434.252</v>
      </c>
      <c r="AT335" s="212">
        <f>AT138*4</f>
        <v>2840</v>
      </c>
      <c r="AU335" s="212">
        <f>AU138*4</f>
        <v>3117.376</v>
      </c>
      <c r="AV335" s="212">
        <f>AV138*4</f>
        <v>3184.76</v>
      </c>
      <c r="AW335" s="212">
        <f>AW138</f>
        <v>3144.097</v>
      </c>
      <c r="AX335" s="212">
        <f>AX138*4</f>
        <v>3232.592</v>
      </c>
      <c r="AY335" s="212">
        <f>AY138*4</f>
        <v>3705.832</v>
      </c>
      <c r="AZ335" s="212">
        <f>AZ138*4</f>
        <v>3805.916</v>
      </c>
      <c r="BA335" s="212">
        <f>BA138*4</f>
        <v>4477.924</v>
      </c>
      <c r="BB335" s="212">
        <f>BB138</f>
        <v>3805.566</v>
      </c>
      <c r="BC335" s="212">
        <f>BC138*4</f>
        <v>4676.436</v>
      </c>
      <c r="BD335" s="212">
        <f>BD138*4</f>
        <v>5425.248</v>
      </c>
      <c r="BE335" s="212">
        <f>BE138*4</f>
        <v>5452.344</v>
      </c>
      <c r="BF335" s="212">
        <f>BF138*4</f>
        <v>5112.392</v>
      </c>
      <c r="BG335" s="212">
        <f>BG138</f>
        <v>5166.605</v>
      </c>
      <c r="BH335" s="212">
        <f>BH138*4</f>
        <v>5229.548</v>
      </c>
      <c r="BI335" s="212">
        <f>BI138*4</f>
        <v>5591.6</v>
      </c>
      <c r="BJ335" s="212">
        <f>BJ138*4</f>
        <v>5462.784</v>
      </c>
      <c r="BK335" s="212">
        <f>BK138*4</f>
        <v>5352.676</v>
      </c>
      <c r="BL335" s="212">
        <f>BL138</f>
        <v>5409.152</v>
      </c>
      <c r="BM335" s="212">
        <f>BM138*4</f>
        <v>5506.78</v>
      </c>
      <c r="BN335" s="212">
        <f>BN138*4</f>
        <v>6210.876</v>
      </c>
      <c r="BO335" s="212">
        <f>BO138*4</f>
        <v>6117.688</v>
      </c>
      <c r="BP335" s="212">
        <f>BP138*4</f>
        <v>5724.464</v>
      </c>
      <c r="BQ335" s="212">
        <f>BQ138</f>
        <v>5889.952</v>
      </c>
      <c r="BR335" s="212">
        <f>BR138*4</f>
        <v>5727.8</v>
      </c>
      <c r="BS335" s="212">
        <f>BS138*4</f>
        <v>6199.416</v>
      </c>
      <c r="BT335" s="212">
        <f>BT138*4</f>
        <v>6197.348</v>
      </c>
      <c r="BU335" s="212">
        <f>BU138*4</f>
        <v>5998.784</v>
      </c>
      <c r="BV335" s="212">
        <f>BV138</f>
        <v>6030.837</v>
      </c>
      <c r="BW335" s="212">
        <f>BW138*4</f>
        <v>5838.148</v>
      </c>
      <c r="BX335" s="212">
        <f>BX138*4</f>
        <v>6940.02</v>
      </c>
      <c r="BY335" s="168" t="n"/>
      <c r="BZ335" s="168" t="n"/>
      <c r="CA335" s="186">
        <f>CA138+(CA60*(365-CA58)+CA61*(365-CA59))/365</f>
        <v>6861.49207</v>
      </c>
      <c r="CB335" s="186">
        <f>CB138</f>
        <v>7277.40481160497</v>
      </c>
      <c r="CC335" s="186">
        <f>CC138</f>
        <v>7876.51163238994</v>
      </c>
      <c r="CD335" s="186">
        <f>CD138</f>
        <v>8483.26940533391</v>
      </c>
      <c r="CE335" s="186">
        <f>CE138</f>
        <v>9109.88916028172</v>
      </c>
      <c r="CF335" s="20" t="inlineStr">
        <is>
          <t>2026E adds ES&amp;H / EnviroServe revenues for the pre-closing days so year-end working capital is sized on a full-year run-rate.</t>
        </is>
      </c>
    </row>
    <row r="336" ht="15" customHeight="1">
      <c r="B336" s="26" t="inlineStr">
        <is>
          <t xml:space="preserve">  Cost of revenues — pro forma basis</t>
        </is>
      </c>
      <c r="C336" s="212">
        <f>IFERROR(C335*C141/C138,"")</f>
        <v>584.835</v>
      </c>
      <c r="D336" s="212">
        <f>IFERROR(D335*D141/D138,"")</f>
        <v>664.44</v>
      </c>
      <c r="E336" s="212">
        <f>IFERROR(E335*E141/E138,"")</f>
        <v>707.82</v>
      </c>
      <c r="F336" s="212">
        <f>IFERROR(F335*F141/F138,"")</f>
        <v>753.483</v>
      </c>
      <c r="G336" s="212">
        <f>IFERROR(G335*G141/G138,"")</f>
        <v>1210.74</v>
      </c>
      <c r="H336" s="212">
        <f>IFERROR(H335*H141/H138,"")</f>
        <v>1379.991</v>
      </c>
      <c r="I336" s="212">
        <f>IFERROR(I335*I141/I138,"")</f>
        <v>1540.621</v>
      </c>
      <c r="J336" s="212">
        <f>IFERROR(J335*J141/J138,"")</f>
        <v>2544.096</v>
      </c>
      <c r="K336" s="212">
        <f>IFERROR(K335*K141/K138,"")</f>
        <v>2457.304</v>
      </c>
      <c r="L336" s="212">
        <f>IFERROR(L335*L141/L138,"")</f>
        <v>2588.476</v>
      </c>
      <c r="M336" s="212">
        <f>IFERROR(M335*M141/M138,"")</f>
        <v>2580.656</v>
      </c>
      <c r="N336" s="212">
        <f>IFERROR(N335*N141/N138,"")</f>
        <v>2542.633</v>
      </c>
      <c r="O336" s="212">
        <f>IFERROR(O335*O141/O138,"")</f>
        <v>2502.876</v>
      </c>
      <c r="P336" s="212">
        <f>IFERROR(P335*P141/P138,"")</f>
        <v>2427.8</v>
      </c>
      <c r="Q336" s="212">
        <f>IFERROR(Q335*Q141/Q138,"")</f>
        <v>2393.628</v>
      </c>
      <c r="R336" s="212">
        <f>IFERROR(R335*R141/R138,"")</f>
        <v>2442.88</v>
      </c>
      <c r="S336" s="212">
        <f>IFERROR(S335*S141/S138,"")</f>
        <v>2441.796</v>
      </c>
      <c r="T336" s="212">
        <f>IFERROR(T335*T141/T138,"")</f>
        <v>2186.028</v>
      </c>
      <c r="U336" s="212">
        <f>IFERROR(U335*U141/U138,"")</f>
        <v>2610.752</v>
      </c>
      <c r="V336" s="212">
        <f>IFERROR(V335*V141/V138,"")</f>
        <v>2538.584</v>
      </c>
      <c r="W336" s="212">
        <f>IFERROR(W335*W141/W138,"")</f>
        <v>2091.86</v>
      </c>
      <c r="X336" s="212">
        <f>IFERROR(X335*X141/X138,"")</f>
        <v>2356.806</v>
      </c>
      <c r="Y336" s="212">
        <f>IFERROR(Y335*Y141/Y138,"")</f>
        <v>1857.116</v>
      </c>
      <c r="Z336" s="212">
        <f>IFERROR(Z335*Z141/Z138,"")</f>
        <v>1920.008</v>
      </c>
      <c r="AA336" s="212">
        <f>IFERROR(AA335*AA141/AA138,"")</f>
        <v>1967.66</v>
      </c>
      <c r="AB336" s="212">
        <f>IFERROR(AB335*AB141/AB138,"")</f>
        <v>1986.644</v>
      </c>
      <c r="AC336" s="212">
        <f>IFERROR(AC335*AC141/AC138,"")</f>
        <v>1932.857</v>
      </c>
      <c r="AD336" s="212">
        <f>IFERROR(AD335*AD141/AD138,"")</f>
        <v>1986.34</v>
      </c>
      <c r="AE336" s="212">
        <f>IFERROR(AE335*AE141/AE138,"")</f>
        <v>2079.212</v>
      </c>
      <c r="AF336" s="212">
        <f>IFERROR(AF335*AF141/AF138,"")</f>
        <v>2078.38</v>
      </c>
      <c r="AG336" s="212">
        <f>IFERROR(AG335*AG141/AG138,"")</f>
        <v>2106.76</v>
      </c>
      <c r="AH336" s="212">
        <f>IFERROR(AH335*AH141/AH138,"")</f>
        <v>2062.673</v>
      </c>
      <c r="AI336" s="212">
        <f>IFERROR(AI335*AI141/AI138,"")</f>
        <v>2185.7</v>
      </c>
      <c r="AJ336" s="212">
        <f>IFERROR(AJ335*AJ141/AJ138,"")</f>
        <v>2334.336</v>
      </c>
      <c r="AK336" s="212">
        <f>IFERROR(AK335*AK141/AK138,"")</f>
        <v>2322.74</v>
      </c>
      <c r="AL336" s="212">
        <f>IFERROR(AL335*AL141/AL138,"")</f>
        <v>2379.428</v>
      </c>
      <c r="AM336" s="212">
        <f>IFERROR(AM335*AM141/AM138,"")</f>
        <v>2305.551</v>
      </c>
      <c r="AN336" s="212">
        <f>IFERROR(AN335*AN141/AN138,"")</f>
        <v>2257.456</v>
      </c>
      <c r="AO336" s="212">
        <f>IFERROR(AO335*AO141/AO138,"")</f>
        <v>2379.732</v>
      </c>
      <c r="AP336" s="212">
        <f>IFERROR(AP335*AP141/AP138,"")</f>
        <v>2451.016</v>
      </c>
      <c r="AQ336" s="212">
        <f>IFERROR(AQ335*AQ141/AQ138,"")</f>
        <v>2463.072</v>
      </c>
      <c r="AR336" s="212">
        <f>IFERROR(AR335*AR141/AR138,"")</f>
        <v>2387.819</v>
      </c>
      <c r="AS336" s="212">
        <f>IFERROR(AS335*AS141/AS138,"")</f>
        <v>2426.664</v>
      </c>
      <c r="AT336" s="212">
        <f>IFERROR(AT335*AT141/AT138,"")</f>
        <v>1882.724</v>
      </c>
      <c r="AU336" s="212">
        <f>IFERROR(AU335*AU141/AU138,"")</f>
        <v>2046.516</v>
      </c>
      <c r="AV336" s="212">
        <f>IFERROR(AV335*AV141/AV138,"")</f>
        <v>2195.1</v>
      </c>
      <c r="AW336" s="212">
        <f>IFERROR(AW335*AW141/AW138,"")</f>
        <v>2137.751</v>
      </c>
      <c r="AX336" s="212">
        <f>IFERROR(AX335*AX141/AX138,"")</f>
        <v>2242.144</v>
      </c>
      <c r="AY336" s="212">
        <f>IFERROR(AY335*AY141/AY138,"")</f>
        <v>2471.544</v>
      </c>
      <c r="AZ336" s="212">
        <f>IFERROR(AZ335*AZ141/AZ138,"")</f>
        <v>2556.928</v>
      </c>
      <c r="BA336" s="212">
        <f>IFERROR(BA335*BA141/BA138,"")</f>
        <v>3168.732</v>
      </c>
      <c r="BB336" s="212">
        <f>IFERROR(BB335*BB141/BB138,"")</f>
        <v>2609.837</v>
      </c>
      <c r="BC336" s="212">
        <f>IFERROR(BC335*BC141/BC138,"")</f>
        <v>3373.556</v>
      </c>
      <c r="BD336" s="212">
        <f>IFERROR(BD335*BD141/BD138,"")</f>
        <v>3593.876</v>
      </c>
      <c r="BE336" s="212">
        <f>IFERROR(BE335*BE141/BE138,"")</f>
        <v>3642.592</v>
      </c>
      <c r="BF336" s="212">
        <f>IFERROR(BF335*BF141/BF138,"")</f>
        <v>3565.696</v>
      </c>
      <c r="BG336" s="212">
        <f>IFERROR(BG335*BG141/BG138,"")</f>
        <v>3543.93</v>
      </c>
      <c r="BH336" s="212">
        <f>IFERROR(BH335*BH141/BH138,"")</f>
        <v>3726.056</v>
      </c>
      <c r="BI336" s="212">
        <f>IFERROR(BI335*BI141/BI138,"")</f>
        <v>3790.048</v>
      </c>
      <c r="BJ336" s="212">
        <f>IFERROR(BJ335*BJ141/BJ138,"")</f>
        <v>3775.804</v>
      </c>
      <c r="BK336" s="212">
        <f>IFERROR(BK335*BK141/BK138,"")</f>
        <v>3692.588</v>
      </c>
      <c r="BL336" s="212">
        <f>IFERROR(BL335*BL141/BL138,"")</f>
        <v>3746.124</v>
      </c>
      <c r="BM336" s="212">
        <f>IFERROR(BM335*BM141/BM138,"")</f>
        <v>3884.28</v>
      </c>
      <c r="BN336" s="212">
        <f>IFERROR(BN335*BN141/BN138,"")</f>
        <v>4142.168</v>
      </c>
      <c r="BO336" s="212">
        <f>IFERROR(BO335*BO141/BO138,"")</f>
        <v>4222.396</v>
      </c>
      <c r="BP336" s="212">
        <f>IFERROR(BP335*BP141/BP138,"")</f>
        <v>4014.008</v>
      </c>
      <c r="BQ336" s="212">
        <f>IFERROR(BQ335*BQ141/BQ138,"")</f>
        <v>4065.713</v>
      </c>
      <c r="BR336" s="212">
        <f>IFERROR(BR335*BR141/BR138,"")</f>
        <v>4087.536</v>
      </c>
      <c r="BS336" s="212">
        <f>IFERROR(BS335*BS141/BS138,"")</f>
        <v>4133.988</v>
      </c>
      <c r="BT336" s="212">
        <f>IFERROR(BT335*BT141/BT138,"")</f>
        <v>4193.96</v>
      </c>
      <c r="BU336" s="212">
        <f>IFERROR(BU335*BU141/BU138,"")</f>
        <v>4162.912</v>
      </c>
      <c r="BV336" s="212">
        <f>IFERROR(BV335*BV141/BV138,"")</f>
        <v>4144.599</v>
      </c>
      <c r="BW336" s="212">
        <f>IFERROR(BW335*BW141/BW138,"")</f>
        <v>4056.48</v>
      </c>
      <c r="BX336" s="212">
        <f>IFERROR(BX335*BX141/BX138,"")</f>
        <v>4504.9</v>
      </c>
      <c r="BY336" s="168" t="n"/>
      <c r="BZ336" s="168" t="n"/>
      <c r="CA336" s="186">
        <f>CA335*CA141/CA138</f>
        <v>4559.1696320561</v>
      </c>
      <c r="CB336" s="186">
        <f>CB335*CB141/CB138</f>
        <v>4850.2811895707</v>
      </c>
      <c r="CC336" s="186">
        <f>CC335*CC141/CC138</f>
        <v>5208.61110039639</v>
      </c>
      <c r="CD336" s="186">
        <f>CD335*CD141/CD138</f>
        <v>5584.17822733611</v>
      </c>
      <c r="CE336" s="186">
        <f>CE335*CE141/CE138</f>
        <v>5982.18306705809</v>
      </c>
      <c r="CF336" s="20" t="n"/>
    </row>
    <row r="337" ht="15" customHeight="1">
      <c r="B337" s="26" t="inlineStr">
        <is>
          <t xml:space="preserve">  DSO — receivables / revenues × 365</t>
        </is>
      </c>
      <c r="C337" s="237">
        <f>IFERROR(C294/C335*365,"n/a")</f>
        <v>74.5919422421304</v>
      </c>
      <c r="D337" s="237">
        <f>IFERROR(D294/D335*365,"n/a")</f>
        <v>74.4426280233643</v>
      </c>
      <c r="E337" s="237">
        <f>IFERROR(E294/E335*365,"n/a")</f>
        <v>61.9681230371597</v>
      </c>
      <c r="F337" s="237">
        <f>IFERROR(F294/F335*365,"n/a")</f>
        <v>93.4120291932751</v>
      </c>
      <c r="G337" s="237">
        <f>IFERROR(G294/G335*365,"n/a")</f>
        <v>70.1388539108294</v>
      </c>
      <c r="H337" s="237">
        <f>IFERROR(H294/H335*365,"n/a")</f>
        <v>82.6993940939533</v>
      </c>
      <c r="I337" s="237">
        <f>IFERROR(I294/I335*365,"n/a")</f>
        <v>90.3234482437104</v>
      </c>
      <c r="J337" s="237">
        <f>IFERROR(J294/J335*365,"n/a")</f>
        <v>59.660184617062</v>
      </c>
      <c r="K337" s="237">
        <f>IFERROR(K294/K335*365,"n/a")</f>
        <v>58.3121016980273</v>
      </c>
      <c r="L337" s="237">
        <f>IFERROR(L294/L335*365,"n/a")</f>
        <v>60.6353226046378</v>
      </c>
      <c r="M337" s="237">
        <f>IFERROR(M294/M335*365,"n/a")</f>
        <v>60.1181475501177</v>
      </c>
      <c r="N337" s="237">
        <f>IFERROR(N294/N335*365,"n/a")</f>
        <v>60.2562786780243</v>
      </c>
      <c r="O337" s="237">
        <f>IFERROR(O294/O335*365,"n/a")</f>
        <v>61.0434238018017</v>
      </c>
      <c r="P337" s="237">
        <f>IFERROR(P294/P335*365,"n/a")</f>
        <v>61.1380739795918</v>
      </c>
      <c r="Q337" s="237">
        <f>IFERROR(Q294/Q335*365,"n/a")</f>
        <v>61.683356039297</v>
      </c>
      <c r="R337" s="237">
        <f>IFERROR(R294/R335*365,"n/a")</f>
        <v>60.1618459949067</v>
      </c>
      <c r="S337" s="237">
        <f>IFERROR(S294/S335*365,"n/a")</f>
        <v>59.7808863147027</v>
      </c>
      <c r="T337" s="237">
        <f>IFERROR(T294/T335*365,"n/a")</f>
        <v>64.9729538879917</v>
      </c>
      <c r="U337" s="237">
        <f>IFERROR(U294/U335*365,"n/a")</f>
        <v>66.7517354212863</v>
      </c>
      <c r="V337" s="237">
        <f>IFERROR(V294/V335*365,"n/a")</f>
        <v>61.313978537352</v>
      </c>
      <c r="W337" s="237">
        <f>IFERROR(W294/W335*365,"n/a")</f>
        <v>63.47485568913</v>
      </c>
      <c r="X337" s="237">
        <f>IFERROR(X294/X335*365,"n/a")</f>
        <v>55.2775227417968</v>
      </c>
      <c r="Y337" s="237">
        <f>IFERROR(Y294/Y335*365,"n/a")</f>
        <v>65.746083844404</v>
      </c>
      <c r="Z337" s="237">
        <f>IFERROR(Z294/Z335*365,"n/a")</f>
        <v>65.9017021261344</v>
      </c>
      <c r="AA337" s="237">
        <f>IFERROR(AA294/AA335*365,"n/a")</f>
        <v>64.0891408049128</v>
      </c>
      <c r="AB337" s="237">
        <f>IFERROR(AB294/AB335*365,"n/a")</f>
        <v>65.4237422212847</v>
      </c>
      <c r="AC337" s="237">
        <f>IFERROR(AC294/AC335*365,"n/a")</f>
        <v>65.7377979156701</v>
      </c>
      <c r="AD337" s="237">
        <f>IFERROR(AD294/AD335*365,"n/a")</f>
        <v>63.5816637418879</v>
      </c>
      <c r="AE337" s="237">
        <f>IFERROR(AE294/AE335*365,"n/a")</f>
        <v>62.1080818902533</v>
      </c>
      <c r="AF337" s="237">
        <f>IFERROR(AF294/AF335*365,"n/a")</f>
        <v>64.1893454486761</v>
      </c>
      <c r="AG337" s="237">
        <f>IFERROR(AG294/AG335*365,"n/a")</f>
        <v>64.5760252500993</v>
      </c>
      <c r="AH337" s="237">
        <f>IFERROR(AH294/AH335*365,"n/a")</f>
        <v>65.5547375905694</v>
      </c>
      <c r="AI337" s="237">
        <f>IFERROR(AI294/AI335*365,"n/a")</f>
        <v>67.1605345182174</v>
      </c>
      <c r="AJ337" s="237">
        <f>IFERROR(AJ294/AJ335*365,"n/a")</f>
        <v>63.464711355018</v>
      </c>
      <c r="AK337" s="237">
        <f>IFERROR(AK294/AK335*365,"n/a")</f>
        <v>65.8682492252553</v>
      </c>
      <c r="AL337" s="237">
        <f>IFERROR(AL294/AL335*365,"n/a")</f>
        <v>64.5352037510895</v>
      </c>
      <c r="AM337" s="237">
        <f>IFERROR(AM294/AM335*365,"n/a")</f>
        <v>67.1264062723938</v>
      </c>
      <c r="AN337" s="237">
        <f>IFERROR(AN294/AN335*365,"n/a")</f>
        <v>71.6953350818799</v>
      </c>
      <c r="AO337" s="237">
        <f>IFERROR(AO294/AO335*365,"n/a")</f>
        <v>66.4815155903569</v>
      </c>
      <c r="AP337" s="237">
        <f>IFERROR(AP294/AP335*365,"n/a")</f>
        <v>65.6658237707308</v>
      </c>
      <c r="AQ337" s="237">
        <f>IFERROR(AQ294/AQ335*365,"n/a")</f>
        <v>67.5453556523786</v>
      </c>
      <c r="AR337" s="237">
        <f>IFERROR(AR294/AR335*365,"n/a")</f>
        <v>68.9672527028097</v>
      </c>
      <c r="AS337" s="237">
        <f>IFERROR(AS294/AS335*365,"n/a")</f>
        <v>69.9849428638318</v>
      </c>
      <c r="AT337" s="237">
        <f>IFERROR(AT294/AT335*365,"n/a")</f>
        <v>73.562022887324</v>
      </c>
      <c r="AU337" s="237">
        <f>IFERROR(AU294/AU335*365,"n/a")</f>
        <v>70.4936411263832</v>
      </c>
      <c r="AV337" s="237">
        <f>IFERROR(AV294/AV335*365,"n/a")</f>
        <v>70.0868856679938</v>
      </c>
      <c r="AW337" s="237">
        <f>IFERROR(AW294/AW335*365,"n/a")</f>
        <v>70.9933281320519</v>
      </c>
      <c r="AX337" s="237">
        <f>IFERROR(AX294/AX335*365,"n/a")</f>
        <v>70.0265174200765</v>
      </c>
      <c r="AY337" s="237">
        <f>IFERROR(AY294/AY335*365,"n/a")</f>
        <v>64.9430033525535</v>
      </c>
      <c r="AZ337" s="237">
        <f>IFERROR(AZ294/AZ335*365,"n/a")</f>
        <v>67.4391224083769</v>
      </c>
      <c r="BA337" s="237">
        <f>IFERROR(BA294/BA335*365,"n/a")</f>
        <v>64.6165298919767</v>
      </c>
      <c r="BB337" s="237">
        <f>IFERROR(BB294/BB335*365,"n/a")</f>
        <v>76.0328187712419</v>
      </c>
      <c r="BC337" s="237">
        <f>IFERROR(BC294/BC335*365,"n/a")</f>
        <v>70.2671104661755</v>
      </c>
      <c r="BD337" s="237">
        <f>IFERROR(BD294/BD335*365,"n/a")</f>
        <v>67.6472522546435</v>
      </c>
      <c r="BE337" s="237">
        <f>IFERROR(BE294/BE335*365,"n/a")</f>
        <v>68.6993502244172</v>
      </c>
      <c r="BF337" s="237">
        <f>IFERROR(BF294/BF335*365,"n/a")</f>
        <v>68.8679770643566</v>
      </c>
      <c r="BG337" s="237">
        <f>IFERROR(BG294/BG335*365,"n/a")</f>
        <v>68.1453478638293</v>
      </c>
      <c r="BH337" s="237">
        <f>IFERROR(BH294/BH335*365,"n/a")</f>
        <v>67.2592612210463</v>
      </c>
      <c r="BI337" s="237">
        <f>IFERROR(BI294/BI335*365,"n/a")</f>
        <v>64.0514423420845</v>
      </c>
      <c r="BJ337" s="237">
        <f>IFERROR(BJ294/BJ335*365,"n/a")</f>
        <v>67.5062889178851</v>
      </c>
      <c r="BK337" s="237">
        <f>IFERROR(BK294/BK335*365,"n/a")</f>
        <v>67.0385270843967</v>
      </c>
      <c r="BL337" s="237">
        <f>IFERROR(BL294/BL335*365,"n/a")</f>
        <v>66.3385896717267</v>
      </c>
      <c r="BM337" s="237">
        <f>IFERROR(BM294/BM335*365,"n/a")</f>
        <v>68.9174971580488</v>
      </c>
      <c r="BN337" s="237">
        <f>IFERROR(BN294/BN335*365,"n/a")</f>
        <v>64.0471134828646</v>
      </c>
      <c r="BO337" s="237">
        <f>IFERROR(BO294/BO335*365,"n/a")</f>
        <v>65.6687461014684</v>
      </c>
      <c r="BP337" s="237">
        <f>IFERROR(BP294/BP335*365,"n/a")</f>
        <v>64.7406123961999</v>
      </c>
      <c r="BQ337" s="237">
        <f>IFERROR(BQ294/BQ335*365,"n/a")</f>
        <v>62.9216171880518</v>
      </c>
      <c r="BR337" s="237">
        <f>IFERROR(BR294/BR335*365,"n/a")</f>
        <v>68.6635619260449</v>
      </c>
      <c r="BS337" s="237">
        <f>IFERROR(BS294/BS335*365,"n/a")</f>
        <v>65.8071034432921</v>
      </c>
      <c r="BT337" s="237">
        <f>IFERROR(BT294/BT335*365,"n/a")</f>
        <v>65.0687721586718</v>
      </c>
      <c r="BU337" s="237">
        <f>IFERROR(BU294/BU335*365,"n/a")</f>
        <v>63.5312098251912</v>
      </c>
      <c r="BV337" s="237">
        <f>IFERROR(BV294/BV335*365,"n/a")</f>
        <v>63.1935509117557</v>
      </c>
      <c r="BW337" s="237">
        <f>IFERROR(BW294/BW335*365,"n/a")</f>
        <v>69.5947576183406</v>
      </c>
      <c r="BX337" s="237">
        <f>IFERROR(BX294/BX335*365,"n/a")</f>
        <v>67.1419246630413</v>
      </c>
      <c r="BY337" s="238" t="n"/>
      <c r="BZ337" s="238" t="n"/>
      <c r="CA337" s="239">
        <f>63</f>
        <v>63</v>
      </c>
      <c r="CB337" s="239">
        <f>CA337</f>
        <v>63</v>
      </c>
      <c r="CC337" s="239">
        <f>CB337</f>
        <v>63</v>
      </c>
      <c r="CD337" s="239">
        <f>CC337</f>
        <v>63</v>
      </c>
      <c r="CE337" s="239">
        <f>CD337</f>
        <v>63</v>
      </c>
      <c r="CF337" s="20" t="n"/>
    </row>
    <row r="338" ht="15" customHeight="1">
      <c r="B338" s="26" t="inlineStr">
        <is>
          <t xml:space="preserve">  Unbilled days — unbilled receivables / revenues × 365</t>
        </is>
      </c>
      <c r="C338" s="237">
        <f>IFERROR(C295/C335*365,"n/a")</f>
        <v>7.07207321202831</v>
      </c>
      <c r="D338" s="237">
        <f>IFERROR(D295/D335*365,"n/a")</f>
        <v>5.66743970168452</v>
      </c>
      <c r="E338" s="237">
        <f>IFERROR(E295/E335*365,"n/a")</f>
        <v>1.96361644803161</v>
      </c>
      <c r="F338" s="237">
        <f>IFERROR(F295/F335*365,"n/a")</f>
        <v>4.18984472454432</v>
      </c>
      <c r="G338" s="237">
        <f>IFERROR(G295/G335*365,"n/a")</f>
        <v>4.03045728967147</v>
      </c>
      <c r="H338" s="237">
        <f>IFERROR(H295/H335*365,"n/a")</f>
        <v>5.40564003677167</v>
      </c>
      <c r="I338" s="237">
        <f>IFERROR(I295/I335*365,"n/a")</f>
        <v>4.51631421430883</v>
      </c>
      <c r="J338" s="237">
        <f>IFERROR(J295/J335*365,"n/a")</f>
        <v>3.41011502465311</v>
      </c>
      <c r="K338" s="237">
        <f>IFERROR(K295/K335*365,"n/a")</f>
        <v>3.63471758036926</v>
      </c>
      <c r="L338" s="237">
        <f>IFERROR(L295/L335*365,"n/a")</f>
        <v>4.23524437074052</v>
      </c>
      <c r="M338" s="237">
        <f>IFERROR(M295/M335*365,"n/a")</f>
        <v>2.75670604823579</v>
      </c>
      <c r="N338" s="237">
        <f>IFERROR(N295/N335*365,"n/a")</f>
        <v>2.76304002443544</v>
      </c>
      <c r="O338" s="237">
        <f>IFERROR(O295/O335*365,"n/a")</f>
        <v>4.40069118083024</v>
      </c>
      <c r="P338" s="237">
        <f>IFERROR(P295/P335*365,"n/a")</f>
        <v>3.77646683673469</v>
      </c>
      <c r="Q338" s="237">
        <f>IFERROR(Q295/Q335*365,"n/a")</f>
        <v>5.36377009037365</v>
      </c>
      <c r="R338" s="237">
        <f>IFERROR(R295/R335*365,"n/a")</f>
        <v>4.4030923973757</v>
      </c>
      <c r="S338" s="237">
        <f>IFERROR(S295/S335*365,"n/a")</f>
        <v>4.37521092791821</v>
      </c>
      <c r="T338" s="237">
        <f>IFERROR(T295/T335*365,"n/a")</f>
        <v>4.15241010567933</v>
      </c>
      <c r="U338" s="237">
        <f>IFERROR(U295/U335*365,"n/a")</f>
        <v>3.6154854907138</v>
      </c>
      <c r="V338" s="237">
        <f>IFERROR(V295/V335*365,"n/a")</f>
        <v>4.24521696594677</v>
      </c>
      <c r="W338" s="237">
        <f>IFERROR(W295/W335*365,"n/a")</f>
        <v>3.31960580272746</v>
      </c>
      <c r="X338" s="237">
        <f>IFERROR(X295/X335*365,"n/a")</f>
        <v>2.89090196837567</v>
      </c>
      <c r="Y338" s="237">
        <f>IFERROR(Y295/Y335*365,"n/a")</f>
        <v>4.5626219377031</v>
      </c>
      <c r="Z338" s="237">
        <f>IFERROR(Z295/Z335*365,"n/a")</f>
        <v>3.80942029504953</v>
      </c>
      <c r="AA338" s="237">
        <f>IFERROR(AA295/AA335*365,"n/a")</f>
        <v>5.19616665752824</v>
      </c>
      <c r="AB338" s="237">
        <f>IFERROR(AB295/AB335*365,"n/a")</f>
        <v>4.77138487501318</v>
      </c>
      <c r="AC338" s="237">
        <f>IFERROR(AC295/AC335*365,"n/a")</f>
        <v>4.79428910731824</v>
      </c>
      <c r="AD338" s="237">
        <f>IFERROR(AD295/AD335*365,"n/a")</f>
        <v>3.72263009459446</v>
      </c>
      <c r="AE338" s="237">
        <f>IFERROR(AE295/AE335*365,"n/a")</f>
        <v>5.64575949669761</v>
      </c>
      <c r="AF338" s="237">
        <f>IFERROR(AF295/AF335*365,"n/a")</f>
        <v>4.94166305040974</v>
      </c>
      <c r="AG338" s="237">
        <f>IFERROR(AG295/AG335*365,"n/a")</f>
        <v>4.38569620405591</v>
      </c>
      <c r="AH338" s="237">
        <f>IFERROR(AH295/AH335*365,"n/a")</f>
        <v>4.45216568680649</v>
      </c>
      <c r="AI338" s="237">
        <f>IFERROR(AI295/AI335*365,"n/a")</f>
        <v>7.71290802077415</v>
      </c>
      <c r="AJ338" s="237">
        <f>IFERROR(AJ295/AJ335*365,"n/a")</f>
        <v>6.74450915043456</v>
      </c>
      <c r="AK338" s="237">
        <f>IFERROR(AK295/AK335*365,"n/a")</f>
        <v>6.92225631270154</v>
      </c>
      <c r="AL338" s="237">
        <f>IFERROR(AL295/AL335*365,"n/a")</f>
        <v>5.82606524788978</v>
      </c>
      <c r="AM338" s="237">
        <f>IFERROR(AM295/AM335*365,"n/a")</f>
        <v>6.05999206739502</v>
      </c>
      <c r="AN338" s="237">
        <f>IFERROR(AN295/AN335*365,"n/a")</f>
        <v>4.96813203490092</v>
      </c>
      <c r="AO338" s="237">
        <f>IFERROR(AO295/AO335*365,"n/a")</f>
        <v>5.48060098218212</v>
      </c>
      <c r="AP338" s="237">
        <f>IFERROR(AP295/AP335*365,"n/a")</f>
        <v>6.02167230404141</v>
      </c>
      <c r="AQ338" s="237">
        <f>IFERROR(AQ295/AQ335*365,"n/a")</f>
        <v>5.90093914501065</v>
      </c>
      <c r="AR338" s="237">
        <f>IFERROR(AR295/AR335*365,"n/a")</f>
        <v>6.02515979473593</v>
      </c>
      <c r="AS338" s="237">
        <f>IFERROR(AS295/AS335*365,"n/a")</f>
        <v>5.44324499192255</v>
      </c>
      <c r="AT338" s="237">
        <f>IFERROR(AT295/AT335*365,"n/a")</f>
        <v>5.75273415492958</v>
      </c>
      <c r="AU338" s="237">
        <f>IFERROR(AU295/AU335*365,"n/a")</f>
        <v>6.95933695518282</v>
      </c>
      <c r="AV338" s="237">
        <f>IFERROR(AV295/AV335*365,"n/a")</f>
        <v>6.38150598475238</v>
      </c>
      <c r="AW338" s="237">
        <f>IFERROR(AW295/AW335*365,"n/a")</f>
        <v>6.46403880032963</v>
      </c>
      <c r="AX338" s="237">
        <f>IFERROR(AX295/AX335*365,"n/a")</f>
        <v>6.237172832204</v>
      </c>
      <c r="AY338" s="237">
        <f>IFERROR(AY295/AY335*365,"n/a")</f>
        <v>5.85503876052665</v>
      </c>
      <c r="AZ338" s="237">
        <f>IFERROR(AZ295/AZ335*365,"n/a")</f>
        <v>6.70479327447059</v>
      </c>
      <c r="BA338" s="237">
        <f>IFERROR(BA295/BA335*365,"n/a")</f>
        <v>7.74052775348577</v>
      </c>
      <c r="BB338" s="237">
        <f>IFERROR(BB295/BB335*365,"n/a")</f>
        <v>9.10810507556563</v>
      </c>
      <c r="BC338" s="237">
        <f>IFERROR(BC295/BC335*365,"n/a")</f>
        <v>9.67401777764092</v>
      </c>
      <c r="BD338" s="237">
        <f>IFERROR(BD295/BD335*365,"n/a")</f>
        <v>9.02689517603619</v>
      </c>
      <c r="BE338" s="237">
        <f>IFERROR(BE295/BE335*365,"n/a")</f>
        <v>9.02012602286283</v>
      </c>
      <c r="BF338" s="237">
        <f>IFERROR(BF295/BF335*365,"n/a")</f>
        <v>7.63999513339353</v>
      </c>
      <c r="BG338" s="237">
        <f>IFERROR(BG295/BG335*365,"n/a")</f>
        <v>7.5598289398938</v>
      </c>
      <c r="BH338" s="237">
        <f>IFERROR(BH295/BH335*365,"n/a")</f>
        <v>9.59739828375225</v>
      </c>
      <c r="BI338" s="237">
        <f>IFERROR(BI295/BI335*365,"n/a")</f>
        <v>8.00805404535375</v>
      </c>
      <c r="BJ338" s="237">
        <f>IFERROR(BJ295/BJ335*365,"n/a")</f>
        <v>8.74537964525048</v>
      </c>
      <c r="BK338" s="237">
        <f>IFERROR(BK295/BK335*365,"n/a")</f>
        <v>7.35492583522709</v>
      </c>
      <c r="BL338" s="237">
        <f>IFERROR(BL295/BL335*365,"n/a")</f>
        <v>7.2781343545162</v>
      </c>
      <c r="BM338" s="237">
        <f>IFERROR(BM295/BM335*365,"n/a")</f>
        <v>10.9757571575403</v>
      </c>
      <c r="BN338" s="237">
        <f>IFERROR(BN295/BN335*365,"n/a")</f>
        <v>10.9982907403078</v>
      </c>
      <c r="BO338" s="237">
        <f>IFERROR(BO295/BO335*365,"n/a")</f>
        <v>12.1896409231723</v>
      </c>
      <c r="BP338" s="237">
        <f>IFERROR(BP295/BP335*365,"n/a")</f>
        <v>10.3430600664097</v>
      </c>
      <c r="BQ338" s="237">
        <f>IFERROR(BQ295/BQ335*365,"n/a")</f>
        <v>10.0524545870662</v>
      </c>
      <c r="BR338" s="237">
        <f>IFERROR(BR295/BR335*365,"n/a")</f>
        <v>10.9025254024233</v>
      </c>
      <c r="BS338" s="237">
        <f>IFERROR(BS295/BS335*365,"n/a")</f>
        <v>10.4747205220621</v>
      </c>
      <c r="BT338" s="237">
        <f>IFERROR(BT295/BT335*365,"n/a")</f>
        <v>10.7225760115456</v>
      </c>
      <c r="BU338" s="237">
        <f>IFERROR(BU295/BU335*365,"n/a")</f>
        <v>9.78933730569396</v>
      </c>
      <c r="BV338" s="237">
        <f>IFERROR(BV295/BV335*365,"n/a")</f>
        <v>9.73730843662331</v>
      </c>
      <c r="BW338" s="237">
        <f>IFERROR(BW295/BW335*365,"n/a")</f>
        <v>12.0188739648258</v>
      </c>
      <c r="BX338" s="237">
        <f>IFERROR(BX295/BX335*365,"n/a")</f>
        <v>9.82257399834583</v>
      </c>
      <c r="BY338" s="238" t="n"/>
      <c r="BZ338" s="238" t="n"/>
      <c r="CA338" s="239">
        <f>10</f>
        <v>10</v>
      </c>
      <c r="CB338" s="239">
        <f>CA338</f>
        <v>10</v>
      </c>
      <c r="CC338" s="239">
        <f>CB338</f>
        <v>10</v>
      </c>
      <c r="CD338" s="239">
        <f>CC338</f>
        <v>10</v>
      </c>
      <c r="CE338" s="239">
        <f>CD338</f>
        <v>10</v>
      </c>
      <c r="CF338" s="20" t="n"/>
    </row>
    <row r="339" ht="15" customHeight="1">
      <c r="B339" s="26" t="inlineStr">
        <is>
          <t xml:space="preserve">  Inventory days — inventories / cost of revenues × 365</t>
        </is>
      </c>
      <c r="C339" s="237">
        <f>IFERROR(C296/C336*365,"n/a")</f>
        <v>12.545187958997</v>
      </c>
      <c r="D339" s="237">
        <f>IFERROR(D296/D336*365,"n/a")</f>
        <v>12.2847736439709</v>
      </c>
      <c r="E339" s="237">
        <f>IFERROR(E296/E336*365,"n/a")</f>
        <v>13.8740428357492</v>
      </c>
      <c r="F339" s="237">
        <f>IFERROR(F296/F336*365,"n/a")</f>
        <v>20.0631002955608</v>
      </c>
      <c r="G339" s="237">
        <f>IFERROR(G296/G336*365,"n/a")</f>
        <v>13.4292168425921</v>
      </c>
      <c r="H339" s="237">
        <f>IFERROR(H296/H336*365,"n/a")</f>
        <v>14.8756984647001</v>
      </c>
      <c r="I339" s="237">
        <f>IFERROR(I296/I336*365,"n/a")</f>
        <v>40.6173646860584</v>
      </c>
      <c r="J339" s="237">
        <f>IFERROR(J296/J336*365,"n/a")</f>
        <v>20.7278891991497</v>
      </c>
      <c r="K339" s="237">
        <f>IFERROR(K296/K336*365,"n/a")</f>
        <v>23.103112191247</v>
      </c>
      <c r="L339" s="237">
        <f>IFERROR(L296/L336*365,"n/a")</f>
        <v>21.8989339673229</v>
      </c>
      <c r="M339" s="237">
        <f>IFERROR(M296/M336*365,"n/a")</f>
        <v>21.5119876496519</v>
      </c>
      <c r="N339" s="237">
        <f>IFERROR(N296/N336*365,"n/a")</f>
        <v>21.8336818565637</v>
      </c>
      <c r="O339" s="237">
        <f>IFERROR(O296/O336*365,"n/a")</f>
        <v>22.2311033387191</v>
      </c>
      <c r="P339" s="237">
        <f>IFERROR(P296/P336*365,"n/a")</f>
        <v>24.3241123651042</v>
      </c>
      <c r="Q339" s="237">
        <f>IFERROR(Q296/Q336*365,"n/a")</f>
        <v>26.0654161799578</v>
      </c>
      <c r="R339" s="237">
        <f>IFERROR(R296/R336*365,"n/a")</f>
        <v>25.2005808717579</v>
      </c>
      <c r="S339" s="237">
        <f>IFERROR(S296/S336*365,"n/a")</f>
        <v>25.211768304969</v>
      </c>
      <c r="T339" s="237">
        <f>IFERROR(T296/T336*365,"n/a")</f>
        <v>23.8853207735674</v>
      </c>
      <c r="U339" s="237">
        <f>IFERROR(U296/U336*365,"n/a")</f>
        <v>20.9515361857427</v>
      </c>
      <c r="V339" s="237">
        <f>IFERROR(V296/V336*365,"n/a")</f>
        <v>21.6038055073222</v>
      </c>
      <c r="W339" s="237">
        <f>IFERROR(W296/W336*365,"n/a")</f>
        <v>26.0893009092387</v>
      </c>
      <c r="X339" s="237">
        <f>IFERROR(X296/X336*365,"n/a")</f>
        <v>23.1564095644699</v>
      </c>
      <c r="Y339" s="237">
        <f>IFERROR(Y296/Y336*365,"n/a")</f>
        <v>30.4183045108652</v>
      </c>
      <c r="Z339" s="237">
        <f>IFERROR(Z296/Z336*365,"n/a")</f>
        <v>30.8735484435482</v>
      </c>
      <c r="AA339" s="237">
        <f>IFERROR(AA296/AA336*365,"n/a")</f>
        <v>32.8868402061332</v>
      </c>
      <c r="AB339" s="237">
        <f>IFERROR(AB296/AB336*365,"n/a")</f>
        <v>32.7820283855588</v>
      </c>
      <c r="AC339" s="237">
        <f>IFERROR(AC296/AC336*365,"n/a")</f>
        <v>33.6942774349059</v>
      </c>
      <c r="AD339" s="237">
        <f>IFERROR(AD296/AD336*365,"n/a")</f>
        <v>33.4504012404724</v>
      </c>
      <c r="AE339" s="237">
        <f>IFERROR(AE296/AE336*365,"n/a")</f>
        <v>30.2889267664865</v>
      </c>
      <c r="AF339" s="237">
        <f>IFERROR(AF296/AF336*365,"n/a")</f>
        <v>30.3988707551073</v>
      </c>
      <c r="AG339" s="237">
        <f>IFERROR(AG296/AG336*365,"n/a")</f>
        <v>30.4943989823236</v>
      </c>
      <c r="AH339" s="237">
        <f>IFERROR(AH296/AH336*365,"n/a")</f>
        <v>31.1461777993894</v>
      </c>
      <c r="AI339" s="237">
        <f>IFERROR(AI296/AI336*365,"n/a")</f>
        <v>30.2991581644324</v>
      </c>
      <c r="AJ339" s="237">
        <f>IFERROR(AJ296/AJ336*365,"n/a")</f>
        <v>30.2628070680485</v>
      </c>
      <c r="AK339" s="237">
        <f>IFERROR(AK296/AK336*365,"n/a")</f>
        <v>30.8069026236255</v>
      </c>
      <c r="AL339" s="237">
        <f>IFERROR(AL296/AL336*365,"n/a")</f>
        <v>30.5997218659274</v>
      </c>
      <c r="AM339" s="237">
        <f>IFERROR(AM296/AM336*365,"n/a")</f>
        <v>31.5802317970845</v>
      </c>
      <c r="AN339" s="237">
        <f>IFERROR(AN296/AN336*365,"n/a")</f>
        <v>32.468898618622</v>
      </c>
      <c r="AO339" s="237">
        <f>IFERROR(AO296/AO336*365,"n/a")</f>
        <v>31.186627317698</v>
      </c>
      <c r="AP339" s="237">
        <f>IFERROR(AP296/AP336*365,"n/a")</f>
        <v>31.3959007203543</v>
      </c>
      <c r="AQ339" s="237">
        <f>IFERROR(AQ296/AQ336*365,"n/a")</f>
        <v>31.822683218355</v>
      </c>
      <c r="AR339" s="237">
        <f>IFERROR(AR296/AR336*365,"n/a")</f>
        <v>32.825586863996</v>
      </c>
      <c r="AS339" s="237">
        <f>IFERROR(AS296/AS336*365,"n/a")</f>
        <v>32.5690660099627</v>
      </c>
      <c r="AT339" s="237">
        <f>IFERROR(AT296/AT336*365,"n/a")</f>
        <v>42.6137447655631</v>
      </c>
      <c r="AU339" s="237">
        <f>IFERROR(AU296/AU336*365,"n/a")</f>
        <v>39.3950792468762</v>
      </c>
      <c r="AV339" s="237">
        <f>IFERROR(AV296/AV336*365,"n/a")</f>
        <v>36.6642840872853</v>
      </c>
      <c r="AW339" s="237">
        <f>IFERROR(AW296/AW336*365,"n/a")</f>
        <v>37.6478691858874</v>
      </c>
      <c r="AX339" s="237">
        <f>IFERROR(AX296/AX336*365,"n/a")</f>
        <v>35.7323771354561</v>
      </c>
      <c r="AY339" s="237">
        <f>IFERROR(AY296/AY336*365,"n/a")</f>
        <v>31.8584759162693</v>
      </c>
      <c r="AZ339" s="237">
        <f>IFERROR(AZ296/AZ336*365,"n/a")</f>
        <v>32.6442238498698</v>
      </c>
      <c r="BA339" s="237">
        <f>IFERROR(BA296/BA336*365,"n/a")</f>
        <v>28.8767178795809</v>
      </c>
      <c r="BB339" s="237">
        <f>IFERROR(BB296/BB336*365,"n/a")</f>
        <v>35.0606493815514</v>
      </c>
      <c r="BC339" s="237">
        <f>IFERROR(BC296/BC336*365,"n/a")</f>
        <v>28.642638509632</v>
      </c>
      <c r="BD339" s="237">
        <f>IFERROR(BD296/BD336*365,"n/a")</f>
        <v>28.0001424645703</v>
      </c>
      <c r="BE339" s="237">
        <f>IFERROR(BE296/BE336*365,"n/a")</f>
        <v>29.4818360112799</v>
      </c>
      <c r="BF339" s="237">
        <f>IFERROR(BF296/BF336*365,"n/a")</f>
        <v>33.267785588003</v>
      </c>
      <c r="BG339" s="237">
        <f>IFERROR(BG296/BG336*365,"n/a")</f>
        <v>33.4721086477442</v>
      </c>
      <c r="BH339" s="237">
        <f>IFERROR(BH296/BH336*365,"n/a")</f>
        <v>31.5805479037352</v>
      </c>
      <c r="BI339" s="237">
        <f>IFERROR(BI296/BI336*365,"n/a")</f>
        <v>31.384016772347</v>
      </c>
      <c r="BJ339" s="237">
        <f>IFERROR(BJ296/BJ336*365,"n/a")</f>
        <v>30.1132897788127</v>
      </c>
      <c r="BK339" s="237">
        <f>IFERROR(BK296/BK336*365,"n/a")</f>
        <v>32.3733693008806</v>
      </c>
      <c r="BL339" s="237">
        <f>IFERROR(BL296/BL336*365,"n/a")</f>
        <v>31.9107202537877</v>
      </c>
      <c r="BM339" s="237">
        <f>IFERROR(BM296/BM336*365,"n/a")</f>
        <v>33.2939824111547</v>
      </c>
      <c r="BN339" s="237">
        <f>IFERROR(BN296/BN336*365,"n/a")</f>
        <v>32.1944788333066</v>
      </c>
      <c r="BO339" s="237">
        <f>IFERROR(BO296/BO336*365,"n/a")</f>
        <v>32.5516270856642</v>
      </c>
      <c r="BP339" s="237">
        <f>IFERROR(BP296/BP336*365,"n/a")</f>
        <v>34.9774601844341</v>
      </c>
      <c r="BQ339" s="237">
        <f>IFERROR(BQ296/BQ336*365,"n/a")</f>
        <v>34.5326404003431</v>
      </c>
      <c r="BR339" s="237">
        <f>IFERROR(BR296/BR336*365,"n/a")</f>
        <v>33.5773825600557</v>
      </c>
      <c r="BS339" s="237">
        <f>IFERROR(BS296/BS336*365,"n/a")</f>
        <v>33.8470056033061</v>
      </c>
      <c r="BT339" s="237">
        <f>IFERROR(BT296/BT336*365,"n/a")</f>
        <v>32.8370847599882</v>
      </c>
      <c r="BU339" s="237">
        <f>IFERROR(BU296/BU336*365,"n/a")</f>
        <v>32.6243072157182</v>
      </c>
      <c r="BV339" s="237">
        <f>IFERROR(BV296/BV336*365,"n/a")</f>
        <v>32.7684584202235</v>
      </c>
      <c r="BW339" s="237">
        <f>IFERROR(BW296/BW336*365,"n/a")</f>
        <v>32.7466855500335</v>
      </c>
      <c r="BX339" s="237">
        <f>IFERROR(BX296/BX336*365,"n/a")</f>
        <v>31.0264989233945</v>
      </c>
      <c r="BY339" s="238" t="n"/>
      <c r="BZ339" s="238" t="n"/>
      <c r="CA339" s="239">
        <f>34</f>
        <v>34</v>
      </c>
      <c r="CB339" s="239">
        <f>CA339</f>
        <v>34</v>
      </c>
      <c r="CC339" s="239">
        <f>CB339</f>
        <v>34</v>
      </c>
      <c r="CD339" s="239">
        <f>CC339</f>
        <v>34</v>
      </c>
      <c r="CE339" s="239">
        <f>CD339</f>
        <v>34</v>
      </c>
      <c r="CF339" s="20" t="n"/>
    </row>
    <row r="340" ht="15" customHeight="1">
      <c r="B340" s="26" t="inlineStr">
        <is>
          <t xml:space="preserve">  Payable days — payables / cost of revenues × 365</t>
        </is>
      </c>
      <c r="C340" s="237">
        <f>IFERROR(C307/C336*365,"n/a")</f>
        <v>50.8223345046039</v>
      </c>
      <c r="D340" s="237">
        <f>IFERROR(D307/D336*365,"n/a")</f>
        <v>44.6658614773343</v>
      </c>
      <c r="E340" s="237">
        <f>IFERROR(E307/E336*365,"n/a")</f>
        <v>32.9434390099178</v>
      </c>
      <c r="F340" s="237">
        <f>IFERROR(F307/F336*365,"n/a")</f>
        <v>47.4355692165583</v>
      </c>
      <c r="G340" s="237">
        <f>IFERROR(G307/G336*365,"n/a")</f>
        <v>41.2945553958736</v>
      </c>
      <c r="H340" s="237">
        <f>IFERROR(H307/H336*365,"n/a")</f>
        <v>47.1022347247192</v>
      </c>
      <c r="I340" s="237">
        <f>IFERROR(I307/I336*365,"n/a")</f>
        <v>60.7617447769438</v>
      </c>
      <c r="J340" s="237">
        <f>IFERROR(J307/J336*365,"n/a")</f>
        <v>37.8133765392501</v>
      </c>
      <c r="K340" s="237">
        <f>IFERROR(K307/K336*365,"n/a")</f>
        <v>40.5591534462158</v>
      </c>
      <c r="L340" s="237">
        <f>IFERROR(L307/L336*365,"n/a")</f>
        <v>45.277763827055</v>
      </c>
      <c r="M340" s="237">
        <f>IFERROR(M307/M336*365,"n/a")</f>
        <v>44.7594061354942</v>
      </c>
      <c r="N340" s="237">
        <f>IFERROR(N307/N336*365,"n/a")</f>
        <v>45.4287465001831</v>
      </c>
      <c r="O340" s="237">
        <f>IFERROR(O307/O336*365,"n/a")</f>
        <v>41.5283537818094</v>
      </c>
      <c r="P340" s="237">
        <f>IFERROR(P307/P336*365,"n/a")</f>
        <v>39.4727098607793</v>
      </c>
      <c r="Q340" s="237">
        <f>IFERROR(Q307/Q336*365,"n/a")</f>
        <v>38.401405732219</v>
      </c>
      <c r="R340" s="237">
        <f>IFERROR(R307/R336*365,"n/a")</f>
        <v>39.942643519125</v>
      </c>
      <c r="S340" s="237">
        <f>IFERROR(S307/S336*365,"n/a")</f>
        <v>39.9603754777221</v>
      </c>
      <c r="T340" s="237">
        <f>IFERROR(T307/T336*365,"n/a")</f>
        <v>40.7766231722558</v>
      </c>
      <c r="U340" s="237">
        <f>IFERROR(U307/U336*365,"n/a")</f>
        <v>51.0416615595813</v>
      </c>
      <c r="V340" s="237">
        <f>IFERROR(V307/V336*365,"n/a")</f>
        <v>42.4838177503679</v>
      </c>
      <c r="W340" s="237">
        <f>IFERROR(W307/W336*365,"n/a")</f>
        <v>42.0830241985601</v>
      </c>
      <c r="X340" s="237">
        <f>IFERROR(X307/X336*365,"n/a")</f>
        <v>37.3521600844533</v>
      </c>
      <c r="Y340" s="237">
        <f>IFERROR(Y307/Y336*365,"n/a")</f>
        <v>37.1136805670728</v>
      </c>
      <c r="Z340" s="237">
        <f>IFERROR(Z307/Z336*365,"n/a")</f>
        <v>42.2603603734984</v>
      </c>
      <c r="AA340" s="237">
        <f>IFERROR(AA307/AA336*365,"n/a")</f>
        <v>42.0668408159946</v>
      </c>
      <c r="AB340" s="237">
        <f>IFERROR(AB307/AB336*365,"n/a")</f>
        <v>42.1715767898023</v>
      </c>
      <c r="AC340" s="237">
        <f>IFERROR(AC307/AC336*365,"n/a")</f>
        <v>43.3451155465717</v>
      </c>
      <c r="AD340" s="237">
        <f>IFERROR(AD307/AD336*365,"n/a")</f>
        <v>40.182818651389</v>
      </c>
      <c r="AE340" s="237">
        <f>IFERROR(AE307/AE336*365,"n/a")</f>
        <v>39.3608588253627</v>
      </c>
      <c r="AF340" s="237">
        <f>IFERROR(AF307/AF336*365,"n/a")</f>
        <v>39.2679081784852</v>
      </c>
      <c r="AG340" s="237">
        <f>IFERROR(AG307/AG336*365,"n/a")</f>
        <v>38.848428392413</v>
      </c>
      <c r="AH340" s="237">
        <f>IFERROR(AH307/AH336*365,"n/a")</f>
        <v>39.6787639145904</v>
      </c>
      <c r="AI340" s="237">
        <f>IFERROR(AI307/AI336*365,"n/a")</f>
        <v>39.7368554696436</v>
      </c>
      <c r="AJ340" s="237">
        <f>IFERROR(AJ307/AJ336*365,"n/a")</f>
        <v>38.7496337288205</v>
      </c>
      <c r="AK340" s="237">
        <f>IFERROR(AK307/AK336*365,"n/a")</f>
        <v>39.0348575389411</v>
      </c>
      <c r="AL340" s="237">
        <f>IFERROR(AL307/AL336*365,"n/a")</f>
        <v>42.4086229967875</v>
      </c>
      <c r="AM340" s="237">
        <f>IFERROR(AM307/AM336*365,"n/a")</f>
        <v>43.7675267213781</v>
      </c>
      <c r="AN340" s="237">
        <f>IFERROR(AN307/AN336*365,"n/a")</f>
        <v>39.1701543684572</v>
      </c>
      <c r="AO340" s="237">
        <f>IFERROR(AO307/AO336*365,"n/a")</f>
        <v>38.8319377980378</v>
      </c>
      <c r="AP340" s="237">
        <f>IFERROR(AP307/AP336*365,"n/a")</f>
        <v>41.3314009374072</v>
      </c>
      <c r="AQ340" s="237">
        <f>IFERROR(AQ307/AQ336*365,"n/a")</f>
        <v>44.2158714808175</v>
      </c>
      <c r="AR340" s="237">
        <f>IFERROR(AR307/AR336*365,"n/a")</f>
        <v>45.6093510437768</v>
      </c>
      <c r="AS340" s="237">
        <f>IFERROR(AS307/AS336*365,"n/a")</f>
        <v>40.2942393343289</v>
      </c>
      <c r="AT340" s="237">
        <f>IFERROR(AT307/AT336*365,"n/a")</f>
        <v>36.5131054790824</v>
      </c>
      <c r="AU340" s="237">
        <f>IFERROR(AU307/AU336*365,"n/a")</f>
        <v>38.1273540006528</v>
      </c>
      <c r="AV340" s="237">
        <f>IFERROR(AV307/AV336*365,"n/a")</f>
        <v>32.5704842603982</v>
      </c>
      <c r="AW340" s="237">
        <f>IFERROR(AW307/AW336*365,"n/a")</f>
        <v>33.4442458452832</v>
      </c>
      <c r="AX340" s="237">
        <f>IFERROR(AX307/AX336*365,"n/a")</f>
        <v>34.7321915987555</v>
      </c>
      <c r="AY340" s="237">
        <f>IFERROR(AY307/AY336*365,"n/a")</f>
        <v>36.802982265337</v>
      </c>
      <c r="AZ340" s="237">
        <f>IFERROR(AZ307/AZ336*365,"n/a")</f>
        <v>40.9069887771576</v>
      </c>
      <c r="BA340" s="237">
        <f>IFERROR(BA307/BA336*365,"n/a")</f>
        <v>41.4522559812569</v>
      </c>
      <c r="BB340" s="237">
        <f>IFERROR(BB307/BB336*365,"n/a")</f>
        <v>50.3292312891571</v>
      </c>
      <c r="BC340" s="237">
        <f>IFERROR(BC307/BC336*365,"n/a")</f>
        <v>42.6450546544951</v>
      </c>
      <c r="BD340" s="237">
        <f>IFERROR(BD307/BD336*365,"n/a")</f>
        <v>41.5608579706145</v>
      </c>
      <c r="BE340" s="237">
        <f>IFERROR(BE307/BE336*365,"n/a")</f>
        <v>41.7760882909752</v>
      </c>
      <c r="BF340" s="237">
        <f>IFERROR(BF307/BF336*365,"n/a")</f>
        <v>45.7188680695157</v>
      </c>
      <c r="BG340" s="237">
        <f>IFERROR(BG307/BG336*365,"n/a")</f>
        <v>45.9996628037236</v>
      </c>
      <c r="BH340" s="237">
        <f>IFERROR(BH307/BH336*365,"n/a")</f>
        <v>41.8754307503698</v>
      </c>
      <c r="BI340" s="237">
        <f>IFERROR(BI307/BI336*365,"n/a")</f>
        <v>36.0601950159998</v>
      </c>
      <c r="BJ340" s="237">
        <f>IFERROR(BJ307/BJ336*365,"n/a")</f>
        <v>40.1137069085154</v>
      </c>
      <c r="BK340" s="237">
        <f>IFERROR(BK307/BK336*365,"n/a")</f>
        <v>44.6595152234693</v>
      </c>
      <c r="BL340" s="237">
        <f>IFERROR(BL307/BL336*365,"n/a")</f>
        <v>44.0212843995554</v>
      </c>
      <c r="BM340" s="237">
        <f>IFERROR(BM307/BM336*365,"n/a")</f>
        <v>42.5534513474827</v>
      </c>
      <c r="BN340" s="237">
        <f>IFERROR(BN307/BN336*365,"n/a")</f>
        <v>39.4716245212652</v>
      </c>
      <c r="BO340" s="237">
        <f>IFERROR(BO307/BO336*365,"n/a")</f>
        <v>43.58548795518</v>
      </c>
      <c r="BP340" s="237">
        <f>IFERROR(BP307/BP336*365,"n/a")</f>
        <v>44.3096750180867</v>
      </c>
      <c r="BQ340" s="237">
        <f>IFERROR(BQ307/BQ336*365,"n/a")</f>
        <v>43.7461744102449</v>
      </c>
      <c r="BR340" s="237">
        <f>IFERROR(BR307/BR336*365,"n/a")</f>
        <v>39.616460870314</v>
      </c>
      <c r="BS340" s="237">
        <f>IFERROR(BS307/BS336*365,"n/a")</f>
        <v>38.210419333583</v>
      </c>
      <c r="BT340" s="237">
        <f>IFERROR(BT307/BT336*365,"n/a")</f>
        <v>38.6516406928059</v>
      </c>
      <c r="BU340" s="237">
        <f>IFERROR(BU307/BU336*365,"n/a")</f>
        <v>44.4174846837983</v>
      </c>
      <c r="BV340" s="237">
        <f>IFERROR(BV307/BV336*365,"n/a")</f>
        <v>44.6137442970961</v>
      </c>
      <c r="BW340" s="237">
        <f>IFERROR(BW307/BW336*365,"n/a")</f>
        <v>41.7660496292352</v>
      </c>
      <c r="BX340" s="237">
        <f>IFERROR(BX307/BX336*365,"n/a")</f>
        <v>41.9849253035584</v>
      </c>
      <c r="BY340" s="238" t="n"/>
      <c r="BZ340" s="238" t="n"/>
      <c r="CA340" s="239">
        <f>45</f>
        <v>45</v>
      </c>
      <c r="CB340" s="239">
        <f>CA340</f>
        <v>45</v>
      </c>
      <c r="CC340" s="239">
        <f>CB340</f>
        <v>45</v>
      </c>
      <c r="CD340" s="239">
        <f>CC340</f>
        <v>45</v>
      </c>
      <c r="CE340" s="239">
        <f>CD340</f>
        <v>45</v>
      </c>
      <c r="CF340" s="20" t="n"/>
    </row>
    <row r="341" ht="15" customHeight="1">
      <c r="B341" s="26" t="inlineStr">
        <is>
          <t xml:space="preserve">  Deferred revenue % of revenues</t>
        </is>
      </c>
      <c r="C341" s="190">
        <f>IFERROR(C308/C335,"n/a")</f>
        <v>0.0354406857481662</v>
      </c>
      <c r="D341" s="190">
        <f>IFERROR(D308/D335,"n/a")</f>
        <v>0.0313966271595082</v>
      </c>
      <c r="E341" s="190">
        <f>IFERROR(E308/E335,"n/a")</f>
        <v>0.0234691907446593</v>
      </c>
      <c r="F341" s="190">
        <f>IFERROR(F308/F335,"n/a")</f>
        <v>0.0196942898102809</v>
      </c>
      <c r="G341" s="190">
        <f>IFERROR(G308/G335,"n/a")</f>
        <v>0.0177589063124551</v>
      </c>
      <c r="H341" s="190">
        <f>IFERROR(H308/H335,"n/a")</f>
        <v>0.0162776140345218</v>
      </c>
      <c r="I341" s="190">
        <f>IFERROR(I308/I335,"n/a")</f>
        <v>0.0232834287364917</v>
      </c>
      <c r="J341" s="190">
        <f>IFERROR(J308/J335,"n/a")</f>
        <v>0.0180250138314913</v>
      </c>
      <c r="K341" s="190">
        <f>IFERROR(K308/K335,"n/a")</f>
        <v>0.0184113706933418</v>
      </c>
      <c r="L341" s="190">
        <f>IFERROR(L308/L335,"n/a")</f>
        <v>0.0170549896147256</v>
      </c>
      <c r="M341" s="190">
        <f>IFERROR(M308/M335,"n/a")</f>
        <v>0.0157641881673357</v>
      </c>
      <c r="N341" s="190">
        <f>IFERROR(N308/N335,"n/a")</f>
        <v>0.0158004089289663</v>
      </c>
      <c r="O341" s="190">
        <f>IFERROR(O308/O335,"n/a")</f>
        <v>0.0166739107583029</v>
      </c>
      <c r="P341" s="190">
        <f>IFERROR(P308/P335,"n/a")</f>
        <v>0.0179366438356164</v>
      </c>
      <c r="Q341" s="190">
        <f>IFERROR(Q308/Q335,"n/a")</f>
        <v>0.0187644236697927</v>
      </c>
      <c r="R341" s="190">
        <f>IFERROR(R308/R335,"n/a")</f>
        <v>0.0186284649903435</v>
      </c>
      <c r="S341" s="190">
        <f>IFERROR(S308/S335,"n/a")</f>
        <v>0.0185105049452675</v>
      </c>
      <c r="T341" s="190">
        <f>IFERROR(T308/T335,"n/a")</f>
        <v>0.0213914967802004</v>
      </c>
      <c r="U341" s="190">
        <f>IFERROR(U308/U335,"n/a")</f>
        <v>0.0172612867805705</v>
      </c>
      <c r="V341" s="190">
        <f>IFERROR(V308/V335,"n/a")</f>
        <v>0.0175843383338968</v>
      </c>
      <c r="W341" s="190">
        <f>IFERROR(W308/W335,"n/a")</f>
        <v>0.0216964170514022</v>
      </c>
      <c r="X341" s="190">
        <f>IFERROR(X308/X335,"n/a")</f>
        <v>0.018894476780666</v>
      </c>
      <c r="Y341" s="190">
        <f>IFERROR(Y308/Y335,"n/a")</f>
        <v>0.024991628451004</v>
      </c>
      <c r="Z341" s="190">
        <f>IFERROR(Z308/Z335,"n/a")</f>
        <v>0.0251835099138364</v>
      </c>
      <c r="AA341" s="190">
        <f>IFERROR(AA308/AA335,"n/a")</f>
        <v>0.0226254934751618</v>
      </c>
      <c r="AB341" s="190">
        <f>IFERROR(AB308/AB335,"n/a")</f>
        <v>0.0232610137361963</v>
      </c>
      <c r="AC341" s="190">
        <f>IFERROR(AC308/AC335,"n/a")</f>
        <v>0.0233726743287121</v>
      </c>
      <c r="AD341" s="190">
        <f>IFERROR(AD308/AD335,"n/a")</f>
        <v>0.0233615795837379</v>
      </c>
      <c r="AE341" s="190">
        <f>IFERROR(AE308/AE335,"n/a")</f>
        <v>0.0239406712115496</v>
      </c>
      <c r="AF341" s="190">
        <f>IFERROR(AF308/AF335,"n/a")</f>
        <v>0.0229001674944367</v>
      </c>
      <c r="AG341" s="190">
        <f>IFERROR(AG308/AG335,"n/a")</f>
        <v>0.0226858869980452</v>
      </c>
      <c r="AH341" s="190">
        <f>IFERROR(AH308/AH335,"n/a")</f>
        <v>0.0230297136345331</v>
      </c>
      <c r="AI341" s="190">
        <f>IFERROR(AI308/AI335,"n/a")</f>
        <v>0.0229227851444027</v>
      </c>
      <c r="AJ341" s="190">
        <f>IFERROR(AJ308/AJ335,"n/a")</f>
        <v>0.0202278187342488</v>
      </c>
      <c r="AK341" s="190">
        <f>IFERROR(AK308/AK335,"n/a")</f>
        <v>0.0193232532516743</v>
      </c>
      <c r="AL341" s="190">
        <f>IFERROR(AL308/AL335,"n/a")</f>
        <v>0.018015238801031</v>
      </c>
      <c r="AM341" s="190">
        <f>IFERROR(AM308/AM335,"n/a")</f>
        <v>0.0187385824877292</v>
      </c>
      <c r="AN341" s="190">
        <f>IFERROR(AN308/AN335,"n/a")</f>
        <v>0.0216296189099161</v>
      </c>
      <c r="AO341" s="190">
        <f>IFERROR(AO308/AO335,"n/a")</f>
        <v>0.021633447606593</v>
      </c>
      <c r="AP341" s="190">
        <f>IFERROR(AP308/AP335,"n/a")</f>
        <v>0.0205112777401454</v>
      </c>
      <c r="AQ341" s="190">
        <f>IFERROR(AQ308/AQ335,"n/a")</f>
        <v>0.021059006549905</v>
      </c>
      <c r="AR341" s="190">
        <f>IFERROR(AR308/AR335,"n/a")</f>
        <v>0.0215023196246399</v>
      </c>
      <c r="AS341" s="190">
        <f>IFERROR(AS308/AS335,"n/a")</f>
        <v>0.0207448375949115</v>
      </c>
      <c r="AT341" s="190">
        <f>IFERROR(AT308/AT335,"n/a")</f>
        <v>0.0217964788732394</v>
      </c>
      <c r="AU341" s="190">
        <f>IFERROR(AU308/AU335,"n/a")</f>
        <v>0.0216245970970457</v>
      </c>
      <c r="AV341" s="190">
        <f>IFERROR(AV308/AV335,"n/a")</f>
        <v>0.0232563835265452</v>
      </c>
      <c r="AW341" s="190">
        <f>IFERROR(AW308/AW335,"n/a")</f>
        <v>0.0235571612453433</v>
      </c>
      <c r="AX341" s="190">
        <f>IFERROR(AX308/AX335,"n/a")</f>
        <v>0.0257270326722333</v>
      </c>
      <c r="AY341" s="190">
        <f>IFERROR(AY308/AY335,"n/a")</f>
        <v>0.0225949260516937</v>
      </c>
      <c r="AZ341" s="190">
        <f>IFERROR(AZ308/AZ335,"n/a")</f>
        <v>0.0227511589851169</v>
      </c>
      <c r="BA341" s="190">
        <f>IFERROR(BA308/BA335,"n/a")</f>
        <v>0.0187026398840177</v>
      </c>
      <c r="BB341" s="190">
        <f>IFERROR(BB308/BB335,"n/a")</f>
        <v>0.0220069760976422</v>
      </c>
      <c r="BC341" s="190">
        <f>IFERROR(BC308/BC335,"n/a")</f>
        <v>0.0192702305773029</v>
      </c>
      <c r="BD341" s="190">
        <f>IFERROR(BD308/BD335,"n/a")</f>
        <v>0.0174242725862486</v>
      </c>
      <c r="BE341" s="190">
        <f>IFERROR(BE308/BE335,"n/a")</f>
        <v>0.0171348322849769</v>
      </c>
      <c r="BF341" s="190">
        <f>IFERROR(BF308/BF335,"n/a")</f>
        <v>0.0184050831782852</v>
      </c>
      <c r="BG341" s="190">
        <f>IFERROR(BG308/BG335,"n/a")</f>
        <v>0.0182119593040304</v>
      </c>
      <c r="BH341" s="190">
        <f>IFERROR(BH308/BH335,"n/a")</f>
        <v>0.0193775829192121</v>
      </c>
      <c r="BI341" s="190">
        <f>IFERROR(BI308/BI335,"n/a")</f>
        <v>0.0188366478288862</v>
      </c>
      <c r="BJ341" s="190">
        <f>IFERROR(BJ308/BJ335,"n/a")</f>
        <v>0.0187574687192465</v>
      </c>
      <c r="BK341" s="190">
        <f>IFERROR(BK308/BK335,"n/a")</f>
        <v>0.0177911011239985</v>
      </c>
      <c r="BL341" s="190">
        <f>IFERROR(BL308/BL335,"n/a")</f>
        <v>0.0176053473816229</v>
      </c>
      <c r="BM341" s="190">
        <f>IFERROR(BM308/BM335,"n/a")</f>
        <v>0.0193261760956494</v>
      </c>
      <c r="BN341" s="190">
        <f>IFERROR(BN308/BN335,"n/a")</f>
        <v>0.017394486703647</v>
      </c>
      <c r="BO341" s="190">
        <f>IFERROR(BO308/BO335,"n/a")</f>
        <v>0.016883992776356</v>
      </c>
      <c r="BP341" s="190">
        <f>IFERROR(BP308/BP335,"n/a")</f>
        <v>0.0154678237124035</v>
      </c>
      <c r="BQ341" s="190">
        <f>IFERROR(BQ308/BQ335,"n/a")</f>
        <v>0.0150332294728378</v>
      </c>
      <c r="BR341" s="190">
        <f>IFERROR(BR308/BR335,"n/a")</f>
        <v>0.0167902161388317</v>
      </c>
      <c r="BS341" s="190">
        <f>IFERROR(BS308/BS335,"n/a")</f>
        <v>0.0141613339062905</v>
      </c>
      <c r="BT341" s="190">
        <f>IFERROR(BT308/BT335,"n/a")</f>
        <v>0.0148395733142628</v>
      </c>
      <c r="BU341" s="190">
        <f>IFERROR(BU308/BU335,"n/a")</f>
        <v>0.0135909210933416</v>
      </c>
      <c r="BV341" s="190">
        <f>IFERROR(BV308/BV335,"n/a")</f>
        <v>0.0135186873729136</v>
      </c>
      <c r="BW341" s="190">
        <f>IFERROR(BW308/BW335,"n/a")</f>
        <v>0.0141925144754809</v>
      </c>
      <c r="BX341" s="190">
        <f>IFERROR(BX308/BX335,"n/a")</f>
        <v>0.0121091870052248</v>
      </c>
      <c r="BY341" s="169" t="n"/>
      <c r="BZ341" s="169" t="n"/>
      <c r="CA341" s="179">
        <f>0.0135</f>
        <v>0.0135</v>
      </c>
      <c r="CB341" s="179">
        <f>CA341</f>
        <v>0.0135</v>
      </c>
      <c r="CC341" s="179">
        <f>CB341</f>
        <v>0.0135</v>
      </c>
      <c r="CD341" s="179">
        <f>CC341</f>
        <v>0.0135</v>
      </c>
      <c r="CE341" s="179">
        <f>CD341</f>
        <v>0.0135</v>
      </c>
      <c r="CF341" s="20" t="inlineStr">
        <is>
          <t>Forecast inputs near FY2025 levels (DSO 63d — 1H/26 receivables build assumed to reverse seasonally by year end; unbilled ~10d; inventory ~33d → 34d; payables ~45d; deferred revenue ~1.35%).</t>
        </is>
      </c>
    </row>
    <row r="342" ht="15" customHeight="1">
      <c r="B342" s="26" t="inlineStr">
        <is>
          <t xml:space="preserve">  Operating NWC (receivables + unbilled + inventories − payables − deferred revenue)</t>
        </is>
      </c>
      <c r="C342" s="212">
        <f>IF(ISNUMBER(C294),C294+N(C295)+C296-C307-C308,"n/a")</f>
        <v>94.919</v>
      </c>
      <c r="D342" s="212">
        <f>IF(ISNUMBER(D294),D294+N(D295)+D296-D307-D308,"n/a")</f>
        <v>119.153</v>
      </c>
      <c r="E342" s="212">
        <f>IF(ISNUMBER(E294),E294+N(E295)+E296-E307-E308,"n/a")</f>
        <v>119.365</v>
      </c>
      <c r="F342" s="212">
        <f>IF(ISNUMBER(F294),F294+N(F295)+F296-F307-F308,"n/a")</f>
        <v>209.587</v>
      </c>
      <c r="G342" s="212">
        <f>IF(ISNUMBER(G294),G294+N(G295)+G296-G307-G308,"n/a")</f>
        <v>228.618</v>
      </c>
      <c r="H342" s="212">
        <f>IF(ISNUMBER(H294),H294+N(H295)+H296-H307-H308,"n/a")</f>
        <v>324.799</v>
      </c>
      <c r="I342" s="212">
        <f>IF(ISNUMBER(I294),I294+N(I295)+I296-I307-I308,"n/a")</f>
        <v>432.526</v>
      </c>
      <c r="J342" s="212">
        <f>IF(ISNUMBER(J294),J294+N(J295)+J296-J307-J308,"n/a")</f>
        <v>414.661</v>
      </c>
      <c r="K342" s="212">
        <f>IF(ISNUMBER(K294),K294+N(K295)+K296-K307-K308,"n/a")</f>
        <v>403.292</v>
      </c>
      <c r="L342" s="212">
        <f>IF(ISNUMBER(L294),L294+N(L295)+L296-L307-L308,"n/a")</f>
        <v>417.468</v>
      </c>
      <c r="M342" s="212">
        <f>IF(ISNUMBER(M294),M294+N(M295)+M296-M307-M308,"n/a")</f>
        <v>386.142</v>
      </c>
      <c r="N342" s="212">
        <f>IF(ISNUMBER(N294),N294+N(N295)+N296-N307-N308,"n/a")</f>
        <v>386.142</v>
      </c>
      <c r="O342" s="212">
        <f>IF(ISNUMBER(O294),O294+N(O295)+O296-O307-O308,"n/a")</f>
        <v>418.432</v>
      </c>
      <c r="P342" s="212">
        <f>IF(ISNUMBER(P294),P294+N(P295)+P296-P307-P308,"n/a")</f>
        <v>448.362</v>
      </c>
      <c r="Q342" s="212">
        <f>IF(ISNUMBER(Q294),Q294+N(Q295)+Q296-Q307-Q308,"n/a")</f>
        <v>480.818</v>
      </c>
      <c r="R342" s="212">
        <f>IF(ISNUMBER(R294),R294+N(R295)+R296-R307-R308,"n/a")</f>
        <v>436.274</v>
      </c>
      <c r="S342" s="212">
        <f>IF(ISNUMBER(S294),S294+N(S295)+S296-S307-S308,"n/a")</f>
        <v>436.274</v>
      </c>
      <c r="T342" s="212">
        <f>IF(ISNUMBER(T294),T294+N(T295)+T296-T307-T308,"n/a")</f>
        <v>391.055</v>
      </c>
      <c r="U342" s="212">
        <f>IF(ISNUMBER(U294),U294+N(U295)+U296-U307-U308,"n/a")</f>
        <v>442.101</v>
      </c>
      <c r="V342" s="212">
        <f>IF(ISNUMBER(V294),V294+N(V295)+V296-V307-V308,"n/a")</f>
        <v>433.787</v>
      </c>
      <c r="W342" s="212">
        <f>IF(ISNUMBER(W294),W294+N(W295)+W296-W307-W308,"n/a")</f>
        <v>368.4</v>
      </c>
      <c r="X342" s="212">
        <f>IF(ISNUMBER(X294),X294+N(X295)+X296-X307-X308,"n/a")</f>
        <v>368.4</v>
      </c>
      <c r="Y342" s="212">
        <f>IF(ISNUMBER(Y294),Y294+N(Y295)+Y296-Y307-Y308,"n/a")</f>
        <v>392.453</v>
      </c>
      <c r="Z342" s="212">
        <f>IF(ISNUMBER(Z294),Z294+N(Z295)+Z296-Z307-Z308,"n/a")</f>
        <v>402.707</v>
      </c>
      <c r="AA342" s="212">
        <f>IF(ISNUMBER(AA294),AA294+N(AA295)+AA296-AA307-AA308,"n/a")</f>
        <v>438.407</v>
      </c>
      <c r="AB342" s="212">
        <f>IF(ISNUMBER(AB294),AB294+N(AB295)+AB296-AB307-AB308,"n/a")</f>
        <v>416.913</v>
      </c>
      <c r="AC342" s="212">
        <f>IF(ISNUMBER(AC294),AC294+N(AC295)+AC296-AC307-AC308,"n/a")</f>
        <v>416.913</v>
      </c>
      <c r="AD342" s="212">
        <f>IF(ISNUMBER(AD294),AD294+N(AD295)+AD296-AD307-AD308,"n/a")</f>
        <v>407.133</v>
      </c>
      <c r="AE342" s="212">
        <f>IF(ISNUMBER(AE294),AE294+N(AE295)+AE296-AE307-AE308,"n/a")</f>
        <v>435.184</v>
      </c>
      <c r="AF342" s="212">
        <f>IF(ISNUMBER(AF294),AF294+N(AF295)+AF296-AF307-AF308,"n/a")</f>
        <v>452.891</v>
      </c>
      <c r="AG342" s="212">
        <f>IF(ISNUMBER(AG294),AG294+N(AG295)+AG296-AG307-AG308,"n/a")</f>
        <v>448.805</v>
      </c>
      <c r="AH342" s="212">
        <f>IF(ISNUMBER(AH294),AH294+N(AH295)+AH296-AH307-AH308,"n/a")</f>
        <v>448.805</v>
      </c>
      <c r="AI342" s="212">
        <f>IF(ISNUMBER(AI294),AI294+N(AI295)+AI296-AI307-AI308,"n/a")</f>
        <v>489.953</v>
      </c>
      <c r="AJ342" s="212">
        <f>IF(ISNUMBER(AJ294),AJ294+N(AJ295)+AJ296-AJ307-AJ308,"n/a")</f>
        <v>530.36</v>
      </c>
      <c r="AK342" s="212">
        <f>IF(ISNUMBER(AK294),AK294+N(AK295)+AK296-AK307-AK308,"n/a")</f>
        <v>555.077</v>
      </c>
      <c r="AL342" s="212">
        <f>IF(ISNUMBER(AL294),AL294+N(AL295)+AL296-AL307-AL308,"n/a")</f>
        <v>522.921</v>
      </c>
      <c r="AM342" s="212">
        <f>IF(ISNUMBER(AM294),AM294+N(AM295)+AM296-AM307-AM308,"n/a")</f>
        <v>522.921</v>
      </c>
      <c r="AN342" s="212">
        <f>IF(ISNUMBER(AN294),AN294+N(AN295)+AN296-AN307-AN308,"n/a")</f>
        <v>547.017</v>
      </c>
      <c r="AO342" s="212">
        <f>IF(ISNUMBER(AO294),AO294+N(AO295)+AO296-AO307-AO308,"n/a")</f>
        <v>560.046</v>
      </c>
      <c r="AP342" s="212">
        <f>IF(ISNUMBER(AP294),AP294+N(AP295)+AP296-AP307-AP308,"n/a")</f>
        <v>560.634</v>
      </c>
      <c r="AQ342" s="212">
        <f>IF(ISNUMBER(AQ294),AQ294+N(AQ295)+AQ296-AQ307-AQ308,"n/a")</f>
        <v>544.063</v>
      </c>
      <c r="AR342" s="212">
        <f>IF(ISNUMBER(AR294),AR294+N(AR295)+AR296-AR307-AR308,"n/a")</f>
        <v>544.063</v>
      </c>
      <c r="AS342" s="212">
        <f>IF(ISNUMBER(AS294),AS294+N(AS295)+AS296-AS307-AS308,"n/a")</f>
        <v>587.094</v>
      </c>
      <c r="AT342" s="212">
        <f>IF(ISNUMBER(AT294),AT294+N(AT295)+AT296-AT307-AT308,"n/a")</f>
        <v>586.7</v>
      </c>
      <c r="AU342" s="212">
        <f>IF(ISNUMBER(AU294),AU294+N(AU295)+AU296-AU307-AU308,"n/a")</f>
        <v>601.203</v>
      </c>
      <c r="AV342" s="212">
        <f>IF(ISNUMBER(AV294),AV294+N(AV295)+AV296-AV307-AV308,"n/a")</f>
        <v>617.769</v>
      </c>
      <c r="AW342" s="212">
        <f>IF(ISNUMBER(AW294),AW294+N(AW295)+AW296-AW307-AW308,"n/a")</f>
        <v>617.769</v>
      </c>
      <c r="AX342" s="212">
        <f>IF(ISNUMBER(AX294),AX294+N(AX295)+AX296-AX307-AX308,"n/a")</f>
        <v>598.402</v>
      </c>
      <c r="AY342" s="212">
        <f>IF(ISNUMBER(AY294),AY294+N(AY295)+AY296-AY307-AY308,"n/a")</f>
        <v>601.596</v>
      </c>
      <c r="AZ342" s="212">
        <f>IF(ISNUMBER(AZ294),AZ294+N(AZ295)+AZ296-AZ307-AZ308,"n/a")</f>
        <v>628.639</v>
      </c>
      <c r="BA342" s="212">
        <f>IF(ISNUMBER(BA294),BA294+N(BA295)+BA296-BA307-BA308,"n/a")</f>
        <v>694.774</v>
      </c>
      <c r="BB342" s="212">
        <f>IF(ISNUMBER(BB294),BB294+N(BB295)+BB296-BB307-BB308,"n/a")</f>
        <v>694.774</v>
      </c>
      <c r="BC342" s="212">
        <f>IF(ISNUMBER(BC294),BC294+N(BC295)+BC296-BC307-BC308,"n/a")</f>
        <v>804.683</v>
      </c>
      <c r="BD342" s="212">
        <f>IF(ISNUMBER(BD294),BD294+N(BD295)+BD296-BD307-BD308,"n/a")</f>
        <v>911.608</v>
      </c>
      <c r="BE342" s="212">
        <f>IF(ISNUMBER(BE294),BE294+N(BE295)+BE296-BE307-BE308,"n/a")</f>
        <v>944.85</v>
      </c>
      <c r="BF342" s="212">
        <f>IF(ISNUMBER(BF294),BF294+N(BF295)+BF296-BF307-BF308,"n/a")</f>
        <v>855.884</v>
      </c>
      <c r="BG342" s="212">
        <f>IF(ISNUMBER(BG294),BG294+N(BG295)+BG296-BG307-BG308,"n/a")</f>
        <v>855.884</v>
      </c>
      <c r="BH342" s="212">
        <f>IF(ISNUMBER(BH294),BH294+N(BH295)+BH296-BH307-BH308,"n/a")</f>
        <v>894.736</v>
      </c>
      <c r="BI342" s="212">
        <f>IF(ISNUMBER(BI294),BI294+N(BI295)+BI296-BI307-BI308,"n/a")</f>
        <v>950.029</v>
      </c>
      <c r="BJ342" s="212">
        <f>IF(ISNUMBER(BJ294),BJ294+N(BJ295)+BJ296-BJ307-BJ308,"n/a")</f>
        <v>935.304</v>
      </c>
      <c r="BK342" s="212">
        <f>IF(ISNUMBER(BK294),BK294+N(BK295)+BK296-BK307-BK308,"n/a")</f>
        <v>871.445</v>
      </c>
      <c r="BL342" s="212">
        <f>IF(ISNUMBER(BL294),BL294+N(BL295)+BL296-BL307-BL308,"n/a")</f>
        <v>871.445</v>
      </c>
      <c r="BM342" s="212">
        <f>IF(ISNUMBER(BM294),BM294+N(BM295)+BM296-BM307-BM308,"n/a")</f>
        <v>1000.392</v>
      </c>
      <c r="BN342" s="212">
        <f>IF(ISNUMBER(BN294),BN294+N(BN295)+BN296-BN307-BN308,"n/a")</f>
        <v>1086.361</v>
      </c>
      <c r="BO342" s="212">
        <f>IF(ISNUMBER(BO294),BO294+N(BO295)+BO296-BO307-BO308,"n/a")</f>
        <v>1074.035</v>
      </c>
      <c r="BP342" s="212">
        <f>IF(ISNUMBER(BP294),BP294+N(BP295)+BP296-BP307-BP308,"n/a")</f>
        <v>986.398</v>
      </c>
      <c r="BQ342" s="212">
        <f>IF(ISNUMBER(BQ294),BQ294+N(BQ295)+BQ296-BQ307-BQ308,"n/a")</f>
        <v>986.398</v>
      </c>
      <c r="BR342" s="212">
        <f>IF(ISNUMBER(BR294),BR294+N(BR295)+BR296-BR307-BR308,"n/a")</f>
        <v>1084.798</v>
      </c>
      <c r="BS342" s="212">
        <f>IF(ISNUMBER(BS294),BS294+N(BS295)+BS296-BS307-BS308,"n/a")</f>
        <v>1158.412</v>
      </c>
      <c r="BT342" s="212">
        <f>IF(ISNUMBER(BT294),BT294+N(BT295)+BT296-BT307-BT308,"n/a")</f>
        <v>1128.087</v>
      </c>
      <c r="BU342" s="212">
        <f>IF(ISNUMBER(BU294),BU294+N(BU295)+BU296-BU307-BU308,"n/a")</f>
        <v>988.992</v>
      </c>
      <c r="BV342" s="212">
        <f>IF(ISNUMBER(BV294),BV294+N(BV295)+BV296-BV307-BV308,"n/a")</f>
        <v>988.992</v>
      </c>
      <c r="BW342" s="212">
        <f>IF(ISNUMBER(BW294),BW294+N(BW295)+BW296-BW307-BW308,"n/a")</f>
        <v>1122.308</v>
      </c>
      <c r="BX342" s="212">
        <f>IF(ISNUMBER(BX294),BX294+N(BX295)+BX296-BX307-BX308,"n/a")</f>
        <v>1244.095</v>
      </c>
      <c r="BY342" s="168" t="n"/>
      <c r="BZ342" s="168" t="n"/>
      <c r="CA342" s="186">
        <f>CA294+CA295+CA296-CA307-CA308</f>
        <v>1142.2686383081</v>
      </c>
      <c r="CB342" s="186">
        <f>CB294+CB295+CB296-CB307-CB308</f>
        <v>1211.06313959644</v>
      </c>
      <c r="CC342" s="186">
        <f>CC294+CC295+CC296-CC307-CC308</f>
        <v>1311.99757805891</v>
      </c>
      <c r="CD342" s="186">
        <f>CD294+CD295+CD296-CD307-CD308</f>
        <v>1413.83944135314</v>
      </c>
      <c r="CE342" s="186">
        <f>CE294+CE295+CE296-CE307-CE308</f>
        <v>1518.70935924832</v>
      </c>
      <c r="CF342" s="20" t="n"/>
    </row>
    <row r="343" ht="15" customHeight="1">
      <c r="B343" s="26" t="inlineStr">
        <is>
          <t xml:space="preserve">  NWC % of revenues</t>
        </is>
      </c>
      <c r="C343" s="190">
        <f>IFERROR(C342/C335,"n/a")</f>
        <v>0.11438656365501</v>
      </c>
      <c r="D343" s="190">
        <f>IFERROR(D342/D335,"n/a")</f>
        <v>0.125832570330874</v>
      </c>
      <c r="E343" s="190">
        <f>IFERROR(E342/E335,"n/a")</f>
        <v>0.115808183267311</v>
      </c>
      <c r="F343" s="190">
        <f>IFERROR(F342/F335,"n/a")</f>
        <v>0.195106216603675</v>
      </c>
      <c r="G343" s="190">
        <f>IFERROR(G342/G335,"n/a")</f>
        <v>0.132054176072235</v>
      </c>
      <c r="H343" s="190">
        <f>IFERROR(H342/H335,"n/a")</f>
        <v>0.163697952156505</v>
      </c>
      <c r="I343" s="190">
        <f>IFERROR(I342/I335,"n/a")</f>
        <v>0.197689299550073</v>
      </c>
      <c r="J343" s="190">
        <f>IFERROR(J342/J335,"n/a")</f>
        <v>0.120238574376307</v>
      </c>
      <c r="K343" s="190">
        <f>IFERROR(K342/K335,"n/a")</f>
        <v>0.117164113195619</v>
      </c>
      <c r="L343" s="190">
        <f>IFERROR(L342/L335,"n/a")</f>
        <v>0.115000523395792</v>
      </c>
      <c r="M343" s="190">
        <f>IFERROR(M342/M335,"n/a")</f>
        <v>0.109770533186268</v>
      </c>
      <c r="N343" s="190">
        <f>IFERROR(N342/N335,"n/a")</f>
        <v>0.110022748668246</v>
      </c>
      <c r="O343" s="190">
        <f>IFERROR(O342/O335,"n/a")</f>
        <v>0.123552707262714</v>
      </c>
      <c r="P343" s="190">
        <f>IFERROR(P342/P335,"n/a")</f>
        <v>0.130568563041655</v>
      </c>
      <c r="Q343" s="190">
        <f>IFERROR(Q342/Q335,"n/a")</f>
        <v>0.141173741727493</v>
      </c>
      <c r="R343" s="190">
        <f>IFERROR(R342/R335,"n/a")</f>
        <v>0.129071481993411</v>
      </c>
      <c r="S343" s="190">
        <f>IFERROR(S342/S335,"n/a")</f>
        <v>0.12825416946434</v>
      </c>
      <c r="T343" s="190">
        <f>IFERROR(T342/T335,"n/a")</f>
        <v>0.133466052513382</v>
      </c>
      <c r="U343" s="190">
        <f>IFERROR(U342/U335,"n/a")</f>
        <v>0.118053775362412</v>
      </c>
      <c r="V343" s="190">
        <f>IFERROR(V342/V335,"n/a")</f>
        <v>0.121391176740552</v>
      </c>
      <c r="W343" s="190">
        <f>IFERROR(W342/W335,"n/a")</f>
        <v>0.129164539635703</v>
      </c>
      <c r="X343" s="190">
        <f>IFERROR(X342/X335,"n/a")</f>
        <v>0.112483844187281</v>
      </c>
      <c r="Y343" s="190">
        <f>IFERROR(Y342/Y335,"n/a")</f>
        <v>0.154245986765878</v>
      </c>
      <c r="Z343" s="190">
        <f>IFERROR(Z342/Z335,"n/a")</f>
        <v>0.144337357170507</v>
      </c>
      <c r="AA343" s="190">
        <f>IFERROR(AA342/AA335,"n/a")</f>
        <v>0.150238170303761</v>
      </c>
      <c r="AB343" s="190">
        <f>IFERROR(AB342/AB335,"n/a")</f>
        <v>0.15059426712112</v>
      </c>
      <c r="AC343" s="190">
        <f>IFERROR(AC342/AC335,"n/a")</f>
        <v>0.151317169626013</v>
      </c>
      <c r="AD343" s="190">
        <f>IFERROR(AD342/AD335,"n/a")</f>
        <v>0.147738703314217</v>
      </c>
      <c r="AE343" s="190">
        <f>IFERROR(AE342/AE335,"n/a")</f>
        <v>0.14452408911938</v>
      </c>
      <c r="AF343" s="190">
        <f>IFERROR(AF342/AF335,"n/a")</f>
        <v>0.149796056339519</v>
      </c>
      <c r="AG343" s="190">
        <f>IFERROR(AG342/AG335,"n/a")</f>
        <v>0.150121487336818</v>
      </c>
      <c r="AH343" s="190">
        <f>IFERROR(AH342/AH335,"n/a")</f>
        <v>0.152396724186055</v>
      </c>
      <c r="AI343" s="190">
        <f>IFERROR(AI342/AI335,"n/a")</f>
        <v>0.163366023009477</v>
      </c>
      <c r="AJ343" s="190">
        <f>IFERROR(AJ342/AJ335,"n/a")</f>
        <v>0.15614621852698</v>
      </c>
      <c r="AK343" s="190">
        <f>IFERROR(AK342/AK335,"n/a")</f>
        <v>0.164578245951937</v>
      </c>
      <c r="AL343" s="190">
        <f>IFERROR(AL342/AL335,"n/a")</f>
        <v>0.152330040409972</v>
      </c>
      <c r="AM343" s="190">
        <f>IFERROR(AM342/AM335,"n/a")</f>
        <v>0.158446360834142</v>
      </c>
      <c r="AN343" s="190">
        <f>IFERROR(AN342/AN335,"n/a")</f>
        <v>0.17513757637618</v>
      </c>
      <c r="AO343" s="190">
        <f>IFERROR(AO342/AO335,"n/a")</f>
        <v>0.161177674581375</v>
      </c>
      <c r="AP343" s="190">
        <f>IFERROR(AP342/AP335,"n/a")</f>
        <v>0.157186867757955</v>
      </c>
      <c r="AQ343" s="190">
        <f>IFERROR(AQ342/AQ335,"n/a")</f>
        <v>0.156159551322897</v>
      </c>
      <c r="AR343" s="190">
        <f>IFERROR(AR342/AR335,"n/a")</f>
        <v>0.1594468655028</v>
      </c>
      <c r="AS343" s="190">
        <f>IFERROR(AS342/AS335,"n/a")</f>
        <v>0.170952510182712</v>
      </c>
      <c r="AT343" s="190">
        <f>IFERROR(AT342/AT335,"n/a")</f>
        <v>0.206584507042254</v>
      </c>
      <c r="AU343" s="190">
        <f>IFERROR(AU342/AU335,"n/a")</f>
        <v>0.19285546562237</v>
      </c>
      <c r="AV343" s="190">
        <f>IFERROR(AV342/AV335,"n/a")</f>
        <v>0.193976626182193</v>
      </c>
      <c r="AW343" s="190">
        <f>IFERROR(AW342/AW335,"n/a")</f>
        <v>0.196485350165723</v>
      </c>
      <c r="AX343" s="190">
        <f>IFERROR(AX342/AX335,"n/a")</f>
        <v>0.185115226418923</v>
      </c>
      <c r="AY343" s="190">
        <f>IFERROR(AY342/AY335,"n/a")</f>
        <v>0.162337634301825</v>
      </c>
      <c r="AZ343" s="190">
        <f>IFERROR(AZ342/AZ335,"n/a")</f>
        <v>0.16517416569362</v>
      </c>
      <c r="BA343" s="190">
        <f>IFERROR(BA342/BA335,"n/a")</f>
        <v>0.155155380037714</v>
      </c>
      <c r="BB343" s="190">
        <f>IFERROR(BB342/BB335,"n/a")</f>
        <v>0.182567849302837</v>
      </c>
      <c r="BC343" s="190">
        <f>IFERROR(BC342/BC335,"n/a")</f>
        <v>0.172071851298724</v>
      </c>
      <c r="BD343" s="190">
        <f>IFERROR(BD342/BD335,"n/a")</f>
        <v>0.168030659612243</v>
      </c>
      <c r="BE343" s="190">
        <f>IFERROR(BE342/BE335,"n/a")</f>
        <v>0.173292440829119</v>
      </c>
      <c r="BF343" s="190">
        <f>IFERROR(BF342/BF335,"n/a")</f>
        <v>0.167413609910977</v>
      </c>
      <c r="BG343" s="190">
        <f>IFERROR(BG342/BG335,"n/a")</f>
        <v>0.16565694493773</v>
      </c>
      <c r="BH343" s="190">
        <f>IFERROR(BH342/BH335,"n/a")</f>
        <v>0.171092415635156</v>
      </c>
      <c r="BI343" s="190">
        <f>IFERROR(BI342/BI335,"n/a")</f>
        <v>0.16990289004936</v>
      </c>
      <c r="BJ343" s="190">
        <f>IFERROR(BJ342/BJ335,"n/a")</f>
        <v>0.171213798678476</v>
      </c>
      <c r="BK343" s="190">
        <f>IFERROR(BK342/BK335,"n/a")</f>
        <v>0.162805482715561</v>
      </c>
      <c r="BL343" s="190">
        <f>IFERROR(BL342/BL335,"n/a")</f>
        <v>0.161105659445325</v>
      </c>
      <c r="BM343" s="190">
        <f>IFERROR(BM342/BM335,"n/a")</f>
        <v>0.181665510516127</v>
      </c>
      <c r="BN343" s="190">
        <f>IFERROR(BN342/BN335,"n/a")</f>
        <v>0.174912685424729</v>
      </c>
      <c r="BO343" s="190">
        <f>IFERROR(BO342/BO335,"n/a")</f>
        <v>0.175562238545019</v>
      </c>
      <c r="BP343" s="190">
        <f>IFERROR(BP342/BP335,"n/a")</f>
        <v>0.172312726571431</v>
      </c>
      <c r="BQ343" s="190">
        <f>IFERROR(BQ342/BQ335,"n/a")</f>
        <v>0.167471313857906</v>
      </c>
      <c r="BR343" s="190">
        <f>IFERROR(BR342/BR335,"n/a")</f>
        <v>0.189391738538357</v>
      </c>
      <c r="BS343" s="190">
        <f>IFERROR(BS342/BS335,"n/a")</f>
        <v>0.186858246002527</v>
      </c>
      <c r="BT343" s="190">
        <f>IFERROR(BT342/BT335,"n/a")</f>
        <v>0.182027376871526</v>
      </c>
      <c r="BU343" s="190">
        <f>IFERROR(BU342/BU335,"n/a")</f>
        <v>0.164865412723645</v>
      </c>
      <c r="BV343" s="190">
        <f>IFERROR(BV342/BV335,"n/a")</f>
        <v>0.163989177621614</v>
      </c>
      <c r="BW343" s="190">
        <f>IFERROR(BW342/BW335,"n/a")</f>
        <v>0.192236990223612</v>
      </c>
      <c r="BX343" s="190">
        <f>IFERROR(BX342/BX335,"n/a")</f>
        <v>0.17926389261126</v>
      </c>
      <c r="BY343" s="169" t="n"/>
      <c r="BZ343" s="169" t="n"/>
      <c r="CA343" s="179">
        <f>IFERROR(CA342/CA335,"n/a")</f>
        <v>0.166475254457024</v>
      </c>
      <c r="CB343" s="179">
        <f>IFERROR(CB342/CB335,"n/a")</f>
        <v>0.166414150503929</v>
      </c>
      <c r="CC343" s="179">
        <f>IFERROR(CC342/CC335,"n/a")</f>
        <v>0.166570893219239</v>
      </c>
      <c r="CD343" s="179">
        <f>IFERROR(CD342/CD335,"n/a")</f>
        <v>0.166662093798905</v>
      </c>
      <c r="CE343" s="179">
        <f>IFERROR(CE342/CE335,"n/a")</f>
        <v>0.16670997116735</v>
      </c>
      <c r="CF343" s="20" t="n"/>
    </row>
    <row r="344" ht="15" customHeight="1">
      <c r="B344" s="26" t="inlineStr">
        <is>
          <t xml:space="preserve">  ΔNWC (y/y)</t>
        </is>
      </c>
      <c r="C344" s="184" t="n"/>
      <c r="D344" s="212">
        <f>IFERROR(D342-C342,"n/a")</f>
        <v>24.234</v>
      </c>
      <c r="E344" s="212">
        <f>IFERROR(E342-D342,"n/a")</f>
        <v>0.212000000000003</v>
      </c>
      <c r="F344" s="212">
        <f>IFERROR(F342-E342,"n/a")</f>
        <v>90.222</v>
      </c>
      <c r="G344" s="212">
        <f>IFERROR(G342-F342,"n/a")</f>
        <v>19.031</v>
      </c>
      <c r="H344" s="212">
        <f>IFERROR(H342-G342,"n/a")</f>
        <v>96.181</v>
      </c>
      <c r="I344" s="212">
        <f>IFERROR(I342-H342,"n/a")</f>
        <v>107.727</v>
      </c>
      <c r="J344" s="184" t="n"/>
      <c r="K344" s="184" t="n"/>
      <c r="L344" s="184" t="n"/>
      <c r="M344" s="184" t="n"/>
      <c r="N344" s="212">
        <f>IFERROR(N342-I342,"n/a")</f>
        <v>-46.384</v>
      </c>
      <c r="O344" s="212">
        <f>IFERROR(O342-J342,"n/a")</f>
        <v>3.77099999999996</v>
      </c>
      <c r="P344" s="212">
        <f>IFERROR(P342-K342,"n/a")</f>
        <v>45.07</v>
      </c>
      <c r="Q344" s="212">
        <f>IFERROR(Q342-L342,"n/a")</f>
        <v>63.3500000000001</v>
      </c>
      <c r="R344" s="212">
        <f>IFERROR(R342-M342,"n/a")</f>
        <v>50.132</v>
      </c>
      <c r="S344" s="212">
        <f>IFERROR(S342-N342,"n/a")</f>
        <v>50.132</v>
      </c>
      <c r="T344" s="212">
        <f>IFERROR(T342-O342,"n/a")</f>
        <v>-27.3770000000001</v>
      </c>
      <c r="U344" s="212">
        <f>IFERROR(U342-P342,"n/a")</f>
        <v>-6.26100000000002</v>
      </c>
      <c r="V344" s="212">
        <f>IFERROR(V342-Q342,"n/a")</f>
        <v>-47.031</v>
      </c>
      <c r="W344" s="212">
        <f>IFERROR(W342-R342,"n/a")</f>
        <v>-67.8739999999999</v>
      </c>
      <c r="X344" s="212">
        <f>IFERROR(X342-S342,"n/a")</f>
        <v>-67.8739999999999</v>
      </c>
      <c r="Y344" s="212">
        <f>IFERROR(Y342-T342,"n/a")</f>
        <v>1.39800000000008</v>
      </c>
      <c r="Z344" s="212">
        <f>IFERROR(Z342-U342,"n/a")</f>
        <v>-39.394</v>
      </c>
      <c r="AA344" s="212">
        <f>IFERROR(AA342-V342,"n/a")</f>
        <v>4.62</v>
      </c>
      <c r="AB344" s="212">
        <f>IFERROR(AB342-W342,"n/a")</f>
        <v>48.5129999999999</v>
      </c>
      <c r="AC344" s="212">
        <f>IFERROR(AC342-X342,"n/a")</f>
        <v>48.5129999999999</v>
      </c>
      <c r="AD344" s="212">
        <f>IFERROR(AD342-Y342,"n/a")</f>
        <v>14.68</v>
      </c>
      <c r="AE344" s="212">
        <f>IFERROR(AE342-Z342,"n/a")</f>
        <v>32.477</v>
      </c>
      <c r="AF344" s="212">
        <f>IFERROR(AF342-AA342,"n/a")</f>
        <v>14.4839999999999</v>
      </c>
      <c r="AG344" s="212">
        <f>IFERROR(AG342-AB342,"n/a")</f>
        <v>31.892</v>
      </c>
      <c r="AH344" s="212">
        <f>IFERROR(AH342-AC342,"n/a")</f>
        <v>31.892</v>
      </c>
      <c r="AI344" s="212">
        <f>IFERROR(AI342-AD342,"n/a")</f>
        <v>82.8200000000001</v>
      </c>
      <c r="AJ344" s="212">
        <f>IFERROR(AJ342-AE342,"n/a")</f>
        <v>95.176</v>
      </c>
      <c r="AK344" s="212">
        <f>IFERROR(AK342-AF342,"n/a")</f>
        <v>102.186</v>
      </c>
      <c r="AL344" s="212">
        <f>IFERROR(AL342-AG342,"n/a")</f>
        <v>74.1160000000001</v>
      </c>
      <c r="AM344" s="212">
        <f>IFERROR(AM342-AH342,"n/a")</f>
        <v>74.1160000000001</v>
      </c>
      <c r="AN344" s="212">
        <f>IFERROR(AN342-AI342,"n/a")</f>
        <v>57.0639999999999</v>
      </c>
      <c r="AO344" s="212">
        <f>IFERROR(AO342-AJ342,"n/a")</f>
        <v>29.686</v>
      </c>
      <c r="AP344" s="212">
        <f>IFERROR(AP342-AK342,"n/a")</f>
        <v>5.55700000000002</v>
      </c>
      <c r="AQ344" s="212">
        <f>IFERROR(AQ342-AL342,"n/a")</f>
        <v>21.1420000000001</v>
      </c>
      <c r="AR344" s="212">
        <f>IFERROR(AR342-AM342,"n/a")</f>
        <v>21.1420000000001</v>
      </c>
      <c r="AS344" s="212">
        <f>IFERROR(AS342-AN342,"n/a")</f>
        <v>40.0770000000001</v>
      </c>
      <c r="AT344" s="212">
        <f>IFERROR(AT342-AO342,"n/a")</f>
        <v>26.6539999999999</v>
      </c>
      <c r="AU344" s="212">
        <f>IFERROR(AU342-AP342,"n/a")</f>
        <v>40.5690000000001</v>
      </c>
      <c r="AV344" s="212">
        <f>IFERROR(AV342-AQ342,"n/a")</f>
        <v>73.7059999999999</v>
      </c>
      <c r="AW344" s="212">
        <f>IFERROR(AW342-AR342,"n/a")</f>
        <v>73.7059999999999</v>
      </c>
      <c r="AX344" s="212">
        <f>IFERROR(AX342-AS342,"n/a")</f>
        <v>11.308</v>
      </c>
      <c r="AY344" s="212">
        <f>IFERROR(AY342-AT342,"n/a")</f>
        <v>14.8960000000001</v>
      </c>
      <c r="AZ344" s="212">
        <f>IFERROR(AZ342-AU342,"n/a")</f>
        <v>27.4360000000002</v>
      </c>
      <c r="BA344" s="212">
        <f>IFERROR(BA342-AV342,"n/a")</f>
        <v>77.0050000000001</v>
      </c>
      <c r="BB344" s="212">
        <f>IFERROR(BB342-AW342,"n/a")</f>
        <v>77.0050000000001</v>
      </c>
      <c r="BC344" s="212">
        <f>IFERROR(BC342-AX342,"n/a")</f>
        <v>206.281</v>
      </c>
      <c r="BD344" s="212">
        <f>IFERROR(BD342-AY342,"n/a")</f>
        <v>310.012</v>
      </c>
      <c r="BE344" s="212">
        <f>IFERROR(BE342-AZ342,"n/a")</f>
        <v>316.211</v>
      </c>
      <c r="BF344" s="212">
        <f>IFERROR(BF342-BA342,"n/a")</f>
        <v>161.11</v>
      </c>
      <c r="BG344" s="212">
        <f>IFERROR(BG342-BB342,"n/a")</f>
        <v>161.11</v>
      </c>
      <c r="BH344" s="212">
        <f>IFERROR(BH342-BC342,"n/a")</f>
        <v>90.0529999999999</v>
      </c>
      <c r="BI344" s="212">
        <f>IFERROR(BI342-BD342,"n/a")</f>
        <v>38.4210000000003</v>
      </c>
      <c r="BJ344" s="212">
        <f>IFERROR(BJ342-BE342,"n/a")</f>
        <v>-9.54600000000016</v>
      </c>
      <c r="BK344" s="212">
        <f>IFERROR(BK342-BF342,"n/a")</f>
        <v>15.5609999999999</v>
      </c>
      <c r="BL344" s="212">
        <f>IFERROR(BL342-BG342,"n/a")</f>
        <v>15.5609999999999</v>
      </c>
      <c r="BM344" s="212">
        <f>IFERROR(BM342-BH342,"n/a")</f>
        <v>105.656</v>
      </c>
      <c r="BN344" s="212">
        <f>IFERROR(BN342-BI342,"n/a")</f>
        <v>136.332</v>
      </c>
      <c r="BO344" s="212">
        <f>IFERROR(BO342-BJ342,"n/a")</f>
        <v>138.731</v>
      </c>
      <c r="BP344" s="212">
        <f>IFERROR(BP342-BK342,"n/a")</f>
        <v>114.953</v>
      </c>
      <c r="BQ344" s="212">
        <f>IFERROR(BQ342-BL342,"n/a")</f>
        <v>114.953</v>
      </c>
      <c r="BR344" s="212">
        <f>IFERROR(BR342-BM342,"n/a")</f>
        <v>84.406</v>
      </c>
      <c r="BS344" s="212">
        <f>IFERROR(BS342-BN342,"n/a")</f>
        <v>72.0510000000002</v>
      </c>
      <c r="BT344" s="212">
        <f>IFERROR(BT342-BO342,"n/a")</f>
        <v>54.0519999999999</v>
      </c>
      <c r="BU344" s="212">
        <f>IFERROR(BU342-BP342,"n/a")</f>
        <v>2.59399999999994</v>
      </c>
      <c r="BV344" s="212">
        <f>IFERROR(BV342-BQ342,"n/a")</f>
        <v>2.59399999999994</v>
      </c>
      <c r="BW344" s="212">
        <f>IFERROR(BW342-BR342,"n/a")</f>
        <v>37.51</v>
      </c>
      <c r="BX344" s="212">
        <f>IFERROR(BX342-BS342,"n/a")</f>
        <v>85.6829999999998</v>
      </c>
      <c r="BY344" s="168" t="n"/>
      <c r="BZ344" s="168" t="n"/>
      <c r="CA344" s="186">
        <f>IFERROR(CA342-BV342,"n/a")</f>
        <v>153.276638308104</v>
      </c>
      <c r="CB344" s="186">
        <f>IFERROR(CB342-CA342,"n/a")</f>
        <v>68.7945012883392</v>
      </c>
      <c r="CC344" s="186">
        <f>IFERROR(CC342-CB342,"n/a")</f>
        <v>100.934438462472</v>
      </c>
      <c r="CD344" s="186">
        <f>IFERROR(CD342-CC342,"n/a")</f>
        <v>101.841863294223</v>
      </c>
      <c r="CE344" s="186">
        <f>IFERROR(CE342-CD342,"n/a")</f>
        <v>104.869917895186</v>
      </c>
      <c r="CF344" s="20" t="n"/>
    </row>
    <row r="345" ht="15" customHeight="1"/>
    <row r="346" ht="15" customHeight="1">
      <c r="B346" s="11" t="inlineStr">
        <is>
          <t>BALANCE SHEET FORECAST SCHEDULES</t>
        </is>
      </c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  <c r="AG346" s="11" t="n"/>
      <c r="AH346" s="11" t="n"/>
      <c r="AI346" s="11" t="n"/>
      <c r="AJ346" s="11" t="n"/>
      <c r="AK346" s="11" t="n"/>
      <c r="AL346" s="11" t="n"/>
      <c r="AM346" s="11" t="n"/>
      <c r="AN346" s="11" t="n"/>
      <c r="AO346" s="11" t="n"/>
      <c r="AP346" s="11" t="n"/>
      <c r="AQ346" s="11" t="n"/>
      <c r="AR346" s="11" t="n"/>
      <c r="AS346" s="11" t="n"/>
      <c r="AT346" s="11" t="n"/>
      <c r="AU346" s="11" t="n"/>
      <c r="AV346" s="11" t="n"/>
      <c r="AW346" s="11" t="n"/>
      <c r="AX346" s="11" t="n"/>
      <c r="AY346" s="11" t="n"/>
      <c r="AZ346" s="11" t="n"/>
      <c r="BA346" s="11" t="n"/>
      <c r="BB346" s="11" t="n"/>
      <c r="BC346" s="11" t="n"/>
      <c r="BD346" s="11" t="n"/>
      <c r="BE346" s="11" t="n"/>
      <c r="BF346" s="11" t="n"/>
      <c r="BG346" s="11" t="n"/>
      <c r="BH346" s="11" t="n"/>
      <c r="BI346" s="11" t="n"/>
      <c r="BJ346" s="11" t="n"/>
      <c r="BK346" s="11" t="n"/>
      <c r="BL346" s="11" t="n"/>
      <c r="BM346" s="11" t="n"/>
      <c r="BN346" s="11" t="n"/>
      <c r="BO346" s="11" t="n"/>
      <c r="BP346" s="11" t="n"/>
      <c r="BQ346" s="11" t="n"/>
      <c r="BR346" s="11" t="n"/>
      <c r="BS346" s="11" t="n"/>
      <c r="BT346" s="11" t="n"/>
      <c r="BU346" s="11" t="n"/>
      <c r="BV346" s="11" t="n"/>
      <c r="BW346" s="11" t="n"/>
      <c r="BX346" s="11" t="n"/>
      <c r="BY346" s="11" t="n"/>
      <c r="BZ346" s="11" t="n"/>
      <c r="CA346" s="11" t="n"/>
      <c r="CB346" s="11" t="n"/>
      <c r="CC346" s="11" t="n"/>
      <c r="CD346" s="11" t="n"/>
      <c r="CE346" s="11" t="n"/>
      <c r="CF346" s="11" t="inlineStr">
        <is>
          <t>BS FORECAST SCHEDULES — explicit driver assumptions</t>
        </is>
      </c>
    </row>
    <row r="347" ht="15" customHeight="1">
      <c r="B347" s="139" t="inlineStr">
        <is>
          <t>Pending acquisitions — consideration &amp; assumed purchase-price allocation (ES&amp;H + EnviroServe + Western Oil; company PPAs not yet published)</t>
        </is>
      </c>
      <c r="C347" s="139" t="n"/>
      <c r="D347" s="139" t="n"/>
      <c r="E347" s="139" t="n"/>
      <c r="F347" s="139" t="n"/>
      <c r="G347" s="139" t="n"/>
      <c r="H347" s="139" t="n"/>
      <c r="I347" s="139" t="n"/>
      <c r="J347" s="139" t="n"/>
      <c r="K347" s="139" t="n"/>
      <c r="L347" s="139" t="n"/>
      <c r="M347" s="139" t="n"/>
      <c r="N347" s="139" t="n"/>
      <c r="O347" s="139" t="n"/>
      <c r="P347" s="139" t="n"/>
      <c r="Q347" s="139" t="n"/>
      <c r="R347" s="139" t="n"/>
      <c r="S347" s="139" t="n"/>
      <c r="T347" s="139" t="n"/>
      <c r="U347" s="139" t="n"/>
      <c r="V347" s="139" t="n"/>
      <c r="W347" s="139" t="n"/>
      <c r="X347" s="139" t="n"/>
      <c r="Y347" s="139" t="n"/>
      <c r="Z347" s="139" t="n"/>
      <c r="AA347" s="139" t="n"/>
      <c r="AB347" s="139" t="n"/>
      <c r="AC347" s="139" t="n"/>
      <c r="AD347" s="139" t="n"/>
      <c r="AE347" s="139" t="n"/>
      <c r="AF347" s="139" t="n"/>
      <c r="AG347" s="139" t="n"/>
      <c r="AH347" s="139" t="n"/>
      <c r="AI347" s="139" t="n"/>
      <c r="AJ347" s="139" t="n"/>
      <c r="AK347" s="139" t="n"/>
      <c r="AL347" s="139" t="n"/>
      <c r="AM347" s="139" t="n"/>
      <c r="AN347" s="139" t="n"/>
      <c r="AO347" s="139" t="n"/>
      <c r="AP347" s="139" t="n"/>
      <c r="AQ347" s="139" t="n"/>
      <c r="AR347" s="139" t="n"/>
      <c r="AS347" s="139" t="n"/>
      <c r="AT347" s="139" t="n"/>
      <c r="AU347" s="139" t="n"/>
      <c r="AV347" s="139" t="n"/>
      <c r="AW347" s="139" t="n"/>
      <c r="AX347" s="139" t="n"/>
      <c r="AY347" s="139" t="n"/>
      <c r="AZ347" s="139" t="n"/>
      <c r="BA347" s="139" t="n"/>
      <c r="BB347" s="139" t="n"/>
      <c r="BC347" s="139" t="n"/>
      <c r="BD347" s="139" t="n"/>
      <c r="BE347" s="139" t="n"/>
      <c r="BF347" s="139" t="n"/>
      <c r="BG347" s="139" t="n"/>
      <c r="BH347" s="139" t="n"/>
      <c r="BI347" s="139" t="n"/>
      <c r="BJ347" s="139" t="n"/>
      <c r="BK347" s="139" t="n"/>
      <c r="BL347" s="139" t="n"/>
      <c r="BM347" s="139" t="n"/>
      <c r="BN347" s="139" t="n"/>
      <c r="BO347" s="139" t="n"/>
      <c r="BP347" s="139" t="n"/>
      <c r="BQ347" s="139" t="n"/>
      <c r="BR347" s="139" t="n"/>
      <c r="BS347" s="139" t="n"/>
      <c r="BT347" s="139" t="n"/>
      <c r="BU347" s="139" t="n"/>
      <c r="BV347" s="139" t="n"/>
      <c r="BW347" s="139" t="n"/>
      <c r="BX347" s="139" t="n"/>
      <c r="BY347" s="139" t="n"/>
      <c r="BZ347" s="139" t="n"/>
      <c r="CA347" s="139" t="n"/>
      <c r="CB347" s="139" t="n"/>
      <c r="CC347" s="139" t="n"/>
      <c r="CD347" s="139" t="n"/>
      <c r="CE347" s="139" t="n"/>
      <c r="CF347" s="139" t="inlineStr">
        <is>
          <t>PPA — model assumption based on CLH service-business deals (HydroChemPSC, Thompson Industrial, Terra Nova)</t>
        </is>
      </c>
    </row>
    <row r="348" ht="15" customHeight="1">
      <c r="B348" s="26" t="inlineStr">
        <is>
          <t xml:space="preserve">  ES&amp;H cash consideration</t>
        </is>
      </c>
      <c r="C348" s="184" t="n"/>
      <c r="D348" s="184" t="n"/>
      <c r="E348" s="184" t="n"/>
      <c r="F348" s="184" t="n"/>
      <c r="G348" s="184" t="n"/>
      <c r="H348" s="184" t="n"/>
      <c r="I348" s="184" t="n"/>
      <c r="J348" s="184" t="n"/>
      <c r="K348" s="184" t="n"/>
      <c r="L348" s="184" t="n"/>
      <c r="M348" s="184" t="n"/>
      <c r="N348" s="184" t="n"/>
      <c r="O348" s="184" t="n"/>
      <c r="P348" s="184" t="n"/>
      <c r="Q348" s="184" t="n"/>
      <c r="R348" s="184" t="n"/>
      <c r="S348" s="184" t="n"/>
      <c r="T348" s="184" t="n"/>
      <c r="U348" s="184" t="n"/>
      <c r="V348" s="184" t="n"/>
      <c r="W348" s="184" t="n"/>
      <c r="X348" s="184" t="n"/>
      <c r="Y348" s="184" t="n"/>
      <c r="Z348" s="184" t="n"/>
      <c r="AA348" s="184" t="n"/>
      <c r="AB348" s="184" t="n"/>
      <c r="AC348" s="184" t="n"/>
      <c r="AD348" s="184" t="n"/>
      <c r="AE348" s="184" t="n"/>
      <c r="AF348" s="184" t="n"/>
      <c r="AG348" s="184" t="n"/>
      <c r="AH348" s="184" t="n"/>
      <c r="AI348" s="184" t="n"/>
      <c r="AJ348" s="184" t="n"/>
      <c r="AK348" s="184" t="n"/>
      <c r="AL348" s="184" t="n"/>
      <c r="AM348" s="184" t="n"/>
      <c r="AN348" s="184" t="n"/>
      <c r="AO348" s="184" t="n"/>
      <c r="AP348" s="184" t="n"/>
      <c r="AQ348" s="184" t="n"/>
      <c r="AR348" s="184" t="n"/>
      <c r="AS348" s="184" t="n"/>
      <c r="AT348" s="184" t="n"/>
      <c r="AU348" s="184" t="n"/>
      <c r="AV348" s="184" t="n"/>
      <c r="AW348" s="184" t="n"/>
      <c r="AX348" s="184" t="n"/>
      <c r="AY348" s="184" t="n"/>
      <c r="AZ348" s="184" t="n"/>
      <c r="BA348" s="184" t="n"/>
      <c r="BB348" s="184" t="n"/>
      <c r="BC348" s="184" t="n"/>
      <c r="BD348" s="184" t="n"/>
      <c r="BE348" s="184" t="n"/>
      <c r="BF348" s="184" t="n"/>
      <c r="BG348" s="184" t="n"/>
      <c r="BH348" s="184" t="n"/>
      <c r="BI348" s="184" t="n"/>
      <c r="BJ348" s="184" t="n"/>
      <c r="BK348" s="184" t="n"/>
      <c r="BL348" s="184" t="n"/>
      <c r="BM348" s="184" t="n"/>
      <c r="BN348" s="184" t="n"/>
      <c r="BO348" s="184" t="n"/>
      <c r="BP348" s="184" t="n"/>
      <c r="BQ348" s="184" t="n"/>
      <c r="BR348" s="184" t="n"/>
      <c r="BS348" s="184" t="n"/>
      <c r="BT348" s="184" t="n"/>
      <c r="BU348" s="184" t="n"/>
      <c r="BV348" s="184" t="n"/>
      <c r="BW348" s="184" t="n"/>
      <c r="BX348" s="184" t="n"/>
      <c r="BY348" s="168" t="n"/>
      <c r="BZ348" s="168" t="n"/>
      <c r="CA348" s="201" t="n">
        <v>305</v>
      </c>
      <c r="CB348" s="168" t="n"/>
      <c r="CC348" s="168" t="n"/>
      <c r="CD348" s="168" t="n"/>
      <c r="CE348" s="168" t="n"/>
      <c r="CF348" s="20" t="inlineStr">
        <is>
          <t>8-K 29-Jul-26 (Q2-26 release): $305m all-cash.</t>
        </is>
      </c>
    </row>
    <row r="349" ht="15" customHeight="1">
      <c r="B349" s="26" t="inlineStr">
        <is>
          <t xml:space="preserve">  EnviroServe cash consideration</t>
        </is>
      </c>
      <c r="C349" s="184" t="n"/>
      <c r="D349" s="184" t="n"/>
      <c r="E349" s="184" t="n"/>
      <c r="F349" s="184" t="n"/>
      <c r="G349" s="184" t="n"/>
      <c r="H349" s="184" t="n"/>
      <c r="I349" s="184" t="n"/>
      <c r="J349" s="184" t="n"/>
      <c r="K349" s="184" t="n"/>
      <c r="L349" s="184" t="n"/>
      <c r="M349" s="184" t="n"/>
      <c r="N349" s="184" t="n"/>
      <c r="O349" s="184" t="n"/>
      <c r="P349" s="184" t="n"/>
      <c r="Q349" s="184" t="n"/>
      <c r="R349" s="184" t="n"/>
      <c r="S349" s="184" t="n"/>
      <c r="T349" s="184" t="n"/>
      <c r="U349" s="184" t="n"/>
      <c r="V349" s="184" t="n"/>
      <c r="W349" s="184" t="n"/>
      <c r="X349" s="184" t="n"/>
      <c r="Y349" s="184" t="n"/>
      <c r="Z349" s="184" t="n"/>
      <c r="AA349" s="184" t="n"/>
      <c r="AB349" s="184" t="n"/>
      <c r="AC349" s="184" t="n"/>
      <c r="AD349" s="184" t="n"/>
      <c r="AE349" s="184" t="n"/>
      <c r="AF349" s="184" t="n"/>
      <c r="AG349" s="184" t="n"/>
      <c r="AH349" s="184" t="n"/>
      <c r="AI349" s="184" t="n"/>
      <c r="AJ349" s="184" t="n"/>
      <c r="AK349" s="184" t="n"/>
      <c r="AL349" s="184" t="n"/>
      <c r="AM349" s="184" t="n"/>
      <c r="AN349" s="184" t="n"/>
      <c r="AO349" s="184" t="n"/>
      <c r="AP349" s="184" t="n"/>
      <c r="AQ349" s="184" t="n"/>
      <c r="AR349" s="184" t="n"/>
      <c r="AS349" s="184" t="n"/>
      <c r="AT349" s="184" t="n"/>
      <c r="AU349" s="184" t="n"/>
      <c r="AV349" s="184" t="n"/>
      <c r="AW349" s="184" t="n"/>
      <c r="AX349" s="184" t="n"/>
      <c r="AY349" s="184" t="n"/>
      <c r="AZ349" s="184" t="n"/>
      <c r="BA349" s="184" t="n"/>
      <c r="BB349" s="184" t="n"/>
      <c r="BC349" s="184" t="n"/>
      <c r="BD349" s="184" t="n"/>
      <c r="BE349" s="184" t="n"/>
      <c r="BF349" s="184" t="n"/>
      <c r="BG349" s="184" t="n"/>
      <c r="BH349" s="184" t="n"/>
      <c r="BI349" s="184" t="n"/>
      <c r="BJ349" s="184" t="n"/>
      <c r="BK349" s="184" t="n"/>
      <c r="BL349" s="184" t="n"/>
      <c r="BM349" s="184" t="n"/>
      <c r="BN349" s="184" t="n"/>
      <c r="BO349" s="184" t="n"/>
      <c r="BP349" s="184" t="n"/>
      <c r="BQ349" s="184" t="n"/>
      <c r="BR349" s="184" t="n"/>
      <c r="BS349" s="184" t="n"/>
      <c r="BT349" s="184" t="n"/>
      <c r="BU349" s="184" t="n"/>
      <c r="BV349" s="184" t="n"/>
      <c r="BW349" s="184" t="n"/>
      <c r="BX349" s="184" t="n"/>
      <c r="BY349" s="168" t="n"/>
      <c r="BZ349" s="168" t="n"/>
      <c r="CA349" s="201" t="n">
        <v>470</v>
      </c>
      <c r="CB349" s="168" t="n"/>
      <c r="CC349" s="168" t="n"/>
      <c r="CD349" s="168" t="n"/>
      <c r="CE349" s="168" t="n"/>
      <c r="CF349" s="20" t="inlineStr">
        <is>
          <t>8-K 12-Aug-26: $470m cash from One Rock Capital.</t>
        </is>
      </c>
    </row>
    <row r="350" ht="15" customHeight="1">
      <c r="B350" s="26" t="inlineStr">
        <is>
          <t xml:space="preserve">  Other 2H/26 bolt-ons — Western Oil (17-Jul-26; SKSS / ES field services)</t>
        </is>
      </c>
      <c r="C350" s="184" t="n"/>
      <c r="D350" s="184" t="n"/>
      <c r="E350" s="184" t="n"/>
      <c r="F350" s="184" t="n"/>
      <c r="G350" s="184" t="n"/>
      <c r="H350" s="184" t="n"/>
      <c r="I350" s="184" t="n"/>
      <c r="J350" s="184" t="n"/>
      <c r="K350" s="184" t="n"/>
      <c r="L350" s="184" t="n"/>
      <c r="M350" s="184" t="n"/>
      <c r="N350" s="184" t="n"/>
      <c r="O350" s="184" t="n"/>
      <c r="P350" s="184" t="n"/>
      <c r="Q350" s="184" t="n"/>
      <c r="R350" s="184" t="n"/>
      <c r="S350" s="184" t="n"/>
      <c r="T350" s="184" t="n"/>
      <c r="U350" s="184" t="n"/>
      <c r="V350" s="184" t="n"/>
      <c r="W350" s="184" t="n"/>
      <c r="X350" s="184" t="n"/>
      <c r="Y350" s="184" t="n"/>
      <c r="Z350" s="184" t="n"/>
      <c r="AA350" s="184" t="n"/>
      <c r="AB350" s="184" t="n"/>
      <c r="AC350" s="184" t="n"/>
      <c r="AD350" s="184" t="n"/>
      <c r="AE350" s="184" t="n"/>
      <c r="AF350" s="184" t="n"/>
      <c r="AG350" s="184" t="n"/>
      <c r="AH350" s="184" t="n"/>
      <c r="AI350" s="184" t="n"/>
      <c r="AJ350" s="184" t="n"/>
      <c r="AK350" s="184" t="n"/>
      <c r="AL350" s="184" t="n"/>
      <c r="AM350" s="184" t="n"/>
      <c r="AN350" s="184" t="n"/>
      <c r="AO350" s="184" t="n"/>
      <c r="AP350" s="184" t="n"/>
      <c r="AQ350" s="184" t="n"/>
      <c r="AR350" s="184" t="n"/>
      <c r="AS350" s="184" t="n"/>
      <c r="AT350" s="184" t="n"/>
      <c r="AU350" s="184" t="n"/>
      <c r="AV350" s="184" t="n"/>
      <c r="AW350" s="184" t="n"/>
      <c r="AX350" s="184" t="n"/>
      <c r="AY350" s="184" t="n"/>
      <c r="AZ350" s="184" t="n"/>
      <c r="BA350" s="184" t="n"/>
      <c r="BB350" s="184" t="n"/>
      <c r="BC350" s="184" t="n"/>
      <c r="BD350" s="184" t="n"/>
      <c r="BE350" s="184" t="n"/>
      <c r="BF350" s="184" t="n"/>
      <c r="BG350" s="184" t="n"/>
      <c r="BH350" s="184" t="n"/>
      <c r="BI350" s="184" t="n"/>
      <c r="BJ350" s="184" t="n"/>
      <c r="BK350" s="184" t="n"/>
      <c r="BL350" s="184" t="n"/>
      <c r="BM350" s="184" t="n"/>
      <c r="BN350" s="184" t="n"/>
      <c r="BO350" s="184" t="n"/>
      <c r="BP350" s="184" t="n"/>
      <c r="BQ350" s="184" t="n"/>
      <c r="BR350" s="184" t="n"/>
      <c r="BS350" s="184" t="n"/>
      <c r="BT350" s="184" t="n"/>
      <c r="BU350" s="184" t="n"/>
      <c r="BV350" s="184" t="n"/>
      <c r="BW350" s="184" t="n"/>
      <c r="BX350" s="184" t="n"/>
      <c r="BY350" s="168" t="n"/>
      <c r="BZ350" s="168" t="n"/>
      <c r="CA350" s="201" t="n">
        <v>30</v>
      </c>
      <c r="CB350" s="168" t="n"/>
      <c r="CC350" s="168" t="n"/>
      <c r="CD350" s="168" t="n"/>
      <c r="CE350" s="168" t="n"/>
      <c r="CF350" s="20" t="inlineStr">
        <is>
          <t>Q2-26 10-Q subsequent events: $30m.</t>
        </is>
      </c>
    </row>
    <row r="351" hidden="1" outlineLevel="1" ht="15" customHeight="1">
      <c r="B351" s="17" t="inlineStr">
        <is>
          <t xml:space="preserve">  Total cash consideration</t>
        </is>
      </c>
      <c r="C351" s="33" t="n"/>
      <c r="D351" s="33" t="n"/>
      <c r="E351" s="33" t="n"/>
      <c r="F351" s="33" t="n"/>
      <c r="G351" s="33" t="n"/>
      <c r="H351" s="33" t="n"/>
      <c r="I351" s="33" t="n"/>
      <c r="J351" s="33" t="n"/>
      <c r="K351" s="33" t="n"/>
      <c r="L351" s="33" t="n"/>
      <c r="M351" s="33" t="n"/>
      <c r="N351" s="33" t="n"/>
      <c r="O351" s="33" t="n"/>
      <c r="P351" s="33" t="n"/>
      <c r="Q351" s="33" t="n"/>
      <c r="R351" s="33" t="n"/>
      <c r="S351" s="33" t="n"/>
      <c r="T351" s="33" t="n"/>
      <c r="U351" s="33" t="n"/>
      <c r="V351" s="33" t="n"/>
      <c r="W351" s="33" t="n"/>
      <c r="X351" s="33" t="n"/>
      <c r="Y351" s="33" t="n"/>
      <c r="Z351" s="33" t="n"/>
      <c r="AA351" s="33" t="n"/>
      <c r="AB351" s="33" t="n"/>
      <c r="AC351" s="33" t="n"/>
      <c r="AD351" s="33" t="n"/>
      <c r="AE351" s="33" t="n"/>
      <c r="AF351" s="33" t="n"/>
      <c r="AG351" s="33" t="n"/>
      <c r="AH351" s="33" t="n"/>
      <c r="AI351" s="33" t="n"/>
      <c r="AJ351" s="33" t="n"/>
      <c r="AK351" s="33" t="n"/>
      <c r="AL351" s="33" t="n"/>
      <c r="AM351" s="33" t="n"/>
      <c r="AN351" s="33" t="n"/>
      <c r="AO351" s="33" t="n"/>
      <c r="AP351" s="33" t="n"/>
      <c r="AQ351" s="33" t="n"/>
      <c r="AR351" s="33" t="n"/>
      <c r="AS351" s="33" t="n"/>
      <c r="AT351" s="33" t="n"/>
      <c r="AU351" s="33" t="n"/>
      <c r="AV351" s="33" t="n"/>
      <c r="AW351" s="33" t="n"/>
      <c r="AX351" s="33" t="n"/>
      <c r="AY351" s="33" t="n"/>
      <c r="AZ351" s="33" t="n"/>
      <c r="BA351" s="33" t="n"/>
      <c r="BB351" s="33" t="n"/>
      <c r="BC351" s="33" t="n"/>
      <c r="BD351" s="33" t="n"/>
      <c r="BE351" s="33" t="n"/>
      <c r="BF351" s="33" t="n"/>
      <c r="BG351" s="33" t="n"/>
      <c r="BH351" s="33" t="n"/>
      <c r="BI351" s="33" t="n"/>
      <c r="BJ351" s="33" t="n"/>
      <c r="BK351" s="33" t="n"/>
      <c r="BL351" s="33" t="n"/>
      <c r="BM351" s="33" t="n"/>
      <c r="BN351" s="33" t="n"/>
      <c r="BO351" s="33" t="n"/>
      <c r="BP351" s="33" t="n"/>
      <c r="BQ351" s="33" t="n"/>
      <c r="BR351" s="33" t="n"/>
      <c r="BS351" s="33" t="n"/>
      <c r="BT351" s="33" t="n"/>
      <c r="BU351" s="33" t="n"/>
      <c r="BV351" s="33" t="n"/>
      <c r="BW351" s="33" t="n"/>
      <c r="BX351" s="33" t="n"/>
      <c r="BY351" s="34" t="n"/>
      <c r="BZ351" s="34" t="n"/>
      <c r="CA351" s="176">
        <f>CA348+CA349+CA350</f>
        <v>805</v>
      </c>
      <c r="CB351" s="34" t="n"/>
      <c r="CC351" s="34" t="n"/>
      <c r="CD351" s="34" t="n"/>
      <c r="CE351" s="34" t="n"/>
      <c r="CF351" s="177" t="n"/>
    </row>
    <row r="352" hidden="1" outlineLevel="1" ht="15" customHeight="1">
      <c r="B352" s="26" t="inlineStr">
        <is>
          <t xml:space="preserve">  Receivables acquired (≈ 60 days of acquired revenues)</t>
        </is>
      </c>
      <c r="C352" s="184" t="n"/>
      <c r="D352" s="184" t="n"/>
      <c r="E352" s="184" t="n"/>
      <c r="F352" s="184" t="n"/>
      <c r="G352" s="184" t="n"/>
      <c r="H352" s="184" t="n"/>
      <c r="I352" s="184" t="n"/>
      <c r="J352" s="184" t="n"/>
      <c r="K352" s="184" t="n"/>
      <c r="L352" s="184" t="n"/>
      <c r="M352" s="184" t="n"/>
      <c r="N352" s="184" t="n"/>
      <c r="O352" s="184" t="n"/>
      <c r="P352" s="184" t="n"/>
      <c r="Q352" s="184" t="n"/>
      <c r="R352" s="184" t="n"/>
      <c r="S352" s="184" t="n"/>
      <c r="T352" s="184" t="n"/>
      <c r="U352" s="184" t="n"/>
      <c r="V352" s="184" t="n"/>
      <c r="W352" s="184" t="n"/>
      <c r="X352" s="184" t="n"/>
      <c r="Y352" s="184" t="n"/>
      <c r="Z352" s="184" t="n"/>
      <c r="AA352" s="184" t="n"/>
      <c r="AB352" s="184" t="n"/>
      <c r="AC352" s="184" t="n"/>
      <c r="AD352" s="184" t="n"/>
      <c r="AE352" s="184" t="n"/>
      <c r="AF352" s="184" t="n"/>
      <c r="AG352" s="184" t="n"/>
      <c r="AH352" s="184" t="n"/>
      <c r="AI352" s="184" t="n"/>
      <c r="AJ352" s="184" t="n"/>
      <c r="AK352" s="184" t="n"/>
      <c r="AL352" s="184" t="n"/>
      <c r="AM352" s="184" t="n"/>
      <c r="AN352" s="184" t="n"/>
      <c r="AO352" s="184" t="n"/>
      <c r="AP352" s="184" t="n"/>
      <c r="AQ352" s="184" t="n"/>
      <c r="AR352" s="184" t="n"/>
      <c r="AS352" s="184" t="n"/>
      <c r="AT352" s="184" t="n"/>
      <c r="AU352" s="184" t="n"/>
      <c r="AV352" s="184" t="n"/>
      <c r="AW352" s="184" t="n"/>
      <c r="AX352" s="184" t="n"/>
      <c r="AY352" s="184" t="n"/>
      <c r="AZ352" s="184" t="n"/>
      <c r="BA352" s="184" t="n"/>
      <c r="BB352" s="184" t="n"/>
      <c r="BC352" s="184" t="n"/>
      <c r="BD352" s="184" t="n"/>
      <c r="BE352" s="184" t="n"/>
      <c r="BF352" s="184" t="n"/>
      <c r="BG352" s="184" t="n"/>
      <c r="BH352" s="184" t="n"/>
      <c r="BI352" s="184" t="n"/>
      <c r="BJ352" s="184" t="n"/>
      <c r="BK352" s="184" t="n"/>
      <c r="BL352" s="184" t="n"/>
      <c r="BM352" s="184" t="n"/>
      <c r="BN352" s="184" t="n"/>
      <c r="BO352" s="184" t="n"/>
      <c r="BP352" s="184" t="n"/>
      <c r="BQ352" s="184" t="n"/>
      <c r="BR352" s="184" t="n"/>
      <c r="BS352" s="184" t="n"/>
      <c r="BT352" s="184" t="n"/>
      <c r="BU352" s="184" t="n"/>
      <c r="BV352" s="184" t="n"/>
      <c r="BW352" s="184" t="n"/>
      <c r="BX352" s="184" t="n"/>
      <c r="BY352" s="168" t="n"/>
      <c r="BZ352" s="168" t="n"/>
      <c r="CA352" s="186">
        <f>(CA60+CA61)*60/365</f>
        <v>55.8904109589041</v>
      </c>
      <c r="CB352" s="168" t="n"/>
      <c r="CC352" s="168" t="n"/>
      <c r="CD352" s="168" t="n"/>
      <c r="CE352" s="168" t="n"/>
      <c r="CF352" s="20" t="n"/>
    </row>
    <row r="353" hidden="1" outlineLevel="1" ht="15" customHeight="1">
      <c r="B353" s="26" t="inlineStr">
        <is>
          <t xml:space="preserve">  Other current assets acquired</t>
        </is>
      </c>
      <c r="C353" s="184" t="n"/>
      <c r="D353" s="184" t="n"/>
      <c r="E353" s="184" t="n"/>
      <c r="F353" s="184" t="n"/>
      <c r="G353" s="184" t="n"/>
      <c r="H353" s="184" t="n"/>
      <c r="I353" s="184" t="n"/>
      <c r="J353" s="184" t="n"/>
      <c r="K353" s="184" t="n"/>
      <c r="L353" s="184" t="n"/>
      <c r="M353" s="184" t="n"/>
      <c r="N353" s="184" t="n"/>
      <c r="O353" s="184" t="n"/>
      <c r="P353" s="184" t="n"/>
      <c r="Q353" s="184" t="n"/>
      <c r="R353" s="184" t="n"/>
      <c r="S353" s="184" t="n"/>
      <c r="T353" s="184" t="n"/>
      <c r="U353" s="184" t="n"/>
      <c r="V353" s="184" t="n"/>
      <c r="W353" s="184" t="n"/>
      <c r="X353" s="184" t="n"/>
      <c r="Y353" s="184" t="n"/>
      <c r="Z353" s="184" t="n"/>
      <c r="AA353" s="184" t="n"/>
      <c r="AB353" s="184" t="n"/>
      <c r="AC353" s="184" t="n"/>
      <c r="AD353" s="184" t="n"/>
      <c r="AE353" s="184" t="n"/>
      <c r="AF353" s="184" t="n"/>
      <c r="AG353" s="184" t="n"/>
      <c r="AH353" s="184" t="n"/>
      <c r="AI353" s="184" t="n"/>
      <c r="AJ353" s="184" t="n"/>
      <c r="AK353" s="184" t="n"/>
      <c r="AL353" s="184" t="n"/>
      <c r="AM353" s="184" t="n"/>
      <c r="AN353" s="184" t="n"/>
      <c r="AO353" s="184" t="n"/>
      <c r="AP353" s="184" t="n"/>
      <c r="AQ353" s="184" t="n"/>
      <c r="AR353" s="184" t="n"/>
      <c r="AS353" s="184" t="n"/>
      <c r="AT353" s="184" t="n"/>
      <c r="AU353" s="184" t="n"/>
      <c r="AV353" s="184" t="n"/>
      <c r="AW353" s="184" t="n"/>
      <c r="AX353" s="184" t="n"/>
      <c r="AY353" s="184" t="n"/>
      <c r="AZ353" s="184" t="n"/>
      <c r="BA353" s="184" t="n"/>
      <c r="BB353" s="184" t="n"/>
      <c r="BC353" s="184" t="n"/>
      <c r="BD353" s="184" t="n"/>
      <c r="BE353" s="184" t="n"/>
      <c r="BF353" s="184" t="n"/>
      <c r="BG353" s="184" t="n"/>
      <c r="BH353" s="184" t="n"/>
      <c r="BI353" s="184" t="n"/>
      <c r="BJ353" s="184" t="n"/>
      <c r="BK353" s="184" t="n"/>
      <c r="BL353" s="184" t="n"/>
      <c r="BM353" s="184" t="n"/>
      <c r="BN353" s="184" t="n"/>
      <c r="BO353" s="184" t="n"/>
      <c r="BP353" s="184" t="n"/>
      <c r="BQ353" s="184" t="n"/>
      <c r="BR353" s="184" t="n"/>
      <c r="BS353" s="184" t="n"/>
      <c r="BT353" s="184" t="n"/>
      <c r="BU353" s="184" t="n"/>
      <c r="BV353" s="184" t="n"/>
      <c r="BW353" s="184" t="n"/>
      <c r="BX353" s="184" t="n"/>
      <c r="BY353" s="168" t="n"/>
      <c r="BZ353" s="168" t="n"/>
      <c r="CA353" s="186">
        <f>(CA60+CA61)*0.02</f>
        <v>6.8</v>
      </c>
      <c r="CB353" s="168" t="n"/>
      <c r="CC353" s="168" t="n"/>
      <c r="CD353" s="168" t="n"/>
      <c r="CE353" s="168" t="n"/>
      <c r="CF353" s="20" t="n"/>
    </row>
    <row r="354" hidden="1" outlineLevel="1" ht="15" customHeight="1">
      <c r="B354" s="26" t="inlineStr">
        <is>
          <t xml:space="preserve">  Property, plant &amp; equipment (fair value; ~35% of consideration)</t>
        </is>
      </c>
      <c r="C354" s="184" t="n"/>
      <c r="D354" s="184" t="n"/>
      <c r="E354" s="184" t="n"/>
      <c r="F354" s="184" t="n"/>
      <c r="G354" s="184" t="n"/>
      <c r="H354" s="184" t="n"/>
      <c r="I354" s="184" t="n"/>
      <c r="J354" s="184" t="n"/>
      <c r="K354" s="184" t="n"/>
      <c r="L354" s="184" t="n"/>
      <c r="M354" s="184" t="n"/>
      <c r="N354" s="184" t="n"/>
      <c r="O354" s="184" t="n"/>
      <c r="P354" s="184" t="n"/>
      <c r="Q354" s="184" t="n"/>
      <c r="R354" s="184" t="n"/>
      <c r="S354" s="184" t="n"/>
      <c r="T354" s="184" t="n"/>
      <c r="U354" s="184" t="n"/>
      <c r="V354" s="184" t="n"/>
      <c r="W354" s="184" t="n"/>
      <c r="X354" s="184" t="n"/>
      <c r="Y354" s="184" t="n"/>
      <c r="Z354" s="184" t="n"/>
      <c r="AA354" s="184" t="n"/>
      <c r="AB354" s="184" t="n"/>
      <c r="AC354" s="184" t="n"/>
      <c r="AD354" s="184" t="n"/>
      <c r="AE354" s="184" t="n"/>
      <c r="AF354" s="184" t="n"/>
      <c r="AG354" s="184" t="n"/>
      <c r="AH354" s="184" t="n"/>
      <c r="AI354" s="184" t="n"/>
      <c r="AJ354" s="184" t="n"/>
      <c r="AK354" s="184" t="n"/>
      <c r="AL354" s="184" t="n"/>
      <c r="AM354" s="184" t="n"/>
      <c r="AN354" s="184" t="n"/>
      <c r="AO354" s="184" t="n"/>
      <c r="AP354" s="184" t="n"/>
      <c r="AQ354" s="184" t="n"/>
      <c r="AR354" s="184" t="n"/>
      <c r="AS354" s="184" t="n"/>
      <c r="AT354" s="184" t="n"/>
      <c r="AU354" s="184" t="n"/>
      <c r="AV354" s="184" t="n"/>
      <c r="AW354" s="184" t="n"/>
      <c r="AX354" s="184" t="n"/>
      <c r="AY354" s="184" t="n"/>
      <c r="AZ354" s="184" t="n"/>
      <c r="BA354" s="184" t="n"/>
      <c r="BB354" s="184" t="n"/>
      <c r="BC354" s="184" t="n"/>
      <c r="BD354" s="184" t="n"/>
      <c r="BE354" s="184" t="n"/>
      <c r="BF354" s="184" t="n"/>
      <c r="BG354" s="184" t="n"/>
      <c r="BH354" s="184" t="n"/>
      <c r="BI354" s="184" t="n"/>
      <c r="BJ354" s="184" t="n"/>
      <c r="BK354" s="184" t="n"/>
      <c r="BL354" s="184" t="n"/>
      <c r="BM354" s="184" t="n"/>
      <c r="BN354" s="184" t="n"/>
      <c r="BO354" s="184" t="n"/>
      <c r="BP354" s="184" t="n"/>
      <c r="BQ354" s="184" t="n"/>
      <c r="BR354" s="184" t="n"/>
      <c r="BS354" s="184" t="n"/>
      <c r="BT354" s="184" t="n"/>
      <c r="BU354" s="184" t="n"/>
      <c r="BV354" s="184" t="n"/>
      <c r="BW354" s="184" t="n"/>
      <c r="BX354" s="184" t="n"/>
      <c r="BY354" s="168" t="n"/>
      <c r="BZ354" s="168" t="n"/>
      <c r="CA354" s="186">
        <f>CA351*0.35</f>
        <v>281.75</v>
      </c>
      <c r="CB354" s="168" t="n"/>
      <c r="CC354" s="168" t="n"/>
      <c r="CD354" s="168" t="n"/>
      <c r="CE354" s="168" t="n"/>
      <c r="CF354" s="20" t="n"/>
    </row>
    <row r="355" hidden="1" outlineLevel="1" ht="15" customHeight="1">
      <c r="B355" s="26" t="inlineStr">
        <is>
          <t xml:space="preserve">  Intangible assets (customer relationships, permits; ~25% of consideration)</t>
        </is>
      </c>
      <c r="C355" s="184" t="n"/>
      <c r="D355" s="184" t="n"/>
      <c r="E355" s="184" t="n"/>
      <c r="F355" s="184" t="n"/>
      <c r="G355" s="184" t="n"/>
      <c r="H355" s="184" t="n"/>
      <c r="I355" s="184" t="n"/>
      <c r="J355" s="184" t="n"/>
      <c r="K355" s="184" t="n"/>
      <c r="L355" s="184" t="n"/>
      <c r="M355" s="184" t="n"/>
      <c r="N355" s="184" t="n"/>
      <c r="O355" s="184" t="n"/>
      <c r="P355" s="184" t="n"/>
      <c r="Q355" s="184" t="n"/>
      <c r="R355" s="184" t="n"/>
      <c r="S355" s="184" t="n"/>
      <c r="T355" s="184" t="n"/>
      <c r="U355" s="184" t="n"/>
      <c r="V355" s="184" t="n"/>
      <c r="W355" s="184" t="n"/>
      <c r="X355" s="184" t="n"/>
      <c r="Y355" s="184" t="n"/>
      <c r="Z355" s="184" t="n"/>
      <c r="AA355" s="184" t="n"/>
      <c r="AB355" s="184" t="n"/>
      <c r="AC355" s="184" t="n"/>
      <c r="AD355" s="184" t="n"/>
      <c r="AE355" s="184" t="n"/>
      <c r="AF355" s="184" t="n"/>
      <c r="AG355" s="184" t="n"/>
      <c r="AH355" s="184" t="n"/>
      <c r="AI355" s="184" t="n"/>
      <c r="AJ355" s="184" t="n"/>
      <c r="AK355" s="184" t="n"/>
      <c r="AL355" s="184" t="n"/>
      <c r="AM355" s="184" t="n"/>
      <c r="AN355" s="184" t="n"/>
      <c r="AO355" s="184" t="n"/>
      <c r="AP355" s="184" t="n"/>
      <c r="AQ355" s="184" t="n"/>
      <c r="AR355" s="184" t="n"/>
      <c r="AS355" s="184" t="n"/>
      <c r="AT355" s="184" t="n"/>
      <c r="AU355" s="184" t="n"/>
      <c r="AV355" s="184" t="n"/>
      <c r="AW355" s="184" t="n"/>
      <c r="AX355" s="184" t="n"/>
      <c r="AY355" s="184" t="n"/>
      <c r="AZ355" s="184" t="n"/>
      <c r="BA355" s="184" t="n"/>
      <c r="BB355" s="184" t="n"/>
      <c r="BC355" s="184" t="n"/>
      <c r="BD355" s="184" t="n"/>
      <c r="BE355" s="184" t="n"/>
      <c r="BF355" s="184" t="n"/>
      <c r="BG355" s="184" t="n"/>
      <c r="BH355" s="184" t="n"/>
      <c r="BI355" s="184" t="n"/>
      <c r="BJ355" s="184" t="n"/>
      <c r="BK355" s="184" t="n"/>
      <c r="BL355" s="184" t="n"/>
      <c r="BM355" s="184" t="n"/>
      <c r="BN355" s="184" t="n"/>
      <c r="BO355" s="184" t="n"/>
      <c r="BP355" s="184" t="n"/>
      <c r="BQ355" s="184" t="n"/>
      <c r="BR355" s="184" t="n"/>
      <c r="BS355" s="184" t="n"/>
      <c r="BT355" s="184" t="n"/>
      <c r="BU355" s="184" t="n"/>
      <c r="BV355" s="184" t="n"/>
      <c r="BW355" s="184" t="n"/>
      <c r="BX355" s="184" t="n"/>
      <c r="BY355" s="168" t="n"/>
      <c r="BZ355" s="168" t="n"/>
      <c r="CA355" s="186">
        <f>CA351*0.25</f>
        <v>201.25</v>
      </c>
      <c r="CB355" s="168" t="n"/>
      <c r="CC355" s="168" t="n"/>
      <c r="CD355" s="168" t="n"/>
      <c r="CE355" s="168" t="n"/>
      <c r="CF355" s="20" t="n"/>
    </row>
    <row r="356" hidden="1" outlineLevel="1" ht="15" customHeight="1">
      <c r="B356" s="26" t="inlineStr">
        <is>
          <t xml:space="preserve">  Payables &amp; accrued expenses assumed (≈ 30 days of acquired revenues)</t>
        </is>
      </c>
      <c r="C356" s="184" t="n"/>
      <c r="D356" s="184" t="n"/>
      <c r="E356" s="184" t="n"/>
      <c r="F356" s="184" t="n"/>
      <c r="G356" s="184" t="n"/>
      <c r="H356" s="184" t="n"/>
      <c r="I356" s="184" t="n"/>
      <c r="J356" s="184" t="n"/>
      <c r="K356" s="184" t="n"/>
      <c r="L356" s="184" t="n"/>
      <c r="M356" s="184" t="n"/>
      <c r="N356" s="184" t="n"/>
      <c r="O356" s="184" t="n"/>
      <c r="P356" s="184" t="n"/>
      <c r="Q356" s="184" t="n"/>
      <c r="R356" s="184" t="n"/>
      <c r="S356" s="184" t="n"/>
      <c r="T356" s="184" t="n"/>
      <c r="U356" s="184" t="n"/>
      <c r="V356" s="184" t="n"/>
      <c r="W356" s="184" t="n"/>
      <c r="X356" s="184" t="n"/>
      <c r="Y356" s="184" t="n"/>
      <c r="Z356" s="184" t="n"/>
      <c r="AA356" s="184" t="n"/>
      <c r="AB356" s="184" t="n"/>
      <c r="AC356" s="184" t="n"/>
      <c r="AD356" s="184" t="n"/>
      <c r="AE356" s="184" t="n"/>
      <c r="AF356" s="184" t="n"/>
      <c r="AG356" s="184" t="n"/>
      <c r="AH356" s="184" t="n"/>
      <c r="AI356" s="184" t="n"/>
      <c r="AJ356" s="184" t="n"/>
      <c r="AK356" s="184" t="n"/>
      <c r="AL356" s="184" t="n"/>
      <c r="AM356" s="184" t="n"/>
      <c r="AN356" s="184" t="n"/>
      <c r="AO356" s="184" t="n"/>
      <c r="AP356" s="184" t="n"/>
      <c r="AQ356" s="184" t="n"/>
      <c r="AR356" s="184" t="n"/>
      <c r="AS356" s="184" t="n"/>
      <c r="AT356" s="184" t="n"/>
      <c r="AU356" s="184" t="n"/>
      <c r="AV356" s="184" t="n"/>
      <c r="AW356" s="184" t="n"/>
      <c r="AX356" s="184" t="n"/>
      <c r="AY356" s="184" t="n"/>
      <c r="AZ356" s="184" t="n"/>
      <c r="BA356" s="184" t="n"/>
      <c r="BB356" s="184" t="n"/>
      <c r="BC356" s="184" t="n"/>
      <c r="BD356" s="184" t="n"/>
      <c r="BE356" s="184" t="n"/>
      <c r="BF356" s="184" t="n"/>
      <c r="BG356" s="184" t="n"/>
      <c r="BH356" s="184" t="n"/>
      <c r="BI356" s="184" t="n"/>
      <c r="BJ356" s="184" t="n"/>
      <c r="BK356" s="184" t="n"/>
      <c r="BL356" s="184" t="n"/>
      <c r="BM356" s="184" t="n"/>
      <c r="BN356" s="184" t="n"/>
      <c r="BO356" s="184" t="n"/>
      <c r="BP356" s="184" t="n"/>
      <c r="BQ356" s="184" t="n"/>
      <c r="BR356" s="184" t="n"/>
      <c r="BS356" s="184" t="n"/>
      <c r="BT356" s="184" t="n"/>
      <c r="BU356" s="184" t="n"/>
      <c r="BV356" s="184" t="n"/>
      <c r="BW356" s="184" t="n"/>
      <c r="BX356" s="184" t="n"/>
      <c r="BY356" s="168" t="n"/>
      <c r="BZ356" s="168" t="n"/>
      <c r="CA356" s="186">
        <f>(CA60+CA61)*30/365</f>
        <v>27.9452054794521</v>
      </c>
      <c r="CB356" s="168" t="n"/>
      <c r="CC356" s="168" t="n"/>
      <c r="CD356" s="168" t="n"/>
      <c r="CE356" s="168" t="n"/>
      <c r="CF356" s="20" t="n"/>
    </row>
    <row r="357" hidden="1" outlineLevel="1" ht="15" customHeight="1">
      <c r="B357" s="26" t="inlineStr">
        <is>
          <t xml:space="preserve">  Goodwill (residual)</t>
        </is>
      </c>
      <c r="C357" s="184" t="n"/>
      <c r="D357" s="184" t="n"/>
      <c r="E357" s="184" t="n"/>
      <c r="F357" s="184" t="n"/>
      <c r="G357" s="184" t="n"/>
      <c r="H357" s="184" t="n"/>
      <c r="I357" s="184" t="n"/>
      <c r="J357" s="184" t="n"/>
      <c r="K357" s="184" t="n"/>
      <c r="L357" s="184" t="n"/>
      <c r="M357" s="184" t="n"/>
      <c r="N357" s="184" t="n"/>
      <c r="O357" s="184" t="n"/>
      <c r="P357" s="184" t="n"/>
      <c r="Q357" s="184" t="n"/>
      <c r="R357" s="184" t="n"/>
      <c r="S357" s="184" t="n"/>
      <c r="T357" s="184" t="n"/>
      <c r="U357" s="184" t="n"/>
      <c r="V357" s="184" t="n"/>
      <c r="W357" s="184" t="n"/>
      <c r="X357" s="184" t="n"/>
      <c r="Y357" s="184" t="n"/>
      <c r="Z357" s="184" t="n"/>
      <c r="AA357" s="184" t="n"/>
      <c r="AB357" s="184" t="n"/>
      <c r="AC357" s="184" t="n"/>
      <c r="AD357" s="184" t="n"/>
      <c r="AE357" s="184" t="n"/>
      <c r="AF357" s="184" t="n"/>
      <c r="AG357" s="184" t="n"/>
      <c r="AH357" s="184" t="n"/>
      <c r="AI357" s="184" t="n"/>
      <c r="AJ357" s="184" t="n"/>
      <c r="AK357" s="184" t="n"/>
      <c r="AL357" s="184" t="n"/>
      <c r="AM357" s="184" t="n"/>
      <c r="AN357" s="184" t="n"/>
      <c r="AO357" s="184" t="n"/>
      <c r="AP357" s="184" t="n"/>
      <c r="AQ357" s="184" t="n"/>
      <c r="AR357" s="184" t="n"/>
      <c r="AS357" s="184" t="n"/>
      <c r="AT357" s="184" t="n"/>
      <c r="AU357" s="184" t="n"/>
      <c r="AV357" s="184" t="n"/>
      <c r="AW357" s="184" t="n"/>
      <c r="AX357" s="184" t="n"/>
      <c r="AY357" s="184" t="n"/>
      <c r="AZ357" s="184" t="n"/>
      <c r="BA357" s="184" t="n"/>
      <c r="BB357" s="184" t="n"/>
      <c r="BC357" s="184" t="n"/>
      <c r="BD357" s="184" t="n"/>
      <c r="BE357" s="184" t="n"/>
      <c r="BF357" s="184" t="n"/>
      <c r="BG357" s="184" t="n"/>
      <c r="BH357" s="184" t="n"/>
      <c r="BI357" s="184" t="n"/>
      <c r="BJ357" s="184" t="n"/>
      <c r="BK357" s="184" t="n"/>
      <c r="BL357" s="184" t="n"/>
      <c r="BM357" s="184" t="n"/>
      <c r="BN357" s="184" t="n"/>
      <c r="BO357" s="184" t="n"/>
      <c r="BP357" s="184" t="n"/>
      <c r="BQ357" s="184" t="n"/>
      <c r="BR357" s="184" t="n"/>
      <c r="BS357" s="184" t="n"/>
      <c r="BT357" s="184" t="n"/>
      <c r="BU357" s="184" t="n"/>
      <c r="BV357" s="184" t="n"/>
      <c r="BW357" s="184" t="n"/>
      <c r="BX357" s="184" t="n"/>
      <c r="BY357" s="168" t="n"/>
      <c r="BZ357" s="168" t="n"/>
      <c r="CA357" s="186">
        <f>CA351-(CA352+CA353+CA354+CA355)+CA356</f>
        <v>287.254794520548</v>
      </c>
      <c r="CB357" s="168" t="n"/>
      <c r="CC357" s="168" t="n"/>
      <c r="CD357" s="168" t="n"/>
      <c r="CE357" s="168" t="n"/>
      <c r="CF357" s="20" t="n"/>
    </row>
    <row r="358" hidden="1" outlineLevel="1" ht="15" customHeight="1">
      <c r="B358" s="61" t="inlineStr">
        <is>
          <t xml:space="preserve">  Check: assets acquired − liabilities assumed − consideration (should be 0)</t>
        </is>
      </c>
      <c r="C358" s="187" t="n"/>
      <c r="D358" s="187" t="n"/>
      <c r="E358" s="187" t="n"/>
      <c r="F358" s="187" t="n"/>
      <c r="G358" s="187" t="n"/>
      <c r="H358" s="187" t="n"/>
      <c r="I358" s="187" t="n"/>
      <c r="J358" s="187" t="n"/>
      <c r="K358" s="187" t="n"/>
      <c r="L358" s="187" t="n"/>
      <c r="M358" s="187" t="n"/>
      <c r="N358" s="187" t="n"/>
      <c r="O358" s="187" t="n"/>
      <c r="P358" s="187" t="n"/>
      <c r="Q358" s="187" t="n"/>
      <c r="R358" s="187" t="n"/>
      <c r="S358" s="187" t="n"/>
      <c r="T358" s="187" t="n"/>
      <c r="U358" s="187" t="n"/>
      <c r="V358" s="187" t="n"/>
      <c r="W358" s="187" t="n"/>
      <c r="X358" s="187" t="n"/>
      <c r="Y358" s="187" t="n"/>
      <c r="Z358" s="187" t="n"/>
      <c r="AA358" s="187" t="n"/>
      <c r="AB358" s="187" t="n"/>
      <c r="AC358" s="187" t="n"/>
      <c r="AD358" s="187" t="n"/>
      <c r="AE358" s="187" t="n"/>
      <c r="AF358" s="187" t="n"/>
      <c r="AG358" s="187" t="n"/>
      <c r="AH358" s="187" t="n"/>
      <c r="AI358" s="187" t="n"/>
      <c r="AJ358" s="187" t="n"/>
      <c r="AK358" s="187" t="n"/>
      <c r="AL358" s="187" t="n"/>
      <c r="AM358" s="187" t="n"/>
      <c r="AN358" s="187" t="n"/>
      <c r="AO358" s="187" t="n"/>
      <c r="AP358" s="187" t="n"/>
      <c r="AQ358" s="187" t="n"/>
      <c r="AR358" s="187" t="n"/>
      <c r="AS358" s="187" t="n"/>
      <c r="AT358" s="187" t="n"/>
      <c r="AU358" s="187" t="n"/>
      <c r="AV358" s="187" t="n"/>
      <c r="AW358" s="187" t="n"/>
      <c r="AX358" s="187" t="n"/>
      <c r="AY358" s="187" t="n"/>
      <c r="AZ358" s="187" t="n"/>
      <c r="BA358" s="187" t="n"/>
      <c r="BB358" s="187" t="n"/>
      <c r="BC358" s="187" t="n"/>
      <c r="BD358" s="187" t="n"/>
      <c r="BE358" s="187" t="n"/>
      <c r="BF358" s="187" t="n"/>
      <c r="BG358" s="187" t="n"/>
      <c r="BH358" s="187" t="n"/>
      <c r="BI358" s="187" t="n"/>
      <c r="BJ358" s="187" t="n"/>
      <c r="BK358" s="187" t="n"/>
      <c r="BL358" s="187" t="n"/>
      <c r="BM358" s="187" t="n"/>
      <c r="BN358" s="187" t="n"/>
      <c r="BO358" s="187" t="n"/>
      <c r="BP358" s="187" t="n"/>
      <c r="BQ358" s="187" t="n"/>
      <c r="BR358" s="187" t="n"/>
      <c r="BS358" s="187" t="n"/>
      <c r="BT358" s="187" t="n"/>
      <c r="BU358" s="187" t="n"/>
      <c r="BV358" s="187" t="n"/>
      <c r="BW358" s="187" t="n"/>
      <c r="BX358" s="187" t="n"/>
      <c r="BY358" s="189" t="n"/>
      <c r="BZ358" s="189" t="n"/>
      <c r="CA358" s="211">
        <f>ROUND(CA352+CA353+CA354+CA355+CA357-CA356-CA351,1)</f>
        <v>0</v>
      </c>
      <c r="CB358" s="189" t="n"/>
      <c r="CC358" s="189" t="n"/>
      <c r="CD358" s="189" t="n"/>
      <c r="CE358" s="189" t="n"/>
      <c r="CF358" s="177" t="n"/>
    </row>
    <row r="359" hidden="1" outlineLevel="1" ht="15" customHeight="1">
      <c r="B359" s="26" t="inlineStr">
        <is>
          <t xml:space="preserve">  Amortization life of acquired intangibles (years)</t>
        </is>
      </c>
      <c r="C359" s="184" t="n"/>
      <c r="D359" s="184" t="n"/>
      <c r="E359" s="184" t="n"/>
      <c r="F359" s="184" t="n"/>
      <c r="G359" s="184" t="n"/>
      <c r="H359" s="184" t="n"/>
      <c r="I359" s="184" t="n"/>
      <c r="J359" s="184" t="n"/>
      <c r="K359" s="184" t="n"/>
      <c r="L359" s="184" t="n"/>
      <c r="M359" s="184" t="n"/>
      <c r="N359" s="184" t="n"/>
      <c r="O359" s="184" t="n"/>
      <c r="P359" s="184" t="n"/>
      <c r="Q359" s="184" t="n"/>
      <c r="R359" s="184" t="n"/>
      <c r="S359" s="184" t="n"/>
      <c r="T359" s="184" t="n"/>
      <c r="U359" s="184" t="n"/>
      <c r="V359" s="184" t="n"/>
      <c r="W359" s="184" t="n"/>
      <c r="X359" s="184" t="n"/>
      <c r="Y359" s="184" t="n"/>
      <c r="Z359" s="184" t="n"/>
      <c r="AA359" s="184" t="n"/>
      <c r="AB359" s="184" t="n"/>
      <c r="AC359" s="184" t="n"/>
      <c r="AD359" s="184" t="n"/>
      <c r="AE359" s="184" t="n"/>
      <c r="AF359" s="184" t="n"/>
      <c r="AG359" s="184" t="n"/>
      <c r="AH359" s="184" t="n"/>
      <c r="AI359" s="184" t="n"/>
      <c r="AJ359" s="184" t="n"/>
      <c r="AK359" s="184" t="n"/>
      <c r="AL359" s="184" t="n"/>
      <c r="AM359" s="184" t="n"/>
      <c r="AN359" s="184" t="n"/>
      <c r="AO359" s="184" t="n"/>
      <c r="AP359" s="184" t="n"/>
      <c r="AQ359" s="184" t="n"/>
      <c r="AR359" s="184" t="n"/>
      <c r="AS359" s="184" t="n"/>
      <c r="AT359" s="184" t="n"/>
      <c r="AU359" s="184" t="n"/>
      <c r="AV359" s="184" t="n"/>
      <c r="AW359" s="184" t="n"/>
      <c r="AX359" s="184" t="n"/>
      <c r="AY359" s="184" t="n"/>
      <c r="AZ359" s="184" t="n"/>
      <c r="BA359" s="184" t="n"/>
      <c r="BB359" s="184" t="n"/>
      <c r="BC359" s="184" t="n"/>
      <c r="BD359" s="184" t="n"/>
      <c r="BE359" s="184" t="n"/>
      <c r="BF359" s="184" t="n"/>
      <c r="BG359" s="184" t="n"/>
      <c r="BH359" s="184" t="n"/>
      <c r="BI359" s="184" t="n"/>
      <c r="BJ359" s="184" t="n"/>
      <c r="BK359" s="184" t="n"/>
      <c r="BL359" s="184" t="n"/>
      <c r="BM359" s="184" t="n"/>
      <c r="BN359" s="184" t="n"/>
      <c r="BO359" s="184" t="n"/>
      <c r="BP359" s="184" t="n"/>
      <c r="BQ359" s="184" t="n"/>
      <c r="BR359" s="184" t="n"/>
      <c r="BS359" s="184" t="n"/>
      <c r="BT359" s="184" t="n"/>
      <c r="BU359" s="184" t="n"/>
      <c r="BV359" s="184" t="n"/>
      <c r="BW359" s="184" t="n"/>
      <c r="BX359" s="184" t="n"/>
      <c r="BY359" s="168" t="n"/>
      <c r="BZ359" s="168" t="n"/>
      <c r="CA359" s="201" t="n">
        <v>10</v>
      </c>
      <c r="CB359" s="168" t="n"/>
      <c r="CC359" s="168" t="n"/>
      <c r="CD359" s="168" t="n"/>
      <c r="CE359" s="168" t="n"/>
      <c r="CF359" s="20" t="n"/>
    </row>
    <row r="360" hidden="1" outlineLevel="1" ht="15" customHeight="1">
      <c r="B360" s="26" t="inlineStr">
        <is>
          <t xml:space="preserve">  Coupon on the new 2034 notes %</t>
        </is>
      </c>
      <c r="C360" s="181" t="n"/>
      <c r="D360" s="181" t="n"/>
      <c r="E360" s="181" t="n"/>
      <c r="F360" s="181" t="n"/>
      <c r="G360" s="181" t="n"/>
      <c r="H360" s="181" t="n"/>
      <c r="I360" s="181" t="n"/>
      <c r="J360" s="181" t="n"/>
      <c r="K360" s="181" t="n"/>
      <c r="L360" s="181" t="n"/>
      <c r="M360" s="181" t="n"/>
      <c r="N360" s="181" t="n"/>
      <c r="O360" s="181" t="n"/>
      <c r="P360" s="181" t="n"/>
      <c r="Q360" s="181" t="n"/>
      <c r="R360" s="181" t="n"/>
      <c r="S360" s="181" t="n"/>
      <c r="T360" s="181" t="n"/>
      <c r="U360" s="181" t="n"/>
      <c r="V360" s="181" t="n"/>
      <c r="W360" s="181" t="n"/>
      <c r="X360" s="181" t="n"/>
      <c r="Y360" s="181" t="n"/>
      <c r="Z360" s="181" t="n"/>
      <c r="AA360" s="181" t="n"/>
      <c r="AB360" s="181" t="n"/>
      <c r="AC360" s="181" t="n"/>
      <c r="AD360" s="181" t="n"/>
      <c r="AE360" s="181" t="n"/>
      <c r="AF360" s="181" t="n"/>
      <c r="AG360" s="181" t="n"/>
      <c r="AH360" s="181" t="n"/>
      <c r="AI360" s="181" t="n"/>
      <c r="AJ360" s="181" t="n"/>
      <c r="AK360" s="181" t="n"/>
      <c r="AL360" s="181" t="n"/>
      <c r="AM360" s="181" t="n"/>
      <c r="AN360" s="181" t="n"/>
      <c r="AO360" s="181" t="n"/>
      <c r="AP360" s="181" t="n"/>
      <c r="AQ360" s="181" t="n"/>
      <c r="AR360" s="181" t="n"/>
      <c r="AS360" s="181" t="n"/>
      <c r="AT360" s="181" t="n"/>
      <c r="AU360" s="181" t="n"/>
      <c r="AV360" s="181" t="n"/>
      <c r="AW360" s="181" t="n"/>
      <c r="AX360" s="181" t="n"/>
      <c r="AY360" s="181" t="n"/>
      <c r="AZ360" s="181" t="n"/>
      <c r="BA360" s="181" t="n"/>
      <c r="BB360" s="181" t="n"/>
      <c r="BC360" s="181" t="n"/>
      <c r="BD360" s="181" t="n"/>
      <c r="BE360" s="181" t="n"/>
      <c r="BF360" s="181" t="n"/>
      <c r="BG360" s="181" t="n"/>
      <c r="BH360" s="181" t="n"/>
      <c r="BI360" s="181" t="n"/>
      <c r="BJ360" s="181" t="n"/>
      <c r="BK360" s="181" t="n"/>
      <c r="BL360" s="181" t="n"/>
      <c r="BM360" s="181" t="n"/>
      <c r="BN360" s="181" t="n"/>
      <c r="BO360" s="181" t="n"/>
      <c r="BP360" s="181" t="n"/>
      <c r="BQ360" s="181" t="n"/>
      <c r="BR360" s="181" t="n"/>
      <c r="BS360" s="181" t="n"/>
      <c r="BT360" s="181" t="n"/>
      <c r="BU360" s="181" t="n"/>
      <c r="BV360" s="181" t="n"/>
      <c r="BW360" s="181" t="n"/>
      <c r="BX360" s="181" t="n"/>
      <c r="BY360" s="169" t="n"/>
      <c r="BZ360" s="169" t="n"/>
      <c r="CA360" s="182" t="n">
        <v>0.0625</v>
      </c>
      <c r="CB360" s="169" t="n"/>
      <c r="CC360" s="169" t="n"/>
      <c r="CD360" s="169" t="n"/>
      <c r="CE360" s="169" t="n"/>
      <c r="CF360" s="20" t="inlineStr">
        <is>
          <t>8-K 18-Sep-26: $600m 6.250% senior notes due 2034, priced at par; closing ~1-Oct-26.</t>
        </is>
      </c>
    </row>
    <row r="361" hidden="1" outlineLevel="1" ht="15" customHeight="1">
      <c r="B361" s="139" t="inlineStr">
        <is>
          <t>Asset roll-forwards &amp; non-cash items</t>
        </is>
      </c>
      <c r="C361" s="139" t="n"/>
      <c r="D361" s="139" t="n"/>
      <c r="E361" s="139" t="n"/>
      <c r="F361" s="139" t="n"/>
      <c r="G361" s="139" t="n"/>
      <c r="H361" s="139" t="n"/>
      <c r="I361" s="139" t="n"/>
      <c r="J361" s="139" t="n"/>
      <c r="K361" s="139" t="n"/>
      <c r="L361" s="139" t="n"/>
      <c r="M361" s="139" t="n"/>
      <c r="N361" s="139" t="n"/>
      <c r="O361" s="139" t="n"/>
      <c r="P361" s="139" t="n"/>
      <c r="Q361" s="139" t="n"/>
      <c r="R361" s="139" t="n"/>
      <c r="S361" s="139" t="n"/>
      <c r="T361" s="139" t="n"/>
      <c r="U361" s="139" t="n"/>
      <c r="V361" s="139" t="n"/>
      <c r="W361" s="139" t="n"/>
      <c r="X361" s="139" t="n"/>
      <c r="Y361" s="139" t="n"/>
      <c r="Z361" s="139" t="n"/>
      <c r="AA361" s="139" t="n"/>
      <c r="AB361" s="139" t="n"/>
      <c r="AC361" s="139" t="n"/>
      <c r="AD361" s="139" t="n"/>
      <c r="AE361" s="139" t="n"/>
      <c r="AF361" s="139" t="n"/>
      <c r="AG361" s="139" t="n"/>
      <c r="AH361" s="139" t="n"/>
      <c r="AI361" s="139" t="n"/>
      <c r="AJ361" s="139" t="n"/>
      <c r="AK361" s="139" t="n"/>
      <c r="AL361" s="139" t="n"/>
      <c r="AM361" s="139" t="n"/>
      <c r="AN361" s="139" t="n"/>
      <c r="AO361" s="139" t="n"/>
      <c r="AP361" s="139" t="n"/>
      <c r="AQ361" s="139" t="n"/>
      <c r="AR361" s="139" t="n"/>
      <c r="AS361" s="139" t="n"/>
      <c r="AT361" s="139" t="n"/>
      <c r="AU361" s="139" t="n"/>
      <c r="AV361" s="139" t="n"/>
      <c r="AW361" s="139" t="n"/>
      <c r="AX361" s="139" t="n"/>
      <c r="AY361" s="139" t="n"/>
      <c r="AZ361" s="139" t="n"/>
      <c r="BA361" s="139" t="n"/>
      <c r="BB361" s="139" t="n"/>
      <c r="BC361" s="139" t="n"/>
      <c r="BD361" s="139" t="n"/>
      <c r="BE361" s="139" t="n"/>
      <c r="BF361" s="139" t="n"/>
      <c r="BG361" s="139" t="n"/>
      <c r="BH361" s="139" t="n"/>
      <c r="BI361" s="139" t="n"/>
      <c r="BJ361" s="139" t="n"/>
      <c r="BK361" s="139" t="n"/>
      <c r="BL361" s="139" t="n"/>
      <c r="BM361" s="139" t="n"/>
      <c r="BN361" s="139" t="n"/>
      <c r="BO361" s="139" t="n"/>
      <c r="BP361" s="139" t="n"/>
      <c r="BQ361" s="139" t="n"/>
      <c r="BR361" s="139" t="n"/>
      <c r="BS361" s="139" t="n"/>
      <c r="BT361" s="139" t="n"/>
      <c r="BU361" s="139" t="n"/>
      <c r="BV361" s="139" t="n"/>
      <c r="BW361" s="139" t="n"/>
      <c r="BX361" s="139" t="n"/>
      <c r="BY361" s="139" t="n"/>
      <c r="BZ361" s="139" t="n"/>
      <c r="CA361" s="139" t="n"/>
      <c r="CB361" s="139" t="n"/>
      <c r="CC361" s="139" t="n"/>
      <c r="CD361" s="139" t="n"/>
      <c r="CE361" s="139" t="n"/>
      <c r="CF361" s="139" t="n"/>
    </row>
    <row r="362" hidden="1" outlineLevel="1" ht="15" customHeight="1">
      <c r="B362" s="26" t="inlineStr">
        <is>
          <t xml:space="preserve">  Amortization of legacy acquired intangibles (USDm)</t>
        </is>
      </c>
      <c r="C362" s="199" t="n"/>
      <c r="D362" s="199" t="n"/>
      <c r="E362" s="199" t="n"/>
      <c r="F362" s="199" t="n"/>
      <c r="G362" s="199" t="n"/>
      <c r="H362" s="199" t="n"/>
      <c r="I362" s="199" t="n"/>
      <c r="J362" s="199" t="n"/>
      <c r="K362" s="199" t="n"/>
      <c r="L362" s="199" t="n"/>
      <c r="M362" s="199" t="n"/>
      <c r="N362" s="199" t="n"/>
      <c r="O362" s="199" t="n"/>
      <c r="P362" s="199" t="n"/>
      <c r="Q362" s="199" t="n"/>
      <c r="R362" s="199" t="n"/>
      <c r="S362" s="199" t="n"/>
      <c r="T362" s="199" t="n"/>
      <c r="U362" s="199" t="n"/>
      <c r="V362" s="199" t="n"/>
      <c r="W362" s="199" t="n"/>
      <c r="X362" s="199" t="n"/>
      <c r="Y362" s="199" t="n"/>
      <c r="Z362" s="199" t="n"/>
      <c r="AA362" s="199" t="n"/>
      <c r="AB362" s="199" t="n"/>
      <c r="AC362" s="199" t="n"/>
      <c r="AD362" s="199" t="n"/>
      <c r="AE362" s="199" t="n"/>
      <c r="AF362" s="199" t="n"/>
      <c r="AG362" s="199" t="n"/>
      <c r="AH362" s="199" t="n"/>
      <c r="AI362" s="199" t="n"/>
      <c r="AJ362" s="199" t="n"/>
      <c r="AK362" s="199" t="n"/>
      <c r="AL362" s="199" t="n"/>
      <c r="AM362" s="199" t="n"/>
      <c r="AN362" s="199" t="n"/>
      <c r="AO362" s="199" t="n"/>
      <c r="AP362" s="199" t="n"/>
      <c r="AQ362" s="199" t="n"/>
      <c r="AR362" s="199" t="n"/>
      <c r="AS362" s="199" t="n"/>
      <c r="AT362" s="199" t="n"/>
      <c r="AU362" s="199" t="n"/>
      <c r="AV362" s="199" t="n"/>
      <c r="AW362" s="199" t="n"/>
      <c r="AX362" s="199" t="n"/>
      <c r="AY362" s="199" t="n"/>
      <c r="AZ362" s="199" t="n"/>
      <c r="BA362" s="199" t="n"/>
      <c r="BB362" s="199" t="n"/>
      <c r="BC362" s="199" t="n"/>
      <c r="BD362" s="199" t="n"/>
      <c r="BE362" s="199" t="n"/>
      <c r="BF362" s="199" t="n"/>
      <c r="BG362" s="199" t="n"/>
      <c r="BH362" s="199" t="n"/>
      <c r="BI362" s="199" t="n"/>
      <c r="BJ362" s="199" t="n"/>
      <c r="BK362" s="199" t="n"/>
      <c r="BL362" s="199" t="n"/>
      <c r="BM362" s="199" t="n"/>
      <c r="BN362" s="199" t="n"/>
      <c r="BO362" s="199" t="n"/>
      <c r="BP362" s="199" t="n"/>
      <c r="BQ362" s="199" t="n"/>
      <c r="BR362" s="199" t="n"/>
      <c r="BS362" s="199" t="n"/>
      <c r="BT362" s="199" t="n"/>
      <c r="BU362" s="199" t="n"/>
      <c r="BV362" s="199" t="n"/>
      <c r="BW362" s="200" t="n">
        <v>13.7</v>
      </c>
      <c r="BX362" s="200" t="n">
        <v>13.7</v>
      </c>
      <c r="BY362" s="215" t="n">
        <v>13.6</v>
      </c>
      <c r="BZ362" s="215" t="n">
        <v>13.6</v>
      </c>
      <c r="CA362" s="216">
        <f>SUM(BW362,BX362,BY362,BZ362)</f>
        <v>54.6</v>
      </c>
      <c r="CB362" s="216">
        <f>54</f>
        <v>54</v>
      </c>
      <c r="CC362" s="216">
        <f>54</f>
        <v>54</v>
      </c>
      <c r="CD362" s="216">
        <f>54</f>
        <v>54</v>
      </c>
      <c r="CE362" s="216">
        <f>54</f>
        <v>54</v>
      </c>
      <c r="CF362" s="20" t="inlineStr">
        <is>
          <t>XBRL: 2025 amortization $53.9m; Q1/26 $13.7m; expected next-12-month amortization $54.2m (Mar-26).</t>
        </is>
      </c>
    </row>
    <row r="363" hidden="1" outlineLevel="1" ht="15" customHeight="1">
      <c r="B363" s="26" t="inlineStr">
        <is>
          <t xml:space="preserve">  Total intangible amortization (legacy + pending deals + future M&amp;A)</t>
        </is>
      </c>
      <c r="C363" s="199" t="n"/>
      <c r="D363" s="199" t="n"/>
      <c r="E363" s="199" t="n"/>
      <c r="F363" s="199" t="n"/>
      <c r="G363" s="199" t="n"/>
      <c r="H363" s="199" t="n"/>
      <c r="I363" s="199" t="n"/>
      <c r="J363" s="199" t="n"/>
      <c r="K363" s="199" t="n"/>
      <c r="L363" s="199" t="n"/>
      <c r="M363" s="199" t="n"/>
      <c r="N363" s="199" t="n"/>
      <c r="O363" s="199" t="n"/>
      <c r="P363" s="199" t="n"/>
      <c r="Q363" s="199" t="n"/>
      <c r="R363" s="199" t="n"/>
      <c r="S363" s="199" t="n"/>
      <c r="T363" s="199" t="n"/>
      <c r="U363" s="199" t="n"/>
      <c r="V363" s="199" t="n"/>
      <c r="W363" s="199" t="n"/>
      <c r="X363" s="199" t="n"/>
      <c r="Y363" s="199" t="n"/>
      <c r="Z363" s="199" t="n"/>
      <c r="AA363" s="199" t="n"/>
      <c r="AB363" s="199" t="n"/>
      <c r="AC363" s="199" t="n"/>
      <c r="AD363" s="199" t="n"/>
      <c r="AE363" s="199" t="n"/>
      <c r="AF363" s="199" t="n"/>
      <c r="AG363" s="199" t="n"/>
      <c r="AH363" s="199" t="n"/>
      <c r="AI363" s="199" t="n"/>
      <c r="AJ363" s="199" t="n"/>
      <c r="AK363" s="199" t="n"/>
      <c r="AL363" s="199" t="n"/>
      <c r="AM363" s="199" t="n"/>
      <c r="AN363" s="199" t="n"/>
      <c r="AO363" s="199" t="n"/>
      <c r="AP363" s="199" t="n"/>
      <c r="AQ363" s="199" t="n"/>
      <c r="AR363" s="199" t="n"/>
      <c r="AS363" s="199" t="n"/>
      <c r="AT363" s="199" t="n"/>
      <c r="AU363" s="199" t="n"/>
      <c r="AV363" s="199" t="n"/>
      <c r="AW363" s="199" t="n"/>
      <c r="AX363" s="199" t="n"/>
      <c r="AY363" s="199" t="n"/>
      <c r="AZ363" s="199" t="n"/>
      <c r="BA363" s="199" t="n"/>
      <c r="BB363" s="199" t="n"/>
      <c r="BC363" s="199" t="n"/>
      <c r="BD363" s="199" t="n"/>
      <c r="BE363" s="199" t="n"/>
      <c r="BF363" s="199" t="n"/>
      <c r="BG363" s="199" t="n"/>
      <c r="BH363" s="199" t="n"/>
      <c r="BI363" s="199" t="n"/>
      <c r="BJ363" s="199" t="n"/>
      <c r="BK363" s="199" t="n"/>
      <c r="BL363" s="199" t="n"/>
      <c r="BM363" s="199" t="n"/>
      <c r="BN363" s="199" t="n"/>
      <c r="BO363" s="199" t="n"/>
      <c r="BP363" s="199" t="n"/>
      <c r="BQ363" s="199" t="n"/>
      <c r="BR363" s="199" t="n"/>
      <c r="BS363" s="199" t="n"/>
      <c r="BT363" s="199" t="n"/>
      <c r="BU363" s="199" t="n"/>
      <c r="BV363" s="199" t="n"/>
      <c r="BW363" s="199" t="n"/>
      <c r="BX363" s="199" t="n"/>
      <c r="BY363" s="216">
        <f>BY362+N(BY71)</f>
        <v>14.2883561643836</v>
      </c>
      <c r="BZ363" s="216">
        <f>BZ362+N(BZ71)</f>
        <v>17.6746575342466</v>
      </c>
      <c r="CA363" s="216">
        <f>SUM(BW363,BX363,BY363,BZ363)</f>
        <v>31.9630136986301</v>
      </c>
      <c r="CB363" s="216">
        <f>CB362+N(CB71)+N(CB89)</f>
        <v>77.25</v>
      </c>
      <c r="CC363" s="216">
        <f>CC362+N(CC71)+N(CC89)</f>
        <v>83.5</v>
      </c>
      <c r="CD363" s="216">
        <f>CD362+N(CD71)+N(CD89)</f>
        <v>89.75</v>
      </c>
      <c r="CE363" s="216">
        <f>CE362+N(CE71)+N(CE89)</f>
        <v>96</v>
      </c>
      <c r="CF363" s="20" t="n"/>
    </row>
    <row r="364" hidden="1" outlineLevel="1" ht="15" customHeight="1">
      <c r="B364" s="26" t="inlineStr">
        <is>
          <t xml:space="preserve">  Environmental expenditures &amp; estimate changes (cash; 2H/26E, then annual)</t>
        </is>
      </c>
      <c r="C364" s="184" t="n"/>
      <c r="D364" s="184" t="n"/>
      <c r="E364" s="184" t="n"/>
      <c r="F364" s="184" t="n"/>
      <c r="G364" s="184" t="n"/>
      <c r="H364" s="184" t="n"/>
      <c r="I364" s="184" t="n"/>
      <c r="J364" s="184" t="n"/>
      <c r="K364" s="184" t="n"/>
      <c r="L364" s="184" t="n"/>
      <c r="M364" s="184" t="n"/>
      <c r="N364" s="184" t="n"/>
      <c r="O364" s="184" t="n"/>
      <c r="P364" s="184" t="n"/>
      <c r="Q364" s="184" t="n"/>
      <c r="R364" s="184" t="n"/>
      <c r="S364" s="184" t="n"/>
      <c r="T364" s="184" t="n"/>
      <c r="U364" s="184" t="n"/>
      <c r="V364" s="184" t="n"/>
      <c r="W364" s="184" t="n"/>
      <c r="X364" s="184" t="n"/>
      <c r="Y364" s="184" t="n"/>
      <c r="Z364" s="184" t="n"/>
      <c r="AA364" s="184" t="n"/>
      <c r="AB364" s="184" t="n"/>
      <c r="AC364" s="184" t="n"/>
      <c r="AD364" s="184" t="n"/>
      <c r="AE364" s="184" t="n"/>
      <c r="AF364" s="184" t="n"/>
      <c r="AG364" s="184" t="n"/>
      <c r="AH364" s="184" t="n"/>
      <c r="AI364" s="184" t="n"/>
      <c r="AJ364" s="184" t="n"/>
      <c r="AK364" s="184" t="n"/>
      <c r="AL364" s="184" t="n"/>
      <c r="AM364" s="184" t="n"/>
      <c r="AN364" s="184" t="n"/>
      <c r="AO364" s="184" t="n"/>
      <c r="AP364" s="184" t="n"/>
      <c r="AQ364" s="184" t="n"/>
      <c r="AR364" s="184" t="n"/>
      <c r="AS364" s="184" t="n"/>
      <c r="AT364" s="184" t="n"/>
      <c r="AU364" s="184" t="n"/>
      <c r="AV364" s="184" t="n"/>
      <c r="AW364" s="184" t="n"/>
      <c r="AX364" s="184" t="n"/>
      <c r="AY364" s="184" t="n"/>
      <c r="AZ364" s="184" t="n"/>
      <c r="BA364" s="184" t="n"/>
      <c r="BB364" s="184" t="n"/>
      <c r="BC364" s="184" t="n"/>
      <c r="BD364" s="184" t="n"/>
      <c r="BE364" s="184" t="n"/>
      <c r="BF364" s="184" t="n"/>
      <c r="BG364" s="184" t="n"/>
      <c r="BH364" s="184" t="n"/>
      <c r="BI364" s="184" t="n"/>
      <c r="BJ364" s="184" t="n"/>
      <c r="BK364" s="184" t="n"/>
      <c r="BL364" s="184" t="n"/>
      <c r="BM364" s="184" t="n"/>
      <c r="BN364" s="184" t="n"/>
      <c r="BO364" s="184" t="n"/>
      <c r="BP364" s="184" t="n"/>
      <c r="BQ364" s="184" t="n"/>
      <c r="BR364" s="184" t="n"/>
      <c r="BS364" s="184" t="n"/>
      <c r="BT364" s="184" t="n"/>
      <c r="BU364" s="184" t="n"/>
      <c r="BV364" s="184" t="n"/>
      <c r="BW364" s="184" t="n"/>
      <c r="BX364" s="184" t="n"/>
      <c r="BY364" s="168" t="n"/>
      <c r="BZ364" s="168" t="n"/>
      <c r="CA364" s="201" t="n">
        <v>-9</v>
      </c>
      <c r="CB364" s="186">
        <f>-18</f>
        <v>-18</v>
      </c>
      <c r="CC364" s="186">
        <f>-18</f>
        <v>-18</v>
      </c>
      <c r="CD364" s="186">
        <f>-18</f>
        <v>-18</v>
      </c>
      <c r="CE364" s="186">
        <f>-18</f>
        <v>-18</v>
      </c>
      <c r="CF364" s="20" t="inlineStr">
        <is>
          <t>1H/26: −$9.1m (expenditures −$7.1m, estimate changes −$2.1m); FY25 ~−$22m.</t>
        </is>
      </c>
    </row>
    <row r="365" hidden="1" outlineLevel="1" ht="15" customHeight="1">
      <c r="B365" s="26" t="inlineStr">
        <is>
          <t xml:space="preserve">  Dilutive securities (m shares)</t>
        </is>
      </c>
      <c r="C365" s="231" t="n"/>
      <c r="D365" s="231" t="n"/>
      <c r="E365" s="231" t="n"/>
      <c r="F365" s="231" t="n"/>
      <c r="G365" s="231" t="n"/>
      <c r="H365" s="231" t="n"/>
      <c r="I365" s="231" t="n"/>
      <c r="J365" s="231" t="n"/>
      <c r="K365" s="231" t="n"/>
      <c r="L365" s="231" t="n"/>
      <c r="M365" s="231" t="n"/>
      <c r="N365" s="231" t="n"/>
      <c r="O365" s="231" t="n"/>
      <c r="P365" s="231" t="n"/>
      <c r="Q365" s="231" t="n"/>
      <c r="R365" s="231" t="n"/>
      <c r="S365" s="231" t="n"/>
      <c r="T365" s="231" t="n"/>
      <c r="U365" s="231" t="n"/>
      <c r="V365" s="231" t="n"/>
      <c r="W365" s="231" t="n"/>
      <c r="X365" s="231" t="n"/>
      <c r="Y365" s="231" t="n"/>
      <c r="Z365" s="231" t="n"/>
      <c r="AA365" s="231" t="n"/>
      <c r="AB365" s="231" t="n"/>
      <c r="AC365" s="231" t="n"/>
      <c r="AD365" s="231" t="n"/>
      <c r="AE365" s="231" t="n"/>
      <c r="AF365" s="231" t="n"/>
      <c r="AG365" s="231" t="n"/>
      <c r="AH365" s="231" t="n"/>
      <c r="AI365" s="231" t="n"/>
      <c r="AJ365" s="231" t="n"/>
      <c r="AK365" s="231" t="n"/>
      <c r="AL365" s="231" t="n"/>
      <c r="AM365" s="231" t="n"/>
      <c r="AN365" s="231" t="n"/>
      <c r="AO365" s="231" t="n"/>
      <c r="AP365" s="231" t="n"/>
      <c r="AQ365" s="231" t="n"/>
      <c r="AR365" s="231" t="n"/>
      <c r="AS365" s="231" t="n"/>
      <c r="AT365" s="231" t="n"/>
      <c r="AU365" s="231" t="n"/>
      <c r="AV365" s="231" t="n"/>
      <c r="AW365" s="231" t="n"/>
      <c r="AX365" s="231" t="n"/>
      <c r="AY365" s="231" t="n"/>
      <c r="AZ365" s="231" t="n"/>
      <c r="BA365" s="231" t="n"/>
      <c r="BB365" s="231" t="n"/>
      <c r="BC365" s="231" t="n"/>
      <c r="BD365" s="231" t="n"/>
      <c r="BE365" s="231" t="n"/>
      <c r="BF365" s="231" t="n"/>
      <c r="BG365" s="231" t="n"/>
      <c r="BH365" s="231" t="n"/>
      <c r="BI365" s="231" t="n"/>
      <c r="BJ365" s="231" t="n"/>
      <c r="BK365" s="231" t="n"/>
      <c r="BL365" s="231" t="n"/>
      <c r="BM365" s="231" t="n"/>
      <c r="BN365" s="231" t="n"/>
      <c r="BO365" s="231" t="n"/>
      <c r="BP365" s="231" t="n"/>
      <c r="BQ365" s="231" t="n"/>
      <c r="BR365" s="231" t="n"/>
      <c r="BS365" s="231" t="n"/>
      <c r="BT365" s="231" t="n"/>
      <c r="BU365" s="231" t="n"/>
      <c r="BV365" s="231" t="n"/>
      <c r="BW365" s="231" t="n"/>
      <c r="BX365" s="231" t="n"/>
      <c r="BY365" s="232" t="n"/>
      <c r="BZ365" s="232" t="n"/>
      <c r="CA365" s="232" t="n"/>
      <c r="CB365" s="233">
        <f>0.15</f>
        <v>0.15</v>
      </c>
      <c r="CC365" s="233">
        <f>0.15</f>
        <v>0.15</v>
      </c>
      <c r="CD365" s="233">
        <f>0.15</f>
        <v>0.15</v>
      </c>
      <c r="CE365" s="233">
        <f>0.15</f>
        <v>0.15</v>
      </c>
      <c r="CF365" s="20" t="n"/>
    </row>
    <row r="366" hidden="1" outlineLevel="1" ht="15" customHeight="1">
      <c r="B366" s="26" t="inlineStr">
        <is>
          <t xml:space="preserve">  Share-price appreciation % (buyback pricing)</t>
        </is>
      </c>
      <c r="C366" s="181" t="n"/>
      <c r="D366" s="181" t="n"/>
      <c r="E366" s="181" t="n"/>
      <c r="F366" s="181" t="n"/>
      <c r="G366" s="181" t="n"/>
      <c r="H366" s="181" t="n"/>
      <c r="I366" s="181" t="n"/>
      <c r="J366" s="181" t="n"/>
      <c r="K366" s="181" t="n"/>
      <c r="L366" s="181" t="n"/>
      <c r="M366" s="181" t="n"/>
      <c r="N366" s="181" t="n"/>
      <c r="O366" s="181" t="n"/>
      <c r="P366" s="181" t="n"/>
      <c r="Q366" s="181" t="n"/>
      <c r="R366" s="181" t="n"/>
      <c r="S366" s="181" t="n"/>
      <c r="T366" s="181" t="n"/>
      <c r="U366" s="181" t="n"/>
      <c r="V366" s="181" t="n"/>
      <c r="W366" s="181" t="n"/>
      <c r="X366" s="181" t="n"/>
      <c r="Y366" s="181" t="n"/>
      <c r="Z366" s="181" t="n"/>
      <c r="AA366" s="181" t="n"/>
      <c r="AB366" s="181" t="n"/>
      <c r="AC366" s="181" t="n"/>
      <c r="AD366" s="181" t="n"/>
      <c r="AE366" s="181" t="n"/>
      <c r="AF366" s="181" t="n"/>
      <c r="AG366" s="181" t="n"/>
      <c r="AH366" s="181" t="n"/>
      <c r="AI366" s="181" t="n"/>
      <c r="AJ366" s="181" t="n"/>
      <c r="AK366" s="181" t="n"/>
      <c r="AL366" s="181" t="n"/>
      <c r="AM366" s="181" t="n"/>
      <c r="AN366" s="181" t="n"/>
      <c r="AO366" s="181" t="n"/>
      <c r="AP366" s="181" t="n"/>
      <c r="AQ366" s="181" t="n"/>
      <c r="AR366" s="181" t="n"/>
      <c r="AS366" s="181" t="n"/>
      <c r="AT366" s="181" t="n"/>
      <c r="AU366" s="181" t="n"/>
      <c r="AV366" s="181" t="n"/>
      <c r="AW366" s="181" t="n"/>
      <c r="AX366" s="181" t="n"/>
      <c r="AY366" s="181" t="n"/>
      <c r="AZ366" s="181" t="n"/>
      <c r="BA366" s="181" t="n"/>
      <c r="BB366" s="181" t="n"/>
      <c r="BC366" s="181" t="n"/>
      <c r="BD366" s="181" t="n"/>
      <c r="BE366" s="181" t="n"/>
      <c r="BF366" s="181" t="n"/>
      <c r="BG366" s="181" t="n"/>
      <c r="BH366" s="181" t="n"/>
      <c r="BI366" s="181" t="n"/>
      <c r="BJ366" s="181" t="n"/>
      <c r="BK366" s="181" t="n"/>
      <c r="BL366" s="181" t="n"/>
      <c r="BM366" s="181" t="n"/>
      <c r="BN366" s="181" t="n"/>
      <c r="BO366" s="181" t="n"/>
      <c r="BP366" s="181" t="n"/>
      <c r="BQ366" s="181" t="n"/>
      <c r="BR366" s="181" t="n"/>
      <c r="BS366" s="181" t="n"/>
      <c r="BT366" s="181" t="n"/>
      <c r="BU366" s="181" t="n"/>
      <c r="BV366" s="181" t="n"/>
      <c r="BW366" s="181" t="n"/>
      <c r="BX366" s="181" t="n"/>
      <c r="BY366" s="169" t="n"/>
      <c r="BZ366" s="169" t="n"/>
      <c r="CA366" s="169" t="n"/>
      <c r="CB366" s="179">
        <f>0.07</f>
        <v>0.07</v>
      </c>
      <c r="CC366" s="179">
        <f>0.07</f>
        <v>0.07</v>
      </c>
      <c r="CD366" s="179">
        <f>0.07</f>
        <v>0.07</v>
      </c>
      <c r="CE366" s="179">
        <f>0.07</f>
        <v>0.07</v>
      </c>
      <c r="CF366" s="20" t="n"/>
    </row>
    <row r="367" hidden="1" outlineLevel="1" ht="15" customHeight="1">
      <c r="B367" s="139" t="inlineStr">
        <is>
          <t>Debt schedule (senior notes &amp; term loan at face; revolver drawn / repaid to a minimum cash balance)</t>
        </is>
      </c>
      <c r="C367" s="139" t="n"/>
      <c r="D367" s="139" t="n"/>
      <c r="E367" s="139" t="n"/>
      <c r="F367" s="139" t="n"/>
      <c r="G367" s="139" t="n"/>
      <c r="H367" s="139" t="n"/>
      <c r="I367" s="139" t="n"/>
      <c r="J367" s="139" t="n"/>
      <c r="K367" s="139" t="n"/>
      <c r="L367" s="139" t="n"/>
      <c r="M367" s="139" t="n"/>
      <c r="N367" s="139" t="n"/>
      <c r="O367" s="139" t="n"/>
      <c r="P367" s="139" t="n"/>
      <c r="Q367" s="139" t="n"/>
      <c r="R367" s="139" t="n"/>
      <c r="S367" s="139" t="n"/>
      <c r="T367" s="139" t="n"/>
      <c r="U367" s="139" t="n"/>
      <c r="V367" s="139" t="n"/>
      <c r="W367" s="139" t="n"/>
      <c r="X367" s="139" t="n"/>
      <c r="Y367" s="139" t="n"/>
      <c r="Z367" s="139" t="n"/>
      <c r="AA367" s="139" t="n"/>
      <c r="AB367" s="139" t="n"/>
      <c r="AC367" s="139" t="n"/>
      <c r="AD367" s="139" t="n"/>
      <c r="AE367" s="139" t="n"/>
      <c r="AF367" s="139" t="n"/>
      <c r="AG367" s="139" t="n"/>
      <c r="AH367" s="139" t="n"/>
      <c r="AI367" s="139" t="n"/>
      <c r="AJ367" s="139" t="n"/>
      <c r="AK367" s="139" t="n"/>
      <c r="AL367" s="139" t="n"/>
      <c r="AM367" s="139" t="n"/>
      <c r="AN367" s="139" t="n"/>
      <c r="AO367" s="139" t="n"/>
      <c r="AP367" s="139" t="n"/>
      <c r="AQ367" s="139" t="n"/>
      <c r="AR367" s="139" t="n"/>
      <c r="AS367" s="139" t="n"/>
      <c r="AT367" s="139" t="n"/>
      <c r="AU367" s="139" t="n"/>
      <c r="AV367" s="139" t="n"/>
      <c r="AW367" s="139" t="n"/>
      <c r="AX367" s="139" t="n"/>
      <c r="AY367" s="139" t="n"/>
      <c r="AZ367" s="139" t="n"/>
      <c r="BA367" s="139" t="n"/>
      <c r="BB367" s="139" t="n"/>
      <c r="BC367" s="139" t="n"/>
      <c r="BD367" s="139" t="n"/>
      <c r="BE367" s="139" t="n"/>
      <c r="BF367" s="139" t="n"/>
      <c r="BG367" s="139" t="n"/>
      <c r="BH367" s="139" t="n"/>
      <c r="BI367" s="139" t="n"/>
      <c r="BJ367" s="139" t="n"/>
      <c r="BK367" s="139" t="n"/>
      <c r="BL367" s="139" t="n"/>
      <c r="BM367" s="139" t="n"/>
      <c r="BN367" s="139" t="n"/>
      <c r="BO367" s="139" t="n"/>
      <c r="BP367" s="139" t="n"/>
      <c r="BQ367" s="139" t="n"/>
      <c r="BR367" s="139" t="n"/>
      <c r="BS367" s="139" t="n"/>
      <c r="BT367" s="139" t="n"/>
      <c r="BU367" s="139" t="n"/>
      <c r="BV367" s="139" t="n"/>
      <c r="BW367" s="139" t="n"/>
      <c r="BX367" s="139" t="n"/>
      <c r="BY367" s="139" t="n"/>
      <c r="BZ367" s="139" t="n"/>
      <c r="CA367" s="139" t="n"/>
      <c r="CB367" s="139" t="n"/>
      <c r="CC367" s="139" t="n"/>
      <c r="CD367" s="139" t="n"/>
      <c r="CE367" s="139" t="n"/>
      <c r="CF367" s="139" t="n"/>
    </row>
    <row r="368" hidden="1" outlineLevel="1" ht="15" customHeight="1">
      <c r="B368" s="17" t="inlineStr">
        <is>
          <t xml:space="preserve">  Total debt (current + long-term, carrying value)</t>
        </is>
      </c>
      <c r="C368" s="214">
        <f>IF(ISNUMBER(C313),N(C306)+C313,"")</f>
        <v>124.561</v>
      </c>
      <c r="D368" s="214">
        <f>IF(ISNUMBER(D313),N(D306)+D313,"")</f>
        <v>123.483</v>
      </c>
      <c r="E368" s="214">
        <f>IF(ISNUMBER(E313),N(E306)+E313,"")</f>
        <v>53.63</v>
      </c>
      <c r="F368" s="214">
        <f>IF(ISNUMBER(F313),N(F306)+F313,"")</f>
        <v>301.271</v>
      </c>
      <c r="G368" s="214">
        <f>IF(ISNUMBER(G313),N(G306)+G313,"")</f>
        <v>278.8</v>
      </c>
      <c r="H368" s="214">
        <f>IF(ISNUMBER(H313),N(H306)+H313,"")</f>
        <v>538.888</v>
      </c>
      <c r="I368" s="214">
        <f>IF(ISNUMBER(I313),N(I306)+I313,"")</f>
        <v>1407.971</v>
      </c>
      <c r="J368" s="214">
        <f>IF(ISNUMBER(J313),N(J306)+J313,"")</f>
        <v>1406.474</v>
      </c>
      <c r="K368" s="214">
        <f>IF(ISNUMBER(K313),N(K306)+K313,"")</f>
        <v>1405.063</v>
      </c>
      <c r="L368" s="214">
        <f>IF(ISNUMBER(L313),N(L306)+L313,"")</f>
        <v>1403.642</v>
      </c>
      <c r="M368" s="214">
        <f>IF(ISNUMBER(M313),N(M306)+M313,"")</f>
        <v>1402.764</v>
      </c>
      <c r="N368" s="214">
        <f>IF(ISNUMBER(N313),N(N306)+N313,"")</f>
        <v>1402.764</v>
      </c>
      <c r="O368" s="214">
        <f>IF(ISNUMBER(O313),N(O306)+O313,"")</f>
        <v>1402.032</v>
      </c>
      <c r="P368" s="214">
        <f>IF(ISNUMBER(P313),N(P306)+P313,"")</f>
        <v>1396.536</v>
      </c>
      <c r="Q368" s="214">
        <f>IF(ISNUMBER(Q313),N(Q306)+Q313,"")</f>
        <v>1395.997</v>
      </c>
      <c r="R368" s="214">
        <f>IF(ISNUMBER(R313),N(R306)+R313,"")</f>
        <v>1395.536</v>
      </c>
      <c r="S368" s="214">
        <f>IF(ISNUMBER(S313),N(S306)+S313,"")</f>
        <v>1395.536</v>
      </c>
      <c r="T368" s="214">
        <f>IF(ISNUMBER(T313),N(T306)+T313,"")</f>
        <v>1395.116</v>
      </c>
      <c r="U368" s="214">
        <f>IF(ISNUMBER(U313),N(U306)+U313,"")</f>
        <v>1395.045</v>
      </c>
      <c r="V368" s="214">
        <f>IF(ISNUMBER(V313),N(V306)+V313,"")</f>
        <v>1395.011</v>
      </c>
      <c r="W368" s="214">
        <f>IF(ISNUMBER(W313),N(W306)+W313,"")</f>
        <v>1382.543</v>
      </c>
      <c r="X368" s="214">
        <f>IF(ISNUMBER(X313),N(X306)+X313,"")</f>
        <v>1382.543</v>
      </c>
      <c r="Y368" s="214">
        <f>IF(ISNUMBER(Y313),N(Y306)+Y313,"")</f>
        <v>1631.603</v>
      </c>
      <c r="Z368" s="214">
        <f>IF(ISNUMBER(Z313),N(Z306)+Z313,"")</f>
        <v>1631.881</v>
      </c>
      <c r="AA368" s="214">
        <f>IF(ISNUMBER(AA313),N(AA306)+AA313,"")</f>
        <v>1632.577</v>
      </c>
      <c r="AB368" s="214">
        <f>IF(ISNUMBER(AB313),N(AB306)+AB313,"")</f>
        <v>1633.272</v>
      </c>
      <c r="AC368" s="214">
        <f>IF(ISNUMBER(AC313),N(AC306)+AC313,"")</f>
        <v>1633.272</v>
      </c>
      <c r="AD368" s="214">
        <f>IF(ISNUMBER(AD313),N(AD306)+AD313,"")</f>
        <v>1633.968</v>
      </c>
      <c r="AE368" s="214">
        <f>IF(ISNUMBER(AE313),N(AE306)+AE313,"")</f>
        <v>1734.303</v>
      </c>
      <c r="AF368" s="214">
        <f>IF(ISNUMBER(AF313),N(AF306)+AF313,"")</f>
        <v>1629.971</v>
      </c>
      <c r="AG368" s="214">
        <f>IF(ISNUMBER(AG313),N(AG306)+AG313,"")</f>
        <v>1629.537</v>
      </c>
      <c r="AH368" s="214">
        <f>IF(ISNUMBER(AH313),N(AH306)+AH313,"")</f>
        <v>1629.537</v>
      </c>
      <c r="AI368" s="214">
        <f>IF(ISNUMBER(AI313),N(AI306)+AI313,"")</f>
        <v>1629.259</v>
      </c>
      <c r="AJ368" s="214">
        <f>IF(ISNUMBER(AJ313),N(AJ306)+AJ313,"")</f>
        <v>1628.727</v>
      </c>
      <c r="AK368" s="214">
        <f>IF(ISNUMBER(AK313),N(AK306)+AK313,"")</f>
        <v>1623.691</v>
      </c>
      <c r="AL368" s="214">
        <f>IF(ISNUMBER(AL313),N(AL306)+AL313,"")</f>
        <v>1572.556</v>
      </c>
      <c r="AM368" s="214">
        <f>IF(ISNUMBER(AM313),N(AM306)+AM313,"")</f>
        <v>1572.556</v>
      </c>
      <c r="AN368" s="214">
        <f>IF(ISNUMBER(AN313),N(AN306)+AN313,"")</f>
        <v>1571.54</v>
      </c>
      <c r="AO368" s="214">
        <f>IF(ISNUMBER(AO313),N(AO306)+AO313,"")</f>
        <v>1570.524</v>
      </c>
      <c r="AP368" s="214">
        <f>IF(ISNUMBER(AP313),N(AP306)+AP313,"")</f>
        <v>1562.792</v>
      </c>
      <c r="AQ368" s="214">
        <f>IF(ISNUMBER(AQ313),N(AQ306)+AQ313,"")</f>
        <v>1561.651</v>
      </c>
      <c r="AR368" s="214">
        <f>IF(ISNUMBER(AR313),N(AR306)+AR313,"")</f>
        <v>1561.651</v>
      </c>
      <c r="AS368" s="214">
        <f>IF(ISNUMBER(AS313),N(AS306)+AS313,"")</f>
        <v>1710.527</v>
      </c>
      <c r="AT368" s="214">
        <f>IF(ISNUMBER(AT313),N(AT306)+AT313,"")</f>
        <v>1634.406</v>
      </c>
      <c r="AU368" s="214">
        <f>IF(ISNUMBER(AU313),N(AU306)+AU313,"")</f>
        <v>1558.291</v>
      </c>
      <c r="AV368" s="214">
        <f>IF(ISNUMBER(AV313),N(AV306)+AV313,"")</f>
        <v>1557.176</v>
      </c>
      <c r="AW368" s="214">
        <f>IF(ISNUMBER(AW313),N(AW306)+AW313,"")</f>
        <v>1557.176</v>
      </c>
      <c r="AX368" s="214">
        <f>IF(ISNUMBER(AX313),N(AX306)+AX313,"")</f>
        <v>1556.052</v>
      </c>
      <c r="AY368" s="214">
        <f>IF(ISNUMBER(AY313),N(AY306)+AY313,"")</f>
        <v>1554.933</v>
      </c>
      <c r="AZ368" s="214">
        <f>IF(ISNUMBER(AZ313),N(AZ306)+AZ313,"")</f>
        <v>1553.819</v>
      </c>
      <c r="BA368" s="214">
        <f>IF(ISNUMBER(BA313),N(BA306)+BA313,"")</f>
        <v>2534.559</v>
      </c>
      <c r="BB368" s="214">
        <f>IF(ISNUMBER(BB313),N(BB306)+BB313,"")</f>
        <v>2534.559</v>
      </c>
      <c r="BC368" s="214">
        <f>IF(ISNUMBER(BC313),N(BC306)+BC313,"")</f>
        <v>2531.479</v>
      </c>
      <c r="BD368" s="214">
        <f>IF(ISNUMBER(BD313),N(BD306)+BD313,"")</f>
        <v>2528.498</v>
      </c>
      <c r="BE368" s="214">
        <f>IF(ISNUMBER(BE313),N(BE306)+BE313,"")</f>
        <v>2525.481</v>
      </c>
      <c r="BF368" s="214">
        <f>IF(ISNUMBER(BF313),N(BF306)+BF313,"")</f>
        <v>2424.828</v>
      </c>
      <c r="BG368" s="214">
        <f>IF(ISNUMBER(BG313),N(BG306)+BG313,"")</f>
        <v>2424.828</v>
      </c>
      <c r="BH368" s="214">
        <f>IF(ISNUMBER(BH313),N(BH306)+BH313,"")</f>
        <v>2419.654</v>
      </c>
      <c r="BI368" s="214">
        <f>IF(ISNUMBER(BI313),N(BI306)+BI313,"")</f>
        <v>2304.306</v>
      </c>
      <c r="BJ368" s="214">
        <f>IF(ISNUMBER(BJ313),N(BJ306)+BJ313,"")</f>
        <v>2302.952</v>
      </c>
      <c r="BK368" s="214">
        <f>IF(ISNUMBER(BK313),N(BK306)+BK313,"")</f>
        <v>2301.717</v>
      </c>
      <c r="BL368" s="214">
        <f>IF(ISNUMBER(BL313),N(BL306)+BL313,"")</f>
        <v>2301.717</v>
      </c>
      <c r="BM368" s="214">
        <f>IF(ISNUMBER(BM313),N(BM306)+BM313,"")</f>
        <v>2793.726</v>
      </c>
      <c r="BN368" s="214">
        <f>IF(ISNUMBER(BN313),N(BN306)+BN313,"")</f>
        <v>2790.939</v>
      </c>
      <c r="BO368" s="214">
        <f>IF(ISNUMBER(BO313),N(BO306)+BO313,"")</f>
        <v>2788.761</v>
      </c>
      <c r="BP368" s="214">
        <f>IF(ISNUMBER(BP313),N(BP306)+BP313,"")</f>
        <v>2786.219</v>
      </c>
      <c r="BQ368" s="214">
        <f>IF(ISNUMBER(BQ313),N(BQ306)+BQ313,"")</f>
        <v>2786.219</v>
      </c>
      <c r="BR368" s="214">
        <f>IF(ISNUMBER(BR313),N(BR306)+BR313,"")</f>
        <v>2783.917</v>
      </c>
      <c r="BS368" s="214">
        <f>IF(ISNUMBER(BS313),N(BS306)+BS313,"")</f>
        <v>2781.632</v>
      </c>
      <c r="BT368" s="214">
        <f>IF(ISNUMBER(BT313),N(BT306)+BT313,"")</f>
        <v>2779.333</v>
      </c>
      <c r="BU368" s="214">
        <f>IF(ISNUMBER(BU313),N(BU306)+BU313,"")</f>
        <v>2776.163</v>
      </c>
      <c r="BV368" s="214">
        <f>IF(ISNUMBER(BV313),N(BV306)+BV313,"")</f>
        <v>2776.163</v>
      </c>
      <c r="BW368" s="214">
        <f>IF(ISNUMBER(BW313),N(BW306)+BW313,"")</f>
        <v>2774.017</v>
      </c>
      <c r="BX368" s="214">
        <f>IF(ISNUMBER(BX313),N(BX306)+BX313,"")</f>
        <v>2771.927</v>
      </c>
      <c r="BY368" s="34" t="n"/>
      <c r="BZ368" s="34" t="n"/>
      <c r="CA368" s="176">
        <f>CA369+CA375+CA378-CA379</f>
        <v>3365.627</v>
      </c>
      <c r="CB368" s="176">
        <f>CB369+CB375+CB378-CB379</f>
        <v>3353.027</v>
      </c>
      <c r="CC368" s="176">
        <f>CC369+CC375+CC378-CC379</f>
        <v>3366.22754050848</v>
      </c>
      <c r="CD368" s="176">
        <f>CD369+CD375+CD378-CD379</f>
        <v>3642.86112564637</v>
      </c>
      <c r="CE368" s="176">
        <f>CE369+CE375+CE378-CE379</f>
        <v>3910.79878646695</v>
      </c>
      <c r="CF368" s="177" t="inlineStr">
        <is>
          <t>30-Jun-26: $1,253.7m secured term loans due 2032 (1% amortization; $600m swapped to 3.46% to Sep-27) + $300m 5.125% 2029 + $500m 6.375% 2031 + $745m 5.750% 2033 notes; $600m revolver undrawn. Oct-26: + $600m 6.250% 2034 notes.</t>
        </is>
      </c>
    </row>
    <row r="369" hidden="1" outlineLevel="1" ht="15" customHeight="1">
      <c r="B369" s="26" t="inlineStr">
        <is>
          <t xml:space="preserve">  Senior notes outstanding (face, year end)</t>
        </is>
      </c>
      <c r="C369" s="184" t="n"/>
      <c r="D369" s="184" t="n"/>
      <c r="E369" s="184" t="n"/>
      <c r="F369" s="184" t="n"/>
      <c r="G369" s="184" t="n"/>
      <c r="H369" s="184" t="n"/>
      <c r="I369" s="184" t="n"/>
      <c r="J369" s="184" t="n"/>
      <c r="K369" s="184" t="n"/>
      <c r="L369" s="184" t="n"/>
      <c r="M369" s="184" t="n"/>
      <c r="N369" s="184" t="n"/>
      <c r="O369" s="184" t="n"/>
      <c r="P369" s="184" t="n"/>
      <c r="Q369" s="184" t="n"/>
      <c r="R369" s="184" t="n"/>
      <c r="S369" s="184" t="n"/>
      <c r="T369" s="184" t="n"/>
      <c r="U369" s="184" t="n"/>
      <c r="V369" s="184" t="n"/>
      <c r="W369" s="184" t="n"/>
      <c r="X369" s="184" t="n"/>
      <c r="Y369" s="184" t="n"/>
      <c r="Z369" s="184" t="n"/>
      <c r="AA369" s="184" t="n"/>
      <c r="AB369" s="184" t="n"/>
      <c r="AC369" s="184" t="n"/>
      <c r="AD369" s="184" t="n"/>
      <c r="AE369" s="184" t="n"/>
      <c r="AF369" s="184" t="n"/>
      <c r="AG369" s="184" t="n"/>
      <c r="AH369" s="184" t="n"/>
      <c r="AI369" s="184" t="n"/>
      <c r="AJ369" s="184" t="n"/>
      <c r="AK369" s="184" t="n"/>
      <c r="AL369" s="184" t="n"/>
      <c r="AM369" s="184" t="n"/>
      <c r="AN369" s="184" t="n"/>
      <c r="AO369" s="184" t="n"/>
      <c r="AP369" s="184" t="n"/>
      <c r="AQ369" s="184" t="n"/>
      <c r="AR369" s="184" t="n"/>
      <c r="AS369" s="184" t="n"/>
      <c r="AT369" s="184" t="n"/>
      <c r="AU369" s="184" t="n"/>
      <c r="AV369" s="184" t="n"/>
      <c r="AW369" s="184" t="n"/>
      <c r="AX369" s="184" t="n"/>
      <c r="AY369" s="184" t="n"/>
      <c r="AZ369" s="184" t="n"/>
      <c r="BA369" s="184" t="n"/>
      <c r="BB369" s="184" t="n"/>
      <c r="BC369" s="184" t="n"/>
      <c r="BD369" s="184" t="n"/>
      <c r="BE369" s="184" t="n"/>
      <c r="BF369" s="184" t="n"/>
      <c r="BG369" s="184" t="n"/>
      <c r="BH369" s="184" t="n"/>
      <c r="BI369" s="184" t="n"/>
      <c r="BJ369" s="184" t="n"/>
      <c r="BK369" s="184" t="n"/>
      <c r="BL369" s="184" t="n"/>
      <c r="BM369" s="184" t="n"/>
      <c r="BN369" s="184" t="n"/>
      <c r="BO369" s="184" t="n"/>
      <c r="BP369" s="184" t="n"/>
      <c r="BQ369" s="184" t="n"/>
      <c r="BR369" s="184" t="n"/>
      <c r="BS369" s="184" t="n"/>
      <c r="BT369" s="184" t="n"/>
      <c r="BU369" s="184" t="n"/>
      <c r="BV369" s="184" t="n"/>
      <c r="BW369" s="184" t="n"/>
      <c r="BX369" s="185" t="n">
        <v>1545</v>
      </c>
      <c r="BY369" s="168" t="n"/>
      <c r="BZ369" s="168" t="n"/>
      <c r="CA369" s="186">
        <f>BX369+CA370+CA371</f>
        <v>2145</v>
      </c>
      <c r="CB369" s="186">
        <f>CA369+CB371+CB373</f>
        <v>2145</v>
      </c>
      <c r="CC369" s="186">
        <f>CB369+CC371+CC373</f>
        <v>2145</v>
      </c>
      <c r="CD369" s="186">
        <f>CC369+CD371+CD373</f>
        <v>2145</v>
      </c>
      <c r="CE369" s="186">
        <f>CD369+CE371+CE373</f>
        <v>2145</v>
      </c>
      <c r="CF369" s="20" t="n"/>
    </row>
    <row r="370" hidden="1" outlineLevel="1" ht="15" customHeight="1">
      <c r="B370" s="26" t="inlineStr">
        <is>
          <t xml:space="preserve">  New senior notes issued Oct-2026 ($600m 6.250% due 2034)</t>
        </is>
      </c>
      <c r="C370" s="184" t="n"/>
      <c r="D370" s="184" t="n"/>
      <c r="E370" s="184" t="n"/>
      <c r="F370" s="184" t="n"/>
      <c r="G370" s="184" t="n"/>
      <c r="H370" s="184" t="n"/>
      <c r="I370" s="184" t="n"/>
      <c r="J370" s="184" t="n"/>
      <c r="K370" s="184" t="n"/>
      <c r="L370" s="184" t="n"/>
      <c r="M370" s="184" t="n"/>
      <c r="N370" s="184" t="n"/>
      <c r="O370" s="184" t="n"/>
      <c r="P370" s="184" t="n"/>
      <c r="Q370" s="184" t="n"/>
      <c r="R370" s="184" t="n"/>
      <c r="S370" s="184" t="n"/>
      <c r="T370" s="184" t="n"/>
      <c r="U370" s="184" t="n"/>
      <c r="V370" s="184" t="n"/>
      <c r="W370" s="184" t="n"/>
      <c r="X370" s="184" t="n"/>
      <c r="Y370" s="184" t="n"/>
      <c r="Z370" s="184" t="n"/>
      <c r="AA370" s="184" t="n"/>
      <c r="AB370" s="184" t="n"/>
      <c r="AC370" s="184" t="n"/>
      <c r="AD370" s="184" t="n"/>
      <c r="AE370" s="184" t="n"/>
      <c r="AF370" s="184" t="n"/>
      <c r="AG370" s="184" t="n"/>
      <c r="AH370" s="184" t="n"/>
      <c r="AI370" s="184" t="n"/>
      <c r="AJ370" s="184" t="n"/>
      <c r="AK370" s="184" t="n"/>
      <c r="AL370" s="184" t="n"/>
      <c r="AM370" s="184" t="n"/>
      <c r="AN370" s="184" t="n"/>
      <c r="AO370" s="184" t="n"/>
      <c r="AP370" s="184" t="n"/>
      <c r="AQ370" s="184" t="n"/>
      <c r="AR370" s="184" t="n"/>
      <c r="AS370" s="184" t="n"/>
      <c r="AT370" s="184" t="n"/>
      <c r="AU370" s="184" t="n"/>
      <c r="AV370" s="184" t="n"/>
      <c r="AW370" s="184" t="n"/>
      <c r="AX370" s="184" t="n"/>
      <c r="AY370" s="184" t="n"/>
      <c r="AZ370" s="184" t="n"/>
      <c r="BA370" s="184" t="n"/>
      <c r="BB370" s="184" t="n"/>
      <c r="BC370" s="184" t="n"/>
      <c r="BD370" s="184" t="n"/>
      <c r="BE370" s="184" t="n"/>
      <c r="BF370" s="184" t="n"/>
      <c r="BG370" s="184" t="n"/>
      <c r="BH370" s="184" t="n"/>
      <c r="BI370" s="184" t="n"/>
      <c r="BJ370" s="184" t="n"/>
      <c r="BK370" s="184" t="n"/>
      <c r="BL370" s="184" t="n"/>
      <c r="BM370" s="184" t="n"/>
      <c r="BN370" s="184" t="n"/>
      <c r="BO370" s="184" t="n"/>
      <c r="BP370" s="184" t="n"/>
      <c r="BQ370" s="184" t="n"/>
      <c r="BR370" s="184" t="n"/>
      <c r="BS370" s="184" t="n"/>
      <c r="BT370" s="184" t="n"/>
      <c r="BU370" s="184" t="n"/>
      <c r="BV370" s="184" t="n"/>
      <c r="BW370" s="184" t="n"/>
      <c r="BX370" s="184" t="n"/>
      <c r="BY370" s="168" t="n"/>
      <c r="BZ370" s="168" t="n"/>
      <c r="CA370" s="201" t="n">
        <v>600</v>
      </c>
      <c r="CB370" s="168" t="n"/>
      <c r="CC370" s="168" t="n"/>
      <c r="CD370" s="168" t="n"/>
      <c r="CE370" s="168" t="n"/>
      <c r="CF370" s="20" t="n"/>
    </row>
    <row r="371" hidden="1" outlineLevel="1" ht="15" customHeight="1">
      <c r="B371" s="26" t="inlineStr">
        <is>
          <t xml:space="preserve">  Scheduled note maturities (input, negative)</t>
        </is>
      </c>
      <c r="C371" s="184" t="n"/>
      <c r="D371" s="184" t="n"/>
      <c r="E371" s="184" t="n"/>
      <c r="F371" s="184" t="n"/>
      <c r="G371" s="184" t="n"/>
      <c r="H371" s="184" t="n"/>
      <c r="I371" s="184" t="n"/>
      <c r="J371" s="184" t="n"/>
      <c r="K371" s="184" t="n"/>
      <c r="L371" s="184" t="n"/>
      <c r="M371" s="184" t="n"/>
      <c r="N371" s="184" t="n"/>
      <c r="O371" s="184" t="n"/>
      <c r="P371" s="184" t="n"/>
      <c r="Q371" s="184" t="n"/>
      <c r="R371" s="184" t="n"/>
      <c r="S371" s="184" t="n"/>
      <c r="T371" s="184" t="n"/>
      <c r="U371" s="184" t="n"/>
      <c r="V371" s="184" t="n"/>
      <c r="W371" s="184" t="n"/>
      <c r="X371" s="184" t="n"/>
      <c r="Y371" s="184" t="n"/>
      <c r="Z371" s="184" t="n"/>
      <c r="AA371" s="184" t="n"/>
      <c r="AB371" s="184" t="n"/>
      <c r="AC371" s="184" t="n"/>
      <c r="AD371" s="184" t="n"/>
      <c r="AE371" s="184" t="n"/>
      <c r="AF371" s="184" t="n"/>
      <c r="AG371" s="184" t="n"/>
      <c r="AH371" s="184" t="n"/>
      <c r="AI371" s="184" t="n"/>
      <c r="AJ371" s="184" t="n"/>
      <c r="AK371" s="184" t="n"/>
      <c r="AL371" s="184" t="n"/>
      <c r="AM371" s="184" t="n"/>
      <c r="AN371" s="184" t="n"/>
      <c r="AO371" s="184" t="n"/>
      <c r="AP371" s="184" t="n"/>
      <c r="AQ371" s="184" t="n"/>
      <c r="AR371" s="184" t="n"/>
      <c r="AS371" s="184" t="n"/>
      <c r="AT371" s="184" t="n"/>
      <c r="AU371" s="184" t="n"/>
      <c r="AV371" s="184" t="n"/>
      <c r="AW371" s="184" t="n"/>
      <c r="AX371" s="184" t="n"/>
      <c r="AY371" s="184" t="n"/>
      <c r="AZ371" s="184" t="n"/>
      <c r="BA371" s="184" t="n"/>
      <c r="BB371" s="184" t="n"/>
      <c r="BC371" s="184" t="n"/>
      <c r="BD371" s="184" t="n"/>
      <c r="BE371" s="184" t="n"/>
      <c r="BF371" s="184" t="n"/>
      <c r="BG371" s="184" t="n"/>
      <c r="BH371" s="184" t="n"/>
      <c r="BI371" s="184" t="n"/>
      <c r="BJ371" s="184" t="n"/>
      <c r="BK371" s="184" t="n"/>
      <c r="BL371" s="184" t="n"/>
      <c r="BM371" s="184" t="n"/>
      <c r="BN371" s="184" t="n"/>
      <c r="BO371" s="184" t="n"/>
      <c r="BP371" s="184" t="n"/>
      <c r="BQ371" s="184" t="n"/>
      <c r="BR371" s="184" t="n"/>
      <c r="BS371" s="184" t="n"/>
      <c r="BT371" s="184" t="n"/>
      <c r="BU371" s="184" t="n"/>
      <c r="BV371" s="184" t="n"/>
      <c r="BW371" s="184" t="n"/>
      <c r="BX371" s="184" t="n"/>
      <c r="BY371" s="168" t="n"/>
      <c r="BZ371" s="168" t="n"/>
      <c r="CA371" s="201" t="n">
        <v>0</v>
      </c>
      <c r="CB371" s="201" t="n">
        <v>0</v>
      </c>
      <c r="CC371" s="201" t="n">
        <v>0</v>
      </c>
      <c r="CD371" s="201" t="n">
        <v>-300</v>
      </c>
      <c r="CE371" s="201" t="n">
        <v>0</v>
      </c>
      <c r="CF371" s="20" t="inlineStr">
        <is>
          <t>2029: 5.125% notes ($300m, Jul-2029); 2031: 6.375% ($500m); 2033: 5.750% ($745m); 2034: 6.250% ($600m).</t>
        </is>
      </c>
    </row>
    <row r="372" hidden="1" outlineLevel="1" ht="15" customHeight="1">
      <c r="B372" s="26" t="inlineStr">
        <is>
          <t xml:space="preserve">  % of scheduled maturities refinanced (input)</t>
        </is>
      </c>
      <c r="C372" s="181" t="n"/>
      <c r="D372" s="181" t="n"/>
      <c r="E372" s="181" t="n"/>
      <c r="F372" s="181" t="n"/>
      <c r="G372" s="181" t="n"/>
      <c r="H372" s="181" t="n"/>
      <c r="I372" s="181" t="n"/>
      <c r="J372" s="181" t="n"/>
      <c r="K372" s="181" t="n"/>
      <c r="L372" s="181" t="n"/>
      <c r="M372" s="181" t="n"/>
      <c r="N372" s="181" t="n"/>
      <c r="O372" s="181" t="n"/>
      <c r="P372" s="181" t="n"/>
      <c r="Q372" s="181" t="n"/>
      <c r="R372" s="181" t="n"/>
      <c r="S372" s="181" t="n"/>
      <c r="T372" s="181" t="n"/>
      <c r="U372" s="181" t="n"/>
      <c r="V372" s="181" t="n"/>
      <c r="W372" s="181" t="n"/>
      <c r="X372" s="181" t="n"/>
      <c r="Y372" s="181" t="n"/>
      <c r="Z372" s="181" t="n"/>
      <c r="AA372" s="181" t="n"/>
      <c r="AB372" s="181" t="n"/>
      <c r="AC372" s="181" t="n"/>
      <c r="AD372" s="181" t="n"/>
      <c r="AE372" s="181" t="n"/>
      <c r="AF372" s="181" t="n"/>
      <c r="AG372" s="181" t="n"/>
      <c r="AH372" s="181" t="n"/>
      <c r="AI372" s="181" t="n"/>
      <c r="AJ372" s="181" t="n"/>
      <c r="AK372" s="181" t="n"/>
      <c r="AL372" s="181" t="n"/>
      <c r="AM372" s="181" t="n"/>
      <c r="AN372" s="181" t="n"/>
      <c r="AO372" s="181" t="n"/>
      <c r="AP372" s="181" t="n"/>
      <c r="AQ372" s="181" t="n"/>
      <c r="AR372" s="181" t="n"/>
      <c r="AS372" s="181" t="n"/>
      <c r="AT372" s="181" t="n"/>
      <c r="AU372" s="181" t="n"/>
      <c r="AV372" s="181" t="n"/>
      <c r="AW372" s="181" t="n"/>
      <c r="AX372" s="181" t="n"/>
      <c r="AY372" s="181" t="n"/>
      <c r="AZ372" s="181" t="n"/>
      <c r="BA372" s="181" t="n"/>
      <c r="BB372" s="181" t="n"/>
      <c r="BC372" s="181" t="n"/>
      <c r="BD372" s="181" t="n"/>
      <c r="BE372" s="181" t="n"/>
      <c r="BF372" s="181" t="n"/>
      <c r="BG372" s="181" t="n"/>
      <c r="BH372" s="181" t="n"/>
      <c r="BI372" s="181" t="n"/>
      <c r="BJ372" s="181" t="n"/>
      <c r="BK372" s="181" t="n"/>
      <c r="BL372" s="181" t="n"/>
      <c r="BM372" s="181" t="n"/>
      <c r="BN372" s="181" t="n"/>
      <c r="BO372" s="181" t="n"/>
      <c r="BP372" s="181" t="n"/>
      <c r="BQ372" s="181" t="n"/>
      <c r="BR372" s="181" t="n"/>
      <c r="BS372" s="181" t="n"/>
      <c r="BT372" s="181" t="n"/>
      <c r="BU372" s="181" t="n"/>
      <c r="BV372" s="181" t="n"/>
      <c r="BW372" s="181" t="n"/>
      <c r="BX372" s="181" t="n"/>
      <c r="BY372" s="169" t="n"/>
      <c r="BZ372" s="169" t="n"/>
      <c r="CA372" s="169" t="n"/>
      <c r="CB372" s="179">
        <f>1</f>
        <v>1</v>
      </c>
      <c r="CC372" s="179">
        <f>1</f>
        <v>1</v>
      </c>
      <c r="CD372" s="179">
        <f>1</f>
        <v>1</v>
      </c>
      <c r="CE372" s="179">
        <f>1</f>
        <v>1</v>
      </c>
      <c r="CF372" s="20" t="n"/>
    </row>
    <row r="373" hidden="1" outlineLevel="1" ht="15" customHeight="1">
      <c r="B373" s="26" t="inlineStr">
        <is>
          <t xml:space="preserve">  Refinancing issuance</t>
        </is>
      </c>
      <c r="C373" s="184" t="n"/>
      <c r="D373" s="184" t="n"/>
      <c r="E373" s="184" t="n"/>
      <c r="F373" s="184" t="n"/>
      <c r="G373" s="184" t="n"/>
      <c r="H373" s="184" t="n"/>
      <c r="I373" s="184" t="n"/>
      <c r="J373" s="184" t="n"/>
      <c r="K373" s="184" t="n"/>
      <c r="L373" s="184" t="n"/>
      <c r="M373" s="184" t="n"/>
      <c r="N373" s="184" t="n"/>
      <c r="O373" s="184" t="n"/>
      <c r="P373" s="184" t="n"/>
      <c r="Q373" s="184" t="n"/>
      <c r="R373" s="184" t="n"/>
      <c r="S373" s="184" t="n"/>
      <c r="T373" s="184" t="n"/>
      <c r="U373" s="184" t="n"/>
      <c r="V373" s="184" t="n"/>
      <c r="W373" s="184" t="n"/>
      <c r="X373" s="184" t="n"/>
      <c r="Y373" s="184" t="n"/>
      <c r="Z373" s="184" t="n"/>
      <c r="AA373" s="184" t="n"/>
      <c r="AB373" s="184" t="n"/>
      <c r="AC373" s="184" t="n"/>
      <c r="AD373" s="184" t="n"/>
      <c r="AE373" s="184" t="n"/>
      <c r="AF373" s="184" t="n"/>
      <c r="AG373" s="184" t="n"/>
      <c r="AH373" s="184" t="n"/>
      <c r="AI373" s="184" t="n"/>
      <c r="AJ373" s="184" t="n"/>
      <c r="AK373" s="184" t="n"/>
      <c r="AL373" s="184" t="n"/>
      <c r="AM373" s="184" t="n"/>
      <c r="AN373" s="184" t="n"/>
      <c r="AO373" s="184" t="n"/>
      <c r="AP373" s="184" t="n"/>
      <c r="AQ373" s="184" t="n"/>
      <c r="AR373" s="184" t="n"/>
      <c r="AS373" s="184" t="n"/>
      <c r="AT373" s="184" t="n"/>
      <c r="AU373" s="184" t="n"/>
      <c r="AV373" s="184" t="n"/>
      <c r="AW373" s="184" t="n"/>
      <c r="AX373" s="184" t="n"/>
      <c r="AY373" s="184" t="n"/>
      <c r="AZ373" s="184" t="n"/>
      <c r="BA373" s="184" t="n"/>
      <c r="BB373" s="184" t="n"/>
      <c r="BC373" s="184" t="n"/>
      <c r="BD373" s="184" t="n"/>
      <c r="BE373" s="184" t="n"/>
      <c r="BF373" s="184" t="n"/>
      <c r="BG373" s="184" t="n"/>
      <c r="BH373" s="184" t="n"/>
      <c r="BI373" s="184" t="n"/>
      <c r="BJ373" s="184" t="n"/>
      <c r="BK373" s="184" t="n"/>
      <c r="BL373" s="184" t="n"/>
      <c r="BM373" s="184" t="n"/>
      <c r="BN373" s="184" t="n"/>
      <c r="BO373" s="184" t="n"/>
      <c r="BP373" s="184" t="n"/>
      <c r="BQ373" s="184" t="n"/>
      <c r="BR373" s="184" t="n"/>
      <c r="BS373" s="184" t="n"/>
      <c r="BT373" s="184" t="n"/>
      <c r="BU373" s="184" t="n"/>
      <c r="BV373" s="184" t="n"/>
      <c r="BW373" s="184" t="n"/>
      <c r="BX373" s="184" t="n"/>
      <c r="BY373" s="168" t="n"/>
      <c r="BZ373" s="168" t="n"/>
      <c r="CA373" s="168" t="n"/>
      <c r="CB373" s="186">
        <f>-CB371*CB372</f>
        <v>0</v>
      </c>
      <c r="CC373" s="186">
        <f>-CC371*CC372</f>
        <v>0</v>
      </c>
      <c r="CD373" s="186">
        <f>-CD371*CD372</f>
        <v>300</v>
      </c>
      <c r="CE373" s="186">
        <f>-CE371*CE372</f>
        <v>0</v>
      </c>
      <c r="CF373" s="20" t="n"/>
    </row>
    <row r="374" hidden="1" outlineLevel="1" ht="15" customHeight="1">
      <c r="B374" s="26" t="inlineStr">
        <is>
          <t xml:space="preserve">  Term-loan scheduled amortization (1% p.a.)</t>
        </is>
      </c>
      <c r="C374" s="199" t="n"/>
      <c r="D374" s="199" t="n"/>
      <c r="E374" s="199" t="n"/>
      <c r="F374" s="199" t="n"/>
      <c r="G374" s="199" t="n"/>
      <c r="H374" s="199" t="n"/>
      <c r="I374" s="199" t="n"/>
      <c r="J374" s="199" t="n"/>
      <c r="K374" s="199" t="n"/>
      <c r="L374" s="199" t="n"/>
      <c r="M374" s="199" t="n"/>
      <c r="N374" s="199" t="n"/>
      <c r="O374" s="199" t="n"/>
      <c r="P374" s="199" t="n"/>
      <c r="Q374" s="199" t="n"/>
      <c r="R374" s="199" t="n"/>
      <c r="S374" s="199" t="n"/>
      <c r="T374" s="199" t="n"/>
      <c r="U374" s="199" t="n"/>
      <c r="V374" s="199" t="n"/>
      <c r="W374" s="199" t="n"/>
      <c r="X374" s="199" t="n"/>
      <c r="Y374" s="199" t="n"/>
      <c r="Z374" s="199" t="n"/>
      <c r="AA374" s="199" t="n"/>
      <c r="AB374" s="199" t="n"/>
      <c r="AC374" s="199" t="n"/>
      <c r="AD374" s="199" t="n"/>
      <c r="AE374" s="199" t="n"/>
      <c r="AF374" s="199" t="n"/>
      <c r="AG374" s="199" t="n"/>
      <c r="AH374" s="199" t="n"/>
      <c r="AI374" s="199" t="n"/>
      <c r="AJ374" s="199" t="n"/>
      <c r="AK374" s="199" t="n"/>
      <c r="AL374" s="199" t="n"/>
      <c r="AM374" s="199" t="n"/>
      <c r="AN374" s="199" t="n"/>
      <c r="AO374" s="199" t="n"/>
      <c r="AP374" s="199" t="n"/>
      <c r="AQ374" s="199" t="n"/>
      <c r="AR374" s="199" t="n"/>
      <c r="AS374" s="199" t="n"/>
      <c r="AT374" s="199" t="n"/>
      <c r="AU374" s="199" t="n"/>
      <c r="AV374" s="199" t="n"/>
      <c r="AW374" s="199" t="n"/>
      <c r="AX374" s="199" t="n"/>
      <c r="AY374" s="199" t="n"/>
      <c r="AZ374" s="199" t="n"/>
      <c r="BA374" s="199" t="n"/>
      <c r="BB374" s="199" t="n"/>
      <c r="BC374" s="199" t="n"/>
      <c r="BD374" s="199" t="n"/>
      <c r="BE374" s="199" t="n"/>
      <c r="BF374" s="199" t="n"/>
      <c r="BG374" s="199" t="n"/>
      <c r="BH374" s="199" t="n"/>
      <c r="BI374" s="199" t="n"/>
      <c r="BJ374" s="199" t="n"/>
      <c r="BK374" s="199" t="n"/>
      <c r="BL374" s="199" t="n"/>
      <c r="BM374" s="199" t="n"/>
      <c r="BN374" s="199" t="n"/>
      <c r="BO374" s="199" t="n"/>
      <c r="BP374" s="199" t="n"/>
      <c r="BQ374" s="199" t="n"/>
      <c r="BR374" s="199" t="n"/>
      <c r="BS374" s="199" t="n"/>
      <c r="BT374" s="199" t="n"/>
      <c r="BU374" s="199" t="n"/>
      <c r="BV374" s="199" t="n"/>
      <c r="BW374" s="199" t="n"/>
      <c r="BX374" s="199" t="n"/>
      <c r="BY374" s="240" t="n"/>
      <c r="BZ374" s="240" t="n"/>
      <c r="CA374" s="215" t="n">
        <v>-6.3</v>
      </c>
      <c r="CB374" s="216">
        <f>-12.6</f>
        <v>-12.6</v>
      </c>
      <c r="CC374" s="216">
        <f>-12.6</f>
        <v>-12.6</v>
      </c>
      <c r="CD374" s="216">
        <f>-12.6</f>
        <v>-12.6</v>
      </c>
      <c r="CE374" s="216">
        <f>-12.6</f>
        <v>-12.6</v>
      </c>
      <c r="CF374" s="20" t="inlineStr">
        <is>
          <t>2026E: 2H/26 only (1H/26 −$6.3m in the actuals).</t>
        </is>
      </c>
    </row>
    <row r="375" hidden="1" outlineLevel="1" ht="15" customHeight="1">
      <c r="B375" s="26" t="inlineStr">
        <is>
          <t xml:space="preserve">  Secured senior term loans due 2032 (face)</t>
        </is>
      </c>
      <c r="C375" s="184" t="n"/>
      <c r="D375" s="184" t="n"/>
      <c r="E375" s="184" t="n"/>
      <c r="F375" s="184" t="n"/>
      <c r="G375" s="184" t="n"/>
      <c r="H375" s="184" t="n"/>
      <c r="I375" s="184" t="n"/>
      <c r="J375" s="184" t="n"/>
      <c r="K375" s="184" t="n"/>
      <c r="L375" s="184" t="n"/>
      <c r="M375" s="184" t="n"/>
      <c r="N375" s="184" t="n"/>
      <c r="O375" s="184" t="n"/>
      <c r="P375" s="184" t="n"/>
      <c r="Q375" s="184" t="n"/>
      <c r="R375" s="184" t="n"/>
      <c r="S375" s="184" t="n"/>
      <c r="T375" s="184" t="n"/>
      <c r="U375" s="184" t="n"/>
      <c r="V375" s="184" t="n"/>
      <c r="W375" s="184" t="n"/>
      <c r="X375" s="184" t="n"/>
      <c r="Y375" s="184" t="n"/>
      <c r="Z375" s="184" t="n"/>
      <c r="AA375" s="184" t="n"/>
      <c r="AB375" s="184" t="n"/>
      <c r="AC375" s="184" t="n"/>
      <c r="AD375" s="184" t="n"/>
      <c r="AE375" s="184" t="n"/>
      <c r="AF375" s="184" t="n"/>
      <c r="AG375" s="184" t="n"/>
      <c r="AH375" s="184" t="n"/>
      <c r="AI375" s="184" t="n"/>
      <c r="AJ375" s="184" t="n"/>
      <c r="AK375" s="184" t="n"/>
      <c r="AL375" s="184" t="n"/>
      <c r="AM375" s="184" t="n"/>
      <c r="AN375" s="184" t="n"/>
      <c r="AO375" s="184" t="n"/>
      <c r="AP375" s="184" t="n"/>
      <c r="AQ375" s="184" t="n"/>
      <c r="AR375" s="184" t="n"/>
      <c r="AS375" s="184" t="n"/>
      <c r="AT375" s="184" t="n"/>
      <c r="AU375" s="184" t="n"/>
      <c r="AV375" s="184" t="n"/>
      <c r="AW375" s="184" t="n"/>
      <c r="AX375" s="184" t="n"/>
      <c r="AY375" s="184" t="n"/>
      <c r="AZ375" s="184" t="n"/>
      <c r="BA375" s="184" t="n"/>
      <c r="BB375" s="184" t="n"/>
      <c r="BC375" s="184" t="n"/>
      <c r="BD375" s="184" t="n"/>
      <c r="BE375" s="184" t="n"/>
      <c r="BF375" s="184" t="n"/>
      <c r="BG375" s="184" t="n"/>
      <c r="BH375" s="184" t="n"/>
      <c r="BI375" s="184" t="n"/>
      <c r="BJ375" s="184" t="n"/>
      <c r="BK375" s="184" t="n"/>
      <c r="BL375" s="184" t="n"/>
      <c r="BM375" s="184" t="n"/>
      <c r="BN375" s="184" t="n"/>
      <c r="BO375" s="184" t="n"/>
      <c r="BP375" s="184" t="n"/>
      <c r="BQ375" s="184" t="n"/>
      <c r="BR375" s="184" t="n"/>
      <c r="BS375" s="184" t="n"/>
      <c r="BT375" s="184" t="n"/>
      <c r="BU375" s="184" t="n"/>
      <c r="BV375" s="184" t="n"/>
      <c r="BW375" s="184" t="n"/>
      <c r="BX375" s="185" t="n">
        <v>1253.7</v>
      </c>
      <c r="BY375" s="168" t="n"/>
      <c r="BZ375" s="168" t="n"/>
      <c r="CA375" s="186">
        <f>BX375+CA374</f>
        <v>1247.4</v>
      </c>
      <c r="CB375" s="186">
        <f>CA375+CB374</f>
        <v>1234.8</v>
      </c>
      <c r="CC375" s="186">
        <f>CB375+CC374</f>
        <v>1222.2</v>
      </c>
      <c r="CD375" s="186">
        <f>CC375+CD374</f>
        <v>1209.6</v>
      </c>
      <c r="CE375" s="186">
        <f>CD375+CE374</f>
        <v>1197</v>
      </c>
      <c r="CF375" s="20" t="n"/>
    </row>
    <row r="376" hidden="1" outlineLevel="1" ht="15" customHeight="1">
      <c r="B376" s="26" t="inlineStr">
        <is>
          <t xml:space="preserve">  Cash before revolver (opening cash + CFO + CFI + non-revolver financing)</t>
        </is>
      </c>
      <c r="C376" s="184" t="n"/>
      <c r="D376" s="184" t="n"/>
      <c r="E376" s="184" t="n"/>
      <c r="F376" s="184" t="n"/>
      <c r="G376" s="184" t="n"/>
      <c r="H376" s="184" t="n"/>
      <c r="I376" s="184" t="n"/>
      <c r="J376" s="184" t="n"/>
      <c r="K376" s="184" t="n"/>
      <c r="L376" s="184" t="n"/>
      <c r="M376" s="184" t="n"/>
      <c r="N376" s="184" t="n"/>
      <c r="O376" s="184" t="n"/>
      <c r="P376" s="184" t="n"/>
      <c r="Q376" s="184" t="n"/>
      <c r="R376" s="184" t="n"/>
      <c r="S376" s="184" t="n"/>
      <c r="T376" s="184" t="n"/>
      <c r="U376" s="184" t="n"/>
      <c r="V376" s="184" t="n"/>
      <c r="W376" s="184" t="n"/>
      <c r="X376" s="184" t="n"/>
      <c r="Y376" s="184" t="n"/>
      <c r="Z376" s="184" t="n"/>
      <c r="AA376" s="184" t="n"/>
      <c r="AB376" s="184" t="n"/>
      <c r="AC376" s="184" t="n"/>
      <c r="AD376" s="184" t="n"/>
      <c r="AE376" s="184" t="n"/>
      <c r="AF376" s="184" t="n"/>
      <c r="AG376" s="184" t="n"/>
      <c r="AH376" s="184" t="n"/>
      <c r="AI376" s="184" t="n"/>
      <c r="AJ376" s="184" t="n"/>
      <c r="AK376" s="184" t="n"/>
      <c r="AL376" s="184" t="n"/>
      <c r="AM376" s="184" t="n"/>
      <c r="AN376" s="184" t="n"/>
      <c r="AO376" s="184" t="n"/>
      <c r="AP376" s="184" t="n"/>
      <c r="AQ376" s="184" t="n"/>
      <c r="AR376" s="184" t="n"/>
      <c r="AS376" s="184" t="n"/>
      <c r="AT376" s="184" t="n"/>
      <c r="AU376" s="184" t="n"/>
      <c r="AV376" s="184" t="n"/>
      <c r="AW376" s="184" t="n"/>
      <c r="AX376" s="184" t="n"/>
      <c r="AY376" s="184" t="n"/>
      <c r="AZ376" s="184" t="n"/>
      <c r="BA376" s="184" t="n"/>
      <c r="BB376" s="184" t="n"/>
      <c r="BC376" s="184" t="n"/>
      <c r="BD376" s="184" t="n"/>
      <c r="BE376" s="184" t="n"/>
      <c r="BF376" s="184" t="n"/>
      <c r="BG376" s="184" t="n"/>
      <c r="BH376" s="184" t="n"/>
      <c r="BI376" s="184" t="n"/>
      <c r="BJ376" s="184" t="n"/>
      <c r="BK376" s="184" t="n"/>
      <c r="BL376" s="184" t="n"/>
      <c r="BM376" s="184" t="n"/>
      <c r="BN376" s="184" t="n"/>
      <c r="BO376" s="184" t="n"/>
      <c r="BP376" s="184" t="n"/>
      <c r="BQ376" s="184" t="n"/>
      <c r="BR376" s="184" t="n"/>
      <c r="BS376" s="184" t="n"/>
      <c r="BT376" s="184" t="n"/>
      <c r="BU376" s="184" t="n"/>
      <c r="BV376" s="184" t="n"/>
      <c r="BW376" s="184" t="n"/>
      <c r="BX376" s="184" t="n"/>
      <c r="BY376" s="168" t="n"/>
      <c r="BZ376" s="168" t="n"/>
      <c r="CA376" s="186">
        <f>CA266+CA250+CA256+CA259+CA260+CA261+CA262+CA264+(BW257+BX257)+(BW258+BX258)+CA370+CA374+CA371</f>
        <v>546.954718105709</v>
      </c>
      <c r="CB376" s="186">
        <f>CB266+CB250+CB256+CB259+CB260+CB261+CB262+CB264+CB371+CB373+CB374</f>
        <v>531.822401087225</v>
      </c>
      <c r="CC376" s="186">
        <f>CC266+CC250+CC256+CC259+CC260+CC261+CC262+CC264+CC371+CC373+CC374</f>
        <v>224.199459491521</v>
      </c>
      <c r="CD376" s="186">
        <f>CD266+CD250+CD256+CD259+CD260+CD261+CD262+CD264+CD371+CD373+CD374</f>
        <v>-39.23358513789</v>
      </c>
      <c r="CE376" s="186">
        <f>CE266+CE250+CE256+CE259+CE260+CE261+CE262+CE264+CE371+CE373+CE374</f>
        <v>-30.5376608205804</v>
      </c>
      <c r="CF376" s="20" t="n"/>
    </row>
    <row r="377" hidden="1" outlineLevel="1" ht="15" customHeight="1">
      <c r="B377" s="26" t="inlineStr">
        <is>
          <t xml:space="preserve">  Minimum cash balance</t>
        </is>
      </c>
      <c r="C377" s="184" t="n"/>
      <c r="D377" s="184" t="n"/>
      <c r="E377" s="184" t="n"/>
      <c r="F377" s="184" t="n"/>
      <c r="G377" s="184" t="n"/>
      <c r="H377" s="184" t="n"/>
      <c r="I377" s="184" t="n"/>
      <c r="J377" s="184" t="n"/>
      <c r="K377" s="184" t="n"/>
      <c r="L377" s="184" t="n"/>
      <c r="M377" s="184" t="n"/>
      <c r="N377" s="184" t="n"/>
      <c r="O377" s="184" t="n"/>
      <c r="P377" s="184" t="n"/>
      <c r="Q377" s="184" t="n"/>
      <c r="R377" s="184" t="n"/>
      <c r="S377" s="184" t="n"/>
      <c r="T377" s="184" t="n"/>
      <c r="U377" s="184" t="n"/>
      <c r="V377" s="184" t="n"/>
      <c r="W377" s="184" t="n"/>
      <c r="X377" s="184" t="n"/>
      <c r="Y377" s="184" t="n"/>
      <c r="Z377" s="184" t="n"/>
      <c r="AA377" s="184" t="n"/>
      <c r="AB377" s="184" t="n"/>
      <c r="AC377" s="184" t="n"/>
      <c r="AD377" s="184" t="n"/>
      <c r="AE377" s="184" t="n"/>
      <c r="AF377" s="184" t="n"/>
      <c r="AG377" s="184" t="n"/>
      <c r="AH377" s="184" t="n"/>
      <c r="AI377" s="184" t="n"/>
      <c r="AJ377" s="184" t="n"/>
      <c r="AK377" s="184" t="n"/>
      <c r="AL377" s="184" t="n"/>
      <c r="AM377" s="184" t="n"/>
      <c r="AN377" s="184" t="n"/>
      <c r="AO377" s="184" t="n"/>
      <c r="AP377" s="184" t="n"/>
      <c r="AQ377" s="184" t="n"/>
      <c r="AR377" s="184" t="n"/>
      <c r="AS377" s="184" t="n"/>
      <c r="AT377" s="184" t="n"/>
      <c r="AU377" s="184" t="n"/>
      <c r="AV377" s="184" t="n"/>
      <c r="AW377" s="184" t="n"/>
      <c r="AX377" s="184" t="n"/>
      <c r="AY377" s="184" t="n"/>
      <c r="AZ377" s="184" t="n"/>
      <c r="BA377" s="184" t="n"/>
      <c r="BB377" s="184" t="n"/>
      <c r="BC377" s="184" t="n"/>
      <c r="BD377" s="184" t="n"/>
      <c r="BE377" s="184" t="n"/>
      <c r="BF377" s="184" t="n"/>
      <c r="BG377" s="184" t="n"/>
      <c r="BH377" s="184" t="n"/>
      <c r="BI377" s="184" t="n"/>
      <c r="BJ377" s="184" t="n"/>
      <c r="BK377" s="184" t="n"/>
      <c r="BL377" s="184" t="n"/>
      <c r="BM377" s="184" t="n"/>
      <c r="BN377" s="184" t="n"/>
      <c r="BO377" s="184" t="n"/>
      <c r="BP377" s="184" t="n"/>
      <c r="BQ377" s="184" t="n"/>
      <c r="BR377" s="184" t="n"/>
      <c r="BS377" s="184" t="n"/>
      <c r="BT377" s="184" t="n"/>
      <c r="BU377" s="184" t="n"/>
      <c r="BV377" s="184" t="n"/>
      <c r="BW377" s="184" t="n"/>
      <c r="BX377" s="184" t="n"/>
      <c r="BY377" s="168" t="n"/>
      <c r="BZ377" s="168" t="n"/>
      <c r="CA377" s="186">
        <f>250</f>
        <v>250</v>
      </c>
      <c r="CB377" s="186">
        <f>250</f>
        <v>250</v>
      </c>
      <c r="CC377" s="186">
        <f>250</f>
        <v>250</v>
      </c>
      <c r="CD377" s="186">
        <f>250</f>
        <v>250</v>
      </c>
      <c r="CE377" s="186">
        <f>250</f>
        <v>250</v>
      </c>
      <c r="CF377" s="20" t="n"/>
    </row>
    <row r="378" hidden="1" outlineLevel="1" ht="15" customHeight="1">
      <c r="B378" s="26" t="inlineStr">
        <is>
          <t xml:space="preserve">  Revolver / incremental term debt (prepayable plug to minimum cash; $600m revolver)</t>
        </is>
      </c>
      <c r="C378" s="184" t="n"/>
      <c r="D378" s="184" t="n"/>
      <c r="E378" s="184" t="n"/>
      <c r="F378" s="184" t="n"/>
      <c r="G378" s="184" t="n"/>
      <c r="H378" s="184" t="n"/>
      <c r="I378" s="184" t="n"/>
      <c r="J378" s="184" t="n"/>
      <c r="K378" s="184" t="n"/>
      <c r="L378" s="184" t="n"/>
      <c r="M378" s="184" t="n"/>
      <c r="N378" s="184" t="n"/>
      <c r="O378" s="184" t="n"/>
      <c r="P378" s="184" t="n"/>
      <c r="Q378" s="184" t="n"/>
      <c r="R378" s="184" t="n"/>
      <c r="S378" s="184" t="n"/>
      <c r="T378" s="184" t="n"/>
      <c r="U378" s="184" t="n"/>
      <c r="V378" s="184" t="n"/>
      <c r="W378" s="184" t="n"/>
      <c r="X378" s="184" t="n"/>
      <c r="Y378" s="184" t="n"/>
      <c r="Z378" s="184" t="n"/>
      <c r="AA378" s="184" t="n"/>
      <c r="AB378" s="184" t="n"/>
      <c r="AC378" s="184" t="n"/>
      <c r="AD378" s="184" t="n"/>
      <c r="AE378" s="184" t="n"/>
      <c r="AF378" s="184" t="n"/>
      <c r="AG378" s="184" t="n"/>
      <c r="AH378" s="184" t="n"/>
      <c r="AI378" s="184" t="n"/>
      <c r="AJ378" s="184" t="n"/>
      <c r="AK378" s="184" t="n"/>
      <c r="AL378" s="184" t="n"/>
      <c r="AM378" s="184" t="n"/>
      <c r="AN378" s="184" t="n"/>
      <c r="AO378" s="184" t="n"/>
      <c r="AP378" s="184" t="n"/>
      <c r="AQ378" s="184" t="n"/>
      <c r="AR378" s="184" t="n"/>
      <c r="AS378" s="184" t="n"/>
      <c r="AT378" s="184" t="n"/>
      <c r="AU378" s="184" t="n"/>
      <c r="AV378" s="184" t="n"/>
      <c r="AW378" s="184" t="n"/>
      <c r="AX378" s="184" t="n"/>
      <c r="AY378" s="184" t="n"/>
      <c r="AZ378" s="184" t="n"/>
      <c r="BA378" s="184" t="n"/>
      <c r="BB378" s="184" t="n"/>
      <c r="BC378" s="184" t="n"/>
      <c r="BD378" s="184" t="n"/>
      <c r="BE378" s="184" t="n"/>
      <c r="BF378" s="184" t="n"/>
      <c r="BG378" s="184" t="n"/>
      <c r="BH378" s="184" t="n"/>
      <c r="BI378" s="184" t="n"/>
      <c r="BJ378" s="184" t="n"/>
      <c r="BK378" s="184" t="n"/>
      <c r="BL378" s="184" t="n"/>
      <c r="BM378" s="184" t="n"/>
      <c r="BN378" s="184" t="n"/>
      <c r="BO378" s="184" t="n"/>
      <c r="BP378" s="184" t="n"/>
      <c r="BQ378" s="184" t="n"/>
      <c r="BR378" s="184" t="n"/>
      <c r="BS378" s="184" t="n"/>
      <c r="BT378" s="184" t="n"/>
      <c r="BU378" s="184" t="n"/>
      <c r="BV378" s="184" t="n"/>
      <c r="BW378" s="184" t="n"/>
      <c r="BX378" s="185" t="n">
        <v>0</v>
      </c>
      <c r="BY378" s="168" t="n"/>
      <c r="BZ378" s="168" t="n"/>
      <c r="CA378" s="186">
        <f>MAX(0,BX378+CA377-CA376)</f>
        <v>0</v>
      </c>
      <c r="CB378" s="186">
        <f>MAX(0,CA378+CB377-CB376)</f>
        <v>0</v>
      </c>
      <c r="CC378" s="186">
        <f>MAX(0,CB378+CC377-CC376)</f>
        <v>25.8005405084793</v>
      </c>
      <c r="CD378" s="186">
        <f>MAX(0,CC378+CD377-CD376)</f>
        <v>315.034125646369</v>
      </c>
      <c r="CE378" s="186">
        <f>MAX(0,CD378+CE377-CE376)</f>
        <v>595.57178646695</v>
      </c>
      <c r="CF378" s="20" t="inlineStr">
        <is>
          <t>Drawn so that cash ≥ minimum balance; surplus cash first repays the revolver, then accumulates. Draws above the $600m revolver assumed refinanced as incremental term debt at the same rate.</t>
        </is>
      </c>
    </row>
    <row r="379" hidden="1" outlineLevel="1" ht="15" customHeight="1">
      <c r="B379" s="26" t="inlineStr">
        <is>
          <t xml:space="preserve">  Unamortized issuance costs &amp; discount (held constant)</t>
        </is>
      </c>
      <c r="C379" s="199" t="n"/>
      <c r="D379" s="199" t="n"/>
      <c r="E379" s="199" t="n"/>
      <c r="F379" s="199" t="n"/>
      <c r="G379" s="199" t="n"/>
      <c r="H379" s="199" t="n"/>
      <c r="I379" s="199" t="n"/>
      <c r="J379" s="199" t="n"/>
      <c r="K379" s="199" t="n"/>
      <c r="L379" s="199" t="n"/>
      <c r="M379" s="199" t="n"/>
      <c r="N379" s="199" t="n"/>
      <c r="O379" s="199" t="n"/>
      <c r="P379" s="199" t="n"/>
      <c r="Q379" s="199" t="n"/>
      <c r="R379" s="199" t="n"/>
      <c r="S379" s="199" t="n"/>
      <c r="T379" s="199" t="n"/>
      <c r="U379" s="199" t="n"/>
      <c r="V379" s="199" t="n"/>
      <c r="W379" s="199" t="n"/>
      <c r="X379" s="199" t="n"/>
      <c r="Y379" s="199" t="n"/>
      <c r="Z379" s="199" t="n"/>
      <c r="AA379" s="199" t="n"/>
      <c r="AB379" s="199" t="n"/>
      <c r="AC379" s="199" t="n"/>
      <c r="AD379" s="199" t="n"/>
      <c r="AE379" s="199" t="n"/>
      <c r="AF379" s="199" t="n"/>
      <c r="AG379" s="199" t="n"/>
      <c r="AH379" s="199" t="n"/>
      <c r="AI379" s="199" t="n"/>
      <c r="AJ379" s="199" t="n"/>
      <c r="AK379" s="199" t="n"/>
      <c r="AL379" s="199" t="n"/>
      <c r="AM379" s="199" t="n"/>
      <c r="AN379" s="199" t="n"/>
      <c r="AO379" s="199" t="n"/>
      <c r="AP379" s="199" t="n"/>
      <c r="AQ379" s="199" t="n"/>
      <c r="AR379" s="199" t="n"/>
      <c r="AS379" s="199" t="n"/>
      <c r="AT379" s="199" t="n"/>
      <c r="AU379" s="199" t="n"/>
      <c r="AV379" s="199" t="n"/>
      <c r="AW379" s="199" t="n"/>
      <c r="AX379" s="199" t="n"/>
      <c r="AY379" s="199" t="n"/>
      <c r="AZ379" s="199" t="n"/>
      <c r="BA379" s="199" t="n"/>
      <c r="BB379" s="199" t="n"/>
      <c r="BC379" s="199" t="n"/>
      <c r="BD379" s="199" t="n"/>
      <c r="BE379" s="199" t="n"/>
      <c r="BF379" s="199" t="n"/>
      <c r="BG379" s="199" t="n"/>
      <c r="BH379" s="199" t="n"/>
      <c r="BI379" s="199" t="n"/>
      <c r="BJ379" s="199" t="n"/>
      <c r="BK379" s="199" t="n"/>
      <c r="BL379" s="199" t="n"/>
      <c r="BM379" s="199" t="n"/>
      <c r="BN379" s="199" t="n"/>
      <c r="BO379" s="199" t="n"/>
      <c r="BP379" s="199" t="n"/>
      <c r="BQ379" s="199" t="n"/>
      <c r="BR379" s="199" t="n"/>
      <c r="BS379" s="199" t="n"/>
      <c r="BT379" s="199" t="n"/>
      <c r="BU379" s="199" t="n"/>
      <c r="BV379" s="199" t="n"/>
      <c r="BW379" s="199" t="n"/>
      <c r="BX379" s="188">
        <f>BX369+BX375+BX378-BX368</f>
        <v>26.7729999999997</v>
      </c>
      <c r="BY379" s="240" t="n"/>
      <c r="BZ379" s="240" t="n"/>
      <c r="CA379" s="216">
        <f>$BX$379</f>
        <v>26.7729999999997</v>
      </c>
      <c r="CB379" s="216">
        <f>$BX$379</f>
        <v>26.7729999999997</v>
      </c>
      <c r="CC379" s="216">
        <f>$BX$379</f>
        <v>26.7729999999997</v>
      </c>
      <c r="CD379" s="216">
        <f>$BX$379</f>
        <v>26.7729999999997</v>
      </c>
      <c r="CE379" s="216">
        <f>$BX$379</f>
        <v>26.7729999999997</v>
      </c>
      <c r="CF379" s="20" t="n"/>
    </row>
    <row r="380" hidden="1" outlineLevel="1" ht="15" customHeight="1">
      <c r="B380" s="26" t="inlineStr">
        <is>
          <t xml:space="preserve">  Net issuance / (repayment)</t>
        </is>
      </c>
      <c r="C380" s="184" t="n"/>
      <c r="D380" s="212">
        <f>IFERROR(D368-C368,"")</f>
        <v>-1.078</v>
      </c>
      <c r="E380" s="212">
        <f>IFERROR(E368-D368,"")</f>
        <v>-69.853</v>
      </c>
      <c r="F380" s="212">
        <f>IFERROR(F368-E368,"")</f>
        <v>247.641</v>
      </c>
      <c r="G380" s="212">
        <f>IFERROR(G368-F368,"")</f>
        <v>-22.471</v>
      </c>
      <c r="H380" s="212">
        <f>IFERROR(H368-G368,"")</f>
        <v>260.088</v>
      </c>
      <c r="I380" s="212">
        <f>IFERROR(I368-H368,"")</f>
        <v>869.083</v>
      </c>
      <c r="J380" s="184" t="n"/>
      <c r="K380" s="184" t="n"/>
      <c r="L380" s="184" t="n"/>
      <c r="M380" s="184" t="n"/>
      <c r="N380" s="212">
        <f>IFERROR(N368-I368,"")</f>
        <v>-5.20700000000011</v>
      </c>
      <c r="O380" s="212">
        <f>IFERROR(O368-J368,"")</f>
        <v>-4.44200000000001</v>
      </c>
      <c r="P380" s="212">
        <f>IFERROR(P368-K368,"")</f>
        <v>-8.52700000000004</v>
      </c>
      <c r="Q380" s="212">
        <f>IFERROR(Q368-L368,"")</f>
        <v>-7.64500000000021</v>
      </c>
      <c r="R380" s="212">
        <f>IFERROR(R368-M368,"")</f>
        <v>-7.22799999999984</v>
      </c>
      <c r="S380" s="212">
        <f>IFERROR(S368-N368,"")</f>
        <v>-7.22799999999984</v>
      </c>
      <c r="T380" s="212">
        <f>IFERROR(T368-O368,"")</f>
        <v>-6.91599999999994</v>
      </c>
      <c r="U380" s="212">
        <f>IFERROR(U368-P368,"")</f>
        <v>-1.49099999999999</v>
      </c>
      <c r="V380" s="212">
        <f>IFERROR(V368-Q368,"")</f>
        <v>-0.985999999999876</v>
      </c>
      <c r="W380" s="212">
        <f>IFERROR(W368-R368,"")</f>
        <v>-12.9930000000002</v>
      </c>
      <c r="X380" s="212">
        <f>IFERROR(X368-S368,"")</f>
        <v>-12.9930000000002</v>
      </c>
      <c r="Y380" s="212">
        <f>IFERROR(Y368-T368,"")</f>
        <v>236.487</v>
      </c>
      <c r="Z380" s="212">
        <f>IFERROR(Z368-U368,"")</f>
        <v>236.836</v>
      </c>
      <c r="AA380" s="212">
        <f>IFERROR(AA368-V368,"")</f>
        <v>237.566</v>
      </c>
      <c r="AB380" s="212">
        <f>IFERROR(AB368-W368,"")</f>
        <v>250.729</v>
      </c>
      <c r="AC380" s="212">
        <f>IFERROR(AC368-X368,"")</f>
        <v>250.729</v>
      </c>
      <c r="AD380" s="212">
        <f>IFERROR(AD368-Y368,"")</f>
        <v>2.36500000000001</v>
      </c>
      <c r="AE380" s="212">
        <f>IFERROR(AE368-Z368,"")</f>
        <v>102.422</v>
      </c>
      <c r="AF380" s="212">
        <f>IFERROR(AF368-AA368,"")</f>
        <v>-2.60599999999999</v>
      </c>
      <c r="AG380" s="212">
        <f>IFERROR(AG368-AB368,"")</f>
        <v>-3.7349999999999</v>
      </c>
      <c r="AH380" s="212">
        <f>IFERROR(AH368-AC368,"")</f>
        <v>-3.7349999999999</v>
      </c>
      <c r="AI380" s="212">
        <f>IFERROR(AI368-AD368,"")</f>
        <v>-4.70900000000006</v>
      </c>
      <c r="AJ380" s="212">
        <f>IFERROR(AJ368-AE368,"")</f>
        <v>-105.576</v>
      </c>
      <c r="AK380" s="212">
        <f>IFERROR(AK368-AF368,"")</f>
        <v>-6.27999999999997</v>
      </c>
      <c r="AL380" s="212">
        <f>IFERROR(AL368-AG368,"")</f>
        <v>-56.981</v>
      </c>
      <c r="AM380" s="212">
        <f>IFERROR(AM368-AH368,"")</f>
        <v>-56.981</v>
      </c>
      <c r="AN380" s="212">
        <f>IFERROR(AN368-AI368,"")</f>
        <v>-57.7189999999998</v>
      </c>
      <c r="AO380" s="212">
        <f>IFERROR(AO368-AJ368,"")</f>
        <v>-58.203</v>
      </c>
      <c r="AP380" s="212">
        <f>IFERROR(AP368-AK368,"")</f>
        <v>-60.8989999999999</v>
      </c>
      <c r="AQ380" s="212">
        <f>IFERROR(AQ368-AL368,"")</f>
        <v>-10.905</v>
      </c>
      <c r="AR380" s="212">
        <f>IFERROR(AR368-AM368,"")</f>
        <v>-10.905</v>
      </c>
      <c r="AS380" s="212">
        <f>IFERROR(AS368-AN368,"")</f>
        <v>138.987</v>
      </c>
      <c r="AT380" s="212">
        <f>IFERROR(AT368-AO368,"")</f>
        <v>63.8820000000001</v>
      </c>
      <c r="AU380" s="212">
        <f>IFERROR(AU368-AP368,"")</f>
        <v>-4.50099999999998</v>
      </c>
      <c r="AV380" s="212">
        <f>IFERROR(AV368-AQ368,"")</f>
        <v>-4.47499999999991</v>
      </c>
      <c r="AW380" s="212">
        <f>IFERROR(AW368-AR368,"")</f>
        <v>-4.47499999999991</v>
      </c>
      <c r="AX380" s="212">
        <f>IFERROR(AX368-AS368,"")</f>
        <v>-154.475</v>
      </c>
      <c r="AY380" s="212">
        <f>IFERROR(AY368-AT368,"")</f>
        <v>-79.4730000000002</v>
      </c>
      <c r="AZ380" s="212">
        <f>IFERROR(AZ368-AU368,"")</f>
        <v>-4.47199999999998</v>
      </c>
      <c r="BA380" s="212">
        <f>IFERROR(BA368-AV368,"")</f>
        <v>977.383</v>
      </c>
      <c r="BB380" s="212">
        <f>IFERROR(BB368-AW368,"")</f>
        <v>977.383</v>
      </c>
      <c r="BC380" s="212">
        <f>IFERROR(BC368-AX368,"")</f>
        <v>975.427</v>
      </c>
      <c r="BD380" s="212">
        <f>IFERROR(BD368-AY368,"")</f>
        <v>973.565</v>
      </c>
      <c r="BE380" s="212">
        <f>IFERROR(BE368-AZ368,"")</f>
        <v>971.662</v>
      </c>
      <c r="BF380" s="212">
        <f>IFERROR(BF368-BA368,"")</f>
        <v>-109.731</v>
      </c>
      <c r="BG380" s="212">
        <f>IFERROR(BG368-BB368,"")</f>
        <v>-109.731</v>
      </c>
      <c r="BH380" s="212">
        <f>IFERROR(BH368-BC368,"")</f>
        <v>-111.825</v>
      </c>
      <c r="BI380" s="212">
        <f>IFERROR(BI368-BD368,"")</f>
        <v>-224.192</v>
      </c>
      <c r="BJ380" s="212">
        <f>IFERROR(BJ368-BE368,"")</f>
        <v>-222.529</v>
      </c>
      <c r="BK380" s="212">
        <f>IFERROR(BK368-BF368,"")</f>
        <v>-123.111</v>
      </c>
      <c r="BL380" s="212">
        <f>IFERROR(BL368-BG368,"")</f>
        <v>-123.111</v>
      </c>
      <c r="BM380" s="212">
        <f>IFERROR(BM368-BH368,"")</f>
        <v>374.072</v>
      </c>
      <c r="BN380" s="212">
        <f>IFERROR(BN368-BI368,"")</f>
        <v>486.633</v>
      </c>
      <c r="BO380" s="212">
        <f>IFERROR(BO368-BJ368,"")</f>
        <v>485.809</v>
      </c>
      <c r="BP380" s="212">
        <f>IFERROR(BP368-BK368,"")</f>
        <v>484.502</v>
      </c>
      <c r="BQ380" s="212">
        <f>IFERROR(BQ368-BL368,"")</f>
        <v>484.502</v>
      </c>
      <c r="BR380" s="212">
        <f>IFERROR(BR368-BM368,"")</f>
        <v>-9.80899999999974</v>
      </c>
      <c r="BS380" s="212">
        <f>IFERROR(BS368-BN368,"")</f>
        <v>-9.30699999999979</v>
      </c>
      <c r="BT380" s="212">
        <f>IFERROR(BT368-BO368,"")</f>
        <v>-9.42799999999988</v>
      </c>
      <c r="BU380" s="212">
        <f>IFERROR(BU368-BP368,"")</f>
        <v>-10.056</v>
      </c>
      <c r="BV380" s="212">
        <f>IFERROR(BV368-BQ368,"")</f>
        <v>-10.056</v>
      </c>
      <c r="BW380" s="212">
        <f>IFERROR(BW368-BR368,"")</f>
        <v>-9.90000000000009</v>
      </c>
      <c r="BX380" s="212">
        <f>IFERROR(BX368-BS368,"")</f>
        <v>-9.70499999999993</v>
      </c>
      <c r="BY380" s="168" t="n"/>
      <c r="BZ380" s="168" t="n"/>
      <c r="CA380" s="186">
        <f>IFERROR(CA368-BV368,"")</f>
        <v>589.464</v>
      </c>
      <c r="CB380" s="186">
        <f>IFERROR(CB368-CA368,"")</f>
        <v>-12.5999999999999</v>
      </c>
      <c r="CC380" s="186">
        <f>IFERROR(CC368-CB368,"")</f>
        <v>13.2005405084792</v>
      </c>
      <c r="CD380" s="186">
        <f>IFERROR(CD368-CC368,"")</f>
        <v>276.63358513789</v>
      </c>
      <c r="CE380" s="186">
        <f>IFERROR(CE368-CD368,"")</f>
        <v>267.937660820581</v>
      </c>
      <c r="CF380" s="20" t="n"/>
    </row>
    <row r="381" hidden="1" outlineLevel="1" ht="15" customHeight="1">
      <c r="B381" s="26" t="inlineStr">
        <is>
          <t xml:space="preserve">  Interest rate on senior notes (opening balance) %</t>
        </is>
      </c>
      <c r="C381" s="181" t="n"/>
      <c r="D381" s="190">
        <f>IF(AND(ISNUMBER(D151),ISNUMBER(C368)),IFERROR(-D151/C368,""),"")</f>
        <v>0.105626961890158</v>
      </c>
      <c r="E381" s="190">
        <f>IF(AND(ISNUMBER(E151),ISNUMBER(D368)),IFERROR(-E151/D368,""),"")</f>
        <v>0.0680498530162047</v>
      </c>
      <c r="F381" s="190">
        <f>IF(AND(ISNUMBER(F151),ISNUMBER(E368)),IFERROR(-F151/E368,""),"")</f>
        <v>0.298321834793959</v>
      </c>
      <c r="G381" s="190">
        <f>IF(AND(ISNUMBER(G151),ISNUMBER(F368)),IFERROR(-G151/F368,""),"")</f>
        <v>0.0927271459914827</v>
      </c>
      <c r="H381" s="190">
        <f>IF(AND(ISNUMBER(H151),ISNUMBER(G368)),IFERROR(-H151/G368,""),"")</f>
        <v>0.141280487804878</v>
      </c>
      <c r="I381" s="190">
        <f>IF(AND(ISNUMBER(I151),ISNUMBER(H368)),IFERROR(-I151/H368,""),"")</f>
        <v>0.0877492169059248</v>
      </c>
      <c r="J381" s="181" t="n"/>
      <c r="K381" s="181" t="n"/>
      <c r="L381" s="181" t="n"/>
      <c r="M381" s="181" t="n"/>
      <c r="N381" s="190">
        <f>IF(AND(ISNUMBER(N151),ISNUMBER(I368)),IFERROR(-N151/I368,""),"")</f>
        <v>0.0556659192554392</v>
      </c>
      <c r="O381" s="181" t="n"/>
      <c r="P381" s="181" t="n"/>
      <c r="Q381" s="181" t="n"/>
      <c r="R381" s="181" t="n"/>
      <c r="S381" s="190">
        <f>IF(AND(ISNUMBER(S151),ISNUMBER(N368)),IFERROR(-S151/N368,""),"")</f>
        <v>0.0553678309394881</v>
      </c>
      <c r="T381" s="181" t="n"/>
      <c r="U381" s="181" t="n"/>
      <c r="V381" s="181" t="n"/>
      <c r="W381" s="181" t="n"/>
      <c r="X381" s="190">
        <f>IF(AND(ISNUMBER(X151),ISNUMBER(S368)),IFERROR(-X151/S368,""),"")</f>
        <v>0.054855625365451</v>
      </c>
      <c r="Y381" s="181" t="n"/>
      <c r="Z381" s="181" t="n"/>
      <c r="AA381" s="181" t="n"/>
      <c r="AB381" s="181" t="n"/>
      <c r="AC381" s="190">
        <f>IF(AND(ISNUMBER(AC151),ISNUMBER(X368)),IFERROR(-AC151/X368,""),"")</f>
        <v>0.0604140341385404</v>
      </c>
      <c r="AD381" s="181" t="n"/>
      <c r="AE381" s="181" t="n"/>
      <c r="AF381" s="181" t="n"/>
      <c r="AG381" s="181" t="n"/>
      <c r="AH381" s="190">
        <f>IF(AND(ISNUMBER(AH151),ISNUMBER(AC368)),IFERROR(-AH151/AC368,""),"")</f>
        <v>0.0525374830401795</v>
      </c>
      <c r="AI381" s="181" t="n"/>
      <c r="AJ381" s="181" t="n"/>
      <c r="AK381" s="181" t="n"/>
      <c r="AL381" s="181" t="n"/>
      <c r="AM381" s="190">
        <f>IF(AND(ISNUMBER(AM151),ISNUMBER(AH368)),IFERROR(-AM151/AH368,""),"")</f>
        <v>0.0497650559637492</v>
      </c>
      <c r="AN381" s="181" t="n"/>
      <c r="AO381" s="181" t="n"/>
      <c r="AP381" s="181" t="n"/>
      <c r="AQ381" s="181" t="n"/>
      <c r="AR381" s="190">
        <f>IF(AND(ISNUMBER(AR151),ISNUMBER(AM368)),IFERROR(-AR151/AM368,""),"")</f>
        <v>0.0500268352923521</v>
      </c>
      <c r="AS381" s="181" t="n"/>
      <c r="AT381" s="181" t="n"/>
      <c r="AU381" s="181" t="n"/>
      <c r="AV381" s="181" t="n"/>
      <c r="AW381" s="190">
        <f>IF(AND(ISNUMBER(AW151),ISNUMBER(AR368)),IFERROR(-AW151/AR368,""),"")</f>
        <v>0.0468222413330507</v>
      </c>
      <c r="AX381" s="181" t="n"/>
      <c r="AY381" s="181" t="n"/>
      <c r="AZ381" s="181" t="n"/>
      <c r="BA381" s="181" t="n"/>
      <c r="BB381" s="190">
        <f>IF(AND(ISNUMBER(BB151),ISNUMBER(AW368)),IFERROR(-BB151/AW368,""),"")</f>
        <v>0.0498704064280467</v>
      </c>
      <c r="BC381" s="181" t="n"/>
      <c r="BD381" s="181" t="n"/>
      <c r="BE381" s="181" t="n"/>
      <c r="BF381" s="181" t="n"/>
      <c r="BG381" s="190">
        <f>IF(AND(ISNUMBER(BG151),ISNUMBER(BB368)),IFERROR(-BG151/BB368,""),"")</f>
        <v>0.0424780011039396</v>
      </c>
      <c r="BH381" s="181" t="n"/>
      <c r="BI381" s="181" t="n"/>
      <c r="BJ381" s="181" t="n"/>
      <c r="BK381" s="181" t="n"/>
      <c r="BL381" s="190">
        <f>IF(AND(ISNUMBER(BL151),ISNUMBER(BG368)),IFERROR(-BL151/BG368,""),"")</f>
        <v>0.0447846197750933</v>
      </c>
      <c r="BM381" s="181" t="n"/>
      <c r="BN381" s="181" t="n"/>
      <c r="BO381" s="181" t="n"/>
      <c r="BP381" s="181" t="n"/>
      <c r="BQ381" s="190">
        <f>IF(AND(ISNUMBER(BQ151),ISNUMBER(BL368)),IFERROR(-BQ151/BL368,""),"")</f>
        <v>0.0586362267820067</v>
      </c>
      <c r="BR381" s="181" t="n"/>
      <c r="BS381" s="181" t="n"/>
      <c r="BT381" s="181" t="n"/>
      <c r="BU381" s="181" t="n"/>
      <c r="BV381" s="190">
        <f>IF(AND(ISNUMBER(BV151),ISNUMBER(BQ368)),IFERROR(-BV151/BQ368,""),"")</f>
        <v>0.0513613610416123</v>
      </c>
      <c r="BW381" s="181" t="n"/>
      <c r="BX381" s="181" t="n"/>
      <c r="BY381" s="169" t="n"/>
      <c r="BZ381" s="169" t="n"/>
      <c r="CA381" s="169" t="n"/>
      <c r="CB381" s="179">
        <f>(300*5.125%+500*6.375%+745*5.75%+600*6.25%)/2145</f>
        <v>0.059481351981352</v>
      </c>
      <c r="CC381" s="179">
        <f>(300*5.125%+500*6.375%+745*5.75%+600*6.25%)/2145</f>
        <v>0.059481351981352</v>
      </c>
      <c r="CD381" s="179">
        <f>(300*5.125%+500*6.375%+745*5.75%+600*6.25%)/2145</f>
        <v>0.059481351981352</v>
      </c>
      <c r="CE381" s="179">
        <f>(300*5.125%+500*6.375%+745*5.75%+600*6.25%)/2145</f>
        <v>0.059481351981352</v>
      </c>
      <c r="CF381" s="20" t="inlineStr">
        <is>
          <t>Historical row = net interest / opening total debt. Forecast: blended coupon of the 2029/2031/2033/2034 notes (5.94%).</t>
        </is>
      </c>
    </row>
    <row r="382" hidden="1" outlineLevel="1" ht="15" customHeight="1">
      <c r="B382" s="26" t="inlineStr">
        <is>
          <t xml:space="preserve">  Interest rate on term loan &amp; revolver %</t>
        </is>
      </c>
      <c r="C382" s="181" t="n"/>
      <c r="D382" s="181" t="n"/>
      <c r="E382" s="181" t="n"/>
      <c r="F382" s="181" t="n"/>
      <c r="G382" s="181" t="n"/>
      <c r="H382" s="181" t="n"/>
      <c r="I382" s="181" t="n"/>
      <c r="J382" s="181" t="n"/>
      <c r="K382" s="181" t="n"/>
      <c r="L382" s="181" t="n"/>
      <c r="M382" s="181" t="n"/>
      <c r="N382" s="181" t="n"/>
      <c r="O382" s="181" t="n"/>
      <c r="P382" s="181" t="n"/>
      <c r="Q382" s="181" t="n"/>
      <c r="R382" s="181" t="n"/>
      <c r="S382" s="181" t="n"/>
      <c r="T382" s="181" t="n"/>
      <c r="U382" s="181" t="n"/>
      <c r="V382" s="181" t="n"/>
      <c r="W382" s="181" t="n"/>
      <c r="X382" s="181" t="n"/>
      <c r="Y382" s="181" t="n"/>
      <c r="Z382" s="181" t="n"/>
      <c r="AA382" s="181" t="n"/>
      <c r="AB382" s="181" t="n"/>
      <c r="AC382" s="181" t="n"/>
      <c r="AD382" s="181" t="n"/>
      <c r="AE382" s="181" t="n"/>
      <c r="AF382" s="181" t="n"/>
      <c r="AG382" s="181" t="n"/>
      <c r="AH382" s="181" t="n"/>
      <c r="AI382" s="181" t="n"/>
      <c r="AJ382" s="181" t="n"/>
      <c r="AK382" s="181" t="n"/>
      <c r="AL382" s="181" t="n"/>
      <c r="AM382" s="181" t="n"/>
      <c r="AN382" s="181" t="n"/>
      <c r="AO382" s="181" t="n"/>
      <c r="AP382" s="181" t="n"/>
      <c r="AQ382" s="181" t="n"/>
      <c r="AR382" s="181" t="n"/>
      <c r="AS382" s="181" t="n"/>
      <c r="AT382" s="181" t="n"/>
      <c r="AU382" s="181" t="n"/>
      <c r="AV382" s="181" t="n"/>
      <c r="AW382" s="181" t="n"/>
      <c r="AX382" s="181" t="n"/>
      <c r="AY382" s="181" t="n"/>
      <c r="AZ382" s="181" t="n"/>
      <c r="BA382" s="181" t="n"/>
      <c r="BB382" s="181" t="n"/>
      <c r="BC382" s="181" t="n"/>
      <c r="BD382" s="181" t="n"/>
      <c r="BE382" s="181" t="n"/>
      <c r="BF382" s="181" t="n"/>
      <c r="BG382" s="181" t="n"/>
      <c r="BH382" s="181" t="n"/>
      <c r="BI382" s="181" t="n"/>
      <c r="BJ382" s="181" t="n"/>
      <c r="BK382" s="181" t="n"/>
      <c r="BL382" s="181" t="n"/>
      <c r="BM382" s="181" t="n"/>
      <c r="BN382" s="181" t="n"/>
      <c r="BO382" s="181" t="n"/>
      <c r="BP382" s="181" t="n"/>
      <c r="BQ382" s="181" t="n"/>
      <c r="BR382" s="181" t="n"/>
      <c r="BS382" s="181" t="n"/>
      <c r="BT382" s="181" t="n"/>
      <c r="BU382" s="181" t="n"/>
      <c r="BV382" s="181" t="n"/>
      <c r="BW382" s="181" t="n"/>
      <c r="BX382" s="181" t="n"/>
      <c r="BY382" s="169" t="n"/>
      <c r="BZ382" s="169" t="n"/>
      <c r="CA382" s="169" t="n"/>
      <c r="CB382" s="179">
        <f>0.055</f>
        <v>0.055</v>
      </c>
      <c r="CC382" s="179">
        <f>0.058</f>
        <v>0.058</v>
      </c>
      <c r="CD382" s="179">
        <f>0.058</f>
        <v>0.058</v>
      </c>
      <c r="CE382" s="179">
        <f>0.058</f>
        <v>0.058</v>
      </c>
      <c r="CF382" s="20" t="inlineStr">
        <is>
          <t>Term SOFR + ~1.75%; $600m swapped at 3.46% until Sep-2027 (blended ~5.5% in 2027).</t>
        </is>
      </c>
    </row>
    <row r="383" hidden="1" outlineLevel="1" ht="15" customHeight="1">
      <c r="B383" s="26" t="inlineStr">
        <is>
          <t xml:space="preserve">  Interest income yield on opening cash &amp; marketable securities %</t>
        </is>
      </c>
      <c r="C383" s="181" t="n"/>
      <c r="D383" s="181" t="n"/>
      <c r="E383" s="181" t="n"/>
      <c r="F383" s="181" t="n"/>
      <c r="G383" s="181" t="n"/>
      <c r="H383" s="181" t="n"/>
      <c r="I383" s="181" t="n"/>
      <c r="J383" s="181" t="n"/>
      <c r="K383" s="181" t="n"/>
      <c r="L383" s="181" t="n"/>
      <c r="M383" s="181" t="n"/>
      <c r="N383" s="181" t="n"/>
      <c r="O383" s="181" t="n"/>
      <c r="P383" s="181" t="n"/>
      <c r="Q383" s="181" t="n"/>
      <c r="R383" s="181" t="n"/>
      <c r="S383" s="181" t="n"/>
      <c r="T383" s="181" t="n"/>
      <c r="U383" s="181" t="n"/>
      <c r="V383" s="181" t="n"/>
      <c r="W383" s="181" t="n"/>
      <c r="X383" s="181" t="n"/>
      <c r="Y383" s="181" t="n"/>
      <c r="Z383" s="181" t="n"/>
      <c r="AA383" s="181" t="n"/>
      <c r="AB383" s="181" t="n"/>
      <c r="AC383" s="181" t="n"/>
      <c r="AD383" s="181" t="n"/>
      <c r="AE383" s="181" t="n"/>
      <c r="AF383" s="181" t="n"/>
      <c r="AG383" s="181" t="n"/>
      <c r="AH383" s="181" t="n"/>
      <c r="AI383" s="181" t="n"/>
      <c r="AJ383" s="181" t="n"/>
      <c r="AK383" s="181" t="n"/>
      <c r="AL383" s="181" t="n"/>
      <c r="AM383" s="181" t="n"/>
      <c r="AN383" s="181" t="n"/>
      <c r="AO383" s="181" t="n"/>
      <c r="AP383" s="181" t="n"/>
      <c r="AQ383" s="181" t="n"/>
      <c r="AR383" s="181" t="n"/>
      <c r="AS383" s="181" t="n"/>
      <c r="AT383" s="181" t="n"/>
      <c r="AU383" s="181" t="n"/>
      <c r="AV383" s="181" t="n"/>
      <c r="AW383" s="181" t="n"/>
      <c r="AX383" s="181" t="n"/>
      <c r="AY383" s="181" t="n"/>
      <c r="AZ383" s="181" t="n"/>
      <c r="BA383" s="181" t="n"/>
      <c r="BB383" s="181" t="n"/>
      <c r="BC383" s="181" t="n"/>
      <c r="BD383" s="181" t="n"/>
      <c r="BE383" s="181" t="n"/>
      <c r="BF383" s="181" t="n"/>
      <c r="BG383" s="181" t="n"/>
      <c r="BH383" s="181" t="n"/>
      <c r="BI383" s="181" t="n"/>
      <c r="BJ383" s="181" t="n"/>
      <c r="BK383" s="181" t="n"/>
      <c r="BL383" s="181" t="n"/>
      <c r="BM383" s="181" t="n"/>
      <c r="BN383" s="181" t="n"/>
      <c r="BO383" s="181" t="n"/>
      <c r="BP383" s="181" t="n"/>
      <c r="BQ383" s="181" t="n"/>
      <c r="BR383" s="181" t="n"/>
      <c r="BS383" s="181" t="n"/>
      <c r="BT383" s="181" t="n"/>
      <c r="BU383" s="181" t="n"/>
      <c r="BV383" s="181" t="n"/>
      <c r="BW383" s="181" t="n"/>
      <c r="BX383" s="181" t="n"/>
      <c r="BY383" s="169" t="n"/>
      <c r="BZ383" s="169" t="n"/>
      <c r="CA383" s="169" t="n"/>
      <c r="CB383" s="179">
        <f>0.035</f>
        <v>0.035</v>
      </c>
      <c r="CC383" s="179">
        <f>0.035</f>
        <v>0.035</v>
      </c>
      <c r="CD383" s="179">
        <f>0.035</f>
        <v>0.035</v>
      </c>
      <c r="CE383" s="179">
        <f>0.035</f>
        <v>0.035</v>
      </c>
      <c r="CF383" s="20" t="n"/>
    </row>
    <row r="384" hidden="1" outlineLevel="1" ht="15" customHeight="1">
      <c r="B384" s="139" t="inlineStr">
        <is>
          <t>Leverage-targeted buybacks (repurchases = max(minimum programme, plug to a minimum net debt / Adjusted EBITDA))</t>
        </is>
      </c>
      <c r="C384" s="139" t="n"/>
      <c r="D384" s="139" t="n"/>
      <c r="E384" s="139" t="n"/>
      <c r="F384" s="139" t="n"/>
      <c r="G384" s="139" t="n"/>
      <c r="H384" s="139" t="n"/>
      <c r="I384" s="139" t="n"/>
      <c r="J384" s="139" t="n"/>
      <c r="K384" s="139" t="n"/>
      <c r="L384" s="139" t="n"/>
      <c r="M384" s="139" t="n"/>
      <c r="N384" s="139" t="n"/>
      <c r="O384" s="139" t="n"/>
      <c r="P384" s="139" t="n"/>
      <c r="Q384" s="139" t="n"/>
      <c r="R384" s="139" t="n"/>
      <c r="S384" s="139" t="n"/>
      <c r="T384" s="139" t="n"/>
      <c r="U384" s="139" t="n"/>
      <c r="V384" s="139" t="n"/>
      <c r="W384" s="139" t="n"/>
      <c r="X384" s="139" t="n"/>
      <c r="Y384" s="139" t="n"/>
      <c r="Z384" s="139" t="n"/>
      <c r="AA384" s="139" t="n"/>
      <c r="AB384" s="139" t="n"/>
      <c r="AC384" s="139" t="n"/>
      <c r="AD384" s="139" t="n"/>
      <c r="AE384" s="139" t="n"/>
      <c r="AF384" s="139" t="n"/>
      <c r="AG384" s="139" t="n"/>
      <c r="AH384" s="139" t="n"/>
      <c r="AI384" s="139" t="n"/>
      <c r="AJ384" s="139" t="n"/>
      <c r="AK384" s="139" t="n"/>
      <c r="AL384" s="139" t="n"/>
      <c r="AM384" s="139" t="n"/>
      <c r="AN384" s="139" t="n"/>
      <c r="AO384" s="139" t="n"/>
      <c r="AP384" s="139" t="n"/>
      <c r="AQ384" s="139" t="n"/>
      <c r="AR384" s="139" t="n"/>
      <c r="AS384" s="139" t="n"/>
      <c r="AT384" s="139" t="n"/>
      <c r="AU384" s="139" t="n"/>
      <c r="AV384" s="139" t="n"/>
      <c r="AW384" s="139" t="n"/>
      <c r="AX384" s="139" t="n"/>
      <c r="AY384" s="139" t="n"/>
      <c r="AZ384" s="139" t="n"/>
      <c r="BA384" s="139" t="n"/>
      <c r="BB384" s="139" t="n"/>
      <c r="BC384" s="139" t="n"/>
      <c r="BD384" s="139" t="n"/>
      <c r="BE384" s="139" t="n"/>
      <c r="BF384" s="139" t="n"/>
      <c r="BG384" s="139" t="n"/>
      <c r="BH384" s="139" t="n"/>
      <c r="BI384" s="139" t="n"/>
      <c r="BJ384" s="139" t="n"/>
      <c r="BK384" s="139" t="n"/>
      <c r="BL384" s="139" t="n"/>
      <c r="BM384" s="139" t="n"/>
      <c r="BN384" s="139" t="n"/>
      <c r="BO384" s="139" t="n"/>
      <c r="BP384" s="139" t="n"/>
      <c r="BQ384" s="139" t="n"/>
      <c r="BR384" s="139" t="n"/>
      <c r="BS384" s="139" t="n"/>
      <c r="BT384" s="139" t="n"/>
      <c r="BU384" s="139" t="n"/>
      <c r="BV384" s="139" t="n"/>
      <c r="BW384" s="139" t="n"/>
      <c r="BX384" s="139" t="n"/>
      <c r="BY384" s="139" t="n"/>
      <c r="BZ384" s="139" t="n"/>
      <c r="CA384" s="139" t="n"/>
      <c r="CB384" s="139" t="n"/>
      <c r="CC384" s="139" t="n"/>
      <c r="CD384" s="139" t="n"/>
      <c r="CE384" s="139" t="n"/>
      <c r="CF384" s="139" t="n"/>
    </row>
    <row r="385" hidden="1" outlineLevel="1" ht="15" customHeight="1">
      <c r="B385" s="26" t="inlineStr">
        <is>
          <t xml:space="preserve">  Minimum net debt / Adjusted EBITDA (x) (scenario)</t>
        </is>
      </c>
      <c r="C385" s="204" t="n"/>
      <c r="D385" s="204" t="n"/>
      <c r="E385" s="204" t="n"/>
      <c r="F385" s="204" t="n"/>
      <c r="G385" s="204" t="n"/>
      <c r="H385" s="204" t="n"/>
      <c r="I385" s="204" t="n"/>
      <c r="J385" s="204" t="n"/>
      <c r="K385" s="204" t="n"/>
      <c r="L385" s="204" t="n"/>
      <c r="M385" s="204" t="n"/>
      <c r="N385" s="204" t="n"/>
      <c r="O385" s="204" t="n"/>
      <c r="P385" s="204" t="n"/>
      <c r="Q385" s="204" t="n"/>
      <c r="R385" s="204" t="n"/>
      <c r="S385" s="204" t="n"/>
      <c r="T385" s="204" t="n"/>
      <c r="U385" s="204" t="n"/>
      <c r="V385" s="204" t="n"/>
      <c r="W385" s="204" t="n"/>
      <c r="X385" s="204" t="n"/>
      <c r="Y385" s="204" t="n"/>
      <c r="Z385" s="204" t="n"/>
      <c r="AA385" s="204" t="n"/>
      <c r="AB385" s="204" t="n"/>
      <c r="AC385" s="204" t="n"/>
      <c r="AD385" s="204" t="n"/>
      <c r="AE385" s="204" t="n"/>
      <c r="AF385" s="204" t="n"/>
      <c r="AG385" s="204" t="n"/>
      <c r="AH385" s="204" t="n"/>
      <c r="AI385" s="204" t="n"/>
      <c r="AJ385" s="204" t="n"/>
      <c r="AK385" s="204" t="n"/>
      <c r="AL385" s="204" t="n"/>
      <c r="AM385" s="204" t="n"/>
      <c r="AN385" s="204" t="n"/>
      <c r="AO385" s="204" t="n"/>
      <c r="AP385" s="204" t="n"/>
      <c r="AQ385" s="204" t="n"/>
      <c r="AR385" s="204" t="n"/>
      <c r="AS385" s="204" t="n"/>
      <c r="AT385" s="204" t="n"/>
      <c r="AU385" s="204" t="n"/>
      <c r="AV385" s="204" t="n"/>
      <c r="AW385" s="204" t="n"/>
      <c r="AX385" s="204" t="n"/>
      <c r="AY385" s="204" t="n"/>
      <c r="AZ385" s="204" t="n"/>
      <c r="BA385" s="204" t="n"/>
      <c r="BB385" s="204" t="n"/>
      <c r="BC385" s="204" t="n"/>
      <c r="BD385" s="204" t="n"/>
      <c r="BE385" s="204" t="n"/>
      <c r="BF385" s="204" t="n"/>
      <c r="BG385" s="204" t="n"/>
      <c r="BH385" s="204" t="n"/>
      <c r="BI385" s="204" t="n"/>
      <c r="BJ385" s="204" t="n"/>
      <c r="BK385" s="204" t="n"/>
      <c r="BL385" s="204" t="n"/>
      <c r="BM385" s="204" t="n"/>
      <c r="BN385" s="204" t="n"/>
      <c r="BO385" s="204" t="n"/>
      <c r="BP385" s="204" t="n"/>
      <c r="BQ385" s="204" t="n"/>
      <c r="BR385" s="204" t="n"/>
      <c r="BS385" s="204" t="n"/>
      <c r="BT385" s="204" t="n"/>
      <c r="BU385" s="204" t="n"/>
      <c r="BV385" s="204" t="n"/>
      <c r="BW385" s="204" t="n"/>
      <c r="BX385" s="204" t="n"/>
      <c r="BY385" s="205" t="n"/>
      <c r="BZ385" s="205" t="n"/>
      <c r="CA385" s="205" t="n"/>
      <c r="CB385" s="207">
        <f>CHOOSE(MATCH($CF$2,{"Bull","Base","Bear"},0),$CO$28,$CP$28,$CQ$28)</f>
        <v>1.75</v>
      </c>
      <c r="CC385" s="207">
        <f>CHOOSE(MATCH($CF$2,{"Bull","Base","Bear"},0),$CO$28,$CP$28,$CQ$28)</f>
        <v>1.75</v>
      </c>
      <c r="CD385" s="207">
        <f>CHOOSE(MATCH($CF$2,{"Bull","Base","Bear"},0),$CO$28,$CP$28,$CQ$28)</f>
        <v>1.75</v>
      </c>
      <c r="CE385" s="207">
        <f>CHOOSE(MATCH($CF$2,{"Bull","Base","Bear"},0),$CO$28,$CP$28,$CQ$28)</f>
        <v>1.75</v>
      </c>
      <c r="CF385" s="20" t="inlineStr">
        <is>
          <t>CLH net debt / Adjusted EBITDA ~1.6x at YE25 and ~1.8x at Q2/26 (LTM, net of marketable securities); ~2.0x pro forma for ES&amp;H / EnviroServe.</t>
        </is>
      </c>
    </row>
    <row r="386" hidden="1" outlineLevel="1" ht="15" customHeight="1">
      <c r="B386" s="26" t="inlineStr">
        <is>
          <t xml:space="preserve">  Net debt before buybacks (year end)</t>
        </is>
      </c>
      <c r="C386" s="184" t="n"/>
      <c r="D386" s="184" t="n"/>
      <c r="E386" s="184" t="n"/>
      <c r="F386" s="184" t="n"/>
      <c r="G386" s="184" t="n"/>
      <c r="H386" s="184" t="n"/>
      <c r="I386" s="184" t="n"/>
      <c r="J386" s="184" t="n"/>
      <c r="K386" s="184" t="n"/>
      <c r="L386" s="184" t="n"/>
      <c r="M386" s="184" t="n"/>
      <c r="N386" s="184" t="n"/>
      <c r="O386" s="184" t="n"/>
      <c r="P386" s="184" t="n"/>
      <c r="Q386" s="184" t="n"/>
      <c r="R386" s="184" t="n"/>
      <c r="S386" s="184" t="n"/>
      <c r="T386" s="184" t="n"/>
      <c r="U386" s="184" t="n"/>
      <c r="V386" s="184" t="n"/>
      <c r="W386" s="184" t="n"/>
      <c r="X386" s="184" t="n"/>
      <c r="Y386" s="184" t="n"/>
      <c r="Z386" s="184" t="n"/>
      <c r="AA386" s="184" t="n"/>
      <c r="AB386" s="184" t="n"/>
      <c r="AC386" s="184" t="n"/>
      <c r="AD386" s="184" t="n"/>
      <c r="AE386" s="184" t="n"/>
      <c r="AF386" s="184" t="n"/>
      <c r="AG386" s="184" t="n"/>
      <c r="AH386" s="184" t="n"/>
      <c r="AI386" s="184" t="n"/>
      <c r="AJ386" s="184" t="n"/>
      <c r="AK386" s="184" t="n"/>
      <c r="AL386" s="184" t="n"/>
      <c r="AM386" s="184" t="n"/>
      <c r="AN386" s="184" t="n"/>
      <c r="AO386" s="184" t="n"/>
      <c r="AP386" s="184" t="n"/>
      <c r="AQ386" s="184" t="n"/>
      <c r="AR386" s="184" t="n"/>
      <c r="AS386" s="184" t="n"/>
      <c r="AT386" s="184" t="n"/>
      <c r="AU386" s="184" t="n"/>
      <c r="AV386" s="184" t="n"/>
      <c r="AW386" s="184" t="n"/>
      <c r="AX386" s="184" t="n"/>
      <c r="AY386" s="184" t="n"/>
      <c r="AZ386" s="184" t="n"/>
      <c r="BA386" s="184" t="n"/>
      <c r="BB386" s="184" t="n"/>
      <c r="BC386" s="184" t="n"/>
      <c r="BD386" s="184" t="n"/>
      <c r="BE386" s="184" t="n"/>
      <c r="BF386" s="184" t="n"/>
      <c r="BG386" s="184" t="n"/>
      <c r="BH386" s="184" t="n"/>
      <c r="BI386" s="184" t="n"/>
      <c r="BJ386" s="184" t="n"/>
      <c r="BK386" s="184" t="n"/>
      <c r="BL386" s="184" t="n"/>
      <c r="BM386" s="184" t="n"/>
      <c r="BN386" s="184" t="n"/>
      <c r="BO386" s="184" t="n"/>
      <c r="BP386" s="184" t="n"/>
      <c r="BQ386" s="184" t="n"/>
      <c r="BR386" s="184" t="n"/>
      <c r="BS386" s="184" t="n"/>
      <c r="BT386" s="184" t="n"/>
      <c r="BU386" s="184" t="n"/>
      <c r="BV386" s="184" t="n"/>
      <c r="BW386" s="184" t="n"/>
      <c r="BX386" s="184" t="n"/>
      <c r="BY386" s="168" t="n"/>
      <c r="BZ386" s="168" t="n"/>
      <c r="CA386" s="168" t="n"/>
      <c r="CB386" s="186">
        <f>CA368-CA292-CB293-CB250-CB256-CB259-CB261-CB262-CB264</f>
        <v>2436.04879305131</v>
      </c>
      <c r="CC386" s="186">
        <f>CB368-CB292-CC293-CC250-CC256-CC259-CC261-CC262-CC264</f>
        <v>2378.02885424209</v>
      </c>
      <c r="CD386" s="186">
        <f>CC368-CC292-CD293-CD250-CD256-CD259-CD261-CD262-CD264</f>
        <v>2594.63074857191</v>
      </c>
      <c r="CE386" s="186">
        <f>CD368-CD292-CE293-CE250-CE256-CE259-CE261-CE262-CE264</f>
        <v>2803.60673914912</v>
      </c>
      <c r="CF386" s="20" t="n"/>
    </row>
    <row r="387" hidden="1" outlineLevel="1" ht="15" customHeight="1">
      <c r="B387" s="26" t="inlineStr">
        <is>
          <t xml:space="preserve">  Target minimum net debt = floor × Adjusted EBITDA</t>
        </is>
      </c>
      <c r="C387" s="184" t="n"/>
      <c r="D387" s="184" t="n"/>
      <c r="E387" s="184" t="n"/>
      <c r="F387" s="184" t="n"/>
      <c r="G387" s="184" t="n"/>
      <c r="H387" s="184" t="n"/>
      <c r="I387" s="184" t="n"/>
      <c r="J387" s="184" t="n"/>
      <c r="K387" s="184" t="n"/>
      <c r="L387" s="184" t="n"/>
      <c r="M387" s="184" t="n"/>
      <c r="N387" s="184" t="n"/>
      <c r="O387" s="184" t="n"/>
      <c r="P387" s="184" t="n"/>
      <c r="Q387" s="184" t="n"/>
      <c r="R387" s="184" t="n"/>
      <c r="S387" s="184" t="n"/>
      <c r="T387" s="184" t="n"/>
      <c r="U387" s="184" t="n"/>
      <c r="V387" s="184" t="n"/>
      <c r="W387" s="184" t="n"/>
      <c r="X387" s="184" t="n"/>
      <c r="Y387" s="184" t="n"/>
      <c r="Z387" s="184" t="n"/>
      <c r="AA387" s="184" t="n"/>
      <c r="AB387" s="184" t="n"/>
      <c r="AC387" s="184" t="n"/>
      <c r="AD387" s="184" t="n"/>
      <c r="AE387" s="184" t="n"/>
      <c r="AF387" s="184" t="n"/>
      <c r="AG387" s="184" t="n"/>
      <c r="AH387" s="184" t="n"/>
      <c r="AI387" s="184" t="n"/>
      <c r="AJ387" s="184" t="n"/>
      <c r="AK387" s="184" t="n"/>
      <c r="AL387" s="184" t="n"/>
      <c r="AM387" s="184" t="n"/>
      <c r="AN387" s="184" t="n"/>
      <c r="AO387" s="184" t="n"/>
      <c r="AP387" s="184" t="n"/>
      <c r="AQ387" s="184" t="n"/>
      <c r="AR387" s="184" t="n"/>
      <c r="AS387" s="184" t="n"/>
      <c r="AT387" s="184" t="n"/>
      <c r="AU387" s="184" t="n"/>
      <c r="AV387" s="184" t="n"/>
      <c r="AW387" s="184" t="n"/>
      <c r="AX387" s="184" t="n"/>
      <c r="AY387" s="184" t="n"/>
      <c r="AZ387" s="184" t="n"/>
      <c r="BA387" s="184" t="n"/>
      <c r="BB387" s="184" t="n"/>
      <c r="BC387" s="184" t="n"/>
      <c r="BD387" s="184" t="n"/>
      <c r="BE387" s="184" t="n"/>
      <c r="BF387" s="184" t="n"/>
      <c r="BG387" s="184" t="n"/>
      <c r="BH387" s="184" t="n"/>
      <c r="BI387" s="184" t="n"/>
      <c r="BJ387" s="184" t="n"/>
      <c r="BK387" s="184" t="n"/>
      <c r="BL387" s="184" t="n"/>
      <c r="BM387" s="184" t="n"/>
      <c r="BN387" s="184" t="n"/>
      <c r="BO387" s="184" t="n"/>
      <c r="BP387" s="184" t="n"/>
      <c r="BQ387" s="184" t="n"/>
      <c r="BR387" s="184" t="n"/>
      <c r="BS387" s="184" t="n"/>
      <c r="BT387" s="184" t="n"/>
      <c r="BU387" s="184" t="n"/>
      <c r="BV387" s="184" t="n"/>
      <c r="BW387" s="184" t="n"/>
      <c r="BX387" s="184" t="n"/>
      <c r="BY387" s="168" t="n"/>
      <c r="BZ387" s="168" t="n"/>
      <c r="CA387" s="168" t="n"/>
      <c r="CB387" s="186">
        <f>CB385*CB187</f>
        <v>2712.84359891278</v>
      </c>
      <c r="CC387" s="186">
        <f>CC385*CC187</f>
        <v>3007.86654050848</v>
      </c>
      <c r="CD387" s="186">
        <f>CD385*CD187</f>
        <v>3284.50012564637</v>
      </c>
      <c r="CE387" s="186">
        <f>CE385*CE187</f>
        <v>3552.43778646695</v>
      </c>
      <c r="CF387" s="20" t="n"/>
    </row>
    <row r="388" hidden="1" outlineLevel="1" ht="15" customHeight="1">
      <c r="B388" s="26" t="inlineStr">
        <is>
          <t xml:space="preserve">  Minimum annual buyback programme (USDm)</t>
        </is>
      </c>
      <c r="C388" s="184" t="n"/>
      <c r="D388" s="184" t="n"/>
      <c r="E388" s="184" t="n"/>
      <c r="F388" s="184" t="n"/>
      <c r="G388" s="184" t="n"/>
      <c r="H388" s="184" t="n"/>
      <c r="I388" s="184" t="n"/>
      <c r="J388" s="184" t="n"/>
      <c r="K388" s="184" t="n"/>
      <c r="L388" s="184" t="n"/>
      <c r="M388" s="184" t="n"/>
      <c r="N388" s="184" t="n"/>
      <c r="O388" s="184" t="n"/>
      <c r="P388" s="184" t="n"/>
      <c r="Q388" s="184" t="n"/>
      <c r="R388" s="184" t="n"/>
      <c r="S388" s="184" t="n"/>
      <c r="T388" s="184" t="n"/>
      <c r="U388" s="184" t="n"/>
      <c r="V388" s="184" t="n"/>
      <c r="W388" s="184" t="n"/>
      <c r="X388" s="184" t="n"/>
      <c r="Y388" s="184" t="n"/>
      <c r="Z388" s="184" t="n"/>
      <c r="AA388" s="184" t="n"/>
      <c r="AB388" s="184" t="n"/>
      <c r="AC388" s="184" t="n"/>
      <c r="AD388" s="184" t="n"/>
      <c r="AE388" s="184" t="n"/>
      <c r="AF388" s="184" t="n"/>
      <c r="AG388" s="184" t="n"/>
      <c r="AH388" s="184" t="n"/>
      <c r="AI388" s="184" t="n"/>
      <c r="AJ388" s="184" t="n"/>
      <c r="AK388" s="184" t="n"/>
      <c r="AL388" s="184" t="n"/>
      <c r="AM388" s="184" t="n"/>
      <c r="AN388" s="184" t="n"/>
      <c r="AO388" s="184" t="n"/>
      <c r="AP388" s="184" t="n"/>
      <c r="AQ388" s="184" t="n"/>
      <c r="AR388" s="184" t="n"/>
      <c r="AS388" s="184" t="n"/>
      <c r="AT388" s="184" t="n"/>
      <c r="AU388" s="184" t="n"/>
      <c r="AV388" s="184" t="n"/>
      <c r="AW388" s="184" t="n"/>
      <c r="AX388" s="184" t="n"/>
      <c r="AY388" s="184" t="n"/>
      <c r="AZ388" s="184" t="n"/>
      <c r="BA388" s="184" t="n"/>
      <c r="BB388" s="184" t="n"/>
      <c r="BC388" s="184" t="n"/>
      <c r="BD388" s="184" t="n"/>
      <c r="BE388" s="184" t="n"/>
      <c r="BF388" s="184" t="n"/>
      <c r="BG388" s="184" t="n"/>
      <c r="BH388" s="184" t="n"/>
      <c r="BI388" s="184" t="n"/>
      <c r="BJ388" s="184" t="n"/>
      <c r="BK388" s="184" t="n"/>
      <c r="BL388" s="184" t="n"/>
      <c r="BM388" s="184" t="n"/>
      <c r="BN388" s="184" t="n"/>
      <c r="BO388" s="184" t="n"/>
      <c r="BP388" s="184" t="n"/>
      <c r="BQ388" s="184" t="n"/>
      <c r="BR388" s="184" t="n"/>
      <c r="BS388" s="184" t="n"/>
      <c r="BT388" s="184" t="n"/>
      <c r="BU388" s="184" t="n"/>
      <c r="BV388" s="184" t="n"/>
      <c r="BW388" s="184" t="n"/>
      <c r="BX388" s="184" t="n"/>
      <c r="BY388" s="168" t="n"/>
      <c r="BZ388" s="168" t="n"/>
      <c r="CA388" s="168" t="n"/>
      <c r="CB388" s="186">
        <f>$CP$27</f>
        <v>150</v>
      </c>
      <c r="CC388" s="186">
        <f>$CP$27</f>
        <v>150</v>
      </c>
      <c r="CD388" s="186">
        <f>$CP$27</f>
        <v>150</v>
      </c>
      <c r="CE388" s="186">
        <f>$CP$27</f>
        <v>150</v>
      </c>
      <c r="CF388" s="20" t="n"/>
    </row>
    <row r="389" hidden="1" outlineLevel="1" ht="15" customHeight="1">
      <c r="B389" s="26" t="inlineStr">
        <is>
          <t xml:space="preserve">  Share repurchases: max(minimum programme, plug to minimum leverage)</t>
        </is>
      </c>
      <c r="C389" s="184" t="n"/>
      <c r="D389" s="184" t="n"/>
      <c r="E389" s="184" t="n"/>
      <c r="F389" s="184" t="n"/>
      <c r="G389" s="184" t="n"/>
      <c r="H389" s="184" t="n"/>
      <c r="I389" s="184" t="n"/>
      <c r="J389" s="184" t="n"/>
      <c r="K389" s="184" t="n"/>
      <c r="L389" s="184" t="n"/>
      <c r="M389" s="184" t="n"/>
      <c r="N389" s="184" t="n"/>
      <c r="O389" s="184" t="n"/>
      <c r="P389" s="184" t="n"/>
      <c r="Q389" s="184" t="n"/>
      <c r="R389" s="184" t="n"/>
      <c r="S389" s="184" t="n"/>
      <c r="T389" s="184" t="n"/>
      <c r="U389" s="184" t="n"/>
      <c r="V389" s="184" t="n"/>
      <c r="W389" s="184" t="n"/>
      <c r="X389" s="184" t="n"/>
      <c r="Y389" s="184" t="n"/>
      <c r="Z389" s="184" t="n"/>
      <c r="AA389" s="184" t="n"/>
      <c r="AB389" s="184" t="n"/>
      <c r="AC389" s="184" t="n"/>
      <c r="AD389" s="184" t="n"/>
      <c r="AE389" s="184" t="n"/>
      <c r="AF389" s="184" t="n"/>
      <c r="AG389" s="184" t="n"/>
      <c r="AH389" s="184" t="n"/>
      <c r="AI389" s="184" t="n"/>
      <c r="AJ389" s="184" t="n"/>
      <c r="AK389" s="184" t="n"/>
      <c r="AL389" s="184" t="n"/>
      <c r="AM389" s="184" t="n"/>
      <c r="AN389" s="184" t="n"/>
      <c r="AO389" s="184" t="n"/>
      <c r="AP389" s="184" t="n"/>
      <c r="AQ389" s="184" t="n"/>
      <c r="AR389" s="184" t="n"/>
      <c r="AS389" s="184" t="n"/>
      <c r="AT389" s="184" t="n"/>
      <c r="AU389" s="184" t="n"/>
      <c r="AV389" s="184" t="n"/>
      <c r="AW389" s="184" t="n"/>
      <c r="AX389" s="184" t="n"/>
      <c r="AY389" s="184" t="n"/>
      <c r="AZ389" s="184" t="n"/>
      <c r="BA389" s="184" t="n"/>
      <c r="BB389" s="184" t="n"/>
      <c r="BC389" s="184" t="n"/>
      <c r="BD389" s="184" t="n"/>
      <c r="BE389" s="184" t="n"/>
      <c r="BF389" s="184" t="n"/>
      <c r="BG389" s="184" t="n"/>
      <c r="BH389" s="184" t="n"/>
      <c r="BI389" s="184" t="n"/>
      <c r="BJ389" s="184" t="n"/>
      <c r="BK389" s="184" t="n"/>
      <c r="BL389" s="184" t="n"/>
      <c r="BM389" s="184" t="n"/>
      <c r="BN389" s="184" t="n"/>
      <c r="BO389" s="184" t="n"/>
      <c r="BP389" s="184" t="n"/>
      <c r="BQ389" s="184" t="n"/>
      <c r="BR389" s="184" t="n"/>
      <c r="BS389" s="184" t="n"/>
      <c r="BT389" s="184" t="n"/>
      <c r="BU389" s="184" t="n"/>
      <c r="BV389" s="184" t="n"/>
      <c r="BW389" s="184" t="n"/>
      <c r="BX389" s="184" t="n"/>
      <c r="BY389" s="168" t="n"/>
      <c r="BZ389" s="168" t="n"/>
      <c r="CA389" s="168" t="n"/>
      <c r="CB389" s="186">
        <f>MAX(CB388,CB387-CB386)</f>
        <v>276.794805861467</v>
      </c>
      <c r="CC389" s="186">
        <f>MAX(CC388,CC387-CC386)</f>
        <v>629.837686266395</v>
      </c>
      <c r="CD389" s="186">
        <f>MAX(CD388,CD387-CD386)</f>
        <v>689.869377074459</v>
      </c>
      <c r="CE389" s="186">
        <f>MAX(CE388,CE387-CE386)</f>
        <v>748.831047317828</v>
      </c>
      <c r="CF389" s="20" t="inlineStr">
        <is>
          <t>Feeds the cash-flow repurchase line.</t>
        </is>
      </c>
    </row>
    <row r="390" hidden="1" outlineLevel="1" ht="15" customHeight="1">
      <c r="B390" s="139" t="inlineStr">
        <is>
          <t>Historical reference (driver context)</t>
        </is>
      </c>
      <c r="C390" s="139" t="n"/>
      <c r="D390" s="139" t="n"/>
      <c r="E390" s="139" t="n"/>
      <c r="F390" s="139" t="n"/>
      <c r="G390" s="139" t="n"/>
      <c r="H390" s="139" t="n"/>
      <c r="I390" s="139" t="n"/>
      <c r="J390" s="139" t="n"/>
      <c r="K390" s="139" t="n"/>
      <c r="L390" s="139" t="n"/>
      <c r="M390" s="139" t="n"/>
      <c r="N390" s="139" t="n"/>
      <c r="O390" s="139" t="n"/>
      <c r="P390" s="139" t="n"/>
      <c r="Q390" s="139" t="n"/>
      <c r="R390" s="139" t="n"/>
      <c r="S390" s="139" t="n"/>
      <c r="T390" s="139" t="n"/>
      <c r="U390" s="139" t="n"/>
      <c r="V390" s="139" t="n"/>
      <c r="W390" s="139" t="n"/>
      <c r="X390" s="139" t="n"/>
      <c r="Y390" s="139" t="n"/>
      <c r="Z390" s="139" t="n"/>
      <c r="AA390" s="139" t="n"/>
      <c r="AB390" s="139" t="n"/>
      <c r="AC390" s="139" t="n"/>
      <c r="AD390" s="139" t="n"/>
      <c r="AE390" s="139" t="n"/>
      <c r="AF390" s="139" t="n"/>
      <c r="AG390" s="139" t="n"/>
      <c r="AH390" s="139" t="n"/>
      <c r="AI390" s="139" t="n"/>
      <c r="AJ390" s="139" t="n"/>
      <c r="AK390" s="139" t="n"/>
      <c r="AL390" s="139" t="n"/>
      <c r="AM390" s="139" t="n"/>
      <c r="AN390" s="139" t="n"/>
      <c r="AO390" s="139" t="n"/>
      <c r="AP390" s="139" t="n"/>
      <c r="AQ390" s="139" t="n"/>
      <c r="AR390" s="139" t="n"/>
      <c r="AS390" s="139" t="n"/>
      <c r="AT390" s="139" t="n"/>
      <c r="AU390" s="139" t="n"/>
      <c r="AV390" s="139" t="n"/>
      <c r="AW390" s="139" t="n"/>
      <c r="AX390" s="139" t="n"/>
      <c r="AY390" s="139" t="n"/>
      <c r="AZ390" s="139" t="n"/>
      <c r="BA390" s="139" t="n"/>
      <c r="BB390" s="139" t="n"/>
      <c r="BC390" s="139" t="n"/>
      <c r="BD390" s="139" t="n"/>
      <c r="BE390" s="139" t="n"/>
      <c r="BF390" s="139" t="n"/>
      <c r="BG390" s="139" t="n"/>
      <c r="BH390" s="139" t="n"/>
      <c r="BI390" s="139" t="n"/>
      <c r="BJ390" s="139" t="n"/>
      <c r="BK390" s="139" t="n"/>
      <c r="BL390" s="139" t="n"/>
      <c r="BM390" s="139" t="n"/>
      <c r="BN390" s="139" t="n"/>
      <c r="BO390" s="139" t="n"/>
      <c r="BP390" s="139" t="n"/>
      <c r="BQ390" s="139" t="n"/>
      <c r="BR390" s="139" t="n"/>
      <c r="BS390" s="139" t="n"/>
      <c r="BT390" s="139" t="n"/>
      <c r="BU390" s="139" t="n"/>
      <c r="BV390" s="139" t="n"/>
      <c r="BW390" s="139" t="n"/>
      <c r="BX390" s="139" t="n"/>
      <c r="BY390" s="139" t="n"/>
      <c r="BZ390" s="139" t="n"/>
      <c r="CA390" s="139" t="n"/>
      <c r="CB390" s="139" t="n"/>
      <c r="CC390" s="139" t="n"/>
      <c r="CD390" s="139" t="n"/>
      <c r="CE390" s="139" t="n"/>
      <c r="CF390" s="139" t="n"/>
    </row>
    <row r="391" hidden="1" outlineLevel="1" ht="15" customHeight="1">
      <c r="B391" s="26" t="inlineStr">
        <is>
          <t xml:space="preserve">  Total D&amp;A % of revenues</t>
        </is>
      </c>
      <c r="C391" s="190">
        <f>IF(AND(ISNUMBER(C145),ISNUMBER(C138)),IFERROR(C145/C138,""),"")</f>
        <v>0.0425869085536551</v>
      </c>
      <c r="D391" s="190">
        <f>IF(AND(ISNUMBER(D145),ISNUMBER(D138)),IFERROR(D145/D138,""),"")</f>
        <v>0.0396972490725164</v>
      </c>
      <c r="E391" s="190">
        <f>IF(AND(ISNUMBER(E145),ISNUMBER(E138)),IFERROR(E145/E138,""),"")</f>
        <v>0.0431458611660084</v>
      </c>
      <c r="F391" s="190">
        <f>IF(AND(ISNUMBER(F145),ISNUMBER(F138)),IFERROR(F145/F138,""),"")</f>
        <v>0.0604140678818119</v>
      </c>
      <c r="G391" s="190">
        <f>IF(AND(ISNUMBER(G145),ISNUMBER(G138)),IFERROR(G145/G138,""),"")</f>
        <v>0.0534141923379951</v>
      </c>
      <c r="H391" s="190">
        <f>IF(AND(ISNUMBER(H145),ISNUMBER(H138)),IFERROR(H145/H138,""),"")</f>
        <v>0.0618218710814178</v>
      </c>
      <c r="I391" s="190">
        <f>IF(AND(ISNUMBER(I145),ISNUMBER(I138)),IFERROR(I145/I138,""),"")</f>
        <v>0.0738815343241124</v>
      </c>
      <c r="J391" s="190">
        <f>IF(AND(ISNUMBER(J145),ISNUMBER(J138)),IFERROR(J145/J138,""),"")</f>
        <v>0.0695993681009276</v>
      </c>
      <c r="K391" s="190">
        <f>IF(AND(ISNUMBER(K145),ISNUMBER(K138)),IFERROR(K145/K138,""),"")</f>
        <v>0.0784030269787851</v>
      </c>
      <c r="L391" s="190">
        <f>IF(AND(ISNUMBER(L145),ISNUMBER(L138)),IFERROR(L145/L138,""),"")</f>
        <v>0.076503936487298</v>
      </c>
      <c r="M391" s="190">
        <f>IF(AND(ISNUMBER(M145),ISNUMBER(M138)),IFERROR(M145/M138,""),"")</f>
        <v>0.0768054307903983</v>
      </c>
      <c r="N391" s="190">
        <f>IF(AND(ISNUMBER(N145),ISNUMBER(N138)),IFERROR(N145/N138,""),"")</f>
        <v>0.0753489800709813</v>
      </c>
      <c r="O391" s="190">
        <f>IF(AND(ISNUMBER(O145),ISNUMBER(O138)),IFERROR(O145/O138,""),"")</f>
        <v>0.0819165031824791</v>
      </c>
      <c r="P391" s="190">
        <f>IF(AND(ISNUMBER(P145),ISNUMBER(P138)),IFERROR(P145/P138,""),"")</f>
        <v>0.0769674308079396</v>
      </c>
      <c r="Q391" s="190">
        <f>IF(AND(ISNUMBER(Q145),ISNUMBER(Q138)),IFERROR(Q145/Q138,""),"")</f>
        <v>0.0822687955464993</v>
      </c>
      <c r="R391" s="190">
        <f>IF(AND(ISNUMBER(R145),ISNUMBER(R138)),IFERROR(R145/R138,""),"")</f>
        <v>0.0835514730942553</v>
      </c>
      <c r="S391" s="190">
        <f>IF(AND(ISNUMBER(S145),ISNUMBER(S138)),IFERROR(S145/S138,""),"")</f>
        <v>0.0811618291904249</v>
      </c>
      <c r="T391" s="190">
        <f>IF(AND(ISNUMBER(T145),ISNUMBER(T138)),IFERROR(T145/T138,""),"")</f>
        <v>0.093318898728872</v>
      </c>
      <c r="U391" s="190">
        <f>IF(AND(ISNUMBER(U145),ISNUMBER(U138)),IFERROR(U145/U138,""),"")</f>
        <v>0.0723894179622912</v>
      </c>
      <c r="V391" s="190">
        <f>IF(AND(ISNUMBER(V145),ISNUMBER(V138)),IFERROR(V145/V138,""),"")</f>
        <v>0.0773031433925178</v>
      </c>
      <c r="W391" s="190">
        <f>IF(AND(ISNUMBER(W145),ISNUMBER(W138)),IFERROR(W145/W138,""),"")</f>
        <v>0.0967752340669019</v>
      </c>
      <c r="X391" s="190">
        <f>IF(AND(ISNUMBER(X145),ISNUMBER(X138)),IFERROR(X145/X138,""),"")</f>
        <v>0.0837198566044718</v>
      </c>
      <c r="Y391" s="190">
        <f>IF(AND(ISNUMBER(Y145),ISNUMBER(Y138)),IFERROR(Y145/Y138,""),"")</f>
        <v>0.108322341581209</v>
      </c>
      <c r="Z391" s="190">
        <f>IF(AND(ISNUMBER(Z145),ISNUMBER(Z138)),IFERROR(Z145/Z138,""),"")</f>
        <v>0.105221430517125</v>
      </c>
      <c r="AA391" s="190">
        <f>IF(AND(ISNUMBER(AA145),ISNUMBER(AA138)),IFERROR(AA145/AA138,""),"")</f>
        <v>0.100559271849984</v>
      </c>
      <c r="AB391" s="190">
        <f>IF(AND(ISNUMBER(AB145),ISNUMBER(AB138)),IFERROR(AB145/AB138,""),"")</f>
        <v>0.103085767786474</v>
      </c>
      <c r="AC391" s="190">
        <f>IF(AND(ISNUMBER(AC145),ISNUMBER(AC138)),IFERROR(AC145/AC138,""),"")</f>
        <v>0.104166409579468</v>
      </c>
      <c r="AD391" s="190">
        <f>IF(AND(ISNUMBER(AD145),ISNUMBER(AD138)),IFERROR(AD145/AD138,""),"")</f>
        <v>0.1051062427697</v>
      </c>
      <c r="AE391" s="190">
        <f>IF(AND(ISNUMBER(AE145),ISNUMBER(AE138)),IFERROR(AE145/AE138,""),"")</f>
        <v>0.0950214402992609</v>
      </c>
      <c r="AF391" s="190">
        <f>IF(AND(ISNUMBER(AF145),ISNUMBER(AF138)),IFERROR(AF145/AF138,""),"")</f>
        <v>0.0965659671414547</v>
      </c>
      <c r="AG391" s="190">
        <f>IF(AND(ISNUMBER(AG145),ISNUMBER(AG138)),IFERROR(AG145/AG138,""),"")</f>
        <v>0.0956512082504352</v>
      </c>
      <c r="AH391" s="190">
        <f>IF(AND(ISNUMBER(AH145),ISNUMBER(AH138)),IFERROR(AH145/AH138,""),"")</f>
        <v>0.0979368946049852</v>
      </c>
      <c r="AI391" s="190">
        <f>IF(AND(ISNUMBER(AI145),ISNUMBER(AI138)),IFERROR(AI145/AI138,""),"")</f>
        <v>0.0998215471779647</v>
      </c>
      <c r="AJ391" s="190">
        <f>IF(AND(ISNUMBER(AJ145),ISNUMBER(AJ138)),IFERROR(AJ145/AJ138,""),"")</f>
        <v>0.0856866947735356</v>
      </c>
      <c r="AK391" s="190">
        <f>IF(AND(ISNUMBER(AK145),ISNUMBER(AK138)),IFERROR(AK145/AK138,""),"")</f>
        <v>0.0866741541851631</v>
      </c>
      <c r="AL391" s="190">
        <f>IF(AND(ISNUMBER(AL145),ISNUMBER(AL138)),IFERROR(AL145/AL138,""),"")</f>
        <v>0.0908164026268813</v>
      </c>
      <c r="AM391" s="190">
        <f>IF(AND(ISNUMBER(AM145),ISNUMBER(AM138)),IFERROR(AM145/AM138,""),"")</f>
        <v>0.0904841161553954</v>
      </c>
      <c r="AN391" s="190">
        <f>IF(AND(ISNUMBER(AN145),ISNUMBER(AN138)),IFERROR(AN145/AN138,""),"")</f>
        <v>0.0965051694395388</v>
      </c>
      <c r="AO391" s="190">
        <f>IF(AND(ISNUMBER(AO145),ISNUMBER(AO138)),IFERROR(AO145/AO138,""),"")</f>
        <v>0.0854367210865246</v>
      </c>
      <c r="AP391" s="190">
        <f>IF(AND(ISNUMBER(AP145),ISNUMBER(AP138)),IFERROR(AP145/AP138,""),"")</f>
        <v>0.0827168856569934</v>
      </c>
      <c r="AQ391" s="190">
        <f>IF(AND(ISNUMBER(AQ145),ISNUMBER(AQ138)),IFERROR(AQ145/AQ138,""),"")</f>
        <v>0.0888594210136566</v>
      </c>
      <c r="AR391" s="190">
        <f>IF(AND(ISNUMBER(AR145),ISNUMBER(AR138)),IFERROR(AR145/AR138,""),"")</f>
        <v>0.0881325483047544</v>
      </c>
      <c r="AS391" s="190">
        <f>IF(AND(ISNUMBER(AS145),ISNUMBER(AS138)),IFERROR(AS145/AS138,""),"")</f>
        <v>0.0868113347535359</v>
      </c>
      <c r="AT391" s="190">
        <f>IF(AND(ISNUMBER(AT145),ISNUMBER(AT138)),IFERROR(AT145/AT138,""),"")</f>
        <v>0.102104225352113</v>
      </c>
      <c r="AU391" s="190">
        <f>IF(AND(ISNUMBER(AU145),ISNUMBER(AU138)),IFERROR(AU145/AU138,""),"")</f>
        <v>0.0955547229464781</v>
      </c>
      <c r="AV391" s="190">
        <f>IF(AND(ISNUMBER(AV145),ISNUMBER(AV138)),IFERROR(AV145/AV138,""),"")</f>
        <v>0.0896996947964682</v>
      </c>
      <c r="AW391" s="190">
        <f>IF(AND(ISNUMBER(AW145),ISNUMBER(AW138)),IFERROR(AW145/AW138,""),"")</f>
        <v>0.093163474282123</v>
      </c>
      <c r="AX391" s="190">
        <f>IF(AND(ISNUMBER(AX145),ISNUMBER(AX138)),IFERROR(AX145/AX138,""),"")</f>
        <v>0.0892942876799794</v>
      </c>
      <c r="AY391" s="190">
        <f>IF(AND(ISNUMBER(AY145),ISNUMBER(AY138)),IFERROR(AY145/AY138,""),"")</f>
        <v>0.0772749547200197</v>
      </c>
      <c r="AZ391" s="190">
        <f>IF(AND(ISNUMBER(AZ145),ISNUMBER(AZ138)),IFERROR(AZ145/AZ138,""),"")</f>
        <v>0.0750946684057136</v>
      </c>
      <c r="BA391" s="190">
        <f>IF(AND(ISNUMBER(BA145),ISNUMBER(BA138)),IFERROR(BA145/BA138,""),"")</f>
        <v>0.0740780772518694</v>
      </c>
      <c r="BB391" s="190">
        <f>IF(AND(ISNUMBER(BB145),ISNUMBER(BB138)),IFERROR(BB145/BB138,""),"")</f>
        <v>0.0783418287844699</v>
      </c>
      <c r="BC391" s="190">
        <f>IF(AND(ISNUMBER(BC145),ISNUMBER(BC138)),IFERROR(BC145/BC138,""),"")</f>
        <v>0.0721044829866163</v>
      </c>
      <c r="BD391" s="190">
        <f>IF(AND(ISNUMBER(BD145),ISNUMBER(BD138)),IFERROR(BD145/BD138,""),"")</f>
        <v>0.0647845038604687</v>
      </c>
      <c r="BE391" s="190">
        <f>IF(AND(ISNUMBER(BE145),ISNUMBER(BE138)),IFERROR(BE145/BE138,""),"")</f>
        <v>0.0648484394968476</v>
      </c>
      <c r="BF391" s="190">
        <f>IF(AND(ISNUMBER(BF145),ISNUMBER(BF138)),IFERROR(BF145/BF138,""),"")</f>
        <v>0.0680964996424374</v>
      </c>
      <c r="BG391" s="190">
        <f>IF(AND(ISNUMBER(BG145),ISNUMBER(BG138)),IFERROR(BG145/BG138,""),"")</f>
        <v>0.0672770610487932</v>
      </c>
      <c r="BH391" s="190">
        <f>IF(AND(ISNUMBER(BH145),ISNUMBER(BH138)),IFERROR(BH145/BH138,""),"")</f>
        <v>0.0648300770927048</v>
      </c>
      <c r="BI391" s="190">
        <f>IF(AND(ISNUMBER(BI145),ISNUMBER(BI138)),IFERROR(BI145/BI138,""),"")</f>
        <v>0.0641655340153087</v>
      </c>
      <c r="BJ391" s="190">
        <f>IF(AND(ISNUMBER(BJ145),ISNUMBER(BJ138)),IFERROR(BJ145/BJ138,""),"")</f>
        <v>0.0680751792492619</v>
      </c>
      <c r="BK391" s="190">
        <f>IF(AND(ISNUMBER(BK145),ISNUMBER(BK138)),IFERROR(BK145/BK138,""),"")</f>
        <v>0.0734854865117934</v>
      </c>
      <c r="BL391" s="190">
        <f>IF(AND(ISNUMBER(BL145),ISNUMBER(BL138)),IFERROR(BL145/BL138,""),"")</f>
        <v>0.0676189169762654</v>
      </c>
      <c r="BM391" s="190">
        <f>IF(AND(ISNUMBER(BM145),ISNUMBER(BM138)),IFERROR(BM145/BM138,""),"")</f>
        <v>0.0690530582300364</v>
      </c>
      <c r="BN391" s="190">
        <f>IF(AND(ISNUMBER(BN145),ISNUMBER(BN138)),IFERROR(BN145/BN138,""),"")</f>
        <v>0.0647277453293223</v>
      </c>
      <c r="BO391" s="190">
        <f>IF(AND(ISNUMBER(BO145),ISNUMBER(BO138)),IFERROR(BO145/BO138,""),"")</f>
        <v>0.0654253698456018</v>
      </c>
      <c r="BP391" s="190">
        <f>IF(AND(ISNUMBER(BP145),ISNUMBER(BP138)),IFERROR(BP145/BP138,""),"")</f>
        <v>0.0735719536361832</v>
      </c>
      <c r="BQ391" s="190">
        <f>IF(AND(ISNUMBER(BQ145),ISNUMBER(BQ138)),IFERROR(BQ145/BQ138,""),"")</f>
        <v>0.0680688059936652</v>
      </c>
      <c r="BR391" s="190">
        <f>IF(AND(ISNUMBER(BR145),ISNUMBER(BR138)),IFERROR(BR145/BR138,""),"")</f>
        <v>0.0782010545060931</v>
      </c>
      <c r="BS391" s="190">
        <f>IF(AND(ISNUMBER(BS145),ISNUMBER(BS138)),IFERROR(BS145/BS138,""),"")</f>
        <v>0.0750296479539363</v>
      </c>
      <c r="BT391" s="190">
        <f>IF(AND(ISNUMBER(BT145),ISNUMBER(BT138)),IFERROR(BT145/BT138,""),"")</f>
        <v>0.0740503841320513</v>
      </c>
      <c r="BU391" s="190">
        <f>IF(AND(ISNUMBER(BU145),ISNUMBER(BU138)),IFERROR(BU145/BU138,""),"")</f>
        <v>0.0686885875537442</v>
      </c>
      <c r="BV391" s="190">
        <f>IF(AND(ISNUMBER(BV145),ISNUMBER(BV138)),IFERROR(BV145/BV138,""),"")</f>
        <v>0.0739542454886444</v>
      </c>
      <c r="BW391" s="190">
        <f>IF(AND(ISNUMBER(BW145),ISNUMBER(BW138)),IFERROR(BW145/BW138,""),"")</f>
        <v>0.0793395439786727</v>
      </c>
      <c r="BX391" s="190">
        <f>IF(AND(ISNUMBER(BX145),ISNUMBER(BX138)),IFERROR(BX145/BX138,""),"")</f>
        <v>0.0702055613672583</v>
      </c>
      <c r="BY391" s="169" t="n"/>
      <c r="BZ391" s="169" t="n"/>
      <c r="CA391" s="179">
        <f>IF(AND(ISNUMBER(CA145),ISNUMBER(CA138)),IFERROR(CA145/CA138,""),"")</f>
        <v>0.0741769233284179</v>
      </c>
      <c r="CB391" s="179">
        <f>IF(AND(ISNUMBER(CB145),ISNUMBER(CB138)),IFERROR(CB145/CB138,""),"")</f>
        <v>0.0753402919160792</v>
      </c>
      <c r="CC391" s="179">
        <f>IF(AND(ISNUMBER(CC145),ISNUMBER(CC138)),IFERROR(CC145/CC138,""),"")</f>
        <v>0.0755520096399812</v>
      </c>
      <c r="CD391" s="179">
        <f>IF(AND(ISNUMBER(CD145),ISNUMBER(CD138)),IFERROR(CD145/CD138,""),"")</f>
        <v>0.0757512402175365</v>
      </c>
      <c r="CE391" s="179">
        <f>IF(AND(ISNUMBER(CE145),ISNUMBER(CE138)),IFERROR(CE145/CE138,""),"")</f>
        <v>0.0759361305894276</v>
      </c>
      <c r="CF391" s="20" t="n"/>
    </row>
    <row r="392" hidden="1" outlineLevel="1" ht="15" customHeight="1">
      <c r="B392" s="26" t="inlineStr">
        <is>
          <t xml:space="preserve">  Capex % of revenues</t>
        </is>
      </c>
      <c r="C392" s="190">
        <f>IFERROR(-N(C251)/C138,"")</f>
        <v>0.0490088683058391</v>
      </c>
      <c r="D392" s="190">
        <f>IFERROR(-N(D251)/D138,"")</f>
        <v>0.0385757146613695</v>
      </c>
      <c r="E392" s="190">
        <f>IFERROR(-N(E251)/E138,"")</f>
        <v>0.0557497576920054</v>
      </c>
      <c r="F392" s="190">
        <f>IFERROR(-N(F251)/F138,"")</f>
        <v>0.0579434380294539</v>
      </c>
      <c r="G392" s="190">
        <f>IFERROR(-N(G251)/G138,"")</f>
        <v>0.0672637710224555</v>
      </c>
      <c r="H392" s="190">
        <f>IFERROR(-N(H251)/H138,"")</f>
        <v>0.0748502118806372</v>
      </c>
      <c r="I392" s="190">
        <f>IFERROR(-N(I251)/I138,"")</f>
        <v>0.0902218009166747</v>
      </c>
      <c r="J392" s="190">
        <f>IFERROR(-N(J251)/J138,"")</f>
        <v>0.083799699128819</v>
      </c>
      <c r="K392" s="190">
        <f>IFERROR(-N(K251)/K138,"")</f>
        <v>0.0804355000650763</v>
      </c>
      <c r="L392" s="190">
        <f>IFERROR(-N(L251)/L138,"")</f>
        <v>0.0729172979554508</v>
      </c>
      <c r="M392" s="190">
        <f>IFERROR(-N(M251)/M138,"")</f>
        <v>0.0825148107296772</v>
      </c>
      <c r="N392" s="190">
        <f>IFERROR(-N(N251)/N138,"")</f>
        <v>0.0798388787960985</v>
      </c>
      <c r="O392" s="190">
        <f>IFERROR(-N(O251)/O138,"")</f>
        <v>0.0885885477997843</v>
      </c>
      <c r="P392" s="190">
        <f>IFERROR(-N(P251)/P138,"")</f>
        <v>0.0735963563507595</v>
      </c>
      <c r="Q392" s="190">
        <f>IFERROR(-N(Q251)/Q138,"")</f>
        <v>0.0712783261789974</v>
      </c>
      <c r="R392" s="190">
        <f>IFERROR(-N(R251)/R138,"")</f>
        <v>0.0695080849774681</v>
      </c>
      <c r="S392" s="190">
        <f>IFERROR(-N(S251)/S138,"")</f>
        <v>0.0757320889125115</v>
      </c>
      <c r="T392" s="190">
        <f>IFERROR(-N(T251)/T138,"")</f>
        <v>0.0722854229152531</v>
      </c>
      <c r="U392" s="190">
        <f>IFERROR(-N(U251)/U138,"")</f>
        <v>0.0760455786411002</v>
      </c>
      <c r="V392" s="190">
        <f>IFERROR(-N(V251)/V138,"")</f>
        <v>0.073714468650027</v>
      </c>
      <c r="W392" s="190">
        <f>IFERROR(-N(W251)/W138,"")</f>
        <v>0.0942396261661272</v>
      </c>
      <c r="X392" s="190">
        <f>IFERROR(-N(X251)/X138,"")</f>
        <v>0.0785298447057329</v>
      </c>
      <c r="Y392" s="190">
        <f>IFERROR(-N(Y251)/Y138,"")</f>
        <v>0.119136967974305</v>
      </c>
      <c r="Z392" s="190">
        <f>IFERROR(-N(Z251)/Z138,"")</f>
        <v>0.06845493254577</v>
      </c>
      <c r="AA392" s="190">
        <f>IFERROR(-N(AA251)/AA138,"")</f>
        <v>0.0710316372409256</v>
      </c>
      <c r="AB392" s="190">
        <f>IFERROR(-N(AB251)/AB138,"")</f>
        <v>0.0636254484455573</v>
      </c>
      <c r="AC392" s="190">
        <f>IFERROR(-N(AC251)/AC138,"")</f>
        <v>0.0796246841456926</v>
      </c>
      <c r="AD392" s="190">
        <f>IFERROR(-N(AD251)/AD138,"")</f>
        <v>0.0616337248037205</v>
      </c>
      <c r="AE392" s="190">
        <f>IFERROR(-N(AE251)/AE138,"")</f>
        <v>0.0614781319574701</v>
      </c>
      <c r="AF392" s="190">
        <f>IFERROR(-N(AF251)/AF138,"")</f>
        <v>0.0515898741277985</v>
      </c>
      <c r="AG392" s="190">
        <f>IFERROR(-N(AG251)/AG138,"")</f>
        <v>0.0525432731739102</v>
      </c>
      <c r="AH392" s="190">
        <f>IFERROR(-N(AH251)/AH138,"")</f>
        <v>0.0567090823768463</v>
      </c>
      <c r="AI392" s="190">
        <f>IFERROR(-N(AI251)/AI138,"")</f>
        <v>0.0590067993459397</v>
      </c>
      <c r="AJ392" s="190">
        <f>IFERROR(-N(AJ251)/AJ138,"")</f>
        <v>0.0587618060626045</v>
      </c>
      <c r="AK392" s="190">
        <f>IFERROR(-N(AK251)/AK138,"")</f>
        <v>0.067106588027956</v>
      </c>
      <c r="AL392" s="190">
        <f>IFERROR(-N(AL251)/AL138,"")</f>
        <v>0.0496641824088445</v>
      </c>
      <c r="AM392" s="190">
        <f>IFERROR(-N(AM251)/AM138,"")</f>
        <v>0.0585837118591838</v>
      </c>
      <c r="AN392" s="190">
        <f>IFERROR(-N(AN251)/AN138,"")</f>
        <v>0.0754918747654766</v>
      </c>
      <c r="AO392" s="190">
        <f>IFERROR(-N(AO251)/AO138,"")</f>
        <v>0.0684085472407497</v>
      </c>
      <c r="AP392" s="190">
        <f>IFERROR(-N(AP251)/AP138,"")</f>
        <v>0.062984204883432</v>
      </c>
      <c r="AQ392" s="190">
        <f>IFERROR(-N(AQ251)/AQ138,"")</f>
        <v>0.0479802067726362</v>
      </c>
      <c r="AR392" s="190">
        <f>IFERROR(-N(AR251)/AR138,"")</f>
        <v>0.0633974075300613</v>
      </c>
      <c r="AS392" s="190">
        <f>IFERROR(-N(AS251)/AS138,"")</f>
        <v>0.0964017783202863</v>
      </c>
      <c r="AT392" s="190">
        <f>IFERROR(-N(AT251)/AT138,"")</f>
        <v>0.0604985915492958</v>
      </c>
      <c r="AU392" s="190">
        <f>IFERROR(-N(AU251)/AU138,"")</f>
        <v>0.0316112012153811</v>
      </c>
      <c r="AV392" s="190">
        <f>IFERROR(-N(AV251)/AV138,"")</f>
        <v>0.0576483000288876</v>
      </c>
      <c r="AW392" s="190">
        <f>IFERROR(-N(AW251)/AW138,"")</f>
        <v>0.06242046603524</v>
      </c>
      <c r="AX392" s="190">
        <f>IFERROR(-N(AX251)/AX138,"")</f>
        <v>0.0518630250894638</v>
      </c>
      <c r="AY392" s="190">
        <f>IFERROR(-N(AY251)/AY138,"")</f>
        <v>0.054049940742052</v>
      </c>
      <c r="AZ392" s="190">
        <f>IFERROR(-N(AZ251)/AZ138,"")</f>
        <v>0.0574537115375116</v>
      </c>
      <c r="BA392" s="190">
        <f>IFERROR(-N(BA251)/BA138,"")</f>
        <v>0.0850411931957755</v>
      </c>
      <c r="BB392" s="190">
        <f>IFERROR(-N(BB251)/BB138,"")</f>
        <v>0.0635532270363988</v>
      </c>
      <c r="BC392" s="190">
        <f>IFERROR(-N(BC251)/BC138,"")</f>
        <v>0.0601381051724005</v>
      </c>
      <c r="BD392" s="190">
        <f>IFERROR(-N(BD251)/BD138,"")</f>
        <v>0.0573127716926489</v>
      </c>
      <c r="BE392" s="190">
        <f>IFERROR(-N(BE251)/BE138,"")</f>
        <v>0.0707989077725103</v>
      </c>
      <c r="BF392" s="190">
        <f>IFERROR(-N(BF251)/BF138,"")</f>
        <v>0.0786395096463652</v>
      </c>
      <c r="BG392" s="190">
        <f>IFERROR(-N(BG251)/BG138,"")</f>
        <v>0.0667858293792539</v>
      </c>
      <c r="BH392" s="190">
        <f>IFERROR(-N(BH251)/BH138,"")</f>
        <v>0.0624803520304241</v>
      </c>
      <c r="BI392" s="190">
        <f>IFERROR(-N(BI251)/BI138,"")</f>
        <v>0.0877115673510265</v>
      </c>
      <c r="BJ392" s="190">
        <f>IFERROR(-N(BJ251)/BJ138,"")</f>
        <v>0.078793523595295</v>
      </c>
      <c r="BK392" s="190">
        <f>IFERROR(-N(BK251)/BK138,"")</f>
        <v>0.0824963065203274</v>
      </c>
      <c r="BL392" s="190">
        <f>IFERROR(-N(BL251)/BL138,"")</f>
        <v>0.0780713871601316</v>
      </c>
      <c r="BM392" s="190">
        <f>IFERROR(-N(BM251)/BM138,"")</f>
        <v>0.100176872873076</v>
      </c>
      <c r="BN392" s="190">
        <f>IFERROR(-N(BN251)/BN138,"")</f>
        <v>0.0870151006073861</v>
      </c>
      <c r="BO392" s="190">
        <f>IFERROR(-N(BO251)/BO138,"")</f>
        <v>0.0632938456488791</v>
      </c>
      <c r="BP392" s="190">
        <f>IFERROR(-N(BP251)/BP138,"")</f>
        <v>0.0436128168506257</v>
      </c>
      <c r="BQ392" s="190">
        <f>IFERROR(-N(BQ251)/BQ138,"")</f>
        <v>0.0733861668142627</v>
      </c>
      <c r="BR392" s="190">
        <f>IFERROR(-N(BR251)/BR138,"")</f>
        <v>0.0828904640525158</v>
      </c>
      <c r="BS392" s="190">
        <f>IFERROR(-N(BS251)/BS138,"")</f>
        <v>0.0580886973869797</v>
      </c>
      <c r="BT392" s="190">
        <f>IFERROR(-N(BT251)/BT138,"")</f>
        <v>0.0609583324996434</v>
      </c>
      <c r="BU392" s="190">
        <f>IFERROR(-N(BU251)/BU138,"")</f>
        <v>0.0811824529771367</v>
      </c>
      <c r="BV392" s="190">
        <f>IFERROR(-N(BV251)/BV138,"")</f>
        <v>0.0704575500879894</v>
      </c>
      <c r="BW392" s="190">
        <f>IFERROR(-N(BW251)/BW138,"")</f>
        <v>0.067448101692523</v>
      </c>
      <c r="BX392" s="190">
        <f>IFERROR(-N(BX251)/BX138,"")</f>
        <v>0.0727346607070297</v>
      </c>
      <c r="BY392" s="169" t="n"/>
      <c r="BZ392" s="169" t="n"/>
      <c r="CA392" s="179">
        <f>IFERROR(-N(CA251)/CA138,"")</f>
        <v>0.0811423005751246</v>
      </c>
      <c r="CB392" s="179">
        <f>IFERROR(-N(CB251)/CB138,"")</f>
        <v>0.072</v>
      </c>
      <c r="CC392" s="179">
        <f>IFERROR(-N(CC251)/CC138,"")</f>
        <v>0.072</v>
      </c>
      <c r="CD392" s="179">
        <f>IFERROR(-N(CD251)/CD138,"")</f>
        <v>0.072</v>
      </c>
      <c r="CE392" s="179">
        <f>IFERROR(-N(CE251)/CE138,"")</f>
        <v>0.072</v>
      </c>
      <c r="CF392" s="20" t="n"/>
    </row>
    <row r="393" hidden="1" outlineLevel="1" ht="15" customHeight="1"/>
    <row r="394" hidden="1" outlineLevel="1" ht="15" customHeight="1">
      <c r="B394" s="11" t="inlineStr">
        <is>
          <t>RATIO ANALYSIS</t>
        </is>
      </c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  <c r="AG394" s="11" t="n"/>
      <c r="AH394" s="11" t="n"/>
      <c r="AI394" s="11" t="n"/>
      <c r="AJ394" s="11" t="n"/>
      <c r="AK394" s="11" t="n"/>
      <c r="AL394" s="11" t="n"/>
      <c r="AM394" s="11" t="n"/>
      <c r="AN394" s="11" t="n"/>
      <c r="AO394" s="11" t="n"/>
      <c r="AP394" s="11" t="n"/>
      <c r="AQ394" s="11" t="n"/>
      <c r="AR394" s="11" t="n"/>
      <c r="AS394" s="11" t="n"/>
      <c r="AT394" s="11" t="n"/>
      <c r="AU394" s="11" t="n"/>
      <c r="AV394" s="11" t="n"/>
      <c r="AW394" s="11" t="n"/>
      <c r="AX394" s="11" t="n"/>
      <c r="AY394" s="11" t="n"/>
      <c r="AZ394" s="11" t="n"/>
      <c r="BA394" s="11" t="n"/>
      <c r="BB394" s="11" t="n"/>
      <c r="BC394" s="11" t="n"/>
      <c r="BD394" s="11" t="n"/>
      <c r="BE394" s="11" t="n"/>
      <c r="BF394" s="11" t="n"/>
      <c r="BG394" s="11" t="n"/>
      <c r="BH394" s="11" t="n"/>
      <c r="BI394" s="11" t="n"/>
      <c r="BJ394" s="11" t="n"/>
      <c r="BK394" s="11" t="n"/>
      <c r="BL394" s="11" t="n"/>
      <c r="BM394" s="11" t="n"/>
      <c r="BN394" s="11" t="n"/>
      <c r="BO394" s="11" t="n"/>
      <c r="BP394" s="11" t="n"/>
      <c r="BQ394" s="11" t="n"/>
      <c r="BR394" s="11" t="n"/>
      <c r="BS394" s="11" t="n"/>
      <c r="BT394" s="11" t="n"/>
      <c r="BU394" s="11" t="n"/>
      <c r="BV394" s="11" t="n"/>
      <c r="BW394" s="11" t="n"/>
      <c r="BX394" s="11" t="n"/>
      <c r="BY394" s="11" t="n"/>
      <c r="BZ394" s="11" t="n"/>
      <c r="CA394" s="11" t="n"/>
      <c r="CB394" s="11" t="n"/>
      <c r="CC394" s="11" t="n"/>
      <c r="CD394" s="11" t="n"/>
      <c r="CE394" s="11" t="n"/>
      <c r="CF394" s="11" t="inlineStr">
        <is>
          <t>RETURNS — annual columns (NOPAT on Adjusted EBIT)</t>
        </is>
      </c>
    </row>
    <row r="395" hidden="1" outlineLevel="1" ht="15" customHeight="1">
      <c r="B395" s="26" t="inlineStr">
        <is>
          <t>DuPont decomposition of ROIC</t>
        </is>
      </c>
      <c r="C395" s="217" t="n"/>
      <c r="D395" s="217" t="n"/>
      <c r="E395" s="217" t="n"/>
      <c r="F395" s="217" t="n"/>
      <c r="G395" s="217" t="n"/>
      <c r="H395" s="217" t="n"/>
      <c r="I395" s="217" t="n"/>
      <c r="J395" s="217" t="n"/>
      <c r="K395" s="217" t="n"/>
      <c r="L395" s="217" t="n"/>
      <c r="M395" s="217" t="n"/>
      <c r="N395" s="217" t="n"/>
      <c r="O395" s="217" t="n"/>
      <c r="P395" s="217" t="n"/>
      <c r="Q395" s="217" t="n"/>
      <c r="R395" s="217" t="n"/>
      <c r="S395" s="217" t="n"/>
      <c r="T395" s="217" t="n"/>
      <c r="U395" s="217" t="n"/>
      <c r="V395" s="217" t="n"/>
      <c r="W395" s="217" t="n"/>
      <c r="X395" s="217" t="n"/>
      <c r="Y395" s="217" t="n"/>
      <c r="Z395" s="217" t="n"/>
      <c r="AA395" s="217" t="n"/>
      <c r="AB395" s="217" t="n"/>
      <c r="AC395" s="217" t="n"/>
      <c r="AD395" s="217" t="n"/>
      <c r="AE395" s="217" t="n"/>
      <c r="AF395" s="217" t="n"/>
      <c r="AG395" s="217" t="n"/>
      <c r="AH395" s="217" t="n"/>
      <c r="AI395" s="217" t="n"/>
      <c r="AJ395" s="217" t="n"/>
      <c r="AK395" s="217" t="n"/>
      <c r="AL395" s="217" t="n"/>
      <c r="AM395" s="217" t="n"/>
      <c r="AN395" s="217" t="n"/>
      <c r="AO395" s="217" t="n"/>
      <c r="AP395" s="217" t="n"/>
      <c r="AQ395" s="217" t="n"/>
      <c r="AR395" s="217" t="n"/>
      <c r="AS395" s="217" t="n"/>
      <c r="AT395" s="217" t="n"/>
      <c r="AU395" s="217" t="n"/>
      <c r="AV395" s="217" t="n"/>
      <c r="AW395" s="217" t="n"/>
      <c r="AX395" s="217" t="n"/>
      <c r="AY395" s="217" t="n"/>
      <c r="AZ395" s="217" t="n"/>
      <c r="BA395" s="217" t="n"/>
      <c r="BB395" s="217" t="n"/>
      <c r="BC395" s="217" t="n"/>
      <c r="BD395" s="217" t="n"/>
      <c r="BE395" s="217" t="n"/>
      <c r="BF395" s="217" t="n"/>
      <c r="BG395" s="217" t="n"/>
      <c r="BH395" s="217" t="n"/>
      <c r="BI395" s="217" t="n"/>
      <c r="BJ395" s="217" t="n"/>
      <c r="BK395" s="217" t="n"/>
      <c r="BL395" s="217" t="n"/>
      <c r="BM395" s="217" t="n"/>
      <c r="BN395" s="217" t="n"/>
      <c r="BO395" s="217" t="n"/>
      <c r="BP395" s="217" t="n"/>
      <c r="BQ395" s="217" t="n"/>
      <c r="BR395" s="217" t="n"/>
      <c r="BS395" s="217" t="n"/>
      <c r="BT395" s="217" t="n"/>
      <c r="BU395" s="217" t="n"/>
      <c r="BV395" s="217" t="n"/>
      <c r="BW395" s="217" t="n"/>
      <c r="BX395" s="217" t="n"/>
      <c r="BY395" s="218" t="n"/>
      <c r="BZ395" s="218" t="n"/>
      <c r="CA395" s="218" t="n"/>
      <c r="CB395" s="218" t="n"/>
      <c r="CC395" s="218" t="n"/>
      <c r="CD395" s="218" t="n"/>
      <c r="CE395" s="218" t="n"/>
      <c r="CF395" s="20" t="n"/>
    </row>
    <row r="396" hidden="1" outlineLevel="1" ht="15" customHeight="1">
      <c r="B396" s="26" t="inlineStr">
        <is>
          <t>Adjusted EBIT (Adjusted EBITDA − D&amp;A)</t>
        </is>
      </c>
      <c r="C396" s="212">
        <f>C194</f>
        <v>84.5959999999999</v>
      </c>
      <c r="D396" s="212">
        <f>D194</f>
        <v>95.707</v>
      </c>
      <c r="E396" s="212">
        <f>E194</f>
        <v>118.748</v>
      </c>
      <c r="F396" s="212">
        <f>F194</f>
        <v>92.6820000000001</v>
      </c>
      <c r="G396" s="212">
        <f>G194</f>
        <v>222.219</v>
      </c>
      <c r="H396" s="212">
        <f>H194</f>
        <v>227.345</v>
      </c>
      <c r="I396" s="212">
        <f>I194</f>
        <v>212.121</v>
      </c>
      <c r="J396" s="184" t="n"/>
      <c r="K396" s="184" t="n"/>
      <c r="L396" s="184" t="n"/>
      <c r="M396" s="184" t="n"/>
      <c r="N396" s="212">
        <f>N194</f>
        <v>245.656</v>
      </c>
      <c r="O396" s="184" t="n"/>
      <c r="P396" s="184" t="n"/>
      <c r="Q396" s="184" t="n"/>
      <c r="R396" s="184" t="n"/>
      <c r="S396" s="212">
        <f>S194</f>
        <v>245.836</v>
      </c>
      <c r="T396" s="184" t="n"/>
      <c r="U396" s="184" t="n"/>
      <c r="V396" s="184" t="n"/>
      <c r="W396" s="184" t="n"/>
      <c r="X396" s="212">
        <f>X194</f>
        <v>229.973</v>
      </c>
      <c r="Y396" s="184" t="n"/>
      <c r="Z396" s="184" t="n"/>
      <c r="AA396" s="184" t="n"/>
      <c r="AB396" s="184" t="n"/>
      <c r="AC396" s="212">
        <f>AC194</f>
        <v>113.352</v>
      </c>
      <c r="AD396" s="184" t="n"/>
      <c r="AE396" s="184" t="n"/>
      <c r="AF396" s="184" t="n"/>
      <c r="AG396" s="184" t="n"/>
      <c r="AH396" s="212">
        <f>AH194</f>
        <v>137.235</v>
      </c>
      <c r="AI396" s="184" t="n"/>
      <c r="AJ396" s="184" t="n"/>
      <c r="AK396" s="184" t="n"/>
      <c r="AL396" s="184" t="n"/>
      <c r="AM396" s="212">
        <f>AM194</f>
        <v>192.38</v>
      </c>
      <c r="AN396" s="184" t="n"/>
      <c r="AO396" s="184" t="n"/>
      <c r="AP396" s="184" t="n"/>
      <c r="AQ396" s="184" t="n"/>
      <c r="AR396" s="212">
        <f>AR194</f>
        <v>239.592</v>
      </c>
      <c r="AS396" s="184" t="n"/>
      <c r="AT396" s="184" t="n"/>
      <c r="AU396" s="184" t="n"/>
      <c r="AV396" s="184" t="n"/>
      <c r="AW396" s="212">
        <f>AW194</f>
        <v>262.387</v>
      </c>
      <c r="AX396" s="184" t="n"/>
      <c r="AY396" s="184" t="n"/>
      <c r="AZ396" s="184" t="n"/>
      <c r="BA396" s="184" t="n"/>
      <c r="BB396" s="212">
        <f>BB194</f>
        <v>378.471</v>
      </c>
      <c r="BC396" s="184" t="n"/>
      <c r="BD396" s="184" t="n"/>
      <c r="BE396" s="184" t="n"/>
      <c r="BF396" s="184" t="n"/>
      <c r="BG396" s="212">
        <f>BG194</f>
        <v>674.534</v>
      </c>
      <c r="BH396" s="184" t="n"/>
      <c r="BI396" s="184" t="n"/>
      <c r="BJ396" s="184" t="n"/>
      <c r="BK396" s="184" t="n"/>
      <c r="BL396" s="212">
        <f>BL194</f>
        <v>646.809</v>
      </c>
      <c r="BM396" s="184" t="n"/>
      <c r="BN396" s="184" t="n"/>
      <c r="BO396" s="184" t="n"/>
      <c r="BP396" s="184" t="n"/>
      <c r="BQ396" s="212">
        <f>BQ194</f>
        <v>716.012</v>
      </c>
      <c r="BR396" s="184" t="n"/>
      <c r="BS396" s="184" t="n"/>
      <c r="BT396" s="184" t="n"/>
      <c r="BU396" s="184" t="n"/>
      <c r="BV396" s="212">
        <f>BV194</f>
        <v>723.933</v>
      </c>
      <c r="BW396" s="184" t="n"/>
      <c r="BX396" s="184" t="n"/>
      <c r="BY396" s="168" t="n"/>
      <c r="BZ396" s="168" t="n"/>
      <c r="CA396" s="186">
        <f>CA194</f>
        <v>905.46493150685</v>
      </c>
      <c r="CB396" s="186">
        <f>CB194</f>
        <v>1001.91453933807</v>
      </c>
      <c r="CC396" s="186">
        <f>CC194</f>
        <v>1123.69459751081</v>
      </c>
      <c r="CD396" s="186">
        <f>CD194</f>
        <v>1234.23903610154</v>
      </c>
      <c r="CE396" s="186">
        <f>CE194</f>
        <v>1338.19471647932</v>
      </c>
      <c r="CF396" s="20" t="n"/>
    </row>
    <row r="397" hidden="1" outlineLevel="1" ht="15" customHeight="1">
      <c r="B397" s="26" t="inlineStr">
        <is>
          <t>Effective tax rate (actual, bounded 0–40%)</t>
        </is>
      </c>
      <c r="C397" s="190">
        <f>IFERROR(MIN(MAX(C155,0),0.4),0.25)</f>
        <v>0.119709931448643</v>
      </c>
      <c r="D397" s="190">
        <f>IFERROR(MIN(MAX(D155,0),0.4),0.25)</f>
        <v>0.388161355519256</v>
      </c>
      <c r="E397" s="190">
        <f>IFERROR(MIN(MAX(E155,0),0.4),0.25)</f>
        <v>0.388297136533408</v>
      </c>
      <c r="F397" s="190">
        <f>IFERROR(MIN(MAX(F155,0),0.4),0.25)</f>
        <v>0.4</v>
      </c>
      <c r="G397" s="190">
        <f>IFERROR(MIN(MAX(G155,0),0.4),0.25)</f>
        <v>0.30765894935412</v>
      </c>
      <c r="H397" s="190">
        <f>IFERROR(MIN(MAX(H155,0),0.4),0.25)</f>
        <v>0.310952035434649</v>
      </c>
      <c r="I397" s="190">
        <f>IFERROR(MIN(MAX(I155,0),0.4),0.25)</f>
        <v>0</v>
      </c>
      <c r="J397" s="181" t="n"/>
      <c r="K397" s="181" t="n"/>
      <c r="L397" s="181" t="n"/>
      <c r="M397" s="181" t="n"/>
      <c r="N397" s="190">
        <f>IFERROR(MIN(MAX(N155,0),0.4),0.25)</f>
        <v>0.335816798137401</v>
      </c>
      <c r="O397" s="181" t="n"/>
      <c r="P397" s="181" t="n"/>
      <c r="Q397" s="181" t="n"/>
      <c r="R397" s="181" t="n"/>
      <c r="S397" s="190">
        <f>IFERROR(MIN(MAX(S155,0),0.4),0.25)</f>
        <v>0.4</v>
      </c>
      <c r="T397" s="181" t="n"/>
      <c r="U397" s="181" t="n"/>
      <c r="V397" s="181" t="n"/>
      <c r="W397" s="181" t="n"/>
      <c r="X397" s="190">
        <f>IFERROR(MIN(MAX(X155,0),0.4),0.25)</f>
        <v>0.4</v>
      </c>
      <c r="Y397" s="181" t="n"/>
      <c r="Z397" s="181" t="n"/>
      <c r="AA397" s="181" t="n"/>
      <c r="AB397" s="181" t="n"/>
      <c r="AC397" s="190">
        <f>IFERROR(MIN(MAX(AC155,0),0.4),0.25)</f>
        <v>0.4</v>
      </c>
      <c r="AD397" s="181" t="n"/>
      <c r="AE397" s="181" t="n"/>
      <c r="AF397" s="181" t="n"/>
      <c r="AG397" s="181" t="n"/>
      <c r="AH397" s="190">
        <f>IFERROR(MIN(MAX(AH155,0),0.4),0.25)</f>
        <v>0</v>
      </c>
      <c r="AI397" s="181" t="n"/>
      <c r="AJ397" s="181" t="n"/>
      <c r="AK397" s="181" t="n"/>
      <c r="AL397" s="181" t="n"/>
      <c r="AM397" s="190">
        <f>IFERROR(MIN(MAX(AM155,0),0.4),0.25)</f>
        <v>0.305306830930759</v>
      </c>
      <c r="AN397" s="181" t="n"/>
      <c r="AO397" s="181" t="n"/>
      <c r="AP397" s="181" t="n"/>
      <c r="AQ397" s="181" t="n"/>
      <c r="AR397" s="190">
        <f>IFERROR(MIN(MAX(AR155,0),0.4),0.25)</f>
        <v>0.34065934065934</v>
      </c>
      <c r="AS397" s="181" t="n"/>
      <c r="AT397" s="181" t="n"/>
      <c r="AU397" s="181" t="n"/>
      <c r="AV397" s="181" t="n"/>
      <c r="AW397" s="190">
        <f>IFERROR(MIN(MAX(AW155,0),0.4),0.25)</f>
        <v>0.227516470925236</v>
      </c>
      <c r="AX397" s="181" t="n"/>
      <c r="AY397" s="181" t="n"/>
      <c r="AZ397" s="181" t="n"/>
      <c r="BA397" s="181" t="n"/>
      <c r="BB397" s="190">
        <f>IFERROR(MIN(MAX(BB155,0),0.4),0.25)</f>
        <v>0.246437906679273</v>
      </c>
      <c r="BC397" s="181" t="n"/>
      <c r="BD397" s="181" t="n"/>
      <c r="BE397" s="181" t="n"/>
      <c r="BF397" s="181" t="n"/>
      <c r="BG397" s="190">
        <f>IFERROR(MIN(MAX(BG155,0),0.4),0.25)</f>
        <v>0.234673734846598</v>
      </c>
      <c r="BH397" s="181" t="n"/>
      <c r="BI397" s="181" t="n"/>
      <c r="BJ397" s="181" t="n"/>
      <c r="BK397" s="181" t="n"/>
      <c r="BL397" s="190">
        <f>IFERROR(MIN(MAX(BL155,0),0.4),0.25)</f>
        <v>0.249211669868999</v>
      </c>
      <c r="BM397" s="181" t="n"/>
      <c r="BN397" s="181" t="n"/>
      <c r="BO397" s="181" t="n"/>
      <c r="BP397" s="181" t="n"/>
      <c r="BQ397" s="190">
        <f>IFERROR(MIN(MAX(BQ155,0),0.4),0.25)</f>
        <v>0.245844448235332</v>
      </c>
      <c r="BR397" s="181" t="n"/>
      <c r="BS397" s="181" t="n"/>
      <c r="BT397" s="181" t="n"/>
      <c r="BU397" s="181" t="n"/>
      <c r="BV397" s="190">
        <f>IFERROR(MIN(MAX(BV155,0),0.4),0.25)</f>
        <v>0.259472656434967</v>
      </c>
      <c r="BW397" s="181" t="n"/>
      <c r="BX397" s="181" t="n"/>
      <c r="BY397" s="169" t="n"/>
      <c r="BZ397" s="169" t="n"/>
      <c r="CA397" s="179">
        <f>IFERROR(MIN(MAX(CA155,0),0.4),0.25)</f>
        <v>0.262326108607915</v>
      </c>
      <c r="CB397" s="179">
        <f>IFERROR(MIN(MAX(CB155,0),0.4),0.25)</f>
        <v>0.26</v>
      </c>
      <c r="CC397" s="179">
        <f>IFERROR(MIN(MAX(CC155,0),0.4),0.25)</f>
        <v>0.26</v>
      </c>
      <c r="CD397" s="179">
        <f>IFERROR(MIN(MAX(CD155,0),0.4),0.25)</f>
        <v>0.26</v>
      </c>
      <c r="CE397" s="179">
        <f>IFERROR(MIN(MAX(CE155,0),0.4),0.25)</f>
        <v>0.26</v>
      </c>
      <c r="CF397" s="20" t="n"/>
    </row>
    <row r="398" hidden="1" outlineLevel="1" ht="15" customHeight="1">
      <c r="B398" s="26" t="inlineStr">
        <is>
          <t>NOPAT = Adjusted EBIT × (1 − tax rate)</t>
        </is>
      </c>
      <c r="C398" s="212">
        <f>IFERROR(C396*(1-C397),"n/a")</f>
        <v>74.4690186391705</v>
      </c>
      <c r="D398" s="212">
        <f>IFERROR(D396*(1-D397),"n/a")</f>
        <v>58.5572411473186</v>
      </c>
      <c r="E398" s="212">
        <f>IFERROR(E396*(1-E397),"n/a")</f>
        <v>72.6384916309308</v>
      </c>
      <c r="F398" s="212">
        <f>IFERROR(F396*(1-F397),"n/a")</f>
        <v>55.6092</v>
      </c>
      <c r="G398" s="212">
        <f>IFERROR(G396*(1-G397),"n/a")</f>
        <v>153.851335933477</v>
      </c>
      <c r="H398" s="212">
        <f>IFERROR(H396*(1-H397),"n/a")</f>
        <v>156.65160950411</v>
      </c>
      <c r="I398" s="212">
        <f>IFERROR(I396*(1-I397),"n/a")</f>
        <v>212.121</v>
      </c>
      <c r="J398" s="184" t="n"/>
      <c r="K398" s="184" t="n"/>
      <c r="L398" s="184" t="n"/>
      <c r="M398" s="184" t="n"/>
      <c r="N398" s="212">
        <f>IFERROR(N396*(1-N397),"n/a")</f>
        <v>163.160588636759</v>
      </c>
      <c r="O398" s="184" t="n"/>
      <c r="P398" s="184" t="n"/>
      <c r="Q398" s="184" t="n"/>
      <c r="R398" s="184" t="n"/>
      <c r="S398" s="212">
        <f>IFERROR(S396*(1-S397),"n/a")</f>
        <v>147.5016</v>
      </c>
      <c r="T398" s="184" t="n"/>
      <c r="U398" s="184" t="n"/>
      <c r="V398" s="184" t="n"/>
      <c r="W398" s="184" t="n"/>
      <c r="X398" s="212">
        <f>IFERROR(X396*(1-X397),"n/a")</f>
        <v>137.9838</v>
      </c>
      <c r="Y398" s="184" t="n"/>
      <c r="Z398" s="184" t="n"/>
      <c r="AA398" s="184" t="n"/>
      <c r="AB398" s="184" t="n"/>
      <c r="AC398" s="212">
        <f>IFERROR(AC396*(1-AC397),"n/a")</f>
        <v>68.0112</v>
      </c>
      <c r="AD398" s="184" t="n"/>
      <c r="AE398" s="184" t="n"/>
      <c r="AF398" s="184" t="n"/>
      <c r="AG398" s="184" t="n"/>
      <c r="AH398" s="212">
        <f>IFERROR(AH396*(1-AH397),"n/a")</f>
        <v>137.235</v>
      </c>
      <c r="AI398" s="184" t="n"/>
      <c r="AJ398" s="184" t="n"/>
      <c r="AK398" s="184" t="n"/>
      <c r="AL398" s="184" t="n"/>
      <c r="AM398" s="212">
        <f>IFERROR(AM396*(1-AM397),"n/a")</f>
        <v>133.64507186554</v>
      </c>
      <c r="AN398" s="184" t="n"/>
      <c r="AO398" s="184" t="n"/>
      <c r="AP398" s="184" t="n"/>
      <c r="AQ398" s="184" t="n"/>
      <c r="AR398" s="212">
        <f>IFERROR(AR396*(1-AR397),"n/a")</f>
        <v>157.972747252747</v>
      </c>
      <c r="AS398" s="184" t="n"/>
      <c r="AT398" s="184" t="n"/>
      <c r="AU398" s="184" t="n"/>
      <c r="AV398" s="184" t="n"/>
      <c r="AW398" s="212">
        <f>IFERROR(AW396*(1-AW397),"n/a")</f>
        <v>202.68963574334</v>
      </c>
      <c r="AX398" s="184" t="n"/>
      <c r="AY398" s="184" t="n"/>
      <c r="AZ398" s="184" t="n"/>
      <c r="BA398" s="184" t="n"/>
      <c r="BB398" s="212">
        <f>IFERROR(BB396*(1-BB397),"n/a")</f>
        <v>285.201399021189</v>
      </c>
      <c r="BC398" s="184" t="n"/>
      <c r="BD398" s="184" t="n"/>
      <c r="BE398" s="184" t="n"/>
      <c r="BF398" s="184" t="n"/>
      <c r="BG398" s="212">
        <f>IFERROR(BG396*(1-BG397),"n/a")</f>
        <v>516.238586938985</v>
      </c>
      <c r="BH398" s="184" t="n"/>
      <c r="BI398" s="184" t="n"/>
      <c r="BJ398" s="184" t="n"/>
      <c r="BK398" s="184" t="n"/>
      <c r="BL398" s="212">
        <f>IFERROR(BL396*(1-BL397),"n/a")</f>
        <v>485.616649023703</v>
      </c>
      <c r="BM398" s="184" t="n"/>
      <c r="BN398" s="184" t="n"/>
      <c r="BO398" s="184" t="n"/>
      <c r="BP398" s="184" t="n"/>
      <c r="BQ398" s="212">
        <f>IFERROR(BQ396*(1-BQ397),"n/a")</f>
        <v>539.984424930124</v>
      </c>
      <c r="BR398" s="184" t="n"/>
      <c r="BS398" s="184" t="n"/>
      <c r="BT398" s="184" t="n"/>
      <c r="BU398" s="184" t="n"/>
      <c r="BV398" s="212">
        <f>IFERROR(BV396*(1-BV397),"n/a")</f>
        <v>536.092181409066</v>
      </c>
      <c r="BW398" s="184" t="n"/>
      <c r="BX398" s="184" t="n"/>
      <c r="BY398" s="168" t="n"/>
      <c r="BZ398" s="168" t="n"/>
      <c r="CA398" s="186">
        <f>IFERROR(CA396*(1-CA397),"n/a")</f>
        <v>667.937839543726</v>
      </c>
      <c r="CB398" s="186">
        <f>IFERROR(CB396*(1-CB397),"n/a")</f>
        <v>741.416759110174</v>
      </c>
      <c r="CC398" s="186">
        <f>IFERROR(CC396*(1-CC397),"n/a")</f>
        <v>831.534002158001</v>
      </c>
      <c r="CD398" s="186">
        <f>IFERROR(CD396*(1-CD397),"n/a")</f>
        <v>913.33688671514</v>
      </c>
      <c r="CE398" s="186">
        <f>IFERROR(CE396*(1-CE397),"n/a")</f>
        <v>990.264090194698</v>
      </c>
      <c r="CF398" s="20" t="n"/>
    </row>
    <row r="399" hidden="1" outlineLevel="1" ht="15" customHeight="1">
      <c r="B399" s="26" t="inlineStr">
        <is>
          <t>Invested capital (IC) = Equity + Net debt</t>
        </is>
      </c>
      <c r="C399" s="212">
        <f>IFERROR(C400+C401,"n/a")</f>
        <v>213.957</v>
      </c>
      <c r="D399" s="212">
        <f>IFERROR(D400+D401,"n/a")</f>
        <v>205.992</v>
      </c>
      <c r="E399" s="212">
        <f>IFERROR(E400+E401,"n/a")</f>
        <v>232.976</v>
      </c>
      <c r="F399" s="212">
        <f>IFERROR(F400+F401,"n/a")</f>
        <v>679.478</v>
      </c>
      <c r="G399" s="212">
        <f>IFERROR(G400+G401,"n/a")</f>
        <v>754.243</v>
      </c>
      <c r="H399" s="212">
        <f>IFERROR(H400+H401,"n/a")</f>
        <v>1179.041</v>
      </c>
      <c r="I399" s="212">
        <f>IFERROR(I400+I401,"n/a")</f>
        <v>2598.429</v>
      </c>
      <c r="J399" s="184" t="n"/>
      <c r="K399" s="184" t="n"/>
      <c r="L399" s="184" t="n"/>
      <c r="M399" s="184" t="n"/>
      <c r="N399" s="212">
        <f>IFERROR(N400+N401,"n/a")</f>
        <v>2555.895</v>
      </c>
      <c r="O399" s="184" t="n"/>
      <c r="P399" s="184" t="n"/>
      <c r="Q399" s="184" t="n"/>
      <c r="R399" s="184" t="n"/>
      <c r="S399" s="212">
        <f>IFERROR(S400+S401,"n/a")</f>
        <v>2411.528</v>
      </c>
      <c r="T399" s="184" t="n"/>
      <c r="U399" s="184" t="n"/>
      <c r="V399" s="184" t="n"/>
      <c r="W399" s="184" t="n"/>
      <c r="X399" s="212">
        <f>IFERROR(X400+X401,"n/a")</f>
        <v>2294.117</v>
      </c>
      <c r="Y399" s="184" t="n"/>
      <c r="Z399" s="184" t="n"/>
      <c r="AA399" s="184" t="n"/>
      <c r="AB399" s="184" t="n"/>
      <c r="AC399" s="212">
        <f>IFERROR(AC400+AC401,"n/a")</f>
        <v>2410.516</v>
      </c>
      <c r="AD399" s="184" t="n"/>
      <c r="AE399" s="184" t="n"/>
      <c r="AF399" s="184" t="n"/>
      <c r="AG399" s="184" t="n"/>
      <c r="AH399" s="212">
        <f>IFERROR(AH400+AH401,"n/a")</f>
        <v>2460.161</v>
      </c>
      <c r="AI399" s="184" t="n"/>
      <c r="AJ399" s="184" t="n"/>
      <c r="AK399" s="184" t="n"/>
      <c r="AL399" s="184" t="n"/>
      <c r="AM399" s="212">
        <f>IFERROR(AM400+AM401,"n/a")</f>
        <v>2462.949</v>
      </c>
      <c r="AN399" s="184" t="n"/>
      <c r="AO399" s="184" t="n"/>
      <c r="AP399" s="184" t="n"/>
      <c r="AQ399" s="184" t="n"/>
      <c r="AR399" s="212">
        <f>IFERROR(AR400+AR401,"n/a")</f>
        <v>2417.052</v>
      </c>
      <c r="AS399" s="184" t="n"/>
      <c r="AT399" s="184" t="n"/>
      <c r="AU399" s="184" t="n"/>
      <c r="AV399" s="184" t="n"/>
      <c r="AW399" s="212">
        <f>IFERROR(AW400+AW401,"n/a")</f>
        <v>2327.769</v>
      </c>
      <c r="AX399" s="184" t="n"/>
      <c r="AY399" s="184" t="n"/>
      <c r="AZ399" s="184" t="n"/>
      <c r="BA399" s="184" t="n"/>
      <c r="BB399" s="212">
        <f>IFERROR(BB400+BB401,"n/a")</f>
        <v>3514.147</v>
      </c>
      <c r="BC399" s="184" t="n"/>
      <c r="BD399" s="184" t="n"/>
      <c r="BE399" s="184" t="n"/>
      <c r="BF399" s="184" t="n"/>
      <c r="BG399" s="212">
        <f>IFERROR(BG400+BG401,"n/a")</f>
        <v>3792.514</v>
      </c>
      <c r="BH399" s="184" t="n"/>
      <c r="BI399" s="184" t="n"/>
      <c r="BJ399" s="184" t="n"/>
      <c r="BK399" s="184" t="n"/>
      <c r="BL399" s="212">
        <f>IFERROR(BL400+BL401,"n/a")</f>
        <v>3998.424</v>
      </c>
      <c r="BM399" s="184" t="n"/>
      <c r="BN399" s="184" t="n"/>
      <c r="BO399" s="184" t="n"/>
      <c r="BP399" s="184" t="n"/>
      <c r="BQ399" s="212">
        <f>IFERROR(BQ400+BQ401,"n/a")</f>
        <v>4569.922</v>
      </c>
      <c r="BR399" s="184" t="n"/>
      <c r="BS399" s="184" t="n"/>
      <c r="BT399" s="184" t="n"/>
      <c r="BU399" s="184" t="n"/>
      <c r="BV399" s="212">
        <f>IFERROR(BV400+BV401,"n/a")</f>
        <v>4568.145</v>
      </c>
      <c r="BW399" s="184" t="n"/>
      <c r="BX399" s="184" t="n"/>
      <c r="BY399" s="168" t="n"/>
      <c r="BZ399" s="168" t="n"/>
      <c r="CA399" s="186">
        <f>IFERROR(CA400+CA401,"n/a")</f>
        <v>5879.04543282865</v>
      </c>
      <c r="CB399" s="186">
        <f>IFERROR(CB400+CB401,"n/a")</f>
        <v>6209.79324658806</v>
      </c>
      <c r="CC399" s="186">
        <f>IFERROR(CC400+CC401,"n/a")</f>
        <v>6567.63426304836</v>
      </c>
      <c r="CD399" s="186">
        <f>IFERROR(CD400+CD401,"n/a")</f>
        <v>6921.14182534083</v>
      </c>
      <c r="CE399" s="186">
        <f>IFERROR(CE400+CE401,"n/a")</f>
        <v>7272.20128477729</v>
      </c>
      <c r="CF399" s="20" t="n"/>
    </row>
    <row r="400" hidden="1" outlineLevel="1" ht="15" customHeight="1">
      <c r="B400" s="26" t="inlineStr">
        <is>
          <t xml:space="preserve">  Total equity incl. NCI</t>
        </is>
      </c>
      <c r="C400" s="212">
        <f>C326</f>
        <v>173.186</v>
      </c>
      <c r="D400" s="212">
        <f>D326</f>
        <v>202.897</v>
      </c>
      <c r="E400" s="212">
        <f>E326</f>
        <v>429.045</v>
      </c>
      <c r="F400" s="212">
        <f>F326</f>
        <v>613.825</v>
      </c>
      <c r="G400" s="212">
        <f>G326</f>
        <v>780.827</v>
      </c>
      <c r="H400" s="212">
        <f>H326</f>
        <v>900.987</v>
      </c>
      <c r="I400" s="212">
        <f>I326</f>
        <v>1432.072</v>
      </c>
      <c r="J400" s="184" t="n"/>
      <c r="K400" s="184" t="n"/>
      <c r="L400" s="184" t="n"/>
      <c r="M400" s="184" t="n"/>
      <c r="N400" s="212">
        <f>N326</f>
        <v>1475.639</v>
      </c>
      <c r="O400" s="184" t="n"/>
      <c r="P400" s="184" t="n"/>
      <c r="Q400" s="184" t="n"/>
      <c r="R400" s="184" t="n"/>
      <c r="S400" s="212">
        <f>S326</f>
        <v>1262.871</v>
      </c>
      <c r="T400" s="184" t="n"/>
      <c r="U400" s="184" t="n"/>
      <c r="V400" s="184" t="n"/>
      <c r="W400" s="184" t="n"/>
      <c r="X400" s="212">
        <f>X326</f>
        <v>1096.282</v>
      </c>
      <c r="Y400" s="184" t="n"/>
      <c r="Z400" s="184" t="n"/>
      <c r="AA400" s="184" t="n"/>
      <c r="AB400" s="184" t="n"/>
      <c r="AC400" s="212">
        <f>AC326</f>
        <v>1084.241</v>
      </c>
      <c r="AD400" s="184" t="n"/>
      <c r="AE400" s="184" t="n"/>
      <c r="AF400" s="184" t="n"/>
      <c r="AG400" s="184" t="n"/>
      <c r="AH400" s="212">
        <f>AH326</f>
        <v>1188.202</v>
      </c>
      <c r="AI400" s="184" t="n"/>
      <c r="AJ400" s="184" t="n"/>
      <c r="AK400" s="184" t="n"/>
      <c r="AL400" s="184" t="n"/>
      <c r="AM400" s="212">
        <f>AM326</f>
        <v>1169.756</v>
      </c>
      <c r="AN400" s="184" t="n"/>
      <c r="AO400" s="184" t="n"/>
      <c r="AP400" s="184" t="n"/>
      <c r="AQ400" s="184" t="n"/>
      <c r="AR400" s="212">
        <f>AR326</f>
        <v>1269.813</v>
      </c>
      <c r="AS400" s="184" t="n"/>
      <c r="AT400" s="184" t="n"/>
      <c r="AU400" s="184" t="n"/>
      <c r="AV400" s="184" t="n"/>
      <c r="AW400" s="212">
        <f>AW326</f>
        <v>1341.551</v>
      </c>
      <c r="AX400" s="184" t="n"/>
      <c r="AY400" s="184" t="n"/>
      <c r="AZ400" s="184" t="n"/>
      <c r="BA400" s="184" t="n"/>
      <c r="BB400" s="212">
        <f>BB326</f>
        <v>1513.887</v>
      </c>
      <c r="BC400" s="184" t="n"/>
      <c r="BD400" s="184" t="n"/>
      <c r="BE400" s="184" t="n"/>
      <c r="BF400" s="184" t="n"/>
      <c r="BG400" s="212">
        <f>BG326</f>
        <v>1922.322</v>
      </c>
      <c r="BH400" s="184" t="n"/>
      <c r="BI400" s="184" t="n"/>
      <c r="BJ400" s="184" t="n"/>
      <c r="BK400" s="184" t="n"/>
      <c r="BL400" s="212">
        <f>BL326</f>
        <v>2247.506</v>
      </c>
      <c r="BM400" s="184" t="n"/>
      <c r="BN400" s="184" t="n"/>
      <c r="BO400" s="184" t="n"/>
      <c r="BP400" s="184" t="n"/>
      <c r="BQ400" s="212">
        <f>BQ326</f>
        <v>2573.529</v>
      </c>
      <c r="BR400" s="184" t="n"/>
      <c r="BS400" s="184" t="n"/>
      <c r="BT400" s="184" t="n"/>
      <c r="BU400" s="184" t="n"/>
      <c r="BV400" s="212">
        <f>BV326</f>
        <v>2745.66</v>
      </c>
      <c r="BW400" s="184" t="n"/>
      <c r="BX400" s="184" t="n"/>
      <c r="BY400" s="168" t="n"/>
      <c r="BZ400" s="168" t="n"/>
      <c r="CA400" s="186">
        <f>CA326</f>
        <v>3168.73415093436</v>
      </c>
      <c r="CB400" s="186">
        <f>CB326</f>
        <v>3496.94964767528</v>
      </c>
      <c r="CC400" s="186">
        <f>CC326</f>
        <v>3559.76772253988</v>
      </c>
      <c r="CD400" s="186">
        <f>CD326</f>
        <v>3636.64169969446</v>
      </c>
      <c r="CE400" s="186">
        <f>CE326</f>
        <v>3719.76349831034</v>
      </c>
      <c r="CF400" s="20" t="n"/>
    </row>
    <row r="401" hidden="1" outlineLevel="1" ht="15" customHeight="1">
      <c r="B401" s="26" t="inlineStr">
        <is>
          <t xml:space="preserve">  Net debt = Total debt − cash − short-term marketable securities</t>
        </is>
      </c>
      <c r="C401" s="212">
        <f>C368-C292-N(C293)</f>
        <v>40.771</v>
      </c>
      <c r="D401" s="212">
        <f>D368-D292-N(D293)</f>
        <v>3.09500000000001</v>
      </c>
      <c r="E401" s="212">
        <f>E368-E292-N(E293)</f>
        <v>-196.069</v>
      </c>
      <c r="F401" s="212">
        <f>F368-F292-N(F293)</f>
        <v>65.653</v>
      </c>
      <c r="G401" s="212">
        <f>G368-G292-N(G293)</f>
        <v>-26.584</v>
      </c>
      <c r="H401" s="212">
        <f>H368-H292-N(H293)</f>
        <v>278.054</v>
      </c>
      <c r="I401" s="212">
        <f>I368-I292-N(I293)</f>
        <v>1166.357</v>
      </c>
      <c r="J401" s="184" t="n"/>
      <c r="K401" s="184" t="n"/>
      <c r="L401" s="184" t="n"/>
      <c r="M401" s="184" t="n"/>
      <c r="N401" s="212">
        <f>N368-N292-N(N293)</f>
        <v>1080.256</v>
      </c>
      <c r="O401" s="184" t="n"/>
      <c r="P401" s="184" t="n"/>
      <c r="Q401" s="184" t="n"/>
      <c r="R401" s="184" t="n"/>
      <c r="S401" s="212">
        <f>S368-S292-N(S293)</f>
        <v>1148.657</v>
      </c>
      <c r="T401" s="184" t="n"/>
      <c r="U401" s="184" t="n"/>
      <c r="V401" s="184" t="n"/>
      <c r="W401" s="184" t="n"/>
      <c r="X401" s="212">
        <f>X368-X292-N(X293)</f>
        <v>1197.835</v>
      </c>
      <c r="Y401" s="184" t="n"/>
      <c r="Z401" s="184" t="n"/>
      <c r="AA401" s="184" t="n"/>
      <c r="AB401" s="184" t="n"/>
      <c r="AC401" s="212">
        <f>AC368-AC292-N(AC293)</f>
        <v>1326.275</v>
      </c>
      <c r="AD401" s="184" t="n"/>
      <c r="AE401" s="184" t="n"/>
      <c r="AF401" s="184" t="n"/>
      <c r="AG401" s="184" t="n"/>
      <c r="AH401" s="212">
        <f>AH368-AH292-N(AH293)</f>
        <v>1271.959</v>
      </c>
      <c r="AI401" s="184" t="n"/>
      <c r="AJ401" s="184" t="n"/>
      <c r="AK401" s="184" t="n"/>
      <c r="AL401" s="184" t="n"/>
      <c r="AM401" s="212">
        <f>AM368-AM292-N(AM293)</f>
        <v>1293.193</v>
      </c>
      <c r="AN401" s="184" t="n"/>
      <c r="AO401" s="184" t="n"/>
      <c r="AP401" s="184" t="n"/>
      <c r="AQ401" s="184" t="n"/>
      <c r="AR401" s="212">
        <f>AR368-AR292-N(AR293)</f>
        <v>1147.239</v>
      </c>
      <c r="AS401" s="184" t="n"/>
      <c r="AT401" s="184" t="n"/>
      <c r="AU401" s="184" t="n"/>
      <c r="AV401" s="184" t="n"/>
      <c r="AW401" s="212">
        <f>AW368-AW292-N(AW293)</f>
        <v>986.218</v>
      </c>
      <c r="AX401" s="184" t="n"/>
      <c r="AY401" s="184" t="n"/>
      <c r="AZ401" s="184" t="n"/>
      <c r="BA401" s="184" t="n"/>
      <c r="BB401" s="212">
        <f>BB368-BB292-N(BB293)</f>
        <v>2000.26</v>
      </c>
      <c r="BC401" s="184" t="n"/>
      <c r="BD401" s="184" t="n"/>
      <c r="BE401" s="184" t="n"/>
      <c r="BF401" s="184" t="n"/>
      <c r="BG401" s="212">
        <f>BG368-BG292-N(BG293)</f>
        <v>1870.192</v>
      </c>
      <c r="BH401" s="184" t="n"/>
      <c r="BI401" s="184" t="n"/>
      <c r="BJ401" s="184" t="n"/>
      <c r="BK401" s="184" t="n"/>
      <c r="BL401" s="212">
        <f>BL368-BL292-N(BL293)</f>
        <v>1750.918</v>
      </c>
      <c r="BM401" s="184" t="n"/>
      <c r="BN401" s="184" t="n"/>
      <c r="BO401" s="184" t="n"/>
      <c r="BP401" s="184" t="n"/>
      <c r="BQ401" s="212">
        <f>BQ368-BQ292-N(BQ293)</f>
        <v>1996.393</v>
      </c>
      <c r="BR401" s="184" t="n"/>
      <c r="BS401" s="184" t="n"/>
      <c r="BT401" s="184" t="n"/>
      <c r="BU401" s="184" t="n"/>
      <c r="BV401" s="212">
        <f>BV368-BV292-N(BV293)</f>
        <v>1822.485</v>
      </c>
      <c r="BW401" s="184" t="n"/>
      <c r="BX401" s="184" t="n"/>
      <c r="BY401" s="168" t="n"/>
      <c r="BZ401" s="168" t="n"/>
      <c r="CA401" s="186">
        <f>CA368-CA292-N(CA293)</f>
        <v>2710.31128189429</v>
      </c>
      <c r="CB401" s="186">
        <f>CB368-CB292-N(CB293)</f>
        <v>2712.84359891278</v>
      </c>
      <c r="CC401" s="186">
        <f>CC368-CC292-N(CC293)</f>
        <v>3007.86654050848</v>
      </c>
      <c r="CD401" s="186">
        <f>CD368-CD292-N(CD293)</f>
        <v>3284.50012564637</v>
      </c>
      <c r="CE401" s="186">
        <f>CE368-CE292-N(CE293)</f>
        <v>3552.43778646695</v>
      </c>
      <c r="CF401" s="20" t="n"/>
    </row>
    <row r="402" collapsed="1" ht="15" customHeight="1">
      <c r="B402" s="17" t="inlineStr">
        <is>
          <t>ROIC = NOPAT / IC</t>
        </is>
      </c>
      <c r="C402" s="241">
        <f>IFERROR(C398/C399,"n/a")</f>
        <v>0.348056004894304</v>
      </c>
      <c r="D402" s="241">
        <f>IFERROR(D398/D399,"n/a")</f>
        <v>0.284269491763362</v>
      </c>
      <c r="E402" s="241">
        <f>IFERROR(E398/E399,"n/a")</f>
        <v>0.311785298189216</v>
      </c>
      <c r="F402" s="241">
        <f>IFERROR(F398/F399,"n/a")</f>
        <v>0.0818410603433813</v>
      </c>
      <c r="G402" s="241">
        <f>IFERROR(G398/G399,"n/a")</f>
        <v>0.20398112535811</v>
      </c>
      <c r="H402" s="241">
        <f>IFERROR(H398/H399,"n/a")</f>
        <v>0.132863581083363</v>
      </c>
      <c r="I402" s="241">
        <f>IFERROR(I398/I399,"n/a")</f>
        <v>0.0816343259715774</v>
      </c>
      <c r="J402" s="242" t="n"/>
      <c r="K402" s="242" t="n"/>
      <c r="L402" s="242" t="n"/>
      <c r="M402" s="242" t="n"/>
      <c r="N402" s="241">
        <f>IFERROR(N398/N399,"n/a")</f>
        <v>0.0638369685126966</v>
      </c>
      <c r="O402" s="242" t="n"/>
      <c r="P402" s="242" t="n"/>
      <c r="Q402" s="242" t="n"/>
      <c r="R402" s="242" t="n"/>
      <c r="S402" s="241">
        <f>IFERROR(S398/S399,"n/a")</f>
        <v>0.0611652031409132</v>
      </c>
      <c r="T402" s="242" t="n"/>
      <c r="U402" s="242" t="n"/>
      <c r="V402" s="242" t="n"/>
      <c r="W402" s="242" t="n"/>
      <c r="X402" s="241">
        <f>IFERROR(X398/X399,"n/a")</f>
        <v>0.0601468015798671</v>
      </c>
      <c r="Y402" s="242" t="n"/>
      <c r="Z402" s="242" t="n"/>
      <c r="AA402" s="242" t="n"/>
      <c r="AB402" s="242" t="n"/>
      <c r="AC402" s="241">
        <f>IFERROR(AC398/AC399,"n/a")</f>
        <v>0.0282143740178452</v>
      </c>
      <c r="AD402" s="242" t="n"/>
      <c r="AE402" s="242" t="n"/>
      <c r="AF402" s="242" t="n"/>
      <c r="AG402" s="242" t="n"/>
      <c r="AH402" s="241">
        <f>IFERROR(AH398/AH399,"n/a")</f>
        <v>0.0557829345315206</v>
      </c>
      <c r="AI402" s="242" t="n"/>
      <c r="AJ402" s="242" t="n"/>
      <c r="AK402" s="242" t="n"/>
      <c r="AL402" s="242" t="n"/>
      <c r="AM402" s="241">
        <f>IFERROR(AM398/AM399,"n/a")</f>
        <v>0.0542622164996273</v>
      </c>
      <c r="AN402" s="242" t="n"/>
      <c r="AO402" s="242" t="n"/>
      <c r="AP402" s="242" t="n"/>
      <c r="AQ402" s="242" t="n"/>
      <c r="AR402" s="241">
        <f>IFERROR(AR398/AR399,"n/a")</f>
        <v>0.0653576121873867</v>
      </c>
      <c r="AS402" s="242" t="n"/>
      <c r="AT402" s="242" t="n"/>
      <c r="AU402" s="242" t="n"/>
      <c r="AV402" s="242" t="n"/>
      <c r="AW402" s="241">
        <f>IFERROR(AW398/AW399,"n/a")</f>
        <v>0.0870746348728504</v>
      </c>
      <c r="AX402" s="242" t="n"/>
      <c r="AY402" s="242" t="n"/>
      <c r="AZ402" s="242" t="n"/>
      <c r="BA402" s="242" t="n"/>
      <c r="BB402" s="241">
        <f>IFERROR(BB398/BB399,"n/a")</f>
        <v>0.0811580730746861</v>
      </c>
      <c r="BC402" s="242" t="n"/>
      <c r="BD402" s="242" t="n"/>
      <c r="BE402" s="242" t="n"/>
      <c r="BF402" s="242" t="n"/>
      <c r="BG402" s="241">
        <f>IFERROR(BG398/BG399,"n/a")</f>
        <v>0.136120416942162</v>
      </c>
      <c r="BH402" s="242" t="n"/>
      <c r="BI402" s="242" t="n"/>
      <c r="BJ402" s="242" t="n"/>
      <c r="BK402" s="242" t="n"/>
      <c r="BL402" s="241">
        <f>IFERROR(BL398/BL399,"n/a")</f>
        <v>0.121452014349579</v>
      </c>
      <c r="BM402" s="242" t="n"/>
      <c r="BN402" s="242" t="n"/>
      <c r="BO402" s="242" t="n"/>
      <c r="BP402" s="242" t="n"/>
      <c r="BQ402" s="241">
        <f>IFERROR(BQ398/BQ399,"n/a")</f>
        <v>0.118160534234528</v>
      </c>
      <c r="BR402" s="242" t="n"/>
      <c r="BS402" s="242" t="n"/>
      <c r="BT402" s="242" t="n"/>
      <c r="BU402" s="242" t="n"/>
      <c r="BV402" s="241">
        <f>IFERROR(BV398/BV399,"n/a")</f>
        <v>0.117354458190155</v>
      </c>
      <c r="BW402" s="242" t="n"/>
      <c r="BX402" s="242" t="n"/>
      <c r="BY402" s="243" t="n"/>
      <c r="BZ402" s="243" t="n"/>
      <c r="CA402" s="244">
        <f>IFERROR(CA398/CA399,"n/a")</f>
        <v>0.11361331481025</v>
      </c>
      <c r="CB402" s="244">
        <f>IFERROR(CB398/CB399,"n/a")</f>
        <v>0.119394757549705</v>
      </c>
      <c r="CC402" s="244">
        <f>IFERROR(CC398/CC399,"n/a")</f>
        <v>0.126610887399209</v>
      </c>
      <c r="CD402" s="244">
        <f>IFERROR(CD398/CD399,"n/a")</f>
        <v>0.131963324804454</v>
      </c>
      <c r="CE402" s="244">
        <f>IFERROR(CE398/CE399,"n/a")</f>
        <v>0.136171160755354</v>
      </c>
      <c r="CF402" s="177" t="n"/>
      <c r="CH402" s="39">
        <f>IFERROR(AVERAGE(CA402,CB402,CC402,CD402,CE402),"n/m")</f>
        <v>0.125550689063794</v>
      </c>
      <c r="CI402" s="39">
        <f>IFERROR(AVERAGE(BB402,BG402,BL402,BQ402,BV402),"n/m")</f>
        <v>0.114849099358222</v>
      </c>
      <c r="CJ402" s="39">
        <f>IFERROR(AVERAGE(AC402,AH402,AM402,AR402,AW402,BB402,BG402,BL402,BQ402,BV402),"n/m")</f>
        <v>0.086493726890034</v>
      </c>
      <c r="CK402" s="39">
        <f>IFERROR(AVERAGE(C402,D402,E402,F402,G402,H402,I402,N402,S402,X402,AC402,AH402,AM402,AR402,AW402,BB402,BG402,BL402,BQ402,BV402),"n/m")</f>
        <v>0.124725856486857</v>
      </c>
    </row>
    <row r="403" ht="15" customHeight="1">
      <c r="B403" s="26" t="inlineStr">
        <is>
          <t xml:space="preserve">  Margin = Adjusted EBIT / Revenues</t>
        </is>
      </c>
      <c r="C403" s="190">
        <f>IFERROR(C396/C138,"n/a")</f>
        <v>0.101946351509805</v>
      </c>
      <c r="D403" s="190">
        <f>IFERROR(D396/D138,"n/a")</f>
        <v>0.101072216466702</v>
      </c>
      <c r="E403" s="190">
        <f>IFERROR(E396/E138,"n/a")</f>
        <v>0.115209568521984</v>
      </c>
      <c r="F403" s="190">
        <f>IFERROR(F396/F138,"n/a")</f>
        <v>0.0862784159669342</v>
      </c>
      <c r="G403" s="190">
        <f>IFERROR(G396/G138,"n/a")</f>
        <v>0.128357989977149</v>
      </c>
      <c r="H403" s="190">
        <f>IFERROR(H396/H138,"n/a")</f>
        <v>0.114581359342303</v>
      </c>
      <c r="I403" s="190">
        <f>IFERROR(I396/I138,"n/a")</f>
        <v>0.0969515171570285</v>
      </c>
      <c r="J403" s="181" t="n"/>
      <c r="K403" s="181" t="n"/>
      <c r="L403" s="181" t="n"/>
      <c r="M403" s="181" t="n"/>
      <c r="N403" s="190">
        <f>IFERROR(N396/N138,"n/a")</f>
        <v>0.0699943242300671</v>
      </c>
      <c r="O403" s="181" t="n"/>
      <c r="P403" s="181" t="n"/>
      <c r="Q403" s="181" t="n"/>
      <c r="R403" s="181" t="n"/>
      <c r="S403" s="190">
        <f>IFERROR(S396/S138,"n/a")</f>
        <v>0.0722699312918843</v>
      </c>
      <c r="T403" s="181" t="n"/>
      <c r="U403" s="181" t="n"/>
      <c r="V403" s="181" t="n"/>
      <c r="W403" s="181" t="n"/>
      <c r="X403" s="190">
        <f>IFERROR(X396/X138,"n/a")</f>
        <v>0.0702178260023932</v>
      </c>
      <c r="Y403" s="181" t="n"/>
      <c r="Z403" s="181" t="n"/>
      <c r="AA403" s="181" t="n"/>
      <c r="AB403" s="181" t="n"/>
      <c r="AC403" s="190">
        <f>IFERROR(AC396/AC138,"n/a")</f>
        <v>0.0411407267498202</v>
      </c>
      <c r="AD403" s="181" t="n"/>
      <c r="AE403" s="181" t="n"/>
      <c r="AF403" s="181" t="n"/>
      <c r="AG403" s="181" t="n"/>
      <c r="AH403" s="190">
        <f>IFERROR(AH396/AH138,"n/a")</f>
        <v>0.0465996689958296</v>
      </c>
      <c r="AI403" s="181" t="n"/>
      <c r="AJ403" s="181" t="n"/>
      <c r="AK403" s="181" t="n"/>
      <c r="AL403" s="181" t="n"/>
      <c r="AM403" s="190">
        <f>IFERROR(AM396/AM138,"n/a")</f>
        <v>0.0582916174666387</v>
      </c>
      <c r="AN403" s="181" t="n"/>
      <c r="AO403" s="181" t="n"/>
      <c r="AP403" s="181" t="n"/>
      <c r="AQ403" s="181" t="n"/>
      <c r="AR403" s="190">
        <f>IFERROR(AR396/AR138,"n/a")</f>
        <v>0.0702164885308263</v>
      </c>
      <c r="AS403" s="181" t="n"/>
      <c r="AT403" s="181" t="n"/>
      <c r="AU403" s="181" t="n"/>
      <c r="AV403" s="181" t="n"/>
      <c r="AW403" s="190">
        <f>IFERROR(AW396/AW138,"n/a")</f>
        <v>0.0834538501833754</v>
      </c>
      <c r="AX403" s="181" t="n"/>
      <c r="AY403" s="181" t="n"/>
      <c r="AZ403" s="181" t="n"/>
      <c r="BA403" s="181" t="n"/>
      <c r="BB403" s="190">
        <f>IFERROR(BB396/BB138,"n/a")</f>
        <v>0.0994519606281956</v>
      </c>
      <c r="BC403" s="181" t="n"/>
      <c r="BD403" s="181" t="n"/>
      <c r="BE403" s="181" t="n"/>
      <c r="BF403" s="181" t="n"/>
      <c r="BG403" s="190">
        <f>IFERROR(BG396/BG138,"n/a")</f>
        <v>0.130556525997246</v>
      </c>
      <c r="BH403" s="181" t="n"/>
      <c r="BI403" s="181" t="n"/>
      <c r="BJ403" s="181" t="n"/>
      <c r="BK403" s="181" t="n"/>
      <c r="BL403" s="190">
        <f>IFERROR(BL396/BL138,"n/a")</f>
        <v>0.119576783939516</v>
      </c>
      <c r="BM403" s="181" t="n"/>
      <c r="BN403" s="181" t="n"/>
      <c r="BO403" s="181" t="n"/>
      <c r="BP403" s="181" t="n"/>
      <c r="BQ403" s="190">
        <f>IFERROR(BQ396/BQ138,"n/a")</f>
        <v>0.121564997473664</v>
      </c>
      <c r="BR403" s="181" t="n"/>
      <c r="BS403" s="181" t="n"/>
      <c r="BT403" s="181" t="n"/>
      <c r="BU403" s="181" t="n"/>
      <c r="BV403" s="190">
        <f>IFERROR(BV396/BV138,"n/a")</f>
        <v>0.120038561811569</v>
      </c>
      <c r="BW403" s="181" t="n"/>
      <c r="BX403" s="181" t="n"/>
      <c r="BY403" s="169" t="n"/>
      <c r="BZ403" s="169" t="n"/>
      <c r="CA403" s="179">
        <f>IFERROR(CA396/CA138,"n/a")</f>
        <v>0.13732992080853</v>
      </c>
      <c r="CB403" s="179">
        <f>IFERROR(CB396/CB138,"n/a")</f>
        <v>0.137674702077911</v>
      </c>
      <c r="CC403" s="179">
        <f>IFERROR(CC396/CC138,"n/a")</f>
        <v>0.142663992634751</v>
      </c>
      <c r="CD403" s="179">
        <f>IFERROR(CD396/CD138,"n/a")</f>
        <v>0.145490963109754</v>
      </c>
      <c r="CE403" s="179">
        <f>IFERROR(CE396/CE138,"n/a")</f>
        <v>0.146894730872657</v>
      </c>
      <c r="CF403" s="20" t="n"/>
    </row>
    <row r="404" ht="15" customHeight="1">
      <c r="B404" s="26" t="inlineStr">
        <is>
          <t xml:space="preserve">  Capital turnover = Revenues / IC</t>
        </is>
      </c>
      <c r="C404" s="230">
        <f>IFERROR(C138/C399,"n/a")</f>
        <v>3.87839145248812</v>
      </c>
      <c r="D404" s="230">
        <f>IFERROR(D138/D399,"n/a")</f>
        <v>4.59686298497029</v>
      </c>
      <c r="E404" s="230">
        <f>IFERROR(E138/E399,"n/a")</f>
        <v>4.4241166472083</v>
      </c>
      <c r="F404" s="230">
        <f>IFERROR(F138/F399,"n/a")</f>
        <v>1.58094890489464</v>
      </c>
      <c r="G404" s="230">
        <f>IFERROR(G138/G399,"n/a")</f>
        <v>2.29533983079724</v>
      </c>
      <c r="H404" s="230">
        <f>IFERROR(H138/H399,"n/a")</f>
        <v>1.68283884953958</v>
      </c>
      <c r="I404" s="230">
        <f>IFERROR(I138/I399,"n/a")</f>
        <v>0.842011846388722</v>
      </c>
      <c r="J404" s="204" t="n"/>
      <c r="K404" s="204" t="n"/>
      <c r="L404" s="204" t="n"/>
      <c r="M404" s="204" t="n"/>
      <c r="N404" s="230">
        <f>IFERROR(N138/N399,"n/a")</f>
        <v>1.37316126053692</v>
      </c>
      <c r="O404" s="204" t="n"/>
      <c r="P404" s="204" t="n"/>
      <c r="Q404" s="204" t="n"/>
      <c r="R404" s="204" t="n"/>
      <c r="S404" s="230">
        <f>IFERROR(S138/S399,"n/a")</f>
        <v>1.41057288159209</v>
      </c>
      <c r="T404" s="204" t="n"/>
      <c r="U404" s="204" t="n"/>
      <c r="V404" s="204" t="n"/>
      <c r="W404" s="204" t="n"/>
      <c r="X404" s="230">
        <f>IFERROR(X138/X399,"n/a")</f>
        <v>1.42762422317606</v>
      </c>
      <c r="Y404" s="204" t="n"/>
      <c r="Z404" s="204" t="n"/>
      <c r="AA404" s="204" t="n"/>
      <c r="AB404" s="204" t="n"/>
      <c r="AC404" s="230">
        <f>IFERROR(AC138/AC399,"n/a")</f>
        <v>1.1430025770416</v>
      </c>
      <c r="AD404" s="204" t="n"/>
      <c r="AE404" s="204" t="n"/>
      <c r="AF404" s="204" t="n"/>
      <c r="AG404" s="204" t="n"/>
      <c r="AH404" s="230">
        <f>IFERROR(AH138/AH399,"n/a")</f>
        <v>1.19706718381439</v>
      </c>
      <c r="AI404" s="204" t="n"/>
      <c r="AJ404" s="204" t="n"/>
      <c r="AK404" s="204" t="n"/>
      <c r="AL404" s="204" t="n"/>
      <c r="AM404" s="230">
        <f>IFERROR(AM138/AM399,"n/a")</f>
        <v>1.33998024319627</v>
      </c>
      <c r="AN404" s="204" t="n"/>
      <c r="AO404" s="204" t="n"/>
      <c r="AP404" s="204" t="n"/>
      <c r="AQ404" s="204" t="n"/>
      <c r="AR404" s="230">
        <f>IFERROR(AR138/AR399,"n/a")</f>
        <v>1.4117155940377</v>
      </c>
      <c r="AS404" s="204" t="n"/>
      <c r="AT404" s="204" t="n"/>
      <c r="AU404" s="204" t="n"/>
      <c r="AV404" s="204" t="n"/>
      <c r="AW404" s="230">
        <f>IFERROR(AW138/AW399,"n/a")</f>
        <v>1.3506911553509</v>
      </c>
      <c r="AX404" s="204" t="n"/>
      <c r="AY404" s="204" t="n"/>
      <c r="AZ404" s="204" t="n"/>
      <c r="BA404" s="204" t="n"/>
      <c r="BB404" s="230">
        <f>IFERROR(BB138/BB399,"n/a")</f>
        <v>1.0829273789628</v>
      </c>
      <c r="BC404" s="204" t="n"/>
      <c r="BD404" s="204" t="n"/>
      <c r="BE404" s="204" t="n"/>
      <c r="BF404" s="204" t="n"/>
      <c r="BG404" s="230">
        <f>IFERROR(BG138/BG399,"n/a")</f>
        <v>1.36231665855419</v>
      </c>
      <c r="BH404" s="204" t="n"/>
      <c r="BI404" s="204" t="n"/>
      <c r="BJ404" s="204" t="n"/>
      <c r="BK404" s="204" t="n"/>
      <c r="BL404" s="230">
        <f>IFERROR(BL138/BL399,"n/a")</f>
        <v>1.35282101147852</v>
      </c>
      <c r="BM404" s="204" t="n"/>
      <c r="BN404" s="204" t="n"/>
      <c r="BO404" s="204" t="n"/>
      <c r="BP404" s="204" t="n"/>
      <c r="BQ404" s="230">
        <f>IFERROR(BQ138/BQ399,"n/a")</f>
        <v>1.28885175720723</v>
      </c>
      <c r="BR404" s="204" t="n"/>
      <c r="BS404" s="204" t="n"/>
      <c r="BT404" s="204" t="n"/>
      <c r="BU404" s="204" t="n"/>
      <c r="BV404" s="230">
        <f>IFERROR(BV138/BV399,"n/a")</f>
        <v>1.32019386424906</v>
      </c>
      <c r="BW404" s="204" t="n"/>
      <c r="BX404" s="204" t="n"/>
      <c r="BY404" s="205" t="n"/>
      <c r="BZ404" s="205" t="n"/>
      <c r="CA404" s="207">
        <f>IFERROR(CA138/CA399,"n/a")</f>
        <v>1.12150095777135</v>
      </c>
      <c r="CB404" s="207">
        <f>IFERROR(CB138/CB399,"n/a")</f>
        <v>1.17192385037996</v>
      </c>
      <c r="CC404" s="207">
        <f>IFERROR(CC138/CC399,"n/a")</f>
        <v>1.1992920611773</v>
      </c>
      <c r="CD404" s="207">
        <f>IFERROR(CD138/CD399,"n/a")</f>
        <v>1.22570373782452</v>
      </c>
      <c r="CE404" s="207">
        <f>IFERROR(CE138/CE399,"n/a")</f>
        <v>1.25270035901663</v>
      </c>
      <c r="CF404" s="20" t="n"/>
    </row>
    <row r="405" ht="15" customHeight="1">
      <c r="B405" s="26" t="inlineStr">
        <is>
          <t xml:space="preserve">  Tax burden = (1 − effective tax rate)</t>
        </is>
      </c>
      <c r="C405" s="190">
        <f>IFERROR(1-C397,"n/a")</f>
        <v>0.880290068551357</v>
      </c>
      <c r="D405" s="190">
        <f>IFERROR(1-D397,"n/a")</f>
        <v>0.611838644480744</v>
      </c>
      <c r="E405" s="190">
        <f>IFERROR(1-E397,"n/a")</f>
        <v>0.611702863466592</v>
      </c>
      <c r="F405" s="190">
        <f>IFERROR(1-F397,"n/a")</f>
        <v>0.6</v>
      </c>
      <c r="G405" s="190">
        <f>IFERROR(1-G397,"n/a")</f>
        <v>0.69234105064588</v>
      </c>
      <c r="H405" s="190">
        <f>IFERROR(1-H397,"n/a")</f>
        <v>0.689047964565352</v>
      </c>
      <c r="I405" s="190">
        <f>IFERROR(1-I397,"n/a")</f>
        <v>1</v>
      </c>
      <c r="J405" s="181" t="n"/>
      <c r="K405" s="181" t="n"/>
      <c r="L405" s="181" t="n"/>
      <c r="M405" s="181" t="n"/>
      <c r="N405" s="190">
        <f>IFERROR(1-N397,"n/a")</f>
        <v>0.664183201862599</v>
      </c>
      <c r="O405" s="181" t="n"/>
      <c r="P405" s="181" t="n"/>
      <c r="Q405" s="181" t="n"/>
      <c r="R405" s="181" t="n"/>
      <c r="S405" s="190">
        <f>IFERROR(1-S397,"n/a")</f>
        <v>0.6</v>
      </c>
      <c r="T405" s="181" t="n"/>
      <c r="U405" s="181" t="n"/>
      <c r="V405" s="181" t="n"/>
      <c r="W405" s="181" t="n"/>
      <c r="X405" s="190">
        <f>IFERROR(1-X397,"n/a")</f>
        <v>0.6</v>
      </c>
      <c r="Y405" s="181" t="n"/>
      <c r="Z405" s="181" t="n"/>
      <c r="AA405" s="181" t="n"/>
      <c r="AB405" s="181" t="n"/>
      <c r="AC405" s="190">
        <f>IFERROR(1-AC397,"n/a")</f>
        <v>0.6</v>
      </c>
      <c r="AD405" s="181" t="n"/>
      <c r="AE405" s="181" t="n"/>
      <c r="AF405" s="181" t="n"/>
      <c r="AG405" s="181" t="n"/>
      <c r="AH405" s="190">
        <f>IFERROR(1-AH397,"n/a")</f>
        <v>1</v>
      </c>
      <c r="AI405" s="181" t="n"/>
      <c r="AJ405" s="181" t="n"/>
      <c r="AK405" s="181" t="n"/>
      <c r="AL405" s="181" t="n"/>
      <c r="AM405" s="190">
        <f>IFERROR(1-AM397,"n/a")</f>
        <v>0.694693169069241</v>
      </c>
      <c r="AN405" s="181" t="n"/>
      <c r="AO405" s="181" t="n"/>
      <c r="AP405" s="181" t="n"/>
      <c r="AQ405" s="181" t="n"/>
      <c r="AR405" s="190">
        <f>IFERROR(1-AR397,"n/a")</f>
        <v>0.65934065934066</v>
      </c>
      <c r="AS405" s="181" t="n"/>
      <c r="AT405" s="181" t="n"/>
      <c r="AU405" s="181" t="n"/>
      <c r="AV405" s="181" t="n"/>
      <c r="AW405" s="190">
        <f>IFERROR(1-AW397,"n/a")</f>
        <v>0.772483529074764</v>
      </c>
      <c r="AX405" s="181" t="n"/>
      <c r="AY405" s="181" t="n"/>
      <c r="AZ405" s="181" t="n"/>
      <c r="BA405" s="181" t="n"/>
      <c r="BB405" s="190">
        <f>IFERROR(1-BB397,"n/a")</f>
        <v>0.753562093320727</v>
      </c>
      <c r="BC405" s="181" t="n"/>
      <c r="BD405" s="181" t="n"/>
      <c r="BE405" s="181" t="n"/>
      <c r="BF405" s="181" t="n"/>
      <c r="BG405" s="190">
        <f>IFERROR(1-BG397,"n/a")</f>
        <v>0.765326265153402</v>
      </c>
      <c r="BH405" s="181" t="n"/>
      <c r="BI405" s="181" t="n"/>
      <c r="BJ405" s="181" t="n"/>
      <c r="BK405" s="181" t="n"/>
      <c r="BL405" s="190">
        <f>IFERROR(1-BL397,"n/a")</f>
        <v>0.750788330131001</v>
      </c>
      <c r="BM405" s="181" t="n"/>
      <c r="BN405" s="181" t="n"/>
      <c r="BO405" s="181" t="n"/>
      <c r="BP405" s="181" t="n"/>
      <c r="BQ405" s="190">
        <f>IFERROR(1-BQ397,"n/a")</f>
        <v>0.754155551764669</v>
      </c>
      <c r="BR405" s="181" t="n"/>
      <c r="BS405" s="181" t="n"/>
      <c r="BT405" s="181" t="n"/>
      <c r="BU405" s="181" t="n"/>
      <c r="BV405" s="190">
        <f>IFERROR(1-BV397,"n/a")</f>
        <v>0.740527343565034</v>
      </c>
      <c r="BW405" s="181" t="n"/>
      <c r="BX405" s="181" t="n"/>
      <c r="BY405" s="169" t="n"/>
      <c r="BZ405" s="169" t="n"/>
      <c r="CA405" s="179">
        <f>IFERROR(1-CA397,"n/a")</f>
        <v>0.737673891392086</v>
      </c>
      <c r="CB405" s="179">
        <f>IFERROR(1-CB397,"n/a")</f>
        <v>0.74</v>
      </c>
      <c r="CC405" s="179">
        <f>IFERROR(1-CC397,"n/a")</f>
        <v>0.74</v>
      </c>
      <c r="CD405" s="179">
        <f>IFERROR(1-CD397,"n/a")</f>
        <v>0.74</v>
      </c>
      <c r="CE405" s="179">
        <f>IFERROR(1-CE397,"n/a")</f>
        <v>0.74</v>
      </c>
      <c r="CF405" s="20" t="n"/>
    </row>
    <row r="406" ht="15" customHeight="1">
      <c r="B406" s="26" t="inlineStr">
        <is>
          <t xml:space="preserve">  Check: Margin × Turnover × Tax burden = ROIC</t>
        </is>
      </c>
      <c r="C406" s="190">
        <f>IFERROR(C403*C404*C405,"n/a")</f>
        <v>0.348056004894304</v>
      </c>
      <c r="D406" s="190">
        <f>IFERROR(D403*D404*D405,"n/a")</f>
        <v>0.284269491763362</v>
      </c>
      <c r="E406" s="190">
        <f>IFERROR(E403*E404*E405,"n/a")</f>
        <v>0.311785298189216</v>
      </c>
      <c r="F406" s="190">
        <f>IFERROR(F403*F404*F405,"n/a")</f>
        <v>0.0818410603433813</v>
      </c>
      <c r="G406" s="190">
        <f>IFERROR(G403*G404*G405,"n/a")</f>
        <v>0.20398112535811</v>
      </c>
      <c r="H406" s="190">
        <f>IFERROR(H403*H404*H405,"n/a")</f>
        <v>0.132863581083363</v>
      </c>
      <c r="I406" s="190">
        <f>IFERROR(I403*I404*I405,"n/a")</f>
        <v>0.0816343259715774</v>
      </c>
      <c r="J406" s="181" t="n"/>
      <c r="K406" s="181" t="n"/>
      <c r="L406" s="181" t="n"/>
      <c r="M406" s="181" t="n"/>
      <c r="N406" s="190">
        <f>IFERROR(N403*N404*N405,"n/a")</f>
        <v>0.0638369685126966</v>
      </c>
      <c r="O406" s="181" t="n"/>
      <c r="P406" s="181" t="n"/>
      <c r="Q406" s="181" t="n"/>
      <c r="R406" s="181" t="n"/>
      <c r="S406" s="190">
        <f>IFERROR(S403*S404*S405,"n/a")</f>
        <v>0.0611652031409132</v>
      </c>
      <c r="T406" s="181" t="n"/>
      <c r="U406" s="181" t="n"/>
      <c r="V406" s="181" t="n"/>
      <c r="W406" s="181" t="n"/>
      <c r="X406" s="190">
        <f>IFERROR(X403*X404*X405,"n/a")</f>
        <v>0.0601468015798671</v>
      </c>
      <c r="Y406" s="181" t="n"/>
      <c r="Z406" s="181" t="n"/>
      <c r="AA406" s="181" t="n"/>
      <c r="AB406" s="181" t="n"/>
      <c r="AC406" s="190">
        <f>IFERROR(AC403*AC404*AC405,"n/a")</f>
        <v>0.0282143740178452</v>
      </c>
      <c r="AD406" s="181" t="n"/>
      <c r="AE406" s="181" t="n"/>
      <c r="AF406" s="181" t="n"/>
      <c r="AG406" s="181" t="n"/>
      <c r="AH406" s="190">
        <f>IFERROR(AH403*AH404*AH405,"n/a")</f>
        <v>0.0557829345315206</v>
      </c>
      <c r="AI406" s="181" t="n"/>
      <c r="AJ406" s="181" t="n"/>
      <c r="AK406" s="181" t="n"/>
      <c r="AL406" s="181" t="n"/>
      <c r="AM406" s="190">
        <f>IFERROR(AM403*AM404*AM405,"n/a")</f>
        <v>0.0542622164996273</v>
      </c>
      <c r="AN406" s="181" t="n"/>
      <c r="AO406" s="181" t="n"/>
      <c r="AP406" s="181" t="n"/>
      <c r="AQ406" s="181" t="n"/>
      <c r="AR406" s="190">
        <f>IFERROR(AR403*AR404*AR405,"n/a")</f>
        <v>0.0653576121873867</v>
      </c>
      <c r="AS406" s="181" t="n"/>
      <c r="AT406" s="181" t="n"/>
      <c r="AU406" s="181" t="n"/>
      <c r="AV406" s="181" t="n"/>
      <c r="AW406" s="190">
        <f>IFERROR(AW403*AW404*AW405,"n/a")</f>
        <v>0.0870746348728504</v>
      </c>
      <c r="AX406" s="181" t="n"/>
      <c r="AY406" s="181" t="n"/>
      <c r="AZ406" s="181" t="n"/>
      <c r="BA406" s="181" t="n"/>
      <c r="BB406" s="190">
        <f>IFERROR(BB403*BB404*BB405,"n/a")</f>
        <v>0.0811580730746861</v>
      </c>
      <c r="BC406" s="181" t="n"/>
      <c r="BD406" s="181" t="n"/>
      <c r="BE406" s="181" t="n"/>
      <c r="BF406" s="181" t="n"/>
      <c r="BG406" s="190">
        <f>IFERROR(BG403*BG404*BG405,"n/a")</f>
        <v>0.136120416942162</v>
      </c>
      <c r="BH406" s="181" t="n"/>
      <c r="BI406" s="181" t="n"/>
      <c r="BJ406" s="181" t="n"/>
      <c r="BK406" s="181" t="n"/>
      <c r="BL406" s="190">
        <f>IFERROR(BL403*BL404*BL405,"n/a")</f>
        <v>0.121452014349579</v>
      </c>
      <c r="BM406" s="181" t="n"/>
      <c r="BN406" s="181" t="n"/>
      <c r="BO406" s="181" t="n"/>
      <c r="BP406" s="181" t="n"/>
      <c r="BQ406" s="190">
        <f>IFERROR(BQ403*BQ404*BQ405,"n/a")</f>
        <v>0.118160534234528</v>
      </c>
      <c r="BR406" s="181" t="n"/>
      <c r="BS406" s="181" t="n"/>
      <c r="BT406" s="181" t="n"/>
      <c r="BU406" s="181" t="n"/>
      <c r="BV406" s="190">
        <f>IFERROR(BV403*BV404*BV405,"n/a")</f>
        <v>0.117354458190155</v>
      </c>
      <c r="BW406" s="181" t="n"/>
      <c r="BX406" s="181" t="n"/>
      <c r="BY406" s="169" t="n"/>
      <c r="BZ406" s="169" t="n"/>
      <c r="CA406" s="179">
        <f>IFERROR(CA403*CA404*CA405,"n/a")</f>
        <v>0.11361331481025</v>
      </c>
      <c r="CB406" s="179">
        <f>IFERROR(CB403*CB404*CB405,"n/a")</f>
        <v>0.119394757549705</v>
      </c>
      <c r="CC406" s="179">
        <f>IFERROR(CC403*CC404*CC405,"n/a")</f>
        <v>0.126610887399209</v>
      </c>
      <c r="CD406" s="179">
        <f>IFERROR(CD403*CD404*CD405,"n/a")</f>
        <v>0.131963324804454</v>
      </c>
      <c r="CE406" s="179">
        <f>IFERROR(CE403*CE404*CE405,"n/a")</f>
        <v>0.136171160755354</v>
      </c>
      <c r="CF406" s="20" t="n"/>
    </row>
    <row r="407" ht="15" customHeight="1">
      <c r="B407" s="26" t="inlineStr">
        <is>
          <t>RONTA decomposition</t>
        </is>
      </c>
      <c r="C407" s="217" t="n"/>
      <c r="D407" s="217" t="n"/>
      <c r="E407" s="217" t="n"/>
      <c r="F407" s="217" t="n"/>
      <c r="G407" s="217" t="n"/>
      <c r="H407" s="217" t="n"/>
      <c r="I407" s="217" t="n"/>
      <c r="J407" s="217" t="n"/>
      <c r="K407" s="217" t="n"/>
      <c r="L407" s="217" t="n"/>
      <c r="M407" s="217" t="n"/>
      <c r="N407" s="217" t="n"/>
      <c r="O407" s="217" t="n"/>
      <c r="P407" s="217" t="n"/>
      <c r="Q407" s="217" t="n"/>
      <c r="R407" s="217" t="n"/>
      <c r="S407" s="217" t="n"/>
      <c r="T407" s="217" t="n"/>
      <c r="U407" s="217" t="n"/>
      <c r="V407" s="217" t="n"/>
      <c r="W407" s="217" t="n"/>
      <c r="X407" s="217" t="n"/>
      <c r="Y407" s="217" t="n"/>
      <c r="Z407" s="217" t="n"/>
      <c r="AA407" s="217" t="n"/>
      <c r="AB407" s="217" t="n"/>
      <c r="AC407" s="217" t="n"/>
      <c r="AD407" s="217" t="n"/>
      <c r="AE407" s="217" t="n"/>
      <c r="AF407" s="217" t="n"/>
      <c r="AG407" s="217" t="n"/>
      <c r="AH407" s="217" t="n"/>
      <c r="AI407" s="217" t="n"/>
      <c r="AJ407" s="217" t="n"/>
      <c r="AK407" s="217" t="n"/>
      <c r="AL407" s="217" t="n"/>
      <c r="AM407" s="217" t="n"/>
      <c r="AN407" s="217" t="n"/>
      <c r="AO407" s="217" t="n"/>
      <c r="AP407" s="217" t="n"/>
      <c r="AQ407" s="217" t="n"/>
      <c r="AR407" s="217" t="n"/>
      <c r="AS407" s="217" t="n"/>
      <c r="AT407" s="217" t="n"/>
      <c r="AU407" s="217" t="n"/>
      <c r="AV407" s="217" t="n"/>
      <c r="AW407" s="217" t="n"/>
      <c r="AX407" s="217" t="n"/>
      <c r="AY407" s="217" t="n"/>
      <c r="AZ407" s="217" t="n"/>
      <c r="BA407" s="217" t="n"/>
      <c r="BB407" s="217" t="n"/>
      <c r="BC407" s="217" t="n"/>
      <c r="BD407" s="217" t="n"/>
      <c r="BE407" s="217" t="n"/>
      <c r="BF407" s="217" t="n"/>
      <c r="BG407" s="217" t="n"/>
      <c r="BH407" s="217" t="n"/>
      <c r="BI407" s="217" t="n"/>
      <c r="BJ407" s="217" t="n"/>
      <c r="BK407" s="217" t="n"/>
      <c r="BL407" s="217" t="n"/>
      <c r="BM407" s="217" t="n"/>
      <c r="BN407" s="217" t="n"/>
      <c r="BO407" s="217" t="n"/>
      <c r="BP407" s="217" t="n"/>
      <c r="BQ407" s="217" t="n"/>
      <c r="BR407" s="217" t="n"/>
      <c r="BS407" s="217" t="n"/>
      <c r="BT407" s="217" t="n"/>
      <c r="BU407" s="217" t="n"/>
      <c r="BV407" s="217" t="n"/>
      <c r="BW407" s="217" t="n"/>
      <c r="BX407" s="217" t="n"/>
      <c r="BY407" s="218" t="n"/>
      <c r="BZ407" s="218" t="n"/>
      <c r="CA407" s="218" t="n"/>
      <c r="CB407" s="218" t="n"/>
      <c r="CC407" s="218" t="n"/>
      <c r="CD407" s="218" t="n"/>
      <c r="CE407" s="218" t="n"/>
      <c r="CF407" s="20" t="n"/>
    </row>
    <row r="408" ht="15" customHeight="1">
      <c r="B408" s="26" t="inlineStr">
        <is>
          <t>NOPAT = Adjusted EBIT × (1 − tax rate)</t>
        </is>
      </c>
      <c r="C408" s="212">
        <f>C398</f>
        <v>74.4690186391705</v>
      </c>
      <c r="D408" s="212">
        <f>D398</f>
        <v>58.5572411473186</v>
      </c>
      <c r="E408" s="212">
        <f>E398</f>
        <v>72.6384916309308</v>
      </c>
      <c r="F408" s="212">
        <f>F398</f>
        <v>55.6092</v>
      </c>
      <c r="G408" s="212">
        <f>G398</f>
        <v>153.851335933477</v>
      </c>
      <c r="H408" s="212">
        <f>H398</f>
        <v>156.65160950411</v>
      </c>
      <c r="I408" s="212">
        <f>I398</f>
        <v>212.121</v>
      </c>
      <c r="J408" s="184" t="n"/>
      <c r="K408" s="184" t="n"/>
      <c r="L408" s="184" t="n"/>
      <c r="M408" s="184" t="n"/>
      <c r="N408" s="212">
        <f>N398</f>
        <v>163.160588636759</v>
      </c>
      <c r="O408" s="184" t="n"/>
      <c r="P408" s="184" t="n"/>
      <c r="Q408" s="184" t="n"/>
      <c r="R408" s="184" t="n"/>
      <c r="S408" s="212">
        <f>S398</f>
        <v>147.5016</v>
      </c>
      <c r="T408" s="184" t="n"/>
      <c r="U408" s="184" t="n"/>
      <c r="V408" s="184" t="n"/>
      <c r="W408" s="184" t="n"/>
      <c r="X408" s="212">
        <f>X398</f>
        <v>137.9838</v>
      </c>
      <c r="Y408" s="184" t="n"/>
      <c r="Z408" s="184" t="n"/>
      <c r="AA408" s="184" t="n"/>
      <c r="AB408" s="184" t="n"/>
      <c r="AC408" s="212">
        <f>AC398</f>
        <v>68.0112</v>
      </c>
      <c r="AD408" s="184" t="n"/>
      <c r="AE408" s="184" t="n"/>
      <c r="AF408" s="184" t="n"/>
      <c r="AG408" s="184" t="n"/>
      <c r="AH408" s="212">
        <f>AH398</f>
        <v>137.235</v>
      </c>
      <c r="AI408" s="184" t="n"/>
      <c r="AJ408" s="184" t="n"/>
      <c r="AK408" s="184" t="n"/>
      <c r="AL408" s="184" t="n"/>
      <c r="AM408" s="212">
        <f>AM398</f>
        <v>133.64507186554</v>
      </c>
      <c r="AN408" s="184" t="n"/>
      <c r="AO408" s="184" t="n"/>
      <c r="AP408" s="184" t="n"/>
      <c r="AQ408" s="184" t="n"/>
      <c r="AR408" s="212">
        <f>AR398</f>
        <v>157.972747252747</v>
      </c>
      <c r="AS408" s="184" t="n"/>
      <c r="AT408" s="184" t="n"/>
      <c r="AU408" s="184" t="n"/>
      <c r="AV408" s="184" t="n"/>
      <c r="AW408" s="212">
        <f>AW398</f>
        <v>202.68963574334</v>
      </c>
      <c r="AX408" s="184" t="n"/>
      <c r="AY408" s="184" t="n"/>
      <c r="AZ408" s="184" t="n"/>
      <c r="BA408" s="184" t="n"/>
      <c r="BB408" s="212">
        <f>BB398</f>
        <v>285.201399021189</v>
      </c>
      <c r="BC408" s="184" t="n"/>
      <c r="BD408" s="184" t="n"/>
      <c r="BE408" s="184" t="n"/>
      <c r="BF408" s="184" t="n"/>
      <c r="BG408" s="212">
        <f>BG398</f>
        <v>516.238586938985</v>
      </c>
      <c r="BH408" s="184" t="n"/>
      <c r="BI408" s="184" t="n"/>
      <c r="BJ408" s="184" t="n"/>
      <c r="BK408" s="184" t="n"/>
      <c r="BL408" s="212">
        <f>BL398</f>
        <v>485.616649023703</v>
      </c>
      <c r="BM408" s="184" t="n"/>
      <c r="BN408" s="184" t="n"/>
      <c r="BO408" s="184" t="n"/>
      <c r="BP408" s="184" t="n"/>
      <c r="BQ408" s="212">
        <f>BQ398</f>
        <v>539.984424930124</v>
      </c>
      <c r="BR408" s="184" t="n"/>
      <c r="BS408" s="184" t="n"/>
      <c r="BT408" s="184" t="n"/>
      <c r="BU408" s="184" t="n"/>
      <c r="BV408" s="212">
        <f>BV398</f>
        <v>536.092181409066</v>
      </c>
      <c r="BW408" s="184" t="n"/>
      <c r="BX408" s="184" t="n"/>
      <c r="BY408" s="168" t="n"/>
      <c r="BZ408" s="168" t="n"/>
      <c r="CA408" s="186">
        <f>CA398</f>
        <v>667.937839543726</v>
      </c>
      <c r="CB408" s="186">
        <f>CB398</f>
        <v>741.416759110174</v>
      </c>
      <c r="CC408" s="186">
        <f>CC398</f>
        <v>831.534002158001</v>
      </c>
      <c r="CD408" s="186">
        <f>CD398</f>
        <v>913.33688671514</v>
      </c>
      <c r="CE408" s="186">
        <f>CE398</f>
        <v>990.264090194698</v>
      </c>
      <c r="CF408" s="20" t="n"/>
    </row>
    <row r="409" ht="15" customHeight="1">
      <c r="B409" s="26" t="inlineStr">
        <is>
          <t xml:space="preserve">  Total assets</t>
        </is>
      </c>
      <c r="C409" s="212">
        <f>C304</f>
        <v>670.808</v>
      </c>
      <c r="D409" s="212">
        <f>D304</f>
        <v>769.888</v>
      </c>
      <c r="E409" s="212">
        <f>E304</f>
        <v>898.336</v>
      </c>
      <c r="F409" s="212">
        <f>F304</f>
        <v>1401.068</v>
      </c>
      <c r="G409" s="212">
        <f>G304</f>
        <v>1602.475</v>
      </c>
      <c r="H409" s="212">
        <f>H304</f>
        <v>2085.803</v>
      </c>
      <c r="I409" s="212">
        <f>I304</f>
        <v>3825.806</v>
      </c>
      <c r="J409" s="184" t="n"/>
      <c r="K409" s="184" t="n"/>
      <c r="L409" s="184" t="n"/>
      <c r="M409" s="184" t="n"/>
      <c r="N409" s="212">
        <f>N304</f>
        <v>3953.678</v>
      </c>
      <c r="O409" s="184" t="n"/>
      <c r="P409" s="184" t="n"/>
      <c r="Q409" s="184" t="n"/>
      <c r="R409" s="184" t="n"/>
      <c r="S409" s="212">
        <f>S304</f>
        <v>3704.278</v>
      </c>
      <c r="T409" s="184" t="n"/>
      <c r="U409" s="184" t="n"/>
      <c r="V409" s="184" t="n"/>
      <c r="W409" s="184" t="n"/>
      <c r="X409" s="212">
        <f>X304</f>
        <v>3431.428</v>
      </c>
      <c r="Y409" s="184" t="n"/>
      <c r="Z409" s="184" t="n"/>
      <c r="AA409" s="184" t="n"/>
      <c r="AB409" s="184" t="n"/>
      <c r="AC409" s="212">
        <f>AC304</f>
        <v>3681.92</v>
      </c>
      <c r="AD409" s="184" t="n"/>
      <c r="AE409" s="184" t="n"/>
      <c r="AF409" s="184" t="n"/>
      <c r="AG409" s="184" t="n"/>
      <c r="AH409" s="212">
        <f>AH304</f>
        <v>3706.57</v>
      </c>
      <c r="AI409" s="184" t="n"/>
      <c r="AJ409" s="184" t="n"/>
      <c r="AK409" s="184" t="n"/>
      <c r="AL409" s="184" t="n"/>
      <c r="AM409" s="212">
        <f>AM304</f>
        <v>3738.321</v>
      </c>
      <c r="AN409" s="184" t="n"/>
      <c r="AO409" s="184" t="n"/>
      <c r="AP409" s="184" t="n"/>
      <c r="AQ409" s="184" t="n"/>
      <c r="AR409" s="212">
        <f>AR304</f>
        <v>4108.904</v>
      </c>
      <c r="AS409" s="184" t="n"/>
      <c r="AT409" s="184" t="n"/>
      <c r="AU409" s="184" t="n"/>
      <c r="AV409" s="184" t="n"/>
      <c r="AW409" s="212">
        <f>AW304</f>
        <v>4131.52</v>
      </c>
      <c r="AX409" s="184" t="n"/>
      <c r="AY409" s="184" t="n"/>
      <c r="AZ409" s="184" t="n"/>
      <c r="BA409" s="184" t="n"/>
      <c r="BB409" s="212">
        <f>BB304</f>
        <v>5653.699</v>
      </c>
      <c r="BC409" s="184" t="n"/>
      <c r="BD409" s="184" t="n"/>
      <c r="BE409" s="184" t="n"/>
      <c r="BF409" s="184" t="n"/>
      <c r="BG409" s="212">
        <f>BG304</f>
        <v>6129.707</v>
      </c>
      <c r="BH409" s="184" t="n"/>
      <c r="BI409" s="184" t="n"/>
      <c r="BJ409" s="184" t="n"/>
      <c r="BK409" s="184" t="n"/>
      <c r="BL409" s="212">
        <f>BL304</f>
        <v>6382.869</v>
      </c>
      <c r="BM409" s="184" t="n"/>
      <c r="BN409" s="184" t="n"/>
      <c r="BO409" s="184" t="n"/>
      <c r="BP409" s="184" t="n"/>
      <c r="BQ409" s="212">
        <f>BQ304</f>
        <v>7377.278</v>
      </c>
      <c r="BR409" s="184" t="n"/>
      <c r="BS409" s="184" t="n"/>
      <c r="BT409" s="184" t="n"/>
      <c r="BU409" s="184" t="n"/>
      <c r="BV409" s="212">
        <f>BV304</f>
        <v>7624.056</v>
      </c>
      <c r="BW409" s="184" t="n"/>
      <c r="BX409" s="184" t="n"/>
      <c r="BY409" s="168" t="n"/>
      <c r="BZ409" s="168" t="n"/>
      <c r="CA409" s="186">
        <f>CA304</f>
        <v>8750.94190605066</v>
      </c>
      <c r="CB409" s="186">
        <f>CB304</f>
        <v>9106.8007218649</v>
      </c>
      <c r="CC409" s="186">
        <f>CC304</f>
        <v>9235.20091631185</v>
      </c>
      <c r="CD409" s="186">
        <f>CD304</f>
        <v>9644.71402464335</v>
      </c>
      <c r="CE409" s="186">
        <f>CE304</f>
        <v>10056.254685669</v>
      </c>
      <c r="CF409" s="20" t="n"/>
    </row>
    <row r="410" ht="15" customHeight="1">
      <c r="B410" s="26" t="inlineStr">
        <is>
          <t xml:space="preserve">  − Goodwill &amp; permits / other intangibles</t>
        </is>
      </c>
      <c r="C410" s="212">
        <f>-(C300+C301)</f>
        <v>-84.775</v>
      </c>
      <c r="D410" s="212">
        <f>-(D300+D301)</f>
        <v>-96.381</v>
      </c>
      <c r="E410" s="212">
        <f>-(E300+E301)</f>
        <v>-96.332</v>
      </c>
      <c r="F410" s="212">
        <f>-(F300+F301)</f>
        <v>-170.273</v>
      </c>
      <c r="G410" s="212">
        <f>-(G300+G301)</f>
        <v>-174.652</v>
      </c>
      <c r="H410" s="212">
        <f>-(H300+H301)</f>
        <v>-262.036</v>
      </c>
      <c r="I410" s="212">
        <f>-(I300+I301)</f>
        <v>-1166.588</v>
      </c>
      <c r="J410" s="184" t="n"/>
      <c r="K410" s="184" t="n"/>
      <c r="L410" s="184" t="n"/>
      <c r="M410" s="184" t="n"/>
      <c r="N410" s="212">
        <f>-(N300+N301)</f>
        <v>-1140.933</v>
      </c>
      <c r="O410" s="184" t="n"/>
      <c r="P410" s="184" t="n"/>
      <c r="Q410" s="184" t="n"/>
      <c r="R410" s="184" t="n"/>
      <c r="S410" s="212">
        <f>-(S300+S301)</f>
        <v>-982.749</v>
      </c>
      <c r="T410" s="184" t="n"/>
      <c r="U410" s="184" t="n"/>
      <c r="V410" s="184" t="n"/>
      <c r="W410" s="184" t="n"/>
      <c r="X410" s="212">
        <f>-(X300+X301)</f>
        <v>-959.923</v>
      </c>
      <c r="Y410" s="184" t="n"/>
      <c r="Z410" s="184" t="n"/>
      <c r="AA410" s="184" t="n"/>
      <c r="AB410" s="184" t="n"/>
      <c r="AC410" s="212">
        <f>-(AC300+AC301)</f>
        <v>-963.875</v>
      </c>
      <c r="AD410" s="184" t="n"/>
      <c r="AE410" s="184" t="n"/>
      <c r="AF410" s="184" t="n"/>
      <c r="AG410" s="184" t="n"/>
      <c r="AH410" s="212">
        <f>-(AH300+AH301)</f>
        <v>-947.651</v>
      </c>
      <c r="AI410" s="184" t="n"/>
      <c r="AJ410" s="184" t="n"/>
      <c r="AK410" s="184" t="n"/>
      <c r="AL410" s="184" t="n"/>
      <c r="AM410" s="212">
        <f>-(AM300+AM301)</f>
        <v>-956.064</v>
      </c>
      <c r="AN410" s="184" t="n"/>
      <c r="AO410" s="184" t="n"/>
      <c r="AP410" s="184" t="n"/>
      <c r="AQ410" s="184" t="n"/>
      <c r="AR410" s="212">
        <f>-(AR300+AR301)</f>
        <v>-944.079</v>
      </c>
      <c r="AS410" s="184" t="n"/>
      <c r="AT410" s="184" t="n"/>
      <c r="AU410" s="184" t="n"/>
      <c r="AV410" s="184" t="n"/>
      <c r="AW410" s="212">
        <f>-(AW300+AW301)</f>
        <v>-913.643</v>
      </c>
      <c r="AX410" s="184" t="n"/>
      <c r="AY410" s="184" t="n"/>
      <c r="AZ410" s="184" t="n"/>
      <c r="BA410" s="184" t="n"/>
      <c r="BB410" s="212">
        <f>-(BB300+BB301)</f>
        <v>-1871.954</v>
      </c>
      <c r="BC410" s="184" t="n"/>
      <c r="BD410" s="184" t="n"/>
      <c r="BE410" s="184" t="n"/>
      <c r="BF410" s="184" t="n"/>
      <c r="BG410" s="212">
        <f>-(BG300+BG301)</f>
        <v>-1867.66</v>
      </c>
      <c r="BH410" s="184" t="n"/>
      <c r="BI410" s="184" t="n"/>
      <c r="BJ410" s="184" t="n"/>
      <c r="BK410" s="184" t="n"/>
      <c r="BL410" s="212">
        <f>-(BL300+BL301)</f>
        <v>-1890.533</v>
      </c>
      <c r="BM410" s="184" t="n"/>
      <c r="BN410" s="184" t="n"/>
      <c r="BO410" s="184" t="n"/>
      <c r="BP410" s="184" t="n"/>
      <c r="BQ410" s="212">
        <f>-(BQ300+BQ301)</f>
        <v>-2179.186</v>
      </c>
      <c r="BR410" s="184" t="n"/>
      <c r="BS410" s="184" t="n"/>
      <c r="BT410" s="184" t="n"/>
      <c r="BU410" s="184" t="n"/>
      <c r="BV410" s="212">
        <f>-(BV300+BV301)</f>
        <v>-2132.077</v>
      </c>
      <c r="BW410" s="184" t="n"/>
      <c r="BX410" s="184" t="n"/>
      <c r="BY410" s="168" t="n"/>
      <c r="BZ410" s="168" t="n"/>
      <c r="CA410" s="186">
        <f>-(CA300+CA301)</f>
        <v>-2878.28778082192</v>
      </c>
      <c r="CB410" s="186">
        <f>-(CB300+CB301)</f>
        <v>-2996.03778082192</v>
      </c>
      <c r="CC410" s="186">
        <f>-(CC300+CC301)</f>
        <v>-3107.53778082192</v>
      </c>
      <c r="CD410" s="186">
        <f>-(CD300+CD301)</f>
        <v>-3212.78778082192</v>
      </c>
      <c r="CE410" s="186">
        <f>-(CE300+CE301)</f>
        <v>-3311.78778082192</v>
      </c>
      <c r="CF410" s="20" t="n"/>
    </row>
    <row r="411" ht="15" customHeight="1">
      <c r="B411" s="26" t="inlineStr">
        <is>
          <t xml:space="preserve">  − Non-interest-bearing current liabilities (total CL excl. debt)</t>
        </is>
      </c>
      <c r="C411" s="212">
        <f>-(C312-N(C306))</f>
        <v>-196.963</v>
      </c>
      <c r="D411" s="212">
        <f>-(D312-N(D306))</f>
        <v>-209.602</v>
      </c>
      <c r="E411" s="212">
        <f>-(E312-N(E306))</f>
        <v>-180.973</v>
      </c>
      <c r="F411" s="212">
        <f>-(F312-N(F306))</f>
        <v>-231.397</v>
      </c>
      <c r="G411" s="212">
        <f>-(G312-N(G306))</f>
        <v>-298.33</v>
      </c>
      <c r="H411" s="212">
        <f>-(H312-N(H306))</f>
        <v>-373.432</v>
      </c>
      <c r="I411" s="212">
        <f>-(I312-N(I306))</f>
        <v>-563.96</v>
      </c>
      <c r="J411" s="184" t="n"/>
      <c r="K411" s="184" t="n"/>
      <c r="L411" s="184" t="n"/>
      <c r="M411" s="184" t="n"/>
      <c r="N411" s="212">
        <f>-(N312-N(N306))</f>
        <v>-638.216</v>
      </c>
      <c r="O411" s="184" t="n"/>
      <c r="P411" s="184" t="n"/>
      <c r="Q411" s="184" t="n"/>
      <c r="R411" s="184" t="n"/>
      <c r="S411" s="212">
        <f>-(S312-N(S306))</f>
        <v>-571.935</v>
      </c>
      <c r="T411" s="184" t="n"/>
      <c r="U411" s="184" t="n"/>
      <c r="V411" s="184" t="n"/>
      <c r="W411" s="184" t="n"/>
      <c r="X411" s="212">
        <f>-(X312-N(X306))</f>
        <v>-517.12</v>
      </c>
      <c r="Y411" s="184" t="n"/>
      <c r="Z411" s="184" t="n"/>
      <c r="AA411" s="184" t="n"/>
      <c r="AB411" s="184" t="n"/>
      <c r="AC411" s="212">
        <f>-(AC312-N(AC306))</f>
        <v>-504.668</v>
      </c>
      <c r="AD411" s="184" t="n"/>
      <c r="AE411" s="184" t="n"/>
      <c r="AF411" s="184" t="n"/>
      <c r="AG411" s="184" t="n"/>
      <c r="AH411" s="212">
        <f>-(AH312-N(AH306))</f>
        <v>-499.817</v>
      </c>
      <c r="AI411" s="184" t="n"/>
      <c r="AJ411" s="184" t="n"/>
      <c r="AK411" s="184" t="n"/>
      <c r="AL411" s="184" t="n"/>
      <c r="AM411" s="212">
        <f>-(AM312-N(AM306))</f>
        <v>-594.743</v>
      </c>
      <c r="AN411" s="184" t="n"/>
      <c r="AO411" s="184" t="n"/>
      <c r="AP411" s="184" t="n"/>
      <c r="AQ411" s="184" t="n"/>
      <c r="AR411" s="212">
        <f>-(AR312-N(AR306))</f>
        <v>-712.565</v>
      </c>
      <c r="AS411" s="184" t="n"/>
      <c r="AT411" s="184" t="n"/>
      <c r="AU411" s="184" t="n"/>
      <c r="AV411" s="184" t="n"/>
      <c r="AW411" s="212">
        <f>-(AW312-N(AW306))</f>
        <v>-628.61</v>
      </c>
      <c r="AX411" s="184" t="n"/>
      <c r="AY411" s="184" t="n"/>
      <c r="AZ411" s="184" t="n"/>
      <c r="BA411" s="184" t="n"/>
      <c r="BB411" s="212">
        <f>-(BB312-N(BB306))</f>
        <v>-907.779</v>
      </c>
      <c r="BC411" s="184" t="n"/>
      <c r="BD411" s="184" t="n"/>
      <c r="BE411" s="184" t="n"/>
      <c r="BF411" s="184" t="n"/>
      <c r="BG411" s="212">
        <f>-(BG312-N(BG306))</f>
        <v>-1010.094</v>
      </c>
      <c r="BH411" s="184" t="n"/>
      <c r="BI411" s="184" t="n"/>
      <c r="BJ411" s="184" t="n"/>
      <c r="BK411" s="184" t="n"/>
      <c r="BL411" s="212">
        <f>-(BL312-N(BL306))</f>
        <v>-1027.537</v>
      </c>
      <c r="BM411" s="184" t="n"/>
      <c r="BN411" s="184" t="n"/>
      <c r="BO411" s="184" t="n"/>
      <c r="BP411" s="184" t="n"/>
      <c r="BQ411" s="212">
        <f>-(BQ312-N(BQ306))</f>
        <v>-1087.564</v>
      </c>
      <c r="BR411" s="184" t="n"/>
      <c r="BS411" s="184" t="n"/>
      <c r="BT411" s="184" t="n"/>
      <c r="BU411" s="184" t="n"/>
      <c r="BV411" s="212">
        <f>-(BV312-N(BV306))</f>
        <v>-1124.247</v>
      </c>
      <c r="BW411" s="184" t="n"/>
      <c r="BX411" s="184" t="n"/>
      <c r="BY411" s="168" t="n"/>
      <c r="BZ411" s="168" t="n"/>
      <c r="CA411" s="186">
        <f>-(CA312-N(CA306))</f>
        <v>-1228.1647551163</v>
      </c>
      <c r="CB411" s="186">
        <f>-(CB312-N(CB306))</f>
        <v>-1269.67004312292</v>
      </c>
      <c r="CC411" s="186">
        <f>-(CC312-N(CC306))</f>
        <v>-1321.9356454423</v>
      </c>
      <c r="CD411" s="186">
        <f>-(CD312-N(CD306))</f>
        <v>-1376.42967184906</v>
      </c>
      <c r="CE411" s="186">
        <f>-(CE312-N(CE306))</f>
        <v>-1433.9581283696</v>
      </c>
      <c r="CF411" s="20" t="n"/>
    </row>
    <row r="412" ht="15" customHeight="1">
      <c r="B412" s="26" t="inlineStr">
        <is>
          <t xml:space="preserve">  = Net tangible assets</t>
        </is>
      </c>
      <c r="C412" s="212">
        <f>SUM(C409:C411)</f>
        <v>389.07</v>
      </c>
      <c r="D412" s="212">
        <f>SUM(D409:D411)</f>
        <v>463.905</v>
      </c>
      <c r="E412" s="212">
        <f>SUM(E409:E411)</f>
        <v>621.031</v>
      </c>
      <c r="F412" s="212">
        <f>SUM(F409:F411)</f>
        <v>999.398</v>
      </c>
      <c r="G412" s="212">
        <f>SUM(G409:G411)</f>
        <v>1129.493</v>
      </c>
      <c r="H412" s="212">
        <f>SUM(H409:H411)</f>
        <v>1450.335</v>
      </c>
      <c r="I412" s="212">
        <f>SUM(I409:I411)</f>
        <v>2095.258</v>
      </c>
      <c r="J412" s="184" t="n"/>
      <c r="K412" s="184" t="n"/>
      <c r="L412" s="184" t="n"/>
      <c r="M412" s="184" t="n"/>
      <c r="N412" s="212">
        <f>SUM(N409:N411)</f>
        <v>2174.529</v>
      </c>
      <c r="O412" s="184" t="n"/>
      <c r="P412" s="184" t="n"/>
      <c r="Q412" s="184" t="n"/>
      <c r="R412" s="184" t="n"/>
      <c r="S412" s="212">
        <f>SUM(S409:S411)</f>
        <v>2149.594</v>
      </c>
      <c r="T412" s="184" t="n"/>
      <c r="U412" s="184" t="n"/>
      <c r="V412" s="184" t="n"/>
      <c r="W412" s="184" t="n"/>
      <c r="X412" s="212">
        <f>SUM(X409:X411)</f>
        <v>1954.385</v>
      </c>
      <c r="Y412" s="184" t="n"/>
      <c r="Z412" s="184" t="n"/>
      <c r="AA412" s="184" t="n"/>
      <c r="AB412" s="184" t="n"/>
      <c r="AC412" s="212">
        <f>SUM(AC409:AC411)</f>
        <v>2213.377</v>
      </c>
      <c r="AD412" s="184" t="n"/>
      <c r="AE412" s="184" t="n"/>
      <c r="AF412" s="184" t="n"/>
      <c r="AG412" s="184" t="n"/>
      <c r="AH412" s="212">
        <f>SUM(AH409:AH411)</f>
        <v>2259.102</v>
      </c>
      <c r="AI412" s="184" t="n"/>
      <c r="AJ412" s="184" t="n"/>
      <c r="AK412" s="184" t="n"/>
      <c r="AL412" s="184" t="n"/>
      <c r="AM412" s="212">
        <f>SUM(AM409:AM411)</f>
        <v>2187.514</v>
      </c>
      <c r="AN412" s="184" t="n"/>
      <c r="AO412" s="184" t="n"/>
      <c r="AP412" s="184" t="n"/>
      <c r="AQ412" s="184" t="n"/>
      <c r="AR412" s="212">
        <f>SUM(AR409:AR411)</f>
        <v>2452.26</v>
      </c>
      <c r="AS412" s="184" t="n"/>
      <c r="AT412" s="184" t="n"/>
      <c r="AU412" s="184" t="n"/>
      <c r="AV412" s="184" t="n"/>
      <c r="AW412" s="212">
        <f>SUM(AW409:AW411)</f>
        <v>2589.267</v>
      </c>
      <c r="AX412" s="184" t="n"/>
      <c r="AY412" s="184" t="n"/>
      <c r="AZ412" s="184" t="n"/>
      <c r="BA412" s="184" t="n"/>
      <c r="BB412" s="212">
        <f>SUM(BB409:BB411)</f>
        <v>2873.966</v>
      </c>
      <c r="BC412" s="184" t="n"/>
      <c r="BD412" s="184" t="n"/>
      <c r="BE412" s="184" t="n"/>
      <c r="BF412" s="184" t="n"/>
      <c r="BG412" s="212">
        <f>SUM(BG409:BG411)</f>
        <v>3251.953</v>
      </c>
      <c r="BH412" s="184" t="n"/>
      <c r="BI412" s="184" t="n"/>
      <c r="BJ412" s="184" t="n"/>
      <c r="BK412" s="184" t="n"/>
      <c r="BL412" s="212">
        <f>SUM(BL409:BL411)</f>
        <v>3464.799</v>
      </c>
      <c r="BM412" s="184" t="n"/>
      <c r="BN412" s="184" t="n"/>
      <c r="BO412" s="184" t="n"/>
      <c r="BP412" s="184" t="n"/>
      <c r="BQ412" s="212">
        <f>SUM(BQ409:BQ411)</f>
        <v>4110.528</v>
      </c>
      <c r="BR412" s="184" t="n"/>
      <c r="BS412" s="184" t="n"/>
      <c r="BT412" s="184" t="n"/>
      <c r="BU412" s="184" t="n"/>
      <c r="BV412" s="212">
        <f>SUM(BV409:BV411)</f>
        <v>4367.732</v>
      </c>
      <c r="BW412" s="184" t="n"/>
      <c r="BX412" s="184" t="n"/>
      <c r="BY412" s="168" t="n"/>
      <c r="BZ412" s="168" t="n"/>
      <c r="CA412" s="186">
        <f>SUM(CA409:CA411)</f>
        <v>4644.48937011244</v>
      </c>
      <c r="CB412" s="186">
        <f>SUM(CB409:CB411)</f>
        <v>4841.09289792006</v>
      </c>
      <c r="CC412" s="186">
        <f>SUM(CC409:CC411)</f>
        <v>4805.72749004763</v>
      </c>
      <c r="CD412" s="186">
        <f>SUM(CD409:CD411)</f>
        <v>5055.49657197237</v>
      </c>
      <c r="CE412" s="186">
        <f>SUM(CE409:CE411)</f>
        <v>5310.50877647748</v>
      </c>
      <c r="CF412" s="20" t="n"/>
    </row>
    <row r="413" ht="15" customHeight="1">
      <c r="B413" s="17" t="inlineStr">
        <is>
          <t>RONTA = NOPAT / NTA</t>
        </is>
      </c>
      <c r="C413" s="241">
        <f>IFERROR(C408/C412,"n/a")</f>
        <v>0.191402623279026</v>
      </c>
      <c r="D413" s="241">
        <f>IFERROR(D408/D412,"n/a")</f>
        <v>0.126226794596563</v>
      </c>
      <c r="E413" s="241">
        <f>IFERROR(E408/E412,"n/a")</f>
        <v>0.11696435706258</v>
      </c>
      <c r="F413" s="241">
        <f>IFERROR(F408/F412,"n/a")</f>
        <v>0.055642696903536</v>
      </c>
      <c r="G413" s="241">
        <f>IFERROR(G408/G412,"n/a")</f>
        <v>0.136212739639357</v>
      </c>
      <c r="H413" s="241">
        <f>IFERROR(H408/H412,"n/a")</f>
        <v>0.108010638579438</v>
      </c>
      <c r="I413" s="241">
        <f>IFERROR(I408/I412,"n/a")</f>
        <v>0.101238606415057</v>
      </c>
      <c r="J413" s="242" t="n"/>
      <c r="K413" s="242" t="n"/>
      <c r="L413" s="242" t="n"/>
      <c r="M413" s="242" t="n"/>
      <c r="N413" s="241">
        <f>IFERROR(N408/N412,"n/a")</f>
        <v>0.0750326110328989</v>
      </c>
      <c r="O413" s="242" t="n"/>
      <c r="P413" s="242" t="n"/>
      <c r="Q413" s="242" t="n"/>
      <c r="R413" s="242" t="n"/>
      <c r="S413" s="241">
        <f>IFERROR(S408/S412,"n/a")</f>
        <v>0.0686183530471336</v>
      </c>
      <c r="T413" s="242" t="n"/>
      <c r="U413" s="242" t="n"/>
      <c r="V413" s="242" t="n"/>
      <c r="W413" s="242" t="n"/>
      <c r="X413" s="241">
        <f>IFERROR(X408/X412,"n/a")</f>
        <v>0.0706021587353567</v>
      </c>
      <c r="Y413" s="242" t="n"/>
      <c r="Z413" s="242" t="n"/>
      <c r="AA413" s="242" t="n"/>
      <c r="AB413" s="242" t="n"/>
      <c r="AC413" s="241">
        <f>IFERROR(AC408/AC412,"n/a")</f>
        <v>0.0307273455900193</v>
      </c>
      <c r="AD413" s="242" t="n"/>
      <c r="AE413" s="242" t="n"/>
      <c r="AF413" s="242" t="n"/>
      <c r="AG413" s="242" t="n"/>
      <c r="AH413" s="241">
        <f>IFERROR(AH408/AH412,"n/a")</f>
        <v>0.0607475890862831</v>
      </c>
      <c r="AI413" s="242" t="n"/>
      <c r="AJ413" s="242" t="n"/>
      <c r="AK413" s="242" t="n"/>
      <c r="AL413" s="242" t="n"/>
      <c r="AM413" s="241">
        <f>IFERROR(AM408/AM412,"n/a")</f>
        <v>0.0610944989908821</v>
      </c>
      <c r="AN413" s="242" t="n"/>
      <c r="AO413" s="242" t="n"/>
      <c r="AP413" s="242" t="n"/>
      <c r="AQ413" s="242" t="n"/>
      <c r="AR413" s="241">
        <f>IFERROR(AR408/AR412,"n/a")</f>
        <v>0.0644192488776669</v>
      </c>
      <c r="AS413" s="242" t="n"/>
      <c r="AT413" s="242" t="n"/>
      <c r="AU413" s="242" t="n"/>
      <c r="AV413" s="242" t="n"/>
      <c r="AW413" s="241">
        <f>IFERROR(AW408/AW412,"n/a")</f>
        <v>0.0782807009641493</v>
      </c>
      <c r="AX413" s="242" t="n"/>
      <c r="AY413" s="242" t="n"/>
      <c r="AZ413" s="242" t="n"/>
      <c r="BA413" s="242" t="n"/>
      <c r="BB413" s="241">
        <f>IFERROR(BB408/BB412,"n/a")</f>
        <v>0.0992361771228988</v>
      </c>
      <c r="BC413" s="242" t="n"/>
      <c r="BD413" s="242" t="n"/>
      <c r="BE413" s="242" t="n"/>
      <c r="BF413" s="242" t="n"/>
      <c r="BG413" s="241">
        <f>IFERROR(BG408/BG412,"n/a")</f>
        <v>0.158747247250801</v>
      </c>
      <c r="BH413" s="242" t="n"/>
      <c r="BI413" s="242" t="n"/>
      <c r="BJ413" s="242" t="n"/>
      <c r="BK413" s="242" t="n"/>
      <c r="BL413" s="241">
        <f>IFERROR(BL408/BL412,"n/a")</f>
        <v>0.140157235390481</v>
      </c>
      <c r="BM413" s="242" t="n"/>
      <c r="BN413" s="242" t="n"/>
      <c r="BO413" s="242" t="n"/>
      <c r="BP413" s="242" t="n"/>
      <c r="BQ413" s="241">
        <f>IFERROR(BQ408/BQ412,"n/a")</f>
        <v>0.131366195517978</v>
      </c>
      <c r="BR413" s="242" t="n"/>
      <c r="BS413" s="242" t="n"/>
      <c r="BT413" s="242" t="n"/>
      <c r="BU413" s="242" t="n"/>
      <c r="BV413" s="241">
        <f>IFERROR(BV408/BV412,"n/a")</f>
        <v>0.122739257218407</v>
      </c>
      <c r="BW413" s="242" t="n"/>
      <c r="BX413" s="242" t="n"/>
      <c r="BY413" s="243" t="n"/>
      <c r="BZ413" s="243" t="n"/>
      <c r="CA413" s="244">
        <f>IFERROR(CA408/CA412,"n/a")</f>
        <v>0.14381297626429</v>
      </c>
      <c r="CB413" s="244">
        <f>IFERROR(CB408/CB412,"n/a")</f>
        <v>0.153150698559972</v>
      </c>
      <c r="CC413" s="244">
        <f>IFERROR(CC408/CC412,"n/a")</f>
        <v>0.173029786620248</v>
      </c>
      <c r="CD413" s="244">
        <f>IFERROR(CD408/CD412,"n/a")</f>
        <v>0.180662151326276</v>
      </c>
      <c r="CE413" s="244">
        <f>IFERROR(CE408/CE412,"n/a")</f>
        <v>0.18647254564026</v>
      </c>
      <c r="CF413" s="177" t="n"/>
      <c r="CH413" s="39">
        <f>IFERROR(AVERAGE(CA413,CB413,CC413,CD413,CE413),"n/m")</f>
        <v>0.167425631682209</v>
      </c>
      <c r="CI413" s="39">
        <f>IFERROR(AVERAGE(BB413,BG413,BL413,BQ413,BV413),"n/m")</f>
        <v>0.130449222500113</v>
      </c>
      <c r="CJ413" s="39">
        <f>IFERROR(AVERAGE(AC413,AH413,AM413,AR413,AW413,BB413,BG413,BL413,BQ413,BV413),"n/m")</f>
        <v>0.0947515496009566</v>
      </c>
      <c r="CK413" s="39">
        <f>IFERROR(AVERAGE(C413,D413,E413,F413,G413,H413,I413,N413,S413,X413,AC413,AH413,AM413,AR413,AW413,BB413,BG413,BL413,BQ413,BV413),"n/m")</f>
        <v>0.0998733537650256</v>
      </c>
    </row>
    <row r="414" ht="15" customHeight="1">
      <c r="B414" s="26" t="inlineStr">
        <is>
          <t>Return on Equity (ROE)</t>
        </is>
      </c>
      <c r="C414" s="217" t="n"/>
      <c r="D414" s="217" t="n"/>
      <c r="E414" s="217" t="n"/>
      <c r="F414" s="217" t="n"/>
      <c r="G414" s="217" t="n"/>
      <c r="H414" s="217" t="n"/>
      <c r="I414" s="217" t="n"/>
      <c r="J414" s="217" t="n"/>
      <c r="K414" s="217" t="n"/>
      <c r="L414" s="217" t="n"/>
      <c r="M414" s="217" t="n"/>
      <c r="N414" s="217" t="n"/>
      <c r="O414" s="217" t="n"/>
      <c r="P414" s="217" t="n"/>
      <c r="Q414" s="217" t="n"/>
      <c r="R414" s="217" t="n"/>
      <c r="S414" s="217" t="n"/>
      <c r="T414" s="217" t="n"/>
      <c r="U414" s="217" t="n"/>
      <c r="V414" s="217" t="n"/>
      <c r="W414" s="217" t="n"/>
      <c r="X414" s="217" t="n"/>
      <c r="Y414" s="217" t="n"/>
      <c r="Z414" s="217" t="n"/>
      <c r="AA414" s="217" t="n"/>
      <c r="AB414" s="217" t="n"/>
      <c r="AC414" s="217" t="n"/>
      <c r="AD414" s="217" t="n"/>
      <c r="AE414" s="217" t="n"/>
      <c r="AF414" s="217" t="n"/>
      <c r="AG414" s="217" t="n"/>
      <c r="AH414" s="217" t="n"/>
      <c r="AI414" s="217" t="n"/>
      <c r="AJ414" s="217" t="n"/>
      <c r="AK414" s="217" t="n"/>
      <c r="AL414" s="217" t="n"/>
      <c r="AM414" s="217" t="n"/>
      <c r="AN414" s="217" t="n"/>
      <c r="AO414" s="217" t="n"/>
      <c r="AP414" s="217" t="n"/>
      <c r="AQ414" s="217" t="n"/>
      <c r="AR414" s="217" t="n"/>
      <c r="AS414" s="217" t="n"/>
      <c r="AT414" s="217" t="n"/>
      <c r="AU414" s="217" t="n"/>
      <c r="AV414" s="217" t="n"/>
      <c r="AW414" s="217" t="n"/>
      <c r="AX414" s="217" t="n"/>
      <c r="AY414" s="217" t="n"/>
      <c r="AZ414" s="217" t="n"/>
      <c r="BA414" s="217" t="n"/>
      <c r="BB414" s="217" t="n"/>
      <c r="BC414" s="217" t="n"/>
      <c r="BD414" s="217" t="n"/>
      <c r="BE414" s="217" t="n"/>
      <c r="BF414" s="217" t="n"/>
      <c r="BG414" s="217" t="n"/>
      <c r="BH414" s="217" t="n"/>
      <c r="BI414" s="217" t="n"/>
      <c r="BJ414" s="217" t="n"/>
      <c r="BK414" s="217" t="n"/>
      <c r="BL414" s="217" t="n"/>
      <c r="BM414" s="217" t="n"/>
      <c r="BN414" s="217" t="n"/>
      <c r="BO414" s="217" t="n"/>
      <c r="BP414" s="217" t="n"/>
      <c r="BQ414" s="217" t="n"/>
      <c r="BR414" s="217" t="n"/>
      <c r="BS414" s="217" t="n"/>
      <c r="BT414" s="217" t="n"/>
      <c r="BU414" s="217" t="n"/>
      <c r="BV414" s="217" t="n"/>
      <c r="BW414" s="217" t="n"/>
      <c r="BX414" s="217" t="n"/>
      <c r="BY414" s="218" t="n"/>
      <c r="BZ414" s="218" t="n"/>
      <c r="CA414" s="218" t="n"/>
      <c r="CB414" s="218" t="n"/>
      <c r="CC414" s="218" t="n"/>
      <c r="CD414" s="218" t="n"/>
      <c r="CE414" s="218" t="n"/>
      <c r="CF414" s="20" t="n"/>
    </row>
    <row r="415" ht="15" customHeight="1">
      <c r="B415" s="26" t="inlineStr">
        <is>
          <t>Net income attributable to common stockholders</t>
        </is>
      </c>
      <c r="C415" s="212">
        <f>C161</f>
        <v>46.3989999999999</v>
      </c>
      <c r="D415" s="212">
        <f>D161</f>
        <v>43.992</v>
      </c>
      <c r="E415" s="212">
        <f>E161</f>
        <v>57.4859999999999</v>
      </c>
      <c r="F415" s="212">
        <f>F161</f>
        <v>36.6860000000001</v>
      </c>
      <c r="G415" s="212">
        <f>G161</f>
        <v>130.515</v>
      </c>
      <c r="H415" s="212">
        <f>H161</f>
        <v>127.252</v>
      </c>
      <c r="I415" s="212">
        <f>I161</f>
        <v>129.674</v>
      </c>
      <c r="J415" s="184" t="n"/>
      <c r="K415" s="184" t="n"/>
      <c r="L415" s="184" t="n"/>
      <c r="M415" s="184" t="n"/>
      <c r="N415" s="212">
        <f>N161</f>
        <v>95.5660000000002</v>
      </c>
      <c r="O415" s="184" t="n"/>
      <c r="P415" s="184" t="n"/>
      <c r="Q415" s="184" t="n"/>
      <c r="R415" s="184" t="n"/>
      <c r="S415" s="212">
        <f>S161</f>
        <v>-28.328</v>
      </c>
      <c r="T415" s="184" t="n"/>
      <c r="U415" s="184" t="n"/>
      <c r="V415" s="184" t="n"/>
      <c r="W415" s="184" t="n"/>
      <c r="X415" s="212">
        <f>X161</f>
        <v>44.1020000000002</v>
      </c>
      <c r="Y415" s="184" t="n"/>
      <c r="Z415" s="184" t="n"/>
      <c r="AA415" s="184" t="n"/>
      <c r="AB415" s="184" t="n"/>
      <c r="AC415" s="212">
        <f>AC161</f>
        <v>-39.8729999999999</v>
      </c>
      <c r="AD415" s="184" t="n"/>
      <c r="AE415" s="184" t="n"/>
      <c r="AF415" s="184" t="n"/>
      <c r="AG415" s="184" t="n"/>
      <c r="AH415" s="212">
        <f>AH161</f>
        <v>100.739</v>
      </c>
      <c r="AI415" s="184" t="n"/>
      <c r="AJ415" s="184" t="n"/>
      <c r="AK415" s="184" t="n"/>
      <c r="AL415" s="184" t="n"/>
      <c r="AM415" s="212">
        <f>AM161</f>
        <v>65.636</v>
      </c>
      <c r="AN415" s="184" t="n"/>
      <c r="AO415" s="184" t="n"/>
      <c r="AP415" s="184" t="n"/>
      <c r="AQ415" s="184" t="n"/>
      <c r="AR415" s="212">
        <f>AR161</f>
        <v>97.7400000000002</v>
      </c>
      <c r="AS415" s="184" t="n"/>
      <c r="AT415" s="184" t="n"/>
      <c r="AU415" s="184" t="n"/>
      <c r="AV415" s="184" t="n"/>
      <c r="AW415" s="212">
        <f>AW161</f>
        <v>134.837</v>
      </c>
      <c r="AX415" s="184" t="n"/>
      <c r="AY415" s="184" t="n"/>
      <c r="AZ415" s="184" t="n"/>
      <c r="BA415" s="184" t="n"/>
      <c r="BB415" s="212">
        <f>BB161</f>
        <v>203.247</v>
      </c>
      <c r="BC415" s="184" t="n"/>
      <c r="BD415" s="184" t="n"/>
      <c r="BE415" s="184" t="n"/>
      <c r="BF415" s="184" t="n"/>
      <c r="BG415" s="212">
        <f>BG161</f>
        <v>411.744</v>
      </c>
      <c r="BH415" s="184" t="n"/>
      <c r="BI415" s="184" t="n"/>
      <c r="BJ415" s="184" t="n"/>
      <c r="BK415" s="184" t="n"/>
      <c r="BL415" s="212">
        <f>BL161</f>
        <v>377.856</v>
      </c>
      <c r="BM415" s="184" t="n"/>
      <c r="BN415" s="184" t="n"/>
      <c r="BO415" s="184" t="n"/>
      <c r="BP415" s="184" t="n"/>
      <c r="BQ415" s="212">
        <f>BQ161</f>
        <v>402.299</v>
      </c>
      <c r="BR415" s="184" t="n"/>
      <c r="BS415" s="184" t="n"/>
      <c r="BT415" s="184" t="n"/>
      <c r="BU415" s="184" t="n"/>
      <c r="BV415" s="212">
        <f>BV161</f>
        <v>390.974</v>
      </c>
      <c r="BW415" s="184" t="n"/>
      <c r="BX415" s="184" t="n"/>
      <c r="BY415" s="168" t="n"/>
      <c r="BZ415" s="168" t="n"/>
      <c r="CA415" s="186">
        <f>CA161</f>
        <v>495.873150934361</v>
      </c>
      <c r="CB415" s="186">
        <f>CB161</f>
        <v>560.429766515353</v>
      </c>
      <c r="CC415" s="186">
        <f>CC161</f>
        <v>643.581923888068</v>
      </c>
      <c r="CD415" s="186">
        <f>CD161</f>
        <v>713.118833689035</v>
      </c>
      <c r="CE415" s="186">
        <f>CE161</f>
        <v>773.628677231593</v>
      </c>
      <c r="CF415" s="20" t="n"/>
    </row>
    <row r="416" ht="15" customHeight="1">
      <c r="B416" s="26" t="inlineStr">
        <is>
          <t>Stockholders' equity</t>
        </is>
      </c>
      <c r="C416" s="212">
        <f>C324</f>
        <v>173.186</v>
      </c>
      <c r="D416" s="212">
        <f>D324</f>
        <v>202.897</v>
      </c>
      <c r="E416" s="212">
        <f>E324</f>
        <v>429.045</v>
      </c>
      <c r="F416" s="212">
        <f>F324</f>
        <v>613.825</v>
      </c>
      <c r="G416" s="212">
        <f>G324</f>
        <v>780.827</v>
      </c>
      <c r="H416" s="212">
        <f>H324</f>
        <v>900.987</v>
      </c>
      <c r="I416" s="212">
        <f>I324</f>
        <v>1432.072</v>
      </c>
      <c r="J416" s="184" t="n"/>
      <c r="K416" s="184" t="n"/>
      <c r="L416" s="184" t="n"/>
      <c r="M416" s="184" t="n"/>
      <c r="N416" s="212">
        <f>N324</f>
        <v>1475.639</v>
      </c>
      <c r="O416" s="184" t="n"/>
      <c r="P416" s="184" t="n"/>
      <c r="Q416" s="184" t="n"/>
      <c r="R416" s="184" t="n"/>
      <c r="S416" s="212">
        <f>S324</f>
        <v>1262.871</v>
      </c>
      <c r="T416" s="184" t="n"/>
      <c r="U416" s="184" t="n"/>
      <c r="V416" s="184" t="n"/>
      <c r="W416" s="184" t="n"/>
      <c r="X416" s="212">
        <f>X324</f>
        <v>1096.282</v>
      </c>
      <c r="Y416" s="184" t="n"/>
      <c r="Z416" s="184" t="n"/>
      <c r="AA416" s="184" t="n"/>
      <c r="AB416" s="184" t="n"/>
      <c r="AC416" s="212">
        <f>AC324</f>
        <v>1084.241</v>
      </c>
      <c r="AD416" s="184" t="n"/>
      <c r="AE416" s="184" t="n"/>
      <c r="AF416" s="184" t="n"/>
      <c r="AG416" s="184" t="n"/>
      <c r="AH416" s="212">
        <f>AH324</f>
        <v>1188.202</v>
      </c>
      <c r="AI416" s="184" t="n"/>
      <c r="AJ416" s="184" t="n"/>
      <c r="AK416" s="184" t="n"/>
      <c r="AL416" s="184" t="n"/>
      <c r="AM416" s="212">
        <f>AM324</f>
        <v>1169.756</v>
      </c>
      <c r="AN416" s="184" t="n"/>
      <c r="AO416" s="184" t="n"/>
      <c r="AP416" s="184" t="n"/>
      <c r="AQ416" s="184" t="n"/>
      <c r="AR416" s="212">
        <f>AR324</f>
        <v>1269.813</v>
      </c>
      <c r="AS416" s="184" t="n"/>
      <c r="AT416" s="184" t="n"/>
      <c r="AU416" s="184" t="n"/>
      <c r="AV416" s="184" t="n"/>
      <c r="AW416" s="212">
        <f>AW324</f>
        <v>1341.551</v>
      </c>
      <c r="AX416" s="184" t="n"/>
      <c r="AY416" s="184" t="n"/>
      <c r="AZ416" s="184" t="n"/>
      <c r="BA416" s="184" t="n"/>
      <c r="BB416" s="212">
        <f>BB324</f>
        <v>1513.887</v>
      </c>
      <c r="BC416" s="184" t="n"/>
      <c r="BD416" s="184" t="n"/>
      <c r="BE416" s="184" t="n"/>
      <c r="BF416" s="184" t="n"/>
      <c r="BG416" s="212">
        <f>BG324</f>
        <v>1922.322</v>
      </c>
      <c r="BH416" s="184" t="n"/>
      <c r="BI416" s="184" t="n"/>
      <c r="BJ416" s="184" t="n"/>
      <c r="BK416" s="184" t="n"/>
      <c r="BL416" s="212">
        <f>BL324</f>
        <v>2247.506</v>
      </c>
      <c r="BM416" s="184" t="n"/>
      <c r="BN416" s="184" t="n"/>
      <c r="BO416" s="184" t="n"/>
      <c r="BP416" s="184" t="n"/>
      <c r="BQ416" s="212">
        <f>BQ324</f>
        <v>2573.529</v>
      </c>
      <c r="BR416" s="184" t="n"/>
      <c r="BS416" s="184" t="n"/>
      <c r="BT416" s="184" t="n"/>
      <c r="BU416" s="184" t="n"/>
      <c r="BV416" s="212">
        <f>BV324</f>
        <v>2745.66</v>
      </c>
      <c r="BW416" s="184" t="n"/>
      <c r="BX416" s="184" t="n"/>
      <c r="BY416" s="168" t="n"/>
      <c r="BZ416" s="168" t="n"/>
      <c r="CA416" s="186">
        <f>CA324</f>
        <v>3168.73415093436</v>
      </c>
      <c r="CB416" s="186">
        <f>CB324</f>
        <v>3496.94964767528</v>
      </c>
      <c r="CC416" s="186">
        <f>CC324</f>
        <v>3559.76772253988</v>
      </c>
      <c r="CD416" s="186">
        <f>CD324</f>
        <v>3636.64169969446</v>
      </c>
      <c r="CE416" s="186">
        <f>CE324</f>
        <v>3719.76349831034</v>
      </c>
      <c r="CF416" s="20" t="n"/>
    </row>
    <row r="417" ht="15" customHeight="1">
      <c r="B417" s="17" t="inlineStr">
        <is>
          <t>ROE = Net income / Equity</t>
        </is>
      </c>
      <c r="C417" s="241">
        <f>IFERROR(C415/C416,"n/a")</f>
        <v>0.267914265587287</v>
      </c>
      <c r="D417" s="241">
        <f>IFERROR(D415/D416,"n/a")</f>
        <v>0.216819371405196</v>
      </c>
      <c r="E417" s="241">
        <f>IFERROR(E415/E416,"n/a")</f>
        <v>0.133985945530189</v>
      </c>
      <c r="F417" s="241">
        <f>IFERROR(F415/F416,"n/a")</f>
        <v>0.0597662200138477</v>
      </c>
      <c r="G417" s="241">
        <f>IFERROR(G415/G416,"n/a")</f>
        <v>0.167149701534399</v>
      </c>
      <c r="H417" s="241">
        <f>IFERROR(H415/H416,"n/a")</f>
        <v>0.141236222054258</v>
      </c>
      <c r="I417" s="241">
        <f>IFERROR(I415/I416,"n/a")</f>
        <v>0.0905499164846459</v>
      </c>
      <c r="J417" s="242" t="n"/>
      <c r="K417" s="242" t="n"/>
      <c r="L417" s="242" t="n"/>
      <c r="M417" s="242" t="n"/>
      <c r="N417" s="241">
        <f>IFERROR(N415/N416,"n/a")</f>
        <v>0.0647624520631402</v>
      </c>
      <c r="O417" s="242" t="n"/>
      <c r="P417" s="242" t="n"/>
      <c r="Q417" s="242" t="n"/>
      <c r="R417" s="242" t="n"/>
      <c r="S417" s="241">
        <f>IFERROR(S415/S416,"n/a")</f>
        <v>-0.022431428071434</v>
      </c>
      <c r="T417" s="242" t="n"/>
      <c r="U417" s="242" t="n"/>
      <c r="V417" s="242" t="n"/>
      <c r="W417" s="242" t="n"/>
      <c r="X417" s="241">
        <f>IFERROR(X415/X416,"n/a")</f>
        <v>0.0402287002796727</v>
      </c>
      <c r="Y417" s="242" t="n"/>
      <c r="Z417" s="242" t="n"/>
      <c r="AA417" s="242" t="n"/>
      <c r="AB417" s="242" t="n"/>
      <c r="AC417" s="241">
        <f>IFERROR(AC415/AC416,"n/a")</f>
        <v>-0.0367750343327728</v>
      </c>
      <c r="AD417" s="242" t="n"/>
      <c r="AE417" s="242" t="n"/>
      <c r="AF417" s="242" t="n"/>
      <c r="AG417" s="242" t="n"/>
      <c r="AH417" s="241">
        <f>IFERROR(AH415/AH416,"n/a")</f>
        <v>0.0847827221297391</v>
      </c>
      <c r="AI417" s="242" t="n"/>
      <c r="AJ417" s="242" t="n"/>
      <c r="AK417" s="242" t="n"/>
      <c r="AL417" s="242" t="n"/>
      <c r="AM417" s="241">
        <f>IFERROR(AM415/AM416,"n/a")</f>
        <v>0.0561108470484443</v>
      </c>
      <c r="AN417" s="242" t="n"/>
      <c r="AO417" s="242" t="n"/>
      <c r="AP417" s="242" t="n"/>
      <c r="AQ417" s="242" t="n"/>
      <c r="AR417" s="241">
        <f>IFERROR(AR415/AR416,"n/a")</f>
        <v>0.0769719635883395</v>
      </c>
      <c r="AS417" s="242" t="n"/>
      <c r="AT417" s="242" t="n"/>
      <c r="AU417" s="242" t="n"/>
      <c r="AV417" s="242" t="n"/>
      <c r="AW417" s="241">
        <f>IFERROR(AW415/AW416,"n/a")</f>
        <v>0.100508292267681</v>
      </c>
      <c r="AX417" s="242" t="n"/>
      <c r="AY417" s="242" t="n"/>
      <c r="AZ417" s="242" t="n"/>
      <c r="BA417" s="242" t="n"/>
      <c r="BB417" s="241">
        <f>IFERROR(BB415/BB416,"n/a")</f>
        <v>0.134255066593477</v>
      </c>
      <c r="BC417" s="242" t="n"/>
      <c r="BD417" s="242" t="n"/>
      <c r="BE417" s="242" t="n"/>
      <c r="BF417" s="242" t="n"/>
      <c r="BG417" s="241">
        <f>IFERROR(BG415/BG416,"n/a")</f>
        <v>0.214190962804358</v>
      </c>
      <c r="BH417" s="242" t="n"/>
      <c r="BI417" s="242" t="n"/>
      <c r="BJ417" s="242" t="n"/>
      <c r="BK417" s="242" t="n"/>
      <c r="BL417" s="241">
        <f>IFERROR(BL415/BL416,"n/a")</f>
        <v>0.168122354289599</v>
      </c>
      <c r="BM417" s="242" t="n"/>
      <c r="BN417" s="242" t="n"/>
      <c r="BO417" s="242" t="n"/>
      <c r="BP417" s="242" t="n"/>
      <c r="BQ417" s="241">
        <f>IFERROR(BQ415/BQ416,"n/a")</f>
        <v>0.156321922154365</v>
      </c>
      <c r="BR417" s="242" t="n"/>
      <c r="BS417" s="242" t="n"/>
      <c r="BT417" s="242" t="n"/>
      <c r="BU417" s="242" t="n"/>
      <c r="BV417" s="241">
        <f>IFERROR(BV415/BV416,"n/a")</f>
        <v>0.142397092138138</v>
      </c>
      <c r="BW417" s="242" t="n"/>
      <c r="BX417" s="242" t="n"/>
      <c r="BY417" s="243" t="n"/>
      <c r="BZ417" s="243" t="n"/>
      <c r="CA417" s="244">
        <f>IFERROR(CA415/CA416,"n/a")</f>
        <v>0.156489351051474</v>
      </c>
      <c r="CB417" s="244">
        <f>IFERROR(CB415/CB416,"n/a")</f>
        <v>0.160262463855583</v>
      </c>
      <c r="CC417" s="244">
        <f>IFERROR(CC415/CC416,"n/a")</f>
        <v>0.180793235416179</v>
      </c>
      <c r="CD417" s="244">
        <f>IFERROR(CD415/CD416,"n/a")</f>
        <v>0.196092684563604</v>
      </c>
      <c r="CE417" s="244">
        <f>IFERROR(CE415/CE416,"n/a")</f>
        <v>0.207977920527207</v>
      </c>
      <c r="CF417" s="177" t="n"/>
      <c r="CH417" s="39">
        <f>IFERROR(AVERAGE(CA417,CB417,CC417,CD417,CE417),"n/m")</f>
        <v>0.180323131082809</v>
      </c>
      <c r="CI417" s="39">
        <f>IFERROR(AVERAGE(BB417,BG417,BL417,BQ417,BV417),"n/m")</f>
        <v>0.163057479595988</v>
      </c>
      <c r="CJ417" s="39">
        <f>IFERROR(AVERAGE(AC417,AH417,AM417,AR417,AW417,BB417,BG417,BL417,BQ417,BV417),"n/m")</f>
        <v>0.109688618868137</v>
      </c>
      <c r="CK417" s="39">
        <f>IFERROR(AVERAGE(C417,D417,E417,F417,G417,H417,I417,N417,S417,X417,AC417,AH417,AM417,AR417,AW417,BB417,BG417,BL417,BQ417,BV417),"n/m")</f>
        <v>0.112843377778129</v>
      </c>
    </row>
    <row r="418" ht="15" customHeight="1">
      <c r="B418" s="26" t="inlineStr">
        <is>
          <t>Leverage</t>
        </is>
      </c>
      <c r="C418" s="217" t="n"/>
      <c r="D418" s="217" t="n"/>
      <c r="E418" s="217" t="n"/>
      <c r="F418" s="217" t="n"/>
      <c r="G418" s="217" t="n"/>
      <c r="H418" s="217" t="n"/>
      <c r="I418" s="217" t="n"/>
      <c r="J418" s="217" t="n"/>
      <c r="K418" s="217" t="n"/>
      <c r="L418" s="217" t="n"/>
      <c r="M418" s="217" t="n"/>
      <c r="N418" s="217" t="n"/>
      <c r="O418" s="217" t="n"/>
      <c r="P418" s="217" t="n"/>
      <c r="Q418" s="217" t="n"/>
      <c r="R418" s="217" t="n"/>
      <c r="S418" s="217" t="n"/>
      <c r="T418" s="217" t="n"/>
      <c r="U418" s="217" t="n"/>
      <c r="V418" s="217" t="n"/>
      <c r="W418" s="217" t="n"/>
      <c r="X418" s="217" t="n"/>
      <c r="Y418" s="217" t="n"/>
      <c r="Z418" s="217" t="n"/>
      <c r="AA418" s="217" t="n"/>
      <c r="AB418" s="217" t="n"/>
      <c r="AC418" s="217" t="n"/>
      <c r="AD418" s="217" t="n"/>
      <c r="AE418" s="217" t="n"/>
      <c r="AF418" s="217" t="n"/>
      <c r="AG418" s="217" t="n"/>
      <c r="AH418" s="217" t="n"/>
      <c r="AI418" s="217" t="n"/>
      <c r="AJ418" s="217" t="n"/>
      <c r="AK418" s="217" t="n"/>
      <c r="AL418" s="217" t="n"/>
      <c r="AM418" s="217" t="n"/>
      <c r="AN418" s="217" t="n"/>
      <c r="AO418" s="217" t="n"/>
      <c r="AP418" s="217" t="n"/>
      <c r="AQ418" s="217" t="n"/>
      <c r="AR418" s="217" t="n"/>
      <c r="AS418" s="217" t="n"/>
      <c r="AT418" s="217" t="n"/>
      <c r="AU418" s="217" t="n"/>
      <c r="AV418" s="217" t="n"/>
      <c r="AW418" s="217" t="n"/>
      <c r="AX418" s="217" t="n"/>
      <c r="AY418" s="217" t="n"/>
      <c r="AZ418" s="217" t="n"/>
      <c r="BA418" s="217" t="n"/>
      <c r="BB418" s="217" t="n"/>
      <c r="BC418" s="217" t="n"/>
      <c r="BD418" s="217" t="n"/>
      <c r="BE418" s="217" t="n"/>
      <c r="BF418" s="217" t="n"/>
      <c r="BG418" s="217" t="n"/>
      <c r="BH418" s="217" t="n"/>
      <c r="BI418" s="217" t="n"/>
      <c r="BJ418" s="217" t="n"/>
      <c r="BK418" s="217" t="n"/>
      <c r="BL418" s="217" t="n"/>
      <c r="BM418" s="217" t="n"/>
      <c r="BN418" s="217" t="n"/>
      <c r="BO418" s="217" t="n"/>
      <c r="BP418" s="217" t="n"/>
      <c r="BQ418" s="217" t="n"/>
      <c r="BR418" s="217" t="n"/>
      <c r="BS418" s="217" t="n"/>
      <c r="BT418" s="217" t="n"/>
      <c r="BU418" s="217" t="n"/>
      <c r="BV418" s="217" t="n"/>
      <c r="BW418" s="217" t="n"/>
      <c r="BX418" s="217" t="n"/>
      <c r="BY418" s="218" t="n"/>
      <c r="BZ418" s="218" t="n"/>
      <c r="CA418" s="218" t="n"/>
      <c r="CB418" s="218" t="n"/>
      <c r="CC418" s="218" t="n"/>
      <c r="CD418" s="218" t="n"/>
      <c r="CE418" s="218" t="n"/>
      <c r="CF418" s="20" t="n"/>
    </row>
    <row r="419" ht="15" customHeight="1">
      <c r="B419" s="26" t="inlineStr">
        <is>
          <t>Net debt = Total debt − cash − marketable securities</t>
        </is>
      </c>
      <c r="C419" s="212">
        <f>C401</f>
        <v>40.771</v>
      </c>
      <c r="D419" s="212">
        <f>D401</f>
        <v>3.09500000000001</v>
      </c>
      <c r="E419" s="212">
        <f>E401</f>
        <v>-196.069</v>
      </c>
      <c r="F419" s="212">
        <f>F401</f>
        <v>65.653</v>
      </c>
      <c r="G419" s="212">
        <f>G401</f>
        <v>-26.584</v>
      </c>
      <c r="H419" s="212">
        <f>H401</f>
        <v>278.054</v>
      </c>
      <c r="I419" s="212">
        <f>I401</f>
        <v>1166.357</v>
      </c>
      <c r="J419" s="184" t="n"/>
      <c r="K419" s="184" t="n"/>
      <c r="L419" s="184" t="n"/>
      <c r="M419" s="184" t="n"/>
      <c r="N419" s="212">
        <f>N401</f>
        <v>1080.256</v>
      </c>
      <c r="O419" s="184" t="n"/>
      <c r="P419" s="184" t="n"/>
      <c r="Q419" s="184" t="n"/>
      <c r="R419" s="184" t="n"/>
      <c r="S419" s="212">
        <f>S401</f>
        <v>1148.657</v>
      </c>
      <c r="T419" s="184" t="n"/>
      <c r="U419" s="184" t="n"/>
      <c r="V419" s="184" t="n"/>
      <c r="W419" s="184" t="n"/>
      <c r="X419" s="212">
        <f>X401</f>
        <v>1197.835</v>
      </c>
      <c r="Y419" s="184" t="n"/>
      <c r="Z419" s="184" t="n"/>
      <c r="AA419" s="184" t="n"/>
      <c r="AB419" s="184" t="n"/>
      <c r="AC419" s="212">
        <f>AC401</f>
        <v>1326.275</v>
      </c>
      <c r="AD419" s="184" t="n"/>
      <c r="AE419" s="184" t="n"/>
      <c r="AF419" s="184" t="n"/>
      <c r="AG419" s="184" t="n"/>
      <c r="AH419" s="212">
        <f>AH401</f>
        <v>1271.959</v>
      </c>
      <c r="AI419" s="184" t="n"/>
      <c r="AJ419" s="184" t="n"/>
      <c r="AK419" s="184" t="n"/>
      <c r="AL419" s="184" t="n"/>
      <c r="AM419" s="212">
        <f>AM401</f>
        <v>1293.193</v>
      </c>
      <c r="AN419" s="184" t="n"/>
      <c r="AO419" s="184" t="n"/>
      <c r="AP419" s="184" t="n"/>
      <c r="AQ419" s="184" t="n"/>
      <c r="AR419" s="212">
        <f>AR401</f>
        <v>1147.239</v>
      </c>
      <c r="AS419" s="184" t="n"/>
      <c r="AT419" s="184" t="n"/>
      <c r="AU419" s="184" t="n"/>
      <c r="AV419" s="184" t="n"/>
      <c r="AW419" s="212">
        <f>AW401</f>
        <v>986.218</v>
      </c>
      <c r="AX419" s="184" t="n"/>
      <c r="AY419" s="184" t="n"/>
      <c r="AZ419" s="184" t="n"/>
      <c r="BA419" s="184" t="n"/>
      <c r="BB419" s="212">
        <f>BB401</f>
        <v>2000.26</v>
      </c>
      <c r="BC419" s="184" t="n"/>
      <c r="BD419" s="184" t="n"/>
      <c r="BE419" s="184" t="n"/>
      <c r="BF419" s="184" t="n"/>
      <c r="BG419" s="212">
        <f>BG401</f>
        <v>1870.192</v>
      </c>
      <c r="BH419" s="184" t="n"/>
      <c r="BI419" s="184" t="n"/>
      <c r="BJ419" s="184" t="n"/>
      <c r="BK419" s="184" t="n"/>
      <c r="BL419" s="212">
        <f>BL401</f>
        <v>1750.918</v>
      </c>
      <c r="BM419" s="184" t="n"/>
      <c r="BN419" s="184" t="n"/>
      <c r="BO419" s="184" t="n"/>
      <c r="BP419" s="184" t="n"/>
      <c r="BQ419" s="212">
        <f>BQ401</f>
        <v>1996.393</v>
      </c>
      <c r="BR419" s="184" t="n"/>
      <c r="BS419" s="184" t="n"/>
      <c r="BT419" s="184" t="n"/>
      <c r="BU419" s="184" t="n"/>
      <c r="BV419" s="212">
        <f>BV401</f>
        <v>1822.485</v>
      </c>
      <c r="BW419" s="184" t="n"/>
      <c r="BX419" s="184" t="n"/>
      <c r="BY419" s="168" t="n"/>
      <c r="BZ419" s="168" t="n"/>
      <c r="CA419" s="186">
        <f>CA401</f>
        <v>2710.31128189429</v>
      </c>
      <c r="CB419" s="186">
        <f>CB401</f>
        <v>2712.84359891278</v>
      </c>
      <c r="CC419" s="186">
        <f>CC401</f>
        <v>3007.86654050848</v>
      </c>
      <c r="CD419" s="186">
        <f>CD401</f>
        <v>3284.50012564637</v>
      </c>
      <c r="CE419" s="186">
        <f>CE401</f>
        <v>3552.43778646695</v>
      </c>
      <c r="CF419" s="20" t="n"/>
    </row>
    <row r="420" ht="15" customHeight="1">
      <c r="B420" s="26" t="inlineStr">
        <is>
          <t>Adjusted EBITDA (2026E pro forma for ES&amp;H / EnviroServe full year)</t>
        </is>
      </c>
      <c r="C420" s="212">
        <f>C196</f>
        <v>119.935</v>
      </c>
      <c r="D420" s="212">
        <f>D196</f>
        <v>133.297</v>
      </c>
      <c r="E420" s="212">
        <f>E196</f>
        <v>163.219</v>
      </c>
      <c r="F420" s="212">
        <f>F196</f>
        <v>157.58</v>
      </c>
      <c r="G420" s="212">
        <f>G196</f>
        <v>314.692</v>
      </c>
      <c r="H420" s="212">
        <f>H196</f>
        <v>350.008</v>
      </c>
      <c r="I420" s="212">
        <f>I196</f>
        <v>373.767</v>
      </c>
      <c r="J420" s="184" t="n"/>
      <c r="K420" s="184" t="n"/>
      <c r="L420" s="184" t="n"/>
      <c r="M420" s="184" t="n"/>
      <c r="N420" s="212">
        <f>N196</f>
        <v>510.105</v>
      </c>
      <c r="O420" s="184" t="n"/>
      <c r="P420" s="184" t="n"/>
      <c r="Q420" s="184" t="n"/>
      <c r="R420" s="184" t="n"/>
      <c r="S420" s="212">
        <f>S196</f>
        <v>521.919</v>
      </c>
      <c r="T420" s="184" t="n"/>
      <c r="U420" s="184" t="n"/>
      <c r="V420" s="184" t="n"/>
      <c r="W420" s="184" t="n"/>
      <c r="X420" s="212">
        <f>X196</f>
        <v>504.167</v>
      </c>
      <c r="Y420" s="184" t="n"/>
      <c r="Z420" s="184" t="n"/>
      <c r="AA420" s="184" t="n"/>
      <c r="AB420" s="184" t="n"/>
      <c r="AC420" s="212">
        <f>AC196</f>
        <v>400.354</v>
      </c>
      <c r="AD420" s="184" t="n"/>
      <c r="AE420" s="184" t="n"/>
      <c r="AF420" s="184" t="n"/>
      <c r="AG420" s="184" t="n"/>
      <c r="AH420" s="212">
        <f>AH196</f>
        <v>425.657</v>
      </c>
      <c r="AI420" s="184" t="n"/>
      <c r="AJ420" s="184" t="n"/>
      <c r="AK420" s="184" t="n"/>
      <c r="AL420" s="184" t="n"/>
      <c r="AM420" s="212">
        <f>AM196</f>
        <v>491.005</v>
      </c>
      <c r="AN420" s="184" t="n"/>
      <c r="AO420" s="184" t="n"/>
      <c r="AP420" s="184" t="n"/>
      <c r="AQ420" s="184" t="n"/>
      <c r="AR420" s="212">
        <f>AR196</f>
        <v>540.317</v>
      </c>
      <c r="AS420" s="184" t="n"/>
      <c r="AT420" s="184" t="n"/>
      <c r="AU420" s="184" t="n"/>
      <c r="AV420" s="184" t="n"/>
      <c r="AW420" s="212">
        <f>AW196</f>
        <v>555.302</v>
      </c>
      <c r="AX420" s="184" t="n"/>
      <c r="AY420" s="184" t="n"/>
      <c r="AZ420" s="184" t="n"/>
      <c r="BA420" s="184" t="n"/>
      <c r="BB420" s="212">
        <f>BB196</f>
        <v>676.606</v>
      </c>
      <c r="BC420" s="184" t="n"/>
      <c r="BD420" s="184" t="n"/>
      <c r="BE420" s="184" t="n"/>
      <c r="BF420" s="184" t="n"/>
      <c r="BG420" s="212">
        <f>BG196</f>
        <v>1022.128</v>
      </c>
      <c r="BH420" s="184" t="n"/>
      <c r="BI420" s="184" t="n"/>
      <c r="BJ420" s="184" t="n"/>
      <c r="BK420" s="184" t="n"/>
      <c r="BL420" s="212">
        <f>BL196</f>
        <v>1012.57</v>
      </c>
      <c r="BM420" s="184" t="n"/>
      <c r="BN420" s="184" t="n"/>
      <c r="BO420" s="184" t="n"/>
      <c r="BP420" s="184" t="n"/>
      <c r="BQ420" s="212">
        <f>BQ196</f>
        <v>1116.934</v>
      </c>
      <c r="BR420" s="184" t="n"/>
      <c r="BS420" s="184" t="n"/>
      <c r="BT420" s="184" t="n"/>
      <c r="BU420" s="184" t="n"/>
      <c r="BV420" s="212">
        <f>BV196</f>
        <v>1169.939</v>
      </c>
      <c r="BW420" s="184" t="n"/>
      <c r="BX420" s="184" t="n"/>
      <c r="BY420" s="168" t="n"/>
      <c r="BZ420" s="168" t="n"/>
      <c r="CA420" s="186">
        <f>CA196</f>
        <v>1437</v>
      </c>
      <c r="CB420" s="186">
        <f>CB196</f>
        <v>1550.19634223587</v>
      </c>
      <c r="CC420" s="186">
        <f>CC196</f>
        <v>1718.78088029056</v>
      </c>
      <c r="CD420" s="186">
        <f>CD196</f>
        <v>1876.85721465507</v>
      </c>
      <c r="CE420" s="186">
        <f>CE196</f>
        <v>2029.96444940969</v>
      </c>
      <c r="CF420" s="20" t="n"/>
    </row>
    <row r="421" ht="15" customHeight="1">
      <c r="B421" s="17" t="inlineStr">
        <is>
          <t>Net debt / Adjusted EBITDA (x)</t>
        </is>
      </c>
      <c r="C421" s="245">
        <f>IFERROR(C419/C420,"n/a")</f>
        <v>0.339942468837287</v>
      </c>
      <c r="D421" s="245">
        <f>IFERROR(D419/D420,"n/a")</f>
        <v>0.0232188271303931</v>
      </c>
      <c r="E421" s="245">
        <f>IFERROR(E419/E420,"n/a")</f>
        <v>-1.20126333331291</v>
      </c>
      <c r="F421" s="245">
        <f>IFERROR(F419/F420,"n/a")</f>
        <v>0.416632821424039</v>
      </c>
      <c r="G421" s="245">
        <f>IFERROR(G419/G420,"n/a")</f>
        <v>-0.0844762497934488</v>
      </c>
      <c r="H421" s="245">
        <f>IFERROR(H419/H420,"n/a")</f>
        <v>0.794421841786473</v>
      </c>
      <c r="I421" s="245">
        <f>IFERROR(I419/I420,"n/a")</f>
        <v>3.12054568755401</v>
      </c>
      <c r="J421" s="246" t="n"/>
      <c r="K421" s="246" t="n"/>
      <c r="L421" s="246" t="n"/>
      <c r="M421" s="246" t="n"/>
      <c r="N421" s="245">
        <f>IFERROR(N419/N420,"n/a")</f>
        <v>2.11771301986846</v>
      </c>
      <c r="O421" s="246" t="n"/>
      <c r="P421" s="246" t="n"/>
      <c r="Q421" s="246" t="n"/>
      <c r="R421" s="246" t="n"/>
      <c r="S421" s="245">
        <f>IFERROR(S419/S420,"n/a")</f>
        <v>2.20083384586497</v>
      </c>
      <c r="T421" s="246" t="n"/>
      <c r="U421" s="246" t="n"/>
      <c r="V421" s="246" t="n"/>
      <c r="W421" s="246" t="n"/>
      <c r="X421" s="245">
        <f>IFERROR(X419/X420,"n/a")</f>
        <v>2.37586950355735</v>
      </c>
      <c r="Y421" s="246" t="n"/>
      <c r="Z421" s="246" t="n"/>
      <c r="AA421" s="246" t="n"/>
      <c r="AB421" s="246" t="n"/>
      <c r="AC421" s="245">
        <f>IFERROR(AC419/AC420,"n/a")</f>
        <v>3.31275571119559</v>
      </c>
      <c r="AD421" s="246" t="n"/>
      <c r="AE421" s="246" t="n"/>
      <c r="AF421" s="246" t="n"/>
      <c r="AG421" s="246" t="n"/>
      <c r="AH421" s="245">
        <f>IFERROR(AH419/AH420,"n/a")</f>
        <v>2.98822526118447</v>
      </c>
      <c r="AI421" s="246" t="n"/>
      <c r="AJ421" s="246" t="n"/>
      <c r="AK421" s="246" t="n"/>
      <c r="AL421" s="246" t="n"/>
      <c r="AM421" s="245">
        <f>IFERROR(AM419/AM420,"n/a")</f>
        <v>2.6337674769096</v>
      </c>
      <c r="AN421" s="246" t="n"/>
      <c r="AO421" s="246" t="n"/>
      <c r="AP421" s="246" t="n"/>
      <c r="AQ421" s="246" t="n"/>
      <c r="AR421" s="245">
        <f>IFERROR(AR419/AR420,"n/a")</f>
        <v>2.12327022840296</v>
      </c>
      <c r="AS421" s="246" t="n"/>
      <c r="AT421" s="246" t="n"/>
      <c r="AU421" s="246" t="n"/>
      <c r="AV421" s="246" t="n"/>
      <c r="AW421" s="245">
        <f>IFERROR(AW419/AW420,"n/a")</f>
        <v>1.77600296775448</v>
      </c>
      <c r="AX421" s="246" t="n"/>
      <c r="AY421" s="246" t="n"/>
      <c r="AZ421" s="246" t="n"/>
      <c r="BA421" s="246" t="n"/>
      <c r="BB421" s="245">
        <f>IFERROR(BB419/BB420,"n/a")</f>
        <v>2.95631430995291</v>
      </c>
      <c r="BC421" s="246" t="n"/>
      <c r="BD421" s="246" t="n"/>
      <c r="BE421" s="246" t="n"/>
      <c r="BF421" s="246" t="n"/>
      <c r="BG421" s="245">
        <f>IFERROR(BG419/BG420,"n/a")</f>
        <v>1.82970430317925</v>
      </c>
      <c r="BH421" s="246" t="n"/>
      <c r="BI421" s="246" t="n"/>
      <c r="BJ421" s="246" t="n"/>
      <c r="BK421" s="246" t="n"/>
      <c r="BL421" s="245">
        <f>IFERROR(BL419/BL420,"n/a")</f>
        <v>1.72918217999743</v>
      </c>
      <c r="BM421" s="246" t="n"/>
      <c r="BN421" s="246" t="n"/>
      <c r="BO421" s="246" t="n"/>
      <c r="BP421" s="246" t="n"/>
      <c r="BQ421" s="245">
        <f>IFERROR(BQ419/BQ420,"n/a")</f>
        <v>1.78738672114915</v>
      </c>
      <c r="BR421" s="246" t="n"/>
      <c r="BS421" s="246" t="n"/>
      <c r="BT421" s="246" t="n"/>
      <c r="BU421" s="246" t="n"/>
      <c r="BV421" s="245">
        <f>IFERROR(BV419/BV420,"n/a")</f>
        <v>1.55776070376319</v>
      </c>
      <c r="BW421" s="246" t="n"/>
      <c r="BX421" s="246" t="n"/>
      <c r="BY421" s="247" t="n"/>
      <c r="BZ421" s="247" t="n"/>
      <c r="CA421" s="248">
        <f>IFERROR(CA419/CA420,"n/a")</f>
        <v>1.88608996652352</v>
      </c>
      <c r="CB421" s="248">
        <f>IFERROR(CB419/CB420,"n/a")</f>
        <v>1.75</v>
      </c>
      <c r="CC421" s="248">
        <f>IFERROR(CC419/CC420,"n/a")</f>
        <v>1.75</v>
      </c>
      <c r="CD421" s="248">
        <f>IFERROR(CD419/CD420,"n/a")</f>
        <v>1.75</v>
      </c>
      <c r="CE421" s="248">
        <f>IFERROR(CE419/CE420,"n/a")</f>
        <v>1.75</v>
      </c>
      <c r="CF421" s="177" t="n"/>
    </row>
    <row r="422" ht="15" customHeight="1"/>
    <row r="423" ht="15" customHeight="1">
      <c r="B423" s="11" t="inlineStr">
        <is>
          <t>VALUATION</t>
        </is>
      </c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  <c r="AG423" s="11" t="n"/>
      <c r="AH423" s="11" t="n"/>
      <c r="AI423" s="11" t="n"/>
      <c r="AJ423" s="11" t="n"/>
      <c r="AK423" s="11" t="n"/>
      <c r="AL423" s="11" t="n"/>
      <c r="AM423" s="11" t="n"/>
      <c r="AN423" s="11" t="n"/>
      <c r="AO423" s="11" t="n"/>
      <c r="AP423" s="11" t="n"/>
      <c r="AQ423" s="11" t="n"/>
      <c r="AR423" s="11" t="n"/>
      <c r="AS423" s="11" t="n"/>
      <c r="AT423" s="11" t="n"/>
      <c r="AU423" s="11" t="n"/>
      <c r="AV423" s="11" t="n"/>
      <c r="AW423" s="11" t="n"/>
      <c r="AX423" s="11" t="n"/>
      <c r="AY423" s="11" t="n"/>
      <c r="AZ423" s="11" t="n"/>
      <c r="BA423" s="11" t="n"/>
      <c r="BB423" s="11" t="n"/>
      <c r="BC423" s="11" t="n"/>
      <c r="BD423" s="11" t="n"/>
      <c r="BE423" s="11" t="n"/>
      <c r="BF423" s="11" t="n"/>
      <c r="BG423" s="11" t="n"/>
      <c r="BH423" s="11" t="n"/>
      <c r="BI423" s="11" t="n"/>
      <c r="BJ423" s="11" t="n"/>
      <c r="BK423" s="11" t="n"/>
      <c r="BL423" s="11" t="n"/>
      <c r="BM423" s="11" t="n"/>
      <c r="BN423" s="11" t="n"/>
      <c r="BO423" s="11" t="n"/>
      <c r="BP423" s="11" t="n"/>
      <c r="BQ423" s="11" t="n"/>
      <c r="BR423" s="11" t="n"/>
      <c r="BS423" s="11" t="n"/>
      <c r="BT423" s="11" t="n"/>
      <c r="BU423" s="11" t="n"/>
      <c r="BV423" s="11" t="n"/>
      <c r="BW423" s="11" t="n"/>
      <c r="BX423" s="11" t="n"/>
      <c r="BY423" s="11" t="n"/>
      <c r="BZ423" s="11" t="n"/>
      <c r="CA423" s="11" t="n"/>
      <c r="CB423" s="11" t="n"/>
      <c r="CC423" s="11" t="n"/>
      <c r="CD423" s="11" t="n"/>
      <c r="CE423" s="11" t="n"/>
      <c r="CF423" s="11" t="inlineStr">
        <is>
          <t>VALUATION — share price input $321.34 (latest observable on EDGAR: Form 4 open-market sale 14-Aug-2026, E. Gerstenberg; update to market)</t>
        </is>
      </c>
    </row>
    <row r="424" ht="15" customHeight="1">
      <c r="B424" s="17" t="inlineStr">
        <is>
          <t>Share price ($) — current</t>
        </is>
      </c>
      <c r="C424" s="249" t="n"/>
      <c r="D424" s="249" t="n"/>
      <c r="E424" s="249" t="n"/>
      <c r="F424" s="249" t="n"/>
      <c r="G424" s="249" t="n"/>
      <c r="H424" s="249" t="n"/>
      <c r="I424" s="249" t="n"/>
      <c r="J424" s="249" t="n"/>
      <c r="K424" s="249" t="n"/>
      <c r="L424" s="249" t="n"/>
      <c r="M424" s="249" t="n"/>
      <c r="N424" s="249" t="n"/>
      <c r="O424" s="249" t="n"/>
      <c r="P424" s="249" t="n"/>
      <c r="Q424" s="249" t="n"/>
      <c r="R424" s="249" t="n"/>
      <c r="S424" s="249" t="n"/>
      <c r="T424" s="249" t="n"/>
      <c r="U424" s="249" t="n"/>
      <c r="V424" s="249" t="n"/>
      <c r="W424" s="249" t="n"/>
      <c r="X424" s="249" t="n"/>
      <c r="Y424" s="249" t="n"/>
      <c r="Z424" s="249" t="n"/>
      <c r="AA424" s="249" t="n"/>
      <c r="AB424" s="249" t="n"/>
      <c r="AC424" s="249" t="n"/>
      <c r="AD424" s="249" t="n"/>
      <c r="AE424" s="249" t="n"/>
      <c r="AF424" s="249" t="n"/>
      <c r="AG424" s="249" t="n"/>
      <c r="AH424" s="249" t="n"/>
      <c r="AI424" s="249" t="n"/>
      <c r="AJ424" s="249" t="n"/>
      <c r="AK424" s="249" t="n"/>
      <c r="AL424" s="249" t="n"/>
      <c r="AM424" s="249" t="n"/>
      <c r="AN424" s="249" t="n"/>
      <c r="AO424" s="249" t="n"/>
      <c r="AP424" s="249" t="n"/>
      <c r="AQ424" s="249" t="n"/>
      <c r="AR424" s="249" t="n"/>
      <c r="AS424" s="249" t="n"/>
      <c r="AT424" s="249" t="n"/>
      <c r="AU424" s="249" t="n"/>
      <c r="AV424" s="249" t="n"/>
      <c r="AW424" s="249" t="n"/>
      <c r="AX424" s="249" t="n"/>
      <c r="AY424" s="249" t="n"/>
      <c r="AZ424" s="249" t="n"/>
      <c r="BA424" s="249" t="n"/>
      <c r="BB424" s="249" t="n"/>
      <c r="BC424" s="249" t="n"/>
      <c r="BD424" s="249" t="n"/>
      <c r="BE424" s="249" t="n"/>
      <c r="BF424" s="249" t="n"/>
      <c r="BG424" s="249" t="n"/>
      <c r="BH424" s="249" t="n"/>
      <c r="BI424" s="249" t="n"/>
      <c r="BJ424" s="249" t="n"/>
      <c r="BK424" s="249" t="n"/>
      <c r="BL424" s="249" t="n"/>
      <c r="BM424" s="249" t="n"/>
      <c r="BN424" s="249" t="n"/>
      <c r="BO424" s="249" t="n"/>
      <c r="BP424" s="249" t="n"/>
      <c r="BQ424" s="249" t="n"/>
      <c r="BR424" s="249" t="n"/>
      <c r="BS424" s="249" t="n"/>
      <c r="BT424" s="249" t="n"/>
      <c r="BU424" s="249" t="n"/>
      <c r="BV424" s="249" t="n"/>
      <c r="BW424" s="249" t="n"/>
      <c r="BX424" s="249" t="n"/>
      <c r="BY424" s="66" t="n"/>
      <c r="BZ424" s="66" t="n"/>
      <c r="CA424" s="250" t="n">
        <v>321.34</v>
      </c>
      <c r="CB424" s="222">
        <f>CA424</f>
        <v>321.34</v>
      </c>
      <c r="CC424" s="222">
        <f>CB424</f>
        <v>321.34</v>
      </c>
      <c r="CD424" s="222">
        <f>CC424</f>
        <v>321.34</v>
      </c>
      <c r="CE424" s="222">
        <f>CD424</f>
        <v>321.34</v>
      </c>
      <c r="CF424" s="177" t="n"/>
    </row>
    <row r="425" ht="15" customHeight="1">
      <c r="B425" s="26" t="inlineStr">
        <is>
          <t>Diluted shares at period end (m)</t>
        </is>
      </c>
      <c r="C425" s="199" t="n"/>
      <c r="D425" s="199" t="n"/>
      <c r="E425" s="199" t="n"/>
      <c r="F425" s="199" t="n"/>
      <c r="G425" s="199" t="n"/>
      <c r="H425" s="199" t="n"/>
      <c r="I425" s="199" t="n"/>
      <c r="J425" s="199" t="n"/>
      <c r="K425" s="199" t="n"/>
      <c r="L425" s="199" t="n"/>
      <c r="M425" s="199" t="n"/>
      <c r="N425" s="199" t="n"/>
      <c r="O425" s="199" t="n"/>
      <c r="P425" s="199" t="n"/>
      <c r="Q425" s="199" t="n"/>
      <c r="R425" s="199" t="n"/>
      <c r="S425" s="199" t="n"/>
      <c r="T425" s="199" t="n"/>
      <c r="U425" s="199" t="n"/>
      <c r="V425" s="199" t="n"/>
      <c r="W425" s="199" t="n"/>
      <c r="X425" s="199" t="n"/>
      <c r="Y425" s="199" t="n"/>
      <c r="Z425" s="199" t="n"/>
      <c r="AA425" s="199" t="n"/>
      <c r="AB425" s="199" t="n"/>
      <c r="AC425" s="199" t="n"/>
      <c r="AD425" s="199" t="n"/>
      <c r="AE425" s="199" t="n"/>
      <c r="AF425" s="199" t="n"/>
      <c r="AG425" s="199" t="n"/>
      <c r="AH425" s="199" t="n"/>
      <c r="AI425" s="199" t="n"/>
      <c r="AJ425" s="199" t="n"/>
      <c r="AK425" s="199" t="n"/>
      <c r="AL425" s="199" t="n"/>
      <c r="AM425" s="199" t="n"/>
      <c r="AN425" s="199" t="n"/>
      <c r="AO425" s="199" t="n"/>
      <c r="AP425" s="199" t="n"/>
      <c r="AQ425" s="199" t="n"/>
      <c r="AR425" s="199" t="n"/>
      <c r="AS425" s="199" t="n"/>
      <c r="AT425" s="199" t="n"/>
      <c r="AU425" s="199" t="n"/>
      <c r="AV425" s="199" t="n"/>
      <c r="AW425" s="199" t="n"/>
      <c r="AX425" s="199" t="n"/>
      <c r="AY425" s="199" t="n"/>
      <c r="AZ425" s="199" t="n"/>
      <c r="BA425" s="199" t="n"/>
      <c r="BB425" s="199" t="n"/>
      <c r="BC425" s="199" t="n"/>
      <c r="BD425" s="199" t="n"/>
      <c r="BE425" s="199" t="n"/>
      <c r="BF425" s="199" t="n"/>
      <c r="BG425" s="199" t="n"/>
      <c r="BH425" s="199" t="n"/>
      <c r="BI425" s="199" t="n"/>
      <c r="BJ425" s="199" t="n"/>
      <c r="BK425" s="199" t="n"/>
      <c r="BL425" s="199" t="n"/>
      <c r="BM425" s="199" t="n"/>
      <c r="BN425" s="199" t="n"/>
      <c r="BO425" s="199" t="n"/>
      <c r="BP425" s="199" t="n"/>
      <c r="BQ425" s="199" t="n"/>
      <c r="BR425" s="199" t="n"/>
      <c r="BS425" s="199" t="n"/>
      <c r="BT425" s="199" t="n"/>
      <c r="BU425" s="199" t="n"/>
      <c r="BV425" s="199" t="n"/>
      <c r="BW425" s="199" t="n"/>
      <c r="BX425" s="199" t="n"/>
      <c r="BY425" s="240" t="n"/>
      <c r="BZ425" s="240" t="n"/>
      <c r="CA425" s="216">
        <f>CA286+(BX165-BX164)</f>
        <v>52.8404955684322</v>
      </c>
      <c r="CB425" s="216">
        <f>CB286+N(CB365)+($BX$165-$BX$164)</f>
        <v>52.3354705654759</v>
      </c>
      <c r="CC425" s="216">
        <f>CC286+N(CC365)+($BX$165-$BX$164)</f>
        <v>50.7734999807026</v>
      </c>
      <c r="CD425" s="216">
        <f>CD286+N(CD365)+($BX$165-$BX$164)</f>
        <v>49.1710293644149</v>
      </c>
      <c r="CE425" s="216">
        <f>CE286+N(CE365)+($BX$165-$BX$164)</f>
        <v>47.5432251052772</v>
      </c>
      <c r="CF425" s="20" t="n"/>
    </row>
    <row r="426" ht="15" customHeight="1">
      <c r="B426" s="26" t="inlineStr">
        <is>
          <t>Market capitalisation (USDm)</t>
        </is>
      </c>
      <c r="C426" s="184" t="n"/>
      <c r="D426" s="184" t="n"/>
      <c r="E426" s="184" t="n"/>
      <c r="F426" s="184" t="n"/>
      <c r="G426" s="184" t="n"/>
      <c r="H426" s="184" t="n"/>
      <c r="I426" s="184" t="n"/>
      <c r="J426" s="184" t="n"/>
      <c r="K426" s="184" t="n"/>
      <c r="L426" s="184" t="n"/>
      <c r="M426" s="184" t="n"/>
      <c r="N426" s="184" t="n"/>
      <c r="O426" s="184" t="n"/>
      <c r="P426" s="184" t="n"/>
      <c r="Q426" s="184" t="n"/>
      <c r="R426" s="184" t="n"/>
      <c r="S426" s="184" t="n"/>
      <c r="T426" s="184" t="n"/>
      <c r="U426" s="184" t="n"/>
      <c r="V426" s="184" t="n"/>
      <c r="W426" s="184" t="n"/>
      <c r="X426" s="184" t="n"/>
      <c r="Y426" s="184" t="n"/>
      <c r="Z426" s="184" t="n"/>
      <c r="AA426" s="184" t="n"/>
      <c r="AB426" s="184" t="n"/>
      <c r="AC426" s="184" t="n"/>
      <c r="AD426" s="184" t="n"/>
      <c r="AE426" s="184" t="n"/>
      <c r="AF426" s="184" t="n"/>
      <c r="AG426" s="184" t="n"/>
      <c r="AH426" s="184" t="n"/>
      <c r="AI426" s="184" t="n"/>
      <c r="AJ426" s="184" t="n"/>
      <c r="AK426" s="184" t="n"/>
      <c r="AL426" s="184" t="n"/>
      <c r="AM426" s="184" t="n"/>
      <c r="AN426" s="184" t="n"/>
      <c r="AO426" s="184" t="n"/>
      <c r="AP426" s="184" t="n"/>
      <c r="AQ426" s="184" t="n"/>
      <c r="AR426" s="184" t="n"/>
      <c r="AS426" s="184" t="n"/>
      <c r="AT426" s="184" t="n"/>
      <c r="AU426" s="184" t="n"/>
      <c r="AV426" s="184" t="n"/>
      <c r="AW426" s="184" t="n"/>
      <c r="AX426" s="184" t="n"/>
      <c r="AY426" s="184" t="n"/>
      <c r="AZ426" s="184" t="n"/>
      <c r="BA426" s="184" t="n"/>
      <c r="BB426" s="184" t="n"/>
      <c r="BC426" s="184" t="n"/>
      <c r="BD426" s="184" t="n"/>
      <c r="BE426" s="184" t="n"/>
      <c r="BF426" s="184" t="n"/>
      <c r="BG426" s="184" t="n"/>
      <c r="BH426" s="184" t="n"/>
      <c r="BI426" s="184" t="n"/>
      <c r="BJ426" s="184" t="n"/>
      <c r="BK426" s="184" t="n"/>
      <c r="BL426" s="184" t="n"/>
      <c r="BM426" s="184" t="n"/>
      <c r="BN426" s="184" t="n"/>
      <c r="BO426" s="184" t="n"/>
      <c r="BP426" s="184" t="n"/>
      <c r="BQ426" s="184" t="n"/>
      <c r="BR426" s="184" t="n"/>
      <c r="BS426" s="184" t="n"/>
      <c r="BT426" s="184" t="n"/>
      <c r="BU426" s="184" t="n"/>
      <c r="BV426" s="184" t="n"/>
      <c r="BW426" s="184" t="n"/>
      <c r="BX426" s="184" t="n"/>
      <c r="BY426" s="168" t="n"/>
      <c r="BZ426" s="168" t="n"/>
      <c r="CA426" s="186">
        <f>IFERROR(CA424*CA425,"n/a")</f>
        <v>16979.76484596</v>
      </c>
      <c r="CB426" s="186">
        <f>IFERROR(CB424*CB425,"n/a")</f>
        <v>16817.48011151</v>
      </c>
      <c r="CC426" s="186">
        <f>IFERROR(CC424*CC425,"n/a")</f>
        <v>16315.556483799</v>
      </c>
      <c r="CD426" s="186">
        <f>IFERROR(CD424*CD425,"n/a")</f>
        <v>15800.6185759611</v>
      </c>
      <c r="CE426" s="186">
        <f>IFERROR(CE424*CE425,"n/a")</f>
        <v>15277.5399553298</v>
      </c>
      <c r="CF426" s="20" t="n"/>
    </row>
    <row r="427" ht="15" customHeight="1">
      <c r="B427" s="26" t="inlineStr">
        <is>
          <t>Net debt (USDm)</t>
        </is>
      </c>
      <c r="C427" s="184" t="n"/>
      <c r="D427" s="184" t="n"/>
      <c r="E427" s="184" t="n"/>
      <c r="F427" s="184" t="n"/>
      <c r="G427" s="184" t="n"/>
      <c r="H427" s="184" t="n"/>
      <c r="I427" s="184" t="n"/>
      <c r="J427" s="184" t="n"/>
      <c r="K427" s="184" t="n"/>
      <c r="L427" s="184" t="n"/>
      <c r="M427" s="184" t="n"/>
      <c r="N427" s="184" t="n"/>
      <c r="O427" s="184" t="n"/>
      <c r="P427" s="184" t="n"/>
      <c r="Q427" s="184" t="n"/>
      <c r="R427" s="184" t="n"/>
      <c r="S427" s="184" t="n"/>
      <c r="T427" s="184" t="n"/>
      <c r="U427" s="184" t="n"/>
      <c r="V427" s="184" t="n"/>
      <c r="W427" s="184" t="n"/>
      <c r="X427" s="184" t="n"/>
      <c r="Y427" s="184" t="n"/>
      <c r="Z427" s="184" t="n"/>
      <c r="AA427" s="184" t="n"/>
      <c r="AB427" s="184" t="n"/>
      <c r="AC427" s="184" t="n"/>
      <c r="AD427" s="184" t="n"/>
      <c r="AE427" s="184" t="n"/>
      <c r="AF427" s="184" t="n"/>
      <c r="AG427" s="184" t="n"/>
      <c r="AH427" s="184" t="n"/>
      <c r="AI427" s="184" t="n"/>
      <c r="AJ427" s="184" t="n"/>
      <c r="AK427" s="184" t="n"/>
      <c r="AL427" s="184" t="n"/>
      <c r="AM427" s="184" t="n"/>
      <c r="AN427" s="184" t="n"/>
      <c r="AO427" s="184" t="n"/>
      <c r="AP427" s="184" t="n"/>
      <c r="AQ427" s="184" t="n"/>
      <c r="AR427" s="184" t="n"/>
      <c r="AS427" s="184" t="n"/>
      <c r="AT427" s="184" t="n"/>
      <c r="AU427" s="184" t="n"/>
      <c r="AV427" s="184" t="n"/>
      <c r="AW427" s="184" t="n"/>
      <c r="AX427" s="184" t="n"/>
      <c r="AY427" s="184" t="n"/>
      <c r="AZ427" s="184" t="n"/>
      <c r="BA427" s="184" t="n"/>
      <c r="BB427" s="184" t="n"/>
      <c r="BC427" s="184" t="n"/>
      <c r="BD427" s="184" t="n"/>
      <c r="BE427" s="184" t="n"/>
      <c r="BF427" s="184" t="n"/>
      <c r="BG427" s="184" t="n"/>
      <c r="BH427" s="184" t="n"/>
      <c r="BI427" s="184" t="n"/>
      <c r="BJ427" s="184" t="n"/>
      <c r="BK427" s="184" t="n"/>
      <c r="BL427" s="184" t="n"/>
      <c r="BM427" s="184" t="n"/>
      <c r="BN427" s="184" t="n"/>
      <c r="BO427" s="184" t="n"/>
      <c r="BP427" s="184" t="n"/>
      <c r="BQ427" s="184" t="n"/>
      <c r="BR427" s="184" t="n"/>
      <c r="BS427" s="184" t="n"/>
      <c r="BT427" s="184" t="n"/>
      <c r="BU427" s="184" t="n"/>
      <c r="BV427" s="184" t="n"/>
      <c r="BW427" s="184" t="n"/>
      <c r="BX427" s="184" t="n"/>
      <c r="BY427" s="168" t="n"/>
      <c r="BZ427" s="168" t="n"/>
      <c r="CA427" s="186">
        <f>CA419</f>
        <v>2710.31128189429</v>
      </c>
      <c r="CB427" s="186">
        <f>CB419</f>
        <v>2712.84359891278</v>
      </c>
      <c r="CC427" s="186">
        <f>CC419</f>
        <v>3007.86654050848</v>
      </c>
      <c r="CD427" s="186">
        <f>CD419</f>
        <v>3284.50012564637</v>
      </c>
      <c r="CE427" s="186">
        <f>CE419</f>
        <v>3552.43778646695</v>
      </c>
      <c r="CF427" s="20" t="n"/>
    </row>
    <row r="428" ht="15" customHeight="1">
      <c r="B428" s="26" t="inlineStr">
        <is>
          <t>Noncontrolling interests (USDm)</t>
        </is>
      </c>
      <c r="C428" s="184" t="n"/>
      <c r="D428" s="184" t="n"/>
      <c r="E428" s="184" t="n"/>
      <c r="F428" s="184" t="n"/>
      <c r="G428" s="184" t="n"/>
      <c r="H428" s="184" t="n"/>
      <c r="I428" s="184" t="n"/>
      <c r="J428" s="184" t="n"/>
      <c r="K428" s="184" t="n"/>
      <c r="L428" s="184" t="n"/>
      <c r="M428" s="184" t="n"/>
      <c r="N428" s="184" t="n"/>
      <c r="O428" s="184" t="n"/>
      <c r="P428" s="184" t="n"/>
      <c r="Q428" s="184" t="n"/>
      <c r="R428" s="184" t="n"/>
      <c r="S428" s="184" t="n"/>
      <c r="T428" s="184" t="n"/>
      <c r="U428" s="184" t="n"/>
      <c r="V428" s="184" t="n"/>
      <c r="W428" s="184" t="n"/>
      <c r="X428" s="184" t="n"/>
      <c r="Y428" s="184" t="n"/>
      <c r="Z428" s="184" t="n"/>
      <c r="AA428" s="184" t="n"/>
      <c r="AB428" s="184" t="n"/>
      <c r="AC428" s="184" t="n"/>
      <c r="AD428" s="184" t="n"/>
      <c r="AE428" s="184" t="n"/>
      <c r="AF428" s="184" t="n"/>
      <c r="AG428" s="184" t="n"/>
      <c r="AH428" s="184" t="n"/>
      <c r="AI428" s="184" t="n"/>
      <c r="AJ428" s="184" t="n"/>
      <c r="AK428" s="184" t="n"/>
      <c r="AL428" s="184" t="n"/>
      <c r="AM428" s="184" t="n"/>
      <c r="AN428" s="184" t="n"/>
      <c r="AO428" s="184" t="n"/>
      <c r="AP428" s="184" t="n"/>
      <c r="AQ428" s="184" t="n"/>
      <c r="AR428" s="184" t="n"/>
      <c r="AS428" s="184" t="n"/>
      <c r="AT428" s="184" t="n"/>
      <c r="AU428" s="184" t="n"/>
      <c r="AV428" s="184" t="n"/>
      <c r="AW428" s="184" t="n"/>
      <c r="AX428" s="184" t="n"/>
      <c r="AY428" s="184" t="n"/>
      <c r="AZ428" s="184" t="n"/>
      <c r="BA428" s="184" t="n"/>
      <c r="BB428" s="184" t="n"/>
      <c r="BC428" s="184" t="n"/>
      <c r="BD428" s="184" t="n"/>
      <c r="BE428" s="184" t="n"/>
      <c r="BF428" s="184" t="n"/>
      <c r="BG428" s="184" t="n"/>
      <c r="BH428" s="184" t="n"/>
      <c r="BI428" s="184" t="n"/>
      <c r="BJ428" s="184" t="n"/>
      <c r="BK428" s="184" t="n"/>
      <c r="BL428" s="184" t="n"/>
      <c r="BM428" s="184" t="n"/>
      <c r="BN428" s="184" t="n"/>
      <c r="BO428" s="184" t="n"/>
      <c r="BP428" s="184" t="n"/>
      <c r="BQ428" s="184" t="n"/>
      <c r="BR428" s="184" t="n"/>
      <c r="BS428" s="184" t="n"/>
      <c r="BT428" s="184" t="n"/>
      <c r="BU428" s="184" t="n"/>
      <c r="BV428" s="184" t="n"/>
      <c r="BW428" s="184" t="n"/>
      <c r="BX428" s="184" t="n"/>
      <c r="BY428" s="168" t="n"/>
      <c r="BZ428" s="168" t="n"/>
      <c r="CA428" s="186">
        <f>CA325</f>
        <v>0</v>
      </c>
      <c r="CB428" s="186">
        <f>CB325</f>
        <v>0</v>
      </c>
      <c r="CC428" s="186">
        <f>CC325</f>
        <v>0</v>
      </c>
      <c r="CD428" s="186">
        <f>CD325</f>
        <v>0</v>
      </c>
      <c r="CE428" s="186">
        <f>CE325</f>
        <v>0</v>
      </c>
      <c r="CF428" s="20" t="n"/>
    </row>
    <row r="429" ht="15" customHeight="1">
      <c r="B429" s="17" t="inlineStr">
        <is>
          <t>Enterprise value (USDm)</t>
        </is>
      </c>
      <c r="C429" s="33" t="n"/>
      <c r="D429" s="33" t="n"/>
      <c r="E429" s="33" t="n"/>
      <c r="F429" s="33" t="n"/>
      <c r="G429" s="33" t="n"/>
      <c r="H429" s="33" t="n"/>
      <c r="I429" s="33" t="n"/>
      <c r="J429" s="33" t="n"/>
      <c r="K429" s="33" t="n"/>
      <c r="L429" s="33" t="n"/>
      <c r="M429" s="33" t="n"/>
      <c r="N429" s="33" t="n"/>
      <c r="O429" s="33" t="n"/>
      <c r="P429" s="33" t="n"/>
      <c r="Q429" s="33" t="n"/>
      <c r="R429" s="33" t="n"/>
      <c r="S429" s="33" t="n"/>
      <c r="T429" s="33" t="n"/>
      <c r="U429" s="33" t="n"/>
      <c r="V429" s="33" t="n"/>
      <c r="W429" s="33" t="n"/>
      <c r="X429" s="33" t="n"/>
      <c r="Y429" s="33" t="n"/>
      <c r="Z429" s="33" t="n"/>
      <c r="AA429" s="33" t="n"/>
      <c r="AB429" s="33" t="n"/>
      <c r="AC429" s="33" t="n"/>
      <c r="AD429" s="33" t="n"/>
      <c r="AE429" s="33" t="n"/>
      <c r="AF429" s="33" t="n"/>
      <c r="AG429" s="33" t="n"/>
      <c r="AH429" s="33" t="n"/>
      <c r="AI429" s="33" t="n"/>
      <c r="AJ429" s="33" t="n"/>
      <c r="AK429" s="33" t="n"/>
      <c r="AL429" s="33" t="n"/>
      <c r="AM429" s="33" t="n"/>
      <c r="AN429" s="33" t="n"/>
      <c r="AO429" s="33" t="n"/>
      <c r="AP429" s="33" t="n"/>
      <c r="AQ429" s="33" t="n"/>
      <c r="AR429" s="33" t="n"/>
      <c r="AS429" s="33" t="n"/>
      <c r="AT429" s="33" t="n"/>
      <c r="AU429" s="33" t="n"/>
      <c r="AV429" s="33" t="n"/>
      <c r="AW429" s="33" t="n"/>
      <c r="AX429" s="33" t="n"/>
      <c r="AY429" s="33" t="n"/>
      <c r="AZ429" s="33" t="n"/>
      <c r="BA429" s="33" t="n"/>
      <c r="BB429" s="33" t="n"/>
      <c r="BC429" s="33" t="n"/>
      <c r="BD429" s="33" t="n"/>
      <c r="BE429" s="33" t="n"/>
      <c r="BF429" s="33" t="n"/>
      <c r="BG429" s="33" t="n"/>
      <c r="BH429" s="33" t="n"/>
      <c r="BI429" s="33" t="n"/>
      <c r="BJ429" s="33" t="n"/>
      <c r="BK429" s="33" t="n"/>
      <c r="BL429" s="33" t="n"/>
      <c r="BM429" s="33" t="n"/>
      <c r="BN429" s="33" t="n"/>
      <c r="BO429" s="33" t="n"/>
      <c r="BP429" s="33" t="n"/>
      <c r="BQ429" s="33" t="n"/>
      <c r="BR429" s="33" t="n"/>
      <c r="BS429" s="33" t="n"/>
      <c r="BT429" s="33" t="n"/>
      <c r="BU429" s="33" t="n"/>
      <c r="BV429" s="33" t="n"/>
      <c r="BW429" s="33" t="n"/>
      <c r="BX429" s="33" t="n"/>
      <c r="BY429" s="34" t="n"/>
      <c r="BZ429" s="34" t="n"/>
      <c r="CA429" s="176">
        <f>IFERROR(CA426+CA427+CA428,"n/a")</f>
        <v>19690.0761278543</v>
      </c>
      <c r="CB429" s="176">
        <f>IFERROR(CB426+CB427+CB428,"n/a")</f>
        <v>19530.3237104228</v>
      </c>
      <c r="CC429" s="176">
        <f>IFERROR(CC426+CC427+CC428,"n/a")</f>
        <v>19323.4230243074</v>
      </c>
      <c r="CD429" s="176">
        <f>IFERROR(CD426+CD427+CD428,"n/a")</f>
        <v>19085.1187016074</v>
      </c>
      <c r="CE429" s="176">
        <f>IFERROR(CE426+CE427+CE428,"n/a")</f>
        <v>18829.9777417967</v>
      </c>
      <c r="CF429" s="177" t="n"/>
    </row>
    <row r="430" ht="15" customHeight="1">
      <c r="B430" s="26" t="inlineStr">
        <is>
          <t>Multiples</t>
        </is>
      </c>
      <c r="C430" s="217" t="n"/>
      <c r="D430" s="217" t="n"/>
      <c r="E430" s="217" t="n"/>
      <c r="F430" s="217" t="n"/>
      <c r="G430" s="217" t="n"/>
      <c r="H430" s="217" t="n"/>
      <c r="I430" s="217" t="n"/>
      <c r="J430" s="217" t="n"/>
      <c r="K430" s="217" t="n"/>
      <c r="L430" s="217" t="n"/>
      <c r="M430" s="217" t="n"/>
      <c r="N430" s="217" t="n"/>
      <c r="O430" s="217" t="n"/>
      <c r="P430" s="217" t="n"/>
      <c r="Q430" s="217" t="n"/>
      <c r="R430" s="217" t="n"/>
      <c r="S430" s="217" t="n"/>
      <c r="T430" s="217" t="n"/>
      <c r="U430" s="217" t="n"/>
      <c r="V430" s="217" t="n"/>
      <c r="W430" s="217" t="n"/>
      <c r="X430" s="217" t="n"/>
      <c r="Y430" s="217" t="n"/>
      <c r="Z430" s="217" t="n"/>
      <c r="AA430" s="217" t="n"/>
      <c r="AB430" s="217" t="n"/>
      <c r="AC430" s="217" t="n"/>
      <c r="AD430" s="217" t="n"/>
      <c r="AE430" s="217" t="n"/>
      <c r="AF430" s="217" t="n"/>
      <c r="AG430" s="217" t="n"/>
      <c r="AH430" s="217" t="n"/>
      <c r="AI430" s="217" t="n"/>
      <c r="AJ430" s="217" t="n"/>
      <c r="AK430" s="217" t="n"/>
      <c r="AL430" s="217" t="n"/>
      <c r="AM430" s="217" t="n"/>
      <c r="AN430" s="217" t="n"/>
      <c r="AO430" s="217" t="n"/>
      <c r="AP430" s="217" t="n"/>
      <c r="AQ430" s="217" t="n"/>
      <c r="AR430" s="217" t="n"/>
      <c r="AS430" s="217" t="n"/>
      <c r="AT430" s="217" t="n"/>
      <c r="AU430" s="217" t="n"/>
      <c r="AV430" s="217" t="n"/>
      <c r="AW430" s="217" t="n"/>
      <c r="AX430" s="217" t="n"/>
      <c r="AY430" s="217" t="n"/>
      <c r="AZ430" s="217" t="n"/>
      <c r="BA430" s="217" t="n"/>
      <c r="BB430" s="217" t="n"/>
      <c r="BC430" s="217" t="n"/>
      <c r="BD430" s="217" t="n"/>
      <c r="BE430" s="217" t="n"/>
      <c r="BF430" s="217" t="n"/>
      <c r="BG430" s="217" t="n"/>
      <c r="BH430" s="217" t="n"/>
      <c r="BI430" s="217" t="n"/>
      <c r="BJ430" s="217" t="n"/>
      <c r="BK430" s="217" t="n"/>
      <c r="BL430" s="217" t="n"/>
      <c r="BM430" s="217" t="n"/>
      <c r="BN430" s="217" t="n"/>
      <c r="BO430" s="217" t="n"/>
      <c r="BP430" s="217" t="n"/>
      <c r="BQ430" s="217" t="n"/>
      <c r="BR430" s="217" t="n"/>
      <c r="BS430" s="217" t="n"/>
      <c r="BT430" s="217" t="n"/>
      <c r="BU430" s="217" t="n"/>
      <c r="BV430" s="217" t="n"/>
      <c r="BW430" s="217" t="n"/>
      <c r="BX430" s="217" t="n"/>
      <c r="BY430" s="218" t="n"/>
      <c r="BZ430" s="218" t="n"/>
      <c r="CA430" s="218" t="n"/>
      <c r="CB430" s="218" t="n"/>
      <c r="CC430" s="218" t="n"/>
      <c r="CD430" s="218" t="n"/>
      <c r="CE430" s="218" t="n"/>
      <c r="CF430" s="20" t="n"/>
    </row>
    <row r="431" ht="15" customHeight="1">
      <c r="B431" s="26" t="inlineStr">
        <is>
          <t xml:space="preserve">  EV / Revenues (2026E pro forma)</t>
        </is>
      </c>
      <c r="C431" s="204" t="n"/>
      <c r="D431" s="204" t="n"/>
      <c r="E431" s="204" t="n"/>
      <c r="F431" s="204" t="n"/>
      <c r="G431" s="204" t="n"/>
      <c r="H431" s="204" t="n"/>
      <c r="I431" s="204" t="n"/>
      <c r="J431" s="204" t="n"/>
      <c r="K431" s="204" t="n"/>
      <c r="L431" s="204" t="n"/>
      <c r="M431" s="204" t="n"/>
      <c r="N431" s="204" t="n"/>
      <c r="O431" s="204" t="n"/>
      <c r="P431" s="204" t="n"/>
      <c r="Q431" s="204" t="n"/>
      <c r="R431" s="204" t="n"/>
      <c r="S431" s="204" t="n"/>
      <c r="T431" s="204" t="n"/>
      <c r="U431" s="204" t="n"/>
      <c r="V431" s="204" t="n"/>
      <c r="W431" s="204" t="n"/>
      <c r="X431" s="204" t="n"/>
      <c r="Y431" s="204" t="n"/>
      <c r="Z431" s="204" t="n"/>
      <c r="AA431" s="204" t="n"/>
      <c r="AB431" s="204" t="n"/>
      <c r="AC431" s="204" t="n"/>
      <c r="AD431" s="204" t="n"/>
      <c r="AE431" s="204" t="n"/>
      <c r="AF431" s="204" t="n"/>
      <c r="AG431" s="204" t="n"/>
      <c r="AH431" s="204" t="n"/>
      <c r="AI431" s="204" t="n"/>
      <c r="AJ431" s="204" t="n"/>
      <c r="AK431" s="204" t="n"/>
      <c r="AL431" s="204" t="n"/>
      <c r="AM431" s="204" t="n"/>
      <c r="AN431" s="204" t="n"/>
      <c r="AO431" s="204" t="n"/>
      <c r="AP431" s="204" t="n"/>
      <c r="AQ431" s="204" t="n"/>
      <c r="AR431" s="204" t="n"/>
      <c r="AS431" s="204" t="n"/>
      <c r="AT431" s="204" t="n"/>
      <c r="AU431" s="204" t="n"/>
      <c r="AV431" s="204" t="n"/>
      <c r="AW431" s="204" t="n"/>
      <c r="AX431" s="204" t="n"/>
      <c r="AY431" s="204" t="n"/>
      <c r="AZ431" s="204" t="n"/>
      <c r="BA431" s="204" t="n"/>
      <c r="BB431" s="204" t="n"/>
      <c r="BC431" s="204" t="n"/>
      <c r="BD431" s="204" t="n"/>
      <c r="BE431" s="204" t="n"/>
      <c r="BF431" s="204" t="n"/>
      <c r="BG431" s="204" t="n"/>
      <c r="BH431" s="204" t="n"/>
      <c r="BI431" s="204" t="n"/>
      <c r="BJ431" s="204" t="n"/>
      <c r="BK431" s="204" t="n"/>
      <c r="BL431" s="204" t="n"/>
      <c r="BM431" s="204" t="n"/>
      <c r="BN431" s="204" t="n"/>
      <c r="BO431" s="204" t="n"/>
      <c r="BP431" s="204" t="n"/>
      <c r="BQ431" s="204" t="n"/>
      <c r="BR431" s="204" t="n"/>
      <c r="BS431" s="204" t="n"/>
      <c r="BT431" s="204" t="n"/>
      <c r="BU431" s="204" t="n"/>
      <c r="BV431" s="204" t="n"/>
      <c r="BW431" s="204" t="n"/>
      <c r="BX431" s="204" t="n"/>
      <c r="BY431" s="205" t="n"/>
      <c r="BZ431" s="205" t="n"/>
      <c r="CA431" s="207">
        <f>IFERROR(CA429/CA335,"n/a")</f>
        <v>2.86964933092961</v>
      </c>
      <c r="CB431" s="207">
        <f>IFERROR(CB429/CB335,"n/a")</f>
        <v>2.68369346161404</v>
      </c>
      <c r="CC431" s="207">
        <f>IFERROR(CC429/CC335,"n/a")</f>
        <v>2.45329708456791</v>
      </c>
      <c r="CD431" s="207">
        <f>IFERROR(CD429/CD335,"n/a")</f>
        <v>2.24973625022536</v>
      </c>
      <c r="CE431" s="207">
        <f>IFERROR(CE429/CE335,"n/a")</f>
        <v>2.06698209061573</v>
      </c>
      <c r="CF431" s="20" t="n"/>
    </row>
    <row r="432" ht="15" customHeight="1">
      <c r="B432" s="26" t="inlineStr">
        <is>
          <t xml:space="preserve">  EV / Adjusted EBITDA (2026E pro forma)</t>
        </is>
      </c>
      <c r="C432" s="204" t="n"/>
      <c r="D432" s="204" t="n"/>
      <c r="E432" s="204" t="n"/>
      <c r="F432" s="204" t="n"/>
      <c r="G432" s="204" t="n"/>
      <c r="H432" s="204" t="n"/>
      <c r="I432" s="204" t="n"/>
      <c r="J432" s="204" t="n"/>
      <c r="K432" s="204" t="n"/>
      <c r="L432" s="204" t="n"/>
      <c r="M432" s="204" t="n"/>
      <c r="N432" s="204" t="n"/>
      <c r="O432" s="204" t="n"/>
      <c r="P432" s="204" t="n"/>
      <c r="Q432" s="204" t="n"/>
      <c r="R432" s="204" t="n"/>
      <c r="S432" s="204" t="n"/>
      <c r="T432" s="204" t="n"/>
      <c r="U432" s="204" t="n"/>
      <c r="V432" s="204" t="n"/>
      <c r="W432" s="204" t="n"/>
      <c r="X432" s="204" t="n"/>
      <c r="Y432" s="204" t="n"/>
      <c r="Z432" s="204" t="n"/>
      <c r="AA432" s="204" t="n"/>
      <c r="AB432" s="204" t="n"/>
      <c r="AC432" s="204" t="n"/>
      <c r="AD432" s="204" t="n"/>
      <c r="AE432" s="204" t="n"/>
      <c r="AF432" s="204" t="n"/>
      <c r="AG432" s="204" t="n"/>
      <c r="AH432" s="204" t="n"/>
      <c r="AI432" s="204" t="n"/>
      <c r="AJ432" s="204" t="n"/>
      <c r="AK432" s="204" t="n"/>
      <c r="AL432" s="204" t="n"/>
      <c r="AM432" s="204" t="n"/>
      <c r="AN432" s="204" t="n"/>
      <c r="AO432" s="204" t="n"/>
      <c r="AP432" s="204" t="n"/>
      <c r="AQ432" s="204" t="n"/>
      <c r="AR432" s="204" t="n"/>
      <c r="AS432" s="204" t="n"/>
      <c r="AT432" s="204" t="n"/>
      <c r="AU432" s="204" t="n"/>
      <c r="AV432" s="204" t="n"/>
      <c r="AW432" s="204" t="n"/>
      <c r="AX432" s="204" t="n"/>
      <c r="AY432" s="204" t="n"/>
      <c r="AZ432" s="204" t="n"/>
      <c r="BA432" s="204" t="n"/>
      <c r="BB432" s="204" t="n"/>
      <c r="BC432" s="204" t="n"/>
      <c r="BD432" s="204" t="n"/>
      <c r="BE432" s="204" t="n"/>
      <c r="BF432" s="204" t="n"/>
      <c r="BG432" s="204" t="n"/>
      <c r="BH432" s="204" t="n"/>
      <c r="BI432" s="204" t="n"/>
      <c r="BJ432" s="204" t="n"/>
      <c r="BK432" s="204" t="n"/>
      <c r="BL432" s="204" t="n"/>
      <c r="BM432" s="204" t="n"/>
      <c r="BN432" s="204" t="n"/>
      <c r="BO432" s="204" t="n"/>
      <c r="BP432" s="204" t="n"/>
      <c r="BQ432" s="204" t="n"/>
      <c r="BR432" s="204" t="n"/>
      <c r="BS432" s="204" t="n"/>
      <c r="BT432" s="204" t="n"/>
      <c r="BU432" s="204" t="n"/>
      <c r="BV432" s="204" t="n"/>
      <c r="BW432" s="204" t="n"/>
      <c r="BX432" s="204" t="n"/>
      <c r="BY432" s="205" t="n"/>
      <c r="BZ432" s="205" t="n"/>
      <c r="CA432" s="207">
        <f>IFERROR(CA429/CA196,"n/a")</f>
        <v>13.7022102490287</v>
      </c>
      <c r="CB432" s="207">
        <f>IFERROR(CB429/CB196,"n/a")</f>
        <v>12.5986129487662</v>
      </c>
      <c r="CC432" s="207">
        <f>IFERROR(CC429/CC196,"n/a")</f>
        <v>11.2425168594154</v>
      </c>
      <c r="CD432" s="207">
        <f>IFERROR(CD429/CD196,"n/a")</f>
        <v>10.1686577713984</v>
      </c>
      <c r="CE432" s="207">
        <f>IFERROR(CE429/CE196,"n/a")</f>
        <v>9.27601355150455</v>
      </c>
      <c r="CF432" s="20" t="n"/>
    </row>
    <row r="433" ht="15" customHeight="1">
      <c r="B433" s="26" t="inlineStr">
        <is>
          <t xml:space="preserve">  EV / Adjusted EBIT</t>
        </is>
      </c>
      <c r="C433" s="204" t="n"/>
      <c r="D433" s="204" t="n"/>
      <c r="E433" s="204" t="n"/>
      <c r="F433" s="204" t="n"/>
      <c r="G433" s="204" t="n"/>
      <c r="H433" s="204" t="n"/>
      <c r="I433" s="204" t="n"/>
      <c r="J433" s="204" t="n"/>
      <c r="K433" s="204" t="n"/>
      <c r="L433" s="204" t="n"/>
      <c r="M433" s="204" t="n"/>
      <c r="N433" s="204" t="n"/>
      <c r="O433" s="204" t="n"/>
      <c r="P433" s="204" t="n"/>
      <c r="Q433" s="204" t="n"/>
      <c r="R433" s="204" t="n"/>
      <c r="S433" s="204" t="n"/>
      <c r="T433" s="204" t="n"/>
      <c r="U433" s="204" t="n"/>
      <c r="V433" s="204" t="n"/>
      <c r="W433" s="204" t="n"/>
      <c r="X433" s="204" t="n"/>
      <c r="Y433" s="204" t="n"/>
      <c r="Z433" s="204" t="n"/>
      <c r="AA433" s="204" t="n"/>
      <c r="AB433" s="204" t="n"/>
      <c r="AC433" s="204" t="n"/>
      <c r="AD433" s="204" t="n"/>
      <c r="AE433" s="204" t="n"/>
      <c r="AF433" s="204" t="n"/>
      <c r="AG433" s="204" t="n"/>
      <c r="AH433" s="204" t="n"/>
      <c r="AI433" s="204" t="n"/>
      <c r="AJ433" s="204" t="n"/>
      <c r="AK433" s="204" t="n"/>
      <c r="AL433" s="204" t="n"/>
      <c r="AM433" s="204" t="n"/>
      <c r="AN433" s="204" t="n"/>
      <c r="AO433" s="204" t="n"/>
      <c r="AP433" s="204" t="n"/>
      <c r="AQ433" s="204" t="n"/>
      <c r="AR433" s="204" t="n"/>
      <c r="AS433" s="204" t="n"/>
      <c r="AT433" s="204" t="n"/>
      <c r="AU433" s="204" t="n"/>
      <c r="AV433" s="204" t="n"/>
      <c r="AW433" s="204" t="n"/>
      <c r="AX433" s="204" t="n"/>
      <c r="AY433" s="204" t="n"/>
      <c r="AZ433" s="204" t="n"/>
      <c r="BA433" s="204" t="n"/>
      <c r="BB433" s="204" t="n"/>
      <c r="BC433" s="204" t="n"/>
      <c r="BD433" s="204" t="n"/>
      <c r="BE433" s="204" t="n"/>
      <c r="BF433" s="204" t="n"/>
      <c r="BG433" s="204" t="n"/>
      <c r="BH433" s="204" t="n"/>
      <c r="BI433" s="204" t="n"/>
      <c r="BJ433" s="204" t="n"/>
      <c r="BK433" s="204" t="n"/>
      <c r="BL433" s="204" t="n"/>
      <c r="BM433" s="204" t="n"/>
      <c r="BN433" s="204" t="n"/>
      <c r="BO433" s="204" t="n"/>
      <c r="BP433" s="204" t="n"/>
      <c r="BQ433" s="204" t="n"/>
      <c r="BR433" s="204" t="n"/>
      <c r="BS433" s="204" t="n"/>
      <c r="BT433" s="204" t="n"/>
      <c r="BU433" s="204" t="n"/>
      <c r="BV433" s="204" t="n"/>
      <c r="BW433" s="204" t="n"/>
      <c r="BX433" s="204" t="n"/>
      <c r="BY433" s="205" t="n"/>
      <c r="BZ433" s="205" t="n"/>
      <c r="CA433" s="207">
        <f>IFERROR(CA429/CA194,"n/a")</f>
        <v>21.7458185764153</v>
      </c>
      <c r="CB433" s="207">
        <f>IFERROR(CB429/CB194,"n/a")</f>
        <v>19.4930035882359</v>
      </c>
      <c r="CC433" s="207">
        <f>IFERROR(CC429/CC194,"n/a")</f>
        <v>17.1963299166093</v>
      </c>
      <c r="CD433" s="207">
        <f>IFERROR(CD429/CD194,"n/a")</f>
        <v>15.4630652113302</v>
      </c>
      <c r="CE433" s="207">
        <f>IFERROR(CE429/CE194,"n/a")</f>
        <v>14.0711792610696</v>
      </c>
      <c r="CF433" s="20" t="n"/>
    </row>
    <row r="434" ht="15" customHeight="1">
      <c r="B434" s="26" t="inlineStr">
        <is>
          <t xml:space="preserve">  EV / IC</t>
        </is>
      </c>
      <c r="C434" s="204" t="n"/>
      <c r="D434" s="204" t="n"/>
      <c r="E434" s="204" t="n"/>
      <c r="F434" s="204" t="n"/>
      <c r="G434" s="204" t="n"/>
      <c r="H434" s="204" t="n"/>
      <c r="I434" s="204" t="n"/>
      <c r="J434" s="204" t="n"/>
      <c r="K434" s="204" t="n"/>
      <c r="L434" s="204" t="n"/>
      <c r="M434" s="204" t="n"/>
      <c r="N434" s="204" t="n"/>
      <c r="O434" s="204" t="n"/>
      <c r="P434" s="204" t="n"/>
      <c r="Q434" s="204" t="n"/>
      <c r="R434" s="204" t="n"/>
      <c r="S434" s="204" t="n"/>
      <c r="T434" s="204" t="n"/>
      <c r="U434" s="204" t="n"/>
      <c r="V434" s="204" t="n"/>
      <c r="W434" s="204" t="n"/>
      <c r="X434" s="204" t="n"/>
      <c r="Y434" s="204" t="n"/>
      <c r="Z434" s="204" t="n"/>
      <c r="AA434" s="204" t="n"/>
      <c r="AB434" s="204" t="n"/>
      <c r="AC434" s="204" t="n"/>
      <c r="AD434" s="204" t="n"/>
      <c r="AE434" s="204" t="n"/>
      <c r="AF434" s="204" t="n"/>
      <c r="AG434" s="204" t="n"/>
      <c r="AH434" s="204" t="n"/>
      <c r="AI434" s="204" t="n"/>
      <c r="AJ434" s="204" t="n"/>
      <c r="AK434" s="204" t="n"/>
      <c r="AL434" s="204" t="n"/>
      <c r="AM434" s="204" t="n"/>
      <c r="AN434" s="204" t="n"/>
      <c r="AO434" s="204" t="n"/>
      <c r="AP434" s="204" t="n"/>
      <c r="AQ434" s="204" t="n"/>
      <c r="AR434" s="204" t="n"/>
      <c r="AS434" s="204" t="n"/>
      <c r="AT434" s="204" t="n"/>
      <c r="AU434" s="204" t="n"/>
      <c r="AV434" s="204" t="n"/>
      <c r="AW434" s="204" t="n"/>
      <c r="AX434" s="204" t="n"/>
      <c r="AY434" s="204" t="n"/>
      <c r="AZ434" s="204" t="n"/>
      <c r="BA434" s="204" t="n"/>
      <c r="BB434" s="204" t="n"/>
      <c r="BC434" s="204" t="n"/>
      <c r="BD434" s="204" t="n"/>
      <c r="BE434" s="204" t="n"/>
      <c r="BF434" s="204" t="n"/>
      <c r="BG434" s="204" t="n"/>
      <c r="BH434" s="204" t="n"/>
      <c r="BI434" s="204" t="n"/>
      <c r="BJ434" s="204" t="n"/>
      <c r="BK434" s="204" t="n"/>
      <c r="BL434" s="204" t="n"/>
      <c r="BM434" s="204" t="n"/>
      <c r="BN434" s="204" t="n"/>
      <c r="BO434" s="204" t="n"/>
      <c r="BP434" s="204" t="n"/>
      <c r="BQ434" s="204" t="n"/>
      <c r="BR434" s="204" t="n"/>
      <c r="BS434" s="204" t="n"/>
      <c r="BT434" s="204" t="n"/>
      <c r="BU434" s="204" t="n"/>
      <c r="BV434" s="204" t="n"/>
      <c r="BW434" s="204" t="n"/>
      <c r="BX434" s="204" t="n"/>
      <c r="BY434" s="205" t="n"/>
      <c r="BZ434" s="205" t="n"/>
      <c r="CA434" s="207">
        <f>IFERROR(CA429/CA399,"n/a")</f>
        <v>3.34919611573415</v>
      </c>
      <c r="CB434" s="207">
        <f>IFERROR(CB429/CB399,"n/a")</f>
        <v>3.14508437477426</v>
      </c>
      <c r="CC434" s="207">
        <f>IFERROR(CC429/CC399,"n/a")</f>
        <v>2.94221971723171</v>
      </c>
      <c r="CD434" s="207">
        <f>IFERROR(CD429/CD399,"n/a")</f>
        <v>2.75751013102055</v>
      </c>
      <c r="CE434" s="207">
        <f>IFERROR(CE429/CE399,"n/a")</f>
        <v>2.58930920699528</v>
      </c>
      <c r="CF434" s="20" t="n"/>
    </row>
    <row r="435" ht="15" customHeight="1">
      <c r="B435" s="26" t="inlineStr">
        <is>
          <t xml:space="preserve">  P / E (GAAP diluted)</t>
        </is>
      </c>
      <c r="C435" s="204" t="n"/>
      <c r="D435" s="204" t="n"/>
      <c r="E435" s="204" t="n"/>
      <c r="F435" s="204" t="n"/>
      <c r="G435" s="204" t="n"/>
      <c r="H435" s="204" t="n"/>
      <c r="I435" s="204" t="n"/>
      <c r="J435" s="204" t="n"/>
      <c r="K435" s="204" t="n"/>
      <c r="L435" s="204" t="n"/>
      <c r="M435" s="204" t="n"/>
      <c r="N435" s="204" t="n"/>
      <c r="O435" s="204" t="n"/>
      <c r="P435" s="204" t="n"/>
      <c r="Q435" s="204" t="n"/>
      <c r="R435" s="204" t="n"/>
      <c r="S435" s="204" t="n"/>
      <c r="T435" s="204" t="n"/>
      <c r="U435" s="204" t="n"/>
      <c r="V435" s="204" t="n"/>
      <c r="W435" s="204" t="n"/>
      <c r="X435" s="204" t="n"/>
      <c r="Y435" s="204" t="n"/>
      <c r="Z435" s="204" t="n"/>
      <c r="AA435" s="204" t="n"/>
      <c r="AB435" s="204" t="n"/>
      <c r="AC435" s="204" t="n"/>
      <c r="AD435" s="204" t="n"/>
      <c r="AE435" s="204" t="n"/>
      <c r="AF435" s="204" t="n"/>
      <c r="AG435" s="204" t="n"/>
      <c r="AH435" s="204" t="n"/>
      <c r="AI435" s="204" t="n"/>
      <c r="AJ435" s="204" t="n"/>
      <c r="AK435" s="204" t="n"/>
      <c r="AL435" s="204" t="n"/>
      <c r="AM435" s="204" t="n"/>
      <c r="AN435" s="204" t="n"/>
      <c r="AO435" s="204" t="n"/>
      <c r="AP435" s="204" t="n"/>
      <c r="AQ435" s="204" t="n"/>
      <c r="AR435" s="204" t="n"/>
      <c r="AS435" s="204" t="n"/>
      <c r="AT435" s="204" t="n"/>
      <c r="AU435" s="204" t="n"/>
      <c r="AV435" s="204" t="n"/>
      <c r="AW435" s="204" t="n"/>
      <c r="AX435" s="204" t="n"/>
      <c r="AY435" s="204" t="n"/>
      <c r="AZ435" s="204" t="n"/>
      <c r="BA435" s="204" t="n"/>
      <c r="BB435" s="204" t="n"/>
      <c r="BC435" s="204" t="n"/>
      <c r="BD435" s="204" t="n"/>
      <c r="BE435" s="204" t="n"/>
      <c r="BF435" s="204" t="n"/>
      <c r="BG435" s="204" t="n"/>
      <c r="BH435" s="204" t="n"/>
      <c r="BI435" s="204" t="n"/>
      <c r="BJ435" s="204" t="n"/>
      <c r="BK435" s="204" t="n"/>
      <c r="BL435" s="204" t="n"/>
      <c r="BM435" s="204" t="n"/>
      <c r="BN435" s="204" t="n"/>
      <c r="BO435" s="204" t="n"/>
      <c r="BP435" s="204" t="n"/>
      <c r="BQ435" s="204" t="n"/>
      <c r="BR435" s="204" t="n"/>
      <c r="BS435" s="204" t="n"/>
      <c r="BT435" s="204" t="n"/>
      <c r="BU435" s="204" t="n"/>
      <c r="BV435" s="204" t="n"/>
      <c r="BW435" s="204" t="n"/>
      <c r="BX435" s="204" t="n"/>
      <c r="BY435" s="205" t="n"/>
      <c r="BZ435" s="205" t="n"/>
      <c r="CA435" s="207">
        <f>IFERROR(CA424/CA167,"n/a")</f>
        <v>34.3000585793996</v>
      </c>
      <c r="CB435" s="207">
        <f>IFERROR(CB424/CB167,"n/a")</f>
        <v>30.1071004555087</v>
      </c>
      <c r="CC435" s="207">
        <f>IFERROR(CC424/CC167,"n/a")</f>
        <v>25.6637266905699</v>
      </c>
      <c r="CD435" s="207">
        <f>IFERROR(CD424/CD167,"n/a")</f>
        <v>22.4482639829712</v>
      </c>
      <c r="CE435" s="207">
        <f>IFERROR(CE424/CE167,"n/a")</f>
        <v>20.0215840253923</v>
      </c>
      <c r="CF435" s="20" t="n"/>
    </row>
    <row r="436" ht="15" customHeight="1">
      <c r="B436" s="26" t="inlineStr">
        <is>
          <t xml:space="preserve">  P / E (adjusted EPS)</t>
        </is>
      </c>
      <c r="C436" s="204" t="n"/>
      <c r="D436" s="204" t="n"/>
      <c r="E436" s="204" t="n"/>
      <c r="F436" s="204" t="n"/>
      <c r="G436" s="204" t="n"/>
      <c r="H436" s="204" t="n"/>
      <c r="I436" s="204" t="n"/>
      <c r="J436" s="204" t="n"/>
      <c r="K436" s="204" t="n"/>
      <c r="L436" s="204" t="n"/>
      <c r="M436" s="204" t="n"/>
      <c r="N436" s="204" t="n"/>
      <c r="O436" s="204" t="n"/>
      <c r="P436" s="204" t="n"/>
      <c r="Q436" s="204" t="n"/>
      <c r="R436" s="204" t="n"/>
      <c r="S436" s="204" t="n"/>
      <c r="T436" s="204" t="n"/>
      <c r="U436" s="204" t="n"/>
      <c r="V436" s="204" t="n"/>
      <c r="W436" s="204" t="n"/>
      <c r="X436" s="204" t="n"/>
      <c r="Y436" s="204" t="n"/>
      <c r="Z436" s="204" t="n"/>
      <c r="AA436" s="204" t="n"/>
      <c r="AB436" s="204" t="n"/>
      <c r="AC436" s="204" t="n"/>
      <c r="AD436" s="204" t="n"/>
      <c r="AE436" s="204" t="n"/>
      <c r="AF436" s="204" t="n"/>
      <c r="AG436" s="204" t="n"/>
      <c r="AH436" s="204" t="n"/>
      <c r="AI436" s="204" t="n"/>
      <c r="AJ436" s="204" t="n"/>
      <c r="AK436" s="204" t="n"/>
      <c r="AL436" s="204" t="n"/>
      <c r="AM436" s="204" t="n"/>
      <c r="AN436" s="204" t="n"/>
      <c r="AO436" s="204" t="n"/>
      <c r="AP436" s="204" t="n"/>
      <c r="AQ436" s="204" t="n"/>
      <c r="AR436" s="204" t="n"/>
      <c r="AS436" s="204" t="n"/>
      <c r="AT436" s="204" t="n"/>
      <c r="AU436" s="204" t="n"/>
      <c r="AV436" s="204" t="n"/>
      <c r="AW436" s="204" t="n"/>
      <c r="AX436" s="204" t="n"/>
      <c r="AY436" s="204" t="n"/>
      <c r="AZ436" s="204" t="n"/>
      <c r="BA436" s="204" t="n"/>
      <c r="BB436" s="204" t="n"/>
      <c r="BC436" s="204" t="n"/>
      <c r="BD436" s="204" t="n"/>
      <c r="BE436" s="204" t="n"/>
      <c r="BF436" s="204" t="n"/>
      <c r="BG436" s="204" t="n"/>
      <c r="BH436" s="204" t="n"/>
      <c r="BI436" s="204" t="n"/>
      <c r="BJ436" s="204" t="n"/>
      <c r="BK436" s="204" t="n"/>
      <c r="BL436" s="204" t="n"/>
      <c r="BM436" s="204" t="n"/>
      <c r="BN436" s="204" t="n"/>
      <c r="BO436" s="204" t="n"/>
      <c r="BP436" s="204" t="n"/>
      <c r="BQ436" s="204" t="n"/>
      <c r="BR436" s="204" t="n"/>
      <c r="BS436" s="204" t="n"/>
      <c r="BT436" s="204" t="n"/>
      <c r="BU436" s="204" t="n"/>
      <c r="BV436" s="204" t="n"/>
      <c r="BW436" s="204" t="n"/>
      <c r="BX436" s="204" t="n"/>
      <c r="BY436" s="205" t="n"/>
      <c r="BZ436" s="205" t="n"/>
      <c r="CA436" s="207">
        <f>IFERROR(CA424/CA207,"n/a")</f>
        <v>34.3000585793996</v>
      </c>
      <c r="CB436" s="207">
        <f>IFERROR(CB424/CB207,"n/a")</f>
        <v>30.1071004555087</v>
      </c>
      <c r="CC436" s="207">
        <f>IFERROR(CC424/CC207,"n/a")</f>
        <v>25.6637266905699</v>
      </c>
      <c r="CD436" s="207">
        <f>IFERROR(CD424/CD207,"n/a")</f>
        <v>22.4482639829712</v>
      </c>
      <c r="CE436" s="207">
        <f>IFERROR(CE424/CE207,"n/a")</f>
        <v>20.0215840253923</v>
      </c>
      <c r="CF436" s="20" t="n"/>
    </row>
    <row r="437" ht="15" customHeight="1">
      <c r="B437" s="26" t="inlineStr">
        <is>
          <t xml:space="preserve">  FCF yield</t>
        </is>
      </c>
      <c r="C437" s="181" t="n"/>
      <c r="D437" s="181" t="n"/>
      <c r="E437" s="181" t="n"/>
      <c r="F437" s="181" t="n"/>
      <c r="G437" s="181" t="n"/>
      <c r="H437" s="181" t="n"/>
      <c r="I437" s="181" t="n"/>
      <c r="J437" s="181" t="n"/>
      <c r="K437" s="181" t="n"/>
      <c r="L437" s="181" t="n"/>
      <c r="M437" s="181" t="n"/>
      <c r="N437" s="181" t="n"/>
      <c r="O437" s="181" t="n"/>
      <c r="P437" s="181" t="n"/>
      <c r="Q437" s="181" t="n"/>
      <c r="R437" s="181" t="n"/>
      <c r="S437" s="181" t="n"/>
      <c r="T437" s="181" t="n"/>
      <c r="U437" s="181" t="n"/>
      <c r="V437" s="181" t="n"/>
      <c r="W437" s="181" t="n"/>
      <c r="X437" s="181" t="n"/>
      <c r="Y437" s="181" t="n"/>
      <c r="Z437" s="181" t="n"/>
      <c r="AA437" s="181" t="n"/>
      <c r="AB437" s="181" t="n"/>
      <c r="AC437" s="181" t="n"/>
      <c r="AD437" s="181" t="n"/>
      <c r="AE437" s="181" t="n"/>
      <c r="AF437" s="181" t="n"/>
      <c r="AG437" s="181" t="n"/>
      <c r="AH437" s="181" t="n"/>
      <c r="AI437" s="181" t="n"/>
      <c r="AJ437" s="181" t="n"/>
      <c r="AK437" s="181" t="n"/>
      <c r="AL437" s="181" t="n"/>
      <c r="AM437" s="181" t="n"/>
      <c r="AN437" s="181" t="n"/>
      <c r="AO437" s="181" t="n"/>
      <c r="AP437" s="181" t="n"/>
      <c r="AQ437" s="181" t="n"/>
      <c r="AR437" s="181" t="n"/>
      <c r="AS437" s="181" t="n"/>
      <c r="AT437" s="181" t="n"/>
      <c r="AU437" s="181" t="n"/>
      <c r="AV437" s="181" t="n"/>
      <c r="AW437" s="181" t="n"/>
      <c r="AX437" s="181" t="n"/>
      <c r="AY437" s="181" t="n"/>
      <c r="AZ437" s="181" t="n"/>
      <c r="BA437" s="181" t="n"/>
      <c r="BB437" s="181" t="n"/>
      <c r="BC437" s="181" t="n"/>
      <c r="BD437" s="181" t="n"/>
      <c r="BE437" s="181" t="n"/>
      <c r="BF437" s="181" t="n"/>
      <c r="BG437" s="181" t="n"/>
      <c r="BH437" s="181" t="n"/>
      <c r="BI437" s="181" t="n"/>
      <c r="BJ437" s="181" t="n"/>
      <c r="BK437" s="181" t="n"/>
      <c r="BL437" s="181" t="n"/>
      <c r="BM437" s="181" t="n"/>
      <c r="BN437" s="181" t="n"/>
      <c r="BO437" s="181" t="n"/>
      <c r="BP437" s="181" t="n"/>
      <c r="BQ437" s="181" t="n"/>
      <c r="BR437" s="181" t="n"/>
      <c r="BS437" s="181" t="n"/>
      <c r="BT437" s="181" t="n"/>
      <c r="BU437" s="181" t="n"/>
      <c r="BV437" s="181" t="n"/>
      <c r="BW437" s="181" t="n"/>
      <c r="BX437" s="181" t="n"/>
      <c r="BY437" s="169" t="n"/>
      <c r="BZ437" s="169" t="n"/>
      <c r="CA437" s="179">
        <f>IFERROR(CA271/CA426,"n/a")</f>
        <v>0.0239357683567926</v>
      </c>
      <c r="CB437" s="179">
        <f>IFERROR(CB271/CB426,"n/a")</f>
        <v>0.0338494521812084</v>
      </c>
      <c r="CC437" s="179">
        <f>IFERROR(CC271/CC426,"n/a")</f>
        <v>0.0386021001058765</v>
      </c>
      <c r="CD437" s="179">
        <f>IFERROR(CD271/CD426,"n/a")</f>
        <v>0.0448232952736467</v>
      </c>
      <c r="CE437" s="179">
        <f>IFERROR(CE271/CE426,"n/a")</f>
        <v>0.0507865395060916</v>
      </c>
      <c r="CF437" s="20" t="n"/>
    </row>
    <row r="438" ht="15" customHeight="1">
      <c r="B438" s="26" t="inlineStr">
        <is>
          <t xml:space="preserve">  Adjusted FCF yield</t>
        </is>
      </c>
      <c r="C438" s="181" t="n"/>
      <c r="D438" s="181" t="n"/>
      <c r="E438" s="181" t="n"/>
      <c r="F438" s="181" t="n"/>
      <c r="G438" s="181" t="n"/>
      <c r="H438" s="181" t="n"/>
      <c r="I438" s="181" t="n"/>
      <c r="J438" s="181" t="n"/>
      <c r="K438" s="181" t="n"/>
      <c r="L438" s="181" t="n"/>
      <c r="M438" s="181" t="n"/>
      <c r="N438" s="181" t="n"/>
      <c r="O438" s="181" t="n"/>
      <c r="P438" s="181" t="n"/>
      <c r="Q438" s="181" t="n"/>
      <c r="R438" s="181" t="n"/>
      <c r="S438" s="181" t="n"/>
      <c r="T438" s="181" t="n"/>
      <c r="U438" s="181" t="n"/>
      <c r="V438" s="181" t="n"/>
      <c r="W438" s="181" t="n"/>
      <c r="X438" s="181" t="n"/>
      <c r="Y438" s="181" t="n"/>
      <c r="Z438" s="181" t="n"/>
      <c r="AA438" s="181" t="n"/>
      <c r="AB438" s="181" t="n"/>
      <c r="AC438" s="181" t="n"/>
      <c r="AD438" s="181" t="n"/>
      <c r="AE438" s="181" t="n"/>
      <c r="AF438" s="181" t="n"/>
      <c r="AG438" s="181" t="n"/>
      <c r="AH438" s="181" t="n"/>
      <c r="AI438" s="181" t="n"/>
      <c r="AJ438" s="181" t="n"/>
      <c r="AK438" s="181" t="n"/>
      <c r="AL438" s="181" t="n"/>
      <c r="AM438" s="181" t="n"/>
      <c r="AN438" s="181" t="n"/>
      <c r="AO438" s="181" t="n"/>
      <c r="AP438" s="181" t="n"/>
      <c r="AQ438" s="181" t="n"/>
      <c r="AR438" s="181" t="n"/>
      <c r="AS438" s="181" t="n"/>
      <c r="AT438" s="181" t="n"/>
      <c r="AU438" s="181" t="n"/>
      <c r="AV438" s="181" t="n"/>
      <c r="AW438" s="181" t="n"/>
      <c r="AX438" s="181" t="n"/>
      <c r="AY438" s="181" t="n"/>
      <c r="AZ438" s="181" t="n"/>
      <c r="BA438" s="181" t="n"/>
      <c r="BB438" s="181" t="n"/>
      <c r="BC438" s="181" t="n"/>
      <c r="BD438" s="181" t="n"/>
      <c r="BE438" s="181" t="n"/>
      <c r="BF438" s="181" t="n"/>
      <c r="BG438" s="181" t="n"/>
      <c r="BH438" s="181" t="n"/>
      <c r="BI438" s="181" t="n"/>
      <c r="BJ438" s="181" t="n"/>
      <c r="BK438" s="181" t="n"/>
      <c r="BL438" s="181" t="n"/>
      <c r="BM438" s="181" t="n"/>
      <c r="BN438" s="181" t="n"/>
      <c r="BO438" s="181" t="n"/>
      <c r="BP438" s="181" t="n"/>
      <c r="BQ438" s="181" t="n"/>
      <c r="BR438" s="181" t="n"/>
      <c r="BS438" s="181" t="n"/>
      <c r="BT438" s="181" t="n"/>
      <c r="BU438" s="181" t="n"/>
      <c r="BV438" s="181" t="n"/>
      <c r="BW438" s="181" t="n"/>
      <c r="BX438" s="181" t="n"/>
      <c r="BY438" s="169" t="n"/>
      <c r="BZ438" s="169" t="n"/>
      <c r="CA438" s="179">
        <f>IFERROR(CA217/CA426,"n/a")</f>
        <v>0.0318864084996165</v>
      </c>
      <c r="CB438" s="179">
        <f>IFERROR(CB217/CB426,"n/a")</f>
        <v>0.0347413812871471</v>
      </c>
      <c r="CC438" s="179">
        <f>IFERROR(CC217/CC426,"n/a")</f>
        <v>0.039521468073184</v>
      </c>
      <c r="CD438" s="179">
        <f>IFERROR(CD217/CD426,"n/a")</f>
        <v>0.0457726251956296</v>
      </c>
      <c r="CE438" s="179">
        <f>IFERROR(CE217/CE426,"n/a")</f>
        <v>0.0517683729716796</v>
      </c>
      <c r="CF438" s="20" t="n"/>
    </row>
    <row r="439" ht="15" customHeight="1">
      <c r="B439" s="26" t="inlineStr">
        <is>
          <t xml:space="preserve">  Dividend yield</t>
        </is>
      </c>
      <c r="C439" s="181" t="n"/>
      <c r="D439" s="181" t="n"/>
      <c r="E439" s="181" t="n"/>
      <c r="F439" s="181" t="n"/>
      <c r="G439" s="181" t="n"/>
      <c r="H439" s="181" t="n"/>
      <c r="I439" s="181" t="n"/>
      <c r="J439" s="181" t="n"/>
      <c r="K439" s="181" t="n"/>
      <c r="L439" s="181" t="n"/>
      <c r="M439" s="181" t="n"/>
      <c r="N439" s="181" t="n"/>
      <c r="O439" s="181" t="n"/>
      <c r="P439" s="181" t="n"/>
      <c r="Q439" s="181" t="n"/>
      <c r="R439" s="181" t="n"/>
      <c r="S439" s="181" t="n"/>
      <c r="T439" s="181" t="n"/>
      <c r="U439" s="181" t="n"/>
      <c r="V439" s="181" t="n"/>
      <c r="W439" s="181" t="n"/>
      <c r="X439" s="181" t="n"/>
      <c r="Y439" s="181" t="n"/>
      <c r="Z439" s="181" t="n"/>
      <c r="AA439" s="181" t="n"/>
      <c r="AB439" s="181" t="n"/>
      <c r="AC439" s="181" t="n"/>
      <c r="AD439" s="181" t="n"/>
      <c r="AE439" s="181" t="n"/>
      <c r="AF439" s="181" t="n"/>
      <c r="AG439" s="181" t="n"/>
      <c r="AH439" s="181" t="n"/>
      <c r="AI439" s="181" t="n"/>
      <c r="AJ439" s="181" t="n"/>
      <c r="AK439" s="181" t="n"/>
      <c r="AL439" s="181" t="n"/>
      <c r="AM439" s="181" t="n"/>
      <c r="AN439" s="181" t="n"/>
      <c r="AO439" s="181" t="n"/>
      <c r="AP439" s="181" t="n"/>
      <c r="AQ439" s="181" t="n"/>
      <c r="AR439" s="181" t="n"/>
      <c r="AS439" s="181" t="n"/>
      <c r="AT439" s="181" t="n"/>
      <c r="AU439" s="181" t="n"/>
      <c r="AV439" s="181" t="n"/>
      <c r="AW439" s="181" t="n"/>
      <c r="AX439" s="181" t="n"/>
      <c r="AY439" s="181" t="n"/>
      <c r="AZ439" s="181" t="n"/>
      <c r="BA439" s="181" t="n"/>
      <c r="BB439" s="181" t="n"/>
      <c r="BC439" s="181" t="n"/>
      <c r="BD439" s="181" t="n"/>
      <c r="BE439" s="181" t="n"/>
      <c r="BF439" s="181" t="n"/>
      <c r="BG439" s="181" t="n"/>
      <c r="BH439" s="181" t="n"/>
      <c r="BI439" s="181" t="n"/>
      <c r="BJ439" s="181" t="n"/>
      <c r="BK439" s="181" t="n"/>
      <c r="BL439" s="181" t="n"/>
      <c r="BM439" s="181" t="n"/>
      <c r="BN439" s="181" t="n"/>
      <c r="BO439" s="181" t="n"/>
      <c r="BP439" s="181" t="n"/>
      <c r="BQ439" s="181" t="n"/>
      <c r="BR439" s="181" t="n"/>
      <c r="BS439" s="181" t="n"/>
      <c r="BT439" s="181" t="n"/>
      <c r="BU439" s="181" t="n"/>
      <c r="BV439" s="181" t="n"/>
      <c r="BW439" s="181" t="n"/>
      <c r="BX439" s="181" t="n"/>
      <c r="BY439" s="169" t="n"/>
      <c r="BZ439" s="169" t="n"/>
      <c r="CA439" s="179">
        <f>IFERROR(CA170/CA424,"n/a")</f>
        <v>0</v>
      </c>
      <c r="CB439" s="179">
        <f>IFERROR(CB170/CB424,"n/a")</f>
        <v>0</v>
      </c>
      <c r="CC439" s="179">
        <f>IFERROR(CC170/CC424,"n/a")</f>
        <v>0</v>
      </c>
      <c r="CD439" s="179">
        <f>IFERROR(CD170/CD424,"n/a")</f>
        <v>0</v>
      </c>
      <c r="CE439" s="179">
        <f>IFERROR(CE170/CE424,"n/a")</f>
        <v>0</v>
      </c>
      <c r="CF439" s="20" t="n"/>
    </row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</sheetData>
  <dataValidations count="1">
    <dataValidation sqref="CF2" showDropDown="0" showInputMessage="0" showErrorMessage="0" allowBlank="0" type="list">
      <formula1>"Bull,Base,Bear"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7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min="1" max="1"/>
    <col width="63.85546875" customWidth="1" min="2" max="2"/>
    <col width="11.85546875" customWidth="1" min="3" max="8"/>
    <col width="13.28515625" customWidth="1" min="9" max="9"/>
    <col width="12.5703125" customWidth="1" min="10" max="12"/>
    <col width="3.85546875" customWidth="1" min="13" max="13"/>
    <col width="63.85546875" customWidth="1" min="14" max="14"/>
    <col width="11.85546875" customWidth="1" min="15" max="20"/>
    <col width="13.28515625" customWidth="1" min="21" max="21"/>
    <col width="12.5703125" customWidth="1" min="22" max="24"/>
    <col width="3.85546875" customWidth="1" min="25" max="25"/>
    <col width="63.85546875" customWidth="1" min="26" max="26"/>
    <col width="11.85546875" customWidth="1" min="27" max="32"/>
    <col width="13.28515625" customWidth="1" min="33" max="33"/>
    <col width="12.5703125" customWidth="1" min="34" max="36"/>
  </cols>
  <sheetData>
    <row r="1"/>
    <row r="2" ht="19.5" customHeight="1">
      <c r="B2" s="80" t="inlineStr">
        <is>
          <t>Clean Harbors (CLH) — Bull / Base / Bear Case P&amp;L Summary</t>
        </is>
      </c>
      <c r="J2" s="173" t="inlineStr">
        <is>
          <t>Share price ($):</t>
        </is>
      </c>
      <c r="K2" s="81">
        <f>Model!$CA$424</f>
        <v>321.34</v>
      </c>
    </row>
    <row r="3" ht="15" customHeight="1">
      <c r="B3" s="4" t="inlineStr">
        <is>
          <t>Adjusted figures (company definitions: Adjusted EBITDA as published — SBC added back from Q1/21; adjusted EPS = GAAP excl. debt extinguishment, impairments, business-sale gains / losses, tax items) · USD millions · Live panel linked to Model — toggle scenario via Model!CF2. Bull and Bear panels are value snapshots generated from the Model with the switch set to each case. 2026E includes ES&amp;H (from 1-Sep-26) and EnviroServe (from 1-Nov-26) — assumed closing dates.</t>
        </is>
      </c>
      <c r="J3" s="173" t="inlineStr">
        <is>
          <t>As of:</t>
        </is>
      </c>
      <c r="K3" s="82">
        <f>TODAY()</f>
        <v>46299</v>
      </c>
    </row>
    <row r="4"/>
    <row r="5" ht="15" customHeight="1">
      <c r="B5" s="11" t="inlineStr">
        <is>
          <t>Scenario:</t>
        </is>
      </c>
      <c r="C5" s="83" t="str">
        <f>Model!$CF$2</f>
        <v>Base</v>
      </c>
      <c r="N5" s="84" t="inlineStr">
        <is>
          <t>Scenario:</t>
        </is>
      </c>
      <c r="O5" s="85" t="inlineStr">
        <is>
          <t>Bull</t>
        </is>
      </c>
      <c r="P5" s="4" t="inlineStr">
        <is>
          <t>Snapshot (values) — Model run with switch = Bull</t>
        </is>
      </c>
      <c r="Z5" s="84" t="inlineStr">
        <is>
          <t>Scenario:</t>
        </is>
      </c>
      <c r="AA5" s="85" t="inlineStr">
        <is>
          <t>Bear</t>
        </is>
      </c>
      <c r="AB5" s="4" t="inlineStr">
        <is>
          <t>Snapshot (values) — Model run with switch = Bear</t>
        </is>
      </c>
    </row>
    <row r="6"/>
    <row r="7" ht="32.1" customHeight="1">
      <c r="B7" s="86" t="inlineStr">
        <is>
          <t>(USDm, except EPS and shares)</t>
        </is>
      </c>
      <c r="C7" s="171" t="inlineStr">
        <is>
          <t>2025A</t>
        </is>
      </c>
      <c r="D7" s="171" t="inlineStr">
        <is>
          <t>2026E</t>
        </is>
      </c>
      <c r="E7" s="171" t="inlineStr">
        <is>
          <t>2027E</t>
        </is>
      </c>
      <c r="F7" s="171" t="inlineStr">
        <is>
          <t>2028E</t>
        </is>
      </c>
      <c r="G7" s="171" t="inlineStr">
        <is>
          <t>2029E</t>
        </is>
      </c>
      <c r="H7" s="171" t="inlineStr">
        <is>
          <t>2030E</t>
        </is>
      </c>
      <c r="I7" s="171" t="inlineStr">
        <is>
          <t>25-'30 CAGR</t>
        </is>
      </c>
      <c r="J7" s="172" t="inlineStr">
        <is>
          <t>LT Hist Avg</t>
        </is>
      </c>
      <c r="K7" s="172" t="inlineStr">
        <is>
          <t>LT Hist Min</t>
        </is>
      </c>
      <c r="L7" s="172" t="inlineStr">
        <is>
          <t>LT Hist Max</t>
        </is>
      </c>
      <c r="N7" s="86" t="inlineStr">
        <is>
          <t>(USDm, except EPS and shares)</t>
        </is>
      </c>
      <c r="O7" s="171" t="inlineStr">
        <is>
          <t>2025A</t>
        </is>
      </c>
      <c r="P7" s="171" t="inlineStr">
        <is>
          <t>2026E</t>
        </is>
      </c>
      <c r="Q7" s="171" t="inlineStr">
        <is>
          <t>2027E</t>
        </is>
      </c>
      <c r="R7" s="171" t="inlineStr">
        <is>
          <t>2028E</t>
        </is>
      </c>
      <c r="S7" s="171" t="inlineStr">
        <is>
          <t>2029E</t>
        </is>
      </c>
      <c r="T7" s="171" t="inlineStr">
        <is>
          <t>2030E</t>
        </is>
      </c>
      <c r="U7" s="171" t="inlineStr">
        <is>
          <t>25-'30 CAGR</t>
        </is>
      </c>
      <c r="V7" s="172" t="inlineStr">
        <is>
          <t>LT Hist Avg</t>
        </is>
      </c>
      <c r="W7" s="172" t="inlineStr">
        <is>
          <t>LT Hist Min</t>
        </is>
      </c>
      <c r="X7" s="172" t="inlineStr">
        <is>
          <t>LT Hist Max</t>
        </is>
      </c>
      <c r="Z7" s="86" t="inlineStr">
        <is>
          <t>(USDm, except EPS and shares)</t>
        </is>
      </c>
      <c r="AA7" s="171" t="inlineStr">
        <is>
          <t>2025A</t>
        </is>
      </c>
      <c r="AB7" s="171" t="inlineStr">
        <is>
          <t>2026E</t>
        </is>
      </c>
      <c r="AC7" s="171" t="inlineStr">
        <is>
          <t>2027E</t>
        </is>
      </c>
      <c r="AD7" s="171" t="inlineStr">
        <is>
          <t>2028E</t>
        </is>
      </c>
      <c r="AE7" s="171" t="inlineStr">
        <is>
          <t>2029E</t>
        </is>
      </c>
      <c r="AF7" s="171" t="inlineStr">
        <is>
          <t>2030E</t>
        </is>
      </c>
      <c r="AG7" s="171" t="inlineStr">
        <is>
          <t>25-'30 CAGR</t>
        </is>
      </c>
      <c r="AH7" s="172" t="inlineStr">
        <is>
          <t>LT Hist Avg</t>
        </is>
      </c>
      <c r="AI7" s="172" t="inlineStr">
        <is>
          <t>LT Hist Min</t>
        </is>
      </c>
      <c r="AJ7" s="172" t="inlineStr">
        <is>
          <t>LT Hist Max</t>
        </is>
      </c>
    </row>
    <row r="8"/>
    <row r="9" ht="15" customHeight="1">
      <c r="B9" s="87" t="inlineStr">
        <is>
          <t>Revenues</t>
        </is>
      </c>
      <c r="C9" s="88">
        <f>Model!BV138</f>
        <v>6030.837</v>
      </c>
      <c r="D9" s="89">
        <f>Model!CA138</f>
        <v>6593.35508369863</v>
      </c>
      <c r="E9" s="89">
        <f>Model!CB138</f>
        <v>7277.40481160497</v>
      </c>
      <c r="F9" s="89">
        <f>Model!CC138</f>
        <v>7876.51163238994</v>
      </c>
      <c r="G9" s="89">
        <f>Model!CD138</f>
        <v>8483.26940533391</v>
      </c>
      <c r="H9" s="89">
        <f>Model!CE138</f>
        <v>9109.88916028172</v>
      </c>
      <c r="I9" s="90">
        <f>IFERROR((H9/C9)^(1/5)-1,"n/m")</f>
        <v>0.0859931864017398</v>
      </c>
      <c r="N9" s="87" t="inlineStr">
        <is>
          <t>Revenues</t>
        </is>
      </c>
      <c r="O9" s="88" t="n">
        <v>6030.837</v>
      </c>
      <c r="P9" s="89" t="n">
        <v>6593.35508369863</v>
      </c>
      <c r="Q9" s="89" t="n">
        <v>7523.79795105982</v>
      </c>
      <c r="R9" s="89" t="n">
        <v>8473.784507756051</v>
      </c>
      <c r="S9" s="89" t="n">
        <v>9462.249629224571</v>
      </c>
      <c r="T9" s="89" t="n">
        <v>10503.2722696326</v>
      </c>
      <c r="U9" s="90" t="n">
        <v>0.117350445760477</v>
      </c>
      <c r="Z9" s="87" t="inlineStr">
        <is>
          <t>Revenues</t>
        </is>
      </c>
      <c r="AA9" s="88" t="n">
        <v>6030.837</v>
      </c>
      <c r="AB9" s="89" t="n">
        <v>6593.35508369863</v>
      </c>
      <c r="AC9" s="89" t="n">
        <v>7031.01167215013</v>
      </c>
      <c r="AD9" s="89" t="n">
        <v>7288.65376582132</v>
      </c>
      <c r="AE9" s="89" t="n">
        <v>7533.41647524651</v>
      </c>
      <c r="AF9" s="89" t="n">
        <v>7776.90119369484</v>
      </c>
      <c r="AG9" s="90" t="n">
        <v>0.0521697172873581</v>
      </c>
    </row>
    <row r="10" ht="15" customHeight="1">
      <c r="B10" s="91" t="inlineStr">
        <is>
          <t xml:space="preserve">   Revenues y/y %</t>
        </is>
      </c>
      <c r="C10" s="92" t="n"/>
      <c r="D10" s="93">
        <f>IFERROR(D9/C9-1,"")</f>
        <v>0.0932736341072773</v>
      </c>
      <c r="E10" s="93">
        <f>IFERROR(E9/D9-1,"")</f>
        <v>0.103748352579642</v>
      </c>
      <c r="F10" s="93">
        <f>IFERROR(F9/E9-1,"")</f>
        <v>0.0823242400683273</v>
      </c>
      <c r="G10" s="93">
        <f>IFERROR(G9/F9-1,"")</f>
        <v>0.0770338191908271</v>
      </c>
      <c r="H10" s="93">
        <f>IFERROR(H9/G9-1,"")</f>
        <v>0.0738653607480411</v>
      </c>
      <c r="N10" s="91" t="inlineStr">
        <is>
          <t xml:space="preserve">   Revenues y/y %</t>
        </is>
      </c>
      <c r="O10" s="92" t="n"/>
      <c r="P10" s="93" t="n">
        <v>0.09327363410727731</v>
      </c>
      <c r="Q10" s="93" t="n">
        <v>0.141118270675518</v>
      </c>
      <c r="R10" s="93" t="n">
        <v>0.126264230229949</v>
      </c>
      <c r="S10" s="93" t="n">
        <v>0.116649782699074</v>
      </c>
      <c r="T10" s="93" t="n">
        <v>0.110018513693909</v>
      </c>
      <c r="Z10" s="91" t="inlineStr">
        <is>
          <t xml:space="preserve">   Revenues y/y %</t>
        </is>
      </c>
      <c r="AA10" s="92" t="n"/>
      <c r="AB10" s="93" t="n">
        <v>0.09327363410727731</v>
      </c>
      <c r="AC10" s="93" t="n">
        <v>0.0663784344837661</v>
      </c>
      <c r="AD10" s="93" t="n">
        <v>0.0366436731561282</v>
      </c>
      <c r="AE10" s="93" t="n">
        <v>0.03358133302654</v>
      </c>
      <c r="AF10" s="93" t="n">
        <v>0.0323206236172371</v>
      </c>
    </row>
    <row r="11" ht="15" customHeight="1">
      <c r="B11" s="87" t="inlineStr">
        <is>
          <t xml:space="preserve">   ES direct revenues y/y %</t>
        </is>
      </c>
      <c r="C11" s="94">
        <f>Model!BV226</f>
        <v>0.0376728334119587</v>
      </c>
      <c r="D11" s="95">
        <f>Model!CA226</f>
        <v>0.0681881755110922</v>
      </c>
      <c r="E11" s="95">
        <f>Model!CB226</f>
        <v>0.0605199885440324</v>
      </c>
      <c r="F11" s="95">
        <f>Model!CC226</f>
        <v>0.0591345350319239</v>
      </c>
      <c r="G11" s="95">
        <f>Model!CD226</f>
        <v>0.0555201481364125</v>
      </c>
      <c r="H11" s="95">
        <f>Model!CE226</f>
        <v>0.0537403800679028</v>
      </c>
      <c r="N11" s="87" t="inlineStr">
        <is>
          <t xml:space="preserve">   ES direct revenues y/y %</t>
        </is>
      </c>
      <c r="O11" s="94" t="n">
        <v>0.0376728334119587</v>
      </c>
      <c r="P11" s="95" t="n">
        <v>0.0681881755110922</v>
      </c>
      <c r="Q11" s="95" t="n">
        <v>0.0823150113524003</v>
      </c>
      <c r="R11" s="95" t="n">
        <v>0.08090494886084711</v>
      </c>
      <c r="S11" s="95" t="n">
        <v>0.0772662399460522</v>
      </c>
      <c r="T11" s="95" t="n">
        <v>0.07547257351249929</v>
      </c>
      <c r="Z11" s="87" t="inlineStr">
        <is>
          <t xml:space="preserve">   ES direct revenues y/y %</t>
        </is>
      </c>
      <c r="AA11" s="94" t="n">
        <v>0.0376728334119587</v>
      </c>
      <c r="AB11" s="95" t="n">
        <v>0.0681881755110922</v>
      </c>
      <c r="AC11" s="95" t="n">
        <v>0.0387249657356645</v>
      </c>
      <c r="AD11" s="95" t="n">
        <v>0.0373935119945441</v>
      </c>
      <c r="AE11" s="95" t="n">
        <v>0.0338322529093429</v>
      </c>
      <c r="AF11" s="95" t="n">
        <v>0.0320943045294058</v>
      </c>
    </row>
    <row r="12" ht="15" customHeight="1">
      <c r="B12" s="87" t="inlineStr">
        <is>
          <t>Adjusted EBITDA</t>
        </is>
      </c>
      <c r="C12" s="88">
        <f>Model!BV187</f>
        <v>1169.939</v>
      </c>
      <c r="D12" s="89">
        <f>Model!CA187</f>
        <v>1394.5397260274</v>
      </c>
      <c r="E12" s="89">
        <f>Model!CB187</f>
        <v>1550.19634223587</v>
      </c>
      <c r="F12" s="89">
        <f>Model!CC187</f>
        <v>1718.78088029056</v>
      </c>
      <c r="G12" s="89">
        <f>Model!CD187</f>
        <v>1876.85721465507</v>
      </c>
      <c r="H12" s="89">
        <f>Model!CE187</f>
        <v>2029.96444940969</v>
      </c>
      <c r="I12" s="90">
        <f>IFERROR((H12/C12)^(1/5)-1,"n/m")</f>
        <v>0.116516235838015</v>
      </c>
      <c r="N12" s="87" t="inlineStr">
        <is>
          <t>Adjusted EBITDA</t>
        </is>
      </c>
      <c r="O12" s="88" t="n">
        <v>1169.939</v>
      </c>
      <c r="P12" s="89" t="n">
        <v>1424.5397260274</v>
      </c>
      <c r="Q12" s="89" t="n">
        <v>1696.21537179912</v>
      </c>
      <c r="R12" s="89" t="n">
        <v>1942.76465746473</v>
      </c>
      <c r="S12" s="89" t="n">
        <v>2187.03272181956</v>
      </c>
      <c r="T12" s="89" t="n">
        <v>2433.93227796179</v>
      </c>
      <c r="U12" s="90" t="n">
        <v>0.157788027672218</v>
      </c>
      <c r="Z12" s="87" t="inlineStr">
        <is>
          <t>Adjusted EBITDA</t>
        </is>
      </c>
      <c r="AA12" s="88" t="n">
        <v>1169.939</v>
      </c>
      <c r="AB12" s="89" t="n">
        <v>1364.5397260274</v>
      </c>
      <c r="AC12" s="89" t="n">
        <v>1408.99254462988</v>
      </c>
      <c r="AD12" s="89" t="n">
        <v>1506.48910814775</v>
      </c>
      <c r="AE12" s="89" t="n">
        <v>1587.84826175068</v>
      </c>
      <c r="AF12" s="89" t="n">
        <v>1659.51807264956</v>
      </c>
      <c r="AG12" s="90" t="n">
        <v>0.0724171574520749</v>
      </c>
    </row>
    <row r="13" ht="15" customHeight="1">
      <c r="B13" s="91" t="inlineStr">
        <is>
          <t xml:space="preserve">   Adjusted EBITDA margin %</t>
        </is>
      </c>
      <c r="C13" s="96">
        <f>IFERROR(C12/C9,"")</f>
        <v>0.193992807300214</v>
      </c>
      <c r="D13" s="97">
        <f>IFERROR(D12/D9,"")</f>
        <v>0.211506844136948</v>
      </c>
      <c r="E13" s="97">
        <f>IFERROR(E12/E9,"")</f>
        <v>0.213014993993991</v>
      </c>
      <c r="F13" s="97">
        <f>IFERROR(F12/F9,"")</f>
        <v>0.218216002274732</v>
      </c>
      <c r="G13" s="97">
        <f>IFERROR(G12/G9,"")</f>
        <v>0.221242203327291</v>
      </c>
      <c r="H13" s="97">
        <f>IFERROR(H12/H9,"")</f>
        <v>0.222830861462085</v>
      </c>
      <c r="J13" s="98">
        <f>IFERROR(AVERAGE(Model!C188,Model!D188,Model!E188,Model!F188,Model!G188,Model!H188,Model!I188,Model!N188,Model!S188,Model!X188,Model!AC188,Model!AH188,Model!AM188,Model!AR188,Model!AW188,Model!BB188,Model!BG188,Model!BL188,Model!BQ188,Model!BV188),"")</f>
        <v>0.164605366687245</v>
      </c>
      <c r="K13" s="98">
        <f>IFERROR(MIN(Model!C188,Model!D188,Model!E188,Model!F188,Model!G188,Model!H188,Model!I188,Model!N188,Model!S188,Model!X188,Model!AC188,Model!AH188,Model!AM188,Model!AR188,Model!AW188,Model!BB188,Model!BG188,Model!BL188,Model!BQ188,Model!BV188),"")</f>
        <v>0.140769465539218</v>
      </c>
      <c r="L13" s="98">
        <f>IFERROR(MAX(Model!C188,Model!D188,Model!E188,Model!F188,Model!G188,Model!H188,Model!I188,Model!N188,Model!S188,Model!X188,Model!AC188,Model!AH188,Model!AM188,Model!AR188,Model!AW188,Model!BB188,Model!BG188,Model!BL188,Model!BQ188,Model!BV188),"")</f>
        <v>0.197833587046039</v>
      </c>
      <c r="N13" s="91" t="inlineStr">
        <is>
          <t xml:space="preserve">   Adjusted EBITDA margin %</t>
        </is>
      </c>
      <c r="O13" s="96" t="n">
        <v>0.193992807300214</v>
      </c>
      <c r="P13" s="97" t="n">
        <v>0.216056879683216</v>
      </c>
      <c r="Q13" s="97" t="n">
        <v>0.225446693655587</v>
      </c>
      <c r="R13" s="97" t="n">
        <v>0.229267649618245</v>
      </c>
      <c r="S13" s="97" t="n">
        <v>0.231132427014483</v>
      </c>
      <c r="T13" s="97" t="n">
        <v>0.231730856392141</v>
      </c>
      <c r="V13" s="98" t="n">
        <v>0.164605366687245</v>
      </c>
      <c r="W13" s="98" t="n">
        <v>0.140769465539218</v>
      </c>
      <c r="X13" s="98" t="n">
        <v>0.197833587046039</v>
      </c>
      <c r="Z13" s="91" t="inlineStr">
        <is>
          <t xml:space="preserve">   Adjusted EBITDA margin %</t>
        </is>
      </c>
      <c r="AA13" s="96" t="n">
        <v>0.193992807300214</v>
      </c>
      <c r="AB13" s="97" t="n">
        <v>0.206956808590679</v>
      </c>
      <c r="AC13" s="97" t="n">
        <v>0.200396843346301</v>
      </c>
      <c r="AD13" s="97" t="n">
        <v>0.206689624250247</v>
      </c>
      <c r="AE13" s="97" t="n">
        <v>0.210773991716518</v>
      </c>
      <c r="AF13" s="97" t="n">
        <v>0.213390659250631</v>
      </c>
      <c r="AH13" s="98" t="n">
        <v>0.164605366687245</v>
      </c>
      <c r="AI13" s="98" t="n">
        <v>0.140769465539218</v>
      </c>
      <c r="AJ13" s="98" t="n">
        <v>0.197833587046039</v>
      </c>
    </row>
    <row r="14"/>
    <row r="15" ht="15" customHeight="1">
      <c r="B15" s="87" t="inlineStr">
        <is>
          <t>Income from Operations (GAAP)</t>
        </is>
      </c>
      <c r="C15" s="88">
        <f>Model!BV147</f>
        <v>673.372</v>
      </c>
      <c r="D15" s="89">
        <f>Model!CA147</f>
        <v>830.46493150685</v>
      </c>
      <c r="E15" s="89">
        <f>Model!CB147</f>
        <v>930.595972184345</v>
      </c>
      <c r="F15" s="89">
        <f>Model!CC147</f>
        <v>1046.50478351339</v>
      </c>
      <c r="G15" s="89">
        <f>Model!CD147</f>
        <v>1151.10299592927</v>
      </c>
      <c r="H15" s="89">
        <f>Model!CE147</f>
        <v>1248.91780270856</v>
      </c>
      <c r="I15" s="90">
        <f>IFERROR((H15/C15)^(1/5)-1,"n/m")</f>
        <v>0.13150313226795</v>
      </c>
      <c r="N15" s="87" t="inlineStr">
        <is>
          <t>Income from Operations (GAAP)</t>
        </is>
      </c>
      <c r="O15" s="88" t="n">
        <v>673.372</v>
      </c>
      <c r="P15" s="89" t="n">
        <v>860.46493150685</v>
      </c>
      <c r="Q15" s="89" t="n">
        <v>1054.98185880154</v>
      </c>
      <c r="R15" s="89" t="n">
        <v>1217.12335578436</v>
      </c>
      <c r="S15" s="89" t="n">
        <v>1373.50330723899</v>
      </c>
      <c r="T15" s="89" t="n">
        <v>1527.8617302055</v>
      </c>
      <c r="U15" s="90" t="n">
        <v>0.178055631883158</v>
      </c>
      <c r="Z15" s="87" t="inlineStr">
        <is>
          <t>Income from Operations (GAAP)</t>
        </is>
      </c>
      <c r="AA15" s="88" t="n">
        <v>673.372</v>
      </c>
      <c r="AB15" s="89" t="n">
        <v>800.46493150685</v>
      </c>
      <c r="AC15" s="89" t="n">
        <v>811.025317524405</v>
      </c>
      <c r="AD15" s="89" t="n">
        <v>886.802982945437</v>
      </c>
      <c r="AE15" s="89" t="n">
        <v>947.4712188293799</v>
      </c>
      <c r="AF15" s="89" t="n">
        <v>998.523538532611</v>
      </c>
      <c r="AG15" s="90" t="n">
        <v>0.08198353176702169</v>
      </c>
    </row>
    <row r="16" ht="15" customHeight="1">
      <c r="B16" s="91" t="inlineStr">
        <is>
          <t xml:space="preserve">   Income from operations y/y %</t>
        </is>
      </c>
      <c r="C16" s="92" t="n"/>
      <c r="D16" s="93">
        <f>IFERROR(D15/C15-1,"")</f>
        <v>0.233292936900925</v>
      </c>
      <c r="E16" s="93">
        <f>IFERROR(E15/D15-1,"")</f>
        <v>0.120572268471121</v>
      </c>
      <c r="F16" s="93">
        <f>IFERROR(F15/E15-1,"")</f>
        <v>0.124553312923736</v>
      </c>
      <c r="G16" s="93">
        <f>IFERROR(G15/F15-1,"")</f>
        <v>0.0999500566683655</v>
      </c>
      <c r="H16" s="93">
        <f>IFERROR(H15/G15-1,"")</f>
        <v>0.0849748520551172</v>
      </c>
      <c r="N16" s="91" t="inlineStr">
        <is>
          <t xml:space="preserve">   Income from operations y/y %</t>
        </is>
      </c>
      <c r="O16" s="92" t="n"/>
      <c r="P16" s="93" t="n">
        <v>0.2778448339207</v>
      </c>
      <c r="Q16" s="93" t="n">
        <v>0.226060261345055</v>
      </c>
      <c r="R16" s="93" t="n">
        <v>0.153691265522808</v>
      </c>
      <c r="S16" s="93" t="n">
        <v>0.128483239362257</v>
      </c>
      <c r="T16" s="93" t="n">
        <v>0.112383000574492</v>
      </c>
      <c r="Z16" s="91" t="inlineStr">
        <is>
          <t xml:space="preserve">   Income from operations y/y %</t>
        </is>
      </c>
      <c r="AA16" s="92" t="n"/>
      <c r="AB16" s="93" t="n">
        <v>0.18874103988115</v>
      </c>
      <c r="AC16" s="93" t="n">
        <v>0.0131928153275562</v>
      </c>
      <c r="AD16" s="93" t="n">
        <v>0.0934344018412869</v>
      </c>
      <c r="AE16" s="93" t="n">
        <v>0.068412304706553</v>
      </c>
      <c r="AF16" s="93" t="n">
        <v>0.0538827129401431</v>
      </c>
    </row>
    <row r="17" ht="15" customHeight="1">
      <c r="B17" s="91" t="inlineStr">
        <is>
          <t xml:space="preserve">   Operating margin (GAAP) %</t>
        </is>
      </c>
      <c r="C17" s="96">
        <f>IFERROR(C15/C9,"")</f>
        <v>0.111654816736052</v>
      </c>
      <c r="D17" s="97">
        <f>IFERROR(D15/D9,"")</f>
        <v>0.125954831942858</v>
      </c>
      <c r="E17" s="97">
        <f>IFERROR(E15/E9,"")</f>
        <v>0.127874702077911</v>
      </c>
      <c r="F17" s="97">
        <f>IFERROR(F15/F9,"")</f>
        <v>0.132863992634751</v>
      </c>
      <c r="G17" s="97">
        <f>IFERROR(G15/G9,"")</f>
        <v>0.135690963109754</v>
      </c>
      <c r="H17" s="97">
        <f>IFERROR(H15/H9,"")</f>
        <v>0.137094730872657</v>
      </c>
      <c r="J17" s="98">
        <f>IFERROR(AVERAGE(Model!C235,Model!D235,Model!E235,Model!F235,Model!G235,Model!H235,Model!I235,Model!N235,Model!S235,Model!X235,Model!AC235,Model!AH235,Model!AM235,Model!AR235,Model!AW235,Model!BB235,Model!BG235,Model!BL235,Model!BQ235,Model!BV235),"")</f>
        <v>0.0831133563352334</v>
      </c>
      <c r="K17" s="98">
        <f>IFERROR(MIN(Model!C235,Model!D235,Model!E235,Model!F235,Model!G235,Model!H235,Model!I235,Model!N235,Model!S235,Model!X235,Model!AC235,Model!AH235,Model!AM235,Model!AR235,Model!AW235,Model!BB235,Model!BG235,Model!BL235,Model!BQ235,Model!BV235),"")</f>
        <v>0.0251021150352095</v>
      </c>
      <c r="L17" s="98">
        <f>IFERROR(MAX(Model!C235,Model!D235,Model!E235,Model!F235,Model!G235,Model!H235,Model!I235,Model!N235,Model!S235,Model!X235,Model!AC235,Model!AH235,Model!AM235,Model!AR235,Model!AW235,Model!BB235,Model!BG235,Model!BL235,Model!BQ235,Model!BV235),"")</f>
        <v>0.122855724407033</v>
      </c>
      <c r="N17" s="91" t="inlineStr">
        <is>
          <t xml:space="preserve">   Operating margin (GAAP) %</t>
        </is>
      </c>
      <c r="O17" s="96" t="n">
        <v>0.111654816736052</v>
      </c>
      <c r="P17" s="97" t="n">
        <v>0.130504867489127</v>
      </c>
      <c r="Q17" s="97" t="n">
        <v>0.140219323493786</v>
      </c>
      <c r="R17" s="97" t="n">
        <v>0.143633975429789</v>
      </c>
      <c r="S17" s="97" t="n">
        <v>0.145156105689377</v>
      </c>
      <c r="T17" s="97" t="n">
        <v>0.145465307475928</v>
      </c>
      <c r="V17" s="98" t="n">
        <v>0.0831133563352334</v>
      </c>
      <c r="W17" s="98" t="n">
        <v>0.0251021150352095</v>
      </c>
      <c r="X17" s="98" t="n">
        <v>0.122855724407033</v>
      </c>
      <c r="Z17" s="91" t="inlineStr">
        <is>
          <t xml:space="preserve">   Operating margin (GAAP) %</t>
        </is>
      </c>
      <c r="AA17" s="96" t="n">
        <v>0.111654816736052</v>
      </c>
      <c r="AB17" s="97" t="n">
        <v>0.121404796396589</v>
      </c>
      <c r="AC17" s="97" t="n">
        <v>0.115349732775566</v>
      </c>
      <c r="AD17" s="97" t="n">
        <v>0.121668968157593</v>
      </c>
      <c r="AE17" s="97" t="n">
        <v>0.125769127718162</v>
      </c>
      <c r="AF17" s="97" t="n">
        <v>0.12839606851919</v>
      </c>
      <c r="AH17" s="98" t="n">
        <v>0.0831133563352334</v>
      </c>
      <c r="AI17" s="98" t="n">
        <v>0.0251021150352095</v>
      </c>
      <c r="AJ17" s="98" t="n">
        <v>0.122855724407033</v>
      </c>
    </row>
    <row r="18"/>
    <row r="19" ht="15" customHeight="1">
      <c r="B19" s="87" t="inlineStr">
        <is>
          <t>Adjusted Net Income</t>
        </is>
      </c>
      <c r="C19" s="88">
        <f>Model!BV204</f>
        <v>396.528695604081</v>
      </c>
      <c r="D19" s="89">
        <f>Model!CA204</f>
        <v>495.873150934361</v>
      </c>
      <c r="E19" s="89">
        <f>Model!CB204</f>
        <v>560.429766515353</v>
      </c>
      <c r="F19" s="89">
        <f>Model!CC204</f>
        <v>643.581923888068</v>
      </c>
      <c r="G19" s="89">
        <f>Model!CD204</f>
        <v>713.118833689035</v>
      </c>
      <c r="H19" s="89">
        <f>Model!CE204</f>
        <v>773.628677231593</v>
      </c>
      <c r="I19" s="90">
        <f>IFERROR((H19/C19)^(1/5)-1,"n/m")</f>
        <v>0.143014099794192</v>
      </c>
      <c r="N19" s="87" t="inlineStr">
        <is>
          <t>Adjusted Net Income</t>
        </is>
      </c>
      <c r="O19" s="88" t="n">
        <v>396.528695604081</v>
      </c>
      <c r="P19" s="89" t="n">
        <v>517.985314080755</v>
      </c>
      <c r="Q19" s="89" t="n">
        <v>650.951658905105</v>
      </c>
      <c r="R19" s="89" t="n">
        <v>745.468404385187</v>
      </c>
      <c r="S19" s="89" t="n">
        <v>840.0257777800809</v>
      </c>
      <c r="T19" s="89" t="n">
        <v>933.283040131077</v>
      </c>
      <c r="U19" s="90" t="n">
        <v>0.186718603163788</v>
      </c>
      <c r="Z19" s="87" t="inlineStr">
        <is>
          <t>Adjusted Net Income</t>
        </is>
      </c>
      <c r="AA19" s="88" t="n">
        <v>396.528695604081</v>
      </c>
      <c r="AB19" s="89" t="n">
        <v>473.760987787966</v>
      </c>
      <c r="AC19" s="89" t="n">
        <v>473.471145773972</v>
      </c>
      <c r="AD19" s="89" t="n">
        <v>535.439053697457</v>
      </c>
      <c r="AE19" s="89" t="n">
        <v>582.247085382201</v>
      </c>
      <c r="AF19" s="89" t="n">
        <v>617.079450845118</v>
      </c>
      <c r="AG19" s="90" t="n">
        <v>0.0924794905931436</v>
      </c>
    </row>
    <row r="20"/>
    <row r="21" ht="15" customHeight="1">
      <c r="B21" s="87" t="inlineStr">
        <is>
          <t>FDSO (m)</t>
        </is>
      </c>
      <c r="C21" s="99">
        <f>Model!BV165</f>
        <v>53.716</v>
      </c>
      <c r="D21" s="100">
        <f>Model!CA165</f>
        <v>52.9298503921081</v>
      </c>
      <c r="E21" s="100">
        <f>Model!CB165</f>
        <v>52.5079830669541</v>
      </c>
      <c r="F21" s="100">
        <f>Model!CC165</f>
        <v>51.3994852730893</v>
      </c>
      <c r="G21" s="100">
        <f>Model!CD165</f>
        <v>49.8172646725587</v>
      </c>
      <c r="H21" s="100">
        <f>Model!CE165</f>
        <v>48.202127234846</v>
      </c>
      <c r="I21" s="90">
        <f>IFERROR((H21/C21)^(1/5)-1,"n/m")</f>
        <v>-0.0214286245116277</v>
      </c>
      <c r="N21" s="87" t="inlineStr">
        <is>
          <t>FDSO (m)</t>
        </is>
      </c>
      <c r="O21" s="99" t="n">
        <v>53.716</v>
      </c>
      <c r="P21" s="100" t="n">
        <v>52.8909507842161</v>
      </c>
      <c r="Q21" s="100" t="n">
        <v>51.7382915598657</v>
      </c>
      <c r="R21" s="100" t="n">
        <v>50.0132065349259</v>
      </c>
      <c r="S21" s="100" t="n">
        <v>48.3746001351929</v>
      </c>
      <c r="T21" s="100" t="n">
        <v>46.597445575614</v>
      </c>
      <c r="U21" s="90" t="n">
        <v>-0.0280326221938542</v>
      </c>
      <c r="Z21" s="87" t="inlineStr">
        <is>
          <t>FDSO (m)</t>
        </is>
      </c>
      <c r="AA21" s="99" t="n">
        <v>53.716</v>
      </c>
      <c r="AB21" s="100" t="n">
        <v>52.96875</v>
      </c>
      <c r="AC21" s="100" t="n">
        <v>52.8479653576152</v>
      </c>
      <c r="AD21" s="100" t="n">
        <v>52.1579583577429</v>
      </c>
      <c r="AE21" s="100" t="n">
        <v>50.7999694497008</v>
      </c>
      <c r="AF21" s="100" t="n">
        <v>49.207369684416</v>
      </c>
      <c r="AG21" s="90" t="n">
        <v>-0.0173806838331091</v>
      </c>
    </row>
    <row r="22"/>
    <row r="23" ht="15" customHeight="1">
      <c r="B23" s="87" t="inlineStr">
        <is>
          <t>Adjusted EPS — Diluted ($)</t>
        </is>
      </c>
      <c r="C23" s="101">
        <f>Model!BV207</f>
        <v>7.3819475687706</v>
      </c>
      <c r="D23" s="102">
        <f>Model!CA207</f>
        <v>9.36849711950624</v>
      </c>
      <c r="E23" s="102">
        <f>Model!CB207</f>
        <v>10.6732297410993</v>
      </c>
      <c r="F23" s="102">
        <f>Model!CC207</f>
        <v>12.521174491703</v>
      </c>
      <c r="G23" s="102">
        <f>Model!CD207</f>
        <v>14.3146926748439</v>
      </c>
      <c r="H23" s="102">
        <f>Model!CE207</f>
        <v>16.0496791658673</v>
      </c>
      <c r="I23" s="90">
        <f>IFERROR((H23/C23)^(1/5)-1,"n/m")</f>
        <v>0.168043668990166</v>
      </c>
      <c r="N23" s="87" t="inlineStr">
        <is>
          <t>Adjusted EPS — Diluted ($)</t>
        </is>
      </c>
      <c r="O23" s="101" t="n">
        <v>7.3819475687706</v>
      </c>
      <c r="P23" s="102" t="n">
        <v>9.79345817007575</v>
      </c>
      <c r="Q23" s="102" t="n">
        <v>12.581622610246</v>
      </c>
      <c r="R23" s="102" t="n">
        <v>14.9054311057741</v>
      </c>
      <c r="S23" s="102" t="n">
        <v>17.3650174974564</v>
      </c>
      <c r="T23" s="102" t="n">
        <v>20.0286309389349</v>
      </c>
      <c r="U23" s="90" t="n">
        <v>0.220944889984232</v>
      </c>
      <c r="Z23" s="87" t="inlineStr">
        <is>
          <t>Adjusted EPS — Diluted ($)</t>
        </is>
      </c>
      <c r="AA23" s="101" t="n">
        <v>7.3819475687706</v>
      </c>
      <c r="AB23" s="102" t="n">
        <v>8.94416024142472</v>
      </c>
      <c r="AC23" s="102" t="n">
        <v>8.95911777435621</v>
      </c>
      <c r="AD23" s="102" t="n">
        <v>10.2657211009865</v>
      </c>
      <c r="AE23" s="102" t="n">
        <v>11.4615636916615</v>
      </c>
      <c r="AF23" s="102" t="n">
        <v>12.5403868323518</v>
      </c>
      <c r="AG23" s="90" t="n">
        <v>0.111803393866515</v>
      </c>
    </row>
    <row r="24" ht="15" customHeight="1">
      <c r="B24" s="91" t="inlineStr">
        <is>
          <t xml:space="preserve">   EPS y/y %</t>
        </is>
      </c>
      <c r="C24" s="92" t="n"/>
      <c r="D24" s="93">
        <f>IFERROR(D23/C23-1,"")</f>
        <v>0.269109138506993</v>
      </c>
      <c r="E24" s="93">
        <f>IFERROR(E23/D23-1,"")</f>
        <v>0.139268081630347</v>
      </c>
      <c r="F24" s="93">
        <f>IFERROR(F23/E23-1,"")</f>
        <v>0.173138290417173</v>
      </c>
      <c r="G24" s="93">
        <f>IFERROR(G23/F23-1,"")</f>
        <v>0.143238813925112</v>
      </c>
      <c r="H24" s="93">
        <f>IFERROR(H23/G23-1,"")</f>
        <v>0.121203195236767</v>
      </c>
      <c r="N24" s="91" t="inlineStr">
        <is>
          <t xml:space="preserve">   EPS y/y %</t>
        </is>
      </c>
      <c r="O24" s="92" t="n"/>
      <c r="P24" s="93" t="n">
        <v>0.326676744699064</v>
      </c>
      <c r="Q24" s="93" t="n">
        <v>0.284696620106018</v>
      </c>
      <c r="R24" s="93" t="n">
        <v>0.184698632880282</v>
      </c>
      <c r="S24" s="93" t="n">
        <v>0.165012764423132</v>
      </c>
      <c r="T24" s="93" t="n">
        <v>0.153389620359937</v>
      </c>
      <c r="Z24" s="91" t="inlineStr">
        <is>
          <t xml:space="preserve">   EPS y/y %</t>
        </is>
      </c>
      <c r="AA24" s="92" t="n"/>
      <c r="AB24" s="93" t="n">
        <v>0.211626086219182</v>
      </c>
      <c r="AC24" s="93" t="n">
        <v>0.001672323899365</v>
      </c>
      <c r="AD24" s="93" t="n">
        <v>0.145840623992041</v>
      </c>
      <c r="AE24" s="93" t="n">
        <v>0.116488903108816</v>
      </c>
      <c r="AF24" s="93" t="n">
        <v>0.0941253017225947</v>
      </c>
    </row>
    <row r="25"/>
    <row r="26" ht="15" customHeight="1">
      <c r="B26" s="91" t="inlineStr">
        <is>
          <t>P / E (x) — assumed (adjusted EPS)</t>
        </is>
      </c>
      <c r="C26" s="103" t="n"/>
      <c r="D26" s="103" t="n"/>
      <c r="E26" s="103" t="n"/>
      <c r="F26" s="103" t="n"/>
      <c r="G26" s="103" t="n">
        <v>28</v>
      </c>
      <c r="H26" s="103" t="n">
        <v>28</v>
      </c>
      <c r="N26" s="91" t="inlineStr">
        <is>
          <t>P / E (x) — assumed (adjusted EPS)</t>
        </is>
      </c>
      <c r="O26" s="103" t="n"/>
      <c r="P26" s="103" t="n"/>
      <c r="Q26" s="103" t="n"/>
      <c r="R26" s="103" t="n"/>
      <c r="S26" s="103" t="n">
        <v>32</v>
      </c>
      <c r="T26" s="103" t="n">
        <v>32</v>
      </c>
      <c r="Z26" s="91" t="inlineStr">
        <is>
          <t>P / E (x) — assumed (adjusted EPS)</t>
        </is>
      </c>
      <c r="AA26" s="103" t="n"/>
      <c r="AB26" s="103" t="n"/>
      <c r="AC26" s="103" t="n"/>
      <c r="AD26" s="103" t="n">
        <v>22</v>
      </c>
      <c r="AE26" s="103" t="n">
        <v>22</v>
      </c>
      <c r="AF26" s="103" t="n">
        <v>22</v>
      </c>
    </row>
    <row r="27" ht="15" customHeight="1">
      <c r="B27" s="11" t="inlineStr">
        <is>
          <t>Price Target ($)</t>
        </is>
      </c>
      <c r="C27" s="104" t="n"/>
      <c r="D27" s="104" t="n"/>
      <c r="E27" s="104" t="n"/>
      <c r="F27" s="104" t="n"/>
      <c r="G27" s="104">
        <f>G26*G23</f>
        <v>400.811394895629</v>
      </c>
      <c r="H27" s="104">
        <f>H26*H23</f>
        <v>449.391016644285</v>
      </c>
      <c r="N27" s="11" t="inlineStr">
        <is>
          <t>Price Target ($)</t>
        </is>
      </c>
      <c r="O27" s="104" t="n"/>
      <c r="P27" s="104" t="n"/>
      <c r="Q27" s="104" t="n"/>
      <c r="R27" s="104" t="n"/>
      <c r="S27" s="104">
        <f>S26*S23</f>
        <v>555.680559918605</v>
      </c>
      <c r="T27" s="104">
        <f>T26*T23</f>
        <v>640.916190045917</v>
      </c>
      <c r="Z27" s="11" t="inlineStr">
        <is>
          <t>Price Target ($)</t>
        </is>
      </c>
      <c r="AA27" s="104" t="n"/>
      <c r="AB27" s="104" t="n"/>
      <c r="AC27" s="104" t="n"/>
      <c r="AD27" s="104">
        <f>AD26*AD23</f>
        <v>225.845864221703</v>
      </c>
      <c r="AE27" s="104">
        <f>AE26*AE23</f>
        <v>252.154401216553</v>
      </c>
      <c r="AF27" s="104">
        <f>AF26*AF23</f>
        <v>275.88851031174</v>
      </c>
    </row>
    <row r="28" ht="15" customHeight="1">
      <c r="B28" t="inlineStr">
        <is>
          <t xml:space="preserve">   Upside / (Downside) vs current</t>
        </is>
      </c>
      <c r="E28" s="105" t="n"/>
      <c r="F28" s="105" t="n"/>
      <c r="G28" s="105">
        <f>IFERROR(G27/$K$2-1,"")</f>
        <v>0.247312488005317</v>
      </c>
      <c r="H28" s="105">
        <f>IFERROR(H27/$K$2-1,"")</f>
        <v>0.398490747010284</v>
      </c>
      <c r="N28" t="inlineStr">
        <is>
          <t xml:space="preserve">   Upside / (Downside) vs current</t>
        </is>
      </c>
      <c r="O28" s="105" t="n"/>
      <c r="P28" s="105" t="n"/>
      <c r="Q28" s="105" t="n"/>
      <c r="R28" s="105" t="n"/>
      <c r="S28" s="105">
        <f>IFERROR(S27/$K$2-1,"")</f>
        <v>0.729260471521145</v>
      </c>
      <c r="T28" s="105">
        <f>IFERROR(T27/$K$2-1,"")</f>
        <v>0.994511078751219</v>
      </c>
      <c r="Z28" t="inlineStr">
        <is>
          <t xml:space="preserve">   Upside / (Downside) vs current</t>
        </is>
      </c>
      <c r="AA28" s="105" t="n"/>
      <c r="AB28" s="105" t="n"/>
      <c r="AC28" s="105" t="n"/>
      <c r="AD28" s="105">
        <f>IFERROR(AD27/$K$2-1,"")</f>
        <v>-0.29717475502053</v>
      </c>
      <c r="AE28" s="105">
        <f>IFERROR(AE27/$K$2-1,"")</f>
        <v>-0.215303413155682</v>
      </c>
      <c r="AF28" s="105">
        <f>IFERROR(AF27/$K$2-1,"")</f>
        <v>-0.141443610158276</v>
      </c>
    </row>
    <row r="29" ht="15" customHeight="1">
      <c r="B29" s="83" t="inlineStr">
        <is>
          <t>IRR (to Dec-Y-1)</t>
        </is>
      </c>
      <c r="C29" s="106" t="n"/>
      <c r="D29" s="106" t="n"/>
      <c r="E29" s="106" t="n"/>
      <c r="F29" s="106" t="n"/>
      <c r="G29" s="106">
        <f>IFERROR((G27/$K$2)^(1/((DATE(2029-1,12,31)-$K$3)/365.25))-1,"")</f>
        <v>0.1035757740447</v>
      </c>
      <c r="H29" s="106">
        <f>IFERROR((H27/$K$2)^(1/((DATE(2030-1,12,31)-$K$3)/365.25))-1,"")</f>
        <v>0.109006938765065</v>
      </c>
      <c r="N29" s="83" t="inlineStr">
        <is>
          <t>IRR (to Dec-Y-1)</t>
        </is>
      </c>
      <c r="O29" s="106" t="n"/>
      <c r="P29" s="106" t="n"/>
      <c r="Q29" s="106" t="n"/>
      <c r="R29" s="106" t="n"/>
      <c r="S29" s="106">
        <f>IFERROR((S27/$K$2)^(1/((DATE(2029-1,12,31)-$K$3)/365.25))-1,"")</f>
        <v>0.276670356579026</v>
      </c>
      <c r="T29" s="106">
        <f>IFERROR((T27/$K$2)^(1/((DATE(2030-1,12,31)-$K$3)/365.25))-1,"")</f>
        <v>0.237359794474916</v>
      </c>
      <c r="Z29" s="83" t="inlineStr">
        <is>
          <t>IRR (to Dec-Y-1)</t>
        </is>
      </c>
      <c r="AA29" s="106" t="n"/>
      <c r="AB29" s="106" t="n"/>
      <c r="AC29" s="106" t="n"/>
      <c r="AD29" s="106">
        <f>IFERROR((AD27/$K$2)^(1/((DATE(2028-1,12,31)-$K$3)/365.25))-1,"")</f>
        <v>-0.247486424714751</v>
      </c>
      <c r="AE29" s="106">
        <f>IFERROR((AE27/$K$2)^(1/((DATE(2029-1,12,31)-$K$3)/365.25))-1,"")</f>
        <v>-0.102488396194053</v>
      </c>
      <c r="AF29" s="106">
        <f>IFERROR((AF27/$K$2)^(1/((DATE(2030-1,12,31)-$K$3)/365.25))-1,"")</f>
        <v>-0.0459558659943579</v>
      </c>
    </row>
    <row r="30"/>
    <row r="31" ht="15" customHeight="1">
      <c r="B31" s="87" t="inlineStr">
        <is>
          <t>Free Cash Flow</t>
        </is>
      </c>
      <c r="C31" s="88">
        <f>Model!BV271</f>
        <v>441.807</v>
      </c>
      <c r="D31" s="89">
        <f>Model!CA271</f>
        <v>406.423718105709</v>
      </c>
      <c r="E31" s="89">
        <f>Model!CB271</f>
        <v>569.262488842983</v>
      </c>
      <c r="F31" s="89">
        <f>Model!CC271</f>
        <v>629.81474467069</v>
      </c>
      <c r="G31" s="89">
        <f>Model!CD271</f>
        <v>708.235791936569</v>
      </c>
      <c r="H31" s="89">
        <f>Model!CE271</f>
        <v>775.893386497248</v>
      </c>
      <c r="I31" s="90">
        <f>IFERROR((H31/C31)^(1/5)-1,"n/m")</f>
        <v>0.119215952122873</v>
      </c>
      <c r="N31" s="87" t="inlineStr">
        <is>
          <t>Free Cash Flow</t>
        </is>
      </c>
      <c r="O31" s="88" t="n">
        <v>441.807</v>
      </c>
      <c r="P31" s="89" t="n">
        <v>397.595003550711</v>
      </c>
      <c r="Q31" s="89" t="n">
        <v>620.795970132359</v>
      </c>
      <c r="R31" s="89" t="n">
        <v>683.574325396801</v>
      </c>
      <c r="S31" s="89" t="n">
        <v>788.762712559438</v>
      </c>
      <c r="T31" s="89" t="n">
        <v>891.119257700911</v>
      </c>
      <c r="U31" s="90" t="n">
        <v>0.150643126026068</v>
      </c>
      <c r="Z31" s="87" t="inlineStr">
        <is>
          <t>Free Cash Flow</t>
        </is>
      </c>
      <c r="AA31" s="88" t="n">
        <v>441.807</v>
      </c>
      <c r="AB31" s="89" t="n">
        <v>415.252432660707</v>
      </c>
      <c r="AC31" s="89" t="n">
        <v>521.147162622443</v>
      </c>
      <c r="AD31" s="89" t="n">
        <v>568.18253191158</v>
      </c>
      <c r="AE31" s="89" t="n">
        <v>620.6055300456341</v>
      </c>
      <c r="AF31" s="89" t="n">
        <v>659.0209661178681</v>
      </c>
      <c r="AG31" s="90" t="n">
        <v>0.083261548746441</v>
      </c>
    </row>
    <row r="32" ht="15" customHeight="1">
      <c r="B32" s="91" t="inlineStr">
        <is>
          <t xml:space="preserve">   FCF %</t>
        </is>
      </c>
      <c r="C32" s="96">
        <f>IFERROR(C31/C9,"")</f>
        <v>0.0732579905575296</v>
      </c>
      <c r="D32" s="97">
        <f>IFERROR(D31/D9,"")</f>
        <v>0.0616414121409217</v>
      </c>
      <c r="E32" s="97">
        <f>IFERROR(E31/E9,"")</f>
        <v>0.0782232820050361</v>
      </c>
      <c r="F32" s="97">
        <f>IFERROR(F31/F9,"")</f>
        <v>0.0799611267100469</v>
      </c>
      <c r="G32" s="97">
        <f>IFERROR(G31/G9,"")</f>
        <v>0.0834861841698982</v>
      </c>
      <c r="H32" s="97">
        <f>IFERROR(H31/H9,"")</f>
        <v>0.0851704529930037</v>
      </c>
      <c r="J32" s="98">
        <f>IFERROR(AVERAGE(Model!C273,Model!D273,Model!E273,Model!F273,Model!G273,Model!H273,Model!I273,Model!N273,Model!S273,Model!X273,Model!AC273,Model!AH273,Model!AM273,Model!AR273,Model!AW273,Model!BB273,Model!BG273,Model!BL273,Model!BQ273,Model!BV273),"")</f>
        <v>0.0472313569304864</v>
      </c>
      <c r="K32" s="98">
        <f>IFERROR(MIN(Model!C273,Model!D273,Model!E273,Model!F273,Model!G273,Model!H273,Model!I273,Model!N273,Model!S273,Model!X273,Model!AC273,Model!AH273,Model!AM273,Model!AR273,Model!AW273,Model!BB273,Model!BG273,Model!BL273,Model!BQ273,Model!BV273),"")</f>
        <v>0.0116864355857005</v>
      </c>
      <c r="L32" s="98">
        <f>IFERROR(MAX(Model!C273,Model!D273,Model!E273,Model!F273,Model!G273,Model!H273,Model!I273,Model!N273,Model!S273,Model!X273,Model!AC273,Model!AH273,Model!AM273,Model!AR273,Model!AW273,Model!BB273,Model!BG273,Model!BL273,Model!BQ273,Model!BV273),"")</f>
        <v>0.0799200434311217</v>
      </c>
      <c r="N32" s="91" t="inlineStr">
        <is>
          <t xml:space="preserve">   FCF %</t>
        </is>
      </c>
      <c r="O32" s="96" t="n">
        <v>0.0732579905575296</v>
      </c>
      <c r="P32" s="97" t="n">
        <v>0.0603023799724851</v>
      </c>
      <c r="Q32" s="97" t="n">
        <v>0.08251098370403651</v>
      </c>
      <c r="R32" s="97" t="n">
        <v>0.080669307175693</v>
      </c>
      <c r="S32" s="97" t="n">
        <v>0.0833588991483918</v>
      </c>
      <c r="T32" s="97" t="n">
        <v>0.084842060152753</v>
      </c>
      <c r="V32" s="98" t="n">
        <v>0.0472313569304864</v>
      </c>
      <c r="W32" s="98" t="n">
        <v>0.0116864355857005</v>
      </c>
      <c r="X32" s="98" t="n">
        <v>0.0799200434311217</v>
      </c>
      <c r="Z32" s="91" t="inlineStr">
        <is>
          <t xml:space="preserve">   FCF %</t>
        </is>
      </c>
      <c r="AA32" s="96" t="n">
        <v>0.0732579905575296</v>
      </c>
      <c r="AB32" s="97" t="n">
        <v>0.0629804443093584</v>
      </c>
      <c r="AC32" s="97" t="n">
        <v>0.0741212199499981</v>
      </c>
      <c r="AD32" s="97" t="n">
        <v>0.0779543863883283</v>
      </c>
      <c r="AE32" s="97" t="n">
        <v>0.0823803558564478</v>
      </c>
      <c r="AF32" s="97" t="n">
        <v>0.084740817673262</v>
      </c>
      <c r="AH32" s="98" t="n">
        <v>0.0472313569304864</v>
      </c>
      <c r="AI32" s="98" t="n">
        <v>0.0116864355857005</v>
      </c>
      <c r="AJ32" s="98" t="n">
        <v>0.0799200434311217</v>
      </c>
    </row>
    <row r="33" ht="15" customHeight="1">
      <c r="B33" s="91" t="inlineStr">
        <is>
          <t xml:space="preserve">   FCF / share ($)</t>
        </is>
      </c>
      <c r="C33" s="107">
        <f>IFERROR(C31/C21,"")</f>
        <v>8.22486782336734</v>
      </c>
      <c r="D33" s="108">
        <f>IFERROR(D31/D21,"")</f>
        <v>7.67853517617929</v>
      </c>
      <c r="E33" s="108">
        <f>IFERROR(E31/E21,"")</f>
        <v>10.8414464923763</v>
      </c>
      <c r="F33" s="108">
        <f>IFERROR(F31/F21,"")</f>
        <v>12.2533278558032</v>
      </c>
      <c r="G33" s="108">
        <f>IFERROR(G31/G21,"")</f>
        <v>14.2166736088722</v>
      </c>
      <c r="H33" s="108">
        <f>IFERROR(H31/H21,"")</f>
        <v>16.0966627617286</v>
      </c>
      <c r="N33" s="91" t="inlineStr">
        <is>
          <t xml:space="preserve">   FCF / share ($)</t>
        </is>
      </c>
      <c r="O33" s="107" t="n">
        <v>8.22486782336734</v>
      </c>
      <c r="P33" s="108" t="n">
        <v>7.51725952465507</v>
      </c>
      <c r="Q33" s="108" t="n">
        <v>11.9987721166642</v>
      </c>
      <c r="R33" s="108" t="n">
        <v>13.6678764021946</v>
      </c>
      <c r="S33" s="108" t="n">
        <v>16.3053071313267</v>
      </c>
      <c r="T33" s="108" t="n">
        <v>19.12377914053</v>
      </c>
      <c r="Z33" s="91" t="inlineStr">
        <is>
          <t xml:space="preserve">   FCF / share ($)</t>
        </is>
      </c>
      <c r="AA33" s="107" t="n">
        <v>8.22486782336734</v>
      </c>
      <c r="AB33" s="108" t="n">
        <v>7.83957394993665</v>
      </c>
      <c r="AC33" s="108" t="n">
        <v>9.86125310777642</v>
      </c>
      <c r="AD33" s="108" t="n">
        <v>10.8934964059465</v>
      </c>
      <c r="AE33" s="108" t="n">
        <v>12.2166516391338</v>
      </c>
      <c r="AF33" s="108" t="n">
        <v>13.3927289823536</v>
      </c>
    </row>
    <row r="34" ht="15" customHeight="1">
      <c r="B34" s="91" t="inlineStr">
        <is>
          <t xml:space="preserve">   FCF Yield (on PT)</t>
        </is>
      </c>
      <c r="E34" s="109" t="n"/>
      <c r="F34" s="109">
        <f>IFERROR(F33/F$27,"")</f>
      </c>
      <c r="G34" s="109">
        <f>IFERROR(G33/G$27,"")</f>
        <v>0.0354697341191467</v>
      </c>
      <c r="H34" s="109">
        <f>IFERROR(H33/H$27,"")</f>
        <v>0.035818835191514</v>
      </c>
      <c r="N34" s="91" t="inlineStr">
        <is>
          <t xml:space="preserve">   FCF Yield (on PT)</t>
        </is>
      </c>
      <c r="Q34" s="109" t="n"/>
      <c r="R34" s="109">
        <f>IFERROR(R33/R$27,"")</f>
      </c>
      <c r="S34" s="109">
        <f>IFERROR(S33/S$27,"")</f>
        <v>0.0293429504420941</v>
      </c>
      <c r="T34" s="109">
        <f>IFERROR(T33/T$27,"")</f>
        <v>0.029838190137091</v>
      </c>
      <c r="Z34" s="91" t="inlineStr">
        <is>
          <t xml:space="preserve">   FCF Yield (on PT)</t>
        </is>
      </c>
      <c r="AC34" s="109" t="n"/>
      <c r="AD34" s="109">
        <f>IFERROR(AD33/AD$27,"")</f>
        <v>0.0482342080670241</v>
      </c>
      <c r="AE34" s="109">
        <f>IFERROR(AE33/AE$27,"")</f>
        <v>0.0484490914304605</v>
      </c>
      <c r="AF34" s="109">
        <f>IFERROR(AF33/AF$27,"")</f>
        <v>0.0485439896254488</v>
      </c>
    </row>
    <row r="35" ht="15" customHeight="1">
      <c r="B35" s="87" t="inlineStr">
        <is>
          <t>Adjusted EBITDA — pro forma (2026E incl. ES&amp;H / EnviroServe full year)</t>
        </is>
      </c>
      <c r="C35" s="88">
        <f>Model!BV196</f>
        <v>1169.939</v>
      </c>
      <c r="D35" s="89">
        <f>Model!CA196</f>
        <v>1437</v>
      </c>
      <c r="E35" s="89">
        <f>Model!CB196</f>
        <v>1550.19634223587</v>
      </c>
      <c r="F35" s="89">
        <f>Model!CC196</f>
        <v>1718.78088029056</v>
      </c>
      <c r="G35" s="89">
        <f>Model!CD196</f>
        <v>1876.85721465507</v>
      </c>
      <c r="H35" s="89">
        <f>Model!CE196</f>
        <v>2029.96444940969</v>
      </c>
      <c r="I35" s="90">
        <f>IFERROR((H35/C35)^(1/5)-1,"n/m")</f>
        <v>0.116516235838015</v>
      </c>
      <c r="N35" s="87" t="inlineStr">
        <is>
          <t>Adjusted EBITDA — pro forma (2026E incl. ES&amp;H / EnviroServe full year)</t>
        </is>
      </c>
      <c r="O35" s="88" t="n">
        <v>1169.939</v>
      </c>
      <c r="P35" s="89" t="n">
        <v>1467</v>
      </c>
      <c r="Q35" s="89" t="n">
        <v>1696.21537179912</v>
      </c>
      <c r="R35" s="89" t="n">
        <v>1942.76465746473</v>
      </c>
      <c r="S35" s="89" t="n">
        <v>2187.03272181956</v>
      </c>
      <c r="T35" s="89" t="n">
        <v>2433.93227796179</v>
      </c>
      <c r="U35" s="90" t="n">
        <v>0.157788027672218</v>
      </c>
      <c r="Z35" s="87" t="inlineStr">
        <is>
          <t>Adjusted EBITDA — pro forma (2026E incl. ES&amp;H / EnviroServe full year)</t>
        </is>
      </c>
      <c r="AA35" s="88" t="n">
        <v>1169.939</v>
      </c>
      <c r="AB35" s="89" t="n">
        <v>1407</v>
      </c>
      <c r="AC35" s="89" t="n">
        <v>1408.99254462988</v>
      </c>
      <c r="AD35" s="89" t="n">
        <v>1506.48910814775</v>
      </c>
      <c r="AE35" s="89" t="n">
        <v>1587.84826175068</v>
      </c>
      <c r="AF35" s="89" t="n">
        <v>1659.51807264956</v>
      </c>
      <c r="AG35" s="90" t="n">
        <v>0.0724171574520749</v>
      </c>
    </row>
    <row r="36" ht="15" customHeight="1">
      <c r="B36" s="91" t="inlineStr">
        <is>
          <t xml:space="preserve">   Adjusted EBITDA (pro forma) % of revenues</t>
        </is>
      </c>
      <c r="C36" s="96">
        <f>IFERROR(C35/C9,"")</f>
        <v>0.193992807300214</v>
      </c>
      <c r="D36" s="97">
        <f>IFERROR(D35/D9,"")</f>
        <v>0.217946702666269</v>
      </c>
      <c r="E36" s="97">
        <f>IFERROR(E35/E9,"")</f>
        <v>0.213014993993991</v>
      </c>
      <c r="F36" s="97">
        <f>IFERROR(F35/F9,"")</f>
        <v>0.218216002274732</v>
      </c>
      <c r="G36" s="97">
        <f>IFERROR(G35/G9,"")</f>
        <v>0.221242203327291</v>
      </c>
      <c r="H36" s="97">
        <f>IFERROR(H35/H9,"")</f>
        <v>0.222830861462085</v>
      </c>
      <c r="J36" s="98">
        <f>IFERROR(AVERAGE(Model!C233,Model!D233,Model!E233,Model!F233,Model!G233,Model!H233,Model!I233,Model!N233,Model!S233,Model!X233,Model!AC233,Model!AH233,Model!AM233,Model!AR233,Model!AW233,Model!BB233,Model!BG233,Model!BL233,Model!BQ233,Model!BV233),"")</f>
        <v>0.164605366687245</v>
      </c>
      <c r="K36" s="98">
        <f>IFERROR(MIN(Model!C233,Model!D233,Model!E233,Model!F233,Model!G233,Model!H233,Model!I233,Model!N233,Model!S233,Model!X233,Model!AC233,Model!AH233,Model!AM233,Model!AR233,Model!AW233,Model!BB233,Model!BG233,Model!BL233,Model!BQ233,Model!BV233),"")</f>
        <v>0.140769465539218</v>
      </c>
      <c r="L36" s="98">
        <f>IFERROR(MAX(Model!C233,Model!D233,Model!E233,Model!F233,Model!G233,Model!H233,Model!I233,Model!N233,Model!S233,Model!X233,Model!AC233,Model!AH233,Model!AM233,Model!AR233,Model!AW233,Model!BB233,Model!BG233,Model!BL233,Model!BQ233,Model!BV233),"")</f>
        <v>0.197833587046039</v>
      </c>
      <c r="N36" s="91" t="inlineStr">
        <is>
          <t xml:space="preserve">   Adjusted EBITDA (pro forma) % of revenues</t>
        </is>
      </c>
      <c r="O36" s="96" t="n">
        <v>0.193992807300214</v>
      </c>
      <c r="P36" s="97" t="n">
        <v>0.222496738212538</v>
      </c>
      <c r="Q36" s="97" t="n">
        <v>0.225446693655587</v>
      </c>
      <c r="R36" s="97" t="n">
        <v>0.229267649618245</v>
      </c>
      <c r="S36" s="97" t="n">
        <v>0.231132427014483</v>
      </c>
      <c r="T36" s="97" t="n">
        <v>0.231730856392141</v>
      </c>
      <c r="V36" s="98" t="n">
        <v>0.164605366687245</v>
      </c>
      <c r="W36" s="98" t="n">
        <v>0.140769465539218</v>
      </c>
      <c r="X36" s="98" t="n">
        <v>0.197833587046039</v>
      </c>
      <c r="Z36" s="91" t="inlineStr">
        <is>
          <t xml:space="preserve">   Adjusted EBITDA (pro forma) % of revenues</t>
        </is>
      </c>
      <c r="AA36" s="96" t="n">
        <v>0.193992807300214</v>
      </c>
      <c r="AB36" s="97" t="n">
        <v>0.213396667120001</v>
      </c>
      <c r="AC36" s="97" t="n">
        <v>0.200396843346301</v>
      </c>
      <c r="AD36" s="97" t="n">
        <v>0.206689624250247</v>
      </c>
      <c r="AE36" s="97" t="n">
        <v>0.210773991716518</v>
      </c>
      <c r="AF36" s="97" t="n">
        <v>0.213390659250631</v>
      </c>
      <c r="AH36" s="98" t="n">
        <v>0.164605366687245</v>
      </c>
      <c r="AI36" s="98" t="n">
        <v>0.140769465539218</v>
      </c>
      <c r="AJ36" s="98" t="n">
        <v>0.197833587046039</v>
      </c>
    </row>
    <row r="37"/>
    <row r="38" ht="15" customHeight="1">
      <c r="B38" s="87" t="inlineStr">
        <is>
          <t>Net Debt</t>
        </is>
      </c>
      <c r="C38" s="88">
        <f>Model!BV419</f>
        <v>1822.485</v>
      </c>
      <c r="D38" s="89">
        <f>Model!CA419</f>
        <v>2710.31128189429</v>
      </c>
      <c r="E38" s="89">
        <f>Model!CB419</f>
        <v>2712.84359891278</v>
      </c>
      <c r="F38" s="89">
        <f>Model!CC419</f>
        <v>3007.86654050848</v>
      </c>
      <c r="G38" s="89">
        <f>Model!CD419</f>
        <v>3284.50012564637</v>
      </c>
      <c r="H38" s="89">
        <f>Model!CE419</f>
        <v>3552.43778646695</v>
      </c>
      <c r="N38" s="87" t="inlineStr">
        <is>
          <t>Net Debt</t>
        </is>
      </c>
      <c r="O38" s="88" t="n">
        <v>1822.485</v>
      </c>
      <c r="P38" s="89" t="n">
        <v>2769.13999644929</v>
      </c>
      <c r="Q38" s="89" t="n">
        <v>3392.43074359824</v>
      </c>
      <c r="R38" s="89" t="n">
        <v>3885.52931492946</v>
      </c>
      <c r="S38" s="89" t="n">
        <v>4374.06544363912</v>
      </c>
      <c r="T38" s="89" t="n">
        <v>4867.86455592358</v>
      </c>
      <c r="Z38" s="87" t="inlineStr">
        <is>
          <t>Net Debt</t>
        </is>
      </c>
      <c r="AA38" s="88" t="n">
        <v>1822.485</v>
      </c>
      <c r="AB38" s="89" t="n">
        <v>2651.48256733929</v>
      </c>
      <c r="AC38" s="89" t="n">
        <v>2325.33540471685</v>
      </c>
      <c r="AD38" s="89" t="n">
        <v>2259.73366222163</v>
      </c>
      <c r="AE38" s="89" t="n">
        <v>2381.77239262603</v>
      </c>
      <c r="AF38" s="89" t="n">
        <v>2489.27710897435</v>
      </c>
    </row>
    <row r="39" ht="15" customHeight="1">
      <c r="B39" s="91" t="inlineStr">
        <is>
          <t xml:space="preserve">   Net Debt / Adjusted EBITDA (x)</t>
        </is>
      </c>
      <c r="C39" s="110">
        <f>IFERROR(C38/C35,"")</f>
        <v>1.55776070376319</v>
      </c>
      <c r="D39" s="111">
        <f>IFERROR(D38/D35,"")</f>
        <v>1.88608996652352</v>
      </c>
      <c r="E39" s="111">
        <f>IFERROR(E38/E35,"")</f>
        <v>1.75</v>
      </c>
      <c r="F39" s="111">
        <f>IFERROR(F38/F35,"")</f>
        <v>1.75</v>
      </c>
      <c r="G39" s="111">
        <f>IFERROR(G38/G35,"")</f>
        <v>1.75</v>
      </c>
      <c r="H39" s="111">
        <f>IFERROR(H38/H35,"")</f>
        <v>1.75</v>
      </c>
      <c r="N39" s="91" t="inlineStr">
        <is>
          <t xml:space="preserve">   Net Debt / Adjusted EBITDA (x)</t>
        </is>
      </c>
      <c r="O39" s="110" t="n">
        <v>1.55776070376319</v>
      </c>
      <c r="P39" s="111" t="n">
        <v>1.88762099280797</v>
      </c>
      <c r="Q39" s="111" t="n">
        <v>2</v>
      </c>
      <c r="R39" s="111" t="n">
        <v>2</v>
      </c>
      <c r="S39" s="111" t="n">
        <v>2</v>
      </c>
      <c r="T39" s="111" t="n">
        <v>2</v>
      </c>
      <c r="Z39" s="91" t="inlineStr">
        <is>
          <t xml:space="preserve">   Net Debt / Adjusted EBITDA (x)</t>
        </is>
      </c>
      <c r="AA39" s="110" t="n">
        <v>1.55776070376319</v>
      </c>
      <c r="AB39" s="111" t="n">
        <v>1.88449365127171</v>
      </c>
      <c r="AC39" s="111" t="n">
        <v>1.65035323542303</v>
      </c>
      <c r="AD39" s="111" t="n">
        <v>1.5</v>
      </c>
      <c r="AE39" s="111" t="n">
        <v>1.5</v>
      </c>
      <c r="AF39" s="111" t="n">
        <v>1.5</v>
      </c>
    </row>
    <row r="40"/>
    <row r="41" ht="15" customHeight="1">
      <c r="B41" s="87" t="inlineStr">
        <is>
          <t>ROIC</t>
        </is>
      </c>
      <c r="C41" s="94">
        <f>Model!BV402</f>
        <v>0.117354458190155</v>
      </c>
      <c r="D41" s="95">
        <f>Model!CA402</f>
        <v>0.11361331481025</v>
      </c>
      <c r="E41" s="95">
        <f>Model!CB402</f>
        <v>0.119394757549705</v>
      </c>
      <c r="F41" s="95">
        <f>Model!CC402</f>
        <v>0.126610887399209</v>
      </c>
      <c r="G41" s="95">
        <f>Model!CD402</f>
        <v>0.131963324804454</v>
      </c>
      <c r="H41" s="95">
        <f>Model!CE402</f>
        <v>0.136171160755354</v>
      </c>
      <c r="J41" s="98">
        <f>IFERROR(AVERAGE(Model!C402,Model!D402,Model!E402,Model!F402,Model!G402,Model!H402,Model!I402,Model!N402,Model!S402,Model!X402,Model!AC402,Model!AH402,Model!AM402,Model!AR402,Model!AW402,Model!BB402,Model!BG402,Model!BL402,Model!BQ402,Model!BV402),"")</f>
        <v>0.124725856486857</v>
      </c>
      <c r="K41" s="98">
        <f>IFERROR(MIN(Model!C402,Model!D402,Model!E402,Model!F402,Model!G402,Model!H402,Model!I402,Model!N402,Model!S402,Model!X402,Model!AC402,Model!AH402,Model!AM402,Model!AR402,Model!AW402,Model!BB402,Model!BG402,Model!BL402,Model!BQ402,Model!BV402),"")</f>
        <v>0.0282143740178452</v>
      </c>
      <c r="L41" s="98">
        <f>IFERROR(MAX(Model!C402,Model!D402,Model!E402,Model!F402,Model!G402,Model!H402,Model!I402,Model!N402,Model!S402,Model!X402,Model!AC402,Model!AH402,Model!AM402,Model!AR402,Model!AW402,Model!BB402,Model!BG402,Model!BL402,Model!BQ402,Model!BV402),"")</f>
        <v>0.348056004894304</v>
      </c>
      <c r="N41" s="87" t="inlineStr">
        <is>
          <t>ROIC</t>
        </is>
      </c>
      <c r="O41" s="94" t="n">
        <v>0.117354458190155</v>
      </c>
      <c r="P41" s="95" t="n">
        <v>0.116758985484442</v>
      </c>
      <c r="Q41" s="95" t="n">
        <v>0.127878763661589</v>
      </c>
      <c r="R41" s="95" t="n">
        <v>0.133776524983202</v>
      </c>
      <c r="S41" s="95" t="n">
        <v>0.138231420090057</v>
      </c>
      <c r="T41" s="95" t="n">
        <v>0.141888417402046</v>
      </c>
      <c r="V41" s="98" t="n">
        <v>0.124725856486857</v>
      </c>
      <c r="W41" s="98" t="n">
        <v>0.0282143740178452</v>
      </c>
      <c r="X41" s="98" t="n">
        <v>0.348056004894304</v>
      </c>
      <c r="Z41" s="87" t="inlineStr">
        <is>
          <t>ROIC</t>
        </is>
      </c>
      <c r="AA41" s="94" t="n">
        <v>0.117354458190155</v>
      </c>
      <c r="AB41" s="95" t="n">
        <v>0.110434454005232</v>
      </c>
      <c r="AC41" s="95" t="n">
        <v>0.110585905803286</v>
      </c>
      <c r="AD41" s="95" t="n">
        <v>0.119273621253256</v>
      </c>
      <c r="AE41" s="95" t="n">
        <v>0.125997452956999</v>
      </c>
      <c r="AF41" s="95" t="n">
        <v>0.131463930644085</v>
      </c>
      <c r="AH41" s="98" t="n">
        <v>0.124725856486857</v>
      </c>
      <c r="AI41" s="98" t="n">
        <v>0.0282143740178452</v>
      </c>
      <c r="AJ41" s="98" t="n">
        <v>0.348056004894304</v>
      </c>
    </row>
    <row r="42" ht="15" customHeight="1">
      <c r="B42" s="87" t="inlineStr">
        <is>
          <t>RONTA</t>
        </is>
      </c>
      <c r="C42" s="94">
        <f>Model!BV413</f>
        <v>0.122739257218407</v>
      </c>
      <c r="D42" s="95">
        <f>Model!CA413</f>
        <v>0.14381297626429</v>
      </c>
      <c r="E42" s="95">
        <f>Model!CB413</f>
        <v>0.153150698559972</v>
      </c>
      <c r="F42" s="95">
        <f>Model!CC413</f>
        <v>0.173029786620248</v>
      </c>
      <c r="G42" s="95">
        <f>Model!CD413</f>
        <v>0.180662151326276</v>
      </c>
      <c r="H42" s="95">
        <f>Model!CE413</f>
        <v>0.18647254564026</v>
      </c>
      <c r="J42" s="98">
        <f>IFERROR(AVERAGE(Model!C413,Model!D413,Model!E413,Model!F413,Model!G413,Model!H413,Model!I413,Model!N413,Model!S413,Model!X413,Model!AC413,Model!AH413,Model!AM413,Model!AR413,Model!AW413,Model!BB413,Model!BG413,Model!BL413,Model!BQ413,Model!BV413),"")</f>
        <v>0.0998733537650256</v>
      </c>
      <c r="K42" s="98">
        <f>IFERROR(MIN(Model!C413,Model!D413,Model!E413,Model!F413,Model!G413,Model!H413,Model!I413,Model!N413,Model!S413,Model!X413,Model!AC413,Model!AH413,Model!AM413,Model!AR413,Model!AW413,Model!BB413,Model!BG413,Model!BL413,Model!BQ413,Model!BV413),"")</f>
        <v>0.0307273455900193</v>
      </c>
      <c r="L42" s="98">
        <f>IFERROR(MAX(Model!C413,Model!D413,Model!E413,Model!F413,Model!G413,Model!H413,Model!I413,Model!N413,Model!S413,Model!X413,Model!AC413,Model!AH413,Model!AM413,Model!AR413,Model!AW413,Model!BB413,Model!BG413,Model!BL413,Model!BQ413,Model!BV413),"")</f>
        <v>0.191402623279026</v>
      </c>
      <c r="N42" s="87" t="inlineStr">
        <is>
          <t>RONTA</t>
        </is>
      </c>
      <c r="O42" s="94" t="n">
        <v>0.122739257218407</v>
      </c>
      <c r="P42" s="95" t="n">
        <v>0.149470124478629</v>
      </c>
      <c r="Q42" s="95" t="n">
        <v>0.176895157910879</v>
      </c>
      <c r="R42" s="95" t="n">
        <v>0.188007647013897</v>
      </c>
      <c r="S42" s="95" t="n">
        <v>0.196427458648109</v>
      </c>
      <c r="T42" s="95" t="n">
        <v>0.203075437598982</v>
      </c>
      <c r="V42" s="98" t="n">
        <v>0.0998733537650256</v>
      </c>
      <c r="W42" s="98" t="n">
        <v>0.0307273455900193</v>
      </c>
      <c r="X42" s="98" t="n">
        <v>0.191402623279026</v>
      </c>
      <c r="Z42" s="87" t="inlineStr">
        <is>
          <t>RONTA</t>
        </is>
      </c>
      <c r="AA42" s="94" t="n">
        <v>0.122739257218407</v>
      </c>
      <c r="AB42" s="95" t="n">
        <v>0.13822347916348</v>
      </c>
      <c r="AC42" s="95" t="n">
        <v>0.128525329284377</v>
      </c>
      <c r="AD42" s="95" t="n">
        <v>0.135888857864416</v>
      </c>
      <c r="AE42" s="95" t="n">
        <v>0.145893276034946</v>
      </c>
      <c r="AF42" s="95" t="n">
        <v>0.154228493903035</v>
      </c>
      <c r="AH42" s="98" t="n">
        <v>0.0998733537650256</v>
      </c>
      <c r="AI42" s="98" t="n">
        <v>0.0307273455900193</v>
      </c>
      <c r="AJ42" s="98" t="n">
        <v>0.191402623279026</v>
      </c>
    </row>
    <row r="43"/>
    <row r="44" ht="15" customHeight="1">
      <c r="B44" s="91" t="inlineStr">
        <is>
          <t>Implied Market Cap (USDm)</t>
        </is>
      </c>
      <c r="E44" s="112" t="n"/>
      <c r="F44" s="112">
        <f>F27*F21</f>
        <v>0</v>
      </c>
      <c r="G44" s="112">
        <f>G27*G21</f>
        <v>19967.327343293</v>
      </c>
      <c r="H44" s="112">
        <f>H27*H21</f>
        <v>21661.6029624846</v>
      </c>
      <c r="N44" s="91" t="inlineStr">
        <is>
          <t>Implied Market Cap (USDm)</t>
        </is>
      </c>
      <c r="Q44" s="112" t="n"/>
      <c r="R44" s="112">
        <f>R27*R21</f>
        <v>0</v>
      </c>
      <c r="S44" s="112">
        <f>S27*S21</f>
        <v>26880.8248889626</v>
      </c>
      <c r="T44" s="112">
        <f>T27*T21</f>
        <v>29865.0572841945</v>
      </c>
      <c r="Z44" s="91" t="inlineStr">
        <is>
          <t>Implied Market Cap (USDm)</t>
        </is>
      </c>
      <c r="AC44" s="112" t="n"/>
      <c r="AD44" s="112">
        <f>AD27*AD21</f>
        <v>11779.659181344</v>
      </c>
      <c r="AE44" s="112">
        <f>AE27*AE21</f>
        <v>12809.4358784085</v>
      </c>
      <c r="AF44" s="112">
        <f>AF27*AF21</f>
        <v>13575.7479185926</v>
      </c>
    </row>
    <row r="45" ht="15" customHeight="1">
      <c r="B45" s="91" t="inlineStr">
        <is>
          <t>(+) Net Debt &amp; NCI</t>
        </is>
      </c>
      <c r="E45" s="112" t="n"/>
      <c r="F45" s="112">
        <f>F38+Model!CC325</f>
        <v>3007.86654050848</v>
      </c>
      <c r="G45" s="112">
        <f>G38+Model!CD325</f>
        <v>3284.50012564637</v>
      </c>
      <c r="H45" s="112">
        <f>H38+Model!CE325</f>
        <v>3552.43778646695</v>
      </c>
      <c r="N45" s="91" t="inlineStr">
        <is>
          <t>(+) Net Debt &amp; NCI</t>
        </is>
      </c>
      <c r="Q45" s="112" t="n"/>
      <c r="R45" s="112">
        <f>R38+Model!CC325</f>
        <v>3885.52931492946</v>
      </c>
      <c r="S45" s="112">
        <f>S38+Model!CD325</f>
        <v>4374.06544363912</v>
      </c>
      <c r="T45" s="112">
        <f>T38+Model!CE325</f>
        <v>4867.86455592358</v>
      </c>
      <c r="Z45" s="91" t="inlineStr">
        <is>
          <t>(+) Net Debt &amp; NCI</t>
        </is>
      </c>
      <c r="AC45" s="112" t="n"/>
      <c r="AD45" s="112">
        <f>AD38+Model!CC325</f>
        <v>2259.73366222163</v>
      </c>
      <c r="AE45" s="112">
        <f>AE38+Model!CD325</f>
        <v>2381.77239262603</v>
      </c>
      <c r="AF45" s="112">
        <f>AF38+Model!CE325</f>
        <v>2489.27710897435</v>
      </c>
    </row>
    <row r="46" ht="15" customHeight="1">
      <c r="B46" s="91" t="inlineStr">
        <is>
          <t>Implied Enterprise Value (USDm)</t>
        </is>
      </c>
      <c r="E46" s="112" t="n"/>
      <c r="F46" s="112">
        <f>F44+F45</f>
        <v>3007.86654050848</v>
      </c>
      <c r="G46" s="112">
        <f>G44+G45</f>
        <v>23251.8274689394</v>
      </c>
      <c r="H46" s="112">
        <f>H44+H45</f>
        <v>25214.0407489516</v>
      </c>
      <c r="N46" s="91" t="inlineStr">
        <is>
          <t>Implied Enterprise Value (USDm)</t>
        </is>
      </c>
      <c r="Q46" s="112" t="n"/>
      <c r="R46" s="112">
        <f>R44+R45</f>
        <v>3885.52931492946</v>
      </c>
      <c r="S46" s="112">
        <f>S44+S45</f>
        <v>31254.8903326017</v>
      </c>
      <c r="T46" s="112">
        <f>T44+T45</f>
        <v>34732.9218401181</v>
      </c>
      <c r="Z46" s="91" t="inlineStr">
        <is>
          <t>Implied Enterprise Value (USDm)</t>
        </is>
      </c>
      <c r="AC46" s="112" t="n"/>
      <c r="AD46" s="112">
        <f>AD44+AD45</f>
        <v>14039.3928435657</v>
      </c>
      <c r="AE46" s="112">
        <f>AE44+AE45</f>
        <v>15191.2082710345</v>
      </c>
      <c r="AF46" s="112">
        <f>AF44+AF45</f>
        <v>16065.0250275669</v>
      </c>
    </row>
    <row r="47" ht="15" customHeight="1">
      <c r="B47" s="91" t="inlineStr">
        <is>
          <t>Implied EV / Adjusted EBITDA (x)</t>
        </is>
      </c>
      <c r="E47" s="113" t="n"/>
      <c r="F47" s="113">
        <f>IFERROR(F46/F35,"")</f>
        <v>1.75</v>
      </c>
      <c r="G47" s="113">
        <f>IFERROR(G46/G35,"")</f>
        <v>12.388703459902</v>
      </c>
      <c r="H47" s="113">
        <f>IFERROR(H46/H35,"")</f>
        <v>12.4209272513535</v>
      </c>
      <c r="N47" s="91" t="inlineStr">
        <is>
          <t>Implied EV / Adjusted EBITDA (x)</t>
        </is>
      </c>
      <c r="Q47" s="113" t="n"/>
      <c r="R47" s="113">
        <f>IFERROR(R46/R35,"")</f>
        <v>2</v>
      </c>
      <c r="S47" s="113">
        <f>IFERROR(S46/S35,"")</f>
        <v>14.2910026085931</v>
      </c>
      <c r="T47" s="113">
        <f>IFERROR(T46/T35,"")</f>
        <v>14.2702909832824</v>
      </c>
      <c r="Z47" s="91" t="inlineStr">
        <is>
          <t>Implied EV / Adjusted EBITDA (x)</t>
        </is>
      </c>
      <c r="AC47" s="113" t="n"/>
      <c r="AD47" s="113">
        <f>IFERROR(AD46/AD35,"")</f>
        <v>9.31927935464951</v>
      </c>
      <c r="AE47" s="113">
        <f>IFERROR(AE46/AE35,"")</f>
        <v>9.56716623179439</v>
      </c>
      <c r="AF47" s="113">
        <f>IFERROR(AF46/AF35,"")</f>
        <v>9.68053635108521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8"/>
  <sheetViews>
    <sheetView topLeftCell="A21" zoomScale="60" zoomScaleNormal="60" workbookViewId="0">
      <selection activeCell="C59" sqref="C59"/>
    </sheetView>
  </sheetViews>
  <sheetFormatPr baseColWidth="8" defaultColWidth="8.5703125" defaultRowHeight="15"/>
  <cols>
    <col width="10.5703125" customWidth="1" min="1" max="1"/>
    <col width="50" customWidth="1" min="2" max="2"/>
    <col width="12.5703125" customWidth="1" min="3" max="14"/>
    <col width="13.28515625" customWidth="1" min="16" max="17"/>
  </cols>
  <sheetData>
    <row r="1"/>
    <row r="2" ht="17.25" customHeight="1">
      <c r="B2" s="117" t="inlineStr">
        <is>
          <t>DCF VALUATION — CLEAN HARBORS (CLH)</t>
        </is>
      </c>
      <c r="C2" s="118" t="n"/>
      <c r="D2" s="118" t="n"/>
      <c r="E2" s="118" t="n"/>
      <c r="F2" s="118" t="n"/>
      <c r="G2" s="118" t="n"/>
      <c r="H2" s="118" t="n"/>
      <c r="I2" s="118" t="n"/>
      <c r="J2" s="118" t="n"/>
      <c r="K2" s="118" t="n"/>
      <c r="L2" s="118" t="n"/>
      <c r="M2" s="118" t="n"/>
      <c r="N2" s="118" t="n"/>
      <c r="O2" s="118" t="n"/>
      <c r="P2" s="118" t="n"/>
      <c r="Q2" s="118" t="n"/>
    </row>
    <row r="3">
      <c r="B3" s="118" t="n"/>
      <c r="C3" s="118" t="n"/>
      <c r="D3" s="118" t="n"/>
      <c r="E3" s="118" t="n"/>
      <c r="F3" s="118" t="n"/>
      <c r="G3" s="118" t="n"/>
      <c r="H3" s="118" t="n"/>
      <c r="I3" s="118" t="n"/>
      <c r="J3" s="118" t="n"/>
      <c r="K3" s="118" t="n"/>
      <c r="L3" s="118" t="n"/>
      <c r="M3" s="118" t="n"/>
      <c r="N3" s="118" t="n"/>
      <c r="O3" s="118" t="n"/>
      <c r="P3" s="118" t="n"/>
      <c r="Q3" s="118" t="n"/>
    </row>
    <row r="4" ht="15" customHeight="1">
      <c r="B4" s="139" t="inlineStr">
        <is>
          <t>1. WACC BUILD</t>
        </is>
      </c>
      <c r="C4" s="118" t="n"/>
      <c r="D4" s="118" t="n"/>
      <c r="E4" s="118" t="n"/>
      <c r="F4" s="118" t="n"/>
      <c r="G4" s="118" t="n"/>
      <c r="H4" s="118" t="n"/>
      <c r="I4" s="118" t="n"/>
      <c r="J4" s="118" t="n"/>
      <c r="K4" s="118" t="n"/>
      <c r="L4" s="118" t="n"/>
      <c r="M4" s="118" t="n"/>
      <c r="N4" s="118" t="n"/>
      <c r="O4" s="118" t="n"/>
      <c r="P4" s="118" t="n"/>
      <c r="Q4" s="118" t="n"/>
    </row>
    <row r="5" ht="15" customHeight="1">
      <c r="B5" s="140" t="inlineStr">
        <is>
          <t>Risk-free rate (US 10Y govt)</t>
        </is>
      </c>
      <c r="C5" s="141" t="n">
        <v>0.055</v>
      </c>
      <c r="D5" s="142" t="inlineStr">
        <is>
          <t>Assumption (~US 10Y Treasury yield), as in prior models; update to market</t>
        </is>
      </c>
      <c r="E5" s="118" t="n"/>
      <c r="F5" s="118" t="n"/>
      <c r="G5" s="118" t="n"/>
      <c r="H5" s="118" t="n"/>
      <c r="I5" s="118" t="n"/>
      <c r="J5" s="118" t="n"/>
      <c r="K5" s="118" t="n"/>
      <c r="L5" s="118" t="n"/>
      <c r="M5" s="118" t="n"/>
      <c r="N5" s="118" t="n"/>
      <c r="O5" s="118" t="n"/>
      <c r="P5" s="118" t="n"/>
      <c r="Q5" s="118" t="n"/>
    </row>
    <row r="6" ht="15" customHeight="1">
      <c r="B6" s="140" t="inlineStr">
        <is>
          <t>Equity risk premium</t>
        </is>
      </c>
      <c r="C6" s="141" t="n">
        <v>0.05</v>
      </c>
      <c r="D6" s="142" t="inlineStr">
        <is>
          <t>US implied ERP ~4.5–5.5% (Damodaran)</t>
        </is>
      </c>
      <c r="E6" s="118" t="n"/>
      <c r="F6" s="118" t="n"/>
      <c r="G6" s="118" t="n"/>
      <c r="H6" s="118" t="n"/>
      <c r="I6" s="118" t="n"/>
      <c r="J6" s="118" t="n"/>
      <c r="K6" s="118" t="n"/>
      <c r="L6" s="118" t="n"/>
      <c r="M6" s="118" t="n"/>
      <c r="N6" s="118" t="n"/>
      <c r="O6" s="118" t="n"/>
      <c r="P6" s="118" t="n"/>
      <c r="Q6" s="118" t="n"/>
    </row>
    <row r="7" ht="15" customHeight="1">
      <c r="B7" s="140" t="inlineStr">
        <is>
          <t>Levered beta</t>
        </is>
      </c>
      <c r="C7" s="143" t="n">
        <v>1.05</v>
      </c>
      <c r="D7" s="142" t="inlineStr">
        <is>
          <t>Environmental-services peers (Republic, Waste Management, Veolia, US Ecology pre-2022) ~0.8–1.2; CLH ~1.0–1.1 (industrial / energy exposure in SKSS &amp; Industrial Services)</t>
        </is>
      </c>
      <c r="E7" s="118" t="n"/>
      <c r="F7" s="118" t="n"/>
      <c r="G7" s="118" t="n"/>
      <c r="H7" s="118" t="n"/>
      <c r="I7" s="118" t="n"/>
      <c r="J7" s="118" t="n"/>
      <c r="K7" s="118" t="n"/>
      <c r="L7" s="118" t="n"/>
      <c r="M7" s="118" t="n"/>
      <c r="N7" s="118" t="n"/>
      <c r="O7" s="118" t="n"/>
      <c r="P7" s="118" t="n"/>
      <c r="Q7" s="118" t="n"/>
    </row>
    <row r="8" ht="15" customHeight="1">
      <c r="B8" s="140" t="inlineStr">
        <is>
          <t>Cost of equity</t>
        </is>
      </c>
      <c r="C8" s="144">
        <f>C5+C7*C6</f>
        <v>0.1075</v>
      </c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  <c r="Q8" s="118" t="n"/>
    </row>
    <row r="9" ht="15" customHeight="1">
      <c r="B9" s="140" t="inlineStr">
        <is>
          <t>Pre-tax cost of debt</t>
        </is>
      </c>
      <c r="C9" s="141" t="n">
        <v>0.0625</v>
      </c>
      <c r="D9" s="142" t="inlineStr">
        <is>
          <t>BB+/Ba1-area credit; Sep-2026 $600m notes due 2034 priced at 6.25% (par); term loans SOFR + ~1.75%</t>
        </is>
      </c>
      <c r="E9" s="118" t="n"/>
      <c r="F9" s="118" t="n"/>
      <c r="G9" s="118" t="n"/>
      <c r="H9" s="118" t="n"/>
      <c r="I9" s="118" t="n"/>
      <c r="J9" s="118" t="n"/>
      <c r="K9" s="118" t="n"/>
      <c r="L9" s="118" t="n"/>
      <c r="M9" s="118" t="n"/>
      <c r="N9" s="118" t="n"/>
      <c r="O9" s="118" t="n"/>
      <c r="P9" s="118" t="n"/>
      <c r="Q9" s="118" t="n"/>
    </row>
    <row r="10" ht="15" customHeight="1">
      <c r="B10" s="140" t="inlineStr">
        <is>
          <t>Tax rate</t>
        </is>
      </c>
      <c r="C10" s="141" t="n">
        <v>0.26</v>
      </c>
      <c r="D10" s="142" t="inlineStr">
        <is>
          <t>Model 2027E+ effective tax rate</t>
        </is>
      </c>
      <c r="E10" s="118" t="n"/>
      <c r="F10" s="118" t="n"/>
      <c r="G10" s="118" t="n"/>
      <c r="H10" s="118" t="n"/>
      <c r="I10" s="118" t="n"/>
      <c r="J10" s="118" t="n"/>
      <c r="K10" s="118" t="n"/>
      <c r="L10" s="118" t="n"/>
      <c r="M10" s="118" t="n"/>
      <c r="N10" s="118" t="n"/>
      <c r="O10" s="118" t="n"/>
      <c r="P10" s="118" t="n"/>
      <c r="Q10" s="118" t="n"/>
    </row>
    <row r="11" ht="15" customHeight="1">
      <c r="B11" s="140" t="inlineStr">
        <is>
          <t>After-tax cost of debt</t>
        </is>
      </c>
      <c r="C11" s="144">
        <f>C9*(1-C10)</f>
        <v>0.04625</v>
      </c>
      <c r="D11" s="118" t="n"/>
      <c r="E11" s="118" t="n"/>
      <c r="F11" s="118" t="n"/>
      <c r="G11" s="118" t="n"/>
      <c r="H11" s="118" t="n"/>
      <c r="I11" s="118" t="n"/>
      <c r="J11" s="118" t="n"/>
      <c r="K11" s="118" t="n"/>
      <c r="L11" s="118" t="n"/>
      <c r="M11" s="118" t="n"/>
      <c r="N11" s="118" t="n"/>
      <c r="O11" s="118" t="n"/>
      <c r="P11" s="118" t="n"/>
      <c r="Q11" s="118" t="n"/>
    </row>
    <row r="12" ht="15" customHeight="1">
      <c r="B12" s="140" t="inlineStr">
        <is>
          <t>Target D/V</t>
        </is>
      </c>
      <c r="C12" s="141" t="n">
        <v>0.15</v>
      </c>
      <c r="D12" s="142" t="inlineStr">
        <is>
          <t>Net debt ~$2.9bn at YE2026E (post ES&amp;H / EnviroServe) vs ~$17bn market cap ($321.34 × ~53m shares); ~2.0x pro forma leverage</t>
        </is>
      </c>
      <c r="E12" s="118" t="n"/>
      <c r="F12" s="118" t="n"/>
      <c r="G12" s="118" t="n"/>
      <c r="H12" s="118" t="n"/>
      <c r="I12" s="118" t="n"/>
      <c r="J12" s="118" t="n"/>
      <c r="K12" s="118" t="n"/>
      <c r="L12" s="118" t="n"/>
      <c r="M12" s="118" t="n"/>
      <c r="N12" s="118" t="n"/>
      <c r="O12" s="118" t="n"/>
      <c r="P12" s="118" t="n"/>
      <c r="Q12" s="118" t="n"/>
    </row>
    <row r="13" ht="15" customHeight="1">
      <c r="B13" s="145" t="inlineStr">
        <is>
          <t>WACC</t>
        </is>
      </c>
      <c r="C13" s="146">
        <f>C8*(1-C12)+C11*C12</f>
        <v>0.0983125</v>
      </c>
      <c r="D13" s="118" t="n"/>
      <c r="E13" s="118" t="n"/>
      <c r="F13" s="118" t="n"/>
      <c r="G13" s="118" t="n"/>
      <c r="H13" s="118" t="n"/>
      <c r="I13" s="118" t="n"/>
      <c r="J13" s="118" t="n"/>
      <c r="K13" s="118" t="n"/>
      <c r="L13" s="118" t="n"/>
      <c r="M13" s="118" t="n"/>
      <c r="N13" s="118" t="n"/>
      <c r="O13" s="118" t="n"/>
      <c r="P13" s="118" t="n"/>
      <c r="Q13" s="118" t="n"/>
    </row>
    <row r="14">
      <c r="B14" s="118" t="n"/>
      <c r="C14" s="118" t="n"/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</row>
    <row r="15" ht="15" customHeight="1">
      <c r="B15" s="118" t="inlineStr">
        <is>
          <t>Valuation date (live)</t>
        </is>
      </c>
      <c r="C15" s="119">
        <f>TODAY()</f>
        <v>46299</v>
      </c>
      <c r="D15" s="142" t="inlineStr">
        <is>
          <t>Periods = (Dec-31-Year − today) / 365.25; cash flows assumed at year-end</t>
        </is>
      </c>
      <c r="E15" s="118" t="n"/>
      <c r="F15" s="118" t="n"/>
      <c r="G15" s="118" t="n"/>
      <c r="H15" s="118" t="n"/>
      <c r="I15" s="118" t="n"/>
      <c r="J15" s="118" t="n"/>
      <c r="K15" s="118" t="n"/>
      <c r="L15" s="118" t="n"/>
      <c r="M15" s="118" t="n"/>
      <c r="N15" s="118" t="n"/>
      <c r="O15" s="118" t="n"/>
      <c r="P15" s="118" t="n"/>
      <c r="Q15" s="118" t="n"/>
    </row>
    <row r="16" ht="15" customHeight="1">
      <c r="B16" s="139" t="inlineStr">
        <is>
          <t>2. UNLEVERED FREE CASH FLOW BUILD (USDm)</t>
        </is>
      </c>
      <c r="C16" s="118" t="n"/>
      <c r="D16" s="118" t="n"/>
      <c r="E16" s="118" t="n"/>
      <c r="F16" s="118" t="n"/>
      <c r="G16" s="118" t="n"/>
      <c r="H16" s="118" t="n"/>
      <c r="I16" s="118" t="n"/>
      <c r="J16" s="118" t="n"/>
      <c r="K16" s="118" t="n"/>
      <c r="L16" s="118" t="n"/>
      <c r="M16" s="118" t="n"/>
      <c r="N16" s="118" t="n"/>
      <c r="O16" s="118" t="n"/>
      <c r="P16" s="118" t="n"/>
      <c r="Q16" s="118" t="n"/>
    </row>
    <row r="17" ht="15" customHeight="1">
      <c r="B17" s="118" t="n"/>
      <c r="C17" s="118" t="n"/>
      <c r="D17" s="138" t="inlineStr">
        <is>
          <t>2026E</t>
        </is>
      </c>
      <c r="E17" s="138" t="inlineStr">
        <is>
          <t>2027E</t>
        </is>
      </c>
      <c r="F17" s="138" t="inlineStr">
        <is>
          <t>2028E</t>
        </is>
      </c>
      <c r="G17" s="138" t="inlineStr">
        <is>
          <t>2029E</t>
        </is>
      </c>
      <c r="H17" s="138" t="inlineStr">
        <is>
          <t>2030E</t>
        </is>
      </c>
      <c r="I17" s="138" t="inlineStr">
        <is>
          <t>2031E</t>
        </is>
      </c>
      <c r="J17" s="138" t="inlineStr">
        <is>
          <t>2032E</t>
        </is>
      </c>
      <c r="K17" s="138" t="inlineStr">
        <is>
          <t>2033E</t>
        </is>
      </c>
      <c r="L17" s="138" t="inlineStr">
        <is>
          <t>2034E</t>
        </is>
      </c>
      <c r="M17" s="138" t="inlineStr">
        <is>
          <t>2035E</t>
        </is>
      </c>
      <c r="N17" s="138" t="inlineStr">
        <is>
          <t>Terminal</t>
        </is>
      </c>
      <c r="O17" s="118" t="n"/>
      <c r="P17" s="138" t="inlineStr">
        <is>
          <t>CAGR 26–30E</t>
        </is>
      </c>
      <c r="Q17" s="138" t="inlineStr">
        <is>
          <t>CAGR 26–35E</t>
        </is>
      </c>
    </row>
    <row r="18" ht="15" customHeight="1">
      <c r="B18" s="118" t="inlineStr">
        <is>
          <t>Adjusted EBIT (Model; Adjusted EBITDA − DD&amp;A)</t>
        </is>
      </c>
      <c r="C18" s="118" t="n"/>
      <c r="D18" s="147">
        <f>Model!CA194</f>
        <v>905.46493150685</v>
      </c>
      <c r="E18" s="147">
        <f>Model!CB194</f>
        <v>1001.91453933807</v>
      </c>
      <c r="F18" s="147">
        <f>Model!CC194</f>
        <v>1123.69459751081</v>
      </c>
      <c r="G18" s="147">
        <f>Model!CD194</f>
        <v>1234.23903610154</v>
      </c>
      <c r="H18" s="147">
        <f>Model!CE194</f>
        <v>1338.19471647932</v>
      </c>
      <c r="I18" s="120">
        <f>H18*(1+I$31)</f>
        <v>1418.48639946808</v>
      </c>
      <c r="J18" s="120">
        <f>I18*(1+J$31)</f>
        <v>1500.0493674375</v>
      </c>
      <c r="K18" s="120">
        <f>J18*(1+K$31)</f>
        <v>1582.55208264656</v>
      </c>
      <c r="L18" s="120">
        <f>K18*(1+L$31)</f>
        <v>1665.6360669855</v>
      </c>
      <c r="M18" s="120">
        <f>L18*(1+M$31)</f>
        <v>1748.91787033478</v>
      </c>
      <c r="N18" s="118" t="n"/>
      <c r="O18" s="118" t="n"/>
      <c r="P18" s="121">
        <f>IFERROR(($H18/$D18)^(1/(VALUE(LEFT($H$17,4))-VALUE(LEFT($D$17,4))))-1,"n/m")</f>
        <v>0.102584591593379</v>
      </c>
      <c r="Q18" s="121">
        <f>IFERROR(($M18/$D18)^(1/(VALUE(LEFT($M$17,4))-VALUE(LEFT($D$17,4))))-1,"n/m")</f>
        <v>0.0758864057345603</v>
      </c>
    </row>
    <row r="19" ht="15" customHeight="1">
      <c r="B19" s="122" t="inlineStr">
        <is>
          <t xml:space="preserve">   y/y %</t>
        </is>
      </c>
      <c r="C19" s="122" t="n"/>
      <c r="D19" s="123" t="n"/>
      <c r="E19" s="123">
        <f>IFERROR(E18/D18-1,"")</f>
        <v>0.10651942938388</v>
      </c>
      <c r="F19" s="123">
        <f>IFERROR(F18/E18-1,"")</f>
        <v>0.121547350987833</v>
      </c>
      <c r="G19" s="123">
        <f>IFERROR(G18/F18-1,"")</f>
        <v>0.0983758744018222</v>
      </c>
      <c r="H19" s="123">
        <f>IFERROR(H18/G18-1,"")</f>
        <v>0.0842265374348672</v>
      </c>
      <c r="I19" s="123">
        <f>IFERROR(I18/H18-1,"")</f>
        <v>0.0600000000000001</v>
      </c>
      <c r="J19" s="123">
        <f>IFERROR(J18/I18-1,"")</f>
        <v>0.0575000000000001</v>
      </c>
      <c r="K19" s="123">
        <f>IFERROR(K18/J18-1,"")</f>
        <v>0.0549999999999999</v>
      </c>
      <c r="L19" s="123">
        <f>IFERROR(L18/K18-1,"")</f>
        <v>0.0525</v>
      </c>
      <c r="M19" s="123">
        <f>IFERROR(M18/L18-1,"")</f>
        <v>0.05</v>
      </c>
      <c r="N19" s="123" t="n"/>
      <c r="O19" s="118" t="n"/>
      <c r="P19" s="118" t="n"/>
      <c r="Q19" s="118" t="n"/>
    </row>
    <row r="20" ht="15" customHeight="1">
      <c r="B20" s="118" t="inlineStr">
        <is>
          <t>(−) Stock-based compensation &amp; transaction costs (real costs added back in Adjusted EBITDA)</t>
        </is>
      </c>
      <c r="C20" s="118" t="n"/>
      <c r="D20" s="147">
        <f>-(Model!CA162+N(Model!CA69))</f>
        <v>-59.5</v>
      </c>
      <c r="E20" s="147">
        <f>-(Model!CB162+N(Model!CB69))</f>
        <v>-54.5805360870373</v>
      </c>
      <c r="F20" s="147">
        <f>-(Model!CC162+N(Model!CC69))</f>
        <v>-59.0738372429246</v>
      </c>
      <c r="G20" s="147">
        <f>-(Model!CD162+N(Model!CD69))</f>
        <v>-63.6245205400043</v>
      </c>
      <c r="H20" s="147">
        <f>-(Model!CE162+N(Model!CE69))</f>
        <v>-68.3241687021129</v>
      </c>
      <c r="I20" s="120">
        <f>H20*(1+I$31)</f>
        <v>-72.4236188242397</v>
      </c>
      <c r="J20" s="120">
        <f>I20*(1+J$31)</f>
        <v>-76.5879769066335</v>
      </c>
      <c r="K20" s="120">
        <f>J20*(1+K$31)</f>
        <v>-80.8003156364983</v>
      </c>
      <c r="L20" s="120">
        <f>K20*(1+L$31)</f>
        <v>-85.0423322074145</v>
      </c>
      <c r="M20" s="120">
        <f>L20*(1+M$31)</f>
        <v>-89.2944488177852</v>
      </c>
      <c r="N20" s="118" t="n"/>
      <c r="O20" s="118" t="n"/>
      <c r="P20" s="118" t="n"/>
      <c r="Q20" s="118" t="n"/>
    </row>
    <row r="21" ht="15" customHeight="1">
      <c r="B21" s="118" t="inlineStr">
        <is>
          <t>× (1 − tax rate)</t>
        </is>
      </c>
      <c r="C21" s="118" t="n"/>
      <c r="D21" s="124">
        <f>1-$C$10</f>
        <v>0.74</v>
      </c>
      <c r="E21" s="124">
        <f>1-$C$10</f>
        <v>0.74</v>
      </c>
      <c r="F21" s="124">
        <f>1-$C$10</f>
        <v>0.74</v>
      </c>
      <c r="G21" s="124">
        <f>1-$C$10</f>
        <v>0.74</v>
      </c>
      <c r="H21" s="124">
        <f>1-$C$10</f>
        <v>0.74</v>
      </c>
      <c r="I21" s="124">
        <f>1-$C$10</f>
        <v>0.74</v>
      </c>
      <c r="J21" s="124">
        <f>1-$C$10</f>
        <v>0.74</v>
      </c>
      <c r="K21" s="124">
        <f>1-$C$10</f>
        <v>0.74</v>
      </c>
      <c r="L21" s="124">
        <f>1-$C$10</f>
        <v>0.74</v>
      </c>
      <c r="M21" s="124">
        <f>1-$C$10</f>
        <v>0.74</v>
      </c>
      <c r="N21" s="118" t="n"/>
      <c r="O21" s="118" t="n"/>
      <c r="P21" s="118" t="n"/>
      <c r="Q21" s="118" t="n"/>
    </row>
    <row r="22" ht="15" customHeight="1">
      <c r="B22" s="118" t="inlineStr">
        <is>
          <t>NOPAT  =  (Adjusted EBIT − SBC &amp; transaction costs) × (1 − t)</t>
        </is>
      </c>
      <c r="C22" s="118" t="n"/>
      <c r="D22" s="120">
        <f>(D18+D20)*D21</f>
        <v>626.014049315069</v>
      </c>
      <c r="E22" s="120">
        <f>(E18+E20)*E21</f>
        <v>701.027162405767</v>
      </c>
      <c r="F22" s="120">
        <f>(F18+F20)*F21</f>
        <v>787.819362598236</v>
      </c>
      <c r="G22" s="120">
        <f>(G18+G20)*G21</f>
        <v>866.254741515537</v>
      </c>
      <c r="H22" s="120">
        <f>(H18+H20)*H21</f>
        <v>939.704205355135</v>
      </c>
      <c r="I22" s="120">
        <f>(I18+I20)*I21</f>
        <v>996.086457676443</v>
      </c>
      <c r="J22" s="120">
        <f>(J18+J20)*J21</f>
        <v>1053.36142899284</v>
      </c>
      <c r="K22" s="120">
        <f>(K18+K20)*K21</f>
        <v>1111.29630758744</v>
      </c>
      <c r="L22" s="120">
        <f>(L18+L20)*L21</f>
        <v>1169.63936373579</v>
      </c>
      <c r="M22" s="120">
        <f>(M18+M20)*M21</f>
        <v>1228.12133192257</v>
      </c>
      <c r="N22" s="118" t="n"/>
      <c r="O22" s="118" t="n"/>
      <c r="P22" s="118" t="n"/>
      <c r="Q22" s="118" t="n"/>
    </row>
    <row r="23" ht="15" customHeight="1">
      <c r="B23" s="118" t="inlineStr">
        <is>
          <t>plus depreciation &amp; amortization (total, incl. pending-deal purchase accounting)</t>
        </is>
      </c>
      <c r="C23" s="118" t="n"/>
      <c r="D23" s="147">
        <f>Model!CA145</f>
        <v>489.074794520548</v>
      </c>
      <c r="E23" s="147">
        <f>Model!CB145</f>
        <v>548.281802897798</v>
      </c>
      <c r="F23" s="147">
        <f>Model!CC145</f>
        <v>595.086282779748</v>
      </c>
      <c r="G23" s="147">
        <f>Model!CD145</f>
        <v>642.618178553527</v>
      </c>
      <c r="H23" s="147">
        <f>Model!CE145</f>
        <v>691.769732930364</v>
      </c>
      <c r="I23" s="120">
        <f>H23*(1+I$31)</f>
        <v>733.275916906186</v>
      </c>
      <c r="J23" s="120">
        <f>I23*(1+J$31)</f>
        <v>775.439282128292</v>
      </c>
      <c r="K23" s="120">
        <f>J23*(1+K$31)</f>
        <v>818.088442645348</v>
      </c>
      <c r="L23" s="120">
        <f>K23*(1+L$31)</f>
        <v>861.038085884228</v>
      </c>
      <c r="M23" s="120">
        <f>L23*(1+M$31)</f>
        <v>904.08999017844</v>
      </c>
      <c r="N23" s="118" t="n"/>
      <c r="O23" s="118" t="n"/>
      <c r="P23" s="118" t="n"/>
      <c r="Q23" s="118" t="n"/>
    </row>
    <row r="24" ht="15" customHeight="1">
      <c r="B24" s="118" t="inlineStr">
        <is>
          <t>− Capex (PP&amp;E) and acquisitions (M&amp;A lever, 2027E+)</t>
        </is>
      </c>
      <c r="C24" s="118" t="n"/>
      <c r="D24" s="147">
        <f>D29</f>
        <v>-535</v>
      </c>
      <c r="E24" s="147">
        <f>E29+Model!CB253</f>
        <v>-823.973146435558</v>
      </c>
      <c r="F24" s="147">
        <f>F29+Model!CC253</f>
        <v>-867.108837532076</v>
      </c>
      <c r="G24" s="147">
        <f>G29+Model!CD253</f>
        <v>-910.795397184042</v>
      </c>
      <c r="H24" s="147">
        <f>H29+Model!CE253</f>
        <v>-955.912019540284</v>
      </c>
      <c r="I24" s="120">
        <f>I29</f>
        <v>-695.266740712701</v>
      </c>
      <c r="J24" s="120">
        <f>J29</f>
        <v>-735.244578303681</v>
      </c>
      <c r="K24" s="120">
        <f>K29</f>
        <v>-775.683030110384</v>
      </c>
      <c r="L24" s="120">
        <f>L29</f>
        <v>-816.406389191179</v>
      </c>
      <c r="M24" s="120">
        <f>M29</f>
        <v>-857.226708650738</v>
      </c>
      <c r="N24" s="118" t="n"/>
      <c r="O24" s="118" t="n"/>
      <c r="P24" s="118" t="n"/>
      <c r="Q24" s="118" t="n"/>
    </row>
    <row r="25" ht="15" customHeight="1">
      <c r="B25" s="118" t="inlineStr">
        <is>
          <t>− Δ Working capital (CF statement)</t>
        </is>
      </c>
      <c r="C25" s="118" t="n"/>
      <c r="D25" s="147">
        <f>Model!CA249</f>
        <v>-99.2462273491998</v>
      </c>
      <c r="E25" s="147">
        <f>Model!CB249</f>
        <v>-68.7945012883394</v>
      </c>
      <c r="F25" s="147">
        <f>Model!CC249</f>
        <v>-100.934438462472</v>
      </c>
      <c r="G25" s="147">
        <f>Model!CD249</f>
        <v>-101.841863294224</v>
      </c>
      <c r="H25" s="147">
        <f>Model!CE249</f>
        <v>-104.869917895186</v>
      </c>
      <c r="I25" s="120">
        <f>H25*(1+I$31)</f>
        <v>-111.162112968897</v>
      </c>
      <c r="J25" s="120">
        <f>I25*(1+J$31)</f>
        <v>-117.553934464609</v>
      </c>
      <c r="K25" s="120">
        <f>J25*(1+K$31)</f>
        <v>-124.019400860162</v>
      </c>
      <c r="L25" s="120">
        <f>K25*(1+L$31)</f>
        <v>-130.530419405321</v>
      </c>
      <c r="M25" s="120">
        <f>L25*(1+M$31)</f>
        <v>-137.056940375587</v>
      </c>
      <c r="N25" s="118" t="n"/>
      <c r="O25" s="118" t="n"/>
      <c r="P25" s="118" t="n"/>
      <c r="Q25" s="118" t="n"/>
    </row>
    <row r="26" ht="15" customHeight="1">
      <c r="B26" s="148" t="inlineStr">
        <is>
          <t>Unlevered FCF</t>
        </is>
      </c>
      <c r="C26" s="118" t="n"/>
      <c r="D26" s="149">
        <f>D22+D23+D24+D25</f>
        <v>480.842616486417</v>
      </c>
      <c r="E26" s="149">
        <f>E22+E23+E24+E25</f>
        <v>356.541317579668</v>
      </c>
      <c r="F26" s="149">
        <f>F22+F23+F24+F25</f>
        <v>414.862369383438</v>
      </c>
      <c r="G26" s="149">
        <f>G22+G23+G24+G25</f>
        <v>496.235659590799</v>
      </c>
      <c r="H26" s="149">
        <f>H22+H23+H24+H25</f>
        <v>570.692000850029</v>
      </c>
      <c r="I26" s="149">
        <f>I22+I23+I24+I25</f>
        <v>922.933520901031</v>
      </c>
      <c r="J26" s="149">
        <f>J22+J23+J24+J25</f>
        <v>976.00219835284</v>
      </c>
      <c r="K26" s="149">
        <f>K22+K23+K24+K25</f>
        <v>1029.68231926225</v>
      </c>
      <c r="L26" s="149">
        <f>L22+L23+L24+L25</f>
        <v>1083.74064102351</v>
      </c>
      <c r="M26" s="149">
        <f>M22+M23+M24+M25</f>
        <v>1137.92767307469</v>
      </c>
      <c r="N26" s="149">
        <f>M26*(1+$C$32)</f>
        <v>1183.44477999768</v>
      </c>
      <c r="O26" s="118" t="n"/>
      <c r="P26" s="121">
        <f>IFERROR(($H26/$D26)^(1/(VALUE(LEFT($H$17,4))-VALUE(LEFT($D$17,4))))-1,"n/m")</f>
        <v>0.0437577385000951</v>
      </c>
      <c r="Q26" s="121">
        <f>IFERROR(($M26/$D26)^(1/(VALUE(LEFT($M$17,4))-VALUE(LEFT($D$17,4))))-1,"n/m")</f>
        <v>0.100444052334996</v>
      </c>
    </row>
    <row r="27" ht="15" customHeight="1">
      <c r="B27" s="122" t="inlineStr">
        <is>
          <t xml:space="preserve">   y/y %</t>
        </is>
      </c>
      <c r="C27" s="122" t="n"/>
      <c r="D27" s="123" t="n"/>
      <c r="E27" s="123">
        <f>IFERROR(E26/D26-1,"")</f>
        <v>-0.258507242588097</v>
      </c>
      <c r="F27" s="123">
        <f>IFERROR(F26/E26-1,"")</f>
        <v>0.163574455268395</v>
      </c>
      <c r="G27" s="123">
        <f>IFERROR(G26/F26-1,"")</f>
        <v>0.196145266991309</v>
      </c>
      <c r="H27" s="123">
        <f>IFERROR(H26/G26-1,"")</f>
        <v>0.150042303127967</v>
      </c>
      <c r="I27" s="123">
        <f>IFERROR(I26/H26-1,"")</f>
        <v>0.617218253499872</v>
      </c>
      <c r="J27" s="123">
        <f>IFERROR(J26/I26-1,"")</f>
        <v>0.0574999999999997</v>
      </c>
      <c r="K27" s="123">
        <f>IFERROR(K26/J26-1,"")</f>
        <v>0.0550000000000004</v>
      </c>
      <c r="L27" s="123">
        <f>IFERROR(L26/K26-1,"")</f>
        <v>0.0524999999999998</v>
      </c>
      <c r="M27" s="123">
        <f>IFERROR(M26/L26-1,"")</f>
        <v>0.05</v>
      </c>
      <c r="N27" s="123" t="n"/>
      <c r="O27" s="118" t="n"/>
      <c r="P27" s="118" t="n"/>
      <c r="Q27" s="118" t="n"/>
    </row>
    <row r="28" ht="15" customHeight="1">
      <c r="B28" s="118" t="inlineStr">
        <is>
          <t>Terminal Value (Gordon Growth)</t>
        </is>
      </c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49">
        <f>N26/($C$13-$C$32)</f>
        <v>20294.8729688776</v>
      </c>
      <c r="O28" s="118" t="n"/>
      <c r="P28" s="118" t="n"/>
      <c r="Q28" s="118" t="n"/>
    </row>
    <row r="29" ht="15" customHeight="1">
      <c r="B29" s="142" t="inlineStr">
        <is>
          <t xml:space="preserve">   memo: PP&amp;E capex only (fade years carry no new acquisitions)</t>
        </is>
      </c>
      <c r="C29" s="118" t="n"/>
      <c r="D29" s="147">
        <f>Model!CA251</f>
        <v>-535</v>
      </c>
      <c r="E29" s="147">
        <f>Model!CB251</f>
        <v>-523.973146435558</v>
      </c>
      <c r="F29" s="147">
        <f>Model!CC251</f>
        <v>-567.108837532076</v>
      </c>
      <c r="G29" s="147">
        <f>Model!CD251</f>
        <v>-610.795397184042</v>
      </c>
      <c r="H29" s="147">
        <f>Model!CE251</f>
        <v>-655.912019540284</v>
      </c>
      <c r="I29" s="120">
        <f>H29*(1+I$31)</f>
        <v>-695.266740712701</v>
      </c>
      <c r="J29" s="120">
        <f>I29*(1+J$31)</f>
        <v>-735.244578303681</v>
      </c>
      <c r="K29" s="120">
        <f>J29*(1+K$31)</f>
        <v>-775.683030110384</v>
      </c>
      <c r="L29" s="120">
        <f>K29*(1+L$31)</f>
        <v>-816.406389191179</v>
      </c>
      <c r="M29" s="120">
        <f>L29*(1+M$31)</f>
        <v>-857.226708650738</v>
      </c>
      <c r="N29" s="118" t="n"/>
      <c r="O29" s="118" t="n"/>
      <c r="P29" s="118" t="n"/>
      <c r="Q29" s="118" t="n"/>
    </row>
    <row r="30"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  <c r="O30" s="118" t="n"/>
      <c r="P30" s="118" t="n"/>
      <c r="Q30" s="118" t="n"/>
    </row>
    <row r="31" ht="15" customHeight="1">
      <c r="B31" s="118" t="inlineStr">
        <is>
          <t>Fade-period growth (2031E–35E)</t>
        </is>
      </c>
      <c r="C31" s="118" t="n"/>
      <c r="D31" s="118" t="n"/>
      <c r="E31" s="118" t="n"/>
      <c r="F31" s="118" t="n"/>
      <c r="G31" s="118" t="n"/>
      <c r="H31" s="118" t="n"/>
      <c r="I31" s="150" t="n">
        <v>0.06</v>
      </c>
      <c r="J31" s="151">
        <f>I31+($M$31-$I$31)/(COLUMNS($I$31:$M$31)-1)</f>
        <v>0.0575</v>
      </c>
      <c r="K31" s="151">
        <f>J31+($M$31-$I$31)/(COLUMNS($I$31:$M$31)-1)</f>
        <v>0.055</v>
      </c>
      <c r="L31" s="151">
        <f>K31+($M$31-$I$31)/(COLUMNS($I$31:$M$31)-1)</f>
        <v>0.0525</v>
      </c>
      <c r="M31" s="150" t="n">
        <v>0.05</v>
      </c>
      <c r="N31" s="118" t="n"/>
      <c r="O31" s="118" t="n"/>
      <c r="P31" s="118" t="n"/>
      <c r="Q31" s="118" t="n"/>
    </row>
    <row r="32" ht="15" customHeight="1">
      <c r="B32" s="118" t="inlineStr">
        <is>
          <t>Terminal growth rate</t>
        </is>
      </c>
      <c r="C32" s="152" t="n">
        <v>0.04</v>
      </c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  <c r="O32" s="118" t="n"/>
      <c r="P32" s="118" t="n"/>
      <c r="Q32" s="118" t="n"/>
    </row>
    <row r="33"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  <c r="O33" s="118" t="n"/>
      <c r="P33" s="118" t="n"/>
      <c r="Q33" s="118" t="n"/>
    </row>
    <row r="34" ht="15" customHeight="1">
      <c r="B34" s="118" t="inlineStr">
        <is>
          <t>Discount period (years)</t>
        </is>
      </c>
      <c r="C34" s="118" t="n"/>
      <c r="D34" s="125">
        <f>(DATE(2026,12,31)-$C$15)/365.25</f>
        <v>0.240930869267625</v>
      </c>
      <c r="E34" s="125">
        <f>(DATE(2027,12,31)-$C$15)/365.25</f>
        <v>1.24024640657084</v>
      </c>
      <c r="F34" s="125">
        <f>(DATE(2028,12,31)-$C$15)/365.25</f>
        <v>2.24229979466119</v>
      </c>
      <c r="G34" s="125">
        <f>(DATE(2029,12,31)-$C$15)/365.25</f>
        <v>3.24161533196441</v>
      </c>
      <c r="H34" s="125">
        <f>(DATE(2030,12,31)-$C$15)/365.25</f>
        <v>4.24093086926763</v>
      </c>
      <c r="I34" s="125">
        <f>(DATE(2031,12,31)-$C$15)/365.25</f>
        <v>5.24024640657084</v>
      </c>
      <c r="J34" s="125">
        <f>(DATE(2032,12,31)-$C$15)/365.25</f>
        <v>6.24229979466119</v>
      </c>
      <c r="K34" s="125">
        <f>(DATE(2033,12,31)-$C$15)/365.25</f>
        <v>7.24161533196441</v>
      </c>
      <c r="L34" s="125">
        <f>(DATE(2034,12,31)-$C$15)/365.25</f>
        <v>8.24093086926763</v>
      </c>
      <c r="M34" s="125">
        <f>(DATE(2035,12,31)-$C$15)/365.25</f>
        <v>9.24024640657084</v>
      </c>
      <c r="N34" s="125">
        <f>M34</f>
        <v>9.24024640657084</v>
      </c>
      <c r="O34" s="118" t="n"/>
      <c r="P34" s="118" t="n"/>
      <c r="Q34" s="118" t="n"/>
    </row>
    <row r="35" ht="15" customHeight="1">
      <c r="B35" s="118" t="inlineStr">
        <is>
          <t>Discount factor</t>
        </is>
      </c>
      <c r="C35" s="118" t="n"/>
      <c r="D35" s="126">
        <f>1/(1+$C$13)^D34</f>
        <v>0.977660045790216</v>
      </c>
      <c r="E35" s="126">
        <f>1/(1+$C$13)^E34</f>
        <v>0.890204563212244</v>
      </c>
      <c r="F35" s="126">
        <f>1/(1+$C$13)^F34</f>
        <v>0.810364231701584</v>
      </c>
      <c r="G35" s="126">
        <f>1/(1+$C$13)^G34</f>
        <v>0.737874008486922</v>
      </c>
      <c r="H35" s="126">
        <f>1/(1+$C$13)^H34</f>
        <v>0.671868316864527</v>
      </c>
      <c r="I35" s="126">
        <f>1/(1+$C$13)^I34</f>
        <v>0.611767090335684</v>
      </c>
      <c r="J35" s="126">
        <f>1/(1+$C$13)^J34</f>
        <v>0.556899154000395</v>
      </c>
      <c r="K35" s="126">
        <f>1/(1+$C$13)^K34</f>
        <v>0.507082364953848</v>
      </c>
      <c r="L35" s="126">
        <f>1/(1+$C$13)^L34</f>
        <v>0.461721880882953</v>
      </c>
      <c r="M35" s="126">
        <f>1/(1+$C$13)^M34</f>
        <v>0.420419068025556</v>
      </c>
      <c r="N35" s="126">
        <f>1/(1+$C$13)^N34</f>
        <v>0.420419068025556</v>
      </c>
      <c r="O35" s="118" t="n"/>
      <c r="P35" s="118" t="n"/>
      <c r="Q35" s="118" t="n"/>
    </row>
    <row r="36" ht="15" customHeight="1">
      <c r="B36" s="118" t="inlineStr">
        <is>
          <t>PV of UFCF</t>
        </is>
      </c>
      <c r="C36" s="118" t="n"/>
      <c r="D36" s="120">
        <f>D26*D35</f>
        <v>470.100614451997</v>
      </c>
      <c r="E36" s="120">
        <f>E26*E35</f>
        <v>317.394707883126</v>
      </c>
      <c r="F36" s="120">
        <f>F26*F35</f>
        <v>336.189625227308</v>
      </c>
      <c r="G36" s="120">
        <f>G26*G35</f>
        <v>366.159395296415</v>
      </c>
      <c r="H36" s="120">
        <f>H26*H35</f>
        <v>383.429874059158</v>
      </c>
      <c r="I36" s="120">
        <f>I26*I35</f>
        <v>564.620354654892</v>
      </c>
      <c r="J36" s="120">
        <f>J26*J35</f>
        <v>543.534798565222</v>
      </c>
      <c r="K36" s="120">
        <f>K26*K35</f>
        <v>522.133745602663</v>
      </c>
      <c r="L36" s="120">
        <f>L26*L35</f>
        <v>500.386767162674</v>
      </c>
      <c r="M36" s="120">
        <f>M26*M35</f>
        <v>478.406491794551</v>
      </c>
      <c r="N36" s="120">
        <f>N28*N35</f>
        <v>8532.35157927259</v>
      </c>
      <c r="O36" s="118" t="n"/>
      <c r="P36" s="118" t="n"/>
      <c r="Q36" s="118" t="n"/>
    </row>
    <row r="37" ht="15" customHeight="1">
      <c r="B37" s="118" t="n"/>
      <c r="C37" s="118" t="n"/>
      <c r="D37" s="142" t="inlineStr">
        <is>
          <t>CLH's Adjusted EBITDA adds back stock-based compensation (from Q1/21) and transaction costs — both deducted here (row 20) to reach cash NOPAT. Adjusted EBIT deducts all D&amp;A (row 23 adds it back). ES&amp;H / EnviroServe cash consideration ($0.78bn) sits in 2026E acquisitions (row 24) and YE2026E net debt. Acquisition spend from the M&amp;A lever is deducted in 2027E–30E; fade years carry no new acquisitions.</t>
        </is>
      </c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  <c r="O37" s="118" t="n"/>
      <c r="P37" s="118" t="n"/>
      <c r="Q37" s="118" t="n"/>
    </row>
    <row r="38"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  <c r="O38" s="118" t="n"/>
      <c r="P38" s="118" t="n"/>
      <c r="Q38" s="118" t="n"/>
    </row>
    <row r="39" ht="15.75" customHeight="1">
      <c r="B39" s="118" t="inlineStr">
        <is>
          <t>Implied ROIC &amp; incremental ROIC (USDm)</t>
        </is>
      </c>
      <c r="C39" s="118" t="n"/>
      <c r="D39" s="153" t="str">
        <f>D17</f>
        <v>2026E</v>
      </c>
      <c r="E39" s="153" t="str">
        <f>E17</f>
        <v>2027E</v>
      </c>
      <c r="F39" s="153" t="str">
        <f>F17</f>
        <v>2028E</v>
      </c>
      <c r="G39" s="153" t="str">
        <f>G17</f>
        <v>2029E</v>
      </c>
      <c r="H39" s="153" t="str">
        <f>H17</f>
        <v>2030E</v>
      </c>
      <c r="I39" s="153" t="str">
        <f>I17</f>
        <v>2031E</v>
      </c>
      <c r="J39" s="153" t="str">
        <f>J17</f>
        <v>2032E</v>
      </c>
      <c r="K39" s="153" t="str">
        <f>K17</f>
        <v>2033E</v>
      </c>
      <c r="L39" s="153" t="str">
        <f>L17</f>
        <v>2034E</v>
      </c>
      <c r="M39" s="153" t="str">
        <f>M17</f>
        <v>2035E</v>
      </c>
      <c r="N39" s="153" t="inlineStr">
        <is>
          <t>Terminal</t>
        </is>
      </c>
      <c r="O39" s="118" t="n"/>
      <c r="P39" s="118" t="n"/>
      <c r="Q39" s="118" t="n"/>
    </row>
    <row r="40" ht="15.75" customHeight="1">
      <c r="B40" s="118" t="inlineStr">
        <is>
          <t>NOPAT (row 22)</t>
        </is>
      </c>
      <c r="C40" s="118" t="n"/>
      <c r="D40" s="127">
        <f>D22</f>
        <v>626.014049315069</v>
      </c>
      <c r="E40" s="127">
        <f>E22</f>
        <v>701.027162405767</v>
      </c>
      <c r="F40" s="127">
        <f>F22</f>
        <v>787.819362598236</v>
      </c>
      <c r="G40" s="127">
        <f>G22</f>
        <v>866.254741515537</v>
      </c>
      <c r="H40" s="127">
        <f>H22</f>
        <v>939.704205355135</v>
      </c>
      <c r="I40" s="127">
        <f>I22</f>
        <v>996.086457676443</v>
      </c>
      <c r="J40" s="127">
        <f>J22</f>
        <v>1053.36142899284</v>
      </c>
      <c r="K40" s="127">
        <f>K22</f>
        <v>1111.29630758744</v>
      </c>
      <c r="L40" s="127">
        <f>L22</f>
        <v>1169.63936373579</v>
      </c>
      <c r="M40" s="127">
        <f>M22</f>
        <v>1228.12133192257</v>
      </c>
      <c r="N40" s="127">
        <f>M40*(1+$C$32)</f>
        <v>1277.24618519948</v>
      </c>
      <c r="O40" s="118" t="n"/>
      <c r="P40" s="118" t="n"/>
      <c r="Q40" s="118" t="n"/>
    </row>
    <row r="41" ht="15.75" customHeight="1">
      <c r="B41" s="118" t="inlineStr">
        <is>
          <t>Net investment  =  NOPAT − UFCF</t>
        </is>
      </c>
      <c r="C41" s="118" t="n"/>
      <c r="D41" s="127">
        <f>D40-D26</f>
        <v>145.171432828652</v>
      </c>
      <c r="E41" s="127">
        <f>E40-E26</f>
        <v>344.485844826099</v>
      </c>
      <c r="F41" s="127">
        <f>F40-F26</f>
        <v>372.956993214799</v>
      </c>
      <c r="G41" s="127">
        <f>G40-G26</f>
        <v>370.019081924738</v>
      </c>
      <c r="H41" s="127">
        <f>H40-H26</f>
        <v>369.012204505106</v>
      </c>
      <c r="I41" s="127">
        <f>I40-I26</f>
        <v>73.1529367754123</v>
      </c>
      <c r="J41" s="127">
        <f>J40-J26</f>
        <v>77.3592306399987</v>
      </c>
      <c r="K41" s="127">
        <f>K40-K26</f>
        <v>81.6139883251985</v>
      </c>
      <c r="L41" s="127">
        <f>L40-L26</f>
        <v>85.8987227122714</v>
      </c>
      <c r="M41" s="127">
        <f>M40-M26</f>
        <v>90.193658847885</v>
      </c>
      <c r="N41" s="127">
        <f>N40-N26</f>
        <v>93.8014052018004</v>
      </c>
      <c r="O41" s="118" t="n"/>
      <c r="P41" s="118" t="n"/>
      <c r="Q41" s="118" t="n"/>
    </row>
    <row r="42" ht="15.75" customHeight="1">
      <c r="B42" s="118" t="inlineStr">
        <is>
          <t>Opening invested capital</t>
        </is>
      </c>
      <c r="C42" s="118" t="n"/>
      <c r="D42" s="147">
        <f>Model!BV399-Model!CA253</f>
        <v>5730.738</v>
      </c>
      <c r="E42" s="127">
        <f>D43</f>
        <v>5875.90943282865</v>
      </c>
      <c r="F42" s="127">
        <f>E43</f>
        <v>6220.39527765475</v>
      </c>
      <c r="G42" s="127">
        <f>F43</f>
        <v>6593.35227086955</v>
      </c>
      <c r="H42" s="127">
        <f>G43</f>
        <v>6963.37135279429</v>
      </c>
      <c r="I42" s="127">
        <f>H43</f>
        <v>7332.38355729939</v>
      </c>
      <c r="J42" s="127">
        <f>I43</f>
        <v>7405.53649407481</v>
      </c>
      <c r="K42" s="127">
        <f>J43</f>
        <v>7482.89572471481</v>
      </c>
      <c r="L42" s="127">
        <f>K43</f>
        <v>7564.50971304</v>
      </c>
      <c r="M42" s="127">
        <f>L43</f>
        <v>7650.40843575227</v>
      </c>
      <c r="N42" s="127">
        <f>M43</f>
        <v>7740.60209460016</v>
      </c>
      <c r="O42" s="118" t="n"/>
      <c r="P42" s="118" t="n"/>
      <c r="Q42" s="118" t="n"/>
    </row>
    <row r="43" ht="15.75" customHeight="1">
      <c r="B43" s="118" t="inlineStr">
        <is>
          <t>Closing invested capital</t>
        </is>
      </c>
      <c r="C43" s="118" t="n"/>
      <c r="D43" s="127">
        <f>D42+D41</f>
        <v>5875.90943282865</v>
      </c>
      <c r="E43" s="127">
        <f>E42+E41</f>
        <v>6220.39527765475</v>
      </c>
      <c r="F43" s="127">
        <f>F42+F41</f>
        <v>6593.35227086955</v>
      </c>
      <c r="G43" s="127">
        <f>G42+G41</f>
        <v>6963.37135279429</v>
      </c>
      <c r="H43" s="127">
        <f>H42+H41</f>
        <v>7332.38355729939</v>
      </c>
      <c r="I43" s="127">
        <f>I42+I41</f>
        <v>7405.53649407481</v>
      </c>
      <c r="J43" s="127">
        <f>J42+J41</f>
        <v>7482.89572471481</v>
      </c>
      <c r="K43" s="127">
        <f>K42+K41</f>
        <v>7564.50971304</v>
      </c>
      <c r="L43" s="127">
        <f>L42+L41</f>
        <v>7650.40843575227</v>
      </c>
      <c r="M43" s="127">
        <f>M42+M41</f>
        <v>7740.60209460016</v>
      </c>
      <c r="N43" s="127" t="n"/>
      <c r="O43" s="118" t="n"/>
      <c r="P43" s="118" t="n"/>
      <c r="Q43" s="118" t="n"/>
    </row>
    <row r="44" ht="15.75" customHeight="1">
      <c r="B44" s="128" t="inlineStr">
        <is>
          <t>Implied ROIC  =  NOPAT / opening IC</t>
        </is>
      </c>
      <c r="C44" s="129" t="n"/>
      <c r="D44" s="130">
        <f>IFERROR(D40/D42,"")</f>
        <v>0.109237946197343</v>
      </c>
      <c r="E44" s="130">
        <f>IFERROR(E40/E42,"")</f>
        <v>0.119305304211997</v>
      </c>
      <c r="F44" s="130">
        <f>IFERROR(F40/F42,"")</f>
        <v>0.126651012907216</v>
      </c>
      <c r="G44" s="130">
        <f>IFERROR(G40/G42,"")</f>
        <v>0.131383051584061</v>
      </c>
      <c r="H44" s="130">
        <f>IFERROR(H40/H42,"")</f>
        <v>0.13494960382632</v>
      </c>
      <c r="I44" s="130">
        <f>IFERROR(I40/I42,"")</f>
        <v>0.135847565787095</v>
      </c>
      <c r="J44" s="130">
        <f>IFERROR(J40/J42,"")</f>
        <v>0.142239718869205</v>
      </c>
      <c r="K44" s="130">
        <f>IFERROR(K40/K42,"")</f>
        <v>0.148511531961753</v>
      </c>
      <c r="L44" s="130">
        <f>IFERROR(L40/L42,"")</f>
        <v>0.154621966010502</v>
      </c>
      <c r="M44" s="130">
        <f>IFERROR(M40/M42,"")</f>
        <v>0.160530165446234</v>
      </c>
      <c r="N44" s="130">
        <f>IFERROR(N40/N42,"")</f>
        <v>0.165006051155954</v>
      </c>
      <c r="O44" s="118" t="n"/>
      <c r="P44" s="118" t="n"/>
      <c r="Q44" s="118" t="n"/>
    </row>
    <row r="45" ht="15.75" customHeight="1">
      <c r="B45" s="118" t="inlineStr">
        <is>
          <t>Reinvestment rate  =  net inv. / NOPAT</t>
        </is>
      </c>
      <c r="C45" s="131" t="n"/>
      <c r="D45" s="121">
        <f>IFERROR(D41/D40,"")</f>
        <v>0.231898042843425</v>
      </c>
      <c r="E45" s="121">
        <f>IFERROR(E41/E40,"")</f>
        <v>0.491401565160331</v>
      </c>
      <c r="F45" s="121">
        <f>IFERROR(F41/F40,"")</f>
        <v>0.473404197612994</v>
      </c>
      <c r="G45" s="121">
        <f>IFERROR(G41/G40,"")</f>
        <v>0.427148117281735</v>
      </c>
      <c r="H45" s="121">
        <f>IFERROR(H41/H40,"")</f>
        <v>0.392689744711367</v>
      </c>
      <c r="I45" s="121">
        <f>IFERROR(I41/I40,"")</f>
        <v>0.0734403486882606</v>
      </c>
      <c r="J45" s="121">
        <f>IFERROR(J41/J40,"")</f>
        <v>0.0734403486882608</v>
      </c>
      <c r="K45" s="121">
        <f>IFERROR(K41/K40,"")</f>
        <v>0.0734403486882607</v>
      </c>
      <c r="L45" s="121">
        <f>IFERROR(L41/L40,"")</f>
        <v>0.0734403486882606</v>
      </c>
      <c r="M45" s="121">
        <f>IFERROR(M41/M40,"")</f>
        <v>0.0734403486882607</v>
      </c>
      <c r="N45" s="121">
        <f>IFERROR(N41/N40,"")</f>
        <v>0.0734403486882607</v>
      </c>
      <c r="O45" s="118" t="n"/>
      <c r="P45" s="118" t="n"/>
      <c r="Q45" s="118" t="n"/>
    </row>
    <row r="46" ht="15.75" customHeight="1">
      <c r="B46" s="128" t="inlineStr">
        <is>
          <t>Incremental ROIC  =  Δ NOPAT / prior-yr net inv.</t>
        </is>
      </c>
      <c r="C46" s="129" t="n"/>
      <c r="D46" s="130" t="n"/>
      <c r="E46" s="130">
        <f>IFERROR((E40-D40)/D41,"")</f>
        <v>0.516720897693675</v>
      </c>
      <c r="F46" s="130">
        <f>IFERROR((F40-E40)/E41,"")</f>
        <v>0.251947072705653</v>
      </c>
      <c r="G46" s="130">
        <f>IFERROR((G40-F40)/F41,"")</f>
        <v>0.210306765509897</v>
      </c>
      <c r="H46" s="130">
        <f>IFERROR((H40-G40)/G41,"")</f>
        <v>0.198501827142356</v>
      </c>
      <c r="I46" s="130">
        <f>IFERROR((I40-H40)/H41,"")</f>
        <v>0.152792378227502</v>
      </c>
      <c r="J46" s="130">
        <f>IFERROR((J40-I40)/I41,"")</f>
        <v>0.782948352329804</v>
      </c>
      <c r="K46" s="130">
        <f>IFERROR((K40-J40)/J41,"")</f>
        <v>0.748907119619814</v>
      </c>
      <c r="L46" s="130">
        <f>IFERROR((L40-K40)/K41,"")</f>
        <v>0.714865886909818</v>
      </c>
      <c r="M46" s="130">
        <f>IFERROR((M40-L40)/L41,"")</f>
        <v>0.680824654199831</v>
      </c>
      <c r="N46" s="130">
        <f>IFERROR($C$32/N45,"")</f>
        <v>0.544659723359864</v>
      </c>
      <c r="O46" s="118" t="n"/>
      <c r="P46" s="118" t="n"/>
      <c r="Q46" s="118" t="n"/>
    </row>
    <row r="47" ht="15.75" customHeight="1">
      <c r="B47" s="118" t="inlineStr">
        <is>
          <t>Cumulative incremental ROIC 2026E–35E</t>
        </is>
      </c>
      <c r="C47" s="121">
        <f>IFERROR((M40-D40)/SUM(D41:L41),"")</f>
        <v>0.313651380671263</v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18" t="n"/>
      <c r="P47" s="118" t="n"/>
      <c r="Q47" s="118" t="n"/>
    </row>
    <row r="48">
      <c r="B48" s="118" t="n"/>
      <c r="C48" s="118" t="n"/>
      <c r="D48" s="142" t="inlineStr">
        <is>
          <t>Opening IC = Model 2025A book IC (equity + net debt) + 2026E acquisitions (Depot Connect, Terra Nova, Western Oil, ES&amp;H, EnviroServe), rolled forward with DCF net investment (capex + M&amp;A − D&amp;A + ΔWC). Terminal incremental ROIC = g ÷ reinvestment rate. Cumulative = (NOPAT 2035E − 2026E) / Σ net investment 2026E–34E.</t>
        </is>
      </c>
      <c r="E48" s="118" t="n"/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118" t="n"/>
      <c r="O48" s="118" t="n"/>
      <c r="P48" s="118" t="n"/>
      <c r="Q48" s="118" t="n"/>
    </row>
    <row r="49" ht="15" customHeight="1">
      <c r="B49" s="139" t="inlineStr">
        <is>
          <t>3. VALUATION SUMMARY</t>
        </is>
      </c>
      <c r="C49" s="118" t="n"/>
      <c r="D49" s="118" t="n"/>
      <c r="E49" s="118" t="n"/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118" t="n"/>
      <c r="O49" s="118" t="n"/>
      <c r="P49" s="118" t="n"/>
      <c r="Q49" s="118" t="n"/>
    </row>
    <row r="50" ht="15" customHeight="1">
      <c r="B50" s="140" t="inlineStr">
        <is>
          <t>Sum of PV (explicit + fade)</t>
        </is>
      </c>
      <c r="C50" s="120">
        <f>SUM(D36:M36)</f>
        <v>4482.35637469801</v>
      </c>
      <c r="D50" s="118" t="n"/>
      <c r="E50" s="118" t="n"/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118" t="n"/>
      <c r="O50" s="118" t="n"/>
      <c r="P50" s="118" t="n"/>
      <c r="Q50" s="118" t="n"/>
    </row>
    <row r="51" ht="15" customHeight="1">
      <c r="B51" s="140" t="inlineStr">
        <is>
          <t>PV of Terminal Value</t>
        </is>
      </c>
      <c r="C51" s="120">
        <f>N36</f>
        <v>8532.35157927259</v>
      </c>
      <c r="D51" s="118" t="n"/>
      <c r="E51" s="118" t="n"/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118" t="n"/>
      <c r="O51" s="118" t="n"/>
      <c r="P51" s="118" t="n"/>
      <c r="Q51" s="118" t="n"/>
    </row>
    <row r="52" ht="15" customHeight="1">
      <c r="B52" s="145" t="inlineStr">
        <is>
          <t>Enterprise Value</t>
        </is>
      </c>
      <c r="C52" s="149">
        <f>C50+C51</f>
        <v>13014.7079539706</v>
      </c>
      <c r="D52" s="118" t="n"/>
      <c r="E52" s="118" t="n"/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118" t="n"/>
      <c r="O52" s="118" t="n"/>
      <c r="P52" s="118" t="n"/>
      <c r="Q52" s="118" t="n"/>
    </row>
    <row r="53" ht="15" customHeight="1">
      <c r="B53" s="140" t="inlineStr">
        <is>
          <t>Less: net debt (Model 2026E YE, post ES&amp;H / EnviroServe; net of marketable securities)</t>
        </is>
      </c>
      <c r="C53" s="120">
        <f>Model!CA419</f>
        <v>2710.31128189429</v>
      </c>
      <c r="D53" s="118" t="n"/>
      <c r="E53" s="118" t="n"/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118" t="n"/>
      <c r="O53" s="118" t="n"/>
      <c r="P53" s="118" t="n"/>
      <c r="Q53" s="118" t="n"/>
    </row>
    <row r="54" ht="15" customHeight="1">
      <c r="B54" s="140" t="inlineStr">
        <is>
          <t>Less: non-controlling interests (Model 2026E)</t>
        </is>
      </c>
      <c r="C54" s="120">
        <f>Model!CA325</f>
        <v>0</v>
      </c>
      <c r="D54" s="118" t="n"/>
      <c r="E54" s="118" t="n"/>
      <c r="F54" s="118" t="n"/>
      <c r="G54" s="118" t="n"/>
      <c r="H54" s="118" t="n"/>
      <c r="I54" s="118" t="n"/>
      <c r="J54" s="118" t="n"/>
      <c r="K54" s="118" t="n"/>
      <c r="L54" s="118" t="n"/>
      <c r="M54" s="118" t="n"/>
      <c r="N54" s="118" t="n"/>
      <c r="O54" s="118" t="n"/>
      <c r="P54" s="118" t="n"/>
      <c r="Q54" s="118" t="n"/>
    </row>
    <row r="55" ht="15" customHeight="1">
      <c r="B55" s="145" t="inlineStr">
        <is>
          <t>Equity Value</t>
        </is>
      </c>
      <c r="C55" s="149">
        <f>C52-C53-C54</f>
        <v>10304.3966720763</v>
      </c>
      <c r="D55" s="118" t="n"/>
      <c r="E55" s="118" t="n"/>
      <c r="F55" s="118" t="n"/>
      <c r="G55" s="118" t="n"/>
      <c r="H55" s="118" t="n"/>
      <c r="I55" s="118" t="n"/>
      <c r="J55" s="118" t="n"/>
      <c r="K55" s="118" t="n"/>
      <c r="L55" s="118" t="n"/>
      <c r="M55" s="118" t="n"/>
      <c r="N55" s="118" t="n"/>
      <c r="O55" s="118" t="n"/>
      <c r="P55" s="118" t="n"/>
      <c r="Q55" s="118" t="n"/>
    </row>
    <row r="56" ht="15" customHeight="1">
      <c r="B56" s="140" t="inlineStr">
        <is>
          <t>Diluted shares (m, Model 2026E period end)</t>
        </is>
      </c>
      <c r="C56" s="132">
        <f>Model!CA425</f>
        <v>52.8404955684322</v>
      </c>
      <c r="D56" s="118" t="n"/>
      <c r="E56" s="118" t="n"/>
      <c r="F56" s="118" t="n"/>
      <c r="G56" s="118" t="n"/>
      <c r="H56" s="118" t="n"/>
      <c r="I56" s="118" t="n"/>
      <c r="J56" s="118" t="n"/>
      <c r="K56" s="118" t="n"/>
      <c r="L56" s="118" t="n"/>
      <c r="M56" s="118" t="n"/>
      <c r="N56" s="118" t="n"/>
      <c r="O56" s="118" t="n"/>
      <c r="P56" s="118" t="n"/>
      <c r="Q56" s="118" t="n"/>
    </row>
    <row r="57" ht="15" customHeight="1">
      <c r="B57" s="145" t="inlineStr">
        <is>
          <t>Implied share price ($)</t>
        </is>
      </c>
      <c r="C57" s="154">
        <f>C55/C56</f>
        <v>195.009463125329</v>
      </c>
      <c r="D57" s="118" t="n"/>
      <c r="E57" s="118" t="n"/>
      <c r="F57" s="118" t="n"/>
      <c r="G57" s="118" t="n"/>
      <c r="H57" s="118" t="n"/>
      <c r="I57" s="118" t="n"/>
      <c r="J57" s="118" t="n"/>
      <c r="K57" s="118" t="n"/>
      <c r="L57" s="118" t="n"/>
      <c r="M57" s="118" t="n"/>
      <c r="N57" s="118" t="n"/>
      <c r="O57" s="118" t="n"/>
      <c r="P57" s="118" t="n"/>
      <c r="Q57" s="118" t="n"/>
    </row>
    <row r="58" ht="15" customHeight="1">
      <c r="B58" s="140" t="inlineStr">
        <is>
          <t>Current share price ($)</t>
        </is>
      </c>
      <c r="C58" s="133">
        <f>Model!CA424</f>
        <v>321.34</v>
      </c>
      <c r="D58" s="118" t="n"/>
      <c r="E58" s="118" t="n"/>
      <c r="F58" s="118" t="n"/>
      <c r="G58" s="118" t="n"/>
      <c r="H58" s="118" t="n"/>
      <c r="I58" s="118" t="n"/>
      <c r="J58" s="118" t="n"/>
      <c r="K58" s="118" t="n"/>
      <c r="L58" s="118" t="n"/>
      <c r="M58" s="118" t="n"/>
      <c r="N58" s="118" t="n"/>
      <c r="O58" s="118" t="n"/>
      <c r="P58" s="118" t="n"/>
      <c r="Q58" s="118" t="n"/>
    </row>
    <row r="59" ht="15" customHeight="1">
      <c r="B59" s="140" t="inlineStr">
        <is>
          <t>Implied upside / (downside)</t>
        </is>
      </c>
      <c r="C59" s="131">
        <f>C57/C58-1</f>
        <v>-0.393136667936362</v>
      </c>
      <c r="D59" s="118" t="n"/>
      <c r="E59" s="118" t="n"/>
      <c r="F59" s="118" t="n"/>
      <c r="G59" s="118" t="n"/>
      <c r="H59" s="118" t="n"/>
      <c r="I59" s="118" t="n"/>
      <c r="J59" s="118" t="n"/>
      <c r="K59" s="118" t="n"/>
      <c r="L59" s="118" t="n"/>
      <c r="M59" s="118" t="n"/>
      <c r="N59" s="118" t="n"/>
      <c r="O59" s="118" t="n"/>
      <c r="P59" s="118" t="n"/>
      <c r="Q59" s="118" t="n"/>
    </row>
    <row r="60" ht="15" customHeight="1">
      <c r="B60" s="118" t="inlineStr">
        <is>
          <t>Required discount to DCF value for target IRR (discount closes over horizon; value compounds at WACC)</t>
        </is>
      </c>
      <c r="C60" s="121">
        <f>1-((1+C13)/(1+F60))^F61</f>
        <v>0.128867416809268</v>
      </c>
      <c r="D60" s="118" t="n"/>
      <c r="E60" s="159" t="inlineStr">
        <is>
          <t>Target IRR</t>
        </is>
      </c>
      <c r="F60" s="160" t="n">
        <v>0.15</v>
      </c>
      <c r="G60" s="118" t="n"/>
      <c r="H60" s="118" t="n"/>
      <c r="I60" s="118" t="n"/>
      <c r="J60" s="118" t="n"/>
      <c r="K60" s="118" t="n"/>
      <c r="L60" s="118" t="n"/>
      <c r="M60" s="118" t="n"/>
      <c r="N60" s="118" t="n"/>
      <c r="O60" s="118" t="n"/>
      <c r="P60" s="118" t="n"/>
      <c r="Q60" s="118" t="n"/>
    </row>
    <row r="61" ht="15" customHeight="1">
      <c r="B61" s="118" t="inlineStr">
        <is>
          <t>Max entry price for target IRR ($) — % vs. current share price shown right</t>
        </is>
      </c>
      <c r="C61" s="161">
        <f>C57*(1-C60)</f>
        <v>169.879097359006</v>
      </c>
      <c r="D61" s="170">
        <f>C61/C58-1</f>
        <v>-0.471341577895668</v>
      </c>
      <c r="E61" s="159" t="inlineStr">
        <is>
          <t>Years for discount to close</t>
        </is>
      </c>
      <c r="F61" s="162" t="n">
        <v>3</v>
      </c>
      <c r="G61" s="118" t="n"/>
      <c r="H61" s="118" t="n"/>
      <c r="I61" s="118" t="n"/>
      <c r="J61" s="118" t="n"/>
      <c r="K61" s="118" t="n"/>
      <c r="L61" s="118" t="n"/>
      <c r="M61" s="118" t="n"/>
      <c r="N61" s="118" t="n"/>
      <c r="O61" s="118" t="n"/>
      <c r="P61" s="118" t="n"/>
      <c r="Q61" s="118" t="n"/>
    </row>
    <row r="62">
      <c r="B62" s="118" t="n"/>
      <c r="C62" s="118" t="n"/>
      <c r="D62" s="118" t="n"/>
      <c r="E62" s="118" t="n"/>
      <c r="F62" s="118" t="n"/>
      <c r="G62" s="118" t="n"/>
      <c r="H62" s="118" t="n"/>
      <c r="I62" s="118" t="n"/>
      <c r="J62" s="118" t="n"/>
      <c r="K62" s="118" t="n"/>
      <c r="L62" s="118" t="n"/>
      <c r="M62" s="118" t="n"/>
      <c r="N62" s="118" t="n"/>
      <c r="O62" s="118" t="n"/>
      <c r="P62" s="118" t="n"/>
      <c r="Q62" s="118" t="n"/>
    </row>
    <row r="63">
      <c r="B63" s="118" t="n"/>
      <c r="C63" s="118" t="n"/>
      <c r="D63" s="118" t="n"/>
      <c r="E63" s="118" t="n"/>
      <c r="F63" s="118" t="n"/>
      <c r="G63" s="118" t="n"/>
      <c r="H63" s="118" t="n"/>
      <c r="I63" s="118" t="n"/>
      <c r="J63" s="118" t="n"/>
      <c r="K63" s="118" t="n"/>
      <c r="L63" s="118" t="n"/>
      <c r="M63" s="118" t="n"/>
      <c r="N63" s="118" t="n"/>
      <c r="O63" s="118" t="n"/>
      <c r="P63" s="118" t="n"/>
      <c r="Q63" s="118" t="n"/>
    </row>
    <row r="64" ht="15" customHeight="1">
      <c r="B64" s="139" t="inlineStr">
        <is>
          <t>4. SENSITIVITY: IMPLIED PRICE ($) — WACC × Terminal Growth</t>
        </is>
      </c>
      <c r="C64" s="118" t="n"/>
      <c r="D64" s="118" t="n"/>
      <c r="E64" s="118" t="n"/>
      <c r="F64" s="118" t="n"/>
      <c r="G64" s="118" t="n"/>
      <c r="H64" s="118" t="n"/>
      <c r="I64" s="118" t="n"/>
      <c r="J64" s="118" t="n"/>
      <c r="K64" s="118" t="n"/>
      <c r="L64" s="118" t="n"/>
      <c r="M64" s="118" t="n"/>
      <c r="N64" s="118" t="n"/>
      <c r="O64" s="118" t="n"/>
      <c r="P64" s="118" t="n"/>
      <c r="Q64" s="118" t="n"/>
    </row>
    <row r="65">
      <c r="B65" s="118" t="inlineStr">
        <is>
          <t>WACC step (across)</t>
        </is>
      </c>
      <c r="C65" s="134" t="n">
        <v>0.005</v>
      </c>
      <c r="D65" s="118" t="n"/>
      <c r="E65" s="118" t="n"/>
      <c r="F65" s="118" t="n"/>
      <c r="G65" s="118" t="n"/>
      <c r="H65" s="118" t="n"/>
      <c r="I65" s="118" t="n"/>
      <c r="J65" s="118" t="n"/>
      <c r="K65" s="118" t="n"/>
      <c r="L65" s="118" t="n"/>
      <c r="M65" s="118" t="n"/>
      <c r="N65" s="118" t="n"/>
      <c r="O65" s="118" t="n"/>
      <c r="P65" s="118" t="n"/>
      <c r="Q65" s="118" t="n"/>
    </row>
    <row r="66" ht="15" customHeight="1">
      <c r="B66" s="118" t="inlineStr">
        <is>
          <t>Terminal growth step (down)</t>
        </is>
      </c>
      <c r="C66" s="134" t="n">
        <v>0.005</v>
      </c>
      <c r="D66" s="118" t="n"/>
      <c r="E66" s="118" t="n"/>
      <c r="F66" s="118" t="n"/>
      <c r="G66" s="118" t="n"/>
      <c r="H66" s="118" t="n"/>
      <c r="I66" s="118" t="n"/>
      <c r="J66" s="118" t="n"/>
      <c r="K66" s="118" t="n"/>
      <c r="L66" s="118" t="n"/>
      <c r="M66" s="118" t="n"/>
      <c r="N66" s="118" t="n"/>
      <c r="O66" s="118" t="n"/>
      <c r="P66" s="118" t="n"/>
      <c r="Q66" s="118" t="n"/>
    </row>
    <row r="67" ht="15" customHeight="1">
      <c r="B67" s="118" t="inlineStr">
        <is>
          <t>g (down) / WACC</t>
        </is>
      </c>
      <c r="C67" s="118" t="n"/>
      <c r="D67" s="155">
        <f>E67-$C$65</f>
        <v>0.0883125</v>
      </c>
      <c r="E67" s="155">
        <f>F67-$C$65</f>
        <v>0.0933125</v>
      </c>
      <c r="F67" s="155">
        <f>$C$13</f>
        <v>0.0983125</v>
      </c>
      <c r="G67" s="155">
        <f>F67+$C$65</f>
        <v>0.1033125</v>
      </c>
      <c r="H67" s="155">
        <f>G67+$C$65</f>
        <v>0.1083125</v>
      </c>
      <c r="I67" s="118" t="n"/>
      <c r="J67" s="118" t="n"/>
      <c r="K67" s="118" t="n"/>
      <c r="L67" s="118" t="n"/>
      <c r="M67" s="118" t="n"/>
      <c r="N67" s="118" t="n"/>
      <c r="O67" s="118" t="n"/>
      <c r="P67" s="118" t="n"/>
      <c r="Q67" s="118" t="n"/>
    </row>
    <row r="68" ht="15" customHeight="1">
      <c r="B68" s="155">
        <f>B69-$C$66</f>
        <v>0.03</v>
      </c>
      <c r="C68" s="118" t="n"/>
      <c r="D68" s="135">
        <f>IFERROR((SUMPRODUCT($D$26:$M$26/(1+D$67)^$D$34:$M$34)+($M$26*(1+$B68)/(D$67-$B68))/(1+D$67)^$M$34-$C$53-$C$54)/$C$56,"")</f>
        <v>211.621485308685</v>
      </c>
      <c r="E68" s="135">
        <f>IFERROR((SUMPRODUCT($D$26:$M$26/(1+E$67)^$D$34:$M$34)+($M$26*(1+$B68)/(E$67-$B68))/(1+E$67)^$M$34-$C$53-$C$54)/$C$56,"")</f>
        <v>189.164968840431</v>
      </c>
      <c r="F68" s="135">
        <f>IFERROR((SUMPRODUCT($D$26:$M$26/(1+F$67)^$D$34:$M$34)+($M$26*(1+$B68)/(F$67-$B68))/(1+F$67)^$M$34-$C$53-$C$54)/$C$56,"")</f>
        <v>170.046607313783</v>
      </c>
      <c r="G68" s="135">
        <f>IFERROR((SUMPRODUCT($D$26:$M$26/(1+G$67)^$D$34:$M$34)+($M$26*(1+$B68)/(G$67-$B68))/(1+G$67)^$M$34-$C$53-$C$54)/$C$56,"")</f>
        <v>153.581932339223</v>
      </c>
      <c r="H68" s="135">
        <f>IFERROR((SUMPRODUCT($D$26:$M$26/(1+H$67)^$D$34:$M$34)+($M$26*(1+$B68)/(H$67-$B68))/(1+H$67)^$M$34-$C$53-$C$54)/$C$56,"")</f>
        <v>139.261330333024</v>
      </c>
      <c r="I68" s="118" t="n"/>
      <c r="J68" s="118" t="n"/>
      <c r="K68" s="118" t="n"/>
      <c r="L68" s="118" t="n"/>
      <c r="M68" s="118" t="n"/>
      <c r="N68" s="118" t="n"/>
      <c r="O68" s="118" t="n"/>
      <c r="P68" s="118" t="n"/>
      <c r="Q68" s="118" t="n"/>
    </row>
    <row r="69" ht="15" customHeight="1">
      <c r="B69" s="155">
        <f>B70-$C$66</f>
        <v>0.035</v>
      </c>
      <c r="C69" s="118" t="n"/>
      <c r="D69" s="135">
        <f>IFERROR((SUMPRODUCT($D$26:$M$26/(1+D$67)^$D$34:$M$34)+($M$26*(1+$B69)/(D$67-$B69))/(1+D$67)^$M$34-$C$53-$C$54)/$C$56,"")</f>
        <v>228.866684234421</v>
      </c>
      <c r="E69" s="135">
        <f>IFERROR((SUMPRODUCT($D$26:$M$26/(1+E$67)^$D$34:$M$34)+($M$26*(1+$B69)/(E$67-$B69))/(1+E$67)^$M$34-$C$53-$C$54)/$C$56,"")</f>
        <v>203.148085071718</v>
      </c>
      <c r="F69" s="135">
        <f>IFERROR((SUMPRODUCT($D$26:$M$26/(1+F$67)^$D$34:$M$34)+($M$26*(1+$B69)/(F$67-$B69))/(1+F$67)^$M$34-$C$53-$C$54)/$C$56,"")</f>
        <v>181.542335088794</v>
      </c>
      <c r="G69" s="135">
        <f>IFERROR((SUMPRODUCT($D$26:$M$26/(1+G$67)^$D$34:$M$34)+($M$26*(1+$B69)/(G$67-$B69))/(1+G$67)^$M$34-$C$53-$C$54)/$C$56,"")</f>
        <v>163.144908954028</v>
      </c>
      <c r="H69" s="135">
        <f>IFERROR((SUMPRODUCT($D$26:$M$26/(1+H$67)^$D$34:$M$34)+($M$26*(1+$B69)/(H$67-$B69))/(1+H$67)^$M$34-$C$53-$C$54)/$C$56,"")</f>
        <v>147.298087971979</v>
      </c>
      <c r="I69" s="118" t="n"/>
      <c r="J69" s="118" t="n"/>
      <c r="K69" s="118" t="n"/>
      <c r="L69" s="118" t="n"/>
      <c r="M69" s="118" t="n"/>
      <c r="N69" s="118" t="n"/>
      <c r="O69" s="118" t="n"/>
      <c r="P69" s="118" t="n"/>
      <c r="Q69" s="118" t="n"/>
    </row>
    <row r="70" ht="15" customHeight="1">
      <c r="B70" s="155">
        <f>$C$32</f>
        <v>0.04</v>
      </c>
      <c r="C70" s="118" t="n"/>
      <c r="D70" s="135">
        <f>IFERROR((SUMPRODUCT($D$26:$M$26/(1+D$67)^$D$34:$M$34)+($M$26*(1+$B70)/(D$67-$B70))/(1+D$67)^$M$34-$C$53-$C$54)/$C$56,"")</f>
        <v>249.681393933919</v>
      </c>
      <c r="E70" s="135">
        <f>IFERROR((SUMPRODUCT($D$26:$M$26/(1+E$67)^$D$34:$M$34)+($M$26*(1+$B70)/(E$67-$B70))/(1+E$67)^$M$34-$C$53-$C$54)/$C$56,"")</f>
        <v>219.754060150608</v>
      </c>
      <c r="F70" s="136">
        <f>IFERROR((SUMPRODUCT($D$26:$M$26/(1+F$67)^$D$34:$M$34)+($M$26*(1+$B70)/(F$67-$B70))/(1+F$67)^$M$34-$C$53-$C$54)/$C$56,"")</f>
        <v>195.009463125329</v>
      </c>
      <c r="G70" s="135">
        <f>IFERROR((SUMPRODUCT($D$26:$M$26/(1+G$67)^$D$34:$M$34)+($M$26*(1+$B70)/(G$67-$B70))/(1+G$67)^$M$34-$C$53-$C$54)/$C$56,"")</f>
        <v>174.218326100291</v>
      </c>
      <c r="H70" s="135">
        <f>IFERROR((SUMPRODUCT($D$26:$M$26/(1+H$67)^$D$34:$M$34)+($M$26*(1+$B70)/(H$67-$B70))/(1+H$67)^$M$34-$C$53-$C$54)/$C$56,"")</f>
        <v>156.511315164669</v>
      </c>
      <c r="I70" s="118" t="n"/>
      <c r="J70" s="118" t="n"/>
      <c r="K70" s="118" t="n"/>
      <c r="L70" s="118" t="n"/>
      <c r="M70" s="118" t="n"/>
      <c r="N70" s="118" t="n"/>
      <c r="O70" s="118" t="n"/>
      <c r="P70" s="118" t="n"/>
      <c r="Q70" s="118" t="n"/>
    </row>
    <row r="71" ht="15" customHeight="1">
      <c r="B71" s="155">
        <f>B70+$C$66</f>
        <v>0.045</v>
      </c>
      <c r="C71" s="118" t="n"/>
      <c r="D71" s="135">
        <f>IFERROR((SUMPRODUCT($D$26:$M$26/(1+D$67)^$D$34:$M$34)+($M$26*(1+$B71)/(D$67-$B71))/(1+D$67)^$M$34-$C$53-$C$54)/$C$56,"")</f>
        <v>275.301808614542</v>
      </c>
      <c r="E71" s="135">
        <f>IFERROR((SUMPRODUCT($D$26:$M$26/(1+E$67)^$D$34:$M$34)+($M$26*(1+$B71)/(E$67-$B71))/(1+E$67)^$M$34-$C$53-$C$54)/$C$56,"")</f>
        <v>239.797235763291</v>
      </c>
      <c r="F71" s="135">
        <f>IFERROR((SUMPRODUCT($D$26:$M$26/(1+F$67)^$D$34:$M$34)+($M$26*(1+$B71)/(F$67-$B71))/(1+F$67)^$M$34-$C$53-$C$54)/$C$56,"")</f>
        <v>211.002664416079</v>
      </c>
      <c r="G71" s="135">
        <f>IFERROR((SUMPRODUCT($D$26:$M$26/(1+G$67)^$D$34:$M$34)+($M$26*(1+$B71)/(G$67-$B71))/(1+G$67)^$M$34-$C$53-$C$54)/$C$56,"")</f>
        <v>187.190721535304</v>
      </c>
      <c r="H71" s="135">
        <f>IFERROR((SUMPRODUCT($D$26:$M$26/(1+H$67)^$D$34:$M$34)+($M$26*(1+$B71)/(H$67-$B71))/(1+H$67)^$M$34-$C$53-$C$54)/$C$56,"")</f>
        <v>167.179741124221</v>
      </c>
      <c r="I71" s="118" t="n"/>
      <c r="J71" s="118" t="n"/>
      <c r="K71" s="118" t="n"/>
      <c r="L71" s="118" t="n"/>
      <c r="M71" s="118" t="n"/>
      <c r="N71" s="118" t="n"/>
      <c r="O71" s="118" t="n"/>
      <c r="P71" s="118" t="n"/>
      <c r="Q71" s="118" t="n"/>
    </row>
    <row r="72" ht="15" customHeight="1">
      <c r="B72" s="155">
        <f>B71+$C$66</f>
        <v>0.05</v>
      </c>
      <c r="C72" s="118" t="n"/>
      <c r="D72" s="135">
        <f>IFERROR((SUMPRODUCT($D$26:$M$26/(1+D$67)^$D$34:$M$34)+($M$26*(1+$B72)/(D$67-$B72))/(1+D$67)^$M$34-$C$53-$C$54)/$C$56,"")</f>
        <v>307.609444092718</v>
      </c>
      <c r="E72" s="135">
        <f>IFERROR((SUMPRODUCT($D$26:$M$26/(1+E$67)^$D$34:$M$34)+($M$26*(1+$B72)/(E$67-$B72))/(1+E$67)^$M$34-$C$53-$C$54)/$C$56,"")</f>
        <v>264.467984389005</v>
      </c>
      <c r="F72" s="135">
        <f>IFERROR((SUMPRODUCT($D$26:$M$26/(1+F$67)^$D$34:$M$34)+($M$26*(1+$B72)/(F$67-$B72))/(1+F$67)^$M$34-$C$53-$C$54)/$C$56,"")</f>
        <v>230.306230786415</v>
      </c>
      <c r="G72" s="135">
        <f>IFERROR((SUMPRODUCT($D$26:$M$26/(1+G$67)^$D$34:$M$34)+($M$26*(1+$B72)/(G$67-$B72))/(1+G$67)^$M$34-$C$53-$C$54)/$C$56,"")</f>
        <v>202.596391612288</v>
      </c>
      <c r="H72" s="135">
        <f>IFERROR((SUMPRODUCT($D$26:$M$26/(1+H$67)^$D$34:$M$34)+($M$26*(1+$B72)/(H$67-$B72))/(1+H$67)^$M$34-$C$53-$C$54)/$C$56,"")</f>
        <v>179.677693507704</v>
      </c>
      <c r="I72" s="118" t="n"/>
      <c r="J72" s="118" t="n"/>
      <c r="K72" s="118" t="n"/>
      <c r="L72" s="118" t="n"/>
      <c r="M72" s="118" t="n"/>
      <c r="N72" s="118" t="n"/>
      <c r="O72" s="118" t="n"/>
      <c r="P72" s="118" t="n"/>
      <c r="Q72" s="118" t="n"/>
    </row>
    <row r="73">
      <c r="B73" s="118" t="n"/>
      <c r="C73" s="118" t="n"/>
      <c r="D73" s="118" t="n"/>
      <c r="E73" s="118" t="n"/>
      <c r="F73" s="118" t="n"/>
      <c r="G73" s="118" t="n"/>
      <c r="H73" s="118" t="n"/>
      <c r="I73" s="118" t="n"/>
      <c r="J73" s="118" t="n"/>
      <c r="K73" s="118" t="n"/>
      <c r="L73" s="118" t="n"/>
      <c r="M73" s="118" t="n"/>
      <c r="N73" s="118" t="n"/>
      <c r="O73" s="118" t="n"/>
      <c r="P73" s="118" t="n"/>
      <c r="Q73" s="118" t="n"/>
    </row>
    <row r="74">
      <c r="B74" s="118" t="n"/>
      <c r="C74" s="118" t="n"/>
      <c r="D74" s="118" t="n"/>
      <c r="E74" s="118" t="n"/>
      <c r="F74" s="118" t="n"/>
      <c r="G74" s="118" t="n"/>
      <c r="H74" s="118" t="n"/>
      <c r="I74" s="118" t="n"/>
      <c r="J74" s="118" t="n"/>
      <c r="K74" s="118" t="n"/>
      <c r="L74" s="118" t="n"/>
      <c r="M74" s="118" t="n"/>
      <c r="N74" s="118" t="n"/>
      <c r="O74" s="118" t="n"/>
      <c r="P74" s="118" t="n"/>
      <c r="Q74" s="118" t="n"/>
    </row>
    <row r="75" ht="15" customHeight="1">
      <c r="B75" s="139" t="inlineStr">
        <is>
          <t>5. REVERSE DCF</t>
        </is>
      </c>
      <c r="C75" s="118" t="n"/>
      <c r="D75" s="118" t="n"/>
      <c r="E75" s="118" t="n"/>
      <c r="F75" s="118" t="n"/>
      <c r="G75" s="118" t="n"/>
      <c r="H75" s="118" t="n"/>
      <c r="I75" s="118" t="n"/>
      <c r="J75" s="118" t="n"/>
      <c r="K75" s="118" t="n"/>
      <c r="L75" s="118" t="n"/>
      <c r="M75" s="118" t="n"/>
      <c r="N75" s="118" t="n"/>
      <c r="O75" s="118" t="n"/>
      <c r="P75" s="118" t="n"/>
      <c r="Q75" s="118" t="n"/>
    </row>
    <row r="76" ht="15" customHeight="1">
      <c r="B76" s="142" t="inlineStr">
        <is>
          <t>To solve for the market-implied path: Data ▸ What-If Analysis ▸ Goal Seek — set C57 (implied price) to the current price (C58) by changing C32 (terminal growth) or the Model scenario levers (service-line growth, ES / SKSS margins, deal synergies, M&amp;A spend).</t>
        </is>
      </c>
      <c r="C76" s="118" t="n"/>
      <c r="D76" s="118" t="n"/>
      <c r="E76" s="118" t="n"/>
      <c r="F76" s="118" t="n"/>
      <c r="G76" s="118" t="n"/>
      <c r="H76" s="118" t="n"/>
      <c r="I76" s="118" t="n"/>
      <c r="J76" s="118" t="n"/>
      <c r="K76" s="118" t="n"/>
      <c r="L76" s="118" t="n"/>
      <c r="M76" s="118" t="n"/>
      <c r="N76" s="118" t="n"/>
      <c r="O76" s="118" t="n"/>
      <c r="P76" s="118" t="n"/>
      <c r="Q76" s="118" t="n"/>
    </row>
    <row r="77">
      <c r="B77" s="118" t="n"/>
      <c r="C77" s="118" t="n"/>
      <c r="D77" s="118" t="n"/>
      <c r="E77" s="118" t="n"/>
      <c r="F77" s="118" t="n"/>
      <c r="G77" s="118" t="n"/>
      <c r="H77" s="118" t="n"/>
      <c r="I77" s="118" t="n"/>
      <c r="J77" s="118" t="n"/>
      <c r="K77" s="118" t="n"/>
      <c r="L77" s="118" t="n"/>
      <c r="M77" s="118" t="n"/>
      <c r="N77" s="118" t="n"/>
      <c r="O77" s="118" t="n"/>
      <c r="P77" s="118" t="n"/>
      <c r="Q77" s="118" t="n"/>
    </row>
    <row r="78" ht="15" customHeight="1">
      <c r="B78" s="139" t="inlineStr">
        <is>
          <t>6. MAUBOUSSIN EV / NOPAT — TWO-STAGE FRAMEWORK</t>
        </is>
      </c>
      <c r="C78" s="118" t="n"/>
      <c r="D78" s="118" t="n"/>
      <c r="E78" s="118" t="n"/>
      <c r="F78" s="118" t="n"/>
      <c r="G78" s="118" t="n"/>
      <c r="H78" s="118" t="n"/>
      <c r="I78" s="118" t="n"/>
      <c r="J78" s="118" t="n"/>
      <c r="K78" s="118" t="n"/>
      <c r="L78" s="118" t="n"/>
      <c r="M78" s="118" t="n"/>
      <c r="N78" s="118" t="n"/>
      <c r="O78" s="118" t="n"/>
      <c r="P78" s="118" t="n"/>
      <c r="Q78" s="118" t="n"/>
    </row>
    <row r="79" ht="15" customHeight="1">
      <c r="B79" s="142" t="inlineStr">
        <is>
          <t>EV/NOPAT  =  1/r  +  [g × (1 − r/ROIIC) / (r × (r − g))] × [1 − ((1+g)/(1+r))^N]</t>
        </is>
      </c>
      <c r="C79" s="118" t="n"/>
      <c r="D79" s="118" t="n"/>
      <c r="E79" s="118" t="n"/>
      <c r="F79" s="118" t="n"/>
      <c r="G79" s="118" t="n"/>
      <c r="H79" s="118" t="n"/>
      <c r="I79" s="118" t="n"/>
      <c r="J79" s="118" t="n"/>
      <c r="K79" s="118" t="n"/>
      <c r="L79" s="118" t="n"/>
      <c r="M79" s="118" t="n"/>
      <c r="N79" s="118" t="n"/>
      <c r="O79" s="118" t="n"/>
      <c r="P79" s="118" t="n"/>
      <c r="Q79" s="118" t="n"/>
    </row>
    <row r="80" ht="15" customHeight="1">
      <c r="B80" s="142" t="inlineStr">
        <is>
          <t>Formula source: Mauboussin &amp; Rappaport, "Expectations Investing" (2021); Counterpoint Global, "What Does a Price-Earnings Multiple Mean?" (2020).</t>
        </is>
      </c>
      <c r="C80" s="118" t="n"/>
      <c r="D80" s="118" t="n"/>
      <c r="E80" s="118" t="n"/>
      <c r="F80" s="118" t="n"/>
      <c r="G80" s="118" t="n"/>
      <c r="H80" s="118" t="n"/>
      <c r="I80" s="118" t="n"/>
      <c r="J80" s="118" t="n"/>
      <c r="K80" s="118" t="n"/>
      <c r="L80" s="118" t="n"/>
      <c r="M80" s="118" t="n"/>
      <c r="N80" s="118" t="n"/>
      <c r="O80" s="118" t="n"/>
      <c r="P80" s="118" t="n"/>
      <c r="Q80" s="118" t="n"/>
    </row>
    <row r="81">
      <c r="B81" s="118" t="n"/>
      <c r="C81" s="118" t="n"/>
      <c r="D81" s="118" t="n"/>
      <c r="E81" s="118" t="n"/>
      <c r="F81" s="118" t="n"/>
      <c r="G81" s="118" t="n"/>
      <c r="H81" s="118" t="n"/>
      <c r="I81" s="118" t="n"/>
      <c r="J81" s="118" t="n"/>
      <c r="K81" s="118" t="n"/>
      <c r="L81" s="118" t="n"/>
      <c r="M81" s="118" t="n"/>
      <c r="N81" s="118" t="n"/>
      <c r="O81" s="118" t="n"/>
      <c r="P81" s="118" t="n"/>
      <c r="Q81" s="118" t="n"/>
    </row>
    <row r="82" ht="15" customHeight="1">
      <c r="B82" s="139" t="inlineStr">
        <is>
          <t>Input</t>
        </is>
      </c>
      <c r="C82" s="139" t="inlineStr">
        <is>
          <t>Value</t>
        </is>
      </c>
      <c r="D82" s="139" t="inlineStr">
        <is>
          <t>Rationale (Clean Harbors characteristics)</t>
        </is>
      </c>
      <c r="E82" s="118" t="n"/>
      <c r="F82" s="118" t="n"/>
      <c r="G82" s="118" t="n"/>
      <c r="H82" s="118" t="n"/>
      <c r="I82" s="118" t="n"/>
      <c r="J82" s="118" t="n"/>
      <c r="K82" s="118" t="n"/>
      <c r="L82" s="118" t="n"/>
      <c r="M82" s="118" t="n"/>
      <c r="N82" s="118" t="n"/>
      <c r="O82" s="118" t="n"/>
      <c r="P82" s="118" t="n"/>
      <c r="Q82" s="118" t="n"/>
    </row>
    <row r="83" ht="15" customHeight="1">
      <c r="B83" s="118" t="inlineStr">
        <is>
          <t>r  (Cost of capital / WACC)</t>
        </is>
      </c>
      <c r="C83" s="156">
        <f>$C$13</f>
        <v>0.0983125</v>
      </c>
      <c r="D83" s="142" t="inlineStr">
        <is>
          <t>Linked from Section 1 WACC build</t>
        </is>
      </c>
      <c r="E83" s="118" t="n"/>
      <c r="F83" s="118" t="n"/>
      <c r="G83" s="118" t="n"/>
      <c r="H83" s="118" t="n"/>
      <c r="I83" s="118" t="n"/>
      <c r="J83" s="118" t="n"/>
      <c r="K83" s="118" t="n"/>
      <c r="L83" s="118" t="n"/>
      <c r="M83" s="118" t="n"/>
      <c r="N83" s="118" t="n"/>
      <c r="O83" s="118" t="n"/>
      <c r="P83" s="118" t="n"/>
      <c r="Q83" s="118" t="n"/>
    </row>
    <row r="84" ht="15" customHeight="1">
      <c r="B84" s="118" t="inlineStr">
        <is>
          <t>g  (NOPAT growth, Stage 1)</t>
        </is>
      </c>
      <c r="C84" s="141" t="n">
        <v>0.08</v>
      </c>
      <c r="D84" s="142" t="inlineStr">
        <is>
          <t>Model Adjusted EBIT CAGR 2026–30E: mid/high-single-digit Technical Services pricing &amp; volume, ES margin expansion, deal synergies; SKSS normalises after the 2026 base-oil spike → ~8% NOPAT growth</t>
        </is>
      </c>
      <c r="E84" s="118" t="n"/>
      <c r="F84" s="118" t="n"/>
      <c r="G84" s="118" t="n"/>
      <c r="H84" s="118" t="n"/>
      <c r="I84" s="118" t="n"/>
      <c r="J84" s="118" t="n"/>
      <c r="K84" s="118" t="n"/>
      <c r="L84" s="118" t="n"/>
      <c r="M84" s="118" t="n"/>
      <c r="N84" s="118" t="n"/>
      <c r="O84" s="118" t="n"/>
      <c r="P84" s="118" t="n"/>
      <c r="Q84" s="118" t="n"/>
    </row>
    <row r="85" ht="15" customHeight="1">
      <c r="B85" s="118" t="inlineStr">
        <is>
          <t>ROIIC  (Return on incremental invested capital)</t>
        </is>
      </c>
      <c r="C85" s="141" t="n">
        <v>0.14</v>
      </c>
      <c r="D85" s="142" t="inlineStr">
        <is>
          <t>Irreplaceable permitted disposal network (9 incinerators incl. Kimball, landfills, TSDFs) earns high returns on organic investment; bolt-on M&amp;A at ~9–12x post-synergy EBITDA earns ~8–10% after tax</t>
        </is>
      </c>
      <c r="E85" s="118" t="n"/>
      <c r="F85" s="118" t="n"/>
      <c r="G85" s="118" t="n"/>
      <c r="H85" s="118" t="n"/>
      <c r="I85" s="118" t="n"/>
      <c r="J85" s="118" t="n"/>
      <c r="K85" s="118" t="n"/>
      <c r="L85" s="118" t="n"/>
      <c r="M85" s="118" t="n"/>
      <c r="N85" s="118" t="n"/>
      <c r="O85" s="118" t="n"/>
      <c r="P85" s="118" t="n"/>
      <c r="Q85" s="118" t="n"/>
    </row>
    <row r="86" ht="15" customHeight="1">
      <c r="B86" s="118" t="inlineStr">
        <is>
          <t>N  (Years of value creation / CAP)</t>
        </is>
      </c>
      <c r="C86" s="157" t="n">
        <v>12</v>
      </c>
      <c r="D86" s="142" t="inlineStr">
        <is>
          <t>RCRA permitting barriers (no new commercial hazardous-waste incinerator permitted in the U.S. in decades), national scale &amp; route density, PFAS and reshoring tailwinds; SKSS re-refining is spread-exposed (commodity)</t>
        </is>
      </c>
      <c r="E86" s="118" t="n"/>
      <c r="F86" s="118" t="n"/>
      <c r="G86" s="118" t="n"/>
      <c r="H86" s="118" t="n"/>
      <c r="I86" s="118" t="n"/>
      <c r="J86" s="118" t="n"/>
      <c r="K86" s="118" t="n"/>
      <c r="L86" s="118" t="n"/>
      <c r="M86" s="118" t="n"/>
      <c r="N86" s="118" t="n"/>
      <c r="O86" s="118" t="n"/>
      <c r="P86" s="118" t="n"/>
      <c r="Q86" s="118" t="n"/>
    </row>
    <row r="87">
      <c r="B87" s="118" t="n"/>
      <c r="C87" s="118" t="n"/>
      <c r="D87" s="118" t="n"/>
      <c r="E87" s="118" t="n"/>
      <c r="F87" s="118" t="n"/>
      <c r="G87" s="118" t="n"/>
      <c r="H87" s="118" t="n"/>
      <c r="I87" s="118" t="n"/>
      <c r="J87" s="118" t="n"/>
      <c r="K87" s="118" t="n"/>
      <c r="L87" s="118" t="n"/>
      <c r="M87" s="118" t="n"/>
      <c r="N87" s="118" t="n"/>
      <c r="O87" s="118" t="n"/>
      <c r="P87" s="118" t="n"/>
      <c r="Q87" s="118" t="n"/>
    </row>
    <row r="88" ht="15" customHeight="1">
      <c r="B88" s="139" t="inlineStr">
        <is>
          <t>Calculation</t>
        </is>
      </c>
      <c r="C88" s="139" t="inlineStr">
        <is>
          <t>Value</t>
        </is>
      </c>
      <c r="D88" s="118" t="n"/>
      <c r="E88" s="118" t="n"/>
      <c r="F88" s="118" t="n"/>
      <c r="G88" s="118" t="n"/>
      <c r="H88" s="118" t="n"/>
      <c r="I88" s="118" t="n"/>
      <c r="J88" s="118" t="n"/>
      <c r="K88" s="118" t="n"/>
      <c r="L88" s="118" t="n"/>
      <c r="M88" s="118" t="n"/>
      <c r="N88" s="118" t="n"/>
      <c r="O88" s="118" t="n"/>
      <c r="P88" s="118" t="n"/>
      <c r="Q88" s="118" t="n"/>
    </row>
    <row r="89" ht="15" customHeight="1">
      <c r="B89" s="118" t="inlineStr">
        <is>
          <t>Steady-state component:  1 / r</t>
        </is>
      </c>
      <c r="C89" s="125">
        <f>1/C83</f>
        <v>10.1716465352829</v>
      </c>
      <c r="D89" s="118" t="n"/>
      <c r="E89" s="118" t="n"/>
      <c r="F89" s="118" t="n"/>
      <c r="G89" s="118" t="n"/>
      <c r="H89" s="118" t="n"/>
      <c r="I89" s="118" t="n"/>
      <c r="J89" s="118" t="n"/>
      <c r="K89" s="118" t="n"/>
      <c r="L89" s="118" t="n"/>
      <c r="M89" s="118" t="n"/>
      <c r="N89" s="118" t="n"/>
      <c r="O89" s="118" t="n"/>
      <c r="P89" s="118" t="n"/>
      <c r="Q89" s="118" t="n"/>
    </row>
    <row r="90" ht="15" customHeight="1">
      <c r="B90" s="118" t="inlineStr">
        <is>
          <t>Value-creation factor: 1 − r / ROIIC</t>
        </is>
      </c>
      <c r="C90" s="125">
        <f>1-C83/C85</f>
        <v>0.297767857142857</v>
      </c>
      <c r="D90" s="118" t="n"/>
      <c r="E90" s="118" t="n"/>
      <c r="F90" s="118" t="n"/>
      <c r="G90" s="118" t="n"/>
      <c r="H90" s="118" t="n"/>
      <c r="I90" s="118" t="n"/>
      <c r="J90" s="118" t="n"/>
      <c r="K90" s="118" t="n"/>
      <c r="L90" s="118" t="n"/>
      <c r="M90" s="118" t="n"/>
      <c r="N90" s="118" t="n"/>
      <c r="O90" s="118" t="n"/>
      <c r="P90" s="118" t="n"/>
      <c r="Q90" s="118" t="n"/>
    </row>
    <row r="91" ht="15" customHeight="1">
      <c r="B91" s="118" t="inlineStr">
        <is>
          <t>Growth multiplier: g × (1 − r/ROIIC) / (r × (r − g))</t>
        </is>
      </c>
      <c r="C91" s="125">
        <f>C84*C90/(C83*(C83-C84))</f>
        <v>13.2315714071842</v>
      </c>
      <c r="D91" s="118" t="n"/>
      <c r="E91" s="118" t="n"/>
      <c r="F91" s="118" t="n"/>
      <c r="G91" s="118" t="n"/>
      <c r="H91" s="118" t="n"/>
      <c r="I91" s="118" t="n"/>
      <c r="J91" s="118" t="n"/>
      <c r="K91" s="118" t="n"/>
      <c r="L91" s="118" t="n"/>
      <c r="M91" s="118" t="n"/>
      <c r="N91" s="118" t="n"/>
      <c r="O91" s="118" t="n"/>
      <c r="P91" s="118" t="n"/>
      <c r="Q91" s="118" t="n"/>
    </row>
    <row r="92" ht="15" customHeight="1">
      <c r="B92" s="118" t="inlineStr">
        <is>
          <t>Time decay: 1 − ((1+g)/(1+r))^N</t>
        </is>
      </c>
      <c r="C92" s="125">
        <f>1-((1+C84)/(1+C83))^C86</f>
        <v>0.182714207477705</v>
      </c>
      <c r="D92" s="118" t="n"/>
      <c r="E92" s="118" t="n"/>
      <c r="F92" s="118" t="n"/>
      <c r="G92" s="118" t="n"/>
      <c r="H92" s="118" t="n"/>
      <c r="I92" s="118" t="n"/>
      <c r="J92" s="118" t="n"/>
      <c r="K92" s="118" t="n"/>
      <c r="L92" s="118" t="n"/>
      <c r="M92" s="118" t="n"/>
      <c r="N92" s="118" t="n"/>
      <c r="O92" s="118" t="n"/>
      <c r="P92" s="118" t="n"/>
      <c r="Q92" s="118" t="n"/>
    </row>
    <row r="93" ht="15" customHeight="1">
      <c r="B93" s="118" t="inlineStr">
        <is>
          <t>PVGO component (growth value)</t>
        </is>
      </c>
      <c r="C93" s="125">
        <f>C91*C92</f>
        <v>2.41759608334831</v>
      </c>
      <c r="D93" s="118" t="n"/>
      <c r="E93" s="118" t="n"/>
      <c r="F93" s="118" t="n"/>
      <c r="G93" s="118" t="n"/>
      <c r="H93" s="118" t="n"/>
      <c r="I93" s="118" t="n"/>
      <c r="J93" s="118" t="n"/>
      <c r="K93" s="118" t="n"/>
      <c r="L93" s="118" t="n"/>
      <c r="M93" s="118" t="n"/>
      <c r="N93" s="118" t="n"/>
      <c r="O93" s="118" t="n"/>
      <c r="P93" s="118" t="n"/>
      <c r="Q93" s="118" t="n"/>
    </row>
    <row r="94" ht="15" customHeight="1">
      <c r="B94" s="138" t="inlineStr">
        <is>
          <t>Mauboussin EV / NOPAT (steady-state + PVGO)</t>
        </is>
      </c>
      <c r="C94" s="158">
        <f>C89+C93</f>
        <v>12.5892426186312</v>
      </c>
      <c r="D94" s="118" t="n"/>
      <c r="E94" s="118" t="n"/>
      <c r="F94" s="118" t="n"/>
      <c r="G94" s="118" t="n"/>
      <c r="H94" s="118" t="n"/>
      <c r="I94" s="118" t="n"/>
      <c r="J94" s="118" t="n"/>
      <c r="K94" s="118" t="n"/>
      <c r="L94" s="118" t="n"/>
      <c r="M94" s="118" t="n"/>
      <c r="N94" s="118" t="n"/>
      <c r="O94" s="118" t="n"/>
      <c r="P94" s="118" t="n"/>
      <c r="Q94" s="118" t="n"/>
    </row>
    <row r="95">
      <c r="B95" s="118" t="n"/>
      <c r="C95" s="118" t="n"/>
      <c r="D95" s="118" t="n"/>
      <c r="E95" s="118" t="n"/>
      <c r="F95" s="118" t="n"/>
      <c r="G95" s="118" t="n"/>
      <c r="H95" s="118" t="n"/>
      <c r="I95" s="118" t="n"/>
      <c r="J95" s="118" t="n"/>
      <c r="K95" s="118" t="n"/>
      <c r="L95" s="118" t="n"/>
      <c r="M95" s="118" t="n"/>
      <c r="N95" s="118" t="n"/>
      <c r="O95" s="118" t="n"/>
      <c r="P95" s="118" t="n"/>
      <c r="Q95" s="118" t="n"/>
    </row>
    <row r="96" ht="15" customHeight="1">
      <c r="B96" s="139" t="inlineStr">
        <is>
          <t>VALUATION  —  Applied to 2028E NOPAT</t>
        </is>
      </c>
      <c r="C96" s="139" t="inlineStr">
        <is>
          <t>USDm</t>
        </is>
      </c>
      <c r="D96" s="118" t="n"/>
      <c r="E96" s="118" t="n"/>
      <c r="F96" s="118" t="n"/>
      <c r="G96" s="118" t="n"/>
      <c r="H96" s="118" t="n"/>
      <c r="I96" s="118" t="n"/>
      <c r="J96" s="118" t="n"/>
      <c r="K96" s="118" t="n"/>
      <c r="L96" s="118" t="n"/>
      <c r="M96" s="118" t="n"/>
      <c r="N96" s="118" t="n"/>
      <c r="O96" s="118" t="n"/>
      <c r="P96" s="118" t="n"/>
      <c r="Q96" s="118" t="n"/>
    </row>
    <row r="97" ht="15" customHeight="1">
      <c r="B97" s="118" t="inlineStr">
        <is>
          <t>2028E Adjusted EBIT (Model)</t>
        </is>
      </c>
      <c r="C97" s="120">
        <f>Model!CC194</f>
        <v>1123.69459751081</v>
      </c>
      <c r="D97" s="118" t="n"/>
      <c r="E97" s="118" t="n"/>
      <c r="F97" s="118" t="n"/>
      <c r="G97" s="118" t="n"/>
      <c r="H97" s="118" t="n"/>
      <c r="I97" s="118" t="n"/>
      <c r="J97" s="118" t="n"/>
      <c r="K97" s="118" t="n"/>
      <c r="L97" s="118" t="n"/>
      <c r="M97" s="118" t="n"/>
      <c r="N97" s="118" t="n"/>
      <c r="O97" s="118" t="n"/>
      <c r="P97" s="118" t="n"/>
      <c r="Q97" s="118" t="n"/>
    </row>
    <row r="98" ht="15" customHeight="1">
      <c r="B98" s="118" t="inlineStr">
        <is>
          <t>(−) 2028E stock-based compensation &amp; transaction costs</t>
        </is>
      </c>
      <c r="C98" s="120">
        <f>-(Model!CC162+N(Model!CC69))</f>
        <v>-59.0738372429246</v>
      </c>
      <c r="D98" s="118" t="n"/>
      <c r="E98" s="118" t="n"/>
      <c r="F98" s="118" t="n"/>
      <c r="G98" s="118" t="n"/>
      <c r="H98" s="118" t="n"/>
      <c r="I98" s="118" t="n"/>
      <c r="J98" s="118" t="n"/>
      <c r="K98" s="118" t="n"/>
      <c r="L98" s="118" t="n"/>
      <c r="M98" s="118" t="n"/>
      <c r="N98" s="118" t="n"/>
      <c r="O98" s="118" t="n"/>
      <c r="P98" s="118" t="n"/>
      <c r="Q98" s="118" t="n"/>
    </row>
    <row r="99" ht="15" customHeight="1">
      <c r="B99" s="118" t="inlineStr">
        <is>
          <t>Tax rate (from WACC build)</t>
        </is>
      </c>
      <c r="C99" s="131">
        <f>$C$10</f>
        <v>0.26</v>
      </c>
      <c r="D99" s="118" t="n"/>
      <c r="E99" s="118" t="n"/>
      <c r="F99" s="118" t="n"/>
      <c r="G99" s="118" t="n"/>
      <c r="H99" s="118" t="n"/>
      <c r="I99" s="118" t="n"/>
      <c r="J99" s="118" t="n"/>
      <c r="K99" s="118" t="n"/>
      <c r="L99" s="118" t="n"/>
      <c r="M99" s="118" t="n"/>
      <c r="N99" s="118" t="n"/>
      <c r="O99" s="118" t="n"/>
      <c r="P99" s="118" t="n"/>
      <c r="Q99" s="118" t="n"/>
    </row>
    <row r="100" ht="15" customHeight="1">
      <c r="B100" s="118" t="inlineStr">
        <is>
          <t>2028E NOPAT  =  (Adj. EBIT − SBC &amp; transaction costs) × (1 − t)</t>
        </is>
      </c>
      <c r="C100" s="120">
        <f>(C97+C98)*(1-C99)</f>
        <v>787.819362598236</v>
      </c>
      <c r="D100" s="118" t="n"/>
      <c r="E100" s="118" t="n"/>
      <c r="F100" s="118" t="n"/>
      <c r="G100" s="118" t="n"/>
      <c r="H100" s="118" t="n"/>
      <c r="I100" s="118" t="n"/>
      <c r="J100" s="118" t="n"/>
      <c r="K100" s="118" t="n"/>
      <c r="L100" s="118" t="n"/>
      <c r="M100" s="118" t="n"/>
      <c r="N100" s="118" t="n"/>
      <c r="O100" s="118" t="n"/>
      <c r="P100" s="118" t="n"/>
      <c r="Q100" s="118" t="n"/>
    </row>
    <row r="101" ht="15" customHeight="1">
      <c r="B101" s="118" t="inlineStr">
        <is>
          <t>× Mauboussin EV/NOPAT multiple</t>
        </is>
      </c>
      <c r="C101" s="137">
        <f>C94</f>
        <v>12.5892426186312</v>
      </c>
      <c r="D101" s="118" t="n"/>
      <c r="E101" s="118" t="n"/>
      <c r="F101" s="118" t="n"/>
      <c r="G101" s="118" t="n"/>
      <c r="H101" s="118" t="n"/>
      <c r="I101" s="118" t="n"/>
      <c r="J101" s="118" t="n"/>
      <c r="K101" s="118" t="n"/>
      <c r="L101" s="118" t="n"/>
      <c r="M101" s="118" t="n"/>
      <c r="N101" s="118" t="n"/>
      <c r="O101" s="118" t="n"/>
      <c r="P101" s="118" t="n"/>
      <c r="Q101" s="118" t="n"/>
    </row>
    <row r="102" ht="15" customHeight="1">
      <c r="B102" s="118" t="inlineStr">
        <is>
          <t>Implied Enterprise Value (2028E basis)</t>
        </is>
      </c>
      <c r="C102" s="120">
        <f>C100*C101</f>
        <v>9918.04909540459</v>
      </c>
      <c r="D102" s="118" t="n"/>
      <c r="E102" s="118" t="n"/>
      <c r="F102" s="118" t="n"/>
      <c r="G102" s="118" t="n"/>
      <c r="H102" s="118" t="n"/>
      <c r="I102" s="118" t="n"/>
      <c r="J102" s="118" t="n"/>
      <c r="K102" s="118" t="n"/>
      <c r="L102" s="118" t="n"/>
      <c r="M102" s="118" t="n"/>
      <c r="N102" s="118" t="n"/>
      <c r="O102" s="118" t="n"/>
      <c r="P102" s="118" t="n"/>
      <c r="Q102" s="118" t="n"/>
    </row>
    <row r="103" ht="15" customHeight="1">
      <c r="B103" s="118" t="inlineStr">
        <is>
          <t>Less: YE2027 net debt + NCI (Model)</t>
        </is>
      </c>
      <c r="C103" s="120">
        <f>Model!CB419+Model!CB325</f>
        <v>2712.84359891278</v>
      </c>
      <c r="D103" s="118" t="n"/>
      <c r="E103" s="118" t="n"/>
      <c r="F103" s="118" t="n"/>
      <c r="G103" s="118" t="n"/>
      <c r="H103" s="118" t="n"/>
      <c r="I103" s="118" t="n"/>
      <c r="J103" s="118" t="n"/>
      <c r="K103" s="118" t="n"/>
      <c r="L103" s="118" t="n"/>
      <c r="M103" s="118" t="n"/>
      <c r="N103" s="118" t="n"/>
      <c r="O103" s="118" t="n"/>
      <c r="P103" s="118" t="n"/>
      <c r="Q103" s="118" t="n"/>
    </row>
    <row r="104" ht="15" customHeight="1">
      <c r="B104" s="118" t="inlineStr">
        <is>
          <t>Implied Equity Value</t>
        </is>
      </c>
      <c r="C104" s="120">
        <f>C102-C103</f>
        <v>7205.20549649182</v>
      </c>
      <c r="D104" s="118" t="n"/>
      <c r="E104" s="118" t="n"/>
      <c r="F104" s="118" t="n"/>
      <c r="G104" s="118" t="n"/>
      <c r="H104" s="118" t="n"/>
      <c r="I104" s="118" t="n"/>
      <c r="J104" s="118" t="n"/>
      <c r="K104" s="118" t="n"/>
      <c r="L104" s="118" t="n"/>
      <c r="M104" s="118" t="n"/>
      <c r="N104" s="118" t="n"/>
      <c r="O104" s="118" t="n"/>
      <c r="P104" s="118" t="n"/>
      <c r="Q104" s="118" t="n"/>
    </row>
    <row r="105" ht="15" customHeight="1">
      <c r="B105" s="118" t="inlineStr">
        <is>
          <t>Diluted shares 2028E (m, Model)</t>
        </is>
      </c>
      <c r="C105" s="120">
        <f>Model!CC425</f>
        <v>50.7734999807026</v>
      </c>
      <c r="D105" s="118" t="n"/>
      <c r="E105" s="118" t="n"/>
      <c r="F105" s="118" t="n"/>
      <c r="G105" s="118" t="n"/>
      <c r="H105" s="118" t="n"/>
      <c r="I105" s="118" t="n"/>
      <c r="J105" s="118" t="n"/>
      <c r="K105" s="118" t="n"/>
      <c r="L105" s="118" t="n"/>
      <c r="M105" s="118" t="n"/>
      <c r="N105" s="118" t="n"/>
      <c r="O105" s="118" t="n"/>
      <c r="P105" s="118" t="n"/>
      <c r="Q105" s="118" t="n"/>
    </row>
    <row r="106" ht="15" customHeight="1">
      <c r="B106" s="118" t="inlineStr">
        <is>
          <t>Implied share price 2028 ($)</t>
        </is>
      </c>
      <c r="C106" s="133">
        <f>C104/C105</f>
        <v>141.908781140364</v>
      </c>
      <c r="D106" s="118" t="n"/>
      <c r="E106" s="118" t="n"/>
      <c r="F106" s="118" t="n"/>
      <c r="G106" s="118" t="n"/>
      <c r="H106" s="118" t="n"/>
      <c r="I106" s="118" t="n"/>
      <c r="J106" s="118" t="n"/>
      <c r="K106" s="118" t="n"/>
      <c r="L106" s="118" t="n"/>
      <c r="M106" s="118" t="n"/>
      <c r="N106" s="118" t="n"/>
      <c r="O106" s="118" t="n"/>
      <c r="P106" s="118" t="n"/>
      <c r="Q106" s="118" t="n"/>
    </row>
    <row r="107">
      <c r="B107" s="118" t="n"/>
      <c r="C107" s="118" t="n"/>
      <c r="D107" s="118" t="n"/>
      <c r="E107" s="118" t="n"/>
      <c r="F107" s="118" t="n"/>
      <c r="G107" s="118" t="n"/>
      <c r="H107" s="118" t="n"/>
      <c r="I107" s="118" t="n"/>
      <c r="J107" s="118" t="n"/>
      <c r="K107" s="118" t="n"/>
      <c r="L107" s="118" t="n"/>
      <c r="M107" s="118" t="n"/>
      <c r="N107" s="118" t="n"/>
      <c r="O107" s="118" t="n"/>
      <c r="P107" s="118" t="n"/>
      <c r="Q107" s="118" t="n"/>
    </row>
    <row r="108" ht="15" customHeight="1">
      <c r="B108" s="118" t="inlineStr">
        <is>
          <t>Current share price ($)</t>
        </is>
      </c>
      <c r="C108" s="133">
        <f>C58</f>
        <v>321.34</v>
      </c>
      <c r="D108" s="118" t="n"/>
      <c r="E108" s="118" t="n"/>
      <c r="F108" s="118" t="n"/>
      <c r="G108" s="118" t="n"/>
      <c r="H108" s="118" t="n"/>
      <c r="I108" s="118" t="n"/>
      <c r="J108" s="118" t="n"/>
      <c r="K108" s="118" t="n"/>
      <c r="L108" s="118" t="n"/>
      <c r="M108" s="118" t="n"/>
      <c r="N108" s="118" t="n"/>
      <c r="O108" s="118" t="n"/>
      <c r="P108" s="118" t="n"/>
      <c r="Q108" s="118" t="n"/>
    </row>
    <row r="109" ht="15" customHeight="1">
      <c r="B109" s="118" t="inlineStr">
        <is>
          <t>Implied upside / (downside)</t>
        </is>
      </c>
      <c r="C109" s="131">
        <f>C106/C108-1</f>
        <v>-0.558384324577194</v>
      </c>
      <c r="D109" s="118" t="n"/>
      <c r="E109" s="118" t="n"/>
      <c r="F109" s="118" t="n"/>
      <c r="G109" s="118" t="n"/>
      <c r="H109" s="118" t="n"/>
      <c r="I109" s="118" t="n"/>
      <c r="J109" s="118" t="n"/>
      <c r="K109" s="118" t="n"/>
      <c r="L109" s="118" t="n"/>
      <c r="M109" s="118" t="n"/>
      <c r="N109" s="118" t="n"/>
      <c r="O109" s="118" t="n"/>
      <c r="P109" s="118" t="n"/>
      <c r="Q109" s="118" t="n"/>
    </row>
    <row r="110">
      <c r="B110" s="118" t="n"/>
      <c r="C110" s="118" t="n"/>
      <c r="D110" s="118" t="n"/>
      <c r="E110" s="118" t="n"/>
      <c r="F110" s="118" t="n"/>
      <c r="G110" s="118" t="n"/>
      <c r="H110" s="118" t="n"/>
      <c r="I110" s="118" t="n"/>
      <c r="J110" s="118" t="n"/>
      <c r="K110" s="118" t="n"/>
      <c r="L110" s="118" t="n"/>
      <c r="M110" s="118" t="n"/>
      <c r="N110" s="118" t="n"/>
      <c r="O110" s="118" t="n"/>
      <c r="P110" s="118" t="n"/>
      <c r="Q110" s="118" t="n"/>
    </row>
    <row r="111" ht="15" customHeight="1">
      <c r="B111" s="139" t="inlineStr">
        <is>
          <t>MARKET-IMPLIED EV/NOPAT TODAY</t>
        </is>
      </c>
      <c r="C111" s="139" t="inlineStr">
        <is>
          <t>USDm</t>
        </is>
      </c>
      <c r="D111" s="118" t="n"/>
      <c r="E111" s="118" t="n"/>
      <c r="F111" s="118" t="n"/>
      <c r="G111" s="118" t="n"/>
      <c r="H111" s="118" t="n"/>
      <c r="I111" s="118" t="n"/>
      <c r="J111" s="118" t="n"/>
      <c r="K111" s="118" t="n"/>
      <c r="L111" s="118" t="n"/>
      <c r="M111" s="118" t="n"/>
      <c r="N111" s="118" t="n"/>
      <c r="O111" s="118" t="n"/>
      <c r="P111" s="118" t="n"/>
      <c r="Q111" s="118" t="n"/>
    </row>
    <row r="112" ht="15" customHeight="1">
      <c r="B112" s="118" t="inlineStr">
        <is>
          <t>Current market cap (spot × diluted shares)</t>
        </is>
      </c>
      <c r="C112" s="120">
        <f>C58*C56</f>
        <v>16979.76484596</v>
      </c>
      <c r="D112" s="118" t="n"/>
      <c r="E112" s="118" t="n"/>
      <c r="F112" s="118" t="n"/>
      <c r="G112" s="118" t="n"/>
      <c r="H112" s="118" t="n"/>
      <c r="I112" s="118" t="n"/>
      <c r="J112" s="118" t="n"/>
      <c r="K112" s="118" t="n"/>
      <c r="L112" s="118" t="n"/>
      <c r="M112" s="118" t="n"/>
      <c r="N112" s="118" t="n"/>
      <c r="O112" s="118" t="n"/>
      <c r="P112" s="118" t="n"/>
      <c r="Q112" s="118" t="n"/>
    </row>
    <row r="113" ht="15" customHeight="1">
      <c r="B113" s="118" t="inlineStr">
        <is>
          <t>Plus: YE2026 net debt &amp; NCI</t>
        </is>
      </c>
      <c r="C113" s="120">
        <f>C53+C54</f>
        <v>2710.31128189429</v>
      </c>
      <c r="D113" s="118" t="n"/>
      <c r="E113" s="118" t="n"/>
      <c r="F113" s="118" t="n"/>
      <c r="G113" s="118" t="n"/>
      <c r="H113" s="118" t="n"/>
      <c r="I113" s="118" t="n"/>
      <c r="J113" s="118" t="n"/>
      <c r="K113" s="118" t="n"/>
      <c r="L113" s="118" t="n"/>
      <c r="M113" s="118" t="n"/>
      <c r="N113" s="118" t="n"/>
      <c r="O113" s="118" t="n"/>
      <c r="P113" s="118" t="n"/>
      <c r="Q113" s="118" t="n"/>
    </row>
    <row r="114" ht="15" customHeight="1">
      <c r="B114" s="118" t="inlineStr">
        <is>
          <t>Implied Enterprise Value (today)</t>
        </is>
      </c>
      <c r="C114" s="120">
        <f>C112+C113</f>
        <v>19690.0761278543</v>
      </c>
      <c r="D114" s="118" t="n"/>
      <c r="E114" s="118" t="n"/>
      <c r="F114" s="118" t="n"/>
      <c r="G114" s="118" t="n"/>
      <c r="H114" s="118" t="n"/>
      <c r="I114" s="118" t="n"/>
      <c r="J114" s="118" t="n"/>
      <c r="K114" s="118" t="n"/>
      <c r="L114" s="118" t="n"/>
      <c r="M114" s="118" t="n"/>
      <c r="N114" s="118" t="n"/>
      <c r="O114" s="118" t="n"/>
      <c r="P114" s="118" t="n"/>
      <c r="Q114" s="118" t="n"/>
    </row>
    <row r="115" ht="15" customHeight="1">
      <c r="B115" s="118" t="inlineStr">
        <is>
          <t>CLH's market-implied EV/NOPAT (on 2028E NOPAT)</t>
        </is>
      </c>
      <c r="C115" s="137">
        <f>C114/C100</f>
        <v>24.9931355620865</v>
      </c>
      <c r="D115" s="118" t="n"/>
      <c r="E115" s="118" t="n"/>
      <c r="F115" s="118" t="n"/>
      <c r="G115" s="118" t="n"/>
      <c r="H115" s="118" t="n"/>
      <c r="I115" s="118" t="n"/>
      <c r="J115" s="118" t="n"/>
      <c r="K115" s="118" t="n"/>
      <c r="L115" s="118" t="n"/>
      <c r="M115" s="118" t="n"/>
      <c r="N115" s="118" t="n"/>
      <c r="O115" s="118" t="n"/>
      <c r="P115" s="118" t="n"/>
      <c r="Q115" s="118" t="n"/>
    </row>
    <row r="116">
      <c r="B116" s="118" t="n"/>
      <c r="C116" s="118" t="n"/>
      <c r="D116" s="118" t="n"/>
      <c r="E116" s="118" t="n"/>
      <c r="F116" s="118" t="n"/>
      <c r="G116" s="118" t="n"/>
      <c r="H116" s="118" t="n"/>
      <c r="I116" s="118" t="n"/>
      <c r="J116" s="118" t="n"/>
      <c r="K116" s="118" t="n"/>
      <c r="L116" s="118" t="n"/>
      <c r="M116" s="118" t="n"/>
      <c r="N116" s="118" t="n"/>
      <c r="O116" s="118" t="n"/>
      <c r="P116" s="118" t="n"/>
      <c r="Q116" s="118" t="n"/>
    </row>
    <row r="117" ht="15" customHeight="1">
      <c r="B117" s="118" t="inlineStr">
        <is>
          <t>Multiple gap (Mauboussin − Market)</t>
        </is>
      </c>
      <c r="C117" s="137">
        <f>C94-C115</f>
        <v>-12.4038929434553</v>
      </c>
      <c r="D117" s="118" t="n"/>
      <c r="E117" s="118" t="n"/>
      <c r="F117" s="118" t="n"/>
      <c r="G117" s="118" t="n"/>
      <c r="H117" s="118" t="n"/>
      <c r="I117" s="118" t="n"/>
      <c r="J117" s="118" t="n"/>
      <c r="K117" s="118" t="n"/>
      <c r="L117" s="118" t="n"/>
      <c r="M117" s="118" t="n"/>
      <c r="N117" s="118" t="n"/>
      <c r="O117" s="118" t="n"/>
      <c r="P117" s="118" t="n"/>
      <c r="Q117" s="118" t="n"/>
    </row>
    <row r="118" ht="15" customHeight="1">
      <c r="B118" s="118" t="inlineStr">
        <is>
          <t>Implied re-rating headroom</t>
        </is>
      </c>
      <c r="C118" s="131">
        <f>C94/C115-1</f>
        <v>-0.496291988359854</v>
      </c>
      <c r="D118" s="118" t="n"/>
      <c r="E118" s="118" t="n"/>
      <c r="F118" s="118" t="n"/>
      <c r="G118" s="118" t="n"/>
      <c r="H118" s="118" t="n"/>
      <c r="I118" s="118" t="n"/>
      <c r="J118" s="118" t="n"/>
      <c r="K118" s="118" t="n"/>
      <c r="L118" s="118" t="n"/>
      <c r="M118" s="118" t="n"/>
      <c r="N118" s="118" t="n"/>
      <c r="O118" s="118" t="n"/>
      <c r="P118" s="118" t="n"/>
      <c r="Q118" s="118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min="2" max="2"/>
  </cols>
  <sheetData>
    <row r="1"/>
    <row r="2" ht="17.25" customHeight="1">
      <c r="B2" s="115" t="inlineStr">
        <is>
          <t>Clean Harbors — Historical Operating Performance (2006–2025)</t>
        </is>
      </c>
    </row>
    <row r="3" ht="15" customHeight="1">
      <c r="B3" s="4" t="inlineStr">
        <is>
          <t>All historicals · USDm · Linked to Model. Growth = revenues and Adjusted EBITDA y/y (as reported; Adjusted EBITDA as published by period — SBC added back from 2021). Returns on Adjusted EBIT (NOPAT) / book invested capital; net debt net of marketable securities.</t>
        </is>
      </c>
    </row>
    <row r="4"/>
    <row r="5"/>
    <row r="6"/>
    <row r="7" ht="15" customHeight="1">
      <c r="C7" s="11" t="n">
        <v>2006</v>
      </c>
      <c r="D7" s="11" t="n">
        <v>2007</v>
      </c>
      <c r="E7" s="11" t="n">
        <v>2008</v>
      </c>
      <c r="F7" s="11" t="n">
        <v>2009</v>
      </c>
      <c r="G7" s="11" t="n">
        <v>2010</v>
      </c>
      <c r="H7" s="11" t="n">
        <v>2011</v>
      </c>
      <c r="I7" s="11" t="n">
        <v>2012</v>
      </c>
      <c r="J7" s="11" t="n">
        <v>2013</v>
      </c>
      <c r="K7" s="11" t="n">
        <v>2014</v>
      </c>
      <c r="L7" s="11" t="n">
        <v>2015</v>
      </c>
      <c r="M7" s="11" t="n">
        <v>2016</v>
      </c>
      <c r="N7" s="11" t="n">
        <v>2017</v>
      </c>
      <c r="O7" s="11" t="n">
        <v>2018</v>
      </c>
      <c r="P7" s="11" t="n">
        <v>2019</v>
      </c>
      <c r="Q7" s="11" t="n">
        <v>2020</v>
      </c>
      <c r="R7" s="11" t="n">
        <v>2021</v>
      </c>
      <c r="S7" s="11" t="n">
        <v>2022</v>
      </c>
      <c r="T7" s="11" t="n">
        <v>2023</v>
      </c>
      <c r="U7" s="11" t="n">
        <v>2024</v>
      </c>
      <c r="V7" s="11" t="n">
        <v>2025</v>
      </c>
    </row>
    <row r="8" ht="15" customHeight="1">
      <c r="B8" t="inlineStr">
        <is>
          <t>Revenues y/y %</t>
        </is>
      </c>
      <c r="C8" s="116">
        <f>IFERROR(Model!C225+0,0)</f>
        <v>0</v>
      </c>
      <c r="D8" s="116">
        <f>IFERROR(Model!D225+0,0)</f>
        <v>0.141126451990759</v>
      </c>
      <c r="E8" s="116">
        <f>IFERROR(Model!E225+0,0)</f>
        <v>0.088493500486315</v>
      </c>
      <c r="F8" s="116">
        <f>IFERROR(Model!F225+0,0)</f>
        <v>0.0422105862640716</v>
      </c>
      <c r="G8" s="116">
        <f>IFERROR(Model!G225+0,0)</f>
        <v>0.611628902831822</v>
      </c>
      <c r="H8" s="116">
        <f>IFERROR(Model!H225+0,0)</f>
        <v>0.146075307697817</v>
      </c>
      <c r="I8" s="116">
        <f>IFERROR(Model!I225+0,0)</f>
        <v>0.102700621328377</v>
      </c>
      <c r="J8" s="116">
        <f>IFERROR(Model!N225+0,0)</f>
        <v>0.604114981068674</v>
      </c>
      <c r="K8" s="116">
        <f>IFERROR(Model!S225+0,0)</f>
        <v>-0.0307779451889302</v>
      </c>
      <c r="L8" s="116">
        <f>IFERROR(Model!X225+0,0)</f>
        <v>-0.0371876943917573</v>
      </c>
      <c r="M8" s="116">
        <f>IFERROR(Model!AC225+0,0)</f>
        <v>-0.158744809759103</v>
      </c>
      <c r="N8" s="116">
        <f>IFERROR(Model!AH225+0,0)</f>
        <v>0.068869849515067</v>
      </c>
      <c r="O8" s="116">
        <f>IFERROR(Model!AM225+0,0)</f>
        <v>0.120654551578993</v>
      </c>
      <c r="P8" s="116">
        <f>IFERROR(Model!AR225+0,0)</f>
        <v>0.0339020386915989</v>
      </c>
      <c r="Q8" s="116">
        <f>IFERROR(Model!AW225+0,0)</f>
        <v>-0.0785691887028565</v>
      </c>
      <c r="R8" s="116">
        <f>IFERROR(Model!BB225+0,0)</f>
        <v>0.210384412440201</v>
      </c>
      <c r="S8" s="116">
        <f>IFERROR(Model!BG225+0,0)</f>
        <v>0.357644303107606</v>
      </c>
      <c r="T8" s="116">
        <f>IFERROR(Model!BL225+0,0)</f>
        <v>0.0469451409581341</v>
      </c>
      <c r="U8" s="116">
        <f>IFERROR(Model!BQ225+0,0)</f>
        <v>0.0888863910646254</v>
      </c>
      <c r="V8" s="116">
        <f>IFERROR(Model!BV225+0,0)</f>
        <v>0.0239195497688267</v>
      </c>
    </row>
    <row r="9" ht="15" customHeight="1">
      <c r="B9" t="inlineStr">
        <is>
          <t>Adjusted EBITDA y/y %</t>
        </is>
      </c>
      <c r="C9" s="116">
        <f>IFERROR(Model!C228+0,0)</f>
        <v>0</v>
      </c>
      <c r="D9" s="116">
        <f>IFERROR(Model!D228+0,0)</f>
        <v>0.111410347271439</v>
      </c>
      <c r="E9" s="116">
        <f>IFERROR(Model!E228+0,0)</f>
        <v>0.224476169756258</v>
      </c>
      <c r="F9" s="116">
        <f>IFERROR(Model!F228+0,0)</f>
        <v>-0.0345486738676246</v>
      </c>
      <c r="G9" s="116">
        <f>IFERROR(Model!G228+0,0)</f>
        <v>0.997030079959384</v>
      </c>
      <c r="H9" s="116">
        <f>IFERROR(Model!H228+0,0)</f>
        <v>0.11222401586313</v>
      </c>
      <c r="I9" s="116">
        <f>IFERROR(Model!I228+0,0)</f>
        <v>0.0678813055701582</v>
      </c>
      <c r="J9" s="116">
        <f>IFERROR(Model!N228+0,0)</f>
        <v>0.36476735506345</v>
      </c>
      <c r="K9" s="116">
        <f>IFERROR(Model!S228+0,0)</f>
        <v>0.0231599376598934</v>
      </c>
      <c r="L9" s="116">
        <f>IFERROR(Model!X228+0,0)</f>
        <v>-0.0340129407053584</v>
      </c>
      <c r="M9" s="116">
        <f>IFERROR(Model!AC228+0,0)</f>
        <v>-0.205909946505821</v>
      </c>
      <c r="N9" s="116">
        <f>IFERROR(Model!AH228+0,0)</f>
        <v>0.0632015666135475</v>
      </c>
      <c r="O9" s="116">
        <f>IFERROR(Model!AM228+0,0)</f>
        <v>0.153522672010562</v>
      </c>
      <c r="P9" s="116">
        <f>IFERROR(Model!AR228+0,0)</f>
        <v>0.100430749177707</v>
      </c>
      <c r="Q9" s="116">
        <f>IFERROR(Model!AW228+0,0)</f>
        <v>0.0277337192796079</v>
      </c>
      <c r="R9" s="116">
        <f>IFERROR(Model!BB228+0,0)</f>
        <v>0.218446899164779</v>
      </c>
      <c r="S9" s="116">
        <f>IFERROR(Model!BG228+0,0)</f>
        <v>0.510669429475943</v>
      </c>
      <c r="T9" s="116">
        <f>IFERROR(Model!BL228+0,0)</f>
        <v>-0.00935107931687573</v>
      </c>
      <c r="U9" s="116">
        <f>IFERROR(Model!BQ228+0,0)</f>
        <v>0.103068429836949</v>
      </c>
      <c r="V9" s="116">
        <f>IFERROR(Model!BV228+0,0)</f>
        <v>0.0474558031181789</v>
      </c>
    </row>
    <row r="10"/>
    <row r="11" ht="15" customHeight="1">
      <c r="C11" s="11">
        <f>C7</f>
        <v>2006</v>
      </c>
      <c r="D11" s="11">
        <f>D7</f>
        <v>2007</v>
      </c>
      <c r="E11" s="11">
        <f>E7</f>
        <v>2008</v>
      </c>
      <c r="F11" s="11">
        <f>F7</f>
        <v>2009</v>
      </c>
      <c r="G11" s="11">
        <f>G7</f>
        <v>2010</v>
      </c>
      <c r="H11" s="11">
        <f>H7</f>
        <v>2011</v>
      </c>
      <c r="I11" s="11">
        <f>I7</f>
        <v>2012</v>
      </c>
      <c r="J11" s="11">
        <f>J7</f>
        <v>2013</v>
      </c>
      <c r="K11" s="11">
        <f>K7</f>
        <v>2014</v>
      </c>
      <c r="L11" s="11">
        <f>L7</f>
        <v>2015</v>
      </c>
      <c r="M11" s="11">
        <f>M7</f>
        <v>2016</v>
      </c>
      <c r="N11" s="11">
        <f>N7</f>
        <v>2017</v>
      </c>
      <c r="O11" s="11">
        <f>O7</f>
        <v>2018</v>
      </c>
      <c r="P11" s="11">
        <f>P7</f>
        <v>2019</v>
      </c>
      <c r="Q11" s="11">
        <f>Q7</f>
        <v>2020</v>
      </c>
      <c r="R11" s="11">
        <f>R7</f>
        <v>2021</v>
      </c>
      <c r="S11" s="11">
        <f>S7</f>
        <v>2022</v>
      </c>
      <c r="T11" s="11">
        <f>T7</f>
        <v>2023</v>
      </c>
      <c r="U11" s="11">
        <f>U7</f>
        <v>2024</v>
      </c>
      <c r="V11" s="11">
        <f>V7</f>
        <v>2025</v>
      </c>
    </row>
    <row r="12" ht="15" customHeight="1">
      <c r="B12" t="inlineStr">
        <is>
          <t>Adjusted EBITDA</t>
        </is>
      </c>
      <c r="C12" s="114">
        <f>Model!C187</f>
        <v>119.935</v>
      </c>
      <c r="D12" s="114">
        <f>Model!D187</f>
        <v>133.297</v>
      </c>
      <c r="E12" s="114">
        <f>Model!E187</f>
        <v>163.219</v>
      </c>
      <c r="F12" s="114">
        <f>Model!F187</f>
        <v>157.58</v>
      </c>
      <c r="G12" s="114">
        <f>Model!G187</f>
        <v>314.692</v>
      </c>
      <c r="H12" s="114">
        <f>Model!H187</f>
        <v>350.008</v>
      </c>
      <c r="I12" s="114">
        <f>Model!I187</f>
        <v>373.767</v>
      </c>
      <c r="J12" s="114">
        <f>Model!N187</f>
        <v>510.105</v>
      </c>
      <c r="K12" s="114">
        <f>Model!S187</f>
        <v>521.919</v>
      </c>
      <c r="L12" s="114">
        <f>Model!X187</f>
        <v>504.167</v>
      </c>
      <c r="M12" s="114">
        <f>Model!AC187</f>
        <v>400.354</v>
      </c>
      <c r="N12" s="114">
        <f>Model!AH187</f>
        <v>425.657</v>
      </c>
      <c r="O12" s="114">
        <f>Model!AM187</f>
        <v>491.005</v>
      </c>
      <c r="P12" s="114">
        <f>Model!AR187</f>
        <v>540.317</v>
      </c>
      <c r="Q12" s="114">
        <f>Model!AW187</f>
        <v>555.302</v>
      </c>
      <c r="R12" s="114">
        <f>Model!BB187</f>
        <v>676.606</v>
      </c>
      <c r="S12" s="114">
        <f>Model!BG187</f>
        <v>1022.128</v>
      </c>
      <c r="T12" s="114">
        <f>Model!BL187</f>
        <v>1012.57</v>
      </c>
      <c r="U12" s="114">
        <f>Model!BQ187</f>
        <v>1116.934</v>
      </c>
      <c r="V12" s="114">
        <f>Model!BV187</f>
        <v>1169.939</v>
      </c>
    </row>
    <row r="13" ht="15" customHeight="1">
      <c r="B13" t="inlineStr">
        <is>
          <t>Income from Operations (GAAP)</t>
        </is>
      </c>
      <c r="C13" s="114">
        <f>Model!C147</f>
        <v>74.3759999999999</v>
      </c>
      <c r="D13" s="114">
        <f>Model!D147</f>
        <v>85.26</v>
      </c>
      <c r="E13" s="114">
        <f>Model!E147</f>
        <v>107.972</v>
      </c>
      <c r="F13" s="114">
        <f>Model!F147</f>
        <v>82.0650000000001</v>
      </c>
      <c r="G13" s="114">
        <f>Model!G147</f>
        <v>211.912</v>
      </c>
      <c r="H13" s="114">
        <f>Model!H147</f>
        <v>217.665</v>
      </c>
      <c r="I13" s="114">
        <f>Model!I147</f>
        <v>202.204</v>
      </c>
      <c r="J13" s="114">
        <f>Model!N147</f>
        <v>220.556</v>
      </c>
      <c r="K13" s="114">
        <f>Model!S147</f>
        <v>111.81</v>
      </c>
      <c r="L13" s="114">
        <f>Model!X147</f>
        <v>187.579</v>
      </c>
      <c r="M13" s="114">
        <f>Model!AC147</f>
        <v>69.1620000000001</v>
      </c>
      <c r="N13" s="114">
        <f>Model!AH147</f>
        <v>127.775</v>
      </c>
      <c r="O13" s="114">
        <f>Model!AM147</f>
        <v>182.574</v>
      </c>
      <c r="P13" s="114">
        <f>Model!AR147</f>
        <v>229.456</v>
      </c>
      <c r="Q13" s="114">
        <f>Model!AW147</f>
        <v>251.336</v>
      </c>
      <c r="R13" s="114">
        <f>Model!BB147</f>
        <v>347.887</v>
      </c>
      <c r="S13" s="114">
        <f>Model!BG147</f>
        <v>634.747</v>
      </c>
      <c r="T13" s="114">
        <f>Model!BL147</f>
        <v>612.439</v>
      </c>
      <c r="U13" s="114">
        <f>Model!BQ147</f>
        <v>670.232</v>
      </c>
      <c r="V13" s="114">
        <f>Model!BV147</f>
        <v>673.372</v>
      </c>
    </row>
    <row r="14" ht="15" customHeight="1">
      <c r="B14" t="inlineStr">
        <is>
          <t>Adj. EBITDA Margin %</t>
        </is>
      </c>
      <c r="C14" s="116">
        <f>Model!C233</f>
        <v>0.14453326006346</v>
      </c>
      <c r="D14" s="116">
        <f>Model!D233</f>
        <v>0.140769465539218</v>
      </c>
      <c r="E14" s="116">
        <f>Model!E233</f>
        <v>0.158355429687993</v>
      </c>
      <c r="F14" s="116">
        <f>Model!F233</f>
        <v>0.146692483848746</v>
      </c>
      <c r="G14" s="116">
        <f>Model!G233</f>
        <v>0.181772182315144</v>
      </c>
      <c r="H14" s="116">
        <f>Model!H233</f>
        <v>0.176403230423721</v>
      </c>
      <c r="I14" s="116">
        <f>Model!I233</f>
        <v>0.170833051481141</v>
      </c>
      <c r="J14" s="116">
        <f>Model!N233</f>
        <v>0.145343304301048</v>
      </c>
      <c r="K14" s="116">
        <f>Model!S233</f>
        <v>0.153431760482309</v>
      </c>
      <c r="L14" s="116">
        <f>Model!X233</f>
        <v>0.153937682606865</v>
      </c>
      <c r="M14" s="116">
        <f>Model!AC233</f>
        <v>0.145307136329288</v>
      </c>
      <c r="N14" s="116">
        <f>Model!AH233</f>
        <v>0.144536563600815</v>
      </c>
      <c r="O14" s="116">
        <f>Model!AM233</f>
        <v>0.148775733622034</v>
      </c>
      <c r="P14" s="116">
        <f>Model!AR233</f>
        <v>0.158349036835581</v>
      </c>
      <c r="Q14" s="116">
        <f>Model!AW233</f>
        <v>0.176617324465498</v>
      </c>
      <c r="R14" s="116">
        <f>Model!BB233</f>
        <v>0.177793789412666</v>
      </c>
      <c r="S14" s="116">
        <f>Model!BG233</f>
        <v>0.197833587046039</v>
      </c>
      <c r="T14" s="116">
        <f>Model!BL233</f>
        <v>0.187195700915781</v>
      </c>
      <c r="U14" s="116">
        <f>Model!BQ233</f>
        <v>0.189633803467329</v>
      </c>
      <c r="V14" s="116">
        <f>Model!BV233</f>
        <v>0.193992807300214</v>
      </c>
    </row>
    <row r="15" ht="15" customHeight="1">
      <c r="B15" t="inlineStr">
        <is>
          <t>GAAP Op. Margin %</t>
        </is>
      </c>
      <c r="C15" s="116">
        <f>Model!C235</f>
        <v>0.089630264313836</v>
      </c>
      <c r="D15" s="116">
        <f>Model!D235</f>
        <v>0.0900395705220204</v>
      </c>
      <c r="E15" s="116">
        <f>Model!E235</f>
        <v>0.104754669825645</v>
      </c>
      <c r="F15" s="116">
        <f>Model!F235</f>
        <v>0.0763949656494946</v>
      </c>
      <c r="G15" s="116">
        <f>Model!G235</f>
        <v>0.122404467538949</v>
      </c>
      <c r="H15" s="116">
        <f>Model!H235</f>
        <v>0.109702661511106</v>
      </c>
      <c r="I15" s="116">
        <f>Model!I235</f>
        <v>0.092418876844913</v>
      </c>
      <c r="J15" s="116">
        <f>Model!N235</f>
        <v>0.0628426261719098</v>
      </c>
      <c r="K15" s="116">
        <f>Model!S235</f>
        <v>0.0328694780981857</v>
      </c>
      <c r="L15" s="116">
        <f>Model!X235</f>
        <v>0.0572736346601685</v>
      </c>
      <c r="M15" s="116">
        <f>Model!AC235</f>
        <v>0.0251021150352095</v>
      </c>
      <c r="N15" s="116">
        <f>Model!AH235</f>
        <v>0.0433874208907504</v>
      </c>
      <c r="O15" s="116">
        <f>Model!AM235</f>
        <v>0.0553203751291927</v>
      </c>
      <c r="P15" s="116">
        <f>Model!AR235</f>
        <v>0.0672459622705653</v>
      </c>
      <c r="Q15" s="116">
        <f>Model!AW235</f>
        <v>0.0799390095152917</v>
      </c>
      <c r="R15" s="116">
        <f>Model!BB235</f>
        <v>0.0914153111521387</v>
      </c>
      <c r="S15" s="116">
        <f>Model!BG235</f>
        <v>0.122855724407033</v>
      </c>
      <c r="T15" s="116">
        <f>Model!BL235</f>
        <v>0.113222738055799</v>
      </c>
      <c r="U15" s="116">
        <f>Model!BQ235</f>
        <v>0.113792438376408</v>
      </c>
      <c r="V15" s="116">
        <f>Model!BV235</f>
        <v>0.111654816736052</v>
      </c>
    </row>
    <row r="16"/>
    <row r="17" ht="15" customHeight="1">
      <c r="C17" s="11">
        <f>C7</f>
        <v>2006</v>
      </c>
      <c r="D17" s="11">
        <f>D7</f>
        <v>2007</v>
      </c>
      <c r="E17" s="11">
        <f>E7</f>
        <v>2008</v>
      </c>
      <c r="F17" s="11">
        <f>F7</f>
        <v>2009</v>
      </c>
      <c r="G17" s="11">
        <f>G7</f>
        <v>2010</v>
      </c>
      <c r="H17" s="11">
        <f>H7</f>
        <v>2011</v>
      </c>
      <c r="I17" s="11">
        <f>I7</f>
        <v>2012</v>
      </c>
      <c r="J17" s="11">
        <f>J7</f>
        <v>2013</v>
      </c>
      <c r="K17" s="11">
        <f>K7</f>
        <v>2014</v>
      </c>
      <c r="L17" s="11">
        <f>L7</f>
        <v>2015</v>
      </c>
      <c r="M17" s="11">
        <f>M7</f>
        <v>2016</v>
      </c>
      <c r="N17" s="11">
        <f>N7</f>
        <v>2017</v>
      </c>
      <c r="O17" s="11">
        <f>O7</f>
        <v>2018</v>
      </c>
      <c r="P17" s="11">
        <f>P7</f>
        <v>2019</v>
      </c>
      <c r="Q17" s="11">
        <f>Q7</f>
        <v>2020</v>
      </c>
      <c r="R17" s="11">
        <f>R7</f>
        <v>2021</v>
      </c>
      <c r="S17" s="11">
        <f>S7</f>
        <v>2022</v>
      </c>
      <c r="T17" s="11">
        <f>T7</f>
        <v>2023</v>
      </c>
      <c r="U17" s="11">
        <f>U7</f>
        <v>2024</v>
      </c>
      <c r="V17" s="11">
        <f>V7</f>
        <v>2025</v>
      </c>
    </row>
    <row r="18" ht="15" customHeight="1">
      <c r="B18" t="inlineStr">
        <is>
          <t>ROIC</t>
        </is>
      </c>
      <c r="C18" s="116">
        <f>IFERROR(Model!C402+0,NA())</f>
        <v>0.348056004894304</v>
      </c>
      <c r="D18" s="116">
        <f>IFERROR(Model!D402+0,NA())</f>
        <v>0.284269491763362</v>
      </c>
      <c r="E18" s="116">
        <f>IFERROR(Model!E402+0,NA())</f>
        <v>0.311785298189216</v>
      </c>
      <c r="F18" s="116">
        <f>IFERROR(Model!F402+0,NA())</f>
        <v>0.0818410603433813</v>
      </c>
      <c r="G18" s="116">
        <f>IFERROR(Model!G402+0,NA())</f>
        <v>0.20398112535811</v>
      </c>
      <c r="H18" s="116">
        <f>IFERROR(Model!H402+0,NA())</f>
        <v>0.132863581083363</v>
      </c>
      <c r="I18" s="116">
        <f>IFERROR(Model!I402+0,NA())</f>
        <v>0.0816343259715774</v>
      </c>
      <c r="J18" s="116">
        <f>IFERROR(Model!N402+0,NA())</f>
        <v>0.0638369685126966</v>
      </c>
      <c r="K18" s="116">
        <f>IFERROR(Model!S402+0,NA())</f>
        <v>0.0611652031409132</v>
      </c>
      <c r="L18" s="116">
        <f>IFERROR(Model!X402+0,NA())</f>
        <v>0.0601468015798671</v>
      </c>
      <c r="M18" s="116">
        <f>IFERROR(Model!AC402+0,NA())</f>
        <v>0.0282143740178452</v>
      </c>
      <c r="N18" s="116">
        <f>IFERROR(Model!AH402+0,NA())</f>
        <v>0.0557829345315206</v>
      </c>
      <c r="O18" s="116">
        <f>IFERROR(Model!AM402+0,NA())</f>
        <v>0.0542622164996273</v>
      </c>
      <c r="P18" s="116">
        <f>IFERROR(Model!AR402+0,NA())</f>
        <v>0.0653576121873867</v>
      </c>
      <c r="Q18" s="116">
        <f>IFERROR(Model!AW402+0,NA())</f>
        <v>0.0870746348728504</v>
      </c>
      <c r="R18" s="116">
        <f>IFERROR(Model!BB402+0,NA())</f>
        <v>0.0811580730746861</v>
      </c>
      <c r="S18" s="116">
        <f>IFERROR(Model!BG402+0,NA())</f>
        <v>0.136120416942162</v>
      </c>
      <c r="T18" s="116">
        <f>IFERROR(Model!BL402+0,NA())</f>
        <v>0.121452014349579</v>
      </c>
      <c r="U18" s="116">
        <f>IFERROR(Model!BQ402+0,NA())</f>
        <v>0.118160534234528</v>
      </c>
      <c r="V18" s="116">
        <f>IFERROR(Model!BV402+0,NA())</f>
        <v>0.117354458190155</v>
      </c>
    </row>
    <row r="19" ht="15" customHeight="1">
      <c r="B19" t="inlineStr">
        <is>
          <t>RONTA</t>
        </is>
      </c>
      <c r="C19" s="116">
        <f>IFERROR(Model!C413+0,NA())</f>
        <v>0.191402623279026</v>
      </c>
      <c r="D19" s="116">
        <f>IFERROR(Model!D413+0,NA())</f>
        <v>0.126226794596563</v>
      </c>
      <c r="E19" s="116">
        <f>IFERROR(Model!E413+0,NA())</f>
        <v>0.11696435706258</v>
      </c>
      <c r="F19" s="116">
        <f>IFERROR(Model!F413+0,NA())</f>
        <v>0.055642696903536</v>
      </c>
      <c r="G19" s="116">
        <f>IFERROR(Model!G413+0,NA())</f>
        <v>0.136212739639357</v>
      </c>
      <c r="H19" s="116">
        <f>IFERROR(Model!H413+0,NA())</f>
        <v>0.108010638579438</v>
      </c>
      <c r="I19" s="116">
        <f>IFERROR(Model!I413+0,NA())</f>
        <v>0.101238606415057</v>
      </c>
      <c r="J19" s="116">
        <f>IFERROR(Model!N413+0,NA())</f>
        <v>0.0750326110328989</v>
      </c>
      <c r="K19" s="116">
        <f>IFERROR(Model!S413+0,NA())</f>
        <v>0.0686183530471336</v>
      </c>
      <c r="L19" s="116">
        <f>IFERROR(Model!X413+0,NA())</f>
        <v>0.0706021587353567</v>
      </c>
      <c r="M19" s="116">
        <f>IFERROR(Model!AC413+0,NA())</f>
        <v>0.0307273455900193</v>
      </c>
      <c r="N19" s="116">
        <f>IFERROR(Model!AH413+0,NA())</f>
        <v>0.0607475890862831</v>
      </c>
      <c r="O19" s="116">
        <f>IFERROR(Model!AM413+0,NA())</f>
        <v>0.0610944989908821</v>
      </c>
      <c r="P19" s="116">
        <f>IFERROR(Model!AR413+0,NA())</f>
        <v>0.0644192488776669</v>
      </c>
      <c r="Q19" s="116">
        <f>IFERROR(Model!AW413+0,NA())</f>
        <v>0.0782807009641493</v>
      </c>
      <c r="R19" s="116">
        <f>IFERROR(Model!BB413+0,NA())</f>
        <v>0.0992361771228988</v>
      </c>
      <c r="S19" s="116">
        <f>IFERROR(Model!BG413+0,NA())</f>
        <v>0.158747247250801</v>
      </c>
      <c r="T19" s="116">
        <f>IFERROR(Model!BL413+0,NA())</f>
        <v>0.140157235390481</v>
      </c>
      <c r="U19" s="116">
        <f>IFERROR(Model!BQ413+0,NA())</f>
        <v>0.131366195517978</v>
      </c>
      <c r="V19" s="116">
        <f>IFERROR(Model!BV413+0,NA())</f>
        <v>0.122739257218407</v>
      </c>
    </row>
    <row r="20" ht="15" customHeight="1">
      <c r="B20" t="inlineStr">
        <is>
          <t>Adj. EBITDA margin %</t>
        </is>
      </c>
      <c r="C20" s="116">
        <f>IFERROR(Model!C233+0,NA())</f>
        <v>0.14453326006346</v>
      </c>
      <c r="D20" s="116">
        <f>IFERROR(Model!D233+0,NA())</f>
        <v>0.140769465539218</v>
      </c>
      <c r="E20" s="116">
        <f>IFERROR(Model!E233+0,NA())</f>
        <v>0.158355429687993</v>
      </c>
      <c r="F20" s="116">
        <f>IFERROR(Model!F233+0,NA())</f>
        <v>0.146692483848746</v>
      </c>
      <c r="G20" s="116">
        <f>IFERROR(Model!G233+0,NA())</f>
        <v>0.181772182315144</v>
      </c>
      <c r="H20" s="116">
        <f>IFERROR(Model!H233+0,NA())</f>
        <v>0.176403230423721</v>
      </c>
      <c r="I20" s="116">
        <f>IFERROR(Model!I233+0,NA())</f>
        <v>0.170833051481141</v>
      </c>
      <c r="J20" s="116">
        <f>IFERROR(Model!N233+0,NA())</f>
        <v>0.145343304301048</v>
      </c>
      <c r="K20" s="116">
        <f>IFERROR(Model!S233+0,NA())</f>
        <v>0.153431760482309</v>
      </c>
      <c r="L20" s="116">
        <f>IFERROR(Model!X233+0,NA())</f>
        <v>0.153937682606865</v>
      </c>
      <c r="M20" s="116">
        <f>IFERROR(Model!AC233+0,NA())</f>
        <v>0.145307136329288</v>
      </c>
      <c r="N20" s="116">
        <f>IFERROR(Model!AH233+0,NA())</f>
        <v>0.144536563600815</v>
      </c>
      <c r="O20" s="116">
        <f>IFERROR(Model!AM233+0,NA())</f>
        <v>0.148775733622034</v>
      </c>
      <c r="P20" s="116">
        <f>IFERROR(Model!AR233+0,NA())</f>
        <v>0.158349036835581</v>
      </c>
      <c r="Q20" s="116">
        <f>IFERROR(Model!AW233+0,NA())</f>
        <v>0.176617324465498</v>
      </c>
      <c r="R20" s="116">
        <f>IFERROR(Model!BB233+0,NA())</f>
        <v>0.177793789412666</v>
      </c>
      <c r="S20" s="116">
        <f>IFERROR(Model!BG233+0,NA())</f>
        <v>0.197833587046039</v>
      </c>
      <c r="T20" s="116">
        <f>IFERROR(Model!BL233+0,NA())</f>
        <v>0.187195700915781</v>
      </c>
      <c r="U20" s="116">
        <f>IFERROR(Model!BQ233+0,NA())</f>
        <v>0.189633803467329</v>
      </c>
      <c r="V20" s="116">
        <f>IFERROR(Model!BV233+0,NA())</f>
        <v>0.193992807300214</v>
      </c>
    </row>
    <row r="21" ht="15" customHeight="1">
      <c r="B21" t="inlineStr">
        <is>
          <t>FCF margin %</t>
        </is>
      </c>
      <c r="C21" s="116">
        <f>IFERROR(Model!C273+0,NA())</f>
        <v>0.0249623708588362</v>
      </c>
      <c r="D21" s="116">
        <f>IFERROR(Model!D273+0,NA())</f>
        <v>0.0459037064494565</v>
      </c>
      <c r="E21" s="116">
        <f>IFERROR(Model!E273+0,NA())</f>
        <v>0.0505746992615791</v>
      </c>
      <c r="F21" s="116">
        <f>IFERROR(Model!F273+0,NA())</f>
        <v>0.0288823518459906</v>
      </c>
      <c r="G21" s="116">
        <f>IFERROR(Model!G273+0,NA())</f>
        <v>0.0621853418697769</v>
      </c>
      <c r="H21" s="116">
        <f>IFERROR(Model!H273+0,NA())</f>
        <v>0.0156330009636436</v>
      </c>
      <c r="I21" s="116">
        <f>IFERROR(Model!I273+0,NA())</f>
        <v>0.0580316905464032</v>
      </c>
      <c r="J21" s="116">
        <f>IFERROR(Model!N273+0,NA())</f>
        <v>0.0386453829093222</v>
      </c>
      <c r="K21" s="116">
        <f>IFERROR(Model!S273+0,NA())</f>
        <v>0.0116864355857005</v>
      </c>
      <c r="L21" s="116">
        <f>IFERROR(Model!X273+0,NA())</f>
        <v>0.0424980695464037</v>
      </c>
      <c r="M21" s="116">
        <f>IFERROR(Model!AC273+0,NA())</f>
        <v>0.0146049725140515</v>
      </c>
      <c r="N21" s="116">
        <f>IFERROR(Model!AH273+0,NA())</f>
        <v>0.0403028477632091</v>
      </c>
      <c r="O21" s="116">
        <f>IFERROR(Model!AM273+0,NA())</f>
        <v>0.0544998444082255</v>
      </c>
      <c r="P21" s="116">
        <f>IFERROR(Model!AR273+0,NA())</f>
        <v>0.05769549761297</v>
      </c>
      <c r="Q21" s="116">
        <f>IFERROR(Model!AW273+0,NA())</f>
        <v>0.074533641932803</v>
      </c>
      <c r="R21" s="116">
        <f>IFERROR(Model!BB273+0,NA())</f>
        <v>0.0799200434311217</v>
      </c>
      <c r="S21" s="116">
        <f>IFERROR(Model!BG273+0,NA())</f>
        <v>0.0544183269284182</v>
      </c>
      <c r="T21" s="116">
        <f>IFERROR(Model!BL273+0,NA())</f>
        <v>0.0577266085330935</v>
      </c>
      <c r="U21" s="116">
        <f>IFERROR(Model!BQ273+0,NA())</f>
        <v>0.0586643150911926</v>
      </c>
      <c r="V21" s="116">
        <f>IFERROR(Model!BV273+0,NA())</f>
        <v>0.0732579905575296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2026-10-04T20:33:26Z</dcterms:modified>
  <cp:lastModifiedBy>Payton Liske</cp:lastModifiedBy>
  <cp:revision>3</cp:revision>
</cp:coreProperties>
</file>