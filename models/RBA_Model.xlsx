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  <sheet name="Sheet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RB Global earnings releases (Form 8-K Ex. 99.1) — 'GTV by Sector' tables. Automotive composition unchanged across the Q2-26 sector re-presentation; disclosed from Q1/23 (IAA acquired 20-Mar-2023).</t>
        </r>
      </text>
    </comment>
    <comment ref="B12" authorId="0">
      <text>
        <r>
          <rPr>
            <sz val="10"/>
            <rFont val="Arial"/>
            <family val="2"/>
          </rPr>
          <t xml:space="preserve">Source: earnings releases — 'Lots Sold by Sector' tables (thousands).</t>
        </r>
      </text>
    </comment>
    <comment ref="B19" authorId="0">
      <text>
        <r>
          <rPr>
            <sz val="10"/>
            <rFont val="Arial"/>
            <family val="2"/>
          </rPr>
          <t xml:space="preserve">Source: RB Global earnings releases (Form 8-K Ex. 99.1) — 'GTV by Sector' tables. Current basis (Automotive / Heavy Equipment &amp; Transportation / Other) recast from Q1/25 in the Q2-26 release.</t>
        </r>
      </text>
    </comment>
    <comment ref="B20" authorId="0">
      <text>
        <r>
          <rPr>
            <sz val="10"/>
            <rFont val="Arial"/>
            <family val="2"/>
          </rPr>
          <t xml:space="preserve">Source: earnings releases — 'Lots Sold by Sector' tables (thousands).</t>
        </r>
      </text>
    </comment>
    <comment ref="B25" authorId="0">
      <text>
        <r>
          <rPr>
            <sz val="10"/>
            <rFont val="Arial"/>
            <family val="2"/>
          </rPr>
          <t xml:space="preserve">Legacy sector basis as originally reported (Automotive / CC&amp;T / Other) — 2023 to Q1/26. Not comparable with the current basis rows above.</t>
        </r>
      </text>
    </comment>
    <comment ref="B26" authorId="0">
      <text>
        <r>
          <rPr>
            <sz val="10"/>
            <rFont val="Arial"/>
            <family val="2"/>
          </rPr>
          <t xml:space="preserve">Legacy sector basis as originally reported (Automotive / CC&amp;T / Other) — 2023 to Q1/26. Not comparable with the current basis rows above.</t>
        </r>
      </text>
    </comment>
    <comment ref="B29" authorId="0">
      <text>
        <r>
          <rPr>
            <sz val="10"/>
            <rFont val="Arial"/>
            <family val="2"/>
          </rPr>
          <t xml:space="preserve">Source: RB Global earnings releases (Form 8-K Ex. 99.1) — 'GTV by Sector' tables. Current basis (Automotive / Heavy Equipment &amp; Transportation / Other) recast from Q1/25 in the Q2-26 release.</t>
        </r>
      </text>
    </comment>
    <comment ref="B30" authorId="0">
      <text>
        <r>
          <rPr>
            <sz val="10"/>
            <rFont val="Arial"/>
            <family val="2"/>
          </rPr>
          <t xml:space="preserve">Source: earnings releases — 'Lots Sold by Sector' tables (thousands).</t>
        </r>
      </text>
    </comment>
    <comment ref="B35" authorId="0">
      <text>
        <r>
          <rPr>
            <sz val="10"/>
            <rFont val="Arial"/>
            <family val="2"/>
          </rPr>
          <t xml:space="preserve">Legacy sector basis as originally reported (Automotive / CC&amp;T / Other) — 2023 to Q1/26. Not comparable with the current basis rows above.</t>
        </r>
      </text>
    </comment>
    <comment ref="B36" authorId="0">
      <text>
        <r>
          <rPr>
            <sz val="10"/>
            <rFont val="Arial"/>
            <family val="2"/>
          </rPr>
          <t xml:space="preserve">Legacy sector basis as originally reported (Automotive / CC&amp;T / Other) — 2023 to Q1/26. Not comparable with the current basis rows above.</t>
        </r>
      </text>
    </comment>
    <comment ref="B39" authorId="0">
      <text>
        <r>
          <rPr>
            <sz val="10"/>
            <rFont val="Arial"/>
            <family val="2"/>
          </rPr>
          <t xml:space="preserve">GTV = total proceeds from all items sold at auctions and online marketplaces (non-GAAP operating metric). Ritchie Bros. reported 'gross auction proceeds' (GAP; 'gross auction sales' in 2006) through Q2/17 and 'gross transaction value' (GTV, incl. IronPlanet online marketplaces) from the Q3-17 release (GTV excludes EquipmentOne buyer premiums from Aug-2017; Q2/17 revised 1,257.4 → 1,254.3). 2013 GAP excludes EquipmentOne buyer premiums ($8.2m). Source: 40-F MD&amp;A (2006–14), earnings releases / 10-K / 10-Q MD&amp;A (2015+).</t>
        </r>
      </text>
    </comment>
    <comment ref="B44" authorId="0">
      <text>
        <r>
          <rPr>
            <sz val="10"/>
            <rFont val="Arial"/>
            <family val="2"/>
          </rPr>
          <t xml:space="preserve">Lots sold (000s) per earnings releases; disclosed consistently from 2023 (RB Global).</t>
        </r>
      </text>
    </comment>
    <comment ref="B48" authorId="0">
      <text>
        <r>
          <rPr>
            <sz val="10"/>
            <rFont val="Arial"/>
            <family val="2"/>
          </rPr>
          <t xml:space="preserve">Source: 10-K/10-Q 'Disaggregated Revenue' note and earnings releases. Revenue categories introduced with the IAA acquisition (2023): transactional seller / transactional buyer / marketplace services.</t>
        </r>
      </text>
    </comment>
    <comment ref="B51" authorId="0">
      <text>
        <r>
          <rPr>
            <sz val="10"/>
            <rFont val="Arial"/>
            <family val="2"/>
          </rPr>
          <t xml:space="preserve">Ritchie Bros. legacy revenue presentation: commission revenues (incl. net inventory gains pre-2018) and fee revenues (buyer fees, documentation and other fees). Source: 40-F / 10-K revenue note.</t>
        </r>
      </text>
    </comment>
    <comment ref="B54" authorId="0">
      <text>
        <r>
          <rPr>
            <sz val="10"/>
            <rFont val="Arial"/>
            <family val="2"/>
          </rPr>
          <t xml:space="preserve">Pre-2018 (before ASC 606) Ritchie Bros. revenue included net gains on inventory contracts, so the historical take rate equals total revenue / GAP ('revenue rate'). 2018+: service revenue / GTV.</t>
        </r>
      </text>
    </comment>
    <comment ref="B70" authorId="0">
      <text>
        <r>
          <rPr>
            <sz val="10"/>
            <rFont val="Arial"/>
            <family val="2"/>
          </rPr>
          <t xml:space="preserve">Source: 40-F / 10-K segment &amp; geographic information note (annual); 10-Q disaggregated revenue note (quarterly, 2023+).</t>
        </r>
      </text>
    </comment>
    <comment ref="B93" authorId="0">
      <text>
        <r>
          <rPr>
            <sz val="10"/>
            <rFont val="Arial"/>
            <family val="2"/>
          </rPr>
          <t xml:space="preserve">Source: 40-F (2006–14) and 10-K/10-Q (2015+) consolidated income statements, latest filing presenting each period; quarters from earnings releases (Form 6-K pre-2016, 8-K Ex. 99.1).</t>
        </r>
      </text>
    </comment>
    <comment ref="B94" authorId="0">
      <text>
        <r>
          <rPr>
            <sz val="10"/>
            <rFont val="Arial"/>
            <family val="2"/>
          </rPr>
          <t xml:space="preserve">ASC 606 (adopted 1-Jan-2018, modified retrospective): inventory contracts presented gross as inventory sales revenue / cost of inventory sold. Pre-2018 inventory gains were netted in revenues.</t>
        </r>
      </text>
    </comment>
    <comment ref="B96" authorId="0">
      <text>
        <r>
          <rPr>
            <sz val="10"/>
            <rFont val="Arial"/>
            <family val="2"/>
          </rPr>
          <t xml:space="preserve">ASC 606 adopted 1-Jan-2018 (full retrospective): the 2018 10-Qs / FY2018 10-K recast 2017 in full (used in this model) and re-presented 2016 total revenue only (gross inventory sales). 2016 and earlier are therefore shown on the legacy net basis; this memo bridges the two.</t>
        </r>
      </text>
    </comment>
    <comment ref="C160" authorId="0">
      <text>
        <r>
          <rPr>
            <sz val="10"/>
            <rFont val="Arial"/>
            <family val="2"/>
          </rPr>
          <t xml:space="preserve">Ritchie Bros. did not publish EBITDA or adjusted EBITDA in its 2006–2010 40-F MD&amp;A. Model EBITDA = net income + D&amp;A + interest expense − interest income + tax; no adjusting items.</t>
        </r>
      </text>
    </comment>
    <comment ref="C173" authorId="0">
      <text>
        <r>
          <rPr>
            <sz val="10"/>
            <rFont val="Arial"/>
            <family val="2"/>
          </rPr>
          <t xml:space="preserve">Company wording: Gain on sale of excess property in Florida: -1.8</t>
        </r>
      </text>
    </comment>
    <comment ref="C174" authorId="0">
      <text>
        <r>
          <rPr>
            <sz val="10"/>
            <rFont val="Arial"/>
            <family val="2"/>
          </rPr>
          <t xml:space="preserve">Company wording: Write-down of land held for resale in Texas: 0.2</t>
        </r>
      </text>
    </comment>
    <comment ref="C195" authorId="0">
      <text>
        <r>
          <rPr>
            <sz val="10"/>
            <rFont val="Arial"/>
            <family val="2"/>
          </rPr>
          <t xml:space="preserve">FY2006 MD&amp;A stated only that earnings 'would have been' $56.2m ($1.61 pre-split diluted EPS) excluding excess-property items; no formal adjusted measure.</t>
        </r>
      </text>
    </comment>
    <comment ref="D183" authorId="0">
      <text>
        <r>
          <rPr>
            <sz val="10"/>
            <rFont val="Arial"/>
            <family val="2"/>
          </rPr>
          <t xml:space="preserve">Company wording: Net foreign exchange impact on financing transactions: -4.8</t>
        </r>
      </text>
    </comment>
    <comment ref="D195" authorId="0">
      <text>
        <r>
          <rPr>
            <sz val="10"/>
            <rFont val="Arial"/>
            <family val="2"/>
          </rPr>
          <t xml:space="preserve">Ritchie Bros. 40-F MD&amp;A (Canadian GAAP 2007–10, IFRS 2011–12): adjusted net earnings exclude gains/losses on the sale of excess property (after tax) and one-off FX impacts on financing transactions.</t>
        </r>
      </text>
    </comment>
    <comment ref="E173" authorId="0">
      <text>
        <r>
          <rPr>
            <sz val="10"/>
            <rFont val="Arial"/>
            <family val="2"/>
          </rPr>
          <t xml:space="preserve">Company wording: Gain on sale of excess property (former Richmond BC headquarters): -8.3</t>
        </r>
      </text>
    </comment>
    <comment ref="E183" authorId="0">
      <text>
        <r>
          <rPr>
            <sz val="10"/>
            <rFont val="Arial"/>
            <family val="2"/>
          </rPr>
          <t xml:space="preserve">Company wording: Net foreign exchange impact on financing transactions (incl. $15,023k CTA reclassified to earnings on settlement of intercompany loans): -9.2</t>
        </r>
      </text>
    </comment>
    <comment ref="F173" authorId="0">
      <text>
        <r>
          <rPr>
            <sz val="10"/>
            <rFont val="Arial"/>
            <family val="2"/>
          </rPr>
          <t xml:space="preserve">Company wording: Gain on sale of excess property (former Minneapolis site): -1.1</t>
        </r>
      </text>
    </comment>
    <comment ref="F183" authorId="0">
      <text>
        <r>
          <rPr>
            <sz val="10"/>
            <rFont val="Arial"/>
            <family val="2"/>
          </rPr>
          <t xml:space="preserve">Company wording: Net foreign exchange impact on financing transactions: -0.8</t>
        </r>
      </text>
    </comment>
    <comment ref="G173" authorId="0">
      <text>
        <r>
          <rPr>
            <sz val="10"/>
            <rFont val="Arial"/>
            <family val="2"/>
          </rPr>
          <t xml:space="preserve">Company wording: Gain on sale of excess property (former Houston TX site): -1.2</t>
        </r>
      </text>
    </comment>
    <comment ref="H160" authorId="0">
      <text>
        <r>
          <rPr>
            <sz val="10"/>
            <rFont val="Arial"/>
            <family val="2"/>
          </rPr>
          <t xml:space="preserve">2011–2012 (IFRS): the company published an EBITDA margin only (36.9% / 36.8%), defined as earnings from operations + D&amp;A. Dollar amounts are model-computed.</t>
        </r>
      </text>
    </comment>
    <comment ref="H173" authorId="0">
      <text>
        <r>
          <rPr>
            <sz val="10"/>
            <rFont val="Arial"/>
            <family val="2"/>
          </rPr>
          <t xml:space="preserve">Company wording: Gain on sale of excess property (former Vancouver BC site): -3.5</t>
        </r>
      </text>
    </comment>
    <comment ref="H195" authorId="0">
      <text>
        <r>
          <rPr>
            <sz val="10"/>
            <rFont val="Arial"/>
            <family val="2"/>
          </rPr>
          <t xml:space="preserve">IFRS adopted 1-Jan-2011 (2010 restated). FY2011–12 adjusted net earnings on IFRS.</t>
        </r>
      </text>
    </comment>
    <comment ref="I173" authorId="0">
      <text>
        <r>
          <rPr>
            <sz val="10"/>
            <rFont val="Arial"/>
            <family val="2"/>
          </rPr>
          <t xml:space="preserve">Company wording: Loss on sale of former Olympia, WA auction site: 1.9</t>
        </r>
      </text>
    </comment>
    <comment ref="I174" authorId="0">
      <text>
        <r>
          <rPr>
            <sz val="10"/>
            <rFont val="Arial"/>
            <family val="2"/>
          </rPr>
          <t xml:space="preserve">Company wording: Net impairment loss, former Statesville, NC site (held for sale): 2.2 | Impairment loss, former London, ON site: 0.6</t>
        </r>
      </text>
    </comment>
    <comment ref="J160" authorId="0">
      <text>
        <r>
          <rPr>
            <sz val="10"/>
            <rFont val="Arial"/>
            <family val="2"/>
          </rPr>
          <t xml:space="preserve">2013–2014 quarterly releases (Form 6-K) published EBITDA (IFRS earnings from operations + D&amp;A) from Q2/13; Q1/13 margin only.</t>
        </r>
      </text>
    </comment>
    <comment ref="J195" authorId="0">
      <text>
        <r>
          <rPr>
            <sz val="10"/>
            <rFont val="Arial"/>
            <family val="2"/>
          </rPr>
          <t xml:space="preserve">2013 quarterly releases (6-K).</t>
        </r>
      </text>
    </comment>
    <comment ref="M173" authorId="0">
      <text>
        <r>
          <rPr>
            <sz val="10"/>
            <rFont val="Arial"/>
            <family val="2"/>
          </rPr>
          <t xml:space="preserve">Company wording: Gain on disposition of property (sale of excess land in Texas) - pre-tax: -0.7</t>
        </r>
      </text>
    </comment>
    <comment ref="N148" authorId="0">
      <text>
        <r>
          <rPr>
            <sz val="10"/>
            <rFont val="Arial"/>
            <family val="2"/>
          </rPr>
          <t xml:space="preserve">Company wording: CEO Separation Agreement: 4.6</t>
        </r>
      </text>
    </comment>
    <comment ref="N173" authorId="0">
      <text>
        <r>
          <rPr>
            <sz val="10"/>
            <rFont val="Arial"/>
            <family val="2"/>
          </rPr>
          <t xml:space="preserve">Company wording: Gain on sale of excess property (Prince Rupert) - pre-tax: -9.2</t>
        </r>
      </text>
    </comment>
    <comment ref="N175" authorId="0">
      <text>
        <r>
          <rPr>
            <sz val="10"/>
            <rFont val="Arial"/>
            <family val="2"/>
          </rPr>
          <t xml:space="preserve">Company wording: CEO separation agreement - pre-tax: 4.6</t>
        </r>
      </text>
    </comment>
    <comment ref="N195" authorId="0">
      <text>
        <r>
          <rPr>
            <sz val="10"/>
            <rFont val="Arial"/>
            <family val="2"/>
          </rPr>
          <t xml:space="preserve">From Q4/13 the base is net earnings attributable to stockholders (RBFS 49% NCI).</t>
        </r>
      </text>
    </comment>
    <comment ref="O146" authorId="0">
      <text>
        <r>
          <rPr>
            <sz val="10"/>
            <rFont val="Arial"/>
            <family val="2"/>
          </rPr>
          <t xml:space="preserve">Company wording: Gain on sale of excess property: -9.9</t>
        </r>
      </text>
    </comment>
    <comment ref="O148" authorId="0">
      <text>
        <r>
          <rPr>
            <sz val="10"/>
            <rFont val="Arial"/>
            <family val="2"/>
          </rPr>
          <t xml:space="preserve">Company wording: CEO Separation Agreement: 4.6</t>
        </r>
      </text>
    </comment>
    <comment ref="O160" authorId="0">
      <text>
        <r>
          <rPr>
            <sz val="10"/>
            <rFont val="Arial"/>
            <family val="2"/>
          </rPr>
          <t xml:space="preserve">FY2013–14 (US GAAP, FY2015 10-K): EBITDA defined as operating income + D&amp;A, i.e. excluding other income (≈$2.5m in 2013), hence the residual vs the model EBITDA (net-income based).</t>
        </r>
      </text>
    </comment>
    <comment ref="O173" authorId="0">
      <text>
        <r>
          <rPr>
            <sz val="10"/>
            <rFont val="Arial"/>
            <family val="2"/>
          </rPr>
          <t xml:space="preserve">Company wording: Gain on sale of excess property (Fort Worth TX, Prince Rupert BC) - pre-tax: -9.9</t>
        </r>
      </text>
    </comment>
    <comment ref="O175" authorId="0">
      <text>
        <r>
          <rPr>
            <sz val="10"/>
            <rFont val="Arial"/>
            <family val="2"/>
          </rPr>
          <t xml:space="preserve">Company wording: CEO separation agreement - pre-tax: 4.6</t>
        </r>
      </text>
    </comment>
    <comment ref="S173" authorId="0">
      <text>
        <r>
          <rPr>
            <sz val="10"/>
            <rFont val="Arial"/>
            <family val="2"/>
          </rPr>
          <t xml:space="preserve">Company wording: Gain on disposition of property (former Grande Prairie auction site) - pre-tax: -3.4</t>
        </r>
      </text>
    </comment>
    <comment ref="S174" authorId="0">
      <text>
        <r>
          <rPr>
            <sz val="10"/>
            <rFont val="Arial"/>
            <family val="2"/>
          </rPr>
          <t xml:space="preserve">Company wording: Japan impairment loss (Narita) - pre-tax: 8.1</t>
        </r>
      </text>
    </comment>
    <comment ref="S195" authorId="0">
      <text>
        <r>
          <rPr>
            <sz val="10"/>
            <rFont val="Arial"/>
            <family val="2"/>
          </rPr>
          <t xml:space="preserve">Q3-14: Narita impairment adjusted; Q4-14: management reorganization (termination benefits).</t>
        </r>
      </text>
    </comment>
    <comment ref="T145" authorId="0">
      <text>
        <r>
          <rPr>
            <sz val="10"/>
            <rFont val="Arial"/>
            <family val="2"/>
          </rPr>
          <t xml:space="preserve">Company wording: Management reorganization: 5.5</t>
        </r>
      </text>
    </comment>
    <comment ref="T160" authorId="0">
      <text>
        <r>
          <rPr>
            <sz val="10"/>
            <rFont val="Arial"/>
            <family val="2"/>
          </rPr>
          <t xml:space="preserve">Q4-14 release first published 'adjusted operating income' and 'adjusted EBITDA' excluding significant non-recurring items (gain on sale of excess property, Narita impairment, management reorganization, CEO separation).</t>
        </r>
      </text>
    </comment>
    <comment ref="T171" authorId="0">
      <text>
        <r>
          <rPr>
            <sz val="10"/>
            <rFont val="Arial"/>
            <family val="2"/>
          </rPr>
          <t xml:space="preserve">Company wording: Management reorganization (termination benefits) - pre-tax: 5.5</t>
        </r>
      </text>
    </comment>
    <comment ref="U145" authorId="0">
      <text>
        <r>
          <rPr>
            <sz val="10"/>
            <rFont val="Arial"/>
            <family val="2"/>
          </rPr>
          <t xml:space="preserve">Company wording: Management reorganization: 5.5</t>
        </r>
      </text>
    </comment>
    <comment ref="U146" authorId="0">
      <text>
        <r>
          <rPr>
            <sz val="10"/>
            <rFont val="Arial"/>
            <family val="2"/>
          </rPr>
          <t xml:space="preserve">Company wording: Gain on sale of excess property: -3.4</t>
        </r>
      </text>
    </comment>
    <comment ref="U147" authorId="0">
      <text>
        <r>
          <rPr>
            <sz val="10"/>
            <rFont val="Arial"/>
            <family val="2"/>
          </rPr>
          <t xml:space="preserve">Company wording: Impairment loss: 8.1</t>
        </r>
      </text>
    </comment>
    <comment ref="U160" authorId="0">
      <text>
        <r>
          <rPr>
            <sz val="10"/>
            <rFont val="Arial"/>
            <family val="2"/>
          </rPr>
          <t xml:space="preserve">FY2013 and FY2014 annual figures are US GAAP as recast in the FY2015 10-K (gains, impairment and FX move into operating income); quarters remain IFRS.</t>
        </r>
      </text>
    </comment>
    <comment ref="U171" authorId="0">
      <text>
        <r>
          <rPr>
            <sz val="10"/>
            <rFont val="Arial"/>
            <family val="2"/>
          </rPr>
          <t xml:space="preserve">Company wording: Management reorganization - pre-tax: 5.5</t>
        </r>
      </text>
    </comment>
    <comment ref="U173" authorId="0">
      <text>
        <r>
          <rPr>
            <sz val="10"/>
            <rFont val="Arial"/>
            <family val="2"/>
          </rPr>
          <t xml:space="preserve">Company wording: Gain on sale of excess property (Grande Prairie) - pre-tax: -3.4</t>
        </r>
      </text>
    </comment>
    <comment ref="U174" authorId="0">
      <text>
        <r>
          <rPr>
            <sz val="10"/>
            <rFont val="Arial"/>
            <family val="2"/>
          </rPr>
          <t xml:space="preserve">Company wording: Impairment loss (Narita, Japan) - pre-tax: 8.1</t>
        </r>
      </text>
    </comment>
    <comment ref="U195" authorId="0">
      <text>
        <r>
          <rPr>
            <sz val="10"/>
            <rFont val="Arial"/>
            <family val="2"/>
          </rPr>
          <t xml:space="preserve">FY2013–14 adjusted NI per the FY2015 10-K (US GAAP, incl. tax-loss utilization).</t>
        </r>
      </text>
    </comment>
    <comment ref="V160" authorId="0">
      <text>
        <r>
          <rPr>
            <sz val="10"/>
            <rFont val="Arial"/>
            <family val="2"/>
          </rPr>
          <t xml:space="preserve">2015–Q1/16: adjusted EBITDA disclosed only as the trailing-12-month denominator of debt / adjusted EBITDA (adjusted operating income + D&amp;A). Q1/15 and Q4 figures derived as FY − 9M.</t>
        </r>
      </text>
    </comment>
    <comment ref="Z146" authorId="0">
      <text>
        <r>
          <rPr>
            <sz val="10"/>
            <rFont val="Arial"/>
            <family val="2"/>
          </rPr>
          <t xml:space="preserve">Company wording: Gain on sale of excess property: -8.4</t>
        </r>
      </text>
    </comment>
    <comment ref="Z173" authorId="0">
      <text>
        <r>
          <rPr>
            <sz val="10"/>
            <rFont val="Arial"/>
            <family val="2"/>
          </rPr>
          <t xml:space="preserve">Company wording: Gain on sale of excess property: -8.4</t>
        </r>
      </text>
    </comment>
    <comment ref="Z185" authorId="0">
      <text>
        <r>
          <rPr>
            <sz val="10"/>
            <rFont val="Arial"/>
            <family val="2"/>
          </rPr>
          <t xml:space="preserve">Company wording: Deferred tax adjusting item: tax loss utilization: -7.9</t>
        </r>
      </text>
    </comment>
    <comment ref="Z195" authorId="0">
      <text>
        <r>
          <rPr>
            <sz val="10"/>
            <rFont val="Arial"/>
            <family val="2"/>
          </rPr>
          <t xml:space="preserve">Q4-15 release (first US GAAP release): adjusted net income attributable to stockholders and diluted adjusted EPS exclude significant non-recurring items, incl. deferred tax-loss utilization.</t>
        </r>
      </text>
    </comment>
    <comment ref="AA146" authorId="0">
      <text>
        <r>
          <rPr>
            <sz val="10"/>
            <rFont val="Arial"/>
            <family val="2"/>
          </rPr>
          <t xml:space="preserve">Company wording: Gain on sale of excess property: -8.4</t>
        </r>
      </text>
    </comment>
    <comment ref="AA173" authorId="0">
      <text>
        <r>
          <rPr>
            <sz val="10"/>
            <rFont val="Arial"/>
            <family val="2"/>
          </rPr>
          <t xml:space="preserve">Company wording: Gain on sale of excess property: -8.4</t>
        </r>
      </text>
    </comment>
    <comment ref="AA185" authorId="0">
      <text>
        <r>
          <rPr>
            <sz val="10"/>
            <rFont val="Arial"/>
            <family val="2"/>
          </rPr>
          <t xml:space="preserve">Company wording: Deferred tax adjusting item: tax loss utilization: -7.9</t>
        </r>
      </text>
    </comment>
    <comment ref="AC160" authorId="0">
      <text>
        <r>
          <rPr>
            <sz val="10"/>
            <rFont val="Arial"/>
            <family val="2"/>
          </rPr>
          <t xml:space="preserve">Q2-16 10-Q: EBITDA = net income + D&amp;A + interest expense − interest income + current tax − deferred tax recovery; adjusted EBITDA excludes 'adjusting items' (significant non-recurring items). Quarterly adjusted EBITDA published from Q3-16 (FY2015 restated to $212.4m).</t>
        </r>
      </text>
    </comment>
    <comment ref="AE147" authorId="0">
      <text>
        <r>
          <rPr>
            <sz val="10"/>
            <rFont val="Arial"/>
            <family val="2"/>
          </rPr>
          <t xml:space="preserve">Company wording: Impairment loss: 28.2</t>
        </r>
      </text>
    </comment>
    <comment ref="AE174" authorId="0">
      <text>
        <r>
          <rPr>
            <sz val="10"/>
            <rFont val="Arial"/>
            <family val="2"/>
          </rPr>
          <t xml:space="preserve">Company wording: Impairment loss (EquipmentOne goodwill &amp; customer relationships): 28.2</t>
        </r>
      </text>
    </comment>
    <comment ref="AF150" authorId="0">
      <text>
        <r>
          <rPr>
            <sz val="10"/>
            <rFont val="Arial"/>
            <family val="2"/>
          </rPr>
          <t xml:space="preserve">Company wording: Debt extinguishment costs: 6.8</t>
        </r>
      </text>
    </comment>
    <comment ref="AF177" authorId="0">
      <text>
        <r>
          <rPr>
            <sz val="10"/>
            <rFont val="Arial"/>
            <family val="2"/>
          </rPr>
          <t xml:space="preserve">Company wording: Debt extinguishment costs: 6.8</t>
        </r>
      </text>
    </comment>
    <comment ref="AF195" authorId="0">
      <text>
        <r>
          <rPr>
            <sz val="10"/>
            <rFont val="Arial"/>
            <family val="2"/>
          </rPr>
          <t xml:space="preserve">Q4/16: debt extinguishment costs adjusted; acquisition costs explicitly not adjusted (Q4/16–Q1/17).</t>
        </r>
      </text>
    </comment>
    <comment ref="AG147" authorId="0">
      <text>
        <r>
          <rPr>
            <sz val="10"/>
            <rFont val="Arial"/>
            <family val="2"/>
          </rPr>
          <t xml:space="preserve">Company wording: Impairment loss: 28.2</t>
        </r>
      </text>
    </comment>
    <comment ref="AG150" authorId="0">
      <text>
        <r>
          <rPr>
            <sz val="10"/>
            <rFont val="Arial"/>
            <family val="2"/>
          </rPr>
          <t xml:space="preserve">Company wording: Debt extinguishment costs: 6.8</t>
        </r>
      </text>
    </comment>
    <comment ref="AG174" authorId="0">
      <text>
        <r>
          <rPr>
            <sz val="10"/>
            <rFont val="Arial"/>
            <family val="2"/>
          </rPr>
          <t xml:space="preserve">Company wording: Impairment loss: 28.2</t>
        </r>
      </text>
    </comment>
    <comment ref="AG177" authorId="0">
      <text>
        <r>
          <rPr>
            <sz val="10"/>
            <rFont val="Arial"/>
            <family val="2"/>
          </rPr>
          <t xml:space="preserve">Company wording: Debt extinguishment costs: 6.8</t>
        </r>
      </text>
    </comment>
    <comment ref="AH185" authorId="0">
      <text>
        <r>
          <rPr>
            <sz val="10"/>
            <rFont val="Arial"/>
            <family val="2"/>
          </rPr>
          <t xml:space="preserve">Company wording: Current income tax adjusting item: change in uncertain tax provision: 2.3</t>
        </r>
      </text>
    </comment>
    <comment ref="AH195" authorId="0">
      <text>
        <r>
          <rPr>
            <sz val="10"/>
            <rFont val="Arial"/>
            <family val="2"/>
          </rPr>
          <t xml:space="preserve">Change in uncertain tax provision adjusted</t>
        </r>
      </text>
    </comment>
    <comment ref="AI144" authorId="0">
      <text>
        <r>
          <rPr>
            <sz val="10"/>
            <rFont val="Arial"/>
            <family val="2"/>
          </rPr>
          <t xml:space="preserve">Company wording: Accelerated vesting of assumed options: 4.8 | Acquisition and finance structure advisory: 9.1</t>
        </r>
      </text>
    </comment>
    <comment ref="AI145" authorId="0">
      <text>
        <r>
          <rPr>
            <sz val="10"/>
            <rFont val="Arial"/>
            <family val="2"/>
          </rPr>
          <t xml:space="preserve">Company wording: Severance and retention: 1.4</t>
        </r>
      </text>
    </comment>
    <comment ref="AI147" authorId="0">
      <text>
        <r>
          <rPr>
            <sz val="10"/>
            <rFont val="Arial"/>
            <family val="2"/>
          </rPr>
          <t xml:space="preserve">Company wording: Impairment loss: 8.9</t>
        </r>
      </text>
    </comment>
    <comment ref="AI160" authorId="0">
      <text>
        <r>
          <rPr>
            <sz val="10"/>
            <rFont val="Arial"/>
            <family val="2"/>
          </rPr>
          <t xml:space="preserve">From Q2/17 (IronPlanet close): accelerated vesting of assumed options, acquisition &amp; finance-structure advisory fees and severance / retention are adjusting items; routine acquisition &amp; integration costs remain in adjusted EBITDA.</t>
        </r>
      </text>
    </comment>
    <comment ref="AI170" authorId="0">
      <text>
        <r>
          <rPr>
            <sz val="10"/>
            <rFont val="Arial"/>
            <family val="2"/>
          </rPr>
          <t xml:space="preserve">Company wording: Accelerated vesting of assumed options: 4.8 | Acquisition and finance structure advisory: 9.1</t>
        </r>
      </text>
    </comment>
    <comment ref="AI171" authorId="0">
      <text>
        <r>
          <rPr>
            <sz val="10"/>
            <rFont val="Arial"/>
            <family val="2"/>
          </rPr>
          <t xml:space="preserve">Company wording: Severance and retention: 1.4</t>
        </r>
      </text>
    </comment>
    <comment ref="AI174" authorId="0">
      <text>
        <r>
          <rPr>
            <sz val="10"/>
            <rFont val="Arial"/>
            <family val="2"/>
          </rPr>
          <t xml:space="preserve">Company wording: Impairment loss: 8.9</t>
        </r>
      </text>
    </comment>
    <comment ref="AI195" authorId="0">
      <text>
        <r>
          <rPr>
            <sz val="10"/>
            <rFont val="Arial"/>
            <family val="2"/>
          </rPr>
          <t xml:space="preserve">From Q2/17: accelerated vesting of assumed options, advisory fees, severance &amp; retention; diluted adjusted EPS net of an 'effect of dilutive securities'.</t>
        </r>
      </text>
    </comment>
    <comment ref="AL145" authorId="0">
      <text>
        <r>
          <rPr>
            <sz val="10"/>
            <rFont val="Arial"/>
            <family val="2"/>
          </rPr>
          <t xml:space="preserve">Company wording: Severance and retention: 2.2</t>
        </r>
      </text>
    </comment>
    <comment ref="AL171" authorId="0">
      <text>
        <r>
          <rPr>
            <sz val="10"/>
            <rFont val="Arial"/>
            <family val="2"/>
          </rPr>
          <t xml:space="preserve">Company wording: Severance and retention: 2.2</t>
        </r>
      </text>
    </comment>
    <comment ref="AL185" authorId="0">
      <text>
        <r>
          <rPr>
            <sz val="10"/>
            <rFont val="Arial"/>
            <family val="2"/>
          </rPr>
          <t xml:space="preserve">Company wording: Deferred tax adjusting item: remeasurement of deferred taxes (US tax reform): -10.1</t>
        </r>
      </text>
    </comment>
    <comment ref="AL195" authorId="0">
      <text>
        <r>
          <rPr>
            <sz val="10"/>
            <rFont val="Arial"/>
            <family val="2"/>
          </rPr>
          <t xml:space="preserve">US tax reform deferred-tax remeasurement adjusted</t>
        </r>
      </text>
    </comment>
    <comment ref="AM144" authorId="0">
      <text>
        <r>
          <rPr>
            <sz val="10"/>
            <rFont val="Arial"/>
            <family val="2"/>
          </rPr>
          <t xml:space="preserve">Company wording: Accelerated vesting of assumed options: 4.8 | Acquisition and finance structure advisory: 9.1</t>
        </r>
      </text>
    </comment>
    <comment ref="AM145" authorId="0">
      <text>
        <r>
          <rPr>
            <sz val="10"/>
            <rFont val="Arial"/>
            <family val="2"/>
          </rPr>
          <t xml:space="preserve">Company wording: Severance and retention: 3.6</t>
        </r>
      </text>
    </comment>
    <comment ref="AM147" authorId="0">
      <text>
        <r>
          <rPr>
            <sz val="10"/>
            <rFont val="Arial"/>
            <family val="2"/>
          </rPr>
          <t xml:space="preserve">Company wording: Impairment loss: 8.9</t>
        </r>
      </text>
    </comment>
    <comment ref="AM170" authorId="0">
      <text>
        <r>
          <rPr>
            <sz val="10"/>
            <rFont val="Arial"/>
            <family val="2"/>
          </rPr>
          <t xml:space="preserve">Company wording: Accelerated vesting of assumed options: 4.8 | Acquisition and finance structure advisory: 9.1</t>
        </r>
      </text>
    </comment>
    <comment ref="AM171" authorId="0">
      <text>
        <r>
          <rPr>
            <sz val="10"/>
            <rFont val="Arial"/>
            <family val="2"/>
          </rPr>
          <t xml:space="preserve">Company wording: Severance and retention: 3.6</t>
        </r>
      </text>
    </comment>
    <comment ref="AM174" authorId="0">
      <text>
        <r>
          <rPr>
            <sz val="10"/>
            <rFont val="Arial"/>
            <family val="2"/>
          </rPr>
          <t xml:space="preserve">Company wording: Impairment loss: 8.9</t>
        </r>
      </text>
    </comment>
    <comment ref="AM185" authorId="0">
      <text>
        <r>
          <rPr>
            <sz val="10"/>
            <rFont val="Arial"/>
            <family val="2"/>
          </rPr>
          <t xml:space="preserve">Company wording: Current income tax adjusting item: change in uncertain tax provision: 2.3 | Deferred tax adjusting item: remeasurement of deferred taxes: -10.1</t>
        </r>
      </text>
    </comment>
    <comment ref="AQ145" authorId="0">
      <text>
        <r>
          <rPr>
            <sz val="10"/>
            <rFont val="Arial"/>
            <family val="2"/>
          </rPr>
          <t xml:space="preserve">Company wording: Severance and retention: 1.5</t>
        </r>
      </text>
    </comment>
    <comment ref="AQ149" authorId="0">
      <text>
        <r>
          <rPr>
            <sz val="10"/>
            <rFont val="Arial"/>
            <family val="2"/>
          </rPr>
          <t xml:space="preserve">Company wording: Gain on sale of equity accounted for investment: -4.9</t>
        </r>
      </text>
    </comment>
    <comment ref="AQ171" authorId="0">
      <text>
        <r>
          <rPr>
            <sz val="10"/>
            <rFont val="Arial"/>
            <family val="2"/>
          </rPr>
          <t xml:space="preserve">Company wording: Severance and retention: 1.5</t>
        </r>
      </text>
    </comment>
    <comment ref="AQ176" authorId="0">
      <text>
        <r>
          <rPr>
            <sz val="10"/>
            <rFont val="Arial"/>
            <family val="2"/>
          </rPr>
          <t xml:space="preserve">Company wording: Gain on sale of equity accounted for investment: -4.9</t>
        </r>
      </text>
    </comment>
    <comment ref="AQ195" authorId="0">
      <text>
        <r>
          <rPr>
            <sz val="10"/>
            <rFont val="Arial"/>
            <family val="2"/>
          </rPr>
          <t xml:space="preserve">Gain on sale of equity-accounted investment adjusted</t>
        </r>
      </text>
    </comment>
    <comment ref="AS145" authorId="0">
      <text>
        <r>
          <rPr>
            <sz val="10"/>
            <rFont val="Arial"/>
            <family val="2"/>
          </rPr>
          <t xml:space="preserve">Company wording: Severance and retention: 1.5</t>
        </r>
      </text>
    </comment>
    <comment ref="AS149" authorId="0">
      <text>
        <r>
          <rPr>
            <sz val="10"/>
            <rFont val="Arial"/>
            <family val="2"/>
          </rPr>
          <t xml:space="preserve">Company wording: Gain on sale of equity accounted for investment: -4.9</t>
        </r>
      </text>
    </comment>
    <comment ref="AS171" authorId="0">
      <text>
        <r>
          <rPr>
            <sz val="10"/>
            <rFont val="Arial"/>
            <family val="2"/>
          </rPr>
          <t xml:space="preserve">Company wording: Severance and retention: 1.5</t>
        </r>
      </text>
    </comment>
    <comment ref="AS176" authorId="0">
      <text>
        <r>
          <rPr>
            <sz val="10"/>
            <rFont val="Arial"/>
            <family val="2"/>
          </rPr>
          <t xml:space="preserve">Company wording: Gain on sale of equity accounted for investment: -4.9</t>
        </r>
      </text>
    </comment>
    <comment ref="AT160" authorId="0">
      <text>
        <r>
          <rPr>
            <sz val="10"/>
            <rFont val="Arial"/>
            <family val="2"/>
          </rPr>
          <t xml:space="preserve">Adjusted EBITDA first presented in the earnings release in Q1/19. Q1/19–Q2/19 were never republished under the 2021 definition and remain on the prior 'significant non-recurring items' definition.</t>
        </r>
      </text>
    </comment>
    <comment ref="AW144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AW146" authorId="0">
      <text>
        <r>
          <rPr>
            <sz val="10"/>
            <rFont val="Arial"/>
            <family val="2"/>
          </rPr>
          <t xml:space="preserve">Company wording: Gain on disposition of property, plant and equipment: -0.8</t>
        </r>
      </text>
    </comment>
    <comment ref="AW160" authorId="0">
      <text>
        <r>
          <rPr>
            <sz val="10"/>
            <rFont val="Arial"/>
            <family val="2"/>
          </rPr>
          <t xml:space="preserve">Q3-21 release (4-Nov-2021) redefined adjusted measures retroactively (Q3/19 onward): add back all share-based payments, all acquisition-related costs and (gains) losses on PP&amp;E disposals; acquired-intangible amortization added back in adjusted NI only.</t>
        </r>
      </text>
    </comment>
    <comment ref="AW170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AW171" authorId="0">
      <text>
        <r>
          <rPr>
            <sz val="10"/>
            <rFont val="Arial"/>
            <family val="2"/>
          </rPr>
          <t xml:space="preserve">Company wording: Severance: 0.0</t>
        </r>
      </text>
    </comment>
    <comment ref="AW173" authorId="0">
      <text>
        <r>
          <rPr>
            <sz val="10"/>
            <rFont val="Arial"/>
            <family val="2"/>
          </rPr>
          <t xml:space="preserve">Company wording: Gain on disposition of property, plant and equipment: -0.8</t>
        </r>
      </text>
    </comment>
    <comment ref="AW185" authorId="0">
      <text>
        <r>
          <rPr>
            <sz val="10"/>
            <rFont val="Arial"/>
            <family val="2"/>
          </rPr>
          <t xml:space="preserve">Company wording: Change in uncertain tax provision - tax effect: 0.0</t>
        </r>
      </text>
    </comment>
    <comment ref="AW195" authorId="0">
      <text>
        <r>
          <rPr>
            <sz val="10"/>
            <rFont val="Arial"/>
            <family val="2"/>
          </rPr>
          <t xml:space="preserve">Q3-21 release (4-Nov-2021) applied retroactively to Q3/19 onward: adds back all share-based payments, all acquisition-related costs, amortization of acquired intangible assets and (gains) losses on PP&amp;E disposals, tax-effected. Q1/19–Q2/19 remain on the prior definition.</t>
        </r>
      </text>
    </comment>
    <comment ref="AX144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AX146" authorId="0">
      <text>
        <r>
          <rPr>
            <sz val="10"/>
            <rFont val="Arial"/>
            <family val="2"/>
          </rPr>
          <t xml:space="preserve">Company wording: Gain on disposition of property, plant and equipment: -0.0</t>
        </r>
      </text>
    </comment>
    <comment ref="AX170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AX171" authorId="0">
      <text>
        <r>
          <rPr>
            <sz val="10"/>
            <rFont val="Arial"/>
            <family val="2"/>
          </rPr>
          <t xml:space="preserve">Company wording: Severance: 0.0</t>
        </r>
      </text>
    </comment>
    <comment ref="AX173" authorId="0">
      <text>
        <r>
          <rPr>
            <sz val="10"/>
            <rFont val="Arial"/>
            <family val="2"/>
          </rPr>
          <t xml:space="preserve">Company wording: Gain on disposition of property, plant and equipment: -0.0</t>
        </r>
      </text>
    </comment>
    <comment ref="AX185" authorId="0">
      <text>
        <r>
          <rPr>
            <sz val="10"/>
            <rFont val="Arial"/>
            <family val="2"/>
          </rPr>
          <t xml:space="preserve">Company wording: Change in uncertain tax provision - tax effect: 0.0</t>
        </r>
      </text>
    </comment>
    <comment ref="AY144" authorId="0">
      <text>
        <r>
          <rPr>
            <sz val="10"/>
            <rFont val="Arial"/>
            <family val="2"/>
          </rPr>
          <t xml:space="preserve">Company wording: Acquisition-related costs: 0.8</t>
        </r>
      </text>
    </comment>
    <comment ref="AY146" authorId="0">
      <text>
        <r>
          <rPr>
            <sz val="10"/>
            <rFont val="Arial"/>
            <family val="2"/>
          </rPr>
          <t xml:space="preserve">Company wording: Gain on disposition of property, plant and equipment: -1.1</t>
        </r>
      </text>
    </comment>
    <comment ref="AY151" authorId="0">
      <text>
        <r>
          <rPr>
            <sz val="10"/>
            <rFont val="Arial"/>
            <family val="2"/>
          </rPr>
          <t xml:space="preserve">Company wording: Non-recurring advisory, legal and restructuring costs: 0.0</t>
        </r>
      </text>
    </comment>
    <comment ref="AY170" authorId="0">
      <text>
        <r>
          <rPr>
            <sz val="10"/>
            <rFont val="Arial"/>
            <family val="2"/>
          </rPr>
          <t xml:space="preserve">Company wording: Acquisition-related costs: 0.8</t>
        </r>
      </text>
    </comment>
    <comment ref="AY173" authorId="0">
      <text>
        <r>
          <rPr>
            <sz val="10"/>
            <rFont val="Arial"/>
            <family val="2"/>
          </rPr>
          <t xml:space="preserve">Company wording: Gain on disposition of property, plant and equipment: -1.1</t>
        </r>
      </text>
    </comment>
    <comment ref="AY178" authorId="0">
      <text>
        <r>
          <rPr>
            <sz val="10"/>
            <rFont val="Arial"/>
            <family val="2"/>
          </rPr>
          <t xml:space="preserve">Company wording: Non-recurring advisory, legal and restructuring costs: 0.0</t>
        </r>
      </text>
    </comment>
    <comment ref="AY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AY185" authorId="0">
      <text>
        <r>
          <rPr>
            <sz val="10"/>
            <rFont val="Arial"/>
            <family val="2"/>
          </rPr>
          <t xml:space="preserve">Company wording: Change in uncertain tax provision - tax effect: 0.0</t>
        </r>
      </text>
    </comment>
    <comment ref="AZ144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AZ145" authorId="0">
      <text>
        <r>
          <rPr>
            <sz val="10"/>
            <rFont val="Arial"/>
            <family val="2"/>
          </rPr>
          <t xml:space="preserve">Company wording: Severance: 0.0</t>
        </r>
      </text>
    </comment>
    <comment ref="AZ146" authorId="0">
      <text>
        <r>
          <rPr>
            <sz val="10"/>
            <rFont val="Arial"/>
            <family val="2"/>
          </rPr>
          <t xml:space="preserve">Company wording: Gain on disposition of property, plant and equipment: -0.0</t>
        </r>
      </text>
    </comment>
    <comment ref="AZ170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AZ171" authorId="0">
      <text>
        <r>
          <rPr>
            <sz val="10"/>
            <rFont val="Arial"/>
            <family val="2"/>
          </rPr>
          <t xml:space="preserve">Company wording: Severance: 0.0</t>
        </r>
      </text>
    </comment>
    <comment ref="AZ173" authorId="0">
      <text>
        <r>
          <rPr>
            <sz val="10"/>
            <rFont val="Arial"/>
            <family val="2"/>
          </rPr>
          <t xml:space="preserve">Company wording: Gain on disposition of property, plant and equipment: -0.0</t>
        </r>
      </text>
    </comment>
    <comment ref="AZ185" authorId="0">
      <text>
        <r>
          <rPr>
            <sz val="10"/>
            <rFont val="Arial"/>
            <family val="2"/>
          </rPr>
          <t xml:space="preserve">Company wording: Change in uncertain tax provision - tax effect: 0.0</t>
        </r>
      </text>
    </comment>
    <comment ref="BA144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BA145" authorId="0">
      <text>
        <r>
          <rPr>
            <sz val="10"/>
            <rFont val="Arial"/>
            <family val="2"/>
          </rPr>
          <t xml:space="preserve">Company wording: Severance: 0.0</t>
        </r>
      </text>
    </comment>
    <comment ref="BA146" authorId="0">
      <text>
        <r>
          <rPr>
            <sz val="10"/>
            <rFont val="Arial"/>
            <family val="2"/>
          </rPr>
          <t xml:space="preserve">Company wording: Gain on disposition of property, plant and equipment: -1.2</t>
        </r>
      </text>
    </comment>
    <comment ref="BA170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BA171" authorId="0">
      <text>
        <r>
          <rPr>
            <sz val="10"/>
            <rFont val="Arial"/>
            <family val="2"/>
          </rPr>
          <t xml:space="preserve">Company wording: Severance: 0.0</t>
        </r>
      </text>
    </comment>
    <comment ref="BA173" authorId="0">
      <text>
        <r>
          <rPr>
            <sz val="10"/>
            <rFont val="Arial"/>
            <family val="2"/>
          </rPr>
          <t xml:space="preserve">Company wording: Gain on disposition of property, plant and equipment: -1.2</t>
        </r>
      </text>
    </comment>
    <comment ref="BA185" authorId="0">
      <text>
        <r>
          <rPr>
            <sz val="10"/>
            <rFont val="Arial"/>
            <family val="2"/>
          </rPr>
          <t xml:space="preserve">Company wording: Change in uncertain tax provision - tax effect: 6.2</t>
        </r>
      </text>
    </comment>
    <comment ref="BC144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BC145" authorId="0">
      <text>
        <r>
          <rPr>
            <sz val="10"/>
            <rFont val="Arial"/>
            <family val="2"/>
          </rPr>
          <t xml:space="preserve">Company wording: Severance: 3.9</t>
        </r>
      </text>
    </comment>
    <comment ref="BC146" authorId="0">
      <text>
        <r>
          <rPr>
            <sz val="10"/>
            <rFont val="Arial"/>
            <family val="2"/>
          </rPr>
          <t xml:space="preserve">Company wording: Gain on disposition of property, plant and equipment: -0.3</t>
        </r>
      </text>
    </comment>
    <comment ref="BC170" authorId="0">
      <text>
        <r>
          <rPr>
            <sz val="10"/>
            <rFont val="Arial"/>
            <family val="2"/>
          </rPr>
          <t xml:space="preserve">Company wording: Acquisition-related costs: 0.0</t>
        </r>
      </text>
    </comment>
    <comment ref="BC171" authorId="0">
      <text>
        <r>
          <rPr>
            <sz val="10"/>
            <rFont val="Arial"/>
            <family val="2"/>
          </rPr>
          <t xml:space="preserve">Company wording: Severance: 3.9</t>
        </r>
      </text>
    </comment>
    <comment ref="BC173" authorId="0">
      <text>
        <r>
          <rPr>
            <sz val="10"/>
            <rFont val="Arial"/>
            <family val="2"/>
          </rPr>
          <t xml:space="preserve">Company wording: Gain on disposition of property, plant and equipment: -0.3</t>
        </r>
      </text>
    </comment>
    <comment ref="BC185" authorId="0">
      <text>
        <r>
          <rPr>
            <sz val="10"/>
            <rFont val="Arial"/>
            <family val="2"/>
          </rPr>
          <t xml:space="preserve">Company wording: Change in uncertain tax provision - tax effect: 0.0</t>
        </r>
      </text>
    </comment>
    <comment ref="BD144" authorId="0">
      <text>
        <r>
          <rPr>
            <sz val="10"/>
            <rFont val="Arial"/>
            <family val="2"/>
          </rPr>
          <t xml:space="preserve">Company wording: Acquisition-related costs: 6.0</t>
        </r>
      </text>
    </comment>
    <comment ref="BD146" authorId="0">
      <text>
        <r>
          <rPr>
            <sz val="10"/>
            <rFont val="Arial"/>
            <family val="2"/>
          </rPr>
          <t xml:space="preserve">Company wording: Gain on disposition of property, plant and equipment: -0.0</t>
        </r>
      </text>
    </comment>
    <comment ref="BD151" authorId="0">
      <text>
        <r>
          <rPr>
            <sz val="10"/>
            <rFont val="Arial"/>
            <family val="2"/>
          </rPr>
          <t xml:space="preserve">Company wording: Non-recurring advisory, legal and restructuring costs: 0.0</t>
        </r>
      </text>
    </comment>
    <comment ref="BD152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D170" authorId="0">
      <text>
        <r>
          <rPr>
            <sz val="10"/>
            <rFont val="Arial"/>
            <family val="2"/>
          </rPr>
          <t xml:space="preserve">Company wording: Acquisition-related costs: 6.0</t>
        </r>
      </text>
    </comment>
    <comment ref="BD173" authorId="0">
      <text>
        <r>
          <rPr>
            <sz val="10"/>
            <rFont val="Arial"/>
            <family val="2"/>
          </rPr>
          <t xml:space="preserve">Company wording: Gain on disposition of property, plant and equipment: -0.0</t>
        </r>
      </text>
    </comment>
    <comment ref="BD178" authorId="0">
      <text>
        <r>
          <rPr>
            <sz val="10"/>
            <rFont val="Arial"/>
            <family val="2"/>
          </rPr>
          <t xml:space="preserve">Company wording: Non-recurring advisory, legal and restructuring costs: 0.0</t>
        </r>
      </text>
    </comment>
    <comment ref="BD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D185" authorId="0">
      <text>
        <r>
          <rPr>
            <sz val="10"/>
            <rFont val="Arial"/>
            <family val="2"/>
          </rPr>
          <t xml:space="preserve">Company wording: Change in uncertain tax provision - tax effect: 1.5</t>
        </r>
      </text>
    </comment>
    <comment ref="BE144" authorId="0">
      <text>
        <r>
          <rPr>
            <sz val="10"/>
            <rFont val="Arial"/>
            <family val="2"/>
          </rPr>
          <t xml:space="preserve">Company wording: Acquisition-related costs: 6.0</t>
        </r>
      </text>
    </comment>
    <comment ref="BE145" authorId="0">
      <text>
        <r>
          <rPr>
            <sz val="10"/>
            <rFont val="Arial"/>
            <family val="2"/>
          </rPr>
          <t xml:space="preserve">Company wording: Non-recurring advisory, legal and restructuring costs (2020: severance from leadership realignment): 3.9</t>
        </r>
      </text>
    </comment>
    <comment ref="BE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-1.6</t>
        </r>
      </text>
    </comment>
    <comment ref="BE152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E170" authorId="0">
      <text>
        <r>
          <rPr>
            <sz val="10"/>
            <rFont val="Arial"/>
            <family val="2"/>
          </rPr>
          <t xml:space="preserve">Company wording: Acquisition-related costs: 6.0</t>
        </r>
      </text>
    </comment>
    <comment ref="BE171" authorId="0">
      <text>
        <r>
          <rPr>
            <sz val="10"/>
            <rFont val="Arial"/>
            <family val="2"/>
          </rPr>
          <t xml:space="preserve">Company wording: Non-recurring advisory, legal and restructuring costs (2020: severance from leadership realignment): 3.9</t>
        </r>
      </text>
    </comment>
    <comment ref="BE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-1.6</t>
        </r>
      </text>
    </comment>
    <comment ref="BE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0.0</t>
        </r>
      </text>
    </comment>
    <comment ref="BE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E185" authorId="0">
      <text>
        <r>
          <rPr>
            <sz val="10"/>
            <rFont val="Arial"/>
            <family val="2"/>
          </rPr>
          <t xml:space="preserve">Company wording: Change in uncertain tax provision - tax effect: 7.8</t>
        </r>
      </text>
    </comment>
    <comment ref="BF144" authorId="0">
      <text>
        <r>
          <rPr>
            <sz val="10"/>
            <rFont val="Arial"/>
            <family val="2"/>
          </rPr>
          <t xml:space="preserve">Company wording: Acquisition-related costs: 2.9</t>
        </r>
      </text>
    </comment>
    <comment ref="BF146" authorId="0">
      <text>
        <r>
          <rPr>
            <sz val="10"/>
            <rFont val="Arial"/>
            <family val="2"/>
          </rPr>
          <t xml:space="preserve">Company wording: Gain on disposition of property, plant and equipment: -0.1</t>
        </r>
      </text>
    </comment>
    <comment ref="BF151" authorId="0">
      <text>
        <r>
          <rPr>
            <sz val="10"/>
            <rFont val="Arial"/>
            <family val="2"/>
          </rPr>
          <t xml:space="preserve">Company wording: Non-recurring advisory, legal and restructuring costs: 0.0</t>
        </r>
      </text>
    </comment>
    <comment ref="BF152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F170" authorId="0">
      <text>
        <r>
          <rPr>
            <sz val="10"/>
            <rFont val="Arial"/>
            <family val="2"/>
          </rPr>
          <t xml:space="preserve">Company wording: Acquisition-related costs: 2.9</t>
        </r>
      </text>
    </comment>
    <comment ref="BF173" authorId="0">
      <text>
        <r>
          <rPr>
            <sz val="10"/>
            <rFont val="Arial"/>
            <family val="2"/>
          </rPr>
          <t xml:space="preserve">Company wording: Gain on disposition of property, plant and equipment: -0.1</t>
        </r>
      </text>
    </comment>
    <comment ref="BF178" authorId="0">
      <text>
        <r>
          <rPr>
            <sz val="10"/>
            <rFont val="Arial"/>
            <family val="2"/>
          </rPr>
          <t xml:space="preserve">Company wording: Non-recurring advisory, legal and restructuring costs: 0.0</t>
        </r>
      </text>
    </comment>
    <comment ref="BF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G144" authorId="0">
      <text>
        <r>
          <rPr>
            <sz val="10"/>
            <rFont val="Arial"/>
            <family val="2"/>
          </rPr>
          <t xml:space="preserve">Company wording: Acquisition-related costs: 3.0</t>
        </r>
      </text>
    </comment>
    <comment ref="BG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-0.2</t>
        </r>
      </text>
    </comment>
    <comment ref="BG151" authorId="0">
      <text>
        <r>
          <rPr>
            <sz val="10"/>
            <rFont val="Arial"/>
            <family val="2"/>
          </rPr>
          <t xml:space="preserve">Company wording: Non-recurring advisory, legal and restructuring costs: 0.2</t>
        </r>
      </text>
    </comment>
    <comment ref="BG152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G160" authorId="0">
      <text>
        <r>
          <rPr>
            <sz val="10"/>
            <rFont val="Arial"/>
            <family val="2"/>
          </rPr>
          <t xml:space="preserve">Q4-21 release (17-Feb-2022) added 'non-recurring advisory, legal and restructuring costs' and change in fair value of derivatives; SOX remediation costs added back retroactively to Q2/21–Q3/21; 2020 severance moved into the new line.</t>
        </r>
      </text>
    </comment>
    <comment ref="BG170" authorId="0">
      <text>
        <r>
          <rPr>
            <sz val="10"/>
            <rFont val="Arial"/>
            <family val="2"/>
          </rPr>
          <t xml:space="preserve">Company wording: Acquisition-related costs: 3.0</t>
        </r>
      </text>
    </comment>
    <comment ref="BG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-0.2</t>
        </r>
      </text>
    </comment>
    <comment ref="BG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0.0</t>
        </r>
      </text>
    </comment>
    <comment ref="BG178" authorId="0">
      <text>
        <r>
          <rPr>
            <sz val="10"/>
            <rFont val="Arial"/>
            <family val="2"/>
          </rPr>
          <t xml:space="preserve">Company wording: Non-recurring advisory, legal and restructuring costs: 0.2</t>
        </r>
      </text>
    </comment>
    <comment ref="BG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G195" authorId="0">
      <text>
        <r>
          <rPr>
            <sz val="10"/>
            <rFont val="Arial"/>
            <family val="2"/>
          </rPr>
          <t xml:space="preserve">SOX remediation / advisory &amp; legal; FV of derivatives (Q4-21)</t>
        </r>
      </text>
    </comment>
    <comment ref="BI144" authorId="0">
      <text>
        <r>
          <rPr>
            <sz val="10"/>
            <rFont val="Arial"/>
            <family val="2"/>
          </rPr>
          <t xml:space="preserve">Company wording: Acquisition-related costs: 10.3</t>
        </r>
      </text>
    </comment>
    <comment ref="BI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-1.1</t>
        </r>
      </text>
    </comment>
    <comment ref="BI151" authorId="0">
      <text>
        <r>
          <rPr>
            <sz val="10"/>
            <rFont val="Arial"/>
            <family val="2"/>
          </rPr>
          <t xml:space="preserve">Company wording: Non-recurring advisory, legal and restructuring costs: 0.7</t>
        </r>
      </text>
    </comment>
    <comment ref="BI170" authorId="0">
      <text>
        <r>
          <rPr>
            <sz val="10"/>
            <rFont val="Arial"/>
            <family val="2"/>
          </rPr>
          <t xml:space="preserve">Company wording: Acquisition-related costs: 10.3</t>
        </r>
      </text>
    </comment>
    <comment ref="BI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-1.1</t>
        </r>
      </text>
    </comment>
    <comment ref="BI178" authorId="0">
      <text>
        <r>
          <rPr>
            <sz val="10"/>
            <rFont val="Arial"/>
            <family val="2"/>
          </rPr>
          <t xml:space="preserve">Company wording: Non-recurring advisory, legal and restructuring costs: 0.7</t>
        </r>
      </text>
    </comment>
    <comment ref="BJ144" authorId="0">
      <text>
        <r>
          <rPr>
            <sz val="10"/>
            <rFont val="Arial"/>
            <family val="2"/>
          </rPr>
          <t xml:space="preserve">Company wording: Acquisition-related costs: 14.0</t>
        </r>
      </text>
    </comment>
    <comment ref="BJ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-0.1</t>
        </r>
      </text>
    </comment>
    <comment ref="BJ151" authorId="0">
      <text>
        <r>
          <rPr>
            <sz val="10"/>
            <rFont val="Arial"/>
            <family val="2"/>
          </rPr>
          <t xml:space="preserve">Company wording: Non-recurring advisory, legal and restructuring costs: 2.6</t>
        </r>
      </text>
    </comment>
    <comment ref="BJ152" authorId="0">
      <text>
        <r>
          <rPr>
            <sz val="10"/>
            <rFont val="Arial"/>
            <family val="2"/>
          </rPr>
          <t xml:space="preserve">Company wording: Change in fair value of derivatives: 1.2</t>
        </r>
      </text>
    </comment>
    <comment ref="BJ170" authorId="0">
      <text>
        <r>
          <rPr>
            <sz val="10"/>
            <rFont val="Arial"/>
            <family val="2"/>
          </rPr>
          <t xml:space="preserve">Company wording: Acquisition-related costs: 14.0</t>
        </r>
      </text>
    </comment>
    <comment ref="BJ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-0.1</t>
        </r>
      </text>
    </comment>
    <comment ref="BJ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0.0</t>
        </r>
      </text>
    </comment>
    <comment ref="BJ178" authorId="0">
      <text>
        <r>
          <rPr>
            <sz val="10"/>
            <rFont val="Arial"/>
            <family val="2"/>
          </rPr>
          <t xml:space="preserve">Company wording: Non-recurring advisory, legal and restructuring costs: 2.6</t>
        </r>
      </text>
    </comment>
    <comment ref="BJ179" authorId="0">
      <text>
        <r>
          <rPr>
            <sz val="10"/>
            <rFont val="Arial"/>
            <family val="2"/>
          </rPr>
          <t xml:space="preserve">Company wording: Change in fair value of derivatives: 1.2</t>
        </r>
      </text>
    </comment>
    <comment ref="BK144" authorId="0">
      <text>
        <r>
          <rPr>
            <sz val="10"/>
            <rFont val="Arial"/>
            <family val="2"/>
          </rPr>
          <t xml:space="preserve">Company wording: Acquisition-related costs: 30.2</t>
        </r>
      </text>
    </comment>
    <comment ref="BK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-1.4</t>
        </r>
      </text>
    </comment>
    <comment ref="BK151" authorId="0">
      <text>
        <r>
          <rPr>
            <sz val="10"/>
            <rFont val="Arial"/>
            <family val="2"/>
          </rPr>
          <t xml:space="preserve">Company wording: Non-recurring advisory, legal and restructuring costs: 3.5</t>
        </r>
      </text>
    </comment>
    <comment ref="BK152" authorId="0">
      <text>
        <r>
          <rPr>
            <sz val="10"/>
            <rFont val="Arial"/>
            <family val="2"/>
          </rPr>
          <t xml:space="preserve">Company wording: Change in fair value of derivatives: 1.2</t>
        </r>
      </text>
    </comment>
    <comment ref="BK170" authorId="0">
      <text>
        <r>
          <rPr>
            <sz val="10"/>
            <rFont val="Arial"/>
            <family val="2"/>
          </rPr>
          <t xml:space="preserve">Company wording: Acquisition-related costs: 30.2</t>
        </r>
      </text>
    </comment>
    <comment ref="BK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-1.4</t>
        </r>
      </text>
    </comment>
    <comment ref="BK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0.0</t>
        </r>
      </text>
    </comment>
    <comment ref="BK178" authorId="0">
      <text>
        <r>
          <rPr>
            <sz val="10"/>
            <rFont val="Arial"/>
            <family val="2"/>
          </rPr>
          <t xml:space="preserve">Company wording: Non-recurring advisory, legal and restructuring costs: 3.5</t>
        </r>
      </text>
    </comment>
    <comment ref="BK179" authorId="0">
      <text>
        <r>
          <rPr>
            <sz val="10"/>
            <rFont val="Arial"/>
            <family val="2"/>
          </rPr>
          <t xml:space="preserve">Company wording: Change in fair value of derivatives: 1.2</t>
        </r>
      </text>
    </comment>
    <comment ref="BL144" authorId="0">
      <text>
        <r>
          <rPr>
            <sz val="10"/>
            <rFont val="Arial"/>
            <family val="2"/>
          </rPr>
          <t xml:space="preserve">Company wording: Acquisition-related costs: 9.6</t>
        </r>
      </text>
    </comment>
    <comment ref="BL146" authorId="0">
      <text>
        <r>
          <rPr>
            <sz val="10"/>
            <rFont val="Arial"/>
            <family val="2"/>
          </rPr>
          <t xml:space="preserve">Company wording: Gain on disposition of property, plant and equipment: -169.8</t>
        </r>
      </text>
    </comment>
    <comment ref="BL151" authorId="0">
      <text>
        <r>
          <rPr>
            <sz val="10"/>
            <rFont val="Arial"/>
            <family val="2"/>
          </rPr>
          <t xml:space="preserve">Company wording: Non-recurring advisory, legal and restructuring costs: 2.3</t>
        </r>
      </text>
    </comment>
    <comment ref="BL152" authorId="0">
      <text>
        <r>
          <rPr>
            <sz val="10"/>
            <rFont val="Arial"/>
            <family val="2"/>
          </rPr>
          <t xml:space="preserve">Company wording: Change in fair value of derivatives: -1.3</t>
        </r>
      </text>
    </comment>
    <comment ref="BL170" authorId="0">
      <text>
        <r>
          <rPr>
            <sz val="10"/>
            <rFont val="Arial"/>
            <family val="2"/>
          </rPr>
          <t xml:space="preserve">Company wording: Acquisition-related costs: 9.6</t>
        </r>
      </text>
    </comment>
    <comment ref="BL173" authorId="0">
      <text>
        <r>
          <rPr>
            <sz val="10"/>
            <rFont val="Arial"/>
            <family val="2"/>
          </rPr>
          <t xml:space="preserve">Company wording: Gain on disposition of property, plant and equipment: -169.8</t>
        </r>
      </text>
    </comment>
    <comment ref="BL178" authorId="0">
      <text>
        <r>
          <rPr>
            <sz val="10"/>
            <rFont val="Arial"/>
            <family val="2"/>
          </rPr>
          <t xml:space="preserve">Company wording: Non-recurring advisory, legal and restructuring costs: 2.3</t>
        </r>
      </text>
    </comment>
    <comment ref="BL179" authorId="0">
      <text>
        <r>
          <rPr>
            <sz val="10"/>
            <rFont val="Arial"/>
            <family val="2"/>
          </rPr>
          <t xml:space="preserve">Company wording: Change in fair value of derivatives: -1.3</t>
        </r>
      </text>
    </comment>
    <comment ref="BM144" authorId="0">
      <text>
        <r>
          <rPr>
            <sz val="10"/>
            <rFont val="Arial"/>
            <family val="2"/>
          </rPr>
          <t xml:space="preserve">Company wording: Acquisition-related costs: 3.4</t>
        </r>
      </text>
    </comment>
    <comment ref="BM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1.2</t>
        </r>
      </text>
    </comment>
    <comment ref="BM151" authorId="0">
      <text>
        <r>
          <rPr>
            <sz val="10"/>
            <rFont val="Arial"/>
            <family val="2"/>
          </rPr>
          <t xml:space="preserve">Company wording: Non-recurring advisory, legal and restructuring costs: 1.1</t>
        </r>
      </text>
    </comment>
    <comment ref="BM152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M160" authorId="0">
      <text>
        <r>
          <rPr>
            <sz val="10"/>
            <rFont val="Arial"/>
            <family val="2"/>
          </rPr>
          <t xml:space="preserve">Q2-22 release: PP&amp;E item renamed to include related costs; loss on redemption of 2021 Notes adjusted (adjusted NI only).</t>
        </r>
      </text>
    </comment>
    <comment ref="BM170" authorId="0">
      <text>
        <r>
          <rPr>
            <sz val="10"/>
            <rFont val="Arial"/>
            <family val="2"/>
          </rPr>
          <t xml:space="preserve">Company wording: Acquisition-related costs: 3.4</t>
        </r>
      </text>
    </comment>
    <comment ref="BM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1.2</t>
        </r>
      </text>
    </comment>
    <comment ref="BM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9.7</t>
        </r>
      </text>
    </comment>
    <comment ref="BM178" authorId="0">
      <text>
        <r>
          <rPr>
            <sz val="10"/>
            <rFont val="Arial"/>
            <family val="2"/>
          </rPr>
          <t xml:space="preserve">Company wording: Non-recurring advisory, legal and restructuring costs: 1.1</t>
        </r>
      </text>
    </comment>
    <comment ref="BM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M195" authorId="0">
      <text>
        <r>
          <rPr>
            <sz val="10"/>
            <rFont val="Arial"/>
            <family val="2"/>
          </rPr>
          <t xml:space="preserve">Loss on redemption of 2021 Notes adjusted</t>
        </r>
      </text>
    </comment>
    <comment ref="BO144" authorId="0">
      <text>
        <r>
          <rPr>
            <sz val="10"/>
            <rFont val="Arial"/>
            <family val="2"/>
          </rPr>
          <t xml:space="preserve">Company wording: Acquisition-related costs: 2.0</t>
        </r>
      </text>
    </comment>
    <comment ref="BO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0.9</t>
        </r>
      </text>
    </comment>
    <comment ref="BO151" authorId="0">
      <text>
        <r>
          <rPr>
            <sz val="10"/>
            <rFont val="Arial"/>
            <family val="2"/>
          </rPr>
          <t xml:space="preserve">Company wording: Non-recurring advisory, legal and restructuring costs: 1.5</t>
        </r>
      </text>
    </comment>
    <comment ref="BO170" authorId="0">
      <text>
        <r>
          <rPr>
            <sz val="10"/>
            <rFont val="Arial"/>
            <family val="2"/>
          </rPr>
          <t xml:space="preserve">Company wording: Acquisition-related costs: 2.0</t>
        </r>
      </text>
    </comment>
    <comment ref="BO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0.9</t>
        </r>
      </text>
    </comment>
    <comment ref="BO178" authorId="0">
      <text>
        <r>
          <rPr>
            <sz val="10"/>
            <rFont val="Arial"/>
            <family val="2"/>
          </rPr>
          <t xml:space="preserve">Company wording: Non-recurring advisory, legal and restructuring costs: 1.5</t>
        </r>
      </text>
    </comment>
    <comment ref="BP144" authorId="0">
      <text>
        <r>
          <rPr>
            <sz val="10"/>
            <rFont val="Arial"/>
            <family val="2"/>
          </rPr>
          <t xml:space="preserve">Company wording: Acquisition-related costs: 22.2</t>
        </r>
      </text>
    </comment>
    <comment ref="BP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0.9</t>
        </r>
      </text>
    </comment>
    <comment ref="BP151" authorId="0">
      <text>
        <r>
          <rPr>
            <sz val="10"/>
            <rFont val="Arial"/>
            <family val="2"/>
          </rPr>
          <t xml:space="preserve">Company wording: Non-recurring advisory, legal and restructuring costs: 0.2</t>
        </r>
      </text>
    </comment>
    <comment ref="BP152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P170" authorId="0">
      <text>
        <r>
          <rPr>
            <sz val="10"/>
            <rFont val="Arial"/>
            <family val="2"/>
          </rPr>
          <t xml:space="preserve">Company wording: Acquisition-related costs: 22.2</t>
        </r>
      </text>
    </comment>
    <comment ref="BP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0.9</t>
        </r>
      </text>
    </comment>
    <comment ref="BP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0.0</t>
        </r>
      </text>
    </comment>
    <comment ref="BP178" authorId="0">
      <text>
        <r>
          <rPr>
            <sz val="10"/>
            <rFont val="Arial"/>
            <family val="2"/>
          </rPr>
          <t xml:space="preserve">Company wording: Non-recurring advisory, legal and restructuring costs: 0.2</t>
        </r>
      </text>
    </comment>
    <comment ref="BP179" authorId="0">
      <text>
        <r>
          <rPr>
            <sz val="10"/>
            <rFont val="Arial"/>
            <family val="2"/>
          </rPr>
          <t xml:space="preserve">Company wording: Change in fair value of derivatives: 0.0</t>
        </r>
      </text>
    </comment>
    <comment ref="BQ144" authorId="0">
      <text>
        <r>
          <rPr>
            <sz val="10"/>
            <rFont val="Arial"/>
            <family val="2"/>
          </rPr>
          <t xml:space="preserve">Company wording: Acquisition-related costs: 37.3</t>
        </r>
      </text>
    </comment>
    <comment ref="BQ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-166.9</t>
        </r>
      </text>
    </comment>
    <comment ref="BQ151" authorId="0">
      <text>
        <r>
          <rPr>
            <sz val="10"/>
            <rFont val="Arial"/>
            <family val="2"/>
          </rPr>
          <t xml:space="preserve">Company wording: Non-recurring advisory, legal and restructuring costs: 5.1</t>
        </r>
      </text>
    </comment>
    <comment ref="BQ152" authorId="0">
      <text>
        <r>
          <rPr>
            <sz val="10"/>
            <rFont val="Arial"/>
            <family val="2"/>
          </rPr>
          <t xml:space="preserve">Company wording: Change in fair value of derivatives: -1.3</t>
        </r>
      </text>
    </comment>
    <comment ref="BQ170" authorId="0">
      <text>
        <r>
          <rPr>
            <sz val="10"/>
            <rFont val="Arial"/>
            <family val="2"/>
          </rPr>
          <t xml:space="preserve">Company wording: Acquisition-related costs: 37.3</t>
        </r>
      </text>
    </comment>
    <comment ref="BQ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-166.9</t>
        </r>
      </text>
    </comment>
    <comment ref="BQ177" authorId="0">
      <text>
        <r>
          <rPr>
            <sz val="10"/>
            <rFont val="Arial"/>
            <family val="2"/>
          </rPr>
          <t xml:space="preserve">Company wording: Loss on redemption of the 2021 Notes and certain related interest expense: 9.7</t>
        </r>
      </text>
    </comment>
    <comment ref="BQ178" authorId="0">
      <text>
        <r>
          <rPr>
            <sz val="10"/>
            <rFont val="Arial"/>
            <family val="2"/>
          </rPr>
          <t xml:space="preserve">Company wording: Non-recurring advisory, legal and restructuring costs: 5.1</t>
        </r>
      </text>
    </comment>
    <comment ref="BQ179" authorId="0">
      <text>
        <r>
          <rPr>
            <sz val="10"/>
            <rFont val="Arial"/>
            <family val="2"/>
          </rPr>
          <t xml:space="preserve">Company wording: Change in fair value of derivatives: -1.3</t>
        </r>
      </text>
    </comment>
    <comment ref="BQ185" authorId="0">
      <text>
        <r>
          <rPr>
            <sz val="10"/>
            <rFont val="Arial"/>
            <family val="2"/>
          </rPr>
          <t xml:space="preserve">Company wording: Change in uncertain tax provision - tax effect: 0.0</t>
        </r>
      </text>
    </comment>
    <comment ref="BR144" authorId="0">
      <text>
        <r>
          <rPr>
            <sz val="10"/>
            <rFont val="Arial"/>
            <family val="2"/>
          </rPr>
          <t xml:space="preserve">Company wording: Acquisition-related and integration costs: 126.2</t>
        </r>
      </text>
    </comment>
    <comment ref="BR151" authorId="0">
      <text>
        <r>
          <rPr>
            <sz val="10"/>
            <rFont val="Arial"/>
            <family val="2"/>
          </rPr>
          <t xml:space="preserve">Company wording: Other advisory, legal and restructuring costs: 0.2</t>
        </r>
      </text>
    </comment>
    <comment ref="BR153" authorId="0">
      <text>
        <r>
          <rPr>
            <sz val="10"/>
            <rFont val="Arial"/>
            <family val="2"/>
          </rPr>
          <t xml:space="preserve">Company wording: Prepaid consigned vehicles charges: -12.4</t>
        </r>
      </text>
    </comment>
    <comment ref="BR154" authorId="0">
      <text>
        <r>
          <rPr>
            <sz val="10"/>
            <rFont val="Arial"/>
            <family val="2"/>
          </rPr>
          <t xml:space="preserve">Company wording: Remeasurements in connection with business combinations: -1.4</t>
        </r>
      </text>
    </comment>
    <comment ref="BR160" authorId="0">
      <text>
        <r>
          <rPr>
            <sz val="10"/>
            <rFont val="Arial"/>
            <family val="2"/>
          </rPr>
          <t xml:space="preserve">Q1/23 (IAA close 20-Mar-2023): adds IAA prepaid consigned vehicle charges (purchase-accounting reversal, to Q2/25) and remeasurements in connection with business combinations (VeriTread); SBC and acquisition / integration costs continue to be added back.</t>
        </r>
      </text>
    </comment>
    <comment ref="BR170" authorId="0">
      <text>
        <r>
          <rPr>
            <sz val="10"/>
            <rFont val="Arial"/>
            <family val="2"/>
          </rPr>
          <t xml:space="preserve">Company wording: Acquisition-related and integration costs: 126.2</t>
        </r>
      </text>
    </comment>
    <comment ref="BR177" authorId="0">
      <text>
        <r>
          <rPr>
            <sz val="10"/>
            <rFont val="Arial"/>
            <family val="2"/>
          </rPr>
          <t xml:space="preserve">Company wording: Loss on redemption of the 2016 and 2021 Notes and certain related interest expense: 3.3</t>
        </r>
      </text>
    </comment>
    <comment ref="BR178" authorId="0">
      <text>
        <r>
          <rPr>
            <sz val="10"/>
            <rFont val="Arial"/>
            <family val="2"/>
          </rPr>
          <t xml:space="preserve">Company wording: Other advisory, legal and restructuring costs: 0.2</t>
        </r>
      </text>
    </comment>
    <comment ref="BR180" authorId="0">
      <text>
        <r>
          <rPr>
            <sz val="10"/>
            <rFont val="Arial"/>
            <family val="2"/>
          </rPr>
          <t xml:space="preserve">Company wording: Prepaid consigned vehicles charges: -12.4</t>
        </r>
      </text>
    </comment>
    <comment ref="BR181" authorId="0">
      <text>
        <r>
          <rPr>
            <sz val="10"/>
            <rFont val="Arial"/>
            <family val="2"/>
          </rPr>
          <t xml:space="preserve">Company wording: Remeasurements in connection with business combinations: -2.9</t>
        </r>
      </text>
    </comment>
    <comment ref="BR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-0.7</t>
        </r>
      </text>
    </comment>
    <comment ref="BR195" authorId="0">
      <text>
        <r>
          <rPr>
            <sz val="10"/>
            <rFont val="Arial"/>
            <family val="2"/>
          </rPr>
          <t xml:space="preserve">Q1/23: Series A Senior Preferred (participating) → base becomes NI available to common stockholders (after preferred dividends and allocated earnings); adjustments' related allocation to preferred deducted. Adds IAA prepaid consigned vehicle charges, VeriTread remeasurement, debt redemption costs.</t>
        </r>
      </text>
    </comment>
    <comment ref="BS144" authorId="0">
      <text>
        <r>
          <rPr>
            <sz val="10"/>
            <rFont val="Arial"/>
            <family val="2"/>
          </rPr>
          <t xml:space="preserve">Company wording: Acquisition-related and integration costs: 46.3</t>
        </r>
      </text>
    </comment>
    <comment ref="BS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-1.5</t>
        </r>
      </text>
    </comment>
    <comment ref="BS151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0.5</t>
        </r>
      </text>
    </comment>
    <comment ref="BS153" authorId="0">
      <text>
        <r>
          <rPr>
            <sz val="10"/>
            <rFont val="Arial"/>
            <family val="2"/>
          </rPr>
          <t xml:space="preserve">Company wording: Prepaid consigned vehicles charges: -39.7</t>
        </r>
      </text>
    </comment>
    <comment ref="BS170" authorId="0">
      <text>
        <r>
          <rPr>
            <sz val="10"/>
            <rFont val="Arial"/>
            <family val="2"/>
          </rPr>
          <t xml:space="preserve">Company wording: Acquisition-related and integration costs: 46.3</t>
        </r>
      </text>
    </comment>
    <comment ref="BS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-1.5</t>
        </r>
      </text>
    </comment>
    <comment ref="BS178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0.5</t>
        </r>
      </text>
    </comment>
    <comment ref="BS180" authorId="0">
      <text>
        <r>
          <rPr>
            <sz val="10"/>
            <rFont val="Arial"/>
            <family val="2"/>
          </rPr>
          <t xml:space="preserve">Company wording: Prepaid consigned vehicles charges: -39.7</t>
        </r>
      </text>
    </comment>
    <comment ref="BS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-2.9</t>
        </r>
      </text>
    </comment>
    <comment ref="BU144" authorId="0">
      <text>
        <r>
          <rPr>
            <sz val="10"/>
            <rFont val="Arial"/>
            <family val="2"/>
          </rPr>
          <t xml:space="preserve">Company wording: Acquisition-related and integration costs: 23.1</t>
        </r>
      </text>
    </comment>
    <comment ref="BU146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0.6</t>
        </r>
      </text>
    </comment>
    <comment ref="BU148" authorId="0">
      <text>
        <r>
          <rPr>
            <sz val="10"/>
            <rFont val="Arial"/>
            <family val="2"/>
          </rPr>
          <t xml:space="preserve">Company wording: Executive transition costs: 9.8</t>
        </r>
      </text>
    </comment>
    <comment ref="BU151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0.6</t>
        </r>
      </text>
    </comment>
    <comment ref="BU153" authorId="0">
      <text>
        <r>
          <rPr>
            <sz val="10"/>
            <rFont val="Arial"/>
            <family val="2"/>
          </rPr>
          <t xml:space="preserve">Company wording: Prepaid consigned vehicles charges: -7.6</t>
        </r>
      </text>
    </comment>
    <comment ref="BU160" authorId="0">
      <text>
        <r>
          <rPr>
            <sz val="10"/>
            <rFont val="Arial"/>
            <family val="2"/>
          </rPr>
          <t xml:space="preserve">Q3-23 release: executive transition costs added; the Q2/23 adjustment for IAA purchase-accounting depreciation &amp; rent dropped retroactively (Q2/23 adj. EBITDA 307.8 → 306.9).</t>
        </r>
      </text>
    </comment>
    <comment ref="BU170" authorId="0">
      <text>
        <r>
          <rPr>
            <sz val="10"/>
            <rFont val="Arial"/>
            <family val="2"/>
          </rPr>
          <t xml:space="preserve">Company wording: Acquisition-related and integration costs: 23.1</t>
        </r>
      </text>
    </comment>
    <comment ref="BU173" authorId="0">
      <text>
        <r>
          <rPr>
            <sz val="10"/>
            <rFont val="Arial"/>
            <family val="2"/>
          </rPr>
          <t xml:space="preserve">Company wording: Loss (gain) on disposition of property, plant and equipment and related costs: 0.6</t>
        </r>
      </text>
    </comment>
    <comment ref="BU175" authorId="0">
      <text>
        <r>
          <rPr>
            <sz val="10"/>
            <rFont val="Arial"/>
            <family val="2"/>
          </rPr>
          <t xml:space="preserve">Company wording: Executive transition costs: 9.8</t>
        </r>
      </text>
    </comment>
    <comment ref="BU178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0.6</t>
        </r>
      </text>
    </comment>
    <comment ref="BU180" authorId="0">
      <text>
        <r>
          <rPr>
            <sz val="10"/>
            <rFont val="Arial"/>
            <family val="2"/>
          </rPr>
          <t xml:space="preserve">Company wording: Prepaid consigned vehicles charges: -7.6</t>
        </r>
      </text>
    </comment>
    <comment ref="BU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-2.9</t>
        </r>
      </text>
    </comment>
    <comment ref="BU195" authorId="0">
      <text>
        <r>
          <rPr>
            <sz val="10"/>
            <rFont val="Arial"/>
            <family val="2"/>
          </rPr>
          <t xml:space="preserve">Executive transition costs added</t>
        </r>
      </text>
    </comment>
    <comment ref="BV144" authorId="0">
      <text>
        <r>
          <rPr>
            <sz val="10"/>
            <rFont val="Arial"/>
            <family val="2"/>
          </rPr>
          <t xml:space="preserve">Company wording: Acquisition-related and integration costs: 20.5</t>
        </r>
      </text>
    </comment>
    <comment ref="BV146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0.2</t>
        </r>
      </text>
    </comment>
    <comment ref="BV148" authorId="0">
      <text>
        <r>
          <rPr>
            <sz val="10"/>
            <rFont val="Arial"/>
            <family val="2"/>
          </rPr>
          <t xml:space="preserve">Company wording: Executive transition costs: 2.2</t>
        </r>
      </text>
    </comment>
    <comment ref="BV151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0.7</t>
        </r>
      </text>
    </comment>
    <comment ref="BV153" authorId="0">
      <text>
        <r>
          <rPr>
            <sz val="10"/>
            <rFont val="Arial"/>
            <family val="2"/>
          </rPr>
          <t xml:space="preserve">Company wording: Prepaid consigned vehicle charges: -7.3</t>
        </r>
      </text>
    </comment>
    <comment ref="BV170" authorId="0">
      <text>
        <r>
          <rPr>
            <sz val="10"/>
            <rFont val="Arial"/>
            <family val="2"/>
          </rPr>
          <t xml:space="preserve">Company wording: Acquisition-related and integration costs: 20.5</t>
        </r>
      </text>
    </comment>
    <comment ref="BV173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0.2</t>
        </r>
      </text>
    </comment>
    <comment ref="BV175" authorId="0">
      <text>
        <r>
          <rPr>
            <sz val="10"/>
            <rFont val="Arial"/>
            <family val="2"/>
          </rPr>
          <t xml:space="preserve">Company wording: Executive transition costs: 2.2</t>
        </r>
      </text>
    </comment>
    <comment ref="BV178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0.7</t>
        </r>
      </text>
    </comment>
    <comment ref="BV180" authorId="0">
      <text>
        <r>
          <rPr>
            <sz val="10"/>
            <rFont val="Arial"/>
            <family val="2"/>
          </rPr>
          <t xml:space="preserve">Company wording: Prepaid consigned vehicle charges: -7.3</t>
        </r>
      </text>
    </comment>
    <comment ref="BV181" authorId="0">
      <text>
        <r>
          <rPr>
            <sz val="10"/>
            <rFont val="Arial"/>
            <family val="2"/>
          </rPr>
          <t xml:space="preserve">Company wording: Remeasurements in connection with business combinations: 0.1</t>
        </r>
      </text>
    </comment>
    <comment ref="BV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-2.8</t>
        </r>
      </text>
    </comment>
    <comment ref="BW144" authorId="0">
      <text>
        <r>
          <rPr>
            <sz val="10"/>
            <rFont val="Arial"/>
            <family val="2"/>
          </rPr>
          <t xml:space="preserve">Company wording: Acquisition-related and integration costs: 216.1</t>
        </r>
      </text>
    </comment>
    <comment ref="BW146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-0.8</t>
        </r>
      </text>
    </comment>
    <comment ref="BW148" authorId="0">
      <text>
        <r>
          <rPr>
            <sz val="10"/>
            <rFont val="Arial"/>
            <family val="2"/>
          </rPr>
          <t xml:space="preserve">Company wording: Executive transition costs: 12.0</t>
        </r>
      </text>
    </comment>
    <comment ref="BW151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2.0</t>
        </r>
      </text>
    </comment>
    <comment ref="BW153" authorId="0">
      <text>
        <r>
          <rPr>
            <sz val="10"/>
            <rFont val="Arial"/>
            <family val="2"/>
          </rPr>
          <t xml:space="preserve">Company wording: Prepaid consigned vehicle charges: -67.0</t>
        </r>
      </text>
    </comment>
    <comment ref="BW154" authorId="0">
      <text>
        <r>
          <rPr>
            <sz val="10"/>
            <rFont val="Arial"/>
            <family val="2"/>
          </rPr>
          <t xml:space="preserve">Company wording: Remeasurements in connection with business combinations: -1.4</t>
        </r>
      </text>
    </comment>
    <comment ref="BW170" authorId="0">
      <text>
        <r>
          <rPr>
            <sz val="10"/>
            <rFont val="Arial"/>
            <family val="2"/>
          </rPr>
          <t xml:space="preserve">Company wording: Acquisition-related and integration costs: 216.1</t>
        </r>
      </text>
    </comment>
    <comment ref="BW173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-0.8</t>
        </r>
      </text>
    </comment>
    <comment ref="BW175" authorId="0">
      <text>
        <r>
          <rPr>
            <sz val="10"/>
            <rFont val="Arial"/>
            <family val="2"/>
          </rPr>
          <t xml:space="preserve">Company wording: Executive transition costs: 12.0</t>
        </r>
      </text>
    </comment>
    <comment ref="BW177" authorId="0">
      <text>
        <r>
          <rPr>
            <sz val="10"/>
            <rFont val="Arial"/>
            <family val="2"/>
          </rPr>
          <t xml:space="preserve">Company wording: Loss on redemption of the 2016 and 2021 Notes and certain related interest expense: 3.3</t>
        </r>
      </text>
    </comment>
    <comment ref="BW178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2.0</t>
        </r>
      </text>
    </comment>
    <comment ref="BW180" authorId="0">
      <text>
        <r>
          <rPr>
            <sz val="10"/>
            <rFont val="Arial"/>
            <family val="2"/>
          </rPr>
          <t xml:space="preserve">Company wording: Prepaid consigned vehicle charges: -67.0</t>
        </r>
      </text>
    </comment>
    <comment ref="BW181" authorId="0">
      <text>
        <r>
          <rPr>
            <sz val="10"/>
            <rFont val="Arial"/>
            <family val="2"/>
          </rPr>
          <t xml:space="preserve">Company wording: Remeasurements in connection with business combinations: -2.9</t>
        </r>
      </text>
    </comment>
    <comment ref="BW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-11.3</t>
        </r>
      </text>
    </comment>
    <comment ref="BX144" authorId="0">
      <text>
        <r>
          <rPr>
            <sz val="10"/>
            <rFont val="Arial"/>
            <family val="2"/>
          </rPr>
          <t xml:space="preserve">Company wording: Acquisition-related and integration costs: 12.8</t>
        </r>
      </text>
    </comment>
    <comment ref="BX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-1.8</t>
        </r>
      </text>
    </comment>
    <comment ref="BX148" authorId="0">
      <text>
        <r>
          <rPr>
            <sz val="10"/>
            <rFont val="Arial"/>
            <family val="2"/>
          </rPr>
          <t xml:space="preserve">Company wording: Executive transition costs: 1.7</t>
        </r>
      </text>
    </comment>
    <comment ref="BX151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2.2</t>
        </r>
      </text>
    </comment>
    <comment ref="BX153" authorId="0">
      <text>
        <r>
          <rPr>
            <sz val="10"/>
            <rFont val="Arial"/>
            <family val="2"/>
          </rPr>
          <t xml:space="preserve">Company wording: Prepaid consigned vehicles charges: -2.1</t>
        </r>
      </text>
    </comment>
    <comment ref="BX170" authorId="0">
      <text>
        <r>
          <rPr>
            <sz val="10"/>
            <rFont val="Arial"/>
            <family val="2"/>
          </rPr>
          <t xml:space="preserve">Company wording: Acquisition-related and integration costs: 12.8</t>
        </r>
      </text>
    </comment>
    <comment ref="BX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-1.8</t>
        </r>
      </text>
    </comment>
    <comment ref="BX175" authorId="0">
      <text>
        <r>
          <rPr>
            <sz val="10"/>
            <rFont val="Arial"/>
            <family val="2"/>
          </rPr>
          <t xml:space="preserve">Company wording: Executive transition costs: 1.7</t>
        </r>
      </text>
    </comment>
    <comment ref="BX178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2.2</t>
        </r>
      </text>
    </comment>
    <comment ref="BX180" authorId="0">
      <text>
        <r>
          <rPr>
            <sz val="10"/>
            <rFont val="Arial"/>
            <family val="2"/>
          </rPr>
          <t xml:space="preserve">Company wording: Prepaid consigned vehicles charges: -2.1</t>
        </r>
      </text>
    </comment>
    <comment ref="BX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-2.5</t>
        </r>
      </text>
    </comment>
    <comment ref="BY144" authorId="0">
      <text>
        <r>
          <rPr>
            <sz val="10"/>
            <rFont val="Arial"/>
            <family val="2"/>
          </rPr>
          <t xml:space="preserve">Company wording: Acquisition-related and integration costs: 4.1</t>
        </r>
      </text>
    </comment>
    <comment ref="BY146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0.4</t>
        </r>
      </text>
    </comment>
    <comment ref="BY148" authorId="0">
      <text>
        <r>
          <rPr>
            <sz val="10"/>
            <rFont val="Arial"/>
            <family val="2"/>
          </rPr>
          <t xml:space="preserve">Company wording: Executive transition costs: 2.0</t>
        </r>
      </text>
    </comment>
    <comment ref="BY151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7.7</t>
        </r>
      </text>
    </comment>
    <comment ref="BY153" authorId="0">
      <text>
        <r>
          <rPr>
            <sz val="10"/>
            <rFont val="Arial"/>
            <family val="2"/>
          </rPr>
          <t xml:space="preserve">Company wording: Prepaid consigned vehicles charges: -1.3</t>
        </r>
      </text>
    </comment>
    <comment ref="BY170" authorId="0">
      <text>
        <r>
          <rPr>
            <sz val="10"/>
            <rFont val="Arial"/>
            <family val="2"/>
          </rPr>
          <t xml:space="preserve">Company wording: Acquisition-related and integration costs: 4.1</t>
        </r>
      </text>
    </comment>
    <comment ref="BY173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0.4</t>
        </r>
      </text>
    </comment>
    <comment ref="BY175" authorId="0">
      <text>
        <r>
          <rPr>
            <sz val="10"/>
            <rFont val="Arial"/>
            <family val="2"/>
          </rPr>
          <t xml:space="preserve">Company wording: Executive transition costs: 2.0</t>
        </r>
      </text>
    </comment>
    <comment ref="BY178" authorId="0">
      <text>
        <r>
          <rPr>
            <sz val="10"/>
            <rFont val="Arial"/>
            <family val="2"/>
          </rPr>
          <t xml:space="preserve">Company wording: Other legal, advisory, restructuring and non-income tax expenses: 7.7</t>
        </r>
      </text>
    </comment>
    <comment ref="BY180" authorId="0">
      <text>
        <r>
          <rPr>
            <sz val="10"/>
            <rFont val="Arial"/>
            <family val="2"/>
          </rPr>
          <t xml:space="preserve">Company wording: Prepaid consigned vehicles charges: -1.3</t>
        </r>
      </text>
    </comment>
    <comment ref="BY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-2.6</t>
        </r>
      </text>
    </comment>
    <comment ref="CA144" authorId="0">
      <text>
        <r>
          <rPr>
            <sz val="10"/>
            <rFont val="Arial"/>
            <family val="2"/>
          </rPr>
          <t xml:space="preserve">Company wording: Acquisition-related and integration costs: 6.0</t>
        </r>
      </text>
    </comment>
    <comment ref="CA146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0.2</t>
        </r>
      </text>
    </comment>
    <comment ref="CA148" authorId="0">
      <text>
        <r>
          <rPr>
            <sz val="10"/>
            <rFont val="Arial"/>
            <family val="2"/>
          </rPr>
          <t xml:space="preserve">Company wording: Executive transition costs: 0.6</t>
        </r>
      </text>
    </comment>
    <comment ref="CA151" authorId="0">
      <text>
        <r>
          <rPr>
            <sz val="10"/>
            <rFont val="Arial"/>
            <family val="2"/>
          </rPr>
          <t xml:space="preserve">Company wording: Other legal, advisory and non-income tax expenses: 2.2</t>
        </r>
      </text>
    </comment>
    <comment ref="CA153" authorId="0">
      <text>
        <r>
          <rPr>
            <sz val="10"/>
            <rFont val="Arial"/>
            <family val="2"/>
          </rPr>
          <t xml:space="preserve">Company wording: Prepaid consigned vehicles charges: -0.6</t>
        </r>
      </text>
    </comment>
    <comment ref="CA154" authorId="0">
      <text>
        <r>
          <rPr>
            <sz val="10"/>
            <rFont val="Arial"/>
            <family val="2"/>
          </rPr>
          <t xml:space="preserve">Company wording: Remeasurements in connection with business combinations: 1.2</t>
        </r>
      </text>
    </comment>
    <comment ref="CA170" authorId="0">
      <text>
        <r>
          <rPr>
            <sz val="10"/>
            <rFont val="Arial"/>
            <family val="2"/>
          </rPr>
          <t xml:space="preserve">Company wording: Acquisition-related and integration costs: 6.0</t>
        </r>
      </text>
    </comment>
    <comment ref="CA173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0.2</t>
        </r>
      </text>
    </comment>
    <comment ref="CA175" authorId="0">
      <text>
        <r>
          <rPr>
            <sz val="10"/>
            <rFont val="Arial"/>
            <family val="2"/>
          </rPr>
          <t xml:space="preserve">Company wording: Executive transition costs: 0.6</t>
        </r>
      </text>
    </comment>
    <comment ref="CA178" authorId="0">
      <text>
        <r>
          <rPr>
            <sz val="10"/>
            <rFont val="Arial"/>
            <family val="2"/>
          </rPr>
          <t xml:space="preserve">Company wording: Other legal, advisory and non-income tax expenses: 2.2</t>
        </r>
      </text>
    </comment>
    <comment ref="CA180" authorId="0">
      <text>
        <r>
          <rPr>
            <sz val="10"/>
            <rFont val="Arial"/>
            <family val="2"/>
          </rPr>
          <t xml:space="preserve">Company wording: Prepaid consigned vehicles charges: -0.6</t>
        </r>
      </text>
    </comment>
    <comment ref="CA181" authorId="0">
      <text>
        <r>
          <rPr>
            <sz val="10"/>
            <rFont val="Arial"/>
            <family val="2"/>
          </rPr>
          <t xml:space="preserve">Company wording: Remeasurements in connection with business combinations: 1.2</t>
        </r>
      </text>
    </comment>
    <comment ref="CA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-2.3</t>
        </r>
      </text>
    </comment>
    <comment ref="CB144" authorId="0">
      <text>
        <r>
          <rPr>
            <sz val="10"/>
            <rFont val="Arial"/>
            <family val="2"/>
          </rPr>
          <t xml:space="preserve">Company wording: Acquisition-related and integration costs: 6.1</t>
        </r>
      </text>
    </comment>
    <comment ref="CB148" authorId="0">
      <text>
        <r>
          <rPr>
            <sz val="10"/>
            <rFont val="Arial"/>
            <family val="2"/>
          </rPr>
          <t xml:space="preserve">Company wording: Executive transition costs: 2.4</t>
        </r>
      </text>
    </comment>
    <comment ref="CB151" authorId="0">
      <text>
        <r>
          <rPr>
            <sz val="10"/>
            <rFont val="Arial"/>
            <family val="2"/>
          </rPr>
          <t xml:space="preserve">Company wording: Other legal, advisory and non-income tax expenses: 1.3</t>
        </r>
      </text>
    </comment>
    <comment ref="CB153" authorId="0">
      <text>
        <r>
          <rPr>
            <sz val="10"/>
            <rFont val="Arial"/>
            <family val="2"/>
          </rPr>
          <t xml:space="preserve">Company wording: Prepaid consigned vehicles charges: -0.7</t>
        </r>
      </text>
    </comment>
    <comment ref="CB170" authorId="0">
      <text>
        <r>
          <rPr>
            <sz val="10"/>
            <rFont val="Arial"/>
            <family val="2"/>
          </rPr>
          <t xml:space="preserve">Company wording: Acquisition-related and integration costs: 6.1</t>
        </r>
      </text>
    </comment>
    <comment ref="CB175" authorId="0">
      <text>
        <r>
          <rPr>
            <sz val="10"/>
            <rFont val="Arial"/>
            <family val="2"/>
          </rPr>
          <t xml:space="preserve">Company wording: Executive transition costs: 2.4</t>
        </r>
      </text>
    </comment>
    <comment ref="CB178" authorId="0">
      <text>
        <r>
          <rPr>
            <sz val="10"/>
            <rFont val="Arial"/>
            <family val="2"/>
          </rPr>
          <t xml:space="preserve">Company wording: Other legal, advisory and non-income tax expenses: 1.3</t>
        </r>
      </text>
    </comment>
    <comment ref="CB180" authorId="0">
      <text>
        <r>
          <rPr>
            <sz val="10"/>
            <rFont val="Arial"/>
            <family val="2"/>
          </rPr>
          <t xml:space="preserve">Company wording: Prepaid consigned vehicles charges: -0.7</t>
        </r>
      </text>
    </comment>
    <comment ref="CB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-2.5</t>
        </r>
      </text>
    </comment>
    <comment ref="CC144" authorId="0">
      <text>
        <r>
          <rPr>
            <sz val="10"/>
            <rFont val="Arial"/>
            <family val="2"/>
          </rPr>
          <t xml:space="preserve">Company wording: Acquisition-related and integration costs: 29.0</t>
        </r>
      </text>
    </comment>
    <comment ref="CC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-1.2</t>
        </r>
      </text>
    </comment>
    <comment ref="CC148" authorId="0">
      <text>
        <r>
          <rPr>
            <sz val="10"/>
            <rFont val="Arial"/>
            <family val="2"/>
          </rPr>
          <t xml:space="preserve">Company wording: Executive transition costs: 6.7</t>
        </r>
      </text>
    </comment>
    <comment ref="CC151" authorId="0">
      <text>
        <r>
          <rPr>
            <sz val="10"/>
            <rFont val="Arial"/>
            <family val="2"/>
          </rPr>
          <t xml:space="preserve">Company wording: Other legal, advisory and non-income tax expenses: 13.4</t>
        </r>
      </text>
    </comment>
    <comment ref="CC153" authorId="0">
      <text>
        <r>
          <rPr>
            <sz val="10"/>
            <rFont val="Arial"/>
            <family val="2"/>
          </rPr>
          <t xml:space="preserve">Company wording: Prepaid consigned vehicles charges: -4.7</t>
        </r>
      </text>
    </comment>
    <comment ref="CC154" authorId="0">
      <text>
        <r>
          <rPr>
            <sz val="10"/>
            <rFont val="Arial"/>
            <family val="2"/>
          </rPr>
          <t xml:space="preserve">Company wording: Remeasurements in connection with business combinations: 1.2</t>
        </r>
      </text>
    </comment>
    <comment ref="CC170" authorId="0">
      <text>
        <r>
          <rPr>
            <sz val="10"/>
            <rFont val="Arial"/>
            <family val="2"/>
          </rPr>
          <t xml:space="preserve">Company wording: Acquisition-related and integration costs: 29.0</t>
        </r>
      </text>
    </comment>
    <comment ref="CC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-1.2</t>
        </r>
      </text>
    </comment>
    <comment ref="CC175" authorId="0">
      <text>
        <r>
          <rPr>
            <sz val="10"/>
            <rFont val="Arial"/>
            <family val="2"/>
          </rPr>
          <t xml:space="preserve">Company wording: Executive transition costs: 6.7</t>
        </r>
      </text>
    </comment>
    <comment ref="CC178" authorId="0">
      <text>
        <r>
          <rPr>
            <sz val="10"/>
            <rFont val="Arial"/>
            <family val="2"/>
          </rPr>
          <t xml:space="preserve">Company wording: Other legal, advisory and non-income tax expenses: 13.4</t>
        </r>
      </text>
    </comment>
    <comment ref="CC180" authorId="0">
      <text>
        <r>
          <rPr>
            <sz val="10"/>
            <rFont val="Arial"/>
            <family val="2"/>
          </rPr>
          <t xml:space="preserve">Company wording: Prepaid consigned vehicles charges: -4.7</t>
        </r>
      </text>
    </comment>
    <comment ref="CC181" authorId="0">
      <text>
        <r>
          <rPr>
            <sz val="10"/>
            <rFont val="Arial"/>
            <family val="2"/>
          </rPr>
          <t xml:space="preserve">Company wording: Remeasurements in connection with business combinations: 1.2</t>
        </r>
      </text>
    </comment>
    <comment ref="CC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-10.1</t>
        </r>
      </text>
    </comment>
    <comment ref="CD144" authorId="0">
      <text>
        <r>
          <rPr>
            <sz val="10"/>
            <rFont val="Arial"/>
            <family val="2"/>
          </rPr>
          <t xml:space="preserve">Company wording: Acquisition-related and integration costs: 3.1</t>
        </r>
      </text>
    </comment>
    <comment ref="CD145" authorId="0">
      <text>
        <r>
          <rPr>
            <sz val="10"/>
            <rFont val="Arial"/>
            <family val="2"/>
          </rPr>
          <t xml:space="preserve">Company wording: Restructuring costs: 1.8</t>
        </r>
      </text>
    </comment>
    <comment ref="CD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-0.2</t>
        </r>
      </text>
    </comment>
    <comment ref="CD148" authorId="0">
      <text>
        <r>
          <rPr>
            <sz val="10"/>
            <rFont val="Arial"/>
            <family val="2"/>
          </rPr>
          <t xml:space="preserve">Company wording: Executive transition costs: 2.7</t>
        </r>
      </text>
    </comment>
    <comment ref="CD151" authorId="0">
      <text>
        <r>
          <rPr>
            <sz val="10"/>
            <rFont val="Arial"/>
            <family val="2"/>
          </rPr>
          <t xml:space="preserve">Company wording: Other legal, advisory and non-income tax expense (recovery): 1.8</t>
        </r>
      </text>
    </comment>
    <comment ref="CD170" authorId="0">
      <text>
        <r>
          <rPr>
            <sz val="10"/>
            <rFont val="Arial"/>
            <family val="2"/>
          </rPr>
          <t xml:space="preserve">Company wording: Acquisition-related and integration costs: 3.1</t>
        </r>
      </text>
    </comment>
    <comment ref="CD171" authorId="0">
      <text>
        <r>
          <rPr>
            <sz val="10"/>
            <rFont val="Arial"/>
            <family val="2"/>
          </rPr>
          <t xml:space="preserve">Company wording: Restructuring costs: 1.8</t>
        </r>
      </text>
    </comment>
    <comment ref="CD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-0.2</t>
        </r>
      </text>
    </comment>
    <comment ref="CD175" authorId="0">
      <text>
        <r>
          <rPr>
            <sz val="10"/>
            <rFont val="Arial"/>
            <family val="2"/>
          </rPr>
          <t xml:space="preserve">Company wording: Executive transition costs: 2.7</t>
        </r>
      </text>
    </comment>
    <comment ref="CD178" authorId="0">
      <text>
        <r>
          <rPr>
            <sz val="10"/>
            <rFont val="Arial"/>
            <family val="2"/>
          </rPr>
          <t xml:space="preserve">Company wording: Other legal, advisory and non-income tax expense: 1.8</t>
        </r>
      </text>
    </comment>
    <comment ref="CD186" authorId="0">
      <text>
        <r>
          <rPr>
            <sz val="10"/>
            <rFont val="Arial"/>
            <family val="2"/>
          </rPr>
          <t xml:space="preserve">Company wording: Related allocation of the above to Series A Senior Preferred Shares: -2.3</t>
        </r>
      </text>
    </comment>
    <comment ref="CE144" authorId="0">
      <text>
        <r>
          <rPr>
            <sz val="10"/>
            <rFont val="Arial"/>
            <family val="2"/>
          </rPr>
          <t xml:space="preserve">Company wording: Acquisition-related and integration costs: 2.7</t>
        </r>
      </text>
    </comment>
    <comment ref="CE145" authorId="0">
      <text>
        <r>
          <rPr>
            <sz val="10"/>
            <rFont val="Arial"/>
            <family val="2"/>
          </rPr>
          <t xml:space="preserve">Company wording: Restructuring costs: 1.1</t>
        </r>
      </text>
    </comment>
    <comment ref="CE148" authorId="0">
      <text>
        <r>
          <rPr>
            <sz val="10"/>
            <rFont val="Arial"/>
            <family val="2"/>
          </rPr>
          <t xml:space="preserve">Company wording: Executive transition costs: 3.1</t>
        </r>
      </text>
    </comment>
    <comment ref="CE149" authorId="0">
      <text>
        <r>
          <rPr>
            <sz val="10"/>
            <rFont val="Arial"/>
            <family val="2"/>
          </rPr>
          <t xml:space="preserve">Company wording: Loss on divestiture and deconsolidation, net and related costs: 19.7</t>
        </r>
      </text>
    </comment>
    <comment ref="CE150" authorId="0">
      <text>
        <r>
          <rPr>
            <sz val="10"/>
            <rFont val="Arial"/>
            <family val="2"/>
          </rPr>
          <t xml:space="preserve">Company wording: Debt refinancing costs: 3.9</t>
        </r>
      </text>
    </comment>
    <comment ref="CE151" authorId="0">
      <text>
        <r>
          <rPr>
            <sz val="10"/>
            <rFont val="Arial"/>
            <family val="2"/>
          </rPr>
          <t xml:space="preserve">Company wording: Other legal, advisory and non-income tax expense: 3.1</t>
        </r>
      </text>
    </comment>
    <comment ref="CE160" authorId="0">
      <text>
        <r>
          <rPr>
            <sz val="10"/>
            <rFont val="Arial"/>
            <family val="2"/>
          </rPr>
          <t xml:space="preserve">Q2-25 release: loss on divestiture and deconsolidation (LKQ SYNETIQ transaction) and related costs, and debt refinancing costs added.</t>
        </r>
      </text>
    </comment>
    <comment ref="CE170" authorId="0">
      <text>
        <r>
          <rPr>
            <sz val="10"/>
            <rFont val="Arial"/>
            <family val="2"/>
          </rPr>
          <t xml:space="preserve">Company wording: Acquisition-related and integration costs: 2.7</t>
        </r>
      </text>
    </comment>
    <comment ref="CE171" authorId="0">
      <text>
        <r>
          <rPr>
            <sz val="10"/>
            <rFont val="Arial"/>
            <family val="2"/>
          </rPr>
          <t xml:space="preserve">Company wording: Restructuring costs: 1.1</t>
        </r>
      </text>
    </comment>
    <comment ref="CE175" authorId="0">
      <text>
        <r>
          <rPr>
            <sz val="10"/>
            <rFont val="Arial"/>
            <family val="2"/>
          </rPr>
          <t xml:space="preserve">Company wording: Executive transition costs: 3.1</t>
        </r>
      </text>
    </comment>
    <comment ref="CE176" authorId="0">
      <text>
        <r>
          <rPr>
            <sz val="10"/>
            <rFont val="Arial"/>
            <family val="2"/>
          </rPr>
          <t xml:space="preserve">Company wording: Loss on divestiture and deconsolidation, net and related costs: 19.7</t>
        </r>
      </text>
    </comment>
    <comment ref="CE177" authorId="0">
      <text>
        <r>
          <rPr>
            <sz val="10"/>
            <rFont val="Arial"/>
            <family val="2"/>
          </rPr>
          <t xml:space="preserve">Company wording: Debt refinancing costs: 3.9</t>
        </r>
      </text>
    </comment>
    <comment ref="CE178" authorId="0">
      <text>
        <r>
          <rPr>
            <sz val="10"/>
            <rFont val="Arial"/>
            <family val="2"/>
          </rPr>
          <t xml:space="preserve">Company wording: Other legal, advisory and non-income tax expense: 3.1</t>
        </r>
      </text>
    </comment>
    <comment ref="CE186" authorId="0">
      <text>
        <r>
          <rPr>
            <sz val="10"/>
            <rFont val="Arial"/>
            <family val="2"/>
          </rPr>
          <t xml:space="preserve">Company wording: Related allocation of the above to Series A Senior Preferred Shares: -3.7</t>
        </r>
      </text>
    </comment>
    <comment ref="CE195" authorId="0">
      <text>
        <r>
          <rPr>
            <sz val="10"/>
            <rFont val="Arial"/>
            <family val="2"/>
          </rPr>
          <t xml:space="preserve">SYNETIQ deconsolidation &amp; debt refinancing costs added</t>
        </r>
      </text>
    </comment>
    <comment ref="CG144" authorId="0">
      <text>
        <r>
          <rPr>
            <sz val="10"/>
            <rFont val="Arial"/>
            <family val="2"/>
          </rPr>
          <t xml:space="preserve">Company wording: Acquisition-related and integration costs: 4.0</t>
        </r>
      </text>
    </comment>
    <comment ref="CG145" authorId="0">
      <text>
        <r>
          <rPr>
            <sz val="10"/>
            <rFont val="Arial"/>
            <family val="2"/>
          </rPr>
          <t xml:space="preserve">Company wording: Restructuring costs: 10.2</t>
        </r>
      </text>
    </comment>
    <comment ref="CG146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-1.2</t>
        </r>
      </text>
    </comment>
    <comment ref="CG148" authorId="0">
      <text>
        <r>
          <rPr>
            <sz val="10"/>
            <rFont val="Arial"/>
            <family val="2"/>
          </rPr>
          <t xml:space="preserve">Company wording: Executive transition costs: 4.7</t>
        </r>
      </text>
    </comment>
    <comment ref="CG151" authorId="0">
      <text>
        <r>
          <rPr>
            <sz val="10"/>
            <rFont val="Arial"/>
            <family val="2"/>
          </rPr>
          <t xml:space="preserve">Company wording: Other legal, advisory and non-income tax expenses: 7.4</t>
        </r>
      </text>
    </comment>
    <comment ref="CG160" authorId="0">
      <text>
        <r>
          <rPr>
            <sz val="10"/>
            <rFont val="Arial"/>
            <family val="2"/>
          </rPr>
          <t xml:space="preserve">Q3-25 release: restructuring costs presented as a separate adjusting item (previously within 'other legal, advisory, restructuring and non-income tax expenses').</t>
        </r>
      </text>
    </comment>
    <comment ref="CG170" authorId="0">
      <text>
        <r>
          <rPr>
            <sz val="10"/>
            <rFont val="Arial"/>
            <family val="2"/>
          </rPr>
          <t xml:space="preserve">Company wording: Acquisition-related and integration costs: 4.0</t>
        </r>
      </text>
    </comment>
    <comment ref="CG171" authorId="0">
      <text>
        <r>
          <rPr>
            <sz val="10"/>
            <rFont val="Arial"/>
            <family val="2"/>
          </rPr>
          <t xml:space="preserve">Company wording: Restructuring costs: 10.2</t>
        </r>
      </text>
    </comment>
    <comment ref="CG173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-1.2</t>
        </r>
      </text>
    </comment>
    <comment ref="CG175" authorId="0">
      <text>
        <r>
          <rPr>
            <sz val="10"/>
            <rFont val="Arial"/>
            <family val="2"/>
          </rPr>
          <t xml:space="preserve">Company wording: Executive transition costs: 4.7</t>
        </r>
      </text>
    </comment>
    <comment ref="CG178" authorId="0">
      <text>
        <r>
          <rPr>
            <sz val="10"/>
            <rFont val="Arial"/>
            <family val="2"/>
          </rPr>
          <t xml:space="preserve">Company wording: Other legal, advisory and non-income tax expenses: 7.4</t>
        </r>
      </text>
    </comment>
    <comment ref="CG182" authorId="0">
      <text>
        <r>
          <rPr>
            <sz val="10"/>
            <rFont val="Arial"/>
            <family val="2"/>
          </rPr>
          <t xml:space="preserve">Company wording: Accretion of deferred consideration: 0.7</t>
        </r>
      </text>
    </comment>
    <comment ref="CG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-3.2</t>
        </r>
      </text>
    </comment>
    <comment ref="CG187" authorId="0">
      <text>
        <r>
          <rPr>
            <sz val="10"/>
            <rFont val="Arial"/>
            <family val="2"/>
          </rPr>
          <t xml:space="preserve">Company wording: Adjustment of redeemable non-controlling interest: 5.0</t>
        </r>
      </text>
    </comment>
    <comment ref="CG195" authorId="0">
      <text>
        <r>
          <rPr>
            <sz val="10"/>
            <rFont val="Arial"/>
            <family val="2"/>
          </rPr>
          <t xml:space="preserve">Q3-25: restructuring shown separately; redeemable-NCI adjustment deducted in NI available to common and added back in adjusted NI; accretion of J.M. Wood deferred consideration added back (adjusted NI only).</t>
        </r>
      </text>
    </comment>
    <comment ref="CH144" authorId="0">
      <text>
        <r>
          <rPr>
            <sz val="10"/>
            <rFont val="Arial"/>
            <family val="2"/>
          </rPr>
          <t xml:space="preserve">Company wording: Acquisition-related and integration costs: 9.6</t>
        </r>
      </text>
    </comment>
    <comment ref="CH145" authorId="0">
      <text>
        <r>
          <rPr>
            <sz val="10"/>
            <rFont val="Arial"/>
            <family val="2"/>
          </rPr>
          <t xml:space="preserve">Company wording: Restructuring costs: 4.1</t>
        </r>
      </text>
    </comment>
    <comment ref="CH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-0.6</t>
        </r>
      </text>
    </comment>
    <comment ref="CH148" authorId="0">
      <text>
        <r>
          <rPr>
            <sz val="10"/>
            <rFont val="Arial"/>
            <family val="2"/>
          </rPr>
          <t xml:space="preserve">Company wording: Executive transition costs: 43.2</t>
        </r>
      </text>
    </comment>
    <comment ref="CH149" authorId="0">
      <text>
        <r>
          <rPr>
            <sz val="10"/>
            <rFont val="Arial"/>
            <family val="2"/>
          </rPr>
          <t xml:space="preserve">Company wording: (Gain) loss on divestiture and deconsolidation, net and related costs: -3.9</t>
        </r>
      </text>
    </comment>
    <comment ref="CH151" authorId="0">
      <text>
        <r>
          <rPr>
            <sz val="10"/>
            <rFont val="Arial"/>
            <family val="2"/>
          </rPr>
          <t xml:space="preserve">Company wording: Other legal, advisory and non-income tax expenses: 7.0</t>
        </r>
      </text>
    </comment>
    <comment ref="CH170" authorId="0">
      <text>
        <r>
          <rPr>
            <sz val="10"/>
            <rFont val="Arial"/>
            <family val="2"/>
          </rPr>
          <t xml:space="preserve">Company wording: Acquisition-related and integration costs: 9.6</t>
        </r>
      </text>
    </comment>
    <comment ref="CH171" authorId="0">
      <text>
        <r>
          <rPr>
            <sz val="10"/>
            <rFont val="Arial"/>
            <family val="2"/>
          </rPr>
          <t xml:space="preserve">Company wording: Restructuring costs: 4.1</t>
        </r>
      </text>
    </comment>
    <comment ref="CH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-0.6</t>
        </r>
      </text>
    </comment>
    <comment ref="CH175" authorId="0">
      <text>
        <r>
          <rPr>
            <sz val="10"/>
            <rFont val="Arial"/>
            <family val="2"/>
          </rPr>
          <t xml:space="preserve">Company wording: Executive transition costs: 43.2</t>
        </r>
      </text>
    </comment>
    <comment ref="CH176" authorId="0">
      <text>
        <r>
          <rPr>
            <sz val="10"/>
            <rFont val="Arial"/>
            <family val="2"/>
          </rPr>
          <t xml:space="preserve">Company wording: (Gain) loss on divestiture and deconsolidation, net and related costs: -3.9</t>
        </r>
      </text>
    </comment>
    <comment ref="CH178" authorId="0">
      <text>
        <r>
          <rPr>
            <sz val="10"/>
            <rFont val="Arial"/>
            <family val="2"/>
          </rPr>
          <t xml:space="preserve">Company wording: Other legal, advisory and non-income tax expenses: 7.0</t>
        </r>
      </text>
    </comment>
    <comment ref="CH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-3.9</t>
        </r>
      </text>
    </comment>
    <comment ref="CH187" authorId="0">
      <text>
        <r>
          <rPr>
            <sz val="10"/>
            <rFont val="Arial"/>
            <family val="2"/>
          </rPr>
          <t xml:space="preserve">Company wording: Adjustment of redeemable non-controlling interest: 0.3</t>
        </r>
      </text>
    </comment>
    <comment ref="CI144" authorId="0">
      <text>
        <r>
          <rPr>
            <sz val="10"/>
            <rFont val="Arial"/>
            <family val="2"/>
          </rPr>
          <t xml:space="preserve">Company wording: Acquisition-related and integration costs: 19.4</t>
        </r>
      </text>
    </comment>
    <comment ref="CI145" authorId="0">
      <text>
        <r>
          <rPr>
            <sz val="10"/>
            <rFont val="Arial"/>
            <family val="2"/>
          </rPr>
          <t xml:space="preserve">Company wording: Restructuring costs: 17.2</t>
        </r>
      </text>
    </comment>
    <comment ref="CI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-2.0</t>
        </r>
      </text>
    </comment>
    <comment ref="CI148" authorId="0">
      <text>
        <r>
          <rPr>
            <sz val="10"/>
            <rFont val="Arial"/>
            <family val="2"/>
          </rPr>
          <t xml:space="preserve">Company wording: Executive transition costs: 53.7</t>
        </r>
      </text>
    </comment>
    <comment ref="CI149" authorId="0">
      <text>
        <r>
          <rPr>
            <sz val="10"/>
            <rFont val="Arial"/>
            <family val="2"/>
          </rPr>
          <t xml:space="preserve">Company wording: (Gain) loss on divestiture and deconsolidation, net and related costs: 15.8</t>
        </r>
      </text>
    </comment>
    <comment ref="CI150" authorId="0">
      <text>
        <r>
          <rPr>
            <sz val="10"/>
            <rFont val="Arial"/>
            <family val="2"/>
          </rPr>
          <t xml:space="preserve">Company wording: Debt refinancing costs: 3.9</t>
        </r>
      </text>
    </comment>
    <comment ref="CI151" authorId="0">
      <text>
        <r>
          <rPr>
            <sz val="10"/>
            <rFont val="Arial"/>
            <family val="2"/>
          </rPr>
          <t xml:space="preserve">Company wording: Other legal, advisory and non-income tax expenses: 19.7</t>
        </r>
      </text>
    </comment>
    <comment ref="CI153" authorId="0">
      <text>
        <r>
          <rPr>
            <sz val="10"/>
            <rFont val="Arial"/>
            <family val="2"/>
          </rPr>
          <t xml:space="preserve">Company wording: Prepaid consigned vehicles charges: -0.5</t>
        </r>
      </text>
    </comment>
    <comment ref="CI154" authorId="0">
      <text>
        <r>
          <rPr>
            <sz val="10"/>
            <rFont val="Arial"/>
            <family val="2"/>
          </rPr>
          <t xml:space="preserve">Company wording: Remeasurements in connection with business combinations: 0.1</t>
        </r>
      </text>
    </comment>
    <comment ref="CI170" authorId="0">
      <text>
        <r>
          <rPr>
            <sz val="10"/>
            <rFont val="Arial"/>
            <family val="2"/>
          </rPr>
          <t xml:space="preserve">Company wording: Acquisition-related and integration costs: 19.4</t>
        </r>
      </text>
    </comment>
    <comment ref="CI171" authorId="0">
      <text>
        <r>
          <rPr>
            <sz val="10"/>
            <rFont val="Arial"/>
            <family val="2"/>
          </rPr>
          <t xml:space="preserve">Company wording: Restructuring costs: 17.2</t>
        </r>
      </text>
    </comment>
    <comment ref="CI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-2.0</t>
        </r>
      </text>
    </comment>
    <comment ref="CI175" authorId="0">
      <text>
        <r>
          <rPr>
            <sz val="10"/>
            <rFont val="Arial"/>
            <family val="2"/>
          </rPr>
          <t xml:space="preserve">Company wording: Executive transition costs: 53.7</t>
        </r>
      </text>
    </comment>
    <comment ref="CI176" authorId="0">
      <text>
        <r>
          <rPr>
            <sz val="10"/>
            <rFont val="Arial"/>
            <family val="2"/>
          </rPr>
          <t xml:space="preserve">Company wording: (Gain) loss on divestiture and deconsolidation, net and related costs: 15.8</t>
        </r>
      </text>
    </comment>
    <comment ref="CI177" authorId="0">
      <text>
        <r>
          <rPr>
            <sz val="10"/>
            <rFont val="Arial"/>
            <family val="2"/>
          </rPr>
          <t xml:space="preserve">Company wording: Debt refinancing costs: 3.9</t>
        </r>
      </text>
    </comment>
    <comment ref="CI178" authorId="0">
      <text>
        <r>
          <rPr>
            <sz val="10"/>
            <rFont val="Arial"/>
            <family val="2"/>
          </rPr>
          <t xml:space="preserve">Company wording: Other legal, advisory and non-income tax expenses: 19.7</t>
        </r>
      </text>
    </comment>
    <comment ref="CI180" authorId="0">
      <text>
        <r>
          <rPr>
            <sz val="10"/>
            <rFont val="Arial"/>
            <family val="2"/>
          </rPr>
          <t xml:space="preserve">Company wording: Prepaid consigned vehicles charges: -0.5</t>
        </r>
      </text>
    </comment>
    <comment ref="CI181" authorId="0">
      <text>
        <r>
          <rPr>
            <sz val="10"/>
            <rFont val="Arial"/>
            <family val="2"/>
          </rPr>
          <t xml:space="preserve">Company wording: Remeasurements in connection with business combinations: 0.1</t>
        </r>
      </text>
    </comment>
    <comment ref="CI182" authorId="0">
      <text>
        <r>
          <rPr>
            <sz val="10"/>
            <rFont val="Arial"/>
            <family val="2"/>
          </rPr>
          <t xml:space="preserve">Company wording: Accretion of deferred consideration: 0.7</t>
        </r>
      </text>
    </comment>
    <comment ref="CI186" authorId="0">
      <text>
        <r>
          <rPr>
            <sz val="10"/>
            <rFont val="Arial"/>
            <family val="2"/>
          </rPr>
          <t xml:space="preserve">Company wording: Related allocation of the above to participating securities: -13.1</t>
        </r>
      </text>
    </comment>
    <comment ref="CI187" authorId="0">
      <text>
        <r>
          <rPr>
            <sz val="10"/>
            <rFont val="Arial"/>
            <family val="2"/>
          </rPr>
          <t xml:space="preserve">Company wording: Adjustment of redeemable non-controlling interest: 5.3</t>
        </r>
      </text>
    </comment>
    <comment ref="CJ144" authorId="0">
      <text>
        <r>
          <rPr>
            <sz val="10"/>
            <rFont val="Arial"/>
            <family val="2"/>
          </rPr>
          <t xml:space="preserve">Company wording: Acquisition-related and integration costs: 6.2</t>
        </r>
      </text>
    </comment>
    <comment ref="CJ145" authorId="0">
      <text>
        <r>
          <rPr>
            <sz val="10"/>
            <rFont val="Arial"/>
            <family val="2"/>
          </rPr>
          <t xml:space="preserve">Company wording: Restructuring costs: 2.4</t>
        </r>
      </text>
    </comment>
    <comment ref="CJ146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-1.8</t>
        </r>
      </text>
    </comment>
    <comment ref="CJ151" authorId="0">
      <text>
        <r>
          <rPr>
            <sz val="10"/>
            <rFont val="Arial"/>
            <family val="2"/>
          </rPr>
          <t xml:space="preserve">Company wording: Other legal, advisory and non-income tax expense (recovery): -0.7</t>
        </r>
      </text>
    </comment>
    <comment ref="CJ160" authorId="0">
      <text>
        <r>
          <rPr>
            <sz val="10"/>
            <rFont val="Arial"/>
            <family val="2"/>
          </rPr>
          <t xml:space="preserve">Q1-26 release relabelled the SBC item; no change in amounts.</t>
        </r>
      </text>
    </comment>
    <comment ref="CJ170" authorId="0">
      <text>
        <r>
          <rPr>
            <sz val="10"/>
            <rFont val="Arial"/>
            <family val="2"/>
          </rPr>
          <t xml:space="preserve">Company wording: Acquisition-related and integration costs: 6.2</t>
        </r>
      </text>
    </comment>
    <comment ref="CJ171" authorId="0">
      <text>
        <r>
          <rPr>
            <sz val="10"/>
            <rFont val="Arial"/>
            <family val="2"/>
          </rPr>
          <t xml:space="preserve">Company wording: Restructuring costs: 2.4</t>
        </r>
      </text>
    </comment>
    <comment ref="CJ173" authorId="0">
      <text>
        <r>
          <rPr>
            <sz val="10"/>
            <rFont val="Arial"/>
            <family val="2"/>
          </rPr>
          <t xml:space="preserve">Company wording: Gain on disposition of property, plant and equipment and related costs: -1.8</t>
        </r>
      </text>
    </comment>
    <comment ref="CJ178" authorId="0">
      <text>
        <r>
          <rPr>
            <sz val="10"/>
            <rFont val="Arial"/>
            <family val="2"/>
          </rPr>
          <t xml:space="preserve">Company wording: Other legal, advisory and non-income tax expense: 0.1</t>
        </r>
      </text>
    </comment>
    <comment ref="CJ186" authorId="0">
      <text>
        <r>
          <rPr>
            <sz val="10"/>
            <rFont val="Arial"/>
            <family val="2"/>
          </rPr>
          <t xml:space="preserve">Company wording: Related allocation of the above to Series A Senior Preferred Shares: -2.4</t>
        </r>
      </text>
    </comment>
    <comment ref="CJ187" authorId="0">
      <text>
        <r>
          <rPr>
            <sz val="10"/>
            <rFont val="Arial"/>
            <family val="2"/>
          </rPr>
          <t xml:space="preserve">Company wording: Adjustment of redeemable non-controlling interest: -0.4</t>
        </r>
      </text>
    </comment>
    <comment ref="CJ195" authorId="0">
      <text>
        <r>
          <rPr>
            <sz val="10"/>
            <rFont val="Arial"/>
            <family val="2"/>
          </rPr>
          <t xml:space="preserve">'Stock-based compensation' relabel (no change)</t>
        </r>
      </text>
    </comment>
    <comment ref="CK144" authorId="0">
      <text>
        <r>
          <rPr>
            <sz val="10"/>
            <rFont val="Arial"/>
            <family val="2"/>
          </rPr>
          <t xml:space="preserve">Company wording: Acquisition-related and integration costs: 7.7</t>
        </r>
      </text>
    </comment>
    <comment ref="CK145" authorId="0">
      <text>
        <r>
          <rPr>
            <sz val="10"/>
            <rFont val="Arial"/>
            <family val="2"/>
          </rPr>
          <t xml:space="preserve">Company wording: Restructuring costs: 2.4</t>
        </r>
      </text>
    </comment>
    <comment ref="CK146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0.9</t>
        </r>
      </text>
    </comment>
    <comment ref="CK151" authorId="0">
      <text>
        <r>
          <rPr>
            <sz val="10"/>
            <rFont val="Arial"/>
            <family val="2"/>
          </rPr>
          <t xml:space="preserve">Company wording: Other legal, advisory and non-income tax expense: 2.8</t>
        </r>
      </text>
    </comment>
    <comment ref="CK170" authorId="0">
      <text>
        <r>
          <rPr>
            <sz val="10"/>
            <rFont val="Arial"/>
            <family val="2"/>
          </rPr>
          <t xml:space="preserve">Company wording: Acquisition-related and integration costs: 7.7</t>
        </r>
      </text>
    </comment>
    <comment ref="CK171" authorId="0">
      <text>
        <r>
          <rPr>
            <sz val="10"/>
            <rFont val="Arial"/>
            <family val="2"/>
          </rPr>
          <t xml:space="preserve">Company wording: Restructuring costs: 2.4</t>
        </r>
      </text>
    </comment>
    <comment ref="CK173" authorId="0">
      <text>
        <r>
          <rPr>
            <sz val="10"/>
            <rFont val="Arial"/>
            <family val="2"/>
          </rPr>
          <t xml:space="preserve">Company wording: (Gain) loss on disposition of property, plant and equipment and related costs: 0.9</t>
        </r>
      </text>
    </comment>
    <comment ref="CK178" authorId="0">
      <text>
        <r>
          <rPr>
            <sz val="10"/>
            <rFont val="Arial"/>
            <family val="2"/>
          </rPr>
          <t xml:space="preserve">Company wording: Other legal, advisory and non-income tax expense: 3.3</t>
        </r>
      </text>
    </comment>
    <comment ref="CK186" authorId="0">
      <text>
        <r>
          <rPr>
            <sz val="10"/>
            <rFont val="Arial"/>
            <family val="2"/>
          </rPr>
          <t xml:space="preserve">Company wording: Related allocation of the above to Series A Senior Preferred Shares: -2.9</t>
        </r>
      </text>
    </comment>
    <comment ref="CT2" authorId="0">
      <text>
        <r>
          <rPr>
            <sz val="10"/>
            <rFont val="Arial"/>
            <family val="2"/>
          </rPr>
          <t xml:space="preserve">Scenario toggle. Choose Bull / Base / Bear. Drives: FY26 outlook end-points (GTV growth, adjusted EBITDA), 2027E–30E sector GTV growth, adjusted EBITDA margin and share repurchases (scenario input table to the right). Bull / Bear = Base + Δ.</t>
        </r>
      </text>
    </comment>
    <comment ref="DB11" authorId="0">
      <text>
        <r>
          <rPr>
            <sz val="10"/>
            <rFont val="Arial"/>
            <family val="2"/>
          </rPr>
          <t xml:space="preserve">FY26 outlook per RB Global Q2-2026 earnings release (Form 8-K Ex. 99.1, 4-Aug-2026): GTV growth 9%–11% (raised from 6%–9%); adjusted EBITDA $1,495m–$1,545m (raised low end from $1,485m); full-year tax rate (GAAP and adjusted) 23%–25%; capital expenditures $350m–$400m (PP&amp;E net of disposal proceeds + intangible additions).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Bull P/E on adjusted EPS (company definition). RB Global traded ~20–30x NTM adjusted EPS 2023–25.</t>
        </r>
      </text>
    </comment>
  </commentList>
</comments>
</file>

<file path=xl/sharedStrings.xml><?xml version="1.0" encoding="utf-8"?>
<sst xmlns="http://schemas.openxmlformats.org/spreadsheetml/2006/main" count="896" uniqueCount="728">
  <si>
    <t xml:space="preserve">SCENARIO SWITCH ▼ (Bull / Base / Bear) — drives all scenario-linked forecast drivers</t>
  </si>
  <si>
    <t xml:space="preserve">RB Global, Inc. (NYSE / TSX: RBA) — 3-Statement Financial Model</t>
  </si>
  <si>
    <t xml:space="preserve">Base</t>
  </si>
  <si>
    <t xml:space="preserve">US GAAP as reported (2015+) · USD millions (per-share data in USD) · Source: RB Global / Ritchie Bros. Auctioneers Forms 40-F (2006–14), 6-K (2013–15 quarters), 10-K / 10-Q (2015+) and Form 8-K earnings releases (Ex. 99.1), SEC EDGAR CIK 0001046102</t>
  </si>
  <si>
    <t xml:space="preserve">Basis notes: FY2006–10 Canadian GAAP and FY2011–12 / 2013–14 quarters IFRS (40-F / 6-K), FY2013–14 annuals US GAAP as recast in the FY2015 10-K; 2015+ US GAAP. Pre-2017 revenue on the legacy net (agency) basis — ASC 606 (2018, full retrospective) recast 2017 to gross inventory sales; 2016 shown with a recast memo. IronPlanet from 31-May-2017; IAA from 20-Mar-2023 (single reportable segment since 2023). Q3/26E–Q4/26E = FY26 outlook less 1H/26 actuals.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</si>
  <si>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</si>
  <si>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</si>
  <si>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</si>
  <si>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</si>
  <si>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</si>
  <si>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1H/13</t>
  </si>
  <si>
    <t xml:space="preserve">Q3/13</t>
  </si>
  <si>
    <t xml:space="preserve">Q4/13</t>
  </si>
  <si>
    <t xml:space="preserve">Q1/14</t>
  </si>
  <si>
    <t xml:space="preserve">Q2/14</t>
  </si>
  <si>
    <t xml:space="preserve">1H/14</t>
  </si>
  <si>
    <t xml:space="preserve">Q3/14</t>
  </si>
  <si>
    <t xml:space="preserve">Q4/14</t>
  </si>
  <si>
    <t xml:space="preserve">Q1/15</t>
  </si>
  <si>
    <t xml:space="preserve">Q2/15</t>
  </si>
  <si>
    <t xml:space="preserve">1H/15</t>
  </si>
  <si>
    <t xml:space="preserve">Q3/15</t>
  </si>
  <si>
    <t xml:space="preserve">Q4/15</t>
  </si>
  <si>
    <t xml:space="preserve">Q1/16</t>
  </si>
  <si>
    <t xml:space="preserve">Q2/16</t>
  </si>
  <si>
    <t xml:space="preserve">1H/16</t>
  </si>
  <si>
    <t xml:space="preserve">Q3/16</t>
  </si>
  <si>
    <t xml:space="preserve">Q4/16</t>
  </si>
  <si>
    <t xml:space="preserve">Q1/17</t>
  </si>
  <si>
    <t xml:space="preserve">Q2/17</t>
  </si>
  <si>
    <t xml:space="preserve">1H/17</t>
  </si>
  <si>
    <t xml:space="preserve">Q3/17</t>
  </si>
  <si>
    <t xml:space="preserve">Q4/17</t>
  </si>
  <si>
    <t xml:space="preserve">Q1/18</t>
  </si>
  <si>
    <t xml:space="preserve">Q2/18</t>
  </si>
  <si>
    <t xml:space="preserve">1H/18</t>
  </si>
  <si>
    <t xml:space="preserve">Q3/18</t>
  </si>
  <si>
    <t xml:space="preserve">Q4/18</t>
  </si>
  <si>
    <t xml:space="preserve">Q1/19</t>
  </si>
  <si>
    <t xml:space="preserve">Q2/19</t>
  </si>
  <si>
    <t xml:space="preserve">1H/19</t>
  </si>
  <si>
    <t xml:space="preserve">Q3/19</t>
  </si>
  <si>
    <t xml:space="preserve">Q4/19</t>
  </si>
  <si>
    <t xml:space="preserve">Q1/20</t>
  </si>
  <si>
    <t xml:space="preserve">Q2/20</t>
  </si>
  <si>
    <t xml:space="preserve">1H/20</t>
  </si>
  <si>
    <t xml:space="preserve">Q3/20</t>
  </si>
  <si>
    <t xml:space="preserve">Q4/20</t>
  </si>
  <si>
    <t xml:space="preserve">Q1/21</t>
  </si>
  <si>
    <t xml:space="preserve">Q2/21</t>
  </si>
  <si>
    <t xml:space="preserve">1H/21</t>
  </si>
  <si>
    <t xml:space="preserve">Q3/21</t>
  </si>
  <si>
    <t xml:space="preserve">Q4/21</t>
  </si>
  <si>
    <t xml:space="preserve">Q1/22</t>
  </si>
  <si>
    <t xml:space="preserve">Q2/22</t>
  </si>
  <si>
    <t xml:space="preserve">1H/22</t>
  </si>
  <si>
    <t xml:space="preserve">Q3/22</t>
  </si>
  <si>
    <t xml:space="preserve">Q4/22</t>
  </si>
  <si>
    <t xml:space="preserve">Q1/23</t>
  </si>
  <si>
    <t xml:space="preserve">Q2/23</t>
  </si>
  <si>
    <t xml:space="preserve">1H/23</t>
  </si>
  <si>
    <t xml:space="preserve">Q3/23</t>
  </si>
  <si>
    <t xml:space="preserve">Q4/23</t>
  </si>
  <si>
    <t xml:space="preserve">Q1/24</t>
  </si>
  <si>
    <t xml:space="preserve">Q2/24</t>
  </si>
  <si>
    <t xml:space="preserve">1H/24</t>
  </si>
  <si>
    <t xml:space="preserve">Q3/24</t>
  </si>
  <si>
    <t xml:space="preserve">Q4/24</t>
  </si>
  <si>
    <t xml:space="preserve">Q1/25</t>
  </si>
  <si>
    <t xml:space="preserve">Q2/25</t>
  </si>
  <si>
    <t xml:space="preserve">1H/25</t>
  </si>
  <si>
    <t xml:space="preserve">Q3/25</t>
  </si>
  <si>
    <t xml:space="preserve">Q4/25</t>
  </si>
  <si>
    <t xml:space="preserve">Q1/26</t>
  </si>
  <si>
    <t xml:space="preserve">Q2/26</t>
  </si>
  <si>
    <t xml:space="preserve">1H/26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</si>
  <si>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</si>
  <si>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</si>
  <si>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</si>
  <si>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</si>
  <si>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</si>
  <si>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</si>
  <si>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</si>
  <si>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</si>
  <si>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</si>
  <si>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</si>
  <si>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</si>
  <si>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</si>
  <si>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</si>
  <si>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</si>
  <si>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</si>
  <si>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REVENUE BUILD — GTV BY SECTOR × TAKE RATE + INVENTORY SALES (single reportable segment)</t>
  </si>
  <si>
    <t xml:space="preserve">REVENUE BUILD — modelling logic (RB Global reports one operating segment; the build replaces HII's segment P&amp;L)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</si>
  <si>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</si>
  <si>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</si>
  <si>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</si>
  <si>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FY26 ranges.</t>
  </si>
  <si>
    <t xml:space="preserve">Automotive (salvage &amp; remarketed passenger vehicles; IAA from 20-Mar-2023)</t>
  </si>
  <si>
    <t xml:space="preserve">AUTOMOTIVE — modelling logic</t>
  </si>
  <si>
    <t xml:space="preserve">  GTV (USDm)</t>
  </si>
  <si>
    <t xml:space="preserve">Q3/26E–Q4/26E: total GTV (FY26 outlook) allocated across sectors by prior-year same-quarter sector GTV × 1H/26 sector y/y momentum. 2027E+: prior year × (1 + scenario sector GTV growth).</t>
  </si>
  <si>
    <t xml:space="preserve">FY26 outlook — Q2-26 release (4-Aug-26)</t>
  </si>
  <si>
    <t xml:space="preserve">High</t>
  </si>
  <si>
    <t xml:space="preserve">Mid</t>
  </si>
  <si>
    <t xml:space="preserve">Low</t>
  </si>
  <si>
    <t xml:space="preserve">  Lots sold (000s)</t>
  </si>
  <si>
    <t xml:space="preserve">  GTV growth %</t>
  </si>
  <si>
    <t xml:space="preserve">  GTV per lot sold ($)</t>
  </si>
  <si>
    <t xml:space="preserve">  Adjusted EBITDA ($m)</t>
  </si>
  <si>
    <t xml:space="preserve">  GTV per lot y/y % (forecast input)</t>
  </si>
  <si>
    <t xml:space="preserve">Price/mix per lot (input). 2026E cell drives Q3/Q4-26E lots (vs prior-year quarter GTV per lot).</t>
  </si>
  <si>
    <t xml:space="preserve">  GTV y/y %</t>
  </si>
  <si>
    <t xml:space="preserve">2027E–2030E: scenario lever (AUTO_gtvGrowth, Bull/Base/Bear table →).</t>
  </si>
  <si>
    <t xml:space="preserve">FY26 outlook — point estimates (all cases)</t>
  </si>
  <si>
    <t xml:space="preserve">  Lots sold y/y %</t>
  </si>
  <si>
    <t xml:space="preserve">  Tax rate (GAAP &amp; adjusted)</t>
  </si>
  <si>
    <t xml:space="preserve">  Capital expenditures ($m)</t>
  </si>
  <si>
    <t xml:space="preserve">Heavy Equipment &amp; Transportation (HE&amp;T — current basis from Q1/25)</t>
  </si>
  <si>
    <t xml:space="preserve">HEAVY EQUIPMENT &amp; TRANSPORTATION — modelling logic</t>
  </si>
  <si>
    <t xml:space="preserve">AUTO_gtvGrowth (Automotive GTV y/y)</t>
  </si>
  <si>
    <t xml:space="preserve">Δ →</t>
  </si>
  <si>
    <t xml:space="preserve">Automotive: US salvage volumes (accident frequency × total-loss rate), insurer share gains, price per vehicle.</t>
  </si>
  <si>
    <t xml:space="preserve">  2027E</t>
  </si>
  <si>
    <t xml:space="preserve">  2028E</t>
  </si>
  <si>
    <t xml:space="preserve">2027E–2030E: scenario lever (HET_gtvGrowth, Bull/Base/Bear table →).</t>
  </si>
  <si>
    <t xml:space="preserve">  2029E</t>
  </si>
  <si>
    <t xml:space="preserve">  2030E</t>
  </si>
  <si>
    <t xml:space="preserve">  Memo: CC&amp;T GTV — legacy basis (2023–Q1/26)</t>
  </si>
  <si>
    <t xml:space="preserve">  Memo: CC&amp;T lots sold (000s) — legacy basis</t>
  </si>
  <si>
    <t xml:space="preserve">HET_gtvGrowth (Heavy Equipment &amp; Transportation GTV y/y)</t>
  </si>
  <si>
    <t xml:space="preserve">HE&amp;T: used-equipment supply (fleet de-fleeting, rental), pricing cycle, J.M. Wood / BigIron annualisation in 2026–27.</t>
  </si>
  <si>
    <t xml:space="preserve">Other (consumer goods, real estate, parts — current basis from Q1/25)</t>
  </si>
  <si>
    <t xml:space="preserve">OTHER — modelling logic</t>
  </si>
  <si>
    <t xml:space="preserve">OTH_gtvGrowth (Other GTV y/y)</t>
  </si>
  <si>
    <t xml:space="preserve">2027E–2030E: scenario lever (OTH_gtvGrowth, Bull/Base/Bear table →).</t>
  </si>
  <si>
    <t xml:space="preserve">  Memo: Other GTV — legacy basis (2023–Q1/26)</t>
  </si>
  <si>
    <t xml:space="preserve">  Memo: Other lots sold (000s) — legacy basis</t>
  </si>
  <si>
    <t xml:space="preserve">Total GTV &amp; lots</t>
  </si>
  <si>
    <t xml:space="preserve">TOTAL GTV — modelling logic</t>
  </si>
  <si>
    <t xml:space="preserve">ADJ_EBITDA_margin (% of total revenue)</t>
  </si>
  <si>
    <t xml:space="preserve">FY25 31.6% of revenue; FY26 outlook implies ~30% (inventory-sales mix and acquisitions dilute).</t>
  </si>
  <si>
    <t xml:space="preserve">  Gross transaction value (GTV; 'gross auction proceeds' to Q2/17)</t>
  </si>
  <si>
    <t xml:space="preserve">Q3/26E–Q4/26E: FY26 outlook GTV growth (scenario: 11% / 10% / 9%) on FY25 GTV, less 1H/26 actual, split by Q3/Q4-25 seasonality. 2027E+: sum of sectors.</t>
  </si>
  <si>
    <t xml:space="preserve">  Non-automotive GTV (HE&amp;T + Other; total − Automotive)</t>
  </si>
  <si>
    <t xml:space="preserve">Comparable across the 2026 sector re-presentation (Automotive composition unchanged).</t>
  </si>
  <si>
    <t xml:space="preserve">  Non-automotive GTV y/y %</t>
  </si>
  <si>
    <t xml:space="preserve">  Automotive % of GTV</t>
  </si>
  <si>
    <t xml:space="preserve">  Total lots sold (000s)</t>
  </si>
  <si>
    <t xml:space="preserve">Buybacks ($m)</t>
  </si>
  <si>
    <t xml:space="preserve">NCIB approved Q1-26: up to 10.0m shares / $500m; $150m repurchased in Q2-26 ($350m remaining at 30-Jun-26).</t>
  </si>
  <si>
    <t xml:space="preserve">  Check: sector GTV vs total (should be 0)</t>
  </si>
  <si>
    <t xml:space="preserve">  2H/26E</t>
  </si>
  <si>
    <t xml:space="preserve">Revenue streams</t>
  </si>
  <si>
    <t xml:space="preserve">REVENUE STREAMS — modelling logic</t>
  </si>
  <si>
    <t xml:space="preserve">  Transactional seller revenue (2023+)</t>
  </si>
  <si>
    <t xml:space="preserve">Service revenue split held at the prior-period mix (1H/26 mix for Q3/Q4-26E).</t>
  </si>
  <si>
    <t xml:space="preserve">  Transactional buyer revenue (2023+)</t>
  </si>
  <si>
    <t xml:space="preserve">  Marketplace services revenue (2023+)</t>
  </si>
  <si>
    <t xml:space="preserve">  Commissions (legacy presentation, ≤2022)</t>
  </si>
  <si>
    <t xml:space="preserve">  Fees (legacy presentation, ≤2022)</t>
  </si>
  <si>
    <t xml:space="preserve">  Service revenue (build)</t>
  </si>
  <si>
    <t xml:space="preserve">Forecast service revenue = GTV × service revenue take rate.</t>
  </si>
  <si>
    <t xml:space="preserve">  Service revenue take rate (service revenue / GTV)</t>
  </si>
  <si>
    <t xml:space="preserve">Q3/Q4-26E: 1H/26 take rate + Δ input (row below). 2027E+: input — acquired businesses (J.J. Kane, BigIron) and automotive volume incentives carry lower take rates.</t>
  </si>
  <si>
    <t xml:space="preserve">  Q3/Q4-26E take-rate change vs 1H/26 (bps, input)</t>
  </si>
  <si>
    <t xml:space="preserve">  Inventory sales revenue (gross basis from 2018, ASC 606)</t>
  </si>
  <si>
    <t xml:space="preserve">Forecast inventory sales = GTV × inventory sales % of GTV.</t>
  </si>
  <si>
    <t xml:space="preserve">  Inventory sales % of GTV</t>
  </si>
  <si>
    <t xml:space="preserve">Q3/Q4-26E: prior-year quarter ratio scaled by the 1H/26 vs 1H/25 change (HE&amp;T shift to inventory contracts). 2027E+: input.</t>
  </si>
  <si>
    <t xml:space="preserve">  Inventory return (inventory sales − cost of inventory sold)</t>
  </si>
  <si>
    <t xml:space="preserve">  Inventory rate (inventory return / inventory sales)</t>
  </si>
  <si>
    <t xml:space="preserve">Q3/Q4-26E at the 1H/26 inventory rate; 2027E+ input (5-yr range ~5–9%).</t>
  </si>
  <si>
    <t xml:space="preserve">  Total revenue (build)</t>
  </si>
  <si>
    <t xml:space="preserve">Group revenue = service revenue + inventory sales revenue (ties to the GAAP income statement).</t>
  </si>
  <si>
    <t xml:space="preserve">  Total revenue % of GTV</t>
  </si>
  <si>
    <t xml:space="preserve">  Check: service revenue build vs income statement (should be 0)</t>
  </si>
  <si>
    <t xml:space="preserve">Cost drivers (% of revenue)</t>
  </si>
  <si>
    <t xml:space="preserve">% OF REVENUE drivers — hardcoded inputs that drive forecast cost lines</t>
  </si>
  <si>
    <t xml:space="preserve">  Costs of services % of service revenue</t>
  </si>
  <si>
    <t xml:space="preserve">Costs of services (ex D&amp;A): towing, yard &amp; auction-site labour, inspection, buyer-fee related costs. Q3/Q4-26E: prior-year quarter ratio × 1H/26 vs 1H/25 drift; 2027E+ input.</t>
  </si>
  <si>
    <t xml:space="preserve">  Adjusted D&amp;A % of revenue (ex acquired-intangible amortization)</t>
  </si>
  <si>
    <t xml:space="preserve">Depreciation of yards / IT and amortization of software (ex acquired intangibles). 1H/26 ratio for Q3/Q4-26E; 2027E+ input.</t>
  </si>
  <si>
    <t xml:space="preserve">  Stock-based compensation % of revenue</t>
  </si>
  <si>
    <t xml:space="preserve">Revenue by geography (location of auction / service)</t>
  </si>
  <si>
    <t xml:space="preserve">GEOGRAPHY — historical disclosure only (not forecast)</t>
  </si>
  <si>
    <t xml:space="preserve">  United States</t>
  </si>
  <si>
    <t xml:space="preserve">  Canada</t>
  </si>
  <si>
    <t xml:space="preserve">  Europe</t>
  </si>
  <si>
    <t xml:space="preserve">  Australia</t>
  </si>
  <si>
    <t xml:space="preserve">  Other</t>
  </si>
  <si>
    <t xml:space="preserve">  International (legacy: non-US/Canada)</t>
  </si>
  <si>
    <t xml:space="preserve">  United States % of revenue</t>
  </si>
  <si>
    <t xml:space="preserve">Group Total — adjusted EBITDA &amp; adjusted EBIT (RB Global's primary profit KPIs)</t>
  </si>
  <si>
    <t xml:space="preserve">GROUP TOTAL (CONSOLIDATED) — modelling logic</t>
  </si>
  <si>
    <t xml:space="preserve">  Total revenue</t>
  </si>
  <si>
    <t xml:space="preserve">  Adjusted EBITDA (company definition of the period)</t>
  </si>
  <si>
    <t xml:space="preserve">Historical = company-published adjusted EBITDA (model bridge where not published). Q3/26E–Q4/26E: FY26 outlook ($1,545m / $1,520m / $1,495m by scenario) less 1H/26, split by quarterly revenue. 2027E+: revenue × scenario adjusted EBITDA margin.</t>
  </si>
  <si>
    <t xml:space="preserve">  Adjusted EBITDA margin % (of total revenue)</t>
  </si>
  <si>
    <t xml:space="preserve">2027E–2030E: scenario lever (ADJ_EBITDA_margin). Inventory-sales mix dilutes the revenue margin; see % of GTV and % of service revenue + inventory return below.</t>
  </si>
  <si>
    <t xml:space="preserve">  Adjusted EBITDA % of GTV</t>
  </si>
  <si>
    <t xml:space="preserve">  Adjusted EBITDA % of (service revenue + inventory return)</t>
  </si>
  <si>
    <t xml:space="preserve">  Adjusted EBITDA y/y %</t>
  </si>
  <si>
    <t xml:space="preserve">  Incremental adjusted EBITDA margin (ΔAdj. EBITDA / ΔRevenue)</t>
  </si>
  <si>
    <t xml:space="preserve">  Adjusted D&amp;A (total D&amp;A − amortization of acquired intangibles)</t>
  </si>
  <si>
    <t xml:space="preserve">Amortization of acquired intangibles is disclosed as an adjusting item from 2023 (IAA); before 2023 adjusted D&amp;A = total D&amp;A.</t>
  </si>
  <si>
    <t xml:space="preserve">  Adjusted EBIT (adjusted EBITDA − adjusted D&amp;A)</t>
  </si>
  <si>
    <t xml:space="preserve">Model measure (RB Global does not publish adjusted EBIT): adjusted operating profit after the depreciation of yards / IT but before acquired-intangible amortization — the 'segment OI' analogue.</t>
  </si>
  <si>
    <t xml:space="preserve">  Adjusted EBIT margin %</t>
  </si>
  <si>
    <t xml:space="preserve">  EBITDA (GAAP-derived: net income + D&amp;A + interest − interest income + tax)</t>
  </si>
  <si>
    <t xml:space="preserve">  Check: adjusted EBITDA model bridge vs KPI (should be 0)</t>
  </si>
  <si>
    <t xml:space="preserve">CONSOLIDATED INCOME STATEMENT (US GAAP)</t>
  </si>
  <si>
    <t xml:space="preserve">CONSOLIDATED IS — forecast logic</t>
  </si>
  <si>
    <t xml:space="preserve">Service revenue (pre-2018: total revenues, commissions + fees)</t>
  </si>
  <si>
    <t xml:space="preserve">Forecast linked to the revenue build.</t>
  </si>
  <si>
    <t xml:space="preserve">Inventory sales revenue</t>
  </si>
  <si>
    <t xml:space="preserve">Total revenue</t>
  </si>
  <si>
    <t xml:space="preserve">  Memo: total revenue on ASC 606 basis — company recast of 2016 (FY2018 10-K)</t>
  </si>
  <si>
    <t xml:space="preserve">Costs of services (ex D&amp;A; legacy 'direct expenses')</t>
  </si>
  <si>
    <t xml:space="preserve">Costs of services = service revenue × cost-of-services % (driver block).</t>
  </si>
  <si>
    <t xml:space="preserve">Cost of inventory sold</t>
  </si>
  <si>
    <t xml:space="preserve">Cost of inventory sold = inventory sales × (1 − inventory rate).</t>
  </si>
  <si>
    <t xml:space="preserve">Selling, general and administrative expenses</t>
  </si>
  <si>
    <t xml:space="preserve">Forecast SG&amp;A is the balancing line so that adjusted EBITDA equals the KPI driver (outlook / margin lever): SG&amp;A = revenue − costs of services − cost of inventory − adj. EBITDA + SBC, restructuring &amp; other adjusting items recorded in SG&amp;A.</t>
  </si>
  <si>
    <t xml:space="preserve">Acquisition-related and integration costs</t>
  </si>
  <si>
    <t xml:space="preserve">Depreciation and amortization</t>
  </si>
  <si>
    <t xml:space="preserve">D&amp;A = adjusted D&amp;A (% of revenue) + amortization of acquired intangibles (10-K schedule).</t>
  </si>
  <si>
    <t xml:space="preserve">Impairment losses</t>
  </si>
  <si>
    <t xml:space="preserve">Total operating expenses</t>
  </si>
  <si>
    <t xml:space="preserve">Gain (loss) on disposition of property, plant and equipment</t>
  </si>
  <si>
    <t xml:space="preserve">Forecast nil (large historical gains were surplus-land sales).</t>
  </si>
  <si>
    <t xml:space="preserve">Other operating items (e.g. loss on deconsolidation / divestiture)</t>
  </si>
  <si>
    <t xml:space="preserve">Operating income</t>
  </si>
  <si>
    <t xml:space="preserve">Interest expense</t>
  </si>
  <si>
    <t xml:space="preserve">Q3/Q4-26E at 1H/26 run-rate (no interest guidance). 2027E+ = rate on average total debt.</t>
  </si>
  <si>
    <t xml:space="preserve">Interest income</t>
  </si>
  <si>
    <t xml:space="preserve">Q3/Q4-26E at 1H/26 run-rate. 2027E+ = yield × prior year-end cash (avoids a circular reference).</t>
  </si>
  <si>
    <t xml:space="preserve">Other income (loss), net (incl. equity income)</t>
  </si>
  <si>
    <t xml:space="preserve">Foreign exchange gain (loss)</t>
  </si>
  <si>
    <t xml:space="preserve">Other non-operating items (e.g. change in fair value of derivatives)</t>
  </si>
  <si>
    <t xml:space="preserve">Income before income taxes</t>
  </si>
  <si>
    <t xml:space="preserve">Income tax expense</t>
  </si>
  <si>
    <t xml:space="preserve">FY26 tax-rate outlook 23–25% (24% mid) applied to FY26E pre-tax income less 1H tax, split across Q3/Q4. 2027E+ input ETR.</t>
  </si>
  <si>
    <t xml:space="preserve">  Effective tax rate</t>
  </si>
  <si>
    <t xml:space="preserve">Net income</t>
  </si>
  <si>
    <t xml:space="preserve">  Net income (loss) attributable to non-controlling interests</t>
  </si>
  <si>
    <t xml:space="preserve">Net income attributable to controlling interests</t>
  </si>
  <si>
    <t xml:space="preserve">  Cumulative dividends on Series A Senior Preferred Shares (2023+)</t>
  </si>
  <si>
    <t xml:space="preserve">Series A Senior Preferred ($485m, 5.5% cumulative; issued 2023 to Starboard / Ancora) — ~$6.7m per quarter.</t>
  </si>
  <si>
    <t xml:space="preserve">  Allocated earnings to Series A Senior Preferred (two-class)</t>
  </si>
  <si>
    <t xml:space="preserve">Two-class participation: (NI to controlling − preferred dividends) × allocation % (schedule).</t>
  </si>
  <si>
    <t xml:space="preserve">  Adjustment of redeemable non-controlling interest</t>
  </si>
  <si>
    <t xml:space="preserve">Net income available to common stockholders</t>
  </si>
  <si>
    <t xml:space="preserve">Pre-2023 (no preferred shares) = net income attributable to stockholders.</t>
  </si>
  <si>
    <t xml:space="preserve">  Check: net income vs as reported (should be 0)</t>
  </si>
  <si>
    <t xml:space="preserve">  Memo: net income as reported</t>
  </si>
  <si>
    <t xml:space="preserve">  Memo: loss on debt extinguishment / refinancing (within interest or other)</t>
  </si>
  <si>
    <t xml:space="preserve">(Earnings per share)</t>
  </si>
  <si>
    <t xml:space="preserve">  Weighted-average basic shares (m)</t>
  </si>
  <si>
    <t xml:space="preserve">Q3/Q4-26E: Q2/26 less the 2H/26 buyback phased in. 2027E+ = average of beginning and ending shares (buyback schedule).</t>
  </si>
  <si>
    <t xml:space="preserve">  Weighted-average diluted shares (m)</t>
  </si>
  <si>
    <t xml:space="preserve">Diluted = basic + dilutive stock options / PSUs / RSUs (input). Series A preferred conversion is anti-dilutive under the two-class method in most periods.</t>
  </si>
  <si>
    <t xml:space="preserve">EPS – basic, available to common ($)</t>
  </si>
  <si>
    <t xml:space="preserve">EPS – diluted, available to common ($)</t>
  </si>
  <si>
    <t xml:space="preserve">EPS computed as NI available to common / weighted diluted shares (may differ by ±$0.01 vs reported).</t>
  </si>
  <si>
    <t xml:space="preserve">  Memo: EPS – diluted as reported ($)</t>
  </si>
  <si>
    <t xml:space="preserve">Dividends declared per share ($)</t>
  </si>
  <si>
    <t xml:space="preserve">Q3/Q4-26E at the $0.33 quarterly dividend declared 21-Jul-2026. 2027E+ grows with the DPS-growth input.</t>
  </si>
  <si>
    <t xml:space="preserve">RECONCILIATION: GAAP NET INCOME → EBITDA → ADJUSTED EBITDA → ADJUSTED EBIT</t>
  </si>
  <si>
    <t xml:space="preserve">ADJUSTED EBITDA RECONCILIATION — per RB Global earnings-release 'Adjusted EBITDA' table; adjusting items follow the company definition in force in each period</t>
  </si>
  <si>
    <t xml:space="preserve">Net income (GAAP)</t>
  </si>
  <si>
    <t xml:space="preserve">  (+) Depreciation and amortization</t>
  </si>
  <si>
    <t xml:space="preserve">  (+) Interest expense</t>
  </si>
  <si>
    <t xml:space="preserve">  (−) Interest income</t>
  </si>
  <si>
    <t xml:space="preserve">  (+) Income tax expense</t>
  </si>
  <si>
    <t xml:space="preserve">  = EBITDA</t>
  </si>
  <si>
    <t xml:space="preserve">  Check: EBITDA vs company-published EBITDA (should be 0)</t>
  </si>
  <si>
    <t xml:space="preserve">  Memo: EBITDA as published</t>
  </si>
  <si>
    <t xml:space="preserve">Adjusting items (pre-tax; company definition of the period — see definition row):</t>
  </si>
  <si>
    <t xml:space="preserve">  (+) Stock-based compensation expense (added back from Q1/23)</t>
  </si>
  <si>
    <t xml:space="preserve">SBC added back from Q1/23 (RB Global definition adopted with IAA). Forecast input (~3% of revenue less in out-years).</t>
  </si>
  <si>
    <t xml:space="preserve">  (+) Acquisition-related and integration costs</t>
  </si>
  <si>
    <t xml:space="preserve">Acquisition &amp; integration costs (IAA, J.J. Kane, BigIron). Forecast input.</t>
  </si>
  <si>
    <t xml:space="preserve">  (+) Restructuring / management reorganization / severance</t>
  </si>
  <si>
    <t xml:space="preserve">Restructuring (IAA integration, 2025–26 programmes). Forecast input.</t>
  </si>
  <si>
    <t xml:space="preserve">  (+) (Gain) loss on disposition of PP&amp;E / excess property and related costs</t>
  </si>
  <si>
    <t xml:space="preserve">  (+) Impairment losses (property, goodwill, customer relationships)</t>
  </si>
  <si>
    <t xml:space="preserve">  (+) Executive transition / CEO separation costs</t>
  </si>
  <si>
    <t xml:space="preserve">  (+) (Gain) loss on divestiture / deconsolidation and related costs</t>
  </si>
  <si>
    <t xml:space="preserve">  (+) Debt refinancing / extinguishment costs</t>
  </si>
  <si>
    <t xml:space="preserve">  (+) Other legal, advisory and non-income-tax expense</t>
  </si>
  <si>
    <t xml:space="preserve">Other legal, advisory &amp; non-income tax. Forecast input.</t>
  </si>
  <si>
    <t xml:space="preserve">  (+) Change in fair value of derivatives / hedges</t>
  </si>
  <si>
    <t xml:space="preserve">  (+) IAA prepaid consigned vehicle charges (purchase accounting, 2023–Q2/25)</t>
  </si>
  <si>
    <t xml:space="preserve">  (+) Remeasurements in connection with business combinations</t>
  </si>
  <si>
    <t xml:space="preserve">  Total adjusting items</t>
  </si>
  <si>
    <t xml:space="preserve">  = Adjusted EBITDA (model bridge)</t>
  </si>
  <si>
    <t xml:space="preserve">  Adjusted EBITDA margin %</t>
  </si>
  <si>
    <t xml:space="preserve">  Company-published adjusted EBITDA</t>
  </si>
  <si>
    <t xml:space="preserve">  Check: model bridge vs company-published (should be 0)</t>
  </si>
  <si>
    <t xml:space="preserve">  Definition basis (company adjusted-EBITDA definition in force)</t>
  </si>
  <si>
    <t xml:space="preserve">No EBITDA / adj. EBITDA published (2006–10, Canadian GAAP)</t>
  </si>
  <si>
    <t xml:space="preserve">IFRS: EBITDA margin only</t>
  </si>
  <si>
    <t xml:space="preserve">IFRS EBITDA = earnings from operations + D&amp;A</t>
  </si>
  <si>
    <t xml:space="preserve">FY: US GAAP; EBITDA = operating income + D&amp;A</t>
  </si>
  <si>
    <t xml:space="preserve">Adj. EBITDA introduced (ex property gains, impairment, reorg.)</t>
  </si>
  <si>
    <t xml:space="preserve">FY: US GAAP basis (FY2015 10-K recast)</t>
  </si>
  <si>
    <t xml:space="preserve">US GAAP; adj. EBITDA = adj. op. income + D&amp;A (TTM only)</t>
  </si>
  <si>
    <t xml:space="preserve">EBITDA redefined from net income</t>
  </si>
  <si>
    <t xml:space="preserve">IronPlanet items adjusted</t>
  </si>
  <si>
    <t xml:space="preserve">Adj. EBITDA in earnings release (old definition)</t>
  </si>
  <si>
    <t xml:space="preserve">2021 definition (restated): + SBC, all acq. costs, PP&amp;E gains</t>
  </si>
  <si>
    <t xml:space="preserve">SOX-remediation &amp; advisory/legal added (Q4-21 release)</t>
  </si>
  <si>
    <t xml:space="preserve">'(Gain) loss on PP&amp;E disposition and related costs'</t>
  </si>
  <si>
    <t xml:space="preserve">RB Global definition (IAA): + IAA prepaid consigned vehicle charges, remeasurements</t>
  </si>
  <si>
    <t xml:space="preserve">Executive transition costs added</t>
  </si>
  <si>
    <t xml:space="preserve">Divestiture/deconsolidation (SYNETIQ) &amp; debt refinancing added</t>
  </si>
  <si>
    <t xml:space="preserve">Restructuring shown separately</t>
  </si>
  <si>
    <t xml:space="preserve">'Share-based payments' → 'stock-based compensation' (label only)</t>
  </si>
  <si>
    <t xml:space="preserve">Definition changes are flagged in the column where they take effect (cell comment gives the detail).</t>
  </si>
  <si>
    <t xml:space="preserve">To adjusted EBIT:</t>
  </si>
  <si>
    <t xml:space="preserve">  (−) Depreciation and amortization</t>
  </si>
  <si>
    <t xml:space="preserve">  (+) Amortization of acquired intangibles (excluded from adjusted measures from 2023)</t>
  </si>
  <si>
    <t xml:space="preserve">  = Adjusted EBIT (model)</t>
  </si>
  <si>
    <t xml:space="preserve">  Check: GAAP operating income + D&amp;A + other income / FX = EBITDA (should be 0)</t>
  </si>
  <si>
    <t xml:space="preserve">RECONCILIATION: GAAP NET INCOME AVAILABLE TO COMMON → ADJUSTED NET INCOME / ADJUSTED EPS</t>
  </si>
  <si>
    <t xml:space="preserve">ADJUSTED NET INCOME &amp; EPS RECONCILIATION — company definition in force in each period (definition changes flagged in the definition row and cell comments)</t>
  </si>
  <si>
    <t xml:space="preserve">Net income available to common stockholders (GAAP; pre-2023: attributable to stockholders)</t>
  </si>
  <si>
    <t xml:space="preserve">  (+) Amortization of acquired intangible assets (adj. NI only, from Q1/23)</t>
  </si>
  <si>
    <t xml:space="preserve">Acquired-intangible amortization added back from Q1/23 (RB Global definition).</t>
  </si>
  <si>
    <t xml:space="preserve">  (+) Accretion of deferred acquisition consideration (adj. NI only, from Q3/25)</t>
  </si>
  <si>
    <t xml:space="preserve">  (+) Net foreign-exchange impact on financing transactions (2007–09)</t>
  </si>
  <si>
    <t xml:space="preserve">  (−) Related tax effects of the above</t>
  </si>
  <si>
    <t xml:space="preserve">  (+/−) Discrete / non-recurring tax items (tax reform, reorganisation, valuation allowance)</t>
  </si>
  <si>
    <t xml:space="preserve">  (−) Related allocation of the above to Series A Senior Preferred Shares</t>
  </si>
  <si>
    <t xml:space="preserve">  (+/−) Adjustment of redeemable non-controlling interest</t>
  </si>
  <si>
    <t xml:space="preserve">  = Adjusted net income available to common stockholders (model bridge)</t>
  </si>
  <si>
    <t xml:space="preserve">  Tax rate applied to adjustments (forecast input; historical = implied)</t>
  </si>
  <si>
    <t xml:space="preserve">Adjusted EPS – diluted, available to common ($) (model bridge)</t>
  </si>
  <si>
    <t xml:space="preserve">  Company-published adjusted net income (available to common)</t>
  </si>
  <si>
    <t xml:space="preserve">  Company-published diluted adjusted EPS ($)</t>
  </si>
  <si>
    <t xml:space="preserve">  Check: model bridge vs company-published adjusted net income (should be 0)</t>
  </si>
  <si>
    <t xml:space="preserve">  Definition basis (company adjusted-EPS definition in force)</t>
  </si>
  <si>
    <t xml:space="preserve">Not published (statement only)</t>
  </si>
  <si>
    <t xml:space="preserve">Adj. net earnings: ex excess-property gains/losses &amp; FX on financing</t>
  </si>
  <si>
    <t xml:space="preserve">IFRS basis (2011–14)</t>
  </si>
  <si>
    <t xml:space="preserve">Ex 'excess property sales and other non-recurring items'</t>
  </si>
  <si>
    <t xml:space="preserve">Base → NE attributable to stockholders; CEO separation adjusted</t>
  </si>
  <si>
    <t xml:space="preserve">Impairment added (Q4/14: management reorganization)</t>
  </si>
  <si>
    <t xml:space="preserve">FY: US GAAP (FY2015 10-K)</t>
  </si>
  <si>
    <t xml:space="preserve">US GAAP adj. NI &amp; diluted adj. EPS introduced</t>
  </si>
  <si>
    <t xml:space="preserve">Debt extinguishment costs (first below-OI item)</t>
  </si>
  <si>
    <t xml:space="preserve">Change in uncertain tax provision adjusted</t>
  </si>
  <si>
    <t xml:space="preserve">IronPlanet-specific items; EPS net of dilutive-securities effect</t>
  </si>
  <si>
    <t xml:space="preserve">US tax reform deferred-tax remeasurement adjusted</t>
  </si>
  <si>
    <t xml:space="preserve">Gain on sale of equity-accounted investment adjusted</t>
  </si>
  <si>
    <t xml:space="preserve">2021 definition (restated): + SBC, acq. costs, acquired-intangible amortization</t>
  </si>
  <si>
    <t xml:space="preserve">SOX remediation / advisory &amp; legal; FV of derivatives (Q4-21)</t>
  </si>
  <si>
    <t xml:space="preserve">Loss on redemption of 2021 Notes adjusted</t>
  </si>
  <si>
    <t xml:space="preserve">Two-class EPS: base = NI available to common; allocation to preferred</t>
  </si>
  <si>
    <t xml:space="preserve">SYNETIQ deconsolidation &amp; debt refinancing costs added</t>
  </si>
  <si>
    <t xml:space="preserve">Restructuring separate; RNCI adjustment; J.M. Wood accretion</t>
  </si>
  <si>
    <t xml:space="preserve">'Stock-based compensation' relabel (no change)</t>
  </si>
  <si>
    <t xml:space="preserve">GROWTH &amp; MARGINS</t>
  </si>
  <si>
    <t xml:space="preserve">GROWTH &amp; MARGINS (consolidated) — forecast outputs</t>
  </si>
  <si>
    <t xml:space="preserve">  Revenue y/y %</t>
  </si>
  <si>
    <t xml:space="preserve">  Revenue — organic y/y %</t>
  </si>
  <si>
    <t xml:space="preserve">Organic = total growth less disclosed acquisition revenue contribution (first 12 months).</t>
  </si>
  <si>
    <t xml:space="preserve">  Revenue — acquisition y/y %</t>
  </si>
  <si>
    <t xml:space="preserve">  Memo: revenue contributed by acquisitions (USDm, disclosed)</t>
  </si>
  <si>
    <t xml:space="preserve">2026E: BigIron (closed 15-May-2026) and J.J. Kane annualisation — estimate (input).</t>
  </si>
  <si>
    <t xml:space="preserve">  Service revenue y/y %</t>
  </si>
  <si>
    <t xml:space="preserve">  Operating income y/y %</t>
  </si>
  <si>
    <t xml:space="preserve">  Net income y/y %</t>
  </si>
  <si>
    <t xml:space="preserve">  Adjusted EPS y/y %</t>
  </si>
  <si>
    <t xml:space="preserve">  Service revenue take rate %</t>
  </si>
  <si>
    <t xml:space="preserve">  (Service revenue + inventory return) % of revenue</t>
  </si>
  <si>
    <t xml:space="preserve">  Operating margin (GAAP) %</t>
  </si>
  <si>
    <t xml:space="preserve">  Net margin %</t>
  </si>
  <si>
    <t xml:space="preserve">  Incremental adjusted EBITDA margin (ΔAdj. EBITDA / ΔRev)</t>
  </si>
  <si>
    <t xml:space="preserve">  SG&amp;A % of revenue</t>
  </si>
  <si>
    <t xml:space="preserve">CONSOLIDATED CASH FLOW STATEMENT</t>
  </si>
  <si>
    <t xml:space="preserve">CONSOLIDATED CASH FLOW STATEMENT — forecast logic (annual; 1H/26 = reported six months)</t>
  </si>
  <si>
    <t xml:space="preserve">Adjustments:</t>
  </si>
  <si>
    <t xml:space="preserve">  Depreciation and amortization</t>
  </si>
  <si>
    <t xml:space="preserve">  Stock-based compensation expense</t>
  </si>
  <si>
    <t xml:space="preserve">  Deferred income taxes</t>
  </si>
  <si>
    <t xml:space="preserve">Deferred tax benefit from acquired-intangible amortization (book &gt; tax) — input.</t>
  </si>
  <si>
    <t xml:space="preserve">  Amortization of debt issuance costs</t>
  </si>
  <si>
    <t xml:space="preserve">Forecast nil: debt is carried at principal in the forecast (issue-cost amortization folded into the interest rate).</t>
  </si>
  <si>
    <t xml:space="preserve">  (Gain) loss on disposition of PP&amp;E</t>
  </si>
  <si>
    <t xml:space="preserve">  Impairment / loss on deconsolidation &amp; divestiture</t>
  </si>
  <si>
    <t xml:space="preserve">  Other non-cash items, net</t>
  </si>
  <si>
    <t xml:space="preserve">  Net changes in operating assets and liabilities</t>
  </si>
  <si>
    <t xml:space="preserve">Linked to BS: −Δ(receivables, inventory, prepaid consigned vehicle charges, advances, other current assets, tax receivable) + Δ(auction proceeds payable, trade &amp; other liabilities, taxes payable, other liabilities). Auction proceeds payable swings with quarter-end auction timing.</t>
  </si>
  <si>
    <t xml:space="preserve">Net cash provided by operating activities</t>
  </si>
  <si>
    <t xml:space="preserve">Property, plant and equipment additions</t>
  </si>
  <si>
    <t xml:space="preserve">2026E: outlook capex $350–400m (mid $375m; company definition = PP&amp;E net of disposal proceeds + intangible additions) less intangible additions. 2027E+: revenue × capex % less intangible additions.</t>
  </si>
  <si>
    <t xml:space="preserve">Intangible asset additions (capitalised software)</t>
  </si>
  <si>
    <t xml:space="preserve">Capitalised software ~2.4% of revenue (input).</t>
  </si>
  <si>
    <t xml:space="preserve">Proceeds on disposition of PP&amp;E</t>
  </si>
  <si>
    <t xml:space="preserve">Acquisitions, net of cash acquired</t>
  </si>
  <si>
    <t xml:space="preserve">2026E = 1H/26 actual (BigIron, $316.6m consideration). No further M&amp;A assumed.</t>
  </si>
  <si>
    <t xml:space="preserve">Other investing activities, net</t>
  </si>
  <si>
    <t xml:space="preserve">Net cash used in investing activities</t>
  </si>
  <si>
    <t xml:space="preserve">Proceeds from debt (long-term + short-term, net)</t>
  </si>
  <si>
    <t xml:space="preserve">Repayment of debt</t>
  </si>
  <si>
    <t xml:space="preserve">Net debt issuance / (repayment) = change in total debt per the debt schedule.</t>
  </si>
  <si>
    <t xml:space="preserve">Dividends paid to common stockholders</t>
  </si>
  <si>
    <t xml:space="preserve">Dividends paid = DPS × weighted-average basic shares.</t>
  </si>
  <si>
    <t xml:space="preserve">Dividends paid to Series A preferred / NCI</t>
  </si>
  <si>
    <t xml:space="preserve">Repurchases of common stock</t>
  </si>
  <si>
    <t xml:space="preserve">Share repurchases: 2026E = 1H/26 actual + 2H scenario amount; 2027E+ scenario lever (Buybacks table →).</t>
  </si>
  <si>
    <t xml:space="preserve">Issuance of common stock (option exercises, ESPP)</t>
  </si>
  <si>
    <t xml:space="preserve">Withholding taxes paid on share settlements</t>
  </si>
  <si>
    <t xml:space="preserve">Other financing activities, net (incl. debt issue costs)</t>
  </si>
  <si>
    <t xml:space="preserve">Forecast = change in redeemable NCI (2026E: VeriTread NCI bought out in 1H/26; finance-lease repayments assumed offset by new leases).</t>
  </si>
  <si>
    <t xml:space="preserve">Net cash provided by (used in) financing activities</t>
  </si>
  <si>
    <t xml:space="preserve">Effect of exchange-rate changes on cash</t>
  </si>
  <si>
    <t xml:space="preserve">Change in cash, cash equivalents and restricted cash</t>
  </si>
  <si>
    <t xml:space="preserve">Cash, cash equivalents and restricted cash — beginning</t>
  </si>
  <si>
    <t xml:space="preserve">Cash, cash equivalents and restricted cash — end</t>
  </si>
  <si>
    <t xml:space="preserve">Pre-2018 the cash-flow statement reconciled unrestricted cash only (ASU 2016-18 adopted 2018).</t>
  </si>
  <si>
    <t xml:space="preserve">  Check: CFO + CFI + CFF + FX = change in cash (should be 0)</t>
  </si>
  <si>
    <t xml:space="preserve">(Memo)</t>
  </si>
  <si>
    <t xml:space="preserve">Free cash flow (CFO − PP&amp;E additions − intangible additions + disposal proceeds)</t>
  </si>
  <si>
    <t xml:space="preserve">Consistent with RB Global's capex definition (PP&amp;E + intangible additions, net of disposal proceeds). Ritchie Bros. published 'operating free cash flow' on a similar basis.</t>
  </si>
  <si>
    <t xml:space="preserve">  FCF y/y %</t>
  </si>
  <si>
    <t xml:space="preserve">  FCF % of revenue</t>
  </si>
  <si>
    <t xml:space="preserve">  FCF / adjusted net income conversion %</t>
  </si>
  <si>
    <t xml:space="preserve">  FCF per diluted share ($)</t>
  </si>
  <si>
    <t xml:space="preserve">Capex / revenue ratios</t>
  </si>
  <si>
    <t xml:space="preserve">  Capex % of revenue (company definition: PP&amp;E + intangibles − disposal proceeds)</t>
  </si>
  <si>
    <t xml:space="preserve">FY26 outlook capex $350–400m. 2027E+ input (yard build-out for IAA/RB co-location, technology).</t>
  </si>
  <si>
    <t xml:space="preserve">  Capex / D&amp;A (x)</t>
  </si>
  <si>
    <t xml:space="preserve">SHARE BUYBACK SCHEDULE</t>
  </si>
  <si>
    <t xml:space="preserve">  Avg buyback price ($)</t>
  </si>
  <si>
    <t xml:space="preserve">2026E = current share price ($80, valuation input); appreciates with the share-price input.</t>
  </si>
  <si>
    <t xml:space="preserve">  Buyback cash deployed (USDm)</t>
  </si>
  <si>
    <t xml:space="preserve">2026E row = 2H/26 buyback only (1H/26 repurchases already reflected in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</si>
  <si>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</si>
  <si>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</si>
  <si>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</si>
  <si>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</si>
  <si>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</si>
  <si>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</si>
  <si>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</si>
  <si>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BS FORECAST — first-principles roll-forward (2026E from FY2025 year-end; 1H/26 shown as reported)</t>
  </si>
  <si>
    <t xml:space="preserve">ASSETS</t>
  </si>
  <si>
    <t xml:space="preserve">Current assets:</t>
  </si>
  <si>
    <t xml:space="preserve">  Cash and cash equivalents</t>
  </si>
  <si>
    <t xml:space="preserve">Cash = CF ending cash (incl. restricted) − restricted cash.</t>
  </si>
  <si>
    <t xml:space="preserve">  Restricted cash</t>
  </si>
  <si>
    <t xml:space="preserve">  Trade and other receivables, net</t>
  </si>
  <si>
    <t xml:space="preserve">Receivables = GTV × days / 365 (buyer balances).</t>
  </si>
  <si>
    <t xml:space="preserve">  Prepaid consigned vehicle charges (IAA, 2023+)</t>
  </si>
  <si>
    <t xml:space="preserve">Held at the prior-year ratio to Automotive GTV.</t>
  </si>
  <si>
    <t xml:space="preserve">  Inventory</t>
  </si>
  <si>
    <t xml:space="preserve">  Advances against auction contracts (legacy)</t>
  </si>
  <si>
    <t xml:space="preserve">  Income taxes receivable</t>
  </si>
  <si>
    <t xml:space="preserve">  Other current assets (incl. assets held for sale)</t>
  </si>
  <si>
    <t xml:space="preserve">Total current assets</t>
  </si>
  <si>
    <t xml:space="preserve">  Property, plant and equipment, net</t>
  </si>
  <si>
    <t xml:space="preserve">PP&amp;E roll-forward: prior + PP&amp;E additions − net book value of disposals (proceeds − gain) − depreciation (adjusted D&amp;A less software amortization).</t>
  </si>
  <si>
    <t xml:space="preserve">  Operating lease right-of-use assets (2019+)</t>
  </si>
  <si>
    <t xml:space="preserve">  Other non-current assets (incl. equity-accounted investments)</t>
  </si>
  <si>
    <t xml:space="preserve">  Intangible assets, net</t>
  </si>
  <si>
    <t xml:space="preserve">Intangibles roll-forward: prior + software additions + acquired intangibles − acquired-intangible amortization − software amortization.</t>
  </si>
  <si>
    <t xml:space="preserve">  Goodwill</t>
  </si>
  <si>
    <t xml:space="preserve">Goodwill + acquisition consideration not allocated to intangibles (BigIron 2026).</t>
  </si>
  <si>
    <t xml:space="preserve">  Deferred tax assets</t>
  </si>
  <si>
    <t xml:space="preserve">TOTAL ASSETS</t>
  </si>
  <si>
    <t xml:space="preserve">LIABILITIES, TEMPORARY EQUITY &amp; STOCKHOLDERS' EQUITY</t>
  </si>
  <si>
    <t xml:space="preserve">Current liabilities:</t>
  </si>
  <si>
    <t xml:space="preserve">  Auction proceeds payable</t>
  </si>
  <si>
    <t xml:space="preserve">Auction proceeds payable = GTV × days / 365.</t>
  </si>
  <si>
    <t xml:space="preserve">  Trade and other liabilities</t>
  </si>
  <si>
    <t xml:space="preserve">  Current operating lease liabilities</t>
  </si>
  <si>
    <t xml:space="preserve">  Income taxes payable</t>
  </si>
  <si>
    <t xml:space="preserve">  Short-term debt</t>
  </si>
  <si>
    <t xml:space="preserve">  Current portion of long-term debt</t>
  </si>
  <si>
    <t xml:space="preserve">  Other current liabilities (incl. held for sale)</t>
  </si>
  <si>
    <t xml:space="preserve">Total current liabilities</t>
  </si>
  <si>
    <t xml:space="preserve">  Long-term debt</t>
  </si>
  <si>
    <t xml:space="preserve">  Long-term operating lease liabilities</t>
  </si>
  <si>
    <t xml:space="preserve">  Other non-current liabilities</t>
  </si>
  <si>
    <t xml:space="preserve">  Deferred tax liabilities</t>
  </si>
  <si>
    <t xml:space="preserve">Total liabilities</t>
  </si>
  <si>
    <t xml:space="preserve">  Temporary equity — Series A Senior Preferred Shares (2023+)</t>
  </si>
  <si>
    <t xml:space="preserve">  Temporary equity — redeemable non-controlling interest</t>
  </si>
  <si>
    <t xml:space="preserve">Stockholders' equity:</t>
  </si>
  <si>
    <t xml:space="preserve">  Share capital &amp; additional paid-in capital</t>
  </si>
  <si>
    <t xml:space="preserve">Share capital + APIC + SBC + option / ESPP proceeds − withholding taxes.</t>
  </si>
  <si>
    <t xml:space="preserve">  Retained earnings</t>
  </si>
  <si>
    <t xml:space="preserve">Retained earnings + NI to controlling − preferred dividends − common dividends − repurchases (RB Global cancels repurchased shares; excess over stated capital charged to retained earnings).</t>
  </si>
  <si>
    <t xml:space="preserve">  Accumulated other comprehensive income (loss)</t>
  </si>
  <si>
    <t xml:space="preserve">Stockholders' equity attributable to RB Global</t>
  </si>
  <si>
    <t xml:space="preserve">  Non-controlling interests</t>
  </si>
  <si>
    <t xml:space="preserve">Total stockholders' equity</t>
  </si>
  <si>
    <t xml:space="preserve">TOTAL LIABILITIES, TEMPORARY EQUITY AND EQUITY</t>
  </si>
  <si>
    <t xml:space="preserve">BS tie-out check (TA − TL, temp. equity &amp; equity)</t>
  </si>
  <si>
    <t xml:space="preserve">  Check: model total assets vs reported (should be 0)</t>
  </si>
  <si>
    <t xml:space="preserve">  Memo: total assets as reported</t>
  </si>
  <si>
    <t xml:space="preserve">  Memo: common shares outstanding at period end (m)</t>
  </si>
  <si>
    <t xml:space="preserve">WORKING CAPITAL &amp; CASH CONVERSION</t>
  </si>
  <si>
    <t xml:space="preserve">WORKING CAPITAL — forecast drivers (blue = input)</t>
  </si>
  <si>
    <t xml:space="preserve">  Receivable days — receivables / GTV × 365</t>
  </si>
  <si>
    <t xml:space="preserve">  Auction-proceeds-payable days — payable / GTV × 365</t>
  </si>
  <si>
    <t xml:space="preserve">Year-end auction timing drives large swings in receivables and auction proceeds payable.</t>
  </si>
  <si>
    <t xml:space="preserve">  Inventory days — inventory / cost of inventory sold × 365</t>
  </si>
  <si>
    <t xml:space="preserve">  Trade &amp; other liabilities % of revenue</t>
  </si>
  <si>
    <t xml:space="preserve">  Operating NWC (receivables + inventory + prepaid consigned − auction proceeds payable − trade &amp; other liabilities)</t>
  </si>
  <si>
    <t xml:space="preserve">  NWC % of revenue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</si>
  <si>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</si>
  <si>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</si>
  <si>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</si>
  <si>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Asset roll-forwards &amp; non-cash items</t>
  </si>
  <si>
    <t xml:space="preserve">  Amortization of acquired intangibles (USDm)</t>
  </si>
  <si>
    <t xml:space="preserve">Acquired-intangible amortization (adjusting item). Estimate = FY2025 10-K expected amortization of all intangibles (2026 $379.0m, 2027 $304.1m, 2028 $229.8m, 2029 $193.4m, 2030 $175.9m) less amortization of existing software (~$90m 2026 → ~$30m 2030), plus ~$8m p.a. for BigIron / Blackmon (2026 PPA). 1H/26 actual $146.8m.</t>
  </si>
  <si>
    <t xml:space="preserve">  Amortization of capitalised software (within adjusted D&amp;A, USDm)</t>
  </si>
  <si>
    <t xml:space="preserve">Software amortization (estimate) — splits adjusted D&amp;A between PP&amp;E depreciation and software.</t>
  </si>
  <si>
    <t xml:space="preserve">  Acquired intangibles % of acquisition consideration</t>
  </si>
  <si>
    <t xml:space="preserve">BigIron preliminary PPA: intangibles $79.1m of $316.6m consideration (25%).</t>
  </si>
  <si>
    <t xml:space="preserve">  Dilutive securities (m shares)</t>
  </si>
  <si>
    <t xml:space="preserve">  Dividend per share growth %</t>
  </si>
  <si>
    <t xml:space="preserve">DPS growth ~6% p.a. (2026 increase $0.31 → $0.33).</t>
  </si>
  <si>
    <t xml:space="preserve">  Share-price appreciation % (buyback pricing)</t>
  </si>
  <si>
    <t xml:space="preserve">  Earnings allocated to Series A preferred % (two-class)</t>
  </si>
  <si>
    <t xml:space="preserve">1H/26: allocated earnings $9.4m / (NI to controlling $279.0m − pref. dividends $13.4m) ≈ 3.5%.</t>
  </si>
  <si>
    <t xml:space="preserve">Debt schedule</t>
  </si>
  <si>
    <t xml:space="preserve">  Total debt (short-term + current + long-term)</t>
  </si>
  <si>
    <t xml:space="preserve">Total debt $2,904m at 30-Jun-26 (revolver / TLA due Apr-2030, $550m 6.75% secured notes due Mar-2028, $800m 7.75% unsecured notes due Mar-2031). Base: ~$100m p.a. net repayment; 2028 notes refinanced.</t>
  </si>
  <si>
    <t xml:space="preserve">  Net issuance / (repayment)</t>
  </si>
  <si>
    <t xml:space="preserve">  Interest rate on average total debt %</t>
  </si>
  <si>
    <t xml:space="preserve">FY25 principal-weighted coupon ~6.4% (6.15% at 30-Jun-26); floating TLA / revolver at SOFR + margin.</t>
  </si>
  <si>
    <t xml:space="preserve">  Interest income yield on prior year-end cash %</t>
  </si>
  <si>
    <t xml:space="preserve">Historical reference (driver context)</t>
  </si>
  <si>
    <t xml:space="preserve">  Total D&amp;A % of revenue</t>
  </si>
  <si>
    <t xml:space="preserve">  PP&amp;E y/y growth</t>
  </si>
  <si>
    <t xml:space="preserve">RATIO ANALYSIS</t>
  </si>
  <si>
    <t xml:space="preserve">DuPont decomposition of ROIC</t>
  </si>
  <si>
    <t xml:space="preserve">Adjusted EBIT (model)</t>
  </si>
  <si>
    <t xml:space="preserve">Effective tax rate (actual)</t>
  </si>
  <si>
    <t xml:space="preserve">NOPAT  =  Adj. EBIT × (1 − tax rate)</t>
  </si>
  <si>
    <t xml:space="preserve">Invested capital (IC)  =  Equity + preferred (temp. equity) + Net debt</t>
  </si>
  <si>
    <t xml:space="preserve">  Total equity incl. temporary equity</t>
  </si>
  <si>
    <t xml:space="preserve">  Net debt  =  Total debt − Cash (excl. restricted cash &amp; lease liabilities)</t>
  </si>
  <si>
    <t xml:space="preserve">ROIC  =  NOPAT / IC</t>
  </si>
  <si>
    <t xml:space="preserve">  EBIT margin  =  Adj. EBIT / Revenue</t>
  </si>
  <si>
    <t xml:space="preserve">  Capital turnover  =  Revenue / IC</t>
  </si>
  <si>
    <t xml:space="preserve">  Tax burden  =  (1 − effective tax rate)</t>
  </si>
  <si>
    <t xml:space="preserve">  Check: Margin × Turnover × Tax burden  =  ROIC</t>
  </si>
  <si>
    <t xml:space="preserve">RONTA decomposition</t>
  </si>
  <si>
    <t xml:space="preserve">  Total assets</t>
  </si>
  <si>
    <t xml:space="preserve">  − Goodwill &amp; intangible assets</t>
  </si>
  <si>
    <t xml:space="preserve">  − Non-interest-bearing current liabilities (total CL excl. debt)</t>
  </si>
  <si>
    <t xml:space="preserve">  = Net tangible assets</t>
  </si>
  <si>
    <t xml:space="preserve">RONTA  =  NOPAT / NTA</t>
  </si>
  <si>
    <t xml:space="preserve">Return on Equity (ROE)</t>
  </si>
  <si>
    <t xml:space="preserve">Net income available to common</t>
  </si>
  <si>
    <t xml:space="preserve">ROE  =  NI to common / Equity</t>
  </si>
  <si>
    <t xml:space="preserve">Leverage</t>
  </si>
  <si>
    <t xml:space="preserve">Adjusted net debt  =  Short- + long-term debt − cash (company definition)</t>
  </si>
  <si>
    <t xml:space="preserve">Adjusted EBITDA</t>
  </si>
  <si>
    <t xml:space="preserve">Adjusted net debt / adjusted EBITDA (x)</t>
  </si>
  <si>
    <t xml:space="preserve">VALUATION</t>
  </si>
  <si>
    <t xml:space="preserve">VALUATION — current share price input $80 (per user); applied to 2026E–2030E</t>
  </si>
  <si>
    <t xml:space="preserve">Share price ($) — current</t>
  </si>
  <si>
    <t xml:space="preserve">Diluted shares (m)</t>
  </si>
  <si>
    <t xml:space="preserve">Market capitalisation (USDm)</t>
  </si>
  <si>
    <t xml:space="preserve">Adjusted net debt (USDm)</t>
  </si>
  <si>
    <t xml:space="preserve">Series A preferred &amp; NCI (temporary equity + NCI, USDm)</t>
  </si>
  <si>
    <t xml:space="preserve">Enterprise value (USDm)</t>
  </si>
  <si>
    <t xml:space="preserve">Multiples</t>
  </si>
  <si>
    <t xml:space="preserve">  EV / Revenue</t>
  </si>
  <si>
    <t xml:space="preserve">  EV / GTV</t>
  </si>
  <si>
    <t xml:space="preserve">  EV / Adjusted EBITDA</t>
  </si>
  <si>
    <t xml:space="preserve">  EV / Adjusted EBIT</t>
  </si>
  <si>
    <t xml:space="preserve">  EV / IC</t>
  </si>
  <si>
    <t xml:space="preserve">  P / E (GAAP diluted)</t>
  </si>
  <si>
    <t xml:space="preserve">  P / E (adjusted, company definition)</t>
  </si>
  <si>
    <t xml:space="preserve">  FCF yield</t>
  </si>
  <si>
    <t xml:space="preserve">  Dividend yield</t>
  </si>
  <si>
    <t xml:space="preserve">RB Global, Inc. (RBA) — Bull / Base / Bear Case P&amp;L Summary</t>
  </si>
  <si>
    <t xml:space="preserve">Share price ($):</t>
  </si>
  <si>
    <t xml:space="preserve">Adjusted figures (company definitions) · USD millions · Live panel linked to Model — toggle scenario via Model!CT2. Bull and Bear panels are value snapshots generated from the Model with the switch set to each case.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</si>
  <si>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</si>
  <si>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</si>
  <si>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</si>
  <si>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</si>
  <si>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</si>
  <si>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</si>
  <si>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</si>
  <si>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</si>
  <si>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</si>
  <si>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</si>
  <si>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Revenue</t>
  </si>
  <si>
    <t xml:space="preserve">   Revenue y/y %</t>
  </si>
  <si>
    <t xml:space="preserve">GTV</t>
  </si>
  <si>
    <t xml:space="preserve">   Adjusted EBIT margin %</t>
  </si>
  <si>
    <t xml:space="preserve">Operating Income (GAAP)</t>
  </si>
  <si>
    <t xml:space="preserve">   Operating income y/y %</t>
  </si>
  <si>
    <t xml:space="preserve">   Operating margin (GAAP) %</t>
  </si>
  <si>
    <t xml:space="preserve">Net Income (Adjusted, available to common)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</si>
  <si>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</si>
  <si>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</si>
  <si>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</si>
  <si>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</si>
  <si>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</si>
  <si>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</si>
  <si>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</si>
  <si>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</si>
  <si>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</si>
  <si>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</si>
  <si>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</si>
  <si>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   Adjusted EBITDA margin %</t>
  </si>
  <si>
    <t xml:space="preserve">Net Debt (adjusted)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</si>
  <si>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</si>
  <si>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</si>
  <si>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</si>
  <si>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</si>
  <si>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Debt, preferred &amp; NCI</t>
  </si>
  <si>
    <t xml:space="preserve">Implied Enterprise Value (USDm)</t>
  </si>
  <si>
    <t xml:space="preserve">Implied EV / Adjusted EBITDA (x)</t>
  </si>
  <si>
    <t xml:space="preserve">DCF VALUATION — RB GLOBAL, INC. (RBA)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</si>
  <si>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</si>
  <si>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</si>
  <si>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</si>
  <si>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</si>
  <si>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Damodaran-style US ERP estimate</t>
  </si>
  <si>
    <t xml:space="preserve">Levered beta</t>
  </si>
  <si>
    <t xml:space="preserve">Marketplace / auction peers (Copart ~1.0–1.1); cyclical used-equipment exposure, automotive salvage defensive</t>
  </si>
  <si>
    <t xml:space="preserve">Cost of equity</t>
  </si>
  <si>
    <t xml:space="preserve">Pre-tax cost of debt</t>
  </si>
  <si>
    <t xml:space="preserve">BB-rated; 6.75% secured notes 2028, 7.75% unsecured 2031, TLA at SOFR + margin (~6.2% blended at 30-Jun-26)</t>
  </si>
  <si>
    <t xml:space="preserve">Tax rate</t>
  </si>
  <si>
    <t xml:space="preserve">FY26 outlook 23–25% (GAAP and adjusted)</t>
  </si>
  <si>
    <t xml:space="preserve">After-tax cost of debt</t>
  </si>
  <si>
    <t xml:space="preserve">Target D/V</t>
  </si>
  <si>
    <t xml:space="preserve">Adjusted net debt / adjusted EBITDA target ~1.5–2.0x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</si>
  <si>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</si>
  <si>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</si>
  <si>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</si>
  <si>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</si>
  <si>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</si>
  <si>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</si>
  <si>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</si>
  <si>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</si>
  <si>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</si>
  <si>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</si>
  <si>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Adjusted EBIT (Model)</t>
  </si>
  <si>
    <t xml:space="preserve">(−) Stock-based compensation (economic cost)</t>
  </si>
  <si>
    <t xml:space="preserve">× (1 − tax rate)</t>
  </si>
  <si>
    <t xml:space="preserve">NOPAT  =  (Adj. EBIT − SBC) × (1 − t)</t>
  </si>
  <si>
    <t xml:space="preserve">plus adjusted D&amp;A (ex acquired-intangible amortization)</t>
  </si>
  <si>
    <t xml:space="preserve">− Capex (PP&amp;E + intangibles, net of disposal proceeds)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</si>
  <si>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</si>
  <si>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</si>
  <si>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</si>
  <si>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</si>
  <si>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</si>
  <si>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</si>
  <si>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</si>
  <si>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</si>
  <si>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SBC is deducted as an economic cost (RB Global adds it back in adjusted EBITDA / EPS). Acquired-intangible amortization is non-cash and excluded; operating-lease costs sit inside adjusted EBITDA (lease liabilities therefore not deducted as debt).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</si>
  <si>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</si>
  <si>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</si>
  <si>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</si>
  <si>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</si>
  <si>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adjusted net debt (Model 2026E YE)</t>
  </si>
  <si>
    <t xml:space="preserve">Less: Series A preferred, redeemable NCI &amp; NCI (Model 2026E)</t>
  </si>
  <si>
    <t xml:space="preserve">Equity Value</t>
  </si>
  <si>
    <t xml:space="preserve">Diluted shares (m, Model 2026E)</t>
  </si>
  <si>
    <t xml:space="preserve">Implied share price ($)</t>
  </si>
  <si>
    <t xml:space="preserve">Current share price ($)</t>
  </si>
  <si>
    <t xml:space="preserve">Implied upside / (downside)</t>
  </si>
  <si>
    <t xml:space="preserve">4. SENSITIVITY: IMPLIED PRICE ($) — WACC × Terminal Growth</t>
  </si>
  <si>
    <t xml:space="preserve">WACC (across):</t>
  </si>
  <si>
    <t xml:space="preserve">g (down) / WACC</t>
  </si>
  <si>
    <t xml:space="preserve">5. REVERSE DCF</t>
  </si>
  <si>
    <t xml:space="preserve">To solve for the market-implied path: Data ▸ What-If Analysis ▸ Goal Seek — set C45 to the current price (C46) by changing C30 (terminal growth) or the Model scenario levers (sector GTV growth, adjusted EBITDA margin).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</si>
  <si>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</si>
  <si>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</si>
  <si>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</si>
  <si>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</si>
  <si>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</si>
  <si>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(RB Global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</si>
  <si>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</si>
  <si>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</si>
  <si>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</si>
  <si>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2025–30E; GTV growth mid-single digit + margin expansion from IAA integration / marketplace scale</t>
  </si>
  <si>
    <t xml:space="preserve">ROIIC  (Return on incremental invested capital)</t>
  </si>
  <si>
    <t xml:space="preserve">Asset-light incremental growth (online marketplace, services) vs. goodwill-heavy base (IAA): reported ROIC ~5–8%, incremental much higher</t>
  </si>
  <si>
    <t xml:space="preserve">N  (Years of value creation / CAP)</t>
  </si>
  <si>
    <t xml:space="preserve">Two-sided marketplace network effects (largest buyer base for used heavy equipment; #2 US salvage auction duopoly with Copart)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</si>
  <si>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</si>
  <si>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</si>
  <si>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</si>
  <si>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</si>
  <si>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</si>
  <si>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</si>
  <si>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</si>
  <si>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</si>
  <si>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</si>
  <si>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Adjusted EBIT (Model)</t>
  </si>
  <si>
    <t xml:space="preserve">(−) 2028E stock-based compensation</t>
  </si>
  <si>
    <t xml:space="preserve">Tax rate (from WACC build)</t>
  </si>
  <si>
    <t xml:space="preserve">2028E NOPAT  =  (EBIT − SBC) × (1 − t)</t>
  </si>
  <si>
    <t xml:space="preserve">× Mauboussin EV/NOPAT multiple</t>
  </si>
  <si>
    <t xml:space="preserve">Implied Enterprise Value (2028E basis)</t>
  </si>
  <si>
    <t xml:space="preserve">Less: YE2027 adjusted net debt + preferred /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</si>
  <si>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</si>
  <si>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</si>
  <si>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</si>
  <si>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</si>
  <si>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</si>
  <si>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adjusted net debt, preferred &amp; NCI</t>
  </si>
  <si>
    <t xml:space="preserve">Implied Enterprise Value (today)</t>
  </si>
  <si>
    <t xml:space="preserve">RBA's market-implied EV/NOPAT (on 2028E NOPAT)</t>
  </si>
  <si>
    <t xml:space="preserve">Multiple gap (Mauboussin − Market)</t>
  </si>
  <si>
    <t xml:space="preserve">Implied re-rating headroom</t>
  </si>
  <si>
    <t xml:space="preserve">RB Global — Historical Operating Performance (2006–2025)</t>
  </si>
  <si>
    <t xml:space="preserve">All historicals · USDm · Linked to Model. M&amp;A % reflects disclosed acquired revenue only (e.g. IronPlanet 2017, IAA 2023). Pre-2018 revenue on the legacy net (agency) basis; 2017+ ASC 606 gross basis.</t>
  </si>
  <si>
    <t xml:space="preserve">Organic %</t>
  </si>
  <si>
    <t xml:space="preserve">M&amp;A %</t>
  </si>
  <si>
    <t xml:space="preserve">Adj. EBITDA Margin %</t>
  </si>
  <si>
    <t xml:space="preserve">GAAP Op. Margin %</t>
  </si>
  <si>
    <t xml:space="preserve">Adj. EBITDA margin %</t>
  </si>
  <si>
    <t xml:space="preserve">Service take rate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</si>
</sst>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0%;\(0%\);&quot;n/m&quot;"/>
    <numFmt numFmtId="167" formatCode="#,##0.0;\(#,##0.0\);\-"/>
    <numFmt numFmtId="168" formatCode="0.0%;\(0.0%\);\-"/>
    <numFmt numFmtId="169" formatCode="\+0.0%;\-0.0%"/>
    <numFmt numFmtId="170" formatCode="\+#,##0;\-#,##0"/>
    <numFmt numFmtId="171" formatCode="0.00;\(0.00\);\-"/>
    <numFmt numFmtId="172" formatCode="0.00\x;\(0.00&quot;x)&quot;;\-"/>
    <numFmt numFmtId="173" formatCode="0\d;\(0&quot;)d&quot;;\-"/>
    <numFmt numFmtId="174" formatCode="#,##0.00"/>
    <numFmt numFmtId="175" formatCode="dd\-mmm\-yy"/>
    <numFmt numFmtId="176" formatCode="0%;\(0%\);\-"/>
    <numFmt numFmtId="177" formatCode="0.0\x"/>
    <numFmt numFmtId="178" formatCode="0.00%"/>
    <numFmt numFmtId="179" formatCode="0.00"/>
    <numFmt numFmtId="180" formatCode="0.0%"/>
    <numFmt numFmtId="181" formatCode="0.000"/>
    <numFmt numFmtId="182" formatCode="#,##0"/>
    <numFmt numFmtId="183" formatCode="0"/>
    <numFmt numFmtId="184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4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Revenue Growth Decomposition: Organic vs M&amp;A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Organic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0.209608426375859</c:v>
                </c:pt>
                <c:pt idx="2">
                  <c:v>0.137579911896533</c:v>
                </c:pt>
                <c:pt idx="3">
                  <c:v>0.063111228855357</c:v>
                </c:pt>
                <c:pt idx="4">
                  <c:v>-0.0526018594367608</c:v>
                </c:pt>
                <c:pt idx="5">
                  <c:v>0.108375376711466</c:v>
                </c:pt>
                <c:pt idx="6">
                  <c:v>0.0809772304398647</c:v>
                </c:pt>
                <c:pt idx="7">
                  <c:v>0.0672397849094086</c:v>
                </c:pt>
                <c:pt idx="8">
                  <c:v>0.0292980575648851</c:v>
                </c:pt>
                <c:pt idx="9">
                  <c:v>0.0722889562811657</c:v>
                </c:pt>
                <c:pt idx="10">
                  <c:v>0.0979307002665375</c:v>
                </c:pt>
                <c:pt idx="11">
                  <c:v>0.714688512433902</c:v>
                </c:pt>
                <c:pt idx="12">
                  <c:v>0.204733157535439</c:v>
                </c:pt>
                <c:pt idx="13">
                  <c:v>0.127018544887037</c:v>
                </c:pt>
                <c:pt idx="14">
                  <c:v>0.0444541008508002</c:v>
                </c:pt>
                <c:pt idx="15">
                  <c:v>0.00755921176829354</c:v>
                </c:pt>
                <c:pt idx="16">
                  <c:v>0.223601612171315</c:v>
                </c:pt>
                <c:pt idx="17">
                  <c:v>0.108946319315633</c:v>
                </c:pt>
                <c:pt idx="18">
                  <c:v>0.164311338188934</c:v>
                </c:pt>
                <c:pt idx="19">
                  <c:v>0.0715419448205032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M&amp;A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0.0246933216190902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0.0212741239853042</c:v>
                </c:pt>
                <c:pt idx="16">
                  <c:v>0</c:v>
                </c:pt>
                <c:pt idx="17">
                  <c:v>1.01331866042838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100"/>
        <c:axId val="8959355"/>
        <c:axId val="91590039"/>
      </c:barChart>
      <c:catAx>
        <c:axId val="89593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90039"/>
        <c:crosses val="autoZero"/>
        <c:auto val="1"/>
        <c:lblAlgn val="ctr"/>
        <c:lblOffset val="100"/>
        <c:noMultiLvlLbl val="0"/>
      </c:catAx>
      <c:valAx>
        <c:axId val="91590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9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Adjusted EBITDA &amp; GAAP Operating Income (USDm) with Margins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101.591</c:v>
                </c:pt>
                <c:pt idx="1">
                  <c:v>125.125</c:v>
                </c:pt>
                <c:pt idx="2">
                  <c:v>159.913</c:v>
                </c:pt>
                <c:pt idx="3">
                  <c:v>161.428</c:v>
                </c:pt>
                <c:pt idx="4">
                  <c:v>131.352</c:v>
                </c:pt>
                <c:pt idx="5">
                  <c:v>153.638</c:v>
                </c:pt>
                <c:pt idx="6">
                  <c:v>157.593</c:v>
                </c:pt>
                <c:pt idx="7">
                  <c:v>175</c:v>
                </c:pt>
                <c:pt idx="8">
                  <c:v>182.8</c:v>
                </c:pt>
                <c:pt idx="9">
                  <c:v>212.386</c:v>
                </c:pt>
                <c:pt idx="10">
                  <c:v>210.086</c:v>
                </c:pt>
                <c:pt idx="11">
                  <c:v>191.524</c:v>
                </c:pt>
                <c:pt idx="12">
                  <c:v>257.331</c:v>
                </c:pt>
                <c:pt idx="13">
                  <c:v>314.814</c:v>
                </c:pt>
                <c:pt idx="14">
                  <c:v>374.295</c:v>
                </c:pt>
                <c:pt idx="15">
                  <c:v>385.324</c:v>
                </c:pt>
                <c:pt idx="16">
                  <c:v>465.215</c:v>
                </c:pt>
                <c:pt idx="17">
                  <c:v>1032.8</c:v>
                </c:pt>
                <c:pt idx="18">
                  <c:v>1302.7</c:v>
                </c:pt>
                <c:pt idx="19">
                  <c:v>1399.7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85.946</c:v>
                </c:pt>
                <c:pt idx="1">
                  <c:v>101.435</c:v>
                </c:pt>
                <c:pt idx="2">
                  <c:v>122.118</c:v>
                </c:pt>
                <c:pt idx="3">
                  <c:v>127.895</c:v>
                </c:pt>
                <c:pt idx="4">
                  <c:v>91.765</c:v>
                </c:pt>
                <c:pt idx="5">
                  <c:v>107.573</c:v>
                </c:pt>
                <c:pt idx="6">
                  <c:v>117.965</c:v>
                </c:pt>
                <c:pt idx="7">
                  <c:v>136.931</c:v>
                </c:pt>
                <c:pt idx="8">
                  <c:v>125.885</c:v>
                </c:pt>
                <c:pt idx="9">
                  <c:v>172.518</c:v>
                </c:pt>
                <c:pt idx="10">
                  <c:v>137.153</c:v>
                </c:pt>
                <c:pt idx="11">
                  <c:v>110.013</c:v>
                </c:pt>
                <c:pt idx="12">
                  <c:v>184.977</c:v>
                </c:pt>
                <c:pt idx="13">
                  <c:v>220.265</c:v>
                </c:pt>
                <c:pt idx="14">
                  <c:v>264.772</c:v>
                </c:pt>
                <c:pt idx="15">
                  <c:v>240.939</c:v>
                </c:pt>
                <c:pt idx="16">
                  <c:v>453.591</c:v>
                </c:pt>
                <c:pt idx="17">
                  <c:v>471.3</c:v>
                </c:pt>
                <c:pt idx="18">
                  <c:v>761.2</c:v>
                </c:pt>
                <c:pt idx="19">
                  <c:v>713.4</c:v>
                </c:pt>
              </c:numCache>
            </c:numRef>
          </c:val>
        </c:ser>
        <c:gapWidth val="150"/>
        <c:overlap val="0"/>
        <c:axId val="73969767"/>
        <c:axId val="96586627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0.393981935724064</c:v>
                </c:pt>
                <c:pt idx="1">
                  <c:v>0.401162529736523</c:v>
                </c:pt>
                <c:pt idx="2">
                  <c:v>0.450690213010614</c:v>
                </c:pt>
                <c:pt idx="3">
                  <c:v>0.427951464830029</c:v>
                </c:pt>
                <c:pt idx="4">
                  <c:v>0.367552865525549</c:v>
                </c:pt>
                <c:pt idx="5">
                  <c:v>0.38787777803024</c:v>
                </c:pt>
                <c:pt idx="6">
                  <c:v>0.359838339555434</c:v>
                </c:pt>
                <c:pt idx="7">
                  <c:v>0.374409235713078</c:v>
                </c:pt>
                <c:pt idx="8">
                  <c:v>0.379964955092216</c:v>
                </c:pt>
                <c:pt idx="9">
                  <c:v>0.411700508844197</c:v>
                </c:pt>
                <c:pt idx="10">
                  <c:v>0.370917822367782</c:v>
                </c:pt>
                <c:pt idx="11">
                  <c:v>0.19720528711654</c:v>
                </c:pt>
                <c:pt idx="12">
                  <c:v>0.219936138171289</c:v>
                </c:pt>
                <c:pt idx="13">
                  <c:v>0.238741249513704</c:v>
                </c:pt>
                <c:pt idx="14">
                  <c:v>0.271767857920799</c:v>
                </c:pt>
                <c:pt idx="15">
                  <c:v>0.271934993729582</c:v>
                </c:pt>
                <c:pt idx="16">
                  <c:v>0.268319790888034</c:v>
                </c:pt>
                <c:pt idx="17">
                  <c:v>0.280682682900315</c:v>
                </c:pt>
                <c:pt idx="18">
                  <c:v>0.304070771672658</c:v>
                </c:pt>
                <c:pt idx="19">
                  <c:v>0.304899035005555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0.333308771916217</c:v>
                </c:pt>
                <c:pt idx="1">
                  <c:v>0.325210159471123</c:v>
                </c:pt>
                <c:pt idx="2">
                  <c:v>0.344170814332982</c:v>
                </c:pt>
                <c:pt idx="3">
                  <c:v>0.33905426936118</c:v>
                </c:pt>
                <c:pt idx="4">
                  <c:v>0.256779407279311</c:v>
                </c:pt>
                <c:pt idx="5">
                  <c:v>0.271581094625334</c:v>
                </c:pt>
                <c:pt idx="6">
                  <c:v>0.2693541573906</c:v>
                </c:pt>
                <c:pt idx="7">
                  <c:v>0.292961320316729</c:v>
                </c:pt>
                <c:pt idx="8">
                  <c:v>0.261662409036016</c:v>
                </c:pt>
                <c:pt idx="9">
                  <c:v>0.334418221468379</c:v>
                </c:pt>
                <c:pt idx="10">
                  <c:v>0.242150795822703</c:v>
                </c:pt>
                <c:pt idx="11">
                  <c:v>0.113276379208621</c:v>
                </c:pt>
                <c:pt idx="12">
                  <c:v>0.158096486744739</c:v>
                </c:pt>
                <c:pt idx="13">
                  <c:v>0.167039398896288</c:v>
                </c:pt>
                <c:pt idx="14">
                  <c:v>0.192245472895459</c:v>
                </c:pt>
                <c:pt idx="15">
                  <c:v>0.170038060059098</c:v>
                </c:pt>
                <c:pt idx="16">
                  <c:v>0.26161547299355</c:v>
                </c:pt>
                <c:pt idx="17">
                  <c:v>0.128084574410262</c:v>
                </c:pt>
                <c:pt idx="18">
                  <c:v>0.17767611222632</c:v>
                </c:pt>
                <c:pt idx="19">
                  <c:v>0.155401137081491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340350"/>
        <c:axId val="70934320"/>
      </c:lineChart>
      <c:catAx>
        <c:axId val="739697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86627"/>
        <c:crosses val="autoZero"/>
        <c:auto val="1"/>
        <c:lblAlgn val="ctr"/>
        <c:lblOffset val="100"/>
        <c:noMultiLvlLbl val="0"/>
      </c:catAx>
      <c:valAx>
        <c:axId val="96586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69767"/>
        <c:crosses val="autoZero"/>
        <c:crossBetween val="between"/>
      </c:valAx>
      <c:catAx>
        <c:axId val="92340350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34320"/>
        <c:crosses val="autoZero"/>
        <c:auto val="1"/>
        <c:lblAlgn val="ctr"/>
        <c:lblOffset val="100"/>
        <c:noMultiLvlLbl val="0"/>
      </c:catAx>
      <c:valAx>
        <c:axId val="709343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4035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Service Take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0.224248263215143</c:v>
                </c:pt>
                <c:pt idx="1">
                  <c:v>0.217595408508214</c:v>
                </c:pt>
                <c:pt idx="2">
                  <c:v>0.231342924137767</c:v>
                </c:pt>
                <c:pt idx="3">
                  <c:v>0.165327256294363</c:v>
                </c:pt>
                <c:pt idx="4">
                  <c:v>0.104812341798784</c:v>
                </c:pt>
                <c:pt idx="5">
                  <c:v>0.120468437321263</c:v>
                </c:pt>
                <c:pt idx="6">
                  <c:v>0.11506653407147</c:v>
                </c:pt>
                <c:pt idx="7">
                  <c:v>0.143838763733471</c:v>
                </c:pt>
                <c:pt idx="8">
                  <c:v>0.14413992788593</c:v>
                </c:pt>
                <c:pt idx="9">
                  <c:v>0.211618497026839</c:v>
                </c:pt>
                <c:pt idx="10">
                  <c:v>0.109492767679892</c:v>
                </c:pt>
                <c:pt idx="11">
                  <c:v>0.1034524039609</c:v>
                </c:pt>
                <c:pt idx="12">
                  <c:v>0.114236364003815</c:v>
                </c:pt>
                <c:pt idx="13">
                  <c:v>0.172977378359985</c:v>
                </c:pt>
                <c:pt idx="14">
                  <c:v>0.165385273926787</c:v>
                </c:pt>
                <c:pt idx="15">
                  <c:v>0.0967494001044572</c:v>
                </c:pt>
                <c:pt idx="16">
                  <c:v>0.224820185010554</c:v>
                </c:pt>
                <c:pt idx="17">
                  <c:v>0.0824505366871361</c:v>
                </c:pt>
                <c:pt idx="18">
                  <c:v>0.108514559944094</c:v>
                </c:pt>
                <c:pt idx="19">
                  <c:v>0.119508787206056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0.141135073108977</c:v>
                </c:pt>
                <c:pt idx="1">
                  <c:v>0.158971512765572</c:v>
                </c:pt>
                <c:pt idx="2">
                  <c:v>0.195829982146442</c:v>
                </c:pt>
                <c:pt idx="3">
                  <c:v>0.141939982642444</c:v>
                </c:pt>
                <c:pt idx="4">
                  <c:v>0.0984954126722408</c:v>
                </c:pt>
                <c:pt idx="5">
                  <c:v>0.106162005129893</c:v>
                </c:pt>
                <c:pt idx="6">
                  <c:v>0.101769241245673</c:v>
                </c:pt>
                <c:pt idx="7">
                  <c:v>0.117251233751653</c:v>
                </c:pt>
                <c:pt idx="8">
                  <c:v>0.132701496974982</c:v>
                </c:pt>
                <c:pt idx="9">
                  <c:v>0.178960626168592</c:v>
                </c:pt>
                <c:pt idx="10">
                  <c:v>0.100990726351657</c:v>
                </c:pt>
                <c:pt idx="11">
                  <c:v>0.187418008421602</c:v>
                </c:pt>
                <c:pt idx="12">
                  <c:v>0.208682542120402</c:v>
                </c:pt>
                <c:pt idx="13">
                  <c:v>0.245002456096107</c:v>
                </c:pt>
                <c:pt idx="14">
                  <c:v>0.314933687962928</c:v>
                </c:pt>
                <c:pt idx="15">
                  <c:v>0.140312958547886</c:v>
                </c:pt>
                <c:pt idx="16">
                  <c:v>0.380712206735963</c:v>
                </c:pt>
                <c:pt idx="17">
                  <c:v>0.202193464979333</c:v>
                </c:pt>
                <c:pt idx="18">
                  <c:v>0.255594679154163</c:v>
                </c:pt>
                <c:pt idx="19">
                  <c:v>0.267226213367009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0.393981935724064</c:v>
                </c:pt>
                <c:pt idx="1">
                  <c:v>0.401162529736523</c:v>
                </c:pt>
                <c:pt idx="2">
                  <c:v>0.450690213010614</c:v>
                </c:pt>
                <c:pt idx="3">
                  <c:v>0.427951464830029</c:v>
                </c:pt>
                <c:pt idx="4">
                  <c:v>0.367552865525549</c:v>
                </c:pt>
                <c:pt idx="5">
                  <c:v>0.38787777803024</c:v>
                </c:pt>
                <c:pt idx="6">
                  <c:v>0.359838339555434</c:v>
                </c:pt>
                <c:pt idx="7">
                  <c:v>0.374409235713078</c:v>
                </c:pt>
                <c:pt idx="8">
                  <c:v>0.379964955092216</c:v>
                </c:pt>
                <c:pt idx="9">
                  <c:v>0.411700508844197</c:v>
                </c:pt>
                <c:pt idx="10">
                  <c:v>0.370917822367782</c:v>
                </c:pt>
                <c:pt idx="11">
                  <c:v>0.19720528711654</c:v>
                </c:pt>
                <c:pt idx="12">
                  <c:v>0.219936138171289</c:v>
                </c:pt>
                <c:pt idx="13">
                  <c:v>0.238741249513704</c:v>
                </c:pt>
                <c:pt idx="14">
                  <c:v>0.271767857920799</c:v>
                </c:pt>
                <c:pt idx="15">
                  <c:v>0.271934993729582</c:v>
                </c:pt>
                <c:pt idx="16">
                  <c:v>0.268319790888034</c:v>
                </c:pt>
                <c:pt idx="17">
                  <c:v>0.280682682900315</c:v>
                </c:pt>
                <c:pt idx="18">
                  <c:v>0.304070771672658</c:v>
                </c:pt>
                <c:pt idx="19">
                  <c:v>0.304899035005555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Service take rate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0.094764726354757</c:v>
                </c:pt>
                <c:pt idx="1">
                  <c:v>0.0978840935288216</c:v>
                </c:pt>
                <c:pt idx="2">
                  <c:v>0.0994679240628399</c:v>
                </c:pt>
                <c:pt idx="3">
                  <c:v>0.10802082805344</c:v>
                </c:pt>
                <c:pt idx="4">
                  <c:v>0.109028055956319</c:v>
                </c:pt>
                <c:pt idx="5">
                  <c:v>0.106642173815067</c:v>
                </c:pt>
                <c:pt idx="6">
                  <c:v>0.112066532394778</c:v>
                </c:pt>
                <c:pt idx="7">
                  <c:v>0.122428308260662</c:v>
                </c:pt>
                <c:pt idx="8">
                  <c:v>0.114203180380194</c:v>
                </c:pt>
                <c:pt idx="9">
                  <c:v>0.121449936258647</c:v>
                </c:pt>
                <c:pt idx="10">
                  <c:v>0.130661862155594</c:v>
                </c:pt>
                <c:pt idx="11">
                  <c:v>0.13975369641149</c:v>
                </c:pt>
                <c:pt idx="12">
                  <c:v>0.150985110285416</c:v>
                </c:pt>
                <c:pt idx="13">
                  <c:v>0.156407040674538</c:v>
                </c:pt>
                <c:pt idx="14">
                  <c:v>0.161072054387755</c:v>
                </c:pt>
                <c:pt idx="15">
                  <c:v>0.165842147290958</c:v>
                </c:pt>
                <c:pt idx="16">
                  <c:v>0.174344897491474</c:v>
                </c:pt>
                <c:pt idx="17">
                  <c:v>0.196150919558382</c:v>
                </c:pt>
                <c:pt idx="18">
                  <c:v>0.211483325788441</c:v>
                </c:pt>
                <c:pt idx="19">
                  <c:v>0.216159833105994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117743"/>
        <c:axId val="68648531"/>
      </c:lineChart>
      <c:catAx>
        <c:axId val="371177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48531"/>
        <c:crosses val="autoZero"/>
        <c:auto val="1"/>
        <c:lblAlgn val="ctr"/>
        <c:lblOffset val="100"/>
        <c:noMultiLvlLbl val="0"/>
      </c:catAx>
      <c:valAx>
        <c:axId val="68648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17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543960</xdr:colOff>
      <xdr:row>37</xdr:row>
      <xdr:rowOff>2520</xdr:rowOff>
    </xdr:to>
    <xdr:graphicFrame>
      <xdr:nvGraphicFramePr>
        <xdr:cNvPr id="0" name="Chart 1"/>
        <xdr:cNvGraphicFramePr/>
      </xdr:nvGraphicFramePr>
      <xdr:xfrm>
        <a:off x="758880" y="4380120"/>
        <a:ext cx="1079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543960</xdr:colOff>
      <xdr:row>58</xdr:row>
      <xdr:rowOff>2160</xdr:rowOff>
    </xdr:to>
    <xdr:graphicFrame>
      <xdr:nvGraphicFramePr>
        <xdr:cNvPr id="1" name="Chart 2"/>
        <xdr:cNvGraphicFramePr/>
      </xdr:nvGraphicFramePr>
      <xdr:xfrm>
        <a:off x="758880" y="8380800"/>
        <a:ext cx="1079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543960</xdr:colOff>
      <xdr:row>79</xdr:row>
      <xdr:rowOff>2520</xdr:rowOff>
    </xdr:to>
    <xdr:graphicFrame>
      <xdr:nvGraphicFramePr>
        <xdr:cNvPr id="2" name="Chart 3"/>
        <xdr:cNvGraphicFramePr/>
      </xdr:nvGraphicFramePr>
      <xdr:xfrm>
        <a:off x="758880" y="12381120"/>
        <a:ext cx="1079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F39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1" width="2.5"/>
    <col collapsed="false" customWidth="true" hidden="false" outlineLevel="0" max="2" min="2" style="1" width="62"/>
    <col collapsed="false" customWidth="true" hidden="false" outlineLevel="0" max="9" min="3" style="1" width="14.13"/>
    <col collapsed="false" customWidth="true" hidden="true" outlineLevel="1" max="11" min="10" style="1" width="9.63"/>
    <col collapsed="false" customWidth="true" hidden="true" outlineLevel="1" max="12" min="12" style="1" width="10.88"/>
    <col collapsed="false" customWidth="true" hidden="true" outlineLevel="1" max="14" min="13" style="1" width="9.63"/>
    <col collapsed="false" customWidth="true" hidden="false" outlineLevel="0" max="15" min="15" style="1" width="14.13"/>
    <col collapsed="false" customWidth="true" hidden="true" outlineLevel="1" max="17" min="16" style="1" width="9.63"/>
    <col collapsed="false" customWidth="true" hidden="true" outlineLevel="1" max="18" min="18" style="1" width="10.88"/>
    <col collapsed="false" customWidth="true" hidden="true" outlineLevel="1" max="20" min="19" style="1" width="9.63"/>
    <col collapsed="false" customWidth="true" hidden="false" outlineLevel="0" max="21" min="21" style="1" width="14.13"/>
    <col collapsed="false" customWidth="true" hidden="true" outlineLevel="1" max="23" min="22" style="1" width="9.63"/>
    <col collapsed="false" customWidth="true" hidden="true" outlineLevel="1" max="24" min="24" style="1" width="10.88"/>
    <col collapsed="false" customWidth="true" hidden="true" outlineLevel="1" max="26" min="25" style="1" width="9.63"/>
    <col collapsed="false" customWidth="true" hidden="false" outlineLevel="0" max="27" min="27" style="1" width="14.13"/>
    <col collapsed="false" customWidth="true" hidden="true" outlineLevel="1" max="29" min="28" style="1" width="9.63"/>
    <col collapsed="false" customWidth="true" hidden="true" outlineLevel="1" max="30" min="30" style="1" width="10.88"/>
    <col collapsed="false" customWidth="true" hidden="true" outlineLevel="1" max="32" min="31" style="1" width="9.63"/>
    <col collapsed="false" customWidth="true" hidden="false" outlineLevel="0" max="33" min="33" style="1" width="14.13"/>
    <col collapsed="false" customWidth="true" hidden="true" outlineLevel="1" max="35" min="34" style="1" width="9.63"/>
    <col collapsed="false" customWidth="true" hidden="true" outlineLevel="1" max="36" min="36" style="1" width="10.88"/>
    <col collapsed="false" customWidth="true" hidden="true" outlineLevel="1" max="38" min="37" style="1" width="9.63"/>
    <col collapsed="false" customWidth="true" hidden="false" outlineLevel="0" max="39" min="39" style="1" width="14.13"/>
    <col collapsed="false" customWidth="true" hidden="true" outlineLevel="1" max="41" min="40" style="1" width="9.63"/>
    <col collapsed="false" customWidth="true" hidden="true" outlineLevel="1" max="42" min="42" style="1" width="10.88"/>
    <col collapsed="false" customWidth="true" hidden="true" outlineLevel="1" max="44" min="43" style="1" width="9.63"/>
    <col collapsed="false" customWidth="true" hidden="false" outlineLevel="0" max="45" min="45" style="1" width="14.13"/>
    <col collapsed="false" customWidth="true" hidden="true" outlineLevel="1" max="47" min="46" style="1" width="9.63"/>
    <col collapsed="false" customWidth="true" hidden="true" outlineLevel="1" max="48" min="48" style="1" width="10.88"/>
    <col collapsed="false" customWidth="true" hidden="true" outlineLevel="1" max="50" min="49" style="1" width="9.63"/>
    <col collapsed="false" customWidth="true" hidden="false" outlineLevel="0" max="51" min="51" style="1" width="14.13"/>
    <col collapsed="false" customWidth="true" hidden="true" outlineLevel="1" max="53" min="52" style="1" width="9.63"/>
    <col collapsed="false" customWidth="true" hidden="true" outlineLevel="1" max="54" min="54" style="1" width="10.88"/>
    <col collapsed="false" customWidth="true" hidden="true" outlineLevel="1" max="56" min="55" style="1" width="9.63"/>
    <col collapsed="false" customWidth="true" hidden="false" outlineLevel="0" max="57" min="57" style="1" width="14.13"/>
    <col collapsed="false" customWidth="true" hidden="true" outlineLevel="1" max="59" min="58" style="1" width="9.63"/>
    <col collapsed="false" customWidth="true" hidden="true" outlineLevel="1" max="60" min="60" style="1" width="10.88"/>
    <col collapsed="false" customWidth="true" hidden="true" outlineLevel="1" max="62" min="61" style="1" width="9.63"/>
    <col collapsed="false" customWidth="true" hidden="false" outlineLevel="0" max="63" min="63" style="1" width="14.13"/>
    <col collapsed="false" customWidth="true" hidden="true" outlineLevel="1" max="65" min="64" style="1" width="9.63"/>
    <col collapsed="false" customWidth="true" hidden="true" outlineLevel="1" max="66" min="66" style="1" width="10.88"/>
    <col collapsed="false" customWidth="true" hidden="true" outlineLevel="1" max="68" min="67" style="1" width="9.63"/>
    <col collapsed="false" customWidth="true" hidden="false" outlineLevel="0" max="69" min="69" style="1" width="14.13"/>
    <col collapsed="false" customWidth="true" hidden="true" outlineLevel="1" max="71" min="70" style="1" width="9.63"/>
    <col collapsed="false" customWidth="true" hidden="true" outlineLevel="1" max="72" min="72" style="1" width="10.88"/>
    <col collapsed="false" customWidth="true" hidden="true" outlineLevel="1" max="74" min="73" style="1" width="9.63"/>
    <col collapsed="false" customWidth="true" hidden="false" outlineLevel="0" max="75" min="75" style="1" width="14.13"/>
    <col collapsed="false" customWidth="true" hidden="true" outlineLevel="1" max="77" min="76" style="1" width="9.63"/>
    <col collapsed="false" customWidth="true" hidden="true" outlineLevel="1" max="78" min="78" style="1" width="10.88"/>
    <col collapsed="false" customWidth="true" hidden="true" outlineLevel="1" max="80" min="79" style="1" width="9.63"/>
    <col collapsed="false" customWidth="true" hidden="false" outlineLevel="0" max="81" min="81" style="1" width="14.13"/>
    <col collapsed="false" customWidth="true" hidden="true" outlineLevel="1" max="83" min="82" style="1" width="9.63"/>
    <col collapsed="false" customWidth="true" hidden="true" outlineLevel="1" max="84" min="84" style="1" width="10.88"/>
    <col collapsed="false" customWidth="true" hidden="true" outlineLevel="1" max="86" min="85" style="1" width="9.63"/>
    <col collapsed="false" customWidth="true" hidden="false" outlineLevel="0" max="87" min="87" style="1" width="14.13"/>
    <col collapsed="false" customWidth="true" hidden="false" outlineLevel="1" max="89" min="88" style="1" width="9.63"/>
    <col collapsed="false" customWidth="true" hidden="false" outlineLevel="1" max="90" min="90" style="1" width="10.88"/>
    <col collapsed="false" customWidth="true" hidden="false" outlineLevel="1" max="92" min="91" style="1" width="11.5"/>
    <col collapsed="false" customWidth="true" hidden="false" outlineLevel="0" max="97" min="93" style="1" width="14.13"/>
    <col collapsed="false" customWidth="true" hidden="false" outlineLevel="0" max="98" min="98" style="1" width="86.88"/>
    <col collapsed="false" customWidth="true" hidden="false" outlineLevel="0" max="99" min="99" style="1" width="2"/>
    <col collapsed="false" customWidth="true" hidden="false" outlineLevel="0" max="100" min="100" style="1" width="14.13"/>
    <col collapsed="false" customWidth="true" hidden="false" outlineLevel="0" max="101" min="101" style="1" width="12.38"/>
    <col collapsed="false" customWidth="true" hidden="false" outlineLevel="0" max="103" min="102" style="1" width="13.5"/>
    <col collapsed="false" customWidth="true" hidden="false" outlineLevel="0" max="104" min="104" style="1" width="2"/>
    <col collapsed="false" customWidth="true" hidden="false" outlineLevel="0" max="105" min="105" style="1" width="6"/>
    <col collapsed="false" customWidth="true" hidden="false" outlineLevel="0" max="106" min="106" style="1" width="40"/>
    <col collapsed="false" customWidth="true" hidden="false" outlineLevel="0" max="109" min="107" style="1" width="11.63"/>
    <col collapsed="false" customWidth="true" hidden="false" outlineLevel="0" max="110" min="110" style="1" width="40"/>
  </cols>
  <sheetData>
    <row r="1" customFormat="false" ht="15" hidden="false" customHeight="true" outlineLevel="0" collapsed="false">
      <c r="CT1" s="2" t="s">
        <v>0</v>
      </c>
    </row>
    <row r="2" customFormat="false" ht="21" hidden="false" customHeight="true" outlineLevel="0" collapsed="false">
      <c r="B2" s="3" t="s">
        <v>1</v>
      </c>
      <c r="CT2" s="4" t="s">
        <v>2</v>
      </c>
    </row>
    <row r="3" customFormat="false" ht="15" hidden="false" customHeight="true" outlineLevel="0" collapsed="false">
      <c r="B3" s="5" t="s">
        <v>3</v>
      </c>
    </row>
    <row r="4" customFormat="false" ht="15" hidden="false" customHeight="true" outlineLevel="0" collapsed="false">
      <c r="B4" s="6" t="s">
        <v>4</v>
      </c>
    </row>
    <row r="5" customFormat="false" ht="15" hidden="false" customHeight="true" outlineLevel="0" collapsed="false">
      <c r="CM5" s="7"/>
      <c r="CN5" s="7"/>
      <c r="CO5" s="7"/>
      <c r="CP5" s="7"/>
      <c r="CQ5" s="7"/>
      <c r="CR5" s="7"/>
      <c r="CS5" s="7"/>
      <c r="CV5" s="8" t="s">
        <v>5</v>
      </c>
      <c r="CW5" s="8" t="s">
        <v>6</v>
      </c>
      <c r="CX5" s="8" t="s">
        <v>6</v>
      </c>
      <c r="CY5" s="8" t="s">
        <v>6</v>
      </c>
    </row>
    <row r="6" customFormat="false" ht="15" hidden="false" customHeight="true" outlineLevel="0" collapsed="false">
      <c r="B6" s="9" t="s">
        <v>7</v>
      </c>
      <c r="C6" s="10" t="n">
        <v>2006</v>
      </c>
      <c r="D6" s="10" t="n">
        <v>2007</v>
      </c>
      <c r="E6" s="10" t="n">
        <v>2008</v>
      </c>
      <c r="F6" s="10" t="n">
        <v>2009</v>
      </c>
      <c r="G6" s="10" t="n">
        <v>2010</v>
      </c>
      <c r="H6" s="10" t="n">
        <v>2011</v>
      </c>
      <c r="I6" s="10" t="n">
        <v>2012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n">
        <v>2013</v>
      </c>
      <c r="P6" s="10" t="s">
        <v>13</v>
      </c>
      <c r="Q6" s="10" t="s">
        <v>14</v>
      </c>
      <c r="R6" s="10" t="s">
        <v>15</v>
      </c>
      <c r="S6" s="10" t="s">
        <v>16</v>
      </c>
      <c r="T6" s="10" t="s">
        <v>17</v>
      </c>
      <c r="U6" s="10" t="n">
        <v>2014</v>
      </c>
      <c r="V6" s="10" t="s">
        <v>18</v>
      </c>
      <c r="W6" s="10" t="s">
        <v>19</v>
      </c>
      <c r="X6" s="10" t="s">
        <v>20</v>
      </c>
      <c r="Y6" s="10" t="s">
        <v>21</v>
      </c>
      <c r="Z6" s="10" t="s">
        <v>22</v>
      </c>
      <c r="AA6" s="10" t="n">
        <v>2015</v>
      </c>
      <c r="AB6" s="10" t="s">
        <v>23</v>
      </c>
      <c r="AC6" s="10" t="s">
        <v>24</v>
      </c>
      <c r="AD6" s="10" t="s">
        <v>25</v>
      </c>
      <c r="AE6" s="10" t="s">
        <v>26</v>
      </c>
      <c r="AF6" s="10" t="s">
        <v>27</v>
      </c>
      <c r="AG6" s="10" t="n">
        <v>2016</v>
      </c>
      <c r="AH6" s="10" t="s">
        <v>28</v>
      </c>
      <c r="AI6" s="10" t="s">
        <v>29</v>
      </c>
      <c r="AJ6" s="10" t="s">
        <v>30</v>
      </c>
      <c r="AK6" s="10" t="s">
        <v>31</v>
      </c>
      <c r="AL6" s="10" t="s">
        <v>32</v>
      </c>
      <c r="AM6" s="10" t="n">
        <v>2017</v>
      </c>
      <c r="AN6" s="10" t="s">
        <v>33</v>
      </c>
      <c r="AO6" s="10" t="s">
        <v>34</v>
      </c>
      <c r="AP6" s="10" t="s">
        <v>35</v>
      </c>
      <c r="AQ6" s="10" t="s">
        <v>36</v>
      </c>
      <c r="AR6" s="10" t="s">
        <v>37</v>
      </c>
      <c r="AS6" s="10" t="n">
        <v>2018</v>
      </c>
      <c r="AT6" s="10" t="s">
        <v>38</v>
      </c>
      <c r="AU6" s="10" t="s">
        <v>39</v>
      </c>
      <c r="AV6" s="10" t="s">
        <v>40</v>
      </c>
      <c r="AW6" s="10" t="s">
        <v>41</v>
      </c>
      <c r="AX6" s="10" t="s">
        <v>42</v>
      </c>
      <c r="AY6" s="10" t="n">
        <v>2019</v>
      </c>
      <c r="AZ6" s="10" t="s">
        <v>43</v>
      </c>
      <c r="BA6" s="10" t="s">
        <v>44</v>
      </c>
      <c r="BB6" s="10" t="s">
        <v>45</v>
      </c>
      <c r="BC6" s="10" t="s">
        <v>46</v>
      </c>
      <c r="BD6" s="10" t="s">
        <v>47</v>
      </c>
      <c r="BE6" s="10" t="n">
        <v>2020</v>
      </c>
      <c r="BF6" s="10" t="s">
        <v>48</v>
      </c>
      <c r="BG6" s="10" t="s">
        <v>49</v>
      </c>
      <c r="BH6" s="10" t="s">
        <v>50</v>
      </c>
      <c r="BI6" s="10" t="s">
        <v>51</v>
      </c>
      <c r="BJ6" s="10" t="s">
        <v>52</v>
      </c>
      <c r="BK6" s="10" t="n">
        <v>2021</v>
      </c>
      <c r="BL6" s="10" t="s">
        <v>53</v>
      </c>
      <c r="BM6" s="10" t="s">
        <v>54</v>
      </c>
      <c r="BN6" s="10" t="s">
        <v>55</v>
      </c>
      <c r="BO6" s="10" t="s">
        <v>56</v>
      </c>
      <c r="BP6" s="10" t="s">
        <v>57</v>
      </c>
      <c r="BQ6" s="10" t="n">
        <v>2022</v>
      </c>
      <c r="BR6" s="10" t="s">
        <v>58</v>
      </c>
      <c r="BS6" s="10" t="s">
        <v>59</v>
      </c>
      <c r="BT6" s="10" t="s">
        <v>60</v>
      </c>
      <c r="BU6" s="10" t="s">
        <v>61</v>
      </c>
      <c r="BV6" s="10" t="s">
        <v>62</v>
      </c>
      <c r="BW6" s="10" t="n">
        <v>2023</v>
      </c>
      <c r="BX6" s="10" t="s">
        <v>63</v>
      </c>
      <c r="BY6" s="10" t="s">
        <v>64</v>
      </c>
      <c r="BZ6" s="10" t="s">
        <v>65</v>
      </c>
      <c r="CA6" s="10" t="s">
        <v>66</v>
      </c>
      <c r="CB6" s="10" t="s">
        <v>67</v>
      </c>
      <c r="CC6" s="10" t="n">
        <v>2024</v>
      </c>
      <c r="CD6" s="10" t="s">
        <v>68</v>
      </c>
      <c r="CE6" s="10" t="s">
        <v>69</v>
      </c>
      <c r="CF6" s="10" t="s">
        <v>70</v>
      </c>
      <c r="CG6" s="10" t="s">
        <v>71</v>
      </c>
      <c r="CH6" s="10" t="s">
        <v>72</v>
      </c>
      <c r="CI6" s="10" t="n">
        <v>2025</v>
      </c>
      <c r="CJ6" s="10" t="s">
        <v>73</v>
      </c>
      <c r="CK6" s="10" t="s">
        <v>74</v>
      </c>
      <c r="CL6" s="10" t="s">
        <v>75</v>
      </c>
      <c r="CM6" s="10" t="s">
        <v>76</v>
      </c>
      <c r="CN6" s="10" t="s">
        <v>77</v>
      </c>
      <c r="CO6" s="10" t="s">
        <v>78</v>
      </c>
      <c r="CP6" s="10" t="s">
        <v>79</v>
      </c>
      <c r="CQ6" s="10" t="s">
        <v>80</v>
      </c>
      <c r="CR6" s="10" t="s">
        <v>81</v>
      </c>
      <c r="CS6" s="10" t="s">
        <v>82</v>
      </c>
      <c r="CT6" s="10" t="s">
        <v>83</v>
      </c>
      <c r="CV6" s="8" t="s">
        <v>84</v>
      </c>
      <c r="CW6" s="8" t="s">
        <v>84</v>
      </c>
      <c r="CX6" s="8" t="s">
        <v>85</v>
      </c>
      <c r="CY6" s="8" t="s">
        <v>86</v>
      </c>
    </row>
    <row r="7" customFormat="false" ht="15" hidden="false" customHeight="true" outlineLevel="0" collapsed="false">
      <c r="CV7" s="11" t="s">
        <v>87</v>
      </c>
      <c r="CW7" s="11" t="s">
        <v>88</v>
      </c>
      <c r="CX7" s="11" t="s">
        <v>89</v>
      </c>
      <c r="CY7" s="11" t="s">
        <v>90</v>
      </c>
    </row>
    <row r="8" customFormat="false" ht="15" hidden="false" customHeight="true" outlineLevel="0" collapsed="false">
      <c r="B8" s="12" t="s">
        <v>91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 t="s">
        <v>92</v>
      </c>
    </row>
    <row r="9" customFormat="false" ht="15" hidden="false" customHeight="true" outlineLevel="0" collapsed="false">
      <c r="B9" s="13"/>
      <c r="CM9" s="7"/>
      <c r="CN9" s="7"/>
      <c r="CO9" s="7"/>
      <c r="CP9" s="7"/>
      <c r="CQ9" s="7"/>
      <c r="CR9" s="7"/>
      <c r="CS9" s="7"/>
      <c r="CT9" s="7"/>
      <c r="DB9" s="14" t="s">
        <v>93</v>
      </c>
      <c r="DC9" s="15" t="s">
        <v>94</v>
      </c>
      <c r="DD9" s="15" t="s">
        <v>2</v>
      </c>
      <c r="DE9" s="15" t="s">
        <v>95</v>
      </c>
      <c r="DF9" s="16" t="s">
        <v>96</v>
      </c>
    </row>
    <row r="10" customFormat="false" ht="15" hidden="false" customHeight="true" outlineLevel="0" collapsed="false">
      <c r="B10" s="17" t="s">
        <v>97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8" t="s">
        <v>98</v>
      </c>
    </row>
    <row r="11" customFormat="false" ht="15" hidden="false" customHeight="true" outlineLevel="0" collapsed="false">
      <c r="B11" s="19" t="s">
        <v>99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1" t="n">
        <v>331.7</v>
      </c>
      <c r="BS11" s="21" t="n">
        <v>2101.9</v>
      </c>
      <c r="BT11" s="20" t="n">
        <f aca="false">BR11+BS11</f>
        <v>2433.6</v>
      </c>
      <c r="BU11" s="21" t="n">
        <v>2051.1</v>
      </c>
      <c r="BV11" s="21" t="n">
        <v>2046.4</v>
      </c>
      <c r="BW11" s="21" t="n">
        <v>6531.2</v>
      </c>
      <c r="BX11" s="21" t="n">
        <v>2105</v>
      </c>
      <c r="BY11" s="21" t="n">
        <v>2007.7</v>
      </c>
      <c r="BZ11" s="20" t="n">
        <f aca="false">BX11+BY11</f>
        <v>4112.7</v>
      </c>
      <c r="CA11" s="21" t="n">
        <v>2031.1</v>
      </c>
      <c r="CB11" s="21" t="n">
        <v>2133.9</v>
      </c>
      <c r="CC11" s="21" t="n">
        <v>8277.6</v>
      </c>
      <c r="CD11" s="21" t="n">
        <v>2144.7</v>
      </c>
      <c r="CE11" s="21" t="n">
        <v>2161.5</v>
      </c>
      <c r="CF11" s="20" t="n">
        <f aca="false">CD11+CE11</f>
        <v>4306.2</v>
      </c>
      <c r="CG11" s="21" t="n">
        <v>2152.2</v>
      </c>
      <c r="CH11" s="21" t="n">
        <v>2200.7</v>
      </c>
      <c r="CI11" s="21" t="n">
        <v>8659.1</v>
      </c>
      <c r="CJ11" s="21" t="n">
        <v>2289.2</v>
      </c>
      <c r="CK11" s="21" t="n">
        <v>2448.7</v>
      </c>
      <c r="CL11" s="20" t="n">
        <f aca="false">CJ11+CK11</f>
        <v>4737.9</v>
      </c>
      <c r="CM11" s="22" t="n">
        <f aca="false">CM39*CG11*CL11/CF11/(CG11*CL11/CF11+CG19*CL19/CF19+CG29*CL29/CF29)</f>
        <v>2273.95820667506</v>
      </c>
      <c r="CN11" s="22" t="n">
        <f aca="false">CN39*CH11*CL11/CF11/(CH11*CL11/CF11+CH19*CL19/CF19+CH29*CL29/CF29)</f>
        <v>2320.98041258817</v>
      </c>
      <c r="CO11" s="22" t="n">
        <f aca="false">SUM(CJ11,CK11,CM11,CN11)</f>
        <v>9332.83861926323</v>
      </c>
      <c r="CP11" s="22" t="n">
        <f aca="false">CO11*(1+CP15)</f>
        <v>9799.48055022639</v>
      </c>
      <c r="CQ11" s="22" t="n">
        <f aca="false">CP11*(1+CQ15)</f>
        <v>10289.4545777377</v>
      </c>
      <c r="CR11" s="22" t="n">
        <f aca="false">CQ11*(1+CR15)</f>
        <v>10752.4800337359</v>
      </c>
      <c r="CS11" s="22" t="n">
        <f aca="false">CR11*(1+CS15)</f>
        <v>11236.341635254</v>
      </c>
      <c r="CT11" s="23" t="s">
        <v>100</v>
      </c>
      <c r="CV11" s="24" t="n">
        <f aca="false">IFERROR((CS11/CI11)^(1/5)-1,"n/m")</f>
        <v>0.0534900448530999</v>
      </c>
      <c r="CW11" s="24" t="str">
        <f aca="false">IFERROR((CI11/BE11)^(1/5)-1,"n/m")</f>
        <v>n/m</v>
      </c>
      <c r="CX11" s="24" t="str">
        <f aca="false">IFERROR((CI11/AA11)^(1/10)-1,"n/m")</f>
        <v>n/m</v>
      </c>
      <c r="CY11" s="24" t="str">
        <f aca="false">IFERROR((CI11/C11)^(1/19)-1,"n/m")</f>
        <v>n/m</v>
      </c>
      <c r="DB11" s="18" t="s">
        <v>101</v>
      </c>
      <c r="DC11" s="25" t="s">
        <v>102</v>
      </c>
      <c r="DD11" s="25" t="s">
        <v>103</v>
      </c>
      <c r="DE11" s="25" t="s">
        <v>104</v>
      </c>
    </row>
    <row r="12" customFormat="false" ht="15" hidden="false" customHeight="true" outlineLevel="0" collapsed="false">
      <c r="B12" s="13" t="s">
        <v>105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7" t="n">
        <v>87.5</v>
      </c>
      <c r="BS12" s="27" t="n">
        <v>573.4</v>
      </c>
      <c r="BT12" s="26" t="n">
        <f aca="false">BR12+BS12</f>
        <v>660.9</v>
      </c>
      <c r="BU12" s="27" t="n">
        <v>555</v>
      </c>
      <c r="BV12" s="27" t="n">
        <v>572.5</v>
      </c>
      <c r="BW12" s="27" t="n">
        <v>1788.4</v>
      </c>
      <c r="BX12" s="27" t="n">
        <v>584.6</v>
      </c>
      <c r="BY12" s="27" t="n">
        <v>547.7</v>
      </c>
      <c r="BZ12" s="26" t="n">
        <f aca="false">BX12+BY12</f>
        <v>1132.3</v>
      </c>
      <c r="CA12" s="27" t="n">
        <v>553.8</v>
      </c>
      <c r="CB12" s="27" t="n">
        <v>611.1</v>
      </c>
      <c r="CC12" s="27" t="n">
        <v>2297.2</v>
      </c>
      <c r="CD12" s="27" t="n">
        <v>625.6</v>
      </c>
      <c r="CE12" s="27" t="n">
        <v>595.9</v>
      </c>
      <c r="CF12" s="26" t="n">
        <f aca="false">CD12+CE12</f>
        <v>1221.5</v>
      </c>
      <c r="CG12" s="27" t="n">
        <v>601.7</v>
      </c>
      <c r="CH12" s="27" t="n">
        <v>624.5</v>
      </c>
      <c r="CI12" s="27" t="n">
        <v>2447.7</v>
      </c>
      <c r="CJ12" s="27" t="n">
        <v>631.3</v>
      </c>
      <c r="CK12" s="27" t="n">
        <v>658.8</v>
      </c>
      <c r="CL12" s="26" t="n">
        <f aca="false">CJ12+CK12</f>
        <v>1290.1</v>
      </c>
      <c r="CM12" s="28" t="n">
        <f aca="false">IFERROR(CM11/CM13*1000,"")</f>
        <v>617.223763336493</v>
      </c>
      <c r="CN12" s="28" t="n">
        <f aca="false">IFERROR(CN11/CN13*1000,"")</f>
        <v>639.448907766466</v>
      </c>
      <c r="CO12" s="28" t="n">
        <f aca="false">SUM(CJ12,CK12,CM12,CN12)</f>
        <v>2546.77267110296</v>
      </c>
      <c r="CP12" s="28" t="n">
        <f aca="false">IFERROR(CP11/CP13*1000,"")</f>
        <v>2608.88907771523</v>
      </c>
      <c r="CQ12" s="28" t="n">
        <f aca="false">IFERROR(CQ11/CQ13*1000,"")</f>
        <v>2672.52051863511</v>
      </c>
      <c r="CR12" s="28" t="n">
        <f aca="false">IFERROR(CR11/CR13*1000,"")</f>
        <v>2738.02347252323</v>
      </c>
      <c r="CS12" s="28" t="n">
        <f aca="false">IFERROR(CS11/CS13*1000,"")</f>
        <v>2805.13189096742</v>
      </c>
      <c r="CT12" s="23"/>
      <c r="CV12" s="7"/>
      <c r="CW12" s="7"/>
      <c r="CX12" s="7"/>
      <c r="CY12" s="7"/>
      <c r="DB12" s="13" t="s">
        <v>106</v>
      </c>
      <c r="DC12" s="29" t="n">
        <v>0.11</v>
      </c>
      <c r="DD12" s="29" t="n">
        <v>0.1</v>
      </c>
      <c r="DE12" s="29" t="n">
        <v>0.09</v>
      </c>
    </row>
    <row r="13" customFormat="false" ht="15" hidden="false" customHeight="true" outlineLevel="0" collapsed="false">
      <c r="B13" s="30" t="s">
        <v>107</v>
      </c>
      <c r="C13" s="31" t="str">
        <f aca="false">IFERROR(C11/C12*1000,"")</f>
        <v/>
      </c>
      <c r="D13" s="31" t="str">
        <f aca="false">IFERROR(D11/D12*1000,"")</f>
        <v/>
      </c>
      <c r="E13" s="31" t="str">
        <f aca="false">IFERROR(E11/E12*1000,"")</f>
        <v/>
      </c>
      <c r="F13" s="31" t="str">
        <f aca="false">IFERROR(F11/F12*1000,"")</f>
        <v/>
      </c>
      <c r="G13" s="31" t="str">
        <f aca="false">IFERROR(G11/G12*1000,"")</f>
        <v/>
      </c>
      <c r="H13" s="31" t="str">
        <f aca="false">IFERROR(H11/H12*1000,"")</f>
        <v/>
      </c>
      <c r="I13" s="31" t="str">
        <f aca="false">IFERROR(I11/I12*1000,"")</f>
        <v/>
      </c>
      <c r="J13" s="31" t="str">
        <f aca="false">IFERROR(J11/J12*1000,"")</f>
        <v/>
      </c>
      <c r="K13" s="31" t="str">
        <f aca="false">IFERROR(K11/K12*1000,"")</f>
        <v/>
      </c>
      <c r="L13" s="31" t="str">
        <f aca="false">IFERROR(L11/L12*1000,"")</f>
        <v/>
      </c>
      <c r="M13" s="31" t="str">
        <f aca="false">IFERROR(M11/M12*1000,"")</f>
        <v/>
      </c>
      <c r="N13" s="31" t="str">
        <f aca="false">IFERROR(N11/N12*1000,"")</f>
        <v/>
      </c>
      <c r="O13" s="31" t="str">
        <f aca="false">IFERROR(O11/O12*1000,"")</f>
        <v/>
      </c>
      <c r="P13" s="31" t="str">
        <f aca="false">IFERROR(P11/P12*1000,"")</f>
        <v/>
      </c>
      <c r="Q13" s="31" t="str">
        <f aca="false">IFERROR(Q11/Q12*1000,"")</f>
        <v/>
      </c>
      <c r="R13" s="31" t="str">
        <f aca="false">IFERROR(R11/R12*1000,"")</f>
        <v/>
      </c>
      <c r="S13" s="31" t="str">
        <f aca="false">IFERROR(S11/S12*1000,"")</f>
        <v/>
      </c>
      <c r="T13" s="31" t="str">
        <f aca="false">IFERROR(T11/T12*1000,"")</f>
        <v/>
      </c>
      <c r="U13" s="31" t="str">
        <f aca="false">IFERROR(U11/U12*1000,"")</f>
        <v/>
      </c>
      <c r="V13" s="31" t="str">
        <f aca="false">IFERROR(V11/V12*1000,"")</f>
        <v/>
      </c>
      <c r="W13" s="31" t="str">
        <f aca="false">IFERROR(W11/W12*1000,"")</f>
        <v/>
      </c>
      <c r="X13" s="31" t="str">
        <f aca="false">IFERROR(X11/X12*1000,"")</f>
        <v/>
      </c>
      <c r="Y13" s="31" t="str">
        <f aca="false">IFERROR(Y11/Y12*1000,"")</f>
        <v/>
      </c>
      <c r="Z13" s="31" t="str">
        <f aca="false">IFERROR(Z11/Z12*1000,"")</f>
        <v/>
      </c>
      <c r="AA13" s="31" t="str">
        <f aca="false">IFERROR(AA11/AA12*1000,"")</f>
        <v/>
      </c>
      <c r="AB13" s="31" t="str">
        <f aca="false">IFERROR(AB11/AB12*1000,"")</f>
        <v/>
      </c>
      <c r="AC13" s="31" t="str">
        <f aca="false">IFERROR(AC11/AC12*1000,"")</f>
        <v/>
      </c>
      <c r="AD13" s="31" t="str">
        <f aca="false">IFERROR(AD11/AD12*1000,"")</f>
        <v/>
      </c>
      <c r="AE13" s="31" t="str">
        <f aca="false">IFERROR(AE11/AE12*1000,"")</f>
        <v/>
      </c>
      <c r="AF13" s="31" t="str">
        <f aca="false">IFERROR(AF11/AF12*1000,"")</f>
        <v/>
      </c>
      <c r="AG13" s="31" t="str">
        <f aca="false">IFERROR(AG11/AG12*1000,"")</f>
        <v/>
      </c>
      <c r="AH13" s="31" t="str">
        <f aca="false">IFERROR(AH11/AH12*1000,"")</f>
        <v/>
      </c>
      <c r="AI13" s="31" t="str">
        <f aca="false">IFERROR(AI11/AI12*1000,"")</f>
        <v/>
      </c>
      <c r="AJ13" s="31" t="str">
        <f aca="false">IFERROR(AJ11/AJ12*1000,"")</f>
        <v/>
      </c>
      <c r="AK13" s="31" t="str">
        <f aca="false">IFERROR(AK11/AK12*1000,"")</f>
        <v/>
      </c>
      <c r="AL13" s="31" t="str">
        <f aca="false">IFERROR(AL11/AL12*1000,"")</f>
        <v/>
      </c>
      <c r="AM13" s="31" t="str">
        <f aca="false">IFERROR(AM11/AM12*1000,"")</f>
        <v/>
      </c>
      <c r="AN13" s="31" t="str">
        <f aca="false">IFERROR(AN11/AN12*1000,"")</f>
        <v/>
      </c>
      <c r="AO13" s="31" t="str">
        <f aca="false">IFERROR(AO11/AO12*1000,"")</f>
        <v/>
      </c>
      <c r="AP13" s="31" t="str">
        <f aca="false">IFERROR(AP11/AP12*1000,"")</f>
        <v/>
      </c>
      <c r="AQ13" s="31" t="str">
        <f aca="false">IFERROR(AQ11/AQ12*1000,"")</f>
        <v/>
      </c>
      <c r="AR13" s="31" t="str">
        <f aca="false">IFERROR(AR11/AR12*1000,"")</f>
        <v/>
      </c>
      <c r="AS13" s="31" t="str">
        <f aca="false">IFERROR(AS11/AS12*1000,"")</f>
        <v/>
      </c>
      <c r="AT13" s="31" t="str">
        <f aca="false">IFERROR(AT11/AT12*1000,"")</f>
        <v/>
      </c>
      <c r="AU13" s="31" t="str">
        <f aca="false">IFERROR(AU11/AU12*1000,"")</f>
        <v/>
      </c>
      <c r="AV13" s="31" t="str">
        <f aca="false">IFERROR(AV11/AV12*1000,"")</f>
        <v/>
      </c>
      <c r="AW13" s="31" t="str">
        <f aca="false">IFERROR(AW11/AW12*1000,"")</f>
        <v/>
      </c>
      <c r="AX13" s="31" t="str">
        <f aca="false">IFERROR(AX11/AX12*1000,"")</f>
        <v/>
      </c>
      <c r="AY13" s="31" t="str">
        <f aca="false">IFERROR(AY11/AY12*1000,"")</f>
        <v/>
      </c>
      <c r="AZ13" s="31" t="str">
        <f aca="false">IFERROR(AZ11/AZ12*1000,"")</f>
        <v/>
      </c>
      <c r="BA13" s="31" t="str">
        <f aca="false">IFERROR(BA11/BA12*1000,"")</f>
        <v/>
      </c>
      <c r="BB13" s="31" t="str">
        <f aca="false">IFERROR(BB11/BB12*1000,"")</f>
        <v/>
      </c>
      <c r="BC13" s="31" t="str">
        <f aca="false">IFERROR(BC11/BC12*1000,"")</f>
        <v/>
      </c>
      <c r="BD13" s="31" t="str">
        <f aca="false">IFERROR(BD11/BD12*1000,"")</f>
        <v/>
      </c>
      <c r="BE13" s="31" t="str">
        <f aca="false">IFERROR(BE11/BE12*1000,"")</f>
        <v/>
      </c>
      <c r="BF13" s="31" t="str">
        <f aca="false">IFERROR(BF11/BF12*1000,"")</f>
        <v/>
      </c>
      <c r="BG13" s="31" t="str">
        <f aca="false">IFERROR(BG11/BG12*1000,"")</f>
        <v/>
      </c>
      <c r="BH13" s="31" t="str">
        <f aca="false">IFERROR(BH11/BH12*1000,"")</f>
        <v/>
      </c>
      <c r="BI13" s="31" t="str">
        <f aca="false">IFERROR(BI11/BI12*1000,"")</f>
        <v/>
      </c>
      <c r="BJ13" s="31" t="str">
        <f aca="false">IFERROR(BJ11/BJ12*1000,"")</f>
        <v/>
      </c>
      <c r="BK13" s="31" t="str">
        <f aca="false">IFERROR(BK11/BK12*1000,"")</f>
        <v/>
      </c>
      <c r="BL13" s="31" t="str">
        <f aca="false">IFERROR(BL11/BL12*1000,"")</f>
        <v/>
      </c>
      <c r="BM13" s="31" t="str">
        <f aca="false">IFERROR(BM11/BM12*1000,"")</f>
        <v/>
      </c>
      <c r="BN13" s="31" t="str">
        <f aca="false">IFERROR(BN11/BN12*1000,"")</f>
        <v/>
      </c>
      <c r="BO13" s="31" t="str">
        <f aca="false">IFERROR(BO11/BO12*1000,"")</f>
        <v/>
      </c>
      <c r="BP13" s="31" t="str">
        <f aca="false">IFERROR(BP11/BP12*1000,"")</f>
        <v/>
      </c>
      <c r="BQ13" s="31" t="str">
        <f aca="false">IFERROR(BQ11/BQ12*1000,"")</f>
        <v/>
      </c>
      <c r="BR13" s="31" t="n">
        <f aca="false">IFERROR(BR11/BR12*1000,"")</f>
        <v>3790.85714285714</v>
      </c>
      <c r="BS13" s="31" t="n">
        <f aca="false">IFERROR(BS11/BS12*1000,"")</f>
        <v>3665.67840948727</v>
      </c>
      <c r="BT13" s="31" t="n">
        <f aca="false">IFERROR(BT11/BT12*1000,"")</f>
        <v>3682.25147526101</v>
      </c>
      <c r="BU13" s="31" t="n">
        <f aca="false">IFERROR(BU11/BU12*1000,"")</f>
        <v>3695.67567567568</v>
      </c>
      <c r="BV13" s="31" t="n">
        <f aca="false">IFERROR(BV11/BV12*1000,"")</f>
        <v>3574.49781659389</v>
      </c>
      <c r="BW13" s="31" t="n">
        <f aca="false">IFERROR(BW11/BW12*1000,"")</f>
        <v>3651.97942294789</v>
      </c>
      <c r="BX13" s="31" t="n">
        <f aca="false">IFERROR(BX11/BX12*1000,"")</f>
        <v>3600.75265138556</v>
      </c>
      <c r="BY13" s="31" t="n">
        <f aca="false">IFERROR(BY11/BY12*1000,"")</f>
        <v>3665.69289757166</v>
      </c>
      <c r="BZ13" s="31" t="n">
        <f aca="false">IFERROR(BZ11/BZ12*1000,"")</f>
        <v>3632.16462068356</v>
      </c>
      <c r="CA13" s="31" t="n">
        <f aca="false">IFERROR(CA11/CA12*1000,"")</f>
        <v>3667.5695196822</v>
      </c>
      <c r="CB13" s="31" t="n">
        <f aca="false">IFERROR(CB11/CB12*1000,"")</f>
        <v>3491.8998527246</v>
      </c>
      <c r="CC13" s="31" t="n">
        <f aca="false">IFERROR(CC11/CC12*1000,"")</f>
        <v>3603.3432004179</v>
      </c>
      <c r="CD13" s="31" t="n">
        <f aca="false">IFERROR(CD11/CD12*1000,"")</f>
        <v>3428.22890025575</v>
      </c>
      <c r="CE13" s="31" t="n">
        <f aca="false">IFERROR(CE11/CE12*1000,"")</f>
        <v>3627.28645745931</v>
      </c>
      <c r="CF13" s="31" t="n">
        <f aca="false">IFERROR(CF11/CF12*1000,"")</f>
        <v>3525.33769954973</v>
      </c>
      <c r="CG13" s="31" t="n">
        <f aca="false">IFERROR(CG11/CG12*1000,"")</f>
        <v>3576.86554761509</v>
      </c>
      <c r="CH13" s="31" t="n">
        <f aca="false">IFERROR(CH11/CH12*1000,"")</f>
        <v>3523.93915132106</v>
      </c>
      <c r="CI13" s="31" t="n">
        <f aca="false">IFERROR(CI11/CI12*1000,"")</f>
        <v>3537.64758753115</v>
      </c>
      <c r="CJ13" s="31" t="n">
        <f aca="false">IFERROR(CJ11/CJ12*1000,"")</f>
        <v>3626.16822429907</v>
      </c>
      <c r="CK13" s="31" t="n">
        <f aca="false">IFERROR(CK11/CK12*1000,"")</f>
        <v>3716.9095324833</v>
      </c>
      <c r="CL13" s="31" t="n">
        <f aca="false">IFERROR(CL11/CL12*1000,"")</f>
        <v>3672.50600728626</v>
      </c>
      <c r="CM13" s="32" t="n">
        <f aca="false">CG13*(1+$CO$14)</f>
        <v>3684.17151404354</v>
      </c>
      <c r="CN13" s="32" t="n">
        <f aca="false">CH13*(1+$CO$14)</f>
        <v>3629.65732586069</v>
      </c>
      <c r="CO13" s="32" t="n">
        <f aca="false">IFERROR(CO11/CO12*1000,"")</f>
        <v>3664.57466940752</v>
      </c>
      <c r="CP13" s="32" t="n">
        <f aca="false">CO13*(1+CP14)</f>
        <v>3756.18903614271</v>
      </c>
      <c r="CQ13" s="32" t="n">
        <f aca="false">CP13*(1+CQ14)</f>
        <v>3850.09376204627</v>
      </c>
      <c r="CR13" s="32" t="n">
        <f aca="false">CQ13*(1+CR14)</f>
        <v>3927.0956372872</v>
      </c>
      <c r="CS13" s="32" t="n">
        <f aca="false">CR13*(1+CS14)</f>
        <v>4005.63755003294</v>
      </c>
      <c r="CT13" s="23"/>
      <c r="CV13" s="7"/>
      <c r="CW13" s="7"/>
      <c r="CX13" s="7"/>
      <c r="CY13" s="7"/>
      <c r="DB13" s="13" t="s">
        <v>108</v>
      </c>
      <c r="DC13" s="33" t="n">
        <v>1545</v>
      </c>
      <c r="DD13" s="33" t="n">
        <v>1520</v>
      </c>
      <c r="DE13" s="33" t="n">
        <v>1495</v>
      </c>
    </row>
    <row r="14" customFormat="false" ht="15" hidden="false" customHeight="true" outlineLevel="0" collapsed="false">
      <c r="B14" s="30" t="s">
        <v>109</v>
      </c>
      <c r="C14" s="34"/>
      <c r="D14" s="34" t="str">
        <f aca="false">IFERROR(D13/C13-1,"")</f>
        <v/>
      </c>
      <c r="E14" s="34" t="str">
        <f aca="false">IFERROR(E13/D13-1,"")</f>
        <v/>
      </c>
      <c r="F14" s="34" t="str">
        <f aca="false">IFERROR(F13/E13-1,"")</f>
        <v/>
      </c>
      <c r="G14" s="34" t="str">
        <f aca="false">IFERROR(G13/F13-1,"")</f>
        <v/>
      </c>
      <c r="H14" s="34" t="str">
        <f aca="false">IFERROR(H13/G13-1,"")</f>
        <v/>
      </c>
      <c r="I14" s="34" t="str">
        <f aca="false">IFERROR(I13/H13-1,"")</f>
        <v/>
      </c>
      <c r="J14" s="34"/>
      <c r="K14" s="34"/>
      <c r="L14" s="34"/>
      <c r="M14" s="34"/>
      <c r="N14" s="34"/>
      <c r="O14" s="34" t="str">
        <f aca="false">IFERROR(O13/I13-1,"")</f>
        <v/>
      </c>
      <c r="P14" s="34" t="str">
        <f aca="false">IFERROR(P13/J13-1,"")</f>
        <v/>
      </c>
      <c r="Q14" s="34" t="str">
        <f aca="false">IFERROR(Q13/K13-1,"")</f>
        <v/>
      </c>
      <c r="R14" s="34" t="str">
        <f aca="false">IFERROR(R13/L13-1,"")</f>
        <v/>
      </c>
      <c r="S14" s="34" t="str">
        <f aca="false">IFERROR(S13/M13-1,"")</f>
        <v/>
      </c>
      <c r="T14" s="34" t="str">
        <f aca="false">IFERROR(T13/N13-1,"")</f>
        <v/>
      </c>
      <c r="U14" s="34" t="str">
        <f aca="false">IFERROR(U13/O13-1,"")</f>
        <v/>
      </c>
      <c r="V14" s="34" t="str">
        <f aca="false">IFERROR(V13/P13-1,"")</f>
        <v/>
      </c>
      <c r="W14" s="34" t="str">
        <f aca="false">IFERROR(W13/Q13-1,"")</f>
        <v/>
      </c>
      <c r="X14" s="34" t="str">
        <f aca="false">IFERROR(X13/R13-1,"")</f>
        <v/>
      </c>
      <c r="Y14" s="34" t="str">
        <f aca="false">IFERROR(Y13/S13-1,"")</f>
        <v/>
      </c>
      <c r="Z14" s="34" t="str">
        <f aca="false">IFERROR(Z13/T13-1,"")</f>
        <v/>
      </c>
      <c r="AA14" s="34" t="str">
        <f aca="false">IFERROR(AA13/U13-1,"")</f>
        <v/>
      </c>
      <c r="AB14" s="34" t="str">
        <f aca="false">IFERROR(AB13/V13-1,"")</f>
        <v/>
      </c>
      <c r="AC14" s="34" t="str">
        <f aca="false">IFERROR(AC13/W13-1,"")</f>
        <v/>
      </c>
      <c r="AD14" s="34" t="str">
        <f aca="false">IFERROR(AD13/X13-1,"")</f>
        <v/>
      </c>
      <c r="AE14" s="34" t="str">
        <f aca="false">IFERROR(AE13/Y13-1,"")</f>
        <v/>
      </c>
      <c r="AF14" s="34" t="str">
        <f aca="false">IFERROR(AF13/Z13-1,"")</f>
        <v/>
      </c>
      <c r="AG14" s="34" t="str">
        <f aca="false">IFERROR(AG13/AA13-1,"")</f>
        <v/>
      </c>
      <c r="AH14" s="34" t="str">
        <f aca="false">IFERROR(AH13/AB13-1,"")</f>
        <v/>
      </c>
      <c r="AI14" s="34" t="str">
        <f aca="false">IFERROR(AI13/AC13-1,"")</f>
        <v/>
      </c>
      <c r="AJ14" s="34" t="str">
        <f aca="false">IFERROR(AJ13/AD13-1,"")</f>
        <v/>
      </c>
      <c r="AK14" s="34" t="str">
        <f aca="false">IFERROR(AK13/AE13-1,"")</f>
        <v/>
      </c>
      <c r="AL14" s="34" t="str">
        <f aca="false">IFERROR(AL13/AF13-1,"")</f>
        <v/>
      </c>
      <c r="AM14" s="34" t="str">
        <f aca="false">IFERROR(AM13/AG13-1,"")</f>
        <v/>
      </c>
      <c r="AN14" s="34" t="str">
        <f aca="false">IFERROR(AN13/AH13-1,"")</f>
        <v/>
      </c>
      <c r="AO14" s="34" t="str">
        <f aca="false">IFERROR(AO13/AI13-1,"")</f>
        <v/>
      </c>
      <c r="AP14" s="34" t="str">
        <f aca="false">IFERROR(AP13/AJ13-1,"")</f>
        <v/>
      </c>
      <c r="AQ14" s="34" t="str">
        <f aca="false">IFERROR(AQ13/AK13-1,"")</f>
        <v/>
      </c>
      <c r="AR14" s="34" t="str">
        <f aca="false">IFERROR(AR13/AL13-1,"")</f>
        <v/>
      </c>
      <c r="AS14" s="34" t="str">
        <f aca="false">IFERROR(AS13/AM13-1,"")</f>
        <v/>
      </c>
      <c r="AT14" s="34" t="str">
        <f aca="false">IFERROR(AT13/AN13-1,"")</f>
        <v/>
      </c>
      <c r="AU14" s="34" t="str">
        <f aca="false">IFERROR(AU13/AO13-1,"")</f>
        <v/>
      </c>
      <c r="AV14" s="34" t="str">
        <f aca="false">IFERROR(AV13/AP13-1,"")</f>
        <v/>
      </c>
      <c r="AW14" s="34" t="str">
        <f aca="false">IFERROR(AW13/AQ13-1,"")</f>
        <v/>
      </c>
      <c r="AX14" s="34" t="str">
        <f aca="false">IFERROR(AX13/AR13-1,"")</f>
        <v/>
      </c>
      <c r="AY14" s="34" t="str">
        <f aca="false">IFERROR(AY13/AS13-1,"")</f>
        <v/>
      </c>
      <c r="AZ14" s="34" t="str">
        <f aca="false">IFERROR(AZ13/AT13-1,"")</f>
        <v/>
      </c>
      <c r="BA14" s="34" t="str">
        <f aca="false">IFERROR(BA13/AU13-1,"")</f>
        <v/>
      </c>
      <c r="BB14" s="34" t="str">
        <f aca="false">IFERROR(BB13/AV13-1,"")</f>
        <v/>
      </c>
      <c r="BC14" s="34" t="str">
        <f aca="false">IFERROR(BC13/AW13-1,"")</f>
        <v/>
      </c>
      <c r="BD14" s="34" t="str">
        <f aca="false">IFERROR(BD13/AX13-1,"")</f>
        <v/>
      </c>
      <c r="BE14" s="34" t="str">
        <f aca="false">IFERROR(BE13/AY13-1,"")</f>
        <v/>
      </c>
      <c r="BF14" s="34" t="str">
        <f aca="false">IFERROR(BF13/AZ13-1,"")</f>
        <v/>
      </c>
      <c r="BG14" s="34" t="str">
        <f aca="false">IFERROR(BG13/BA13-1,"")</f>
        <v/>
      </c>
      <c r="BH14" s="34" t="str">
        <f aca="false">IFERROR(BH13/BB13-1,"")</f>
        <v/>
      </c>
      <c r="BI14" s="34" t="str">
        <f aca="false">IFERROR(BI13/BC13-1,"")</f>
        <v/>
      </c>
      <c r="BJ14" s="34" t="str">
        <f aca="false">IFERROR(BJ13/BD13-1,"")</f>
        <v/>
      </c>
      <c r="BK14" s="34" t="str">
        <f aca="false">IFERROR(BK13/BE13-1,"")</f>
        <v/>
      </c>
      <c r="BL14" s="34" t="str">
        <f aca="false">IFERROR(BL13/BF13-1,"")</f>
        <v/>
      </c>
      <c r="BM14" s="34" t="str">
        <f aca="false">IFERROR(BM13/BG13-1,"")</f>
        <v/>
      </c>
      <c r="BN14" s="34" t="str">
        <f aca="false">IFERROR(BN13/BH13-1,"")</f>
        <v/>
      </c>
      <c r="BO14" s="34" t="str">
        <f aca="false">IFERROR(BO13/BI13-1,"")</f>
        <v/>
      </c>
      <c r="BP14" s="34" t="str">
        <f aca="false">IFERROR(BP13/BJ13-1,"")</f>
        <v/>
      </c>
      <c r="BQ14" s="34" t="str">
        <f aca="false">IFERROR(BQ13/BK13-1,"")</f>
        <v/>
      </c>
      <c r="BR14" s="34" t="str">
        <f aca="false">IFERROR(BR13/BL13-1,"")</f>
        <v/>
      </c>
      <c r="BS14" s="34" t="str">
        <f aca="false">IFERROR(BS13/BM13-1,"")</f>
        <v/>
      </c>
      <c r="BT14" s="34" t="str">
        <f aca="false">IFERROR(BT13/BN13-1,"")</f>
        <v/>
      </c>
      <c r="BU14" s="34" t="str">
        <f aca="false">IFERROR(BU13/BO13-1,"")</f>
        <v/>
      </c>
      <c r="BV14" s="34" t="str">
        <f aca="false">IFERROR(BV13/BP13-1,"")</f>
        <v/>
      </c>
      <c r="BW14" s="34" t="str">
        <f aca="false">IFERROR(BW13/BQ13-1,"")</f>
        <v/>
      </c>
      <c r="BX14" s="34" t="n">
        <f aca="false">IFERROR(BX13/BR13-1,"")</f>
        <v>-0.050148154970646</v>
      </c>
      <c r="BY14" s="34" t="n">
        <f aca="false">IFERROR(BY13/BS13-1,"")</f>
        <v>3.95236100270147E-006</v>
      </c>
      <c r="BZ14" s="34" t="n">
        <f aca="false">IFERROR(BZ13/BT13-1,"")</f>
        <v>-0.0136022362714632</v>
      </c>
      <c r="CA14" s="34" t="n">
        <f aca="false">IFERROR(CA13/BU13-1,"")</f>
        <v>-0.00760514678776325</v>
      </c>
      <c r="CB14" s="34" t="n">
        <f aca="false">IFERROR(CB13/BV13-1,"")</f>
        <v>-0.0231075714988124</v>
      </c>
      <c r="CC14" s="34" t="n">
        <f aca="false">IFERROR(CC13/BW13-1,"")</f>
        <v>-0.0133177701452452</v>
      </c>
      <c r="CD14" s="34" t="n">
        <f aca="false">IFERROR(CD13/BX13-1,"")</f>
        <v>-0.0479132469883545</v>
      </c>
      <c r="CE14" s="34" t="n">
        <f aca="false">IFERROR(CE13/BY13-1,"")</f>
        <v>-0.0104772661500914</v>
      </c>
      <c r="CF14" s="34" t="n">
        <f aca="false">IFERROR(CF13/BZ13-1,"")</f>
        <v>-0.0294113654776267</v>
      </c>
      <c r="CG14" s="34" t="n">
        <f aca="false">IFERROR(CG13/CA13-1,"")</f>
        <v>-0.0247313572599888</v>
      </c>
      <c r="CH14" s="34" t="n">
        <f aca="false">IFERROR(CH13/CB13-1,"")</f>
        <v>0.00917532001138666</v>
      </c>
      <c r="CI14" s="34" t="n">
        <f aca="false">IFERROR(CI13/CC13-1,"")</f>
        <v>-0.0182318500439064</v>
      </c>
      <c r="CJ14" s="34" t="n">
        <f aca="false">IFERROR(CJ13/CD13-1,"")</f>
        <v>0.0577380711155386</v>
      </c>
      <c r="CK14" s="34" t="n">
        <f aca="false">IFERROR(CK13/CE13-1,"")</f>
        <v>0.0247080223950036</v>
      </c>
      <c r="CL14" s="34" t="n">
        <f aca="false">IFERROR(CL13/CF13-1,"")</f>
        <v>0.0417458752264555</v>
      </c>
      <c r="CM14" s="35"/>
      <c r="CN14" s="35"/>
      <c r="CO14" s="36" t="n">
        <v>0.03</v>
      </c>
      <c r="CP14" s="36" t="n">
        <v>0.025</v>
      </c>
      <c r="CQ14" s="36" t="n">
        <v>0.025</v>
      </c>
      <c r="CR14" s="36" t="n">
        <v>0.02</v>
      </c>
      <c r="CS14" s="36" t="n">
        <v>0.02</v>
      </c>
      <c r="CT14" s="23" t="s">
        <v>110</v>
      </c>
      <c r="CV14" s="7"/>
      <c r="CW14" s="7"/>
      <c r="CX14" s="7"/>
      <c r="CY14" s="7"/>
    </row>
    <row r="15" customFormat="false" ht="15" hidden="false" customHeight="true" outlineLevel="0" collapsed="false">
      <c r="B15" s="30" t="s">
        <v>111</v>
      </c>
      <c r="C15" s="34"/>
      <c r="D15" s="34" t="str">
        <f aca="false">IFERROR(D11/C11-1,"")</f>
        <v/>
      </c>
      <c r="E15" s="34" t="str">
        <f aca="false">IFERROR(E11/D11-1,"")</f>
        <v/>
      </c>
      <c r="F15" s="34" t="str">
        <f aca="false">IFERROR(F11/E11-1,"")</f>
        <v/>
      </c>
      <c r="G15" s="34" t="str">
        <f aca="false">IFERROR(G11/F11-1,"")</f>
        <v/>
      </c>
      <c r="H15" s="34" t="str">
        <f aca="false">IFERROR(H11/G11-1,"")</f>
        <v/>
      </c>
      <c r="I15" s="34" t="str">
        <f aca="false">IFERROR(I11/H11-1,"")</f>
        <v/>
      </c>
      <c r="J15" s="34"/>
      <c r="K15" s="34"/>
      <c r="L15" s="34"/>
      <c r="M15" s="34"/>
      <c r="N15" s="34"/>
      <c r="O15" s="34" t="str">
        <f aca="false">IFERROR(O11/I11-1,"")</f>
        <v/>
      </c>
      <c r="P15" s="34" t="str">
        <f aca="false">IFERROR(P11/J11-1,"")</f>
        <v/>
      </c>
      <c r="Q15" s="34" t="str">
        <f aca="false">IFERROR(Q11/K11-1,"")</f>
        <v/>
      </c>
      <c r="R15" s="34" t="str">
        <f aca="false">IFERROR(R11/L11-1,"")</f>
        <v/>
      </c>
      <c r="S15" s="34" t="str">
        <f aca="false">IFERROR(S11/M11-1,"")</f>
        <v/>
      </c>
      <c r="T15" s="34" t="str">
        <f aca="false">IFERROR(T11/N11-1,"")</f>
        <v/>
      </c>
      <c r="U15" s="34" t="str">
        <f aca="false">IFERROR(U11/O11-1,"")</f>
        <v/>
      </c>
      <c r="V15" s="34" t="str">
        <f aca="false">IFERROR(V11/P11-1,"")</f>
        <v/>
      </c>
      <c r="W15" s="34" t="str">
        <f aca="false">IFERROR(W11/Q11-1,"")</f>
        <v/>
      </c>
      <c r="X15" s="34" t="str">
        <f aca="false">IFERROR(X11/R11-1,"")</f>
        <v/>
      </c>
      <c r="Y15" s="34" t="str">
        <f aca="false">IFERROR(Y11/S11-1,"")</f>
        <v/>
      </c>
      <c r="Z15" s="34" t="str">
        <f aca="false">IFERROR(Z11/T11-1,"")</f>
        <v/>
      </c>
      <c r="AA15" s="34" t="str">
        <f aca="false">IFERROR(AA11/U11-1,"")</f>
        <v/>
      </c>
      <c r="AB15" s="34" t="str">
        <f aca="false">IFERROR(AB11/V11-1,"")</f>
        <v/>
      </c>
      <c r="AC15" s="34" t="str">
        <f aca="false">IFERROR(AC11/W11-1,"")</f>
        <v/>
      </c>
      <c r="AD15" s="34" t="str">
        <f aca="false">IFERROR(AD11/X11-1,"")</f>
        <v/>
      </c>
      <c r="AE15" s="34" t="str">
        <f aca="false">IFERROR(AE11/Y11-1,"")</f>
        <v/>
      </c>
      <c r="AF15" s="34" t="str">
        <f aca="false">IFERROR(AF11/Z11-1,"")</f>
        <v/>
      </c>
      <c r="AG15" s="34" t="str">
        <f aca="false">IFERROR(AG11/AA11-1,"")</f>
        <v/>
      </c>
      <c r="AH15" s="34" t="str">
        <f aca="false">IFERROR(AH11/AB11-1,"")</f>
        <v/>
      </c>
      <c r="AI15" s="34" t="str">
        <f aca="false">IFERROR(AI11/AC11-1,"")</f>
        <v/>
      </c>
      <c r="AJ15" s="34" t="str">
        <f aca="false">IFERROR(AJ11/AD11-1,"")</f>
        <v/>
      </c>
      <c r="AK15" s="34" t="str">
        <f aca="false">IFERROR(AK11/AE11-1,"")</f>
        <v/>
      </c>
      <c r="AL15" s="34" t="str">
        <f aca="false">IFERROR(AL11/AF11-1,"")</f>
        <v/>
      </c>
      <c r="AM15" s="34" t="str">
        <f aca="false">IFERROR(AM11/AG11-1,"")</f>
        <v/>
      </c>
      <c r="AN15" s="34" t="str">
        <f aca="false">IFERROR(AN11/AH11-1,"")</f>
        <v/>
      </c>
      <c r="AO15" s="34" t="str">
        <f aca="false">IFERROR(AO11/AI11-1,"")</f>
        <v/>
      </c>
      <c r="AP15" s="34" t="str">
        <f aca="false">IFERROR(AP11/AJ11-1,"")</f>
        <v/>
      </c>
      <c r="AQ15" s="34" t="str">
        <f aca="false">IFERROR(AQ11/AK11-1,"")</f>
        <v/>
      </c>
      <c r="AR15" s="34" t="str">
        <f aca="false">IFERROR(AR11/AL11-1,"")</f>
        <v/>
      </c>
      <c r="AS15" s="34" t="str">
        <f aca="false">IFERROR(AS11/AM11-1,"")</f>
        <v/>
      </c>
      <c r="AT15" s="34" t="str">
        <f aca="false">IFERROR(AT11/AN11-1,"")</f>
        <v/>
      </c>
      <c r="AU15" s="34" t="str">
        <f aca="false">IFERROR(AU11/AO11-1,"")</f>
        <v/>
      </c>
      <c r="AV15" s="34" t="str">
        <f aca="false">IFERROR(AV11/AP11-1,"")</f>
        <v/>
      </c>
      <c r="AW15" s="34" t="str">
        <f aca="false">IFERROR(AW11/AQ11-1,"")</f>
        <v/>
      </c>
      <c r="AX15" s="34" t="str">
        <f aca="false">IFERROR(AX11/AR11-1,"")</f>
        <v/>
      </c>
      <c r="AY15" s="34" t="str">
        <f aca="false">IFERROR(AY11/AS11-1,"")</f>
        <v/>
      </c>
      <c r="AZ15" s="34" t="str">
        <f aca="false">IFERROR(AZ11/AT11-1,"")</f>
        <v/>
      </c>
      <c r="BA15" s="34" t="str">
        <f aca="false">IFERROR(BA11/AU11-1,"")</f>
        <v/>
      </c>
      <c r="BB15" s="34" t="str">
        <f aca="false">IFERROR(BB11/AV11-1,"")</f>
        <v/>
      </c>
      <c r="BC15" s="34" t="str">
        <f aca="false">IFERROR(BC11/AW11-1,"")</f>
        <v/>
      </c>
      <c r="BD15" s="34" t="str">
        <f aca="false">IFERROR(BD11/AX11-1,"")</f>
        <v/>
      </c>
      <c r="BE15" s="34" t="str">
        <f aca="false">IFERROR(BE11/AY11-1,"")</f>
        <v/>
      </c>
      <c r="BF15" s="34" t="str">
        <f aca="false">IFERROR(BF11/AZ11-1,"")</f>
        <v/>
      </c>
      <c r="BG15" s="34" t="str">
        <f aca="false">IFERROR(BG11/BA11-1,"")</f>
        <v/>
      </c>
      <c r="BH15" s="34" t="str">
        <f aca="false">IFERROR(BH11/BB11-1,"")</f>
        <v/>
      </c>
      <c r="BI15" s="34" t="str">
        <f aca="false">IFERROR(BI11/BC11-1,"")</f>
        <v/>
      </c>
      <c r="BJ15" s="34" t="str">
        <f aca="false">IFERROR(BJ11/BD11-1,"")</f>
        <v/>
      </c>
      <c r="BK15" s="34" t="str">
        <f aca="false">IFERROR(BK11/BE11-1,"")</f>
        <v/>
      </c>
      <c r="BL15" s="34" t="str">
        <f aca="false">IFERROR(BL11/BF11-1,"")</f>
        <v/>
      </c>
      <c r="BM15" s="34" t="str">
        <f aca="false">IFERROR(BM11/BG11-1,"")</f>
        <v/>
      </c>
      <c r="BN15" s="34" t="str">
        <f aca="false">IFERROR(BN11/BH11-1,"")</f>
        <v/>
      </c>
      <c r="BO15" s="34" t="str">
        <f aca="false">IFERROR(BO11/BI11-1,"")</f>
        <v/>
      </c>
      <c r="BP15" s="34" t="str">
        <f aca="false">IFERROR(BP11/BJ11-1,"")</f>
        <v/>
      </c>
      <c r="BQ15" s="34" t="str">
        <f aca="false">IFERROR(BQ11/BK11-1,"")</f>
        <v/>
      </c>
      <c r="BR15" s="34" t="str">
        <f aca="false">IFERROR(BR11/BL11-1,"")</f>
        <v/>
      </c>
      <c r="BS15" s="34" t="str">
        <f aca="false">IFERROR(BS11/BM11-1,"")</f>
        <v/>
      </c>
      <c r="BT15" s="34" t="str">
        <f aca="false">IFERROR(BT11/BN11-1,"")</f>
        <v/>
      </c>
      <c r="BU15" s="34" t="str">
        <f aca="false">IFERROR(BU11/BO11-1,"")</f>
        <v/>
      </c>
      <c r="BV15" s="34" t="str">
        <f aca="false">IFERROR(BV11/BP11-1,"")</f>
        <v/>
      </c>
      <c r="BW15" s="34" t="str">
        <f aca="false">IFERROR(BW11/BQ11-1,"")</f>
        <v/>
      </c>
      <c r="BX15" s="34" t="n">
        <f aca="false">IFERROR(BX11/BR11-1,"")</f>
        <v>5.34609586976183</v>
      </c>
      <c r="BY15" s="34" t="n">
        <f aca="false">IFERROR(BY11/BS11-1,"")</f>
        <v>-0.0448165945097293</v>
      </c>
      <c r="BZ15" s="34" t="n">
        <f aca="false">IFERROR(BZ11/BT11-1,"")</f>
        <v>0.689965483234714</v>
      </c>
      <c r="CA15" s="34" t="n">
        <f aca="false">IFERROR(CA11/BU11-1,"")</f>
        <v>-0.00975086538930325</v>
      </c>
      <c r="CB15" s="34" t="n">
        <f aca="false">IFERROR(CB11/BV11-1,"")</f>
        <v>0.0427580140734949</v>
      </c>
      <c r="CC15" s="34" t="n">
        <f aca="false">IFERROR(CC11/BW11-1,"")</f>
        <v>0.267393434590887</v>
      </c>
      <c r="CD15" s="34" t="n">
        <f aca="false">IFERROR(CD11/BX11-1,"")</f>
        <v>0.0188598574821852</v>
      </c>
      <c r="CE15" s="34" t="n">
        <f aca="false">IFERROR(CE11/BY11-1,"")</f>
        <v>0.0766050704786572</v>
      </c>
      <c r="CF15" s="34" t="n">
        <f aca="false">IFERROR(CF11/BZ11-1,"")</f>
        <v>0.0470493836166022</v>
      </c>
      <c r="CG15" s="34" t="n">
        <f aca="false">IFERROR(CG11/CA11-1,"")</f>
        <v>0.0596228644576831</v>
      </c>
      <c r="CH15" s="34" t="n">
        <f aca="false">IFERROR(CH11/CB11-1,"")</f>
        <v>0.0313041848259055</v>
      </c>
      <c r="CI15" s="34" t="n">
        <f aca="false">IFERROR(CI11/CC11-1,"")</f>
        <v>0.0460882381366581</v>
      </c>
      <c r="CJ15" s="34" t="n">
        <f aca="false">IFERROR(CJ11/CD11-1,"")</f>
        <v>0.0673753904975054</v>
      </c>
      <c r="CK15" s="34" t="n">
        <f aca="false">IFERROR(CK11/CE11-1,"")</f>
        <v>0.132870691649317</v>
      </c>
      <c r="CL15" s="34" t="n">
        <f aca="false">IFERROR(CL11/CF11-1,"")</f>
        <v>0.100250801170406</v>
      </c>
      <c r="CM15" s="35" t="n">
        <f aca="false">IFERROR(CM11/CG11-1,"")</f>
        <v>0.0565738345298121</v>
      </c>
      <c r="CN15" s="35" t="n">
        <f aca="false">IFERROR(CN11/CH11-1,"")</f>
        <v>0.0546555244186711</v>
      </c>
      <c r="CO15" s="35" t="n">
        <f aca="false">IFERROR(CO11/CI11-1,"")</f>
        <v>0.0778070029521809</v>
      </c>
      <c r="CP15" s="35" t="n">
        <f aca="false">CHOOSE(MATCH($CT$2,{"Bull","Base","Bear"},0),$DC$21,$DD$21,$DE$21)</f>
        <v>0.05</v>
      </c>
      <c r="CQ15" s="35" t="n">
        <f aca="false">CHOOSE(MATCH($CT$2,{"Bull","Base","Bear"},0),$DC$22,$DD$22,$DE$22)</f>
        <v>0.05</v>
      </c>
      <c r="CR15" s="35" t="n">
        <f aca="false">CHOOSE(MATCH($CT$2,{"Bull","Base","Bear"},0),$DC$23,$DD$23,$DE$23)</f>
        <v>0.045</v>
      </c>
      <c r="CS15" s="35" t="n">
        <f aca="false">CHOOSE(MATCH($CT$2,{"Bull","Base","Bear"},0),$DC$24,$DD$24,$DE$24)</f>
        <v>0.045</v>
      </c>
      <c r="CT15" s="23" t="s">
        <v>112</v>
      </c>
      <c r="CV15" s="7"/>
      <c r="CW15" s="7"/>
      <c r="CX15" s="7"/>
      <c r="CY15" s="7"/>
      <c r="DB15" s="18" t="s">
        <v>113</v>
      </c>
      <c r="DC15" s="25"/>
      <c r="DD15" s="25"/>
      <c r="DE15" s="25"/>
    </row>
    <row r="16" customFormat="false" ht="15" hidden="false" customHeight="true" outlineLevel="0" collapsed="false">
      <c r="B16" s="30" t="s">
        <v>114</v>
      </c>
      <c r="C16" s="34"/>
      <c r="D16" s="34" t="str">
        <f aca="false">IFERROR(D12/C12-1,"")</f>
        <v/>
      </c>
      <c r="E16" s="34" t="str">
        <f aca="false">IFERROR(E12/D12-1,"")</f>
        <v/>
      </c>
      <c r="F16" s="34" t="str">
        <f aca="false">IFERROR(F12/E12-1,"")</f>
        <v/>
      </c>
      <c r="G16" s="34" t="str">
        <f aca="false">IFERROR(G12/F12-1,"")</f>
        <v/>
      </c>
      <c r="H16" s="34" t="str">
        <f aca="false">IFERROR(H12/G12-1,"")</f>
        <v/>
      </c>
      <c r="I16" s="34" t="str">
        <f aca="false">IFERROR(I12/H12-1,"")</f>
        <v/>
      </c>
      <c r="J16" s="34"/>
      <c r="K16" s="34"/>
      <c r="L16" s="34"/>
      <c r="M16" s="34"/>
      <c r="N16" s="34"/>
      <c r="O16" s="34" t="str">
        <f aca="false">IFERROR(O12/I12-1,"")</f>
        <v/>
      </c>
      <c r="P16" s="34" t="str">
        <f aca="false">IFERROR(P12/J12-1,"")</f>
        <v/>
      </c>
      <c r="Q16" s="34" t="str">
        <f aca="false">IFERROR(Q12/K12-1,"")</f>
        <v/>
      </c>
      <c r="R16" s="34" t="str">
        <f aca="false">IFERROR(R12/L12-1,"")</f>
        <v/>
      </c>
      <c r="S16" s="34" t="str">
        <f aca="false">IFERROR(S12/M12-1,"")</f>
        <v/>
      </c>
      <c r="T16" s="34" t="str">
        <f aca="false">IFERROR(T12/N12-1,"")</f>
        <v/>
      </c>
      <c r="U16" s="34" t="str">
        <f aca="false">IFERROR(U12/O12-1,"")</f>
        <v/>
      </c>
      <c r="V16" s="34" t="str">
        <f aca="false">IFERROR(V12/P12-1,"")</f>
        <v/>
      </c>
      <c r="W16" s="34" t="str">
        <f aca="false">IFERROR(W12/Q12-1,"")</f>
        <v/>
      </c>
      <c r="X16" s="34" t="str">
        <f aca="false">IFERROR(X12/R12-1,"")</f>
        <v/>
      </c>
      <c r="Y16" s="34" t="str">
        <f aca="false">IFERROR(Y12/S12-1,"")</f>
        <v/>
      </c>
      <c r="Z16" s="34" t="str">
        <f aca="false">IFERROR(Z12/T12-1,"")</f>
        <v/>
      </c>
      <c r="AA16" s="34" t="str">
        <f aca="false">IFERROR(AA12/U12-1,"")</f>
        <v/>
      </c>
      <c r="AB16" s="34" t="str">
        <f aca="false">IFERROR(AB12/V12-1,"")</f>
        <v/>
      </c>
      <c r="AC16" s="34" t="str">
        <f aca="false">IFERROR(AC12/W12-1,"")</f>
        <v/>
      </c>
      <c r="AD16" s="34" t="str">
        <f aca="false">IFERROR(AD12/X12-1,"")</f>
        <v/>
      </c>
      <c r="AE16" s="34" t="str">
        <f aca="false">IFERROR(AE12/Y12-1,"")</f>
        <v/>
      </c>
      <c r="AF16" s="34" t="str">
        <f aca="false">IFERROR(AF12/Z12-1,"")</f>
        <v/>
      </c>
      <c r="AG16" s="34" t="str">
        <f aca="false">IFERROR(AG12/AA12-1,"")</f>
        <v/>
      </c>
      <c r="AH16" s="34" t="str">
        <f aca="false">IFERROR(AH12/AB12-1,"")</f>
        <v/>
      </c>
      <c r="AI16" s="34" t="str">
        <f aca="false">IFERROR(AI12/AC12-1,"")</f>
        <v/>
      </c>
      <c r="AJ16" s="34" t="str">
        <f aca="false">IFERROR(AJ12/AD12-1,"")</f>
        <v/>
      </c>
      <c r="AK16" s="34" t="str">
        <f aca="false">IFERROR(AK12/AE12-1,"")</f>
        <v/>
      </c>
      <c r="AL16" s="34" t="str">
        <f aca="false">IFERROR(AL12/AF12-1,"")</f>
        <v/>
      </c>
      <c r="AM16" s="34" t="str">
        <f aca="false">IFERROR(AM12/AG12-1,"")</f>
        <v/>
      </c>
      <c r="AN16" s="34" t="str">
        <f aca="false">IFERROR(AN12/AH12-1,"")</f>
        <v/>
      </c>
      <c r="AO16" s="34" t="str">
        <f aca="false">IFERROR(AO12/AI12-1,"")</f>
        <v/>
      </c>
      <c r="AP16" s="34" t="str">
        <f aca="false">IFERROR(AP12/AJ12-1,"")</f>
        <v/>
      </c>
      <c r="AQ16" s="34" t="str">
        <f aca="false">IFERROR(AQ12/AK12-1,"")</f>
        <v/>
      </c>
      <c r="AR16" s="34" t="str">
        <f aca="false">IFERROR(AR12/AL12-1,"")</f>
        <v/>
      </c>
      <c r="AS16" s="34" t="str">
        <f aca="false">IFERROR(AS12/AM12-1,"")</f>
        <v/>
      </c>
      <c r="AT16" s="34" t="str">
        <f aca="false">IFERROR(AT12/AN12-1,"")</f>
        <v/>
      </c>
      <c r="AU16" s="34" t="str">
        <f aca="false">IFERROR(AU12/AO12-1,"")</f>
        <v/>
      </c>
      <c r="AV16" s="34" t="str">
        <f aca="false">IFERROR(AV12/AP12-1,"")</f>
        <v/>
      </c>
      <c r="AW16" s="34" t="str">
        <f aca="false">IFERROR(AW12/AQ12-1,"")</f>
        <v/>
      </c>
      <c r="AX16" s="34" t="str">
        <f aca="false">IFERROR(AX12/AR12-1,"")</f>
        <v/>
      </c>
      <c r="AY16" s="34" t="str">
        <f aca="false">IFERROR(AY12/AS12-1,"")</f>
        <v/>
      </c>
      <c r="AZ16" s="34" t="str">
        <f aca="false">IFERROR(AZ12/AT12-1,"")</f>
        <v/>
      </c>
      <c r="BA16" s="34" t="str">
        <f aca="false">IFERROR(BA12/AU12-1,"")</f>
        <v/>
      </c>
      <c r="BB16" s="34" t="str">
        <f aca="false">IFERROR(BB12/AV12-1,"")</f>
        <v/>
      </c>
      <c r="BC16" s="34" t="str">
        <f aca="false">IFERROR(BC12/AW12-1,"")</f>
        <v/>
      </c>
      <c r="BD16" s="34" t="str">
        <f aca="false">IFERROR(BD12/AX12-1,"")</f>
        <v/>
      </c>
      <c r="BE16" s="34" t="str">
        <f aca="false">IFERROR(BE12/AY12-1,"")</f>
        <v/>
      </c>
      <c r="BF16" s="34" t="str">
        <f aca="false">IFERROR(BF12/AZ12-1,"")</f>
        <v/>
      </c>
      <c r="BG16" s="34" t="str">
        <f aca="false">IFERROR(BG12/BA12-1,"")</f>
        <v/>
      </c>
      <c r="BH16" s="34" t="str">
        <f aca="false">IFERROR(BH12/BB12-1,"")</f>
        <v/>
      </c>
      <c r="BI16" s="34" t="str">
        <f aca="false">IFERROR(BI12/BC12-1,"")</f>
        <v/>
      </c>
      <c r="BJ16" s="34" t="str">
        <f aca="false">IFERROR(BJ12/BD12-1,"")</f>
        <v/>
      </c>
      <c r="BK16" s="34" t="str">
        <f aca="false">IFERROR(BK12/BE12-1,"")</f>
        <v/>
      </c>
      <c r="BL16" s="34" t="str">
        <f aca="false">IFERROR(BL12/BF12-1,"")</f>
        <v/>
      </c>
      <c r="BM16" s="34" t="str">
        <f aca="false">IFERROR(BM12/BG12-1,"")</f>
        <v/>
      </c>
      <c r="BN16" s="34" t="str">
        <f aca="false">IFERROR(BN12/BH12-1,"")</f>
        <v/>
      </c>
      <c r="BO16" s="34" t="str">
        <f aca="false">IFERROR(BO12/BI12-1,"")</f>
        <v/>
      </c>
      <c r="BP16" s="34" t="str">
        <f aca="false">IFERROR(BP12/BJ12-1,"")</f>
        <v/>
      </c>
      <c r="BQ16" s="34" t="str">
        <f aca="false">IFERROR(BQ12/BK12-1,"")</f>
        <v/>
      </c>
      <c r="BR16" s="34" t="str">
        <f aca="false">IFERROR(BR12/BL12-1,"")</f>
        <v/>
      </c>
      <c r="BS16" s="34" t="str">
        <f aca="false">IFERROR(BS12/BM12-1,"")</f>
        <v/>
      </c>
      <c r="BT16" s="34" t="str">
        <f aca="false">IFERROR(BT12/BN12-1,"")</f>
        <v/>
      </c>
      <c r="BU16" s="34" t="str">
        <f aca="false">IFERROR(BU12/BO12-1,"")</f>
        <v/>
      </c>
      <c r="BV16" s="34" t="str">
        <f aca="false">IFERROR(BV12/BP12-1,"")</f>
        <v/>
      </c>
      <c r="BW16" s="34" t="str">
        <f aca="false">IFERROR(BW12/BQ12-1,"")</f>
        <v/>
      </c>
      <c r="BX16" s="34" t="n">
        <f aca="false">IFERROR(BX12/BR12-1,"")</f>
        <v>5.68114285714286</v>
      </c>
      <c r="BY16" s="34" t="n">
        <f aca="false">IFERROR(BY12/BS12-1,"")</f>
        <v>-0.0448203697244506</v>
      </c>
      <c r="BZ16" s="34" t="n">
        <f aca="false">IFERROR(BZ12/BT12-1,"")</f>
        <v>0.713269783628386</v>
      </c>
      <c r="CA16" s="34" t="n">
        <f aca="false">IFERROR(CA12/BU12-1,"")</f>
        <v>-0.00216216216216225</v>
      </c>
      <c r="CB16" s="34" t="n">
        <f aca="false">IFERROR(CB12/BV12-1,"")</f>
        <v>0.0674235807860262</v>
      </c>
      <c r="CC16" s="34" t="n">
        <f aca="false">IFERROR(CC12/BW12-1,"")</f>
        <v>0.284500111831805</v>
      </c>
      <c r="CD16" s="34" t="n">
        <f aca="false">IFERROR(CD12/BX12-1,"")</f>
        <v>0.0701334245638043</v>
      </c>
      <c r="CE16" s="34" t="n">
        <f aca="false">IFERROR(CE12/BY12-1,"")</f>
        <v>0.0880043819609273</v>
      </c>
      <c r="CF16" s="34" t="n">
        <f aca="false">IFERROR(CF12/BZ12-1,"")</f>
        <v>0.0787777090876973</v>
      </c>
      <c r="CG16" s="34" t="n">
        <f aca="false">IFERROR(CG12/CA12-1,"")</f>
        <v>0.0864933188876853</v>
      </c>
      <c r="CH16" s="34" t="n">
        <f aca="false">IFERROR(CH12/CB12-1,"")</f>
        <v>0.0219276714122074</v>
      </c>
      <c r="CI16" s="34" t="n">
        <f aca="false">IFERROR(CI12/CC12-1,"")</f>
        <v>0.0655145394393175</v>
      </c>
      <c r="CJ16" s="34" t="n">
        <f aca="false">IFERROR(CJ12/CD12-1,"")</f>
        <v>0.00911125319693085</v>
      </c>
      <c r="CK16" s="34" t="n">
        <f aca="false">IFERROR(CK12/CE12-1,"")</f>
        <v>0.105554623258936</v>
      </c>
      <c r="CL16" s="34" t="n">
        <f aca="false">IFERROR(CL12/CF12-1,"")</f>
        <v>0.056160458452722</v>
      </c>
      <c r="CM16" s="35" t="n">
        <f aca="false">IFERROR(CM12/CG12-1,"")</f>
        <v>0.0257998393493322</v>
      </c>
      <c r="CN16" s="35" t="n">
        <f aca="false">IFERROR(CN12/CH12-1,"")</f>
        <v>0.0239374023482242</v>
      </c>
      <c r="CO16" s="35" t="n">
        <f aca="false">IFERROR(CO12/CI12-1,"")</f>
        <v>0.0404758226510436</v>
      </c>
      <c r="CP16" s="35" t="n">
        <f aca="false">IFERROR(CP12/CO12-1,"")</f>
        <v>0.0243902439024393</v>
      </c>
      <c r="CQ16" s="35" t="n">
        <f aca="false">IFERROR(CQ12/CP12-1,"")</f>
        <v>0.024390243902439</v>
      </c>
      <c r="CR16" s="35" t="n">
        <f aca="false">IFERROR(CR12/CQ12-1,"")</f>
        <v>0.0245098039215685</v>
      </c>
      <c r="CS16" s="35" t="n">
        <f aca="false">IFERROR(CS12/CR12-1,"")</f>
        <v>0.0245098039215688</v>
      </c>
      <c r="CT16" s="23"/>
      <c r="CV16" s="7"/>
      <c r="CW16" s="7"/>
      <c r="CX16" s="7"/>
      <c r="CY16" s="7"/>
      <c r="DB16" s="13" t="s">
        <v>115</v>
      </c>
      <c r="DD16" s="29" t="n">
        <v>0.24</v>
      </c>
    </row>
    <row r="17" customFormat="false" ht="15" hidden="false" customHeight="true" outlineLevel="0" collapsed="false">
      <c r="B17" s="13"/>
      <c r="CM17" s="7"/>
      <c r="CN17" s="7"/>
      <c r="CO17" s="7"/>
      <c r="CP17" s="7"/>
      <c r="CQ17" s="7"/>
      <c r="CR17" s="7"/>
      <c r="CS17" s="7"/>
      <c r="CT17" s="7"/>
      <c r="DB17" s="13" t="s">
        <v>116</v>
      </c>
      <c r="DD17" s="33" t="n">
        <v>375</v>
      </c>
    </row>
    <row r="18" customFormat="false" ht="15" hidden="false" customHeight="true" outlineLevel="0" collapsed="false">
      <c r="B18" s="17" t="s">
        <v>117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8" t="s">
        <v>118</v>
      </c>
    </row>
    <row r="19" customFormat="false" ht="15" hidden="false" customHeight="true" outlineLevel="0" collapsed="false">
      <c r="B19" s="19" t="s">
        <v>99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1" t="n">
        <v>1562.7</v>
      </c>
      <c r="CE19" s="21" t="n">
        <v>1928.1</v>
      </c>
      <c r="CF19" s="20" t="n">
        <f aca="false">CD19+CE19</f>
        <v>3490.8</v>
      </c>
      <c r="CG19" s="21" t="n">
        <v>1627.3</v>
      </c>
      <c r="CH19" s="21" t="n">
        <v>1957.7</v>
      </c>
      <c r="CI19" s="21" t="n">
        <v>7075.8</v>
      </c>
      <c r="CJ19" s="21" t="n">
        <v>1943.5</v>
      </c>
      <c r="CK19" s="21" t="n">
        <v>2076.6</v>
      </c>
      <c r="CL19" s="20" t="n">
        <f aca="false">CJ19+CK19</f>
        <v>4020.1</v>
      </c>
      <c r="CM19" s="22" t="n">
        <f aca="false">CM39*CG19*CL19/CF19/(CG11*CL11/CF11+CG19*CL19/CF19+CG29*CL29/CF29)</f>
        <v>1799.64842799622</v>
      </c>
      <c r="CN19" s="22" t="n">
        <f aca="false">CN39*CH19*CL19/CF19/(CH11*CL11/CF11+CH19*CL19/CF19+CH29*CL29/CF29)</f>
        <v>2161.11047423067</v>
      </c>
      <c r="CO19" s="22" t="n">
        <f aca="false">SUM(CJ19,CK19,CM19,CN19)</f>
        <v>7980.85890222689</v>
      </c>
      <c r="CP19" s="22" t="n">
        <f aca="false">CO19*(1+CP23)</f>
        <v>8459.7104363605</v>
      </c>
      <c r="CQ19" s="22" t="n">
        <f aca="false">CP19*(1+CQ23)</f>
        <v>8840.39740599673</v>
      </c>
      <c r="CR19" s="22" t="n">
        <f aca="false">CQ19*(1+CR23)</f>
        <v>9194.0133022366</v>
      </c>
      <c r="CS19" s="22" t="n">
        <f aca="false">CR19*(1+CS23)</f>
        <v>9561.77383432606</v>
      </c>
      <c r="CT19" s="23" t="s">
        <v>100</v>
      </c>
      <c r="CV19" s="24" t="n">
        <f aca="false">IFERROR((CS19/CI19)^(1/5)-1,"n/m")</f>
        <v>0.0620686354407081</v>
      </c>
      <c r="CW19" s="24" t="str">
        <f aca="false">IFERROR((CI19/BE19)^(1/5)-1,"n/m")</f>
        <v>n/m</v>
      </c>
      <c r="CX19" s="24" t="str">
        <f aca="false">IFERROR((CI19/AA19)^(1/10)-1,"n/m")</f>
        <v>n/m</v>
      </c>
      <c r="CY19" s="24" t="str">
        <f aca="false">IFERROR((CI19/C19)^(1/19)-1,"n/m")</f>
        <v>n/m</v>
      </c>
    </row>
    <row r="20" customFormat="false" ht="15" hidden="false" customHeight="true" outlineLevel="0" collapsed="false">
      <c r="B20" s="13" t="s">
        <v>105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7" t="n">
        <v>156.5</v>
      </c>
      <c r="CE20" s="27" t="n">
        <v>186.4</v>
      </c>
      <c r="CF20" s="26" t="n">
        <f aca="false">CD20+CE20</f>
        <v>342.9</v>
      </c>
      <c r="CG20" s="27" t="n">
        <v>163</v>
      </c>
      <c r="CH20" s="27" t="n">
        <v>197.4</v>
      </c>
      <c r="CI20" s="27" t="n">
        <v>703.3</v>
      </c>
      <c r="CJ20" s="27" t="n">
        <v>179.4</v>
      </c>
      <c r="CK20" s="27" t="n">
        <v>200</v>
      </c>
      <c r="CL20" s="26" t="n">
        <f aca="false">CJ20+CK20</f>
        <v>379.4</v>
      </c>
      <c r="CM20" s="28" t="n">
        <f aca="false">IFERROR(CM19/CM21*1000,"")</f>
        <v>176.728861450631</v>
      </c>
      <c r="CN20" s="28" t="n">
        <f aca="false">IFERROR(CN19/CN21*1000,"")</f>
        <v>213.637655839202</v>
      </c>
      <c r="CO20" s="28" t="n">
        <f aca="false">SUM(CJ20,CK20,CM20,CN20)</f>
        <v>769.766517289833</v>
      </c>
      <c r="CP20" s="28" t="n">
        <f aca="false">IFERROR(CP19/CP21*1000,"")</f>
        <v>799.953439536493</v>
      </c>
      <c r="CQ20" s="28" t="n">
        <f aca="false">IFERROR(CQ19/CQ21*1000,"")</f>
        <v>819.560141485917</v>
      </c>
      <c r="CR20" s="28" t="n">
        <f aca="false">IFERROR(CR19/CR21*1000,"")</f>
        <v>835.629948181719</v>
      </c>
      <c r="CS20" s="28" t="n">
        <f aca="false">IFERROR(CS19/CS21*1000,"")</f>
        <v>852.014849126459</v>
      </c>
      <c r="CT20" s="23"/>
      <c r="CV20" s="7"/>
      <c r="CW20" s="7"/>
      <c r="CX20" s="7"/>
      <c r="CY20" s="7"/>
      <c r="DB20" s="18" t="s">
        <v>119</v>
      </c>
      <c r="DC20" s="37" t="n">
        <v>0.02</v>
      </c>
      <c r="DD20" s="25" t="s">
        <v>120</v>
      </c>
      <c r="DE20" s="37" t="n">
        <v>-0.03</v>
      </c>
      <c r="DF20" s="16" t="s">
        <v>121</v>
      </c>
    </row>
    <row r="21" customFormat="false" ht="15" hidden="false" customHeight="true" outlineLevel="0" collapsed="false">
      <c r="B21" s="30" t="s">
        <v>107</v>
      </c>
      <c r="C21" s="31" t="str">
        <f aca="false">IFERROR(C19/C20*1000,"")</f>
        <v/>
      </c>
      <c r="D21" s="31" t="str">
        <f aca="false">IFERROR(D19/D20*1000,"")</f>
        <v/>
      </c>
      <c r="E21" s="31" t="str">
        <f aca="false">IFERROR(E19/E20*1000,"")</f>
        <v/>
      </c>
      <c r="F21" s="31" t="str">
        <f aca="false">IFERROR(F19/F20*1000,"")</f>
        <v/>
      </c>
      <c r="G21" s="31" t="str">
        <f aca="false">IFERROR(G19/G20*1000,"")</f>
        <v/>
      </c>
      <c r="H21" s="31" t="str">
        <f aca="false">IFERROR(H19/H20*1000,"")</f>
        <v/>
      </c>
      <c r="I21" s="31" t="str">
        <f aca="false">IFERROR(I19/I20*1000,"")</f>
        <v/>
      </c>
      <c r="J21" s="31" t="str">
        <f aca="false">IFERROR(J19/J20*1000,"")</f>
        <v/>
      </c>
      <c r="K21" s="31" t="str">
        <f aca="false">IFERROR(K19/K20*1000,"")</f>
        <v/>
      </c>
      <c r="L21" s="31" t="str">
        <f aca="false">IFERROR(L19/L20*1000,"")</f>
        <v/>
      </c>
      <c r="M21" s="31" t="str">
        <f aca="false">IFERROR(M19/M20*1000,"")</f>
        <v/>
      </c>
      <c r="N21" s="31" t="str">
        <f aca="false">IFERROR(N19/N20*1000,"")</f>
        <v/>
      </c>
      <c r="O21" s="31" t="str">
        <f aca="false">IFERROR(O19/O20*1000,"")</f>
        <v/>
      </c>
      <c r="P21" s="31" t="str">
        <f aca="false">IFERROR(P19/P20*1000,"")</f>
        <v/>
      </c>
      <c r="Q21" s="31" t="str">
        <f aca="false">IFERROR(Q19/Q20*1000,"")</f>
        <v/>
      </c>
      <c r="R21" s="31" t="str">
        <f aca="false">IFERROR(R19/R20*1000,"")</f>
        <v/>
      </c>
      <c r="S21" s="31" t="str">
        <f aca="false">IFERROR(S19/S20*1000,"")</f>
        <v/>
      </c>
      <c r="T21" s="31" t="str">
        <f aca="false">IFERROR(T19/T20*1000,"")</f>
        <v/>
      </c>
      <c r="U21" s="31" t="str">
        <f aca="false">IFERROR(U19/U20*1000,"")</f>
        <v/>
      </c>
      <c r="V21" s="31" t="str">
        <f aca="false">IFERROR(V19/V20*1000,"")</f>
        <v/>
      </c>
      <c r="W21" s="31" t="str">
        <f aca="false">IFERROR(W19/W20*1000,"")</f>
        <v/>
      </c>
      <c r="X21" s="31" t="str">
        <f aca="false">IFERROR(X19/X20*1000,"")</f>
        <v/>
      </c>
      <c r="Y21" s="31" t="str">
        <f aca="false">IFERROR(Y19/Y20*1000,"")</f>
        <v/>
      </c>
      <c r="Z21" s="31" t="str">
        <f aca="false">IFERROR(Z19/Z20*1000,"")</f>
        <v/>
      </c>
      <c r="AA21" s="31" t="str">
        <f aca="false">IFERROR(AA19/AA20*1000,"")</f>
        <v/>
      </c>
      <c r="AB21" s="31" t="str">
        <f aca="false">IFERROR(AB19/AB20*1000,"")</f>
        <v/>
      </c>
      <c r="AC21" s="31" t="str">
        <f aca="false">IFERROR(AC19/AC20*1000,"")</f>
        <v/>
      </c>
      <c r="AD21" s="31" t="str">
        <f aca="false">IFERROR(AD19/AD20*1000,"")</f>
        <v/>
      </c>
      <c r="AE21" s="31" t="str">
        <f aca="false">IFERROR(AE19/AE20*1000,"")</f>
        <v/>
      </c>
      <c r="AF21" s="31" t="str">
        <f aca="false">IFERROR(AF19/AF20*1000,"")</f>
        <v/>
      </c>
      <c r="AG21" s="31" t="str">
        <f aca="false">IFERROR(AG19/AG20*1000,"")</f>
        <v/>
      </c>
      <c r="AH21" s="31" t="str">
        <f aca="false">IFERROR(AH19/AH20*1000,"")</f>
        <v/>
      </c>
      <c r="AI21" s="31" t="str">
        <f aca="false">IFERROR(AI19/AI20*1000,"")</f>
        <v/>
      </c>
      <c r="AJ21" s="31" t="str">
        <f aca="false">IFERROR(AJ19/AJ20*1000,"")</f>
        <v/>
      </c>
      <c r="AK21" s="31" t="str">
        <f aca="false">IFERROR(AK19/AK20*1000,"")</f>
        <v/>
      </c>
      <c r="AL21" s="31" t="str">
        <f aca="false">IFERROR(AL19/AL20*1000,"")</f>
        <v/>
      </c>
      <c r="AM21" s="31" t="str">
        <f aca="false">IFERROR(AM19/AM20*1000,"")</f>
        <v/>
      </c>
      <c r="AN21" s="31" t="str">
        <f aca="false">IFERROR(AN19/AN20*1000,"")</f>
        <v/>
      </c>
      <c r="AO21" s="31" t="str">
        <f aca="false">IFERROR(AO19/AO20*1000,"")</f>
        <v/>
      </c>
      <c r="AP21" s="31" t="str">
        <f aca="false">IFERROR(AP19/AP20*1000,"")</f>
        <v/>
      </c>
      <c r="AQ21" s="31" t="str">
        <f aca="false">IFERROR(AQ19/AQ20*1000,"")</f>
        <v/>
      </c>
      <c r="AR21" s="31" t="str">
        <f aca="false">IFERROR(AR19/AR20*1000,"")</f>
        <v/>
      </c>
      <c r="AS21" s="31" t="str">
        <f aca="false">IFERROR(AS19/AS20*1000,"")</f>
        <v/>
      </c>
      <c r="AT21" s="31" t="str">
        <f aca="false">IFERROR(AT19/AT20*1000,"")</f>
        <v/>
      </c>
      <c r="AU21" s="31" t="str">
        <f aca="false">IFERROR(AU19/AU20*1000,"")</f>
        <v/>
      </c>
      <c r="AV21" s="31" t="str">
        <f aca="false">IFERROR(AV19/AV20*1000,"")</f>
        <v/>
      </c>
      <c r="AW21" s="31" t="str">
        <f aca="false">IFERROR(AW19/AW20*1000,"")</f>
        <v/>
      </c>
      <c r="AX21" s="31" t="str">
        <f aca="false">IFERROR(AX19/AX20*1000,"")</f>
        <v/>
      </c>
      <c r="AY21" s="31" t="str">
        <f aca="false">IFERROR(AY19/AY20*1000,"")</f>
        <v/>
      </c>
      <c r="AZ21" s="31" t="str">
        <f aca="false">IFERROR(AZ19/AZ20*1000,"")</f>
        <v/>
      </c>
      <c r="BA21" s="31" t="str">
        <f aca="false">IFERROR(BA19/BA20*1000,"")</f>
        <v/>
      </c>
      <c r="BB21" s="31" t="str">
        <f aca="false">IFERROR(BB19/BB20*1000,"")</f>
        <v/>
      </c>
      <c r="BC21" s="31" t="str">
        <f aca="false">IFERROR(BC19/BC20*1000,"")</f>
        <v/>
      </c>
      <c r="BD21" s="31" t="str">
        <f aca="false">IFERROR(BD19/BD20*1000,"")</f>
        <v/>
      </c>
      <c r="BE21" s="31" t="str">
        <f aca="false">IFERROR(BE19/BE20*1000,"")</f>
        <v/>
      </c>
      <c r="BF21" s="31" t="str">
        <f aca="false">IFERROR(BF19/BF20*1000,"")</f>
        <v/>
      </c>
      <c r="BG21" s="31" t="str">
        <f aca="false">IFERROR(BG19/BG20*1000,"")</f>
        <v/>
      </c>
      <c r="BH21" s="31" t="str">
        <f aca="false">IFERROR(BH19/BH20*1000,"")</f>
        <v/>
      </c>
      <c r="BI21" s="31" t="str">
        <f aca="false">IFERROR(BI19/BI20*1000,"")</f>
        <v/>
      </c>
      <c r="BJ21" s="31" t="str">
        <f aca="false">IFERROR(BJ19/BJ20*1000,"")</f>
        <v/>
      </c>
      <c r="BK21" s="31" t="str">
        <f aca="false">IFERROR(BK19/BK20*1000,"")</f>
        <v/>
      </c>
      <c r="BL21" s="31" t="str">
        <f aca="false">IFERROR(BL19/BL20*1000,"")</f>
        <v/>
      </c>
      <c r="BM21" s="31" t="str">
        <f aca="false">IFERROR(BM19/BM20*1000,"")</f>
        <v/>
      </c>
      <c r="BN21" s="31" t="str">
        <f aca="false">IFERROR(BN19/BN20*1000,"")</f>
        <v/>
      </c>
      <c r="BO21" s="31" t="str">
        <f aca="false">IFERROR(BO19/BO20*1000,"")</f>
        <v/>
      </c>
      <c r="BP21" s="31" t="str">
        <f aca="false">IFERROR(BP19/BP20*1000,"")</f>
        <v/>
      </c>
      <c r="BQ21" s="31" t="str">
        <f aca="false">IFERROR(BQ19/BQ20*1000,"")</f>
        <v/>
      </c>
      <c r="BR21" s="31" t="str">
        <f aca="false">IFERROR(BR19/BR20*1000,"")</f>
        <v/>
      </c>
      <c r="BS21" s="31" t="str">
        <f aca="false">IFERROR(BS19/BS20*1000,"")</f>
        <v/>
      </c>
      <c r="BT21" s="31" t="str">
        <f aca="false">IFERROR(BT19/BT20*1000,"")</f>
        <v/>
      </c>
      <c r="BU21" s="31" t="str">
        <f aca="false">IFERROR(BU19/BU20*1000,"")</f>
        <v/>
      </c>
      <c r="BV21" s="31" t="str">
        <f aca="false">IFERROR(BV19/BV20*1000,"")</f>
        <v/>
      </c>
      <c r="BW21" s="31" t="str">
        <f aca="false">IFERROR(BW19/BW20*1000,"")</f>
        <v/>
      </c>
      <c r="BX21" s="31" t="str">
        <f aca="false">IFERROR(BX19/BX20*1000,"")</f>
        <v/>
      </c>
      <c r="BY21" s="31" t="str">
        <f aca="false">IFERROR(BY19/BY20*1000,"")</f>
        <v/>
      </c>
      <c r="BZ21" s="31" t="str">
        <f aca="false">IFERROR(BZ19/BZ20*1000,"")</f>
        <v/>
      </c>
      <c r="CA21" s="31" t="str">
        <f aca="false">IFERROR(CA19/CA20*1000,"")</f>
        <v/>
      </c>
      <c r="CB21" s="31" t="str">
        <f aca="false">IFERROR(CB19/CB20*1000,"")</f>
        <v/>
      </c>
      <c r="CC21" s="31" t="str">
        <f aca="false">IFERROR(CC19/CC20*1000,"")</f>
        <v/>
      </c>
      <c r="CD21" s="31" t="n">
        <f aca="false">IFERROR(CD19/CD20*1000,"")</f>
        <v>9985.303514377</v>
      </c>
      <c r="CE21" s="31" t="n">
        <f aca="false">IFERROR(CE19/CE20*1000,"")</f>
        <v>10343.8841201717</v>
      </c>
      <c r="CF21" s="31" t="n">
        <f aca="false">IFERROR(CF19/CF20*1000,"")</f>
        <v>10180.2274715661</v>
      </c>
      <c r="CG21" s="31" t="n">
        <f aca="false">IFERROR(CG19/CG20*1000,"")</f>
        <v>9983.43558282209</v>
      </c>
      <c r="CH21" s="31" t="n">
        <f aca="false">IFERROR(CH19/CH20*1000,"")</f>
        <v>9917.42654508612</v>
      </c>
      <c r="CI21" s="31" t="n">
        <f aca="false">IFERROR(CI19/CI20*1000,"")</f>
        <v>10060.8559647377</v>
      </c>
      <c r="CJ21" s="31" t="n">
        <f aca="false">IFERROR(CJ19/CJ20*1000,"")</f>
        <v>10833.3333333333</v>
      </c>
      <c r="CK21" s="31" t="n">
        <f aca="false">IFERROR(CK19/CK20*1000,"")</f>
        <v>10383</v>
      </c>
      <c r="CL21" s="31" t="n">
        <f aca="false">IFERROR(CL19/CL20*1000,"")</f>
        <v>10595.9409594096</v>
      </c>
      <c r="CM21" s="32" t="n">
        <f aca="false">CG21*(1+$CO$22)</f>
        <v>10183.1042944785</v>
      </c>
      <c r="CN21" s="32" t="n">
        <f aca="false">CH21*(1+$CO$22)</f>
        <v>10115.7750759878</v>
      </c>
      <c r="CO21" s="32" t="n">
        <f aca="false">IFERROR(CO19/CO20*1000,"")</f>
        <v>10367.8956189542</v>
      </c>
      <c r="CP21" s="32" t="n">
        <f aca="false">CO21*(1+CP22)</f>
        <v>10575.2535313333</v>
      </c>
      <c r="CQ21" s="32" t="n">
        <f aca="false">CP21*(1+CQ22)</f>
        <v>10786.7586019599</v>
      </c>
      <c r="CR21" s="32" t="n">
        <f aca="false">CQ21*(1+CR22)</f>
        <v>11002.4937739991</v>
      </c>
      <c r="CS21" s="32" t="n">
        <f aca="false">CR21*(1+CS22)</f>
        <v>11222.5436494791</v>
      </c>
      <c r="CT21" s="23"/>
      <c r="CV21" s="7"/>
      <c r="CW21" s="7"/>
      <c r="CX21" s="7"/>
      <c r="CY21" s="7"/>
      <c r="DB21" s="13" t="s">
        <v>122</v>
      </c>
      <c r="DC21" s="38" t="n">
        <f aca="false">DD21+$DC$20</f>
        <v>0.07</v>
      </c>
      <c r="DD21" s="29" t="n">
        <v>0.05</v>
      </c>
      <c r="DE21" s="38" t="n">
        <f aca="false">DD21+$DE$20</f>
        <v>0.02</v>
      </c>
    </row>
    <row r="22" customFormat="false" ht="15" hidden="false" customHeight="true" outlineLevel="0" collapsed="false">
      <c r="B22" s="30" t="s">
        <v>109</v>
      </c>
      <c r="C22" s="34"/>
      <c r="D22" s="34" t="str">
        <f aca="false">IFERROR(D21/C21-1,"")</f>
        <v/>
      </c>
      <c r="E22" s="34" t="str">
        <f aca="false">IFERROR(E21/D21-1,"")</f>
        <v/>
      </c>
      <c r="F22" s="34" t="str">
        <f aca="false">IFERROR(F21/E21-1,"")</f>
        <v/>
      </c>
      <c r="G22" s="34" t="str">
        <f aca="false">IFERROR(G21/F21-1,"")</f>
        <v/>
      </c>
      <c r="H22" s="34" t="str">
        <f aca="false">IFERROR(H21/G21-1,"")</f>
        <v/>
      </c>
      <c r="I22" s="34" t="str">
        <f aca="false">IFERROR(I21/H21-1,"")</f>
        <v/>
      </c>
      <c r="J22" s="34"/>
      <c r="K22" s="34"/>
      <c r="L22" s="34"/>
      <c r="M22" s="34"/>
      <c r="N22" s="34"/>
      <c r="O22" s="34" t="str">
        <f aca="false">IFERROR(O21/I21-1,"")</f>
        <v/>
      </c>
      <c r="P22" s="34" t="str">
        <f aca="false">IFERROR(P21/J21-1,"")</f>
        <v/>
      </c>
      <c r="Q22" s="34" t="str">
        <f aca="false">IFERROR(Q21/K21-1,"")</f>
        <v/>
      </c>
      <c r="R22" s="34" t="str">
        <f aca="false">IFERROR(R21/L21-1,"")</f>
        <v/>
      </c>
      <c r="S22" s="34" t="str">
        <f aca="false">IFERROR(S21/M21-1,"")</f>
        <v/>
      </c>
      <c r="T22" s="34" t="str">
        <f aca="false">IFERROR(T21/N21-1,"")</f>
        <v/>
      </c>
      <c r="U22" s="34" t="str">
        <f aca="false">IFERROR(U21/O21-1,"")</f>
        <v/>
      </c>
      <c r="V22" s="34" t="str">
        <f aca="false">IFERROR(V21/P21-1,"")</f>
        <v/>
      </c>
      <c r="W22" s="34" t="str">
        <f aca="false">IFERROR(W21/Q21-1,"")</f>
        <v/>
      </c>
      <c r="X22" s="34" t="str">
        <f aca="false">IFERROR(X21/R21-1,"")</f>
        <v/>
      </c>
      <c r="Y22" s="34" t="str">
        <f aca="false">IFERROR(Y21/S21-1,"")</f>
        <v/>
      </c>
      <c r="Z22" s="34" t="str">
        <f aca="false">IFERROR(Z21/T21-1,"")</f>
        <v/>
      </c>
      <c r="AA22" s="34" t="str">
        <f aca="false">IFERROR(AA21/U21-1,"")</f>
        <v/>
      </c>
      <c r="AB22" s="34" t="str">
        <f aca="false">IFERROR(AB21/V21-1,"")</f>
        <v/>
      </c>
      <c r="AC22" s="34" t="str">
        <f aca="false">IFERROR(AC21/W21-1,"")</f>
        <v/>
      </c>
      <c r="AD22" s="34" t="str">
        <f aca="false">IFERROR(AD21/X21-1,"")</f>
        <v/>
      </c>
      <c r="AE22" s="34" t="str">
        <f aca="false">IFERROR(AE21/Y21-1,"")</f>
        <v/>
      </c>
      <c r="AF22" s="34" t="str">
        <f aca="false">IFERROR(AF21/Z21-1,"")</f>
        <v/>
      </c>
      <c r="AG22" s="34" t="str">
        <f aca="false">IFERROR(AG21/AA21-1,"")</f>
        <v/>
      </c>
      <c r="AH22" s="34" t="str">
        <f aca="false">IFERROR(AH21/AB21-1,"")</f>
        <v/>
      </c>
      <c r="AI22" s="34" t="str">
        <f aca="false">IFERROR(AI21/AC21-1,"")</f>
        <v/>
      </c>
      <c r="AJ22" s="34" t="str">
        <f aca="false">IFERROR(AJ21/AD21-1,"")</f>
        <v/>
      </c>
      <c r="AK22" s="34" t="str">
        <f aca="false">IFERROR(AK21/AE21-1,"")</f>
        <v/>
      </c>
      <c r="AL22" s="34" t="str">
        <f aca="false">IFERROR(AL21/AF21-1,"")</f>
        <v/>
      </c>
      <c r="AM22" s="34" t="str">
        <f aca="false">IFERROR(AM21/AG21-1,"")</f>
        <v/>
      </c>
      <c r="AN22" s="34" t="str">
        <f aca="false">IFERROR(AN21/AH21-1,"")</f>
        <v/>
      </c>
      <c r="AO22" s="34" t="str">
        <f aca="false">IFERROR(AO21/AI21-1,"")</f>
        <v/>
      </c>
      <c r="AP22" s="34" t="str">
        <f aca="false">IFERROR(AP21/AJ21-1,"")</f>
        <v/>
      </c>
      <c r="AQ22" s="34" t="str">
        <f aca="false">IFERROR(AQ21/AK21-1,"")</f>
        <v/>
      </c>
      <c r="AR22" s="34" t="str">
        <f aca="false">IFERROR(AR21/AL21-1,"")</f>
        <v/>
      </c>
      <c r="AS22" s="34" t="str">
        <f aca="false">IFERROR(AS21/AM21-1,"")</f>
        <v/>
      </c>
      <c r="AT22" s="34" t="str">
        <f aca="false">IFERROR(AT21/AN21-1,"")</f>
        <v/>
      </c>
      <c r="AU22" s="34" t="str">
        <f aca="false">IFERROR(AU21/AO21-1,"")</f>
        <v/>
      </c>
      <c r="AV22" s="34" t="str">
        <f aca="false">IFERROR(AV21/AP21-1,"")</f>
        <v/>
      </c>
      <c r="AW22" s="34" t="str">
        <f aca="false">IFERROR(AW21/AQ21-1,"")</f>
        <v/>
      </c>
      <c r="AX22" s="34" t="str">
        <f aca="false">IFERROR(AX21/AR21-1,"")</f>
        <v/>
      </c>
      <c r="AY22" s="34" t="str">
        <f aca="false">IFERROR(AY21/AS21-1,"")</f>
        <v/>
      </c>
      <c r="AZ22" s="34" t="str">
        <f aca="false">IFERROR(AZ21/AT21-1,"")</f>
        <v/>
      </c>
      <c r="BA22" s="34" t="str">
        <f aca="false">IFERROR(BA21/AU21-1,"")</f>
        <v/>
      </c>
      <c r="BB22" s="34" t="str">
        <f aca="false">IFERROR(BB21/AV21-1,"")</f>
        <v/>
      </c>
      <c r="BC22" s="34" t="str">
        <f aca="false">IFERROR(BC21/AW21-1,"")</f>
        <v/>
      </c>
      <c r="BD22" s="34" t="str">
        <f aca="false">IFERROR(BD21/AX21-1,"")</f>
        <v/>
      </c>
      <c r="BE22" s="34" t="str">
        <f aca="false">IFERROR(BE21/AY21-1,"")</f>
        <v/>
      </c>
      <c r="BF22" s="34" t="str">
        <f aca="false">IFERROR(BF21/AZ21-1,"")</f>
        <v/>
      </c>
      <c r="BG22" s="34" t="str">
        <f aca="false">IFERROR(BG21/BA21-1,"")</f>
        <v/>
      </c>
      <c r="BH22" s="34" t="str">
        <f aca="false">IFERROR(BH21/BB21-1,"")</f>
        <v/>
      </c>
      <c r="BI22" s="34" t="str">
        <f aca="false">IFERROR(BI21/BC21-1,"")</f>
        <v/>
      </c>
      <c r="BJ22" s="34" t="str">
        <f aca="false">IFERROR(BJ21/BD21-1,"")</f>
        <v/>
      </c>
      <c r="BK22" s="34" t="str">
        <f aca="false">IFERROR(BK21/BE21-1,"")</f>
        <v/>
      </c>
      <c r="BL22" s="34" t="str">
        <f aca="false">IFERROR(BL21/BF21-1,"")</f>
        <v/>
      </c>
      <c r="BM22" s="34" t="str">
        <f aca="false">IFERROR(BM21/BG21-1,"")</f>
        <v/>
      </c>
      <c r="BN22" s="34" t="str">
        <f aca="false">IFERROR(BN21/BH21-1,"")</f>
        <v/>
      </c>
      <c r="BO22" s="34" t="str">
        <f aca="false">IFERROR(BO21/BI21-1,"")</f>
        <v/>
      </c>
      <c r="BP22" s="34" t="str">
        <f aca="false">IFERROR(BP21/BJ21-1,"")</f>
        <v/>
      </c>
      <c r="BQ22" s="34" t="str">
        <f aca="false">IFERROR(BQ21/BK21-1,"")</f>
        <v/>
      </c>
      <c r="BR22" s="34" t="str">
        <f aca="false">IFERROR(BR21/BL21-1,"")</f>
        <v/>
      </c>
      <c r="BS22" s="34" t="str">
        <f aca="false">IFERROR(BS21/BM21-1,"")</f>
        <v/>
      </c>
      <c r="BT22" s="34" t="str">
        <f aca="false">IFERROR(BT21/BN21-1,"")</f>
        <v/>
      </c>
      <c r="BU22" s="34" t="str">
        <f aca="false">IFERROR(BU21/BO21-1,"")</f>
        <v/>
      </c>
      <c r="BV22" s="34" t="str">
        <f aca="false">IFERROR(BV21/BP21-1,"")</f>
        <v/>
      </c>
      <c r="BW22" s="34" t="str">
        <f aca="false">IFERROR(BW21/BQ21-1,"")</f>
        <v/>
      </c>
      <c r="BX22" s="34" t="str">
        <f aca="false">IFERROR(BX21/BR21-1,"")</f>
        <v/>
      </c>
      <c r="BY22" s="34" t="str">
        <f aca="false">IFERROR(BY21/BS21-1,"")</f>
        <v/>
      </c>
      <c r="BZ22" s="34" t="str">
        <f aca="false">IFERROR(BZ21/BT21-1,"")</f>
        <v/>
      </c>
      <c r="CA22" s="34" t="str">
        <f aca="false">IFERROR(CA21/BU21-1,"")</f>
        <v/>
      </c>
      <c r="CB22" s="34" t="str">
        <f aca="false">IFERROR(CB21/BV21-1,"")</f>
        <v/>
      </c>
      <c r="CC22" s="34" t="str">
        <f aca="false">IFERROR(CC21/BW21-1,"")</f>
        <v/>
      </c>
      <c r="CD22" s="34" t="str">
        <f aca="false">IFERROR(CD21/BX21-1,"")</f>
        <v/>
      </c>
      <c r="CE22" s="34" t="str">
        <f aca="false">IFERROR(CE21/BY21-1,"")</f>
        <v/>
      </c>
      <c r="CF22" s="34" t="str">
        <f aca="false">IFERROR(CF21/BZ21-1,"")</f>
        <v/>
      </c>
      <c r="CG22" s="34" t="str">
        <f aca="false">IFERROR(CG21/CA21-1,"")</f>
        <v/>
      </c>
      <c r="CH22" s="34" t="str">
        <f aca="false">IFERROR(CH21/CB21-1,"")</f>
        <v/>
      </c>
      <c r="CI22" s="34" t="str">
        <f aca="false">IFERROR(CI21/CC21-1,"")</f>
        <v/>
      </c>
      <c r="CJ22" s="34" t="n">
        <f aca="false">IFERROR(CJ21/CD21-1,"")</f>
        <v>0.0849277959087902</v>
      </c>
      <c r="CK22" s="34" t="n">
        <f aca="false">IFERROR(CK21/CE21-1,"")</f>
        <v>0.00378154660028018</v>
      </c>
      <c r="CL22" s="34" t="n">
        <f aca="false">IFERROR(CL21/CF21-1,"")</f>
        <v>0.0408353830014752</v>
      </c>
      <c r="CM22" s="35"/>
      <c r="CN22" s="35"/>
      <c r="CO22" s="36" t="n">
        <v>0.02</v>
      </c>
      <c r="CP22" s="36" t="n">
        <v>0.02</v>
      </c>
      <c r="CQ22" s="36" t="n">
        <v>0.02</v>
      </c>
      <c r="CR22" s="36" t="n">
        <v>0.02</v>
      </c>
      <c r="CS22" s="36" t="n">
        <v>0.02</v>
      </c>
      <c r="CT22" s="23" t="s">
        <v>110</v>
      </c>
      <c r="CV22" s="7"/>
      <c r="CW22" s="7"/>
      <c r="CX22" s="7"/>
      <c r="CY22" s="7"/>
      <c r="DB22" s="13" t="s">
        <v>123</v>
      </c>
      <c r="DC22" s="38" t="n">
        <f aca="false">DD22+$DC$20</f>
        <v>0.07</v>
      </c>
      <c r="DD22" s="29" t="n">
        <v>0.05</v>
      </c>
      <c r="DE22" s="38" t="n">
        <f aca="false">DD22+$DE$20</f>
        <v>0.02</v>
      </c>
    </row>
    <row r="23" customFormat="false" ht="15" hidden="false" customHeight="true" outlineLevel="0" collapsed="false">
      <c r="B23" s="30" t="s">
        <v>111</v>
      </c>
      <c r="C23" s="34"/>
      <c r="D23" s="34" t="str">
        <f aca="false">IFERROR(D19/C19-1,"")</f>
        <v/>
      </c>
      <c r="E23" s="34" t="str">
        <f aca="false">IFERROR(E19/D19-1,"")</f>
        <v/>
      </c>
      <c r="F23" s="34" t="str">
        <f aca="false">IFERROR(F19/E19-1,"")</f>
        <v/>
      </c>
      <c r="G23" s="34" t="str">
        <f aca="false">IFERROR(G19/F19-1,"")</f>
        <v/>
      </c>
      <c r="H23" s="34" t="str">
        <f aca="false">IFERROR(H19/G19-1,"")</f>
        <v/>
      </c>
      <c r="I23" s="34" t="str">
        <f aca="false">IFERROR(I19/H19-1,"")</f>
        <v/>
      </c>
      <c r="J23" s="34"/>
      <c r="K23" s="34"/>
      <c r="L23" s="34"/>
      <c r="M23" s="34"/>
      <c r="N23" s="34"/>
      <c r="O23" s="34" t="str">
        <f aca="false">IFERROR(O19/I19-1,"")</f>
        <v/>
      </c>
      <c r="P23" s="34" t="str">
        <f aca="false">IFERROR(P19/J19-1,"")</f>
        <v/>
      </c>
      <c r="Q23" s="34" t="str">
        <f aca="false">IFERROR(Q19/K19-1,"")</f>
        <v/>
      </c>
      <c r="R23" s="34" t="str">
        <f aca="false">IFERROR(R19/L19-1,"")</f>
        <v/>
      </c>
      <c r="S23" s="34" t="str">
        <f aca="false">IFERROR(S19/M19-1,"")</f>
        <v/>
      </c>
      <c r="T23" s="34" t="str">
        <f aca="false">IFERROR(T19/N19-1,"")</f>
        <v/>
      </c>
      <c r="U23" s="34" t="str">
        <f aca="false">IFERROR(U19/O19-1,"")</f>
        <v/>
      </c>
      <c r="V23" s="34" t="str">
        <f aca="false">IFERROR(V19/P19-1,"")</f>
        <v/>
      </c>
      <c r="W23" s="34" t="str">
        <f aca="false">IFERROR(W19/Q19-1,"")</f>
        <v/>
      </c>
      <c r="X23" s="34" t="str">
        <f aca="false">IFERROR(X19/R19-1,"")</f>
        <v/>
      </c>
      <c r="Y23" s="34" t="str">
        <f aca="false">IFERROR(Y19/S19-1,"")</f>
        <v/>
      </c>
      <c r="Z23" s="34" t="str">
        <f aca="false">IFERROR(Z19/T19-1,"")</f>
        <v/>
      </c>
      <c r="AA23" s="34" t="str">
        <f aca="false">IFERROR(AA19/U19-1,"")</f>
        <v/>
      </c>
      <c r="AB23" s="34" t="str">
        <f aca="false">IFERROR(AB19/V19-1,"")</f>
        <v/>
      </c>
      <c r="AC23" s="34" t="str">
        <f aca="false">IFERROR(AC19/W19-1,"")</f>
        <v/>
      </c>
      <c r="AD23" s="34" t="str">
        <f aca="false">IFERROR(AD19/X19-1,"")</f>
        <v/>
      </c>
      <c r="AE23" s="34" t="str">
        <f aca="false">IFERROR(AE19/Y19-1,"")</f>
        <v/>
      </c>
      <c r="AF23" s="34" t="str">
        <f aca="false">IFERROR(AF19/Z19-1,"")</f>
        <v/>
      </c>
      <c r="AG23" s="34" t="str">
        <f aca="false">IFERROR(AG19/AA19-1,"")</f>
        <v/>
      </c>
      <c r="AH23" s="34" t="str">
        <f aca="false">IFERROR(AH19/AB19-1,"")</f>
        <v/>
      </c>
      <c r="AI23" s="34" t="str">
        <f aca="false">IFERROR(AI19/AC19-1,"")</f>
        <v/>
      </c>
      <c r="AJ23" s="34" t="str">
        <f aca="false">IFERROR(AJ19/AD19-1,"")</f>
        <v/>
      </c>
      <c r="AK23" s="34" t="str">
        <f aca="false">IFERROR(AK19/AE19-1,"")</f>
        <v/>
      </c>
      <c r="AL23" s="34" t="str">
        <f aca="false">IFERROR(AL19/AF19-1,"")</f>
        <v/>
      </c>
      <c r="AM23" s="34" t="str">
        <f aca="false">IFERROR(AM19/AG19-1,"")</f>
        <v/>
      </c>
      <c r="AN23" s="34" t="str">
        <f aca="false">IFERROR(AN19/AH19-1,"")</f>
        <v/>
      </c>
      <c r="AO23" s="34" t="str">
        <f aca="false">IFERROR(AO19/AI19-1,"")</f>
        <v/>
      </c>
      <c r="AP23" s="34" t="str">
        <f aca="false">IFERROR(AP19/AJ19-1,"")</f>
        <v/>
      </c>
      <c r="AQ23" s="34" t="str">
        <f aca="false">IFERROR(AQ19/AK19-1,"")</f>
        <v/>
      </c>
      <c r="AR23" s="34" t="str">
        <f aca="false">IFERROR(AR19/AL19-1,"")</f>
        <v/>
      </c>
      <c r="AS23" s="34" t="str">
        <f aca="false">IFERROR(AS19/AM19-1,"")</f>
        <v/>
      </c>
      <c r="AT23" s="34" t="str">
        <f aca="false">IFERROR(AT19/AN19-1,"")</f>
        <v/>
      </c>
      <c r="AU23" s="34" t="str">
        <f aca="false">IFERROR(AU19/AO19-1,"")</f>
        <v/>
      </c>
      <c r="AV23" s="34" t="str">
        <f aca="false">IFERROR(AV19/AP19-1,"")</f>
        <v/>
      </c>
      <c r="AW23" s="34" t="str">
        <f aca="false">IFERROR(AW19/AQ19-1,"")</f>
        <v/>
      </c>
      <c r="AX23" s="34" t="str">
        <f aca="false">IFERROR(AX19/AR19-1,"")</f>
        <v/>
      </c>
      <c r="AY23" s="34" t="str">
        <f aca="false">IFERROR(AY19/AS19-1,"")</f>
        <v/>
      </c>
      <c r="AZ23" s="34" t="str">
        <f aca="false">IFERROR(AZ19/AT19-1,"")</f>
        <v/>
      </c>
      <c r="BA23" s="34" t="str">
        <f aca="false">IFERROR(BA19/AU19-1,"")</f>
        <v/>
      </c>
      <c r="BB23" s="34" t="str">
        <f aca="false">IFERROR(BB19/AV19-1,"")</f>
        <v/>
      </c>
      <c r="BC23" s="34" t="str">
        <f aca="false">IFERROR(BC19/AW19-1,"")</f>
        <v/>
      </c>
      <c r="BD23" s="34" t="str">
        <f aca="false">IFERROR(BD19/AX19-1,"")</f>
        <v/>
      </c>
      <c r="BE23" s="34" t="str">
        <f aca="false">IFERROR(BE19/AY19-1,"")</f>
        <v/>
      </c>
      <c r="BF23" s="34" t="str">
        <f aca="false">IFERROR(BF19/AZ19-1,"")</f>
        <v/>
      </c>
      <c r="BG23" s="34" t="str">
        <f aca="false">IFERROR(BG19/BA19-1,"")</f>
        <v/>
      </c>
      <c r="BH23" s="34" t="str">
        <f aca="false">IFERROR(BH19/BB19-1,"")</f>
        <v/>
      </c>
      <c r="BI23" s="34" t="str">
        <f aca="false">IFERROR(BI19/BC19-1,"")</f>
        <v/>
      </c>
      <c r="BJ23" s="34" t="str">
        <f aca="false">IFERROR(BJ19/BD19-1,"")</f>
        <v/>
      </c>
      <c r="BK23" s="34" t="str">
        <f aca="false">IFERROR(BK19/BE19-1,"")</f>
        <v/>
      </c>
      <c r="BL23" s="34" t="str">
        <f aca="false">IFERROR(BL19/BF19-1,"")</f>
        <v/>
      </c>
      <c r="BM23" s="34" t="str">
        <f aca="false">IFERROR(BM19/BG19-1,"")</f>
        <v/>
      </c>
      <c r="BN23" s="34" t="str">
        <f aca="false">IFERROR(BN19/BH19-1,"")</f>
        <v/>
      </c>
      <c r="BO23" s="34" t="str">
        <f aca="false">IFERROR(BO19/BI19-1,"")</f>
        <v/>
      </c>
      <c r="BP23" s="34" t="str">
        <f aca="false">IFERROR(BP19/BJ19-1,"")</f>
        <v/>
      </c>
      <c r="BQ23" s="34" t="str">
        <f aca="false">IFERROR(BQ19/BK19-1,"")</f>
        <v/>
      </c>
      <c r="BR23" s="34" t="str">
        <f aca="false">IFERROR(BR19/BL19-1,"")</f>
        <v/>
      </c>
      <c r="BS23" s="34" t="str">
        <f aca="false">IFERROR(BS19/BM19-1,"")</f>
        <v/>
      </c>
      <c r="BT23" s="34" t="str">
        <f aca="false">IFERROR(BT19/BN19-1,"")</f>
        <v/>
      </c>
      <c r="BU23" s="34" t="str">
        <f aca="false">IFERROR(BU19/BO19-1,"")</f>
        <v/>
      </c>
      <c r="BV23" s="34" t="str">
        <f aca="false">IFERROR(BV19/BP19-1,"")</f>
        <v/>
      </c>
      <c r="BW23" s="34" t="str">
        <f aca="false">IFERROR(BW19/BQ19-1,"")</f>
        <v/>
      </c>
      <c r="BX23" s="34" t="str">
        <f aca="false">IFERROR(BX19/BR19-1,"")</f>
        <v/>
      </c>
      <c r="BY23" s="34" t="str">
        <f aca="false">IFERROR(BY19/BS19-1,"")</f>
        <v/>
      </c>
      <c r="BZ23" s="34" t="str">
        <f aca="false">IFERROR(BZ19/BT19-1,"")</f>
        <v/>
      </c>
      <c r="CA23" s="34" t="str">
        <f aca="false">IFERROR(CA19/BU19-1,"")</f>
        <v/>
      </c>
      <c r="CB23" s="34" t="str">
        <f aca="false">IFERROR(CB19/BV19-1,"")</f>
        <v/>
      </c>
      <c r="CC23" s="34" t="str">
        <f aca="false">IFERROR(CC19/BW19-1,"")</f>
        <v/>
      </c>
      <c r="CD23" s="34" t="str">
        <f aca="false">IFERROR(CD19/BX19-1,"")</f>
        <v/>
      </c>
      <c r="CE23" s="34" t="str">
        <f aca="false">IFERROR(CE19/BY19-1,"")</f>
        <v/>
      </c>
      <c r="CF23" s="34" t="str">
        <f aca="false">IFERROR(CF19/BZ19-1,"")</f>
        <v/>
      </c>
      <c r="CG23" s="34" t="str">
        <f aca="false">IFERROR(CG19/CA19-1,"")</f>
        <v/>
      </c>
      <c r="CH23" s="34" t="str">
        <f aca="false">IFERROR(CH19/CB19-1,"")</f>
        <v/>
      </c>
      <c r="CI23" s="34" t="str">
        <f aca="false">IFERROR(CI19/CC19-1,"")</f>
        <v/>
      </c>
      <c r="CJ23" s="34" t="n">
        <f aca="false">IFERROR(CJ19/CD19-1,"")</f>
        <v>0.243680808856466</v>
      </c>
      <c r="CK23" s="34" t="n">
        <f aca="false">IFERROR(CK19/CE19-1,"")</f>
        <v>0.0770188268243348</v>
      </c>
      <c r="CL23" s="34" t="n">
        <f aca="false">IFERROR(CL19/CF19-1,"")</f>
        <v>0.151627134181277</v>
      </c>
      <c r="CM23" s="35" t="n">
        <f aca="false">IFERROR(CM19/CG19-1,"")</f>
        <v>0.105910666746278</v>
      </c>
      <c r="CN23" s="35" t="n">
        <f aca="false">IFERROR(CN19/CH19-1,"")</f>
        <v>0.103902780932049</v>
      </c>
      <c r="CO23" s="35" t="n">
        <f aca="false">IFERROR(CO19/CI19-1,"")</f>
        <v>0.12790905653451</v>
      </c>
      <c r="CP23" s="35" t="n">
        <f aca="false">CHOOSE(MATCH($CT$2,{"Bull","Base","Bear"},0),$DC$27,$DD$27,$DE$27)</f>
        <v>0.06</v>
      </c>
      <c r="CQ23" s="35" t="n">
        <f aca="false">CHOOSE(MATCH($CT$2,{"Bull","Base","Bear"},0),$DC$28,$DD$28,$DE$28)</f>
        <v>0.045</v>
      </c>
      <c r="CR23" s="35" t="n">
        <f aca="false">CHOOSE(MATCH($CT$2,{"Bull","Base","Bear"},0),$DC$29,$DD$29,$DE$29)</f>
        <v>0.04</v>
      </c>
      <c r="CS23" s="35" t="n">
        <f aca="false">CHOOSE(MATCH($CT$2,{"Bull","Base","Bear"},0),$DC$30,$DD$30,$DE$30)</f>
        <v>0.04</v>
      </c>
      <c r="CT23" s="23" t="s">
        <v>124</v>
      </c>
      <c r="CV23" s="7"/>
      <c r="CW23" s="7"/>
      <c r="CX23" s="7"/>
      <c r="CY23" s="7"/>
      <c r="DB23" s="13" t="s">
        <v>125</v>
      </c>
      <c r="DC23" s="38" t="n">
        <f aca="false">DD23+$DC$20</f>
        <v>0.065</v>
      </c>
      <c r="DD23" s="29" t="n">
        <v>0.045</v>
      </c>
      <c r="DE23" s="38" t="n">
        <f aca="false">DD23+$DE$20</f>
        <v>0.015</v>
      </c>
    </row>
    <row r="24" customFormat="false" ht="15" hidden="false" customHeight="true" outlineLevel="0" collapsed="false">
      <c r="B24" s="30" t="s">
        <v>114</v>
      </c>
      <c r="C24" s="34"/>
      <c r="D24" s="34" t="str">
        <f aca="false">IFERROR(D20/C20-1,"")</f>
        <v/>
      </c>
      <c r="E24" s="34" t="str">
        <f aca="false">IFERROR(E20/D20-1,"")</f>
        <v/>
      </c>
      <c r="F24" s="34" t="str">
        <f aca="false">IFERROR(F20/E20-1,"")</f>
        <v/>
      </c>
      <c r="G24" s="34" t="str">
        <f aca="false">IFERROR(G20/F20-1,"")</f>
        <v/>
      </c>
      <c r="H24" s="34" t="str">
        <f aca="false">IFERROR(H20/G20-1,"")</f>
        <v/>
      </c>
      <c r="I24" s="34" t="str">
        <f aca="false">IFERROR(I20/H20-1,"")</f>
        <v/>
      </c>
      <c r="J24" s="34"/>
      <c r="K24" s="34"/>
      <c r="L24" s="34"/>
      <c r="M24" s="34"/>
      <c r="N24" s="34"/>
      <c r="O24" s="34" t="str">
        <f aca="false">IFERROR(O20/I20-1,"")</f>
        <v/>
      </c>
      <c r="P24" s="34" t="str">
        <f aca="false">IFERROR(P20/J20-1,"")</f>
        <v/>
      </c>
      <c r="Q24" s="34" t="str">
        <f aca="false">IFERROR(Q20/K20-1,"")</f>
        <v/>
      </c>
      <c r="R24" s="34" t="str">
        <f aca="false">IFERROR(R20/L20-1,"")</f>
        <v/>
      </c>
      <c r="S24" s="34" t="str">
        <f aca="false">IFERROR(S20/M20-1,"")</f>
        <v/>
      </c>
      <c r="T24" s="34" t="str">
        <f aca="false">IFERROR(T20/N20-1,"")</f>
        <v/>
      </c>
      <c r="U24" s="34" t="str">
        <f aca="false">IFERROR(U20/O20-1,"")</f>
        <v/>
      </c>
      <c r="V24" s="34" t="str">
        <f aca="false">IFERROR(V20/P20-1,"")</f>
        <v/>
      </c>
      <c r="W24" s="34" t="str">
        <f aca="false">IFERROR(W20/Q20-1,"")</f>
        <v/>
      </c>
      <c r="X24" s="34" t="str">
        <f aca="false">IFERROR(X20/R20-1,"")</f>
        <v/>
      </c>
      <c r="Y24" s="34" t="str">
        <f aca="false">IFERROR(Y20/S20-1,"")</f>
        <v/>
      </c>
      <c r="Z24" s="34" t="str">
        <f aca="false">IFERROR(Z20/T20-1,"")</f>
        <v/>
      </c>
      <c r="AA24" s="34" t="str">
        <f aca="false">IFERROR(AA20/U20-1,"")</f>
        <v/>
      </c>
      <c r="AB24" s="34" t="str">
        <f aca="false">IFERROR(AB20/V20-1,"")</f>
        <v/>
      </c>
      <c r="AC24" s="34" t="str">
        <f aca="false">IFERROR(AC20/W20-1,"")</f>
        <v/>
      </c>
      <c r="AD24" s="34" t="str">
        <f aca="false">IFERROR(AD20/X20-1,"")</f>
        <v/>
      </c>
      <c r="AE24" s="34" t="str">
        <f aca="false">IFERROR(AE20/Y20-1,"")</f>
        <v/>
      </c>
      <c r="AF24" s="34" t="str">
        <f aca="false">IFERROR(AF20/Z20-1,"")</f>
        <v/>
      </c>
      <c r="AG24" s="34" t="str">
        <f aca="false">IFERROR(AG20/AA20-1,"")</f>
        <v/>
      </c>
      <c r="AH24" s="34" t="str">
        <f aca="false">IFERROR(AH20/AB20-1,"")</f>
        <v/>
      </c>
      <c r="AI24" s="34" t="str">
        <f aca="false">IFERROR(AI20/AC20-1,"")</f>
        <v/>
      </c>
      <c r="AJ24" s="34" t="str">
        <f aca="false">IFERROR(AJ20/AD20-1,"")</f>
        <v/>
      </c>
      <c r="AK24" s="34" t="str">
        <f aca="false">IFERROR(AK20/AE20-1,"")</f>
        <v/>
      </c>
      <c r="AL24" s="34" t="str">
        <f aca="false">IFERROR(AL20/AF20-1,"")</f>
        <v/>
      </c>
      <c r="AM24" s="34" t="str">
        <f aca="false">IFERROR(AM20/AG20-1,"")</f>
        <v/>
      </c>
      <c r="AN24" s="34" t="str">
        <f aca="false">IFERROR(AN20/AH20-1,"")</f>
        <v/>
      </c>
      <c r="AO24" s="34" t="str">
        <f aca="false">IFERROR(AO20/AI20-1,"")</f>
        <v/>
      </c>
      <c r="AP24" s="34" t="str">
        <f aca="false">IFERROR(AP20/AJ20-1,"")</f>
        <v/>
      </c>
      <c r="AQ24" s="34" t="str">
        <f aca="false">IFERROR(AQ20/AK20-1,"")</f>
        <v/>
      </c>
      <c r="AR24" s="34" t="str">
        <f aca="false">IFERROR(AR20/AL20-1,"")</f>
        <v/>
      </c>
      <c r="AS24" s="34" t="str">
        <f aca="false">IFERROR(AS20/AM20-1,"")</f>
        <v/>
      </c>
      <c r="AT24" s="34" t="str">
        <f aca="false">IFERROR(AT20/AN20-1,"")</f>
        <v/>
      </c>
      <c r="AU24" s="34" t="str">
        <f aca="false">IFERROR(AU20/AO20-1,"")</f>
        <v/>
      </c>
      <c r="AV24" s="34" t="str">
        <f aca="false">IFERROR(AV20/AP20-1,"")</f>
        <v/>
      </c>
      <c r="AW24" s="34" t="str">
        <f aca="false">IFERROR(AW20/AQ20-1,"")</f>
        <v/>
      </c>
      <c r="AX24" s="34" t="str">
        <f aca="false">IFERROR(AX20/AR20-1,"")</f>
        <v/>
      </c>
      <c r="AY24" s="34" t="str">
        <f aca="false">IFERROR(AY20/AS20-1,"")</f>
        <v/>
      </c>
      <c r="AZ24" s="34" t="str">
        <f aca="false">IFERROR(AZ20/AT20-1,"")</f>
        <v/>
      </c>
      <c r="BA24" s="34" t="str">
        <f aca="false">IFERROR(BA20/AU20-1,"")</f>
        <v/>
      </c>
      <c r="BB24" s="34" t="str">
        <f aca="false">IFERROR(BB20/AV20-1,"")</f>
        <v/>
      </c>
      <c r="BC24" s="34" t="str">
        <f aca="false">IFERROR(BC20/AW20-1,"")</f>
        <v/>
      </c>
      <c r="BD24" s="34" t="str">
        <f aca="false">IFERROR(BD20/AX20-1,"")</f>
        <v/>
      </c>
      <c r="BE24" s="34" t="str">
        <f aca="false">IFERROR(BE20/AY20-1,"")</f>
        <v/>
      </c>
      <c r="BF24" s="34" t="str">
        <f aca="false">IFERROR(BF20/AZ20-1,"")</f>
        <v/>
      </c>
      <c r="BG24" s="34" t="str">
        <f aca="false">IFERROR(BG20/BA20-1,"")</f>
        <v/>
      </c>
      <c r="BH24" s="34" t="str">
        <f aca="false">IFERROR(BH20/BB20-1,"")</f>
        <v/>
      </c>
      <c r="BI24" s="34" t="str">
        <f aca="false">IFERROR(BI20/BC20-1,"")</f>
        <v/>
      </c>
      <c r="BJ24" s="34" t="str">
        <f aca="false">IFERROR(BJ20/BD20-1,"")</f>
        <v/>
      </c>
      <c r="BK24" s="34" t="str">
        <f aca="false">IFERROR(BK20/BE20-1,"")</f>
        <v/>
      </c>
      <c r="BL24" s="34" t="str">
        <f aca="false">IFERROR(BL20/BF20-1,"")</f>
        <v/>
      </c>
      <c r="BM24" s="34" t="str">
        <f aca="false">IFERROR(BM20/BG20-1,"")</f>
        <v/>
      </c>
      <c r="BN24" s="34" t="str">
        <f aca="false">IFERROR(BN20/BH20-1,"")</f>
        <v/>
      </c>
      <c r="BO24" s="34" t="str">
        <f aca="false">IFERROR(BO20/BI20-1,"")</f>
        <v/>
      </c>
      <c r="BP24" s="34" t="str">
        <f aca="false">IFERROR(BP20/BJ20-1,"")</f>
        <v/>
      </c>
      <c r="BQ24" s="34" t="str">
        <f aca="false">IFERROR(BQ20/BK20-1,"")</f>
        <v/>
      </c>
      <c r="BR24" s="34" t="str">
        <f aca="false">IFERROR(BR20/BL20-1,"")</f>
        <v/>
      </c>
      <c r="BS24" s="34" t="str">
        <f aca="false">IFERROR(BS20/BM20-1,"")</f>
        <v/>
      </c>
      <c r="BT24" s="34" t="str">
        <f aca="false">IFERROR(BT20/BN20-1,"")</f>
        <v/>
      </c>
      <c r="BU24" s="34" t="str">
        <f aca="false">IFERROR(BU20/BO20-1,"")</f>
        <v/>
      </c>
      <c r="BV24" s="34" t="str">
        <f aca="false">IFERROR(BV20/BP20-1,"")</f>
        <v/>
      </c>
      <c r="BW24" s="34" t="str">
        <f aca="false">IFERROR(BW20/BQ20-1,"")</f>
        <v/>
      </c>
      <c r="BX24" s="34" t="str">
        <f aca="false">IFERROR(BX20/BR20-1,"")</f>
        <v/>
      </c>
      <c r="BY24" s="34" t="str">
        <f aca="false">IFERROR(BY20/BS20-1,"")</f>
        <v/>
      </c>
      <c r="BZ24" s="34" t="str">
        <f aca="false">IFERROR(BZ20/BT20-1,"")</f>
        <v/>
      </c>
      <c r="CA24" s="34" t="str">
        <f aca="false">IFERROR(CA20/BU20-1,"")</f>
        <v/>
      </c>
      <c r="CB24" s="34" t="str">
        <f aca="false">IFERROR(CB20/BV20-1,"")</f>
        <v/>
      </c>
      <c r="CC24" s="34" t="str">
        <f aca="false">IFERROR(CC20/BW20-1,"")</f>
        <v/>
      </c>
      <c r="CD24" s="34" t="str">
        <f aca="false">IFERROR(CD20/BX20-1,"")</f>
        <v/>
      </c>
      <c r="CE24" s="34" t="str">
        <f aca="false">IFERROR(CE20/BY20-1,"")</f>
        <v/>
      </c>
      <c r="CF24" s="34" t="str">
        <f aca="false">IFERROR(CF20/BZ20-1,"")</f>
        <v/>
      </c>
      <c r="CG24" s="34" t="str">
        <f aca="false">IFERROR(CG20/CA20-1,"")</f>
        <v/>
      </c>
      <c r="CH24" s="34" t="str">
        <f aca="false">IFERROR(CH20/CB20-1,"")</f>
        <v/>
      </c>
      <c r="CI24" s="34" t="str">
        <f aca="false">IFERROR(CI20/CC20-1,"")</f>
        <v/>
      </c>
      <c r="CJ24" s="34" t="n">
        <f aca="false">IFERROR(CJ20/CD20-1,"")</f>
        <v>0.146325878594249</v>
      </c>
      <c r="CK24" s="34" t="n">
        <f aca="false">IFERROR(CK20/CE20-1,"")</f>
        <v>0.0729613733905579</v>
      </c>
      <c r="CL24" s="34" t="n">
        <f aca="false">IFERROR(CL20/CF20-1,"")</f>
        <v>0.10644502770487</v>
      </c>
      <c r="CM24" s="35" t="n">
        <f aca="false">IFERROR(CM20/CG20-1,"")</f>
        <v>0.0842261438689</v>
      </c>
      <c r="CN24" s="35" t="n">
        <f aca="false">IFERROR(CN20/CH20-1,"")</f>
        <v>0.0822576283647538</v>
      </c>
      <c r="CO24" s="35" t="n">
        <f aca="false">IFERROR(CO20/CI20-1,"")</f>
        <v>0.094506636271624</v>
      </c>
      <c r="CP24" s="35" t="n">
        <f aca="false">IFERROR(CP20/CO20-1,"")</f>
        <v>0.0392156862745097</v>
      </c>
      <c r="CQ24" s="35" t="n">
        <f aca="false">IFERROR(CQ20/CP20-1,"")</f>
        <v>0.0245098039215685</v>
      </c>
      <c r="CR24" s="35" t="n">
        <f aca="false">IFERROR(CR20/CQ20-1,"")</f>
        <v>0.0196078431372548</v>
      </c>
      <c r="CS24" s="35" t="n">
        <f aca="false">IFERROR(CS20/CR20-1,"")</f>
        <v>0.0196078431372548</v>
      </c>
      <c r="CT24" s="23"/>
      <c r="CV24" s="7"/>
      <c r="CW24" s="7"/>
      <c r="CX24" s="7"/>
      <c r="CY24" s="7"/>
      <c r="DB24" s="13" t="s">
        <v>126</v>
      </c>
      <c r="DC24" s="38" t="n">
        <f aca="false">DD24+$DC$20</f>
        <v>0.065</v>
      </c>
      <c r="DD24" s="29" t="n">
        <v>0.045</v>
      </c>
      <c r="DE24" s="38" t="n">
        <f aca="false">DD24+$DE$20</f>
        <v>0.015</v>
      </c>
    </row>
    <row r="25" customFormat="false" ht="15" hidden="false" customHeight="true" outlineLevel="0" collapsed="false">
      <c r="B25" s="39" t="s">
        <v>127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40" t="n">
        <v>1190</v>
      </c>
      <c r="BS25" s="40" t="n">
        <v>1481.3</v>
      </c>
      <c r="BT25" s="31" t="n">
        <f aca="false">BR25+BS25</f>
        <v>2671.3</v>
      </c>
      <c r="BU25" s="40" t="n">
        <v>1352.5</v>
      </c>
      <c r="BV25" s="40" t="n">
        <v>1422.8</v>
      </c>
      <c r="BW25" s="40" t="n">
        <v>5446.5</v>
      </c>
      <c r="BX25" s="40" t="n">
        <v>1561.2</v>
      </c>
      <c r="BY25" s="40" t="n">
        <v>1613.3</v>
      </c>
      <c r="BZ25" s="31" t="n">
        <f aca="false">BX25+BY25</f>
        <v>3174.5</v>
      </c>
      <c r="CA25" s="40" t="n">
        <v>1217.6</v>
      </c>
      <c r="CB25" s="40" t="n">
        <v>1413.7</v>
      </c>
      <c r="CC25" s="40" t="n">
        <v>5805.8</v>
      </c>
      <c r="CD25" s="40" t="n">
        <v>1276.7</v>
      </c>
      <c r="CE25" s="40" t="n">
        <v>1523.2</v>
      </c>
      <c r="CF25" s="31" t="n">
        <f aca="false">CD25+CE25</f>
        <v>2799.9</v>
      </c>
      <c r="CG25" s="40" t="n">
        <v>1328.9</v>
      </c>
      <c r="CH25" s="40" t="n">
        <v>1534.7</v>
      </c>
      <c r="CI25" s="40" t="n">
        <v>5663.6</v>
      </c>
      <c r="CJ25" s="40" t="n">
        <v>1622</v>
      </c>
      <c r="CK25" s="31"/>
      <c r="CL25" s="31"/>
      <c r="CM25" s="32"/>
      <c r="CN25" s="32"/>
      <c r="CO25" s="32"/>
      <c r="CP25" s="32"/>
      <c r="CQ25" s="32"/>
      <c r="CR25" s="32"/>
      <c r="CS25" s="32"/>
      <c r="CT25" s="23"/>
      <c r="CV25" s="7"/>
      <c r="CW25" s="7"/>
      <c r="CX25" s="7"/>
      <c r="CY25" s="7"/>
    </row>
    <row r="26" customFormat="false" ht="15" hidden="false" customHeight="true" outlineLevel="0" collapsed="false">
      <c r="B26" s="39" t="s">
        <v>128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40" t="n">
        <v>56.6</v>
      </c>
      <c r="BS26" s="40" t="n">
        <v>84.4</v>
      </c>
      <c r="BT26" s="31" t="n">
        <f aca="false">BR26+BS26</f>
        <v>141</v>
      </c>
      <c r="BU26" s="40" t="n">
        <v>86.6</v>
      </c>
      <c r="BV26" s="40" t="n">
        <v>86.9</v>
      </c>
      <c r="BW26" s="40" t="n">
        <v>314.5</v>
      </c>
      <c r="BX26" s="40" t="n">
        <v>108.8</v>
      </c>
      <c r="BY26" s="40" t="n">
        <v>118.2</v>
      </c>
      <c r="BZ26" s="31" t="n">
        <f aca="false">BX26+BY26</f>
        <v>227</v>
      </c>
      <c r="CA26" s="40" t="n">
        <v>103.1</v>
      </c>
      <c r="CB26" s="40" t="n">
        <v>102.2</v>
      </c>
      <c r="CC26" s="40" t="n">
        <v>432.3</v>
      </c>
      <c r="CD26" s="40" t="n">
        <v>87.6</v>
      </c>
      <c r="CE26" s="40" t="n">
        <v>97.5</v>
      </c>
      <c r="CF26" s="31" t="n">
        <f aca="false">CD26+CE26</f>
        <v>185.1</v>
      </c>
      <c r="CG26" s="40" t="n">
        <v>87.8</v>
      </c>
      <c r="CH26" s="40" t="n">
        <v>103.2</v>
      </c>
      <c r="CI26" s="40" t="n">
        <v>376.1</v>
      </c>
      <c r="CJ26" s="40" t="n">
        <v>97.8</v>
      </c>
      <c r="CK26" s="31"/>
      <c r="CL26" s="31"/>
      <c r="CM26" s="32"/>
      <c r="CN26" s="32"/>
      <c r="CO26" s="32"/>
      <c r="CP26" s="32"/>
      <c r="CQ26" s="32"/>
      <c r="CR26" s="32"/>
      <c r="CS26" s="32"/>
      <c r="CT26" s="23"/>
      <c r="CV26" s="7"/>
      <c r="CW26" s="7"/>
      <c r="CX26" s="7"/>
      <c r="CY26" s="7"/>
      <c r="DB26" s="18" t="s">
        <v>129</v>
      </c>
      <c r="DC26" s="37" t="n">
        <v>0.02</v>
      </c>
      <c r="DD26" s="25" t="s">
        <v>120</v>
      </c>
      <c r="DE26" s="37" t="n">
        <v>-0.04</v>
      </c>
      <c r="DF26" s="16" t="s">
        <v>130</v>
      </c>
    </row>
    <row r="27" customFormat="false" ht="15" hidden="false" customHeight="true" outlineLevel="0" collapsed="false">
      <c r="B27" s="13"/>
      <c r="CM27" s="7"/>
      <c r="CN27" s="7"/>
      <c r="CO27" s="7"/>
      <c r="CP27" s="7"/>
      <c r="CQ27" s="7"/>
      <c r="CR27" s="7"/>
      <c r="CS27" s="7"/>
      <c r="CT27" s="7"/>
      <c r="DB27" s="13" t="s">
        <v>122</v>
      </c>
      <c r="DC27" s="38" t="n">
        <f aca="false">DD27+$DC$26</f>
        <v>0.08</v>
      </c>
      <c r="DD27" s="29" t="n">
        <v>0.06</v>
      </c>
      <c r="DE27" s="38" t="n">
        <f aca="false">DD27+$DE$26</f>
        <v>0.02</v>
      </c>
    </row>
    <row r="28" customFormat="false" ht="15" hidden="false" customHeight="true" outlineLevel="0" collapsed="false">
      <c r="B28" s="17" t="s">
        <v>131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8" t="s">
        <v>132</v>
      </c>
      <c r="DB28" s="13" t="s">
        <v>123</v>
      </c>
      <c r="DC28" s="38" t="n">
        <f aca="false">DD28+$DC$26</f>
        <v>0.065</v>
      </c>
      <c r="DD28" s="29" t="n">
        <v>0.045</v>
      </c>
      <c r="DE28" s="38" t="n">
        <f aca="false">DD28+$DE$26</f>
        <v>0.005</v>
      </c>
    </row>
    <row r="29" customFormat="false" ht="15" hidden="false" customHeight="true" outlineLevel="0" collapsed="false">
      <c r="B29" s="19" t="s">
        <v>99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1" t="n">
        <v>121.5</v>
      </c>
      <c r="CE29" s="21" t="n">
        <v>108.5</v>
      </c>
      <c r="CF29" s="20" t="n">
        <f aca="false">CD29+CE29</f>
        <v>230</v>
      </c>
      <c r="CG29" s="21" t="n">
        <v>114.3</v>
      </c>
      <c r="CH29" s="21" t="n">
        <v>122.8</v>
      </c>
      <c r="CI29" s="21" t="n">
        <v>467.1</v>
      </c>
      <c r="CJ29" s="21" t="n">
        <v>108.2</v>
      </c>
      <c r="CK29" s="21" t="n">
        <v>147.4</v>
      </c>
      <c r="CL29" s="20" t="n">
        <f aca="false">CJ29+CK29</f>
        <v>255.6</v>
      </c>
      <c r="CM29" s="22" t="n">
        <f aca="false">CM39*CG29*CL29/CF29/(CG11*CL11/CF11+CG19*CL19/CF19+CG29*CL29/CF29)</f>
        <v>121.979655313921</v>
      </c>
      <c r="CN29" s="22" t="n">
        <f aca="false">CN39*CH29*CL29/CF29/(CH11*CL11/CF11+CH19*CL19/CF19+CH29*CL29/CF29)</f>
        <v>130.812823195962</v>
      </c>
      <c r="CO29" s="22" t="n">
        <f aca="false">SUM(CJ29,CK29,CM29,CN29)</f>
        <v>508.392478509883</v>
      </c>
      <c r="CP29" s="22" t="n">
        <f aca="false">CO29*(1+CP33)</f>
        <v>533.812102435377</v>
      </c>
      <c r="CQ29" s="22" t="n">
        <f aca="false">CP29*(1+CQ33)</f>
        <v>560.502707557146</v>
      </c>
      <c r="CR29" s="22" t="n">
        <f aca="false">CQ29*(1+CR33)</f>
        <v>588.527842935003</v>
      </c>
      <c r="CS29" s="22" t="n">
        <f aca="false">CR29*(1+CS33)</f>
        <v>617.954235081753</v>
      </c>
      <c r="CT29" s="23" t="s">
        <v>100</v>
      </c>
      <c r="CV29" s="24" t="n">
        <f aca="false">IFERROR((CS29/CI29)^(1/5)-1,"n/m")</f>
        <v>0.0575704052475214</v>
      </c>
      <c r="CW29" s="24" t="str">
        <f aca="false">IFERROR((CI29/BE29)^(1/5)-1,"n/m")</f>
        <v>n/m</v>
      </c>
      <c r="CX29" s="24" t="str">
        <f aca="false">IFERROR((CI29/AA29)^(1/10)-1,"n/m")</f>
        <v>n/m</v>
      </c>
      <c r="CY29" s="24" t="str">
        <f aca="false">IFERROR((CI29/C29)^(1/19)-1,"n/m")</f>
        <v>n/m</v>
      </c>
      <c r="DB29" s="13" t="s">
        <v>125</v>
      </c>
      <c r="DC29" s="38" t="n">
        <f aca="false">DD29+$DC$26</f>
        <v>0.06</v>
      </c>
      <c r="DD29" s="29" t="n">
        <v>0.04</v>
      </c>
      <c r="DE29" s="38" t="n">
        <f aca="false">DD29+$DE$26</f>
        <v>0</v>
      </c>
    </row>
    <row r="30" customFormat="false" ht="15" hidden="false" customHeight="true" outlineLevel="0" collapsed="false">
      <c r="B30" s="13" t="s">
        <v>105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7" t="n">
        <v>73</v>
      </c>
      <c r="CE30" s="27" t="n">
        <v>64.9</v>
      </c>
      <c r="CF30" s="26" t="n">
        <f aca="false">CD30+CE30</f>
        <v>137.9</v>
      </c>
      <c r="CG30" s="27" t="n">
        <v>51.5</v>
      </c>
      <c r="CH30" s="27" t="n">
        <v>53.4</v>
      </c>
      <c r="CI30" s="27" t="n">
        <v>242.8</v>
      </c>
      <c r="CJ30" s="27" t="n">
        <v>46.8</v>
      </c>
      <c r="CK30" s="27" t="n">
        <v>52.4</v>
      </c>
      <c r="CL30" s="26" t="n">
        <f aca="false">CJ30+CK30</f>
        <v>99.2</v>
      </c>
      <c r="CM30" s="28" t="n">
        <f aca="false">IFERROR(CM29/CM31*1000,"")</f>
        <v>54.960212149317</v>
      </c>
      <c r="CN30" s="28" t="n">
        <f aca="false">IFERROR(CN29/CN31*1000,"")</f>
        <v>56.8844035721852</v>
      </c>
      <c r="CO30" s="28" t="n">
        <f aca="false">SUM(CJ30,CK30,CM30,CN30)</f>
        <v>211.044615721502</v>
      </c>
      <c r="CP30" s="28" t="n">
        <f aca="false">IFERROR(CP29/CP31*1000,"")</f>
        <v>221.596846507577</v>
      </c>
      <c r="CQ30" s="28" t="n">
        <f aca="false">IFERROR(CQ29/CQ31*1000,"")</f>
        <v>232.676688832956</v>
      </c>
      <c r="CR30" s="28" t="n">
        <f aca="false">IFERROR(CR29/CR31*1000,"")</f>
        <v>244.310523274604</v>
      </c>
      <c r="CS30" s="28" t="n">
        <f aca="false">IFERROR(CS29/CS31*1000,"")</f>
        <v>256.526049438334</v>
      </c>
      <c r="CT30" s="23"/>
      <c r="CV30" s="7"/>
      <c r="CW30" s="7"/>
      <c r="CX30" s="7"/>
      <c r="CY30" s="7"/>
      <c r="DB30" s="13" t="s">
        <v>126</v>
      </c>
      <c r="DC30" s="38" t="n">
        <f aca="false">DD30+$DC$26</f>
        <v>0.06</v>
      </c>
      <c r="DD30" s="29" t="n">
        <v>0.04</v>
      </c>
      <c r="DE30" s="38" t="n">
        <f aca="false">DD30+$DE$26</f>
        <v>0</v>
      </c>
    </row>
    <row r="31" customFormat="false" ht="15" hidden="false" customHeight="true" outlineLevel="0" collapsed="false">
      <c r="B31" s="30" t="s">
        <v>107</v>
      </c>
      <c r="C31" s="31" t="str">
        <f aca="false">IFERROR(C29/C30*1000,"")</f>
        <v/>
      </c>
      <c r="D31" s="31" t="str">
        <f aca="false">IFERROR(D29/D30*1000,"")</f>
        <v/>
      </c>
      <c r="E31" s="31" t="str">
        <f aca="false">IFERROR(E29/E30*1000,"")</f>
        <v/>
      </c>
      <c r="F31" s="31" t="str">
        <f aca="false">IFERROR(F29/F30*1000,"")</f>
        <v/>
      </c>
      <c r="G31" s="31" t="str">
        <f aca="false">IFERROR(G29/G30*1000,"")</f>
        <v/>
      </c>
      <c r="H31" s="31" t="str">
        <f aca="false">IFERROR(H29/H30*1000,"")</f>
        <v/>
      </c>
      <c r="I31" s="31" t="str">
        <f aca="false">IFERROR(I29/I30*1000,"")</f>
        <v/>
      </c>
      <c r="J31" s="31" t="str">
        <f aca="false">IFERROR(J29/J30*1000,"")</f>
        <v/>
      </c>
      <c r="K31" s="31" t="str">
        <f aca="false">IFERROR(K29/K30*1000,"")</f>
        <v/>
      </c>
      <c r="L31" s="31" t="str">
        <f aca="false">IFERROR(L29/L30*1000,"")</f>
        <v/>
      </c>
      <c r="M31" s="31" t="str">
        <f aca="false">IFERROR(M29/M30*1000,"")</f>
        <v/>
      </c>
      <c r="N31" s="31" t="str">
        <f aca="false">IFERROR(N29/N30*1000,"")</f>
        <v/>
      </c>
      <c r="O31" s="31" t="str">
        <f aca="false">IFERROR(O29/O30*1000,"")</f>
        <v/>
      </c>
      <c r="P31" s="31" t="str">
        <f aca="false">IFERROR(P29/P30*1000,"")</f>
        <v/>
      </c>
      <c r="Q31" s="31" t="str">
        <f aca="false">IFERROR(Q29/Q30*1000,"")</f>
        <v/>
      </c>
      <c r="R31" s="31" t="str">
        <f aca="false">IFERROR(R29/R30*1000,"")</f>
        <v/>
      </c>
      <c r="S31" s="31" t="str">
        <f aca="false">IFERROR(S29/S30*1000,"")</f>
        <v/>
      </c>
      <c r="T31" s="31" t="str">
        <f aca="false">IFERROR(T29/T30*1000,"")</f>
        <v/>
      </c>
      <c r="U31" s="31" t="str">
        <f aca="false">IFERROR(U29/U30*1000,"")</f>
        <v/>
      </c>
      <c r="V31" s="31" t="str">
        <f aca="false">IFERROR(V29/V30*1000,"")</f>
        <v/>
      </c>
      <c r="W31" s="31" t="str">
        <f aca="false">IFERROR(W29/W30*1000,"")</f>
        <v/>
      </c>
      <c r="X31" s="31" t="str">
        <f aca="false">IFERROR(X29/X30*1000,"")</f>
        <v/>
      </c>
      <c r="Y31" s="31" t="str">
        <f aca="false">IFERROR(Y29/Y30*1000,"")</f>
        <v/>
      </c>
      <c r="Z31" s="31" t="str">
        <f aca="false">IFERROR(Z29/Z30*1000,"")</f>
        <v/>
      </c>
      <c r="AA31" s="31" t="str">
        <f aca="false">IFERROR(AA29/AA30*1000,"")</f>
        <v/>
      </c>
      <c r="AB31" s="31" t="str">
        <f aca="false">IFERROR(AB29/AB30*1000,"")</f>
        <v/>
      </c>
      <c r="AC31" s="31" t="str">
        <f aca="false">IFERROR(AC29/AC30*1000,"")</f>
        <v/>
      </c>
      <c r="AD31" s="31" t="str">
        <f aca="false">IFERROR(AD29/AD30*1000,"")</f>
        <v/>
      </c>
      <c r="AE31" s="31" t="str">
        <f aca="false">IFERROR(AE29/AE30*1000,"")</f>
        <v/>
      </c>
      <c r="AF31" s="31" t="str">
        <f aca="false">IFERROR(AF29/AF30*1000,"")</f>
        <v/>
      </c>
      <c r="AG31" s="31" t="str">
        <f aca="false">IFERROR(AG29/AG30*1000,"")</f>
        <v/>
      </c>
      <c r="AH31" s="31" t="str">
        <f aca="false">IFERROR(AH29/AH30*1000,"")</f>
        <v/>
      </c>
      <c r="AI31" s="31" t="str">
        <f aca="false">IFERROR(AI29/AI30*1000,"")</f>
        <v/>
      </c>
      <c r="AJ31" s="31" t="str">
        <f aca="false">IFERROR(AJ29/AJ30*1000,"")</f>
        <v/>
      </c>
      <c r="AK31" s="31" t="str">
        <f aca="false">IFERROR(AK29/AK30*1000,"")</f>
        <v/>
      </c>
      <c r="AL31" s="31" t="str">
        <f aca="false">IFERROR(AL29/AL30*1000,"")</f>
        <v/>
      </c>
      <c r="AM31" s="31" t="str">
        <f aca="false">IFERROR(AM29/AM30*1000,"")</f>
        <v/>
      </c>
      <c r="AN31" s="31" t="str">
        <f aca="false">IFERROR(AN29/AN30*1000,"")</f>
        <v/>
      </c>
      <c r="AO31" s="31" t="str">
        <f aca="false">IFERROR(AO29/AO30*1000,"")</f>
        <v/>
      </c>
      <c r="AP31" s="31" t="str">
        <f aca="false">IFERROR(AP29/AP30*1000,"")</f>
        <v/>
      </c>
      <c r="AQ31" s="31" t="str">
        <f aca="false">IFERROR(AQ29/AQ30*1000,"")</f>
        <v/>
      </c>
      <c r="AR31" s="31" t="str">
        <f aca="false">IFERROR(AR29/AR30*1000,"")</f>
        <v/>
      </c>
      <c r="AS31" s="31" t="str">
        <f aca="false">IFERROR(AS29/AS30*1000,"")</f>
        <v/>
      </c>
      <c r="AT31" s="31" t="str">
        <f aca="false">IFERROR(AT29/AT30*1000,"")</f>
        <v/>
      </c>
      <c r="AU31" s="31" t="str">
        <f aca="false">IFERROR(AU29/AU30*1000,"")</f>
        <v/>
      </c>
      <c r="AV31" s="31" t="str">
        <f aca="false">IFERROR(AV29/AV30*1000,"")</f>
        <v/>
      </c>
      <c r="AW31" s="31" t="str">
        <f aca="false">IFERROR(AW29/AW30*1000,"")</f>
        <v/>
      </c>
      <c r="AX31" s="31" t="str">
        <f aca="false">IFERROR(AX29/AX30*1000,"")</f>
        <v/>
      </c>
      <c r="AY31" s="31" t="str">
        <f aca="false">IFERROR(AY29/AY30*1000,"")</f>
        <v/>
      </c>
      <c r="AZ31" s="31" t="str">
        <f aca="false">IFERROR(AZ29/AZ30*1000,"")</f>
        <v/>
      </c>
      <c r="BA31" s="31" t="str">
        <f aca="false">IFERROR(BA29/BA30*1000,"")</f>
        <v/>
      </c>
      <c r="BB31" s="31" t="str">
        <f aca="false">IFERROR(BB29/BB30*1000,"")</f>
        <v/>
      </c>
      <c r="BC31" s="31" t="str">
        <f aca="false">IFERROR(BC29/BC30*1000,"")</f>
        <v/>
      </c>
      <c r="BD31" s="31" t="str">
        <f aca="false">IFERROR(BD29/BD30*1000,"")</f>
        <v/>
      </c>
      <c r="BE31" s="31" t="str">
        <f aca="false">IFERROR(BE29/BE30*1000,"")</f>
        <v/>
      </c>
      <c r="BF31" s="31" t="str">
        <f aca="false">IFERROR(BF29/BF30*1000,"")</f>
        <v/>
      </c>
      <c r="BG31" s="31" t="str">
        <f aca="false">IFERROR(BG29/BG30*1000,"")</f>
        <v/>
      </c>
      <c r="BH31" s="31" t="str">
        <f aca="false">IFERROR(BH29/BH30*1000,"")</f>
        <v/>
      </c>
      <c r="BI31" s="31" t="str">
        <f aca="false">IFERROR(BI29/BI30*1000,"")</f>
        <v/>
      </c>
      <c r="BJ31" s="31" t="str">
        <f aca="false">IFERROR(BJ29/BJ30*1000,"")</f>
        <v/>
      </c>
      <c r="BK31" s="31" t="str">
        <f aca="false">IFERROR(BK29/BK30*1000,"")</f>
        <v/>
      </c>
      <c r="BL31" s="31" t="str">
        <f aca="false">IFERROR(BL29/BL30*1000,"")</f>
        <v/>
      </c>
      <c r="BM31" s="31" t="str">
        <f aca="false">IFERROR(BM29/BM30*1000,"")</f>
        <v/>
      </c>
      <c r="BN31" s="31" t="str">
        <f aca="false">IFERROR(BN29/BN30*1000,"")</f>
        <v/>
      </c>
      <c r="BO31" s="31" t="str">
        <f aca="false">IFERROR(BO29/BO30*1000,"")</f>
        <v/>
      </c>
      <c r="BP31" s="31" t="str">
        <f aca="false">IFERROR(BP29/BP30*1000,"")</f>
        <v/>
      </c>
      <c r="BQ31" s="31" t="str">
        <f aca="false">IFERROR(BQ29/BQ30*1000,"")</f>
        <v/>
      </c>
      <c r="BR31" s="31" t="str">
        <f aca="false">IFERROR(BR29/BR30*1000,"")</f>
        <v/>
      </c>
      <c r="BS31" s="31" t="str">
        <f aca="false">IFERROR(BS29/BS30*1000,"")</f>
        <v/>
      </c>
      <c r="BT31" s="31" t="str">
        <f aca="false">IFERROR(BT29/BT30*1000,"")</f>
        <v/>
      </c>
      <c r="BU31" s="31" t="str">
        <f aca="false">IFERROR(BU29/BU30*1000,"")</f>
        <v/>
      </c>
      <c r="BV31" s="31" t="str">
        <f aca="false">IFERROR(BV29/BV30*1000,"")</f>
        <v/>
      </c>
      <c r="BW31" s="31" t="str">
        <f aca="false">IFERROR(BW29/BW30*1000,"")</f>
        <v/>
      </c>
      <c r="BX31" s="31" t="str">
        <f aca="false">IFERROR(BX29/BX30*1000,"")</f>
        <v/>
      </c>
      <c r="BY31" s="31" t="str">
        <f aca="false">IFERROR(BY29/BY30*1000,"")</f>
        <v/>
      </c>
      <c r="BZ31" s="31" t="str">
        <f aca="false">IFERROR(BZ29/BZ30*1000,"")</f>
        <v/>
      </c>
      <c r="CA31" s="31" t="str">
        <f aca="false">IFERROR(CA29/CA30*1000,"")</f>
        <v/>
      </c>
      <c r="CB31" s="31" t="str">
        <f aca="false">IFERROR(CB29/CB30*1000,"")</f>
        <v/>
      </c>
      <c r="CC31" s="31" t="str">
        <f aca="false">IFERROR(CC29/CC30*1000,"")</f>
        <v/>
      </c>
      <c r="CD31" s="31" t="n">
        <f aca="false">IFERROR(CD29/CD30*1000,"")</f>
        <v>1664.38356164384</v>
      </c>
      <c r="CE31" s="31" t="n">
        <f aca="false">IFERROR(CE29/CE30*1000,"")</f>
        <v>1671.80277349769</v>
      </c>
      <c r="CF31" s="31" t="n">
        <f aca="false">IFERROR(CF29/CF30*1000,"")</f>
        <v>1667.87527193619</v>
      </c>
      <c r="CG31" s="31" t="n">
        <f aca="false">IFERROR(CG29/CG30*1000,"")</f>
        <v>2219.41747572816</v>
      </c>
      <c r="CH31" s="31" t="n">
        <f aca="false">IFERROR(CH29/CH30*1000,"")</f>
        <v>2299.62546816479</v>
      </c>
      <c r="CI31" s="31" t="n">
        <f aca="false">IFERROR(CI29/CI30*1000,"")</f>
        <v>1923.80560131796</v>
      </c>
      <c r="CJ31" s="31" t="n">
        <f aca="false">IFERROR(CJ29/CJ30*1000,"")</f>
        <v>2311.96581196581</v>
      </c>
      <c r="CK31" s="31" t="n">
        <f aca="false">IFERROR(CK29/CK30*1000,"")</f>
        <v>2812.97709923664</v>
      </c>
      <c r="CL31" s="31" t="n">
        <f aca="false">IFERROR(CL29/CL30*1000,"")</f>
        <v>2576.61290322581</v>
      </c>
      <c r="CM31" s="32" t="n">
        <f aca="false">CG31*(1+$CO$32)</f>
        <v>2219.41747572816</v>
      </c>
      <c r="CN31" s="32" t="n">
        <f aca="false">CH31*(1+$CO$32)</f>
        <v>2299.62546816479</v>
      </c>
      <c r="CO31" s="32" t="n">
        <f aca="false">IFERROR(CO29/CO30*1000,"")</f>
        <v>2408.93365969955</v>
      </c>
      <c r="CP31" s="32" t="n">
        <f aca="false">CO31*(1+CP32)</f>
        <v>2408.93365969955</v>
      </c>
      <c r="CQ31" s="32" t="n">
        <f aca="false">CP31*(1+CQ32)</f>
        <v>2408.93365969955</v>
      </c>
      <c r="CR31" s="32" t="n">
        <f aca="false">CQ31*(1+CR32)</f>
        <v>2408.93365969955</v>
      </c>
      <c r="CS31" s="32" t="n">
        <f aca="false">CR31*(1+CS32)</f>
        <v>2408.93365969955</v>
      </c>
      <c r="CT31" s="23"/>
      <c r="CV31" s="7"/>
      <c r="CW31" s="7"/>
      <c r="CX31" s="7"/>
      <c r="CY31" s="7"/>
    </row>
    <row r="32" customFormat="false" ht="15" hidden="false" customHeight="true" outlineLevel="0" collapsed="false">
      <c r="B32" s="30" t="s">
        <v>109</v>
      </c>
      <c r="C32" s="34"/>
      <c r="D32" s="34" t="str">
        <f aca="false">IFERROR(D31/C31-1,"")</f>
        <v/>
      </c>
      <c r="E32" s="34" t="str">
        <f aca="false">IFERROR(E31/D31-1,"")</f>
        <v/>
      </c>
      <c r="F32" s="34" t="str">
        <f aca="false">IFERROR(F31/E31-1,"")</f>
        <v/>
      </c>
      <c r="G32" s="34" t="str">
        <f aca="false">IFERROR(G31/F31-1,"")</f>
        <v/>
      </c>
      <c r="H32" s="34" t="str">
        <f aca="false">IFERROR(H31/G31-1,"")</f>
        <v/>
      </c>
      <c r="I32" s="34" t="str">
        <f aca="false">IFERROR(I31/H31-1,"")</f>
        <v/>
      </c>
      <c r="J32" s="34"/>
      <c r="K32" s="34"/>
      <c r="L32" s="34"/>
      <c r="M32" s="34"/>
      <c r="N32" s="34"/>
      <c r="O32" s="34" t="str">
        <f aca="false">IFERROR(O31/I31-1,"")</f>
        <v/>
      </c>
      <c r="P32" s="34" t="str">
        <f aca="false">IFERROR(P31/J31-1,"")</f>
        <v/>
      </c>
      <c r="Q32" s="34" t="str">
        <f aca="false">IFERROR(Q31/K31-1,"")</f>
        <v/>
      </c>
      <c r="R32" s="34" t="str">
        <f aca="false">IFERROR(R31/L31-1,"")</f>
        <v/>
      </c>
      <c r="S32" s="34" t="str">
        <f aca="false">IFERROR(S31/M31-1,"")</f>
        <v/>
      </c>
      <c r="T32" s="34" t="str">
        <f aca="false">IFERROR(T31/N31-1,"")</f>
        <v/>
      </c>
      <c r="U32" s="34" t="str">
        <f aca="false">IFERROR(U31/O31-1,"")</f>
        <v/>
      </c>
      <c r="V32" s="34" t="str">
        <f aca="false">IFERROR(V31/P31-1,"")</f>
        <v/>
      </c>
      <c r="W32" s="34" t="str">
        <f aca="false">IFERROR(W31/Q31-1,"")</f>
        <v/>
      </c>
      <c r="X32" s="34" t="str">
        <f aca="false">IFERROR(X31/R31-1,"")</f>
        <v/>
      </c>
      <c r="Y32" s="34" t="str">
        <f aca="false">IFERROR(Y31/S31-1,"")</f>
        <v/>
      </c>
      <c r="Z32" s="34" t="str">
        <f aca="false">IFERROR(Z31/T31-1,"")</f>
        <v/>
      </c>
      <c r="AA32" s="34" t="str">
        <f aca="false">IFERROR(AA31/U31-1,"")</f>
        <v/>
      </c>
      <c r="AB32" s="34" t="str">
        <f aca="false">IFERROR(AB31/V31-1,"")</f>
        <v/>
      </c>
      <c r="AC32" s="34" t="str">
        <f aca="false">IFERROR(AC31/W31-1,"")</f>
        <v/>
      </c>
      <c r="AD32" s="34" t="str">
        <f aca="false">IFERROR(AD31/X31-1,"")</f>
        <v/>
      </c>
      <c r="AE32" s="34" t="str">
        <f aca="false">IFERROR(AE31/Y31-1,"")</f>
        <v/>
      </c>
      <c r="AF32" s="34" t="str">
        <f aca="false">IFERROR(AF31/Z31-1,"")</f>
        <v/>
      </c>
      <c r="AG32" s="34" t="str">
        <f aca="false">IFERROR(AG31/AA31-1,"")</f>
        <v/>
      </c>
      <c r="AH32" s="34" t="str">
        <f aca="false">IFERROR(AH31/AB31-1,"")</f>
        <v/>
      </c>
      <c r="AI32" s="34" t="str">
        <f aca="false">IFERROR(AI31/AC31-1,"")</f>
        <v/>
      </c>
      <c r="AJ32" s="34" t="str">
        <f aca="false">IFERROR(AJ31/AD31-1,"")</f>
        <v/>
      </c>
      <c r="AK32" s="34" t="str">
        <f aca="false">IFERROR(AK31/AE31-1,"")</f>
        <v/>
      </c>
      <c r="AL32" s="34" t="str">
        <f aca="false">IFERROR(AL31/AF31-1,"")</f>
        <v/>
      </c>
      <c r="AM32" s="34" t="str">
        <f aca="false">IFERROR(AM31/AG31-1,"")</f>
        <v/>
      </c>
      <c r="AN32" s="34" t="str">
        <f aca="false">IFERROR(AN31/AH31-1,"")</f>
        <v/>
      </c>
      <c r="AO32" s="34" t="str">
        <f aca="false">IFERROR(AO31/AI31-1,"")</f>
        <v/>
      </c>
      <c r="AP32" s="34" t="str">
        <f aca="false">IFERROR(AP31/AJ31-1,"")</f>
        <v/>
      </c>
      <c r="AQ32" s="34" t="str">
        <f aca="false">IFERROR(AQ31/AK31-1,"")</f>
        <v/>
      </c>
      <c r="AR32" s="34" t="str">
        <f aca="false">IFERROR(AR31/AL31-1,"")</f>
        <v/>
      </c>
      <c r="AS32" s="34" t="str">
        <f aca="false">IFERROR(AS31/AM31-1,"")</f>
        <v/>
      </c>
      <c r="AT32" s="34" t="str">
        <f aca="false">IFERROR(AT31/AN31-1,"")</f>
        <v/>
      </c>
      <c r="AU32" s="34" t="str">
        <f aca="false">IFERROR(AU31/AO31-1,"")</f>
        <v/>
      </c>
      <c r="AV32" s="34" t="str">
        <f aca="false">IFERROR(AV31/AP31-1,"")</f>
        <v/>
      </c>
      <c r="AW32" s="34" t="str">
        <f aca="false">IFERROR(AW31/AQ31-1,"")</f>
        <v/>
      </c>
      <c r="AX32" s="34" t="str">
        <f aca="false">IFERROR(AX31/AR31-1,"")</f>
        <v/>
      </c>
      <c r="AY32" s="34" t="str">
        <f aca="false">IFERROR(AY31/AS31-1,"")</f>
        <v/>
      </c>
      <c r="AZ32" s="34" t="str">
        <f aca="false">IFERROR(AZ31/AT31-1,"")</f>
        <v/>
      </c>
      <c r="BA32" s="34" t="str">
        <f aca="false">IFERROR(BA31/AU31-1,"")</f>
        <v/>
      </c>
      <c r="BB32" s="34" t="str">
        <f aca="false">IFERROR(BB31/AV31-1,"")</f>
        <v/>
      </c>
      <c r="BC32" s="34" t="str">
        <f aca="false">IFERROR(BC31/AW31-1,"")</f>
        <v/>
      </c>
      <c r="BD32" s="34" t="str">
        <f aca="false">IFERROR(BD31/AX31-1,"")</f>
        <v/>
      </c>
      <c r="BE32" s="34" t="str">
        <f aca="false">IFERROR(BE31/AY31-1,"")</f>
        <v/>
      </c>
      <c r="BF32" s="34" t="str">
        <f aca="false">IFERROR(BF31/AZ31-1,"")</f>
        <v/>
      </c>
      <c r="BG32" s="34" t="str">
        <f aca="false">IFERROR(BG31/BA31-1,"")</f>
        <v/>
      </c>
      <c r="BH32" s="34" t="str">
        <f aca="false">IFERROR(BH31/BB31-1,"")</f>
        <v/>
      </c>
      <c r="BI32" s="34" t="str">
        <f aca="false">IFERROR(BI31/BC31-1,"")</f>
        <v/>
      </c>
      <c r="BJ32" s="34" t="str">
        <f aca="false">IFERROR(BJ31/BD31-1,"")</f>
        <v/>
      </c>
      <c r="BK32" s="34" t="str">
        <f aca="false">IFERROR(BK31/BE31-1,"")</f>
        <v/>
      </c>
      <c r="BL32" s="34" t="str">
        <f aca="false">IFERROR(BL31/BF31-1,"")</f>
        <v/>
      </c>
      <c r="BM32" s="34" t="str">
        <f aca="false">IFERROR(BM31/BG31-1,"")</f>
        <v/>
      </c>
      <c r="BN32" s="34" t="str">
        <f aca="false">IFERROR(BN31/BH31-1,"")</f>
        <v/>
      </c>
      <c r="BO32" s="34" t="str">
        <f aca="false">IFERROR(BO31/BI31-1,"")</f>
        <v/>
      </c>
      <c r="BP32" s="34" t="str">
        <f aca="false">IFERROR(BP31/BJ31-1,"")</f>
        <v/>
      </c>
      <c r="BQ32" s="34" t="str">
        <f aca="false">IFERROR(BQ31/BK31-1,"")</f>
        <v/>
      </c>
      <c r="BR32" s="34" t="str">
        <f aca="false">IFERROR(BR31/BL31-1,"")</f>
        <v/>
      </c>
      <c r="BS32" s="34" t="str">
        <f aca="false">IFERROR(BS31/BM31-1,"")</f>
        <v/>
      </c>
      <c r="BT32" s="34" t="str">
        <f aca="false">IFERROR(BT31/BN31-1,"")</f>
        <v/>
      </c>
      <c r="BU32" s="34" t="str">
        <f aca="false">IFERROR(BU31/BO31-1,"")</f>
        <v/>
      </c>
      <c r="BV32" s="34" t="str">
        <f aca="false">IFERROR(BV31/BP31-1,"")</f>
        <v/>
      </c>
      <c r="BW32" s="34" t="str">
        <f aca="false">IFERROR(BW31/BQ31-1,"")</f>
        <v/>
      </c>
      <c r="BX32" s="34" t="str">
        <f aca="false">IFERROR(BX31/BR31-1,"")</f>
        <v/>
      </c>
      <c r="BY32" s="34" t="str">
        <f aca="false">IFERROR(BY31/BS31-1,"")</f>
        <v/>
      </c>
      <c r="BZ32" s="34" t="str">
        <f aca="false">IFERROR(BZ31/BT31-1,"")</f>
        <v/>
      </c>
      <c r="CA32" s="34" t="str">
        <f aca="false">IFERROR(CA31/BU31-1,"")</f>
        <v/>
      </c>
      <c r="CB32" s="34" t="str">
        <f aca="false">IFERROR(CB31/BV31-1,"")</f>
        <v/>
      </c>
      <c r="CC32" s="34" t="str">
        <f aca="false">IFERROR(CC31/BW31-1,"")</f>
        <v/>
      </c>
      <c r="CD32" s="34" t="str">
        <f aca="false">IFERROR(CD31/BX31-1,"")</f>
        <v/>
      </c>
      <c r="CE32" s="34" t="str">
        <f aca="false">IFERROR(CE31/BY31-1,"")</f>
        <v/>
      </c>
      <c r="CF32" s="34" t="str">
        <f aca="false">IFERROR(CF31/BZ31-1,"")</f>
        <v/>
      </c>
      <c r="CG32" s="34" t="str">
        <f aca="false">IFERROR(CG31/CA31-1,"")</f>
        <v/>
      </c>
      <c r="CH32" s="34" t="str">
        <f aca="false">IFERROR(CH31/CB31-1,"")</f>
        <v/>
      </c>
      <c r="CI32" s="34" t="str">
        <f aca="false">IFERROR(CI31/CC31-1,"")</f>
        <v/>
      </c>
      <c r="CJ32" s="34" t="n">
        <f aca="false">IFERROR(CJ31/CD31-1,"")</f>
        <v>0.389082339699624</v>
      </c>
      <c r="CK32" s="34" t="n">
        <f aca="false">IFERROR(CK31/CE31-1,"")</f>
        <v>0.682601048299152</v>
      </c>
      <c r="CL32" s="34" t="n">
        <f aca="false">IFERROR(CL31/CF31-1,"")</f>
        <v>0.544847475455821</v>
      </c>
      <c r="CM32" s="35"/>
      <c r="CN32" s="35"/>
      <c r="CO32" s="36" t="n">
        <v>0</v>
      </c>
      <c r="CP32" s="36" t="n">
        <v>0</v>
      </c>
      <c r="CQ32" s="36" t="n">
        <v>0</v>
      </c>
      <c r="CR32" s="36" t="n">
        <v>0</v>
      </c>
      <c r="CS32" s="36" t="n">
        <v>0</v>
      </c>
      <c r="CT32" s="23" t="s">
        <v>110</v>
      </c>
      <c r="CV32" s="7"/>
      <c r="CW32" s="7"/>
      <c r="CX32" s="7"/>
      <c r="CY32" s="7"/>
      <c r="DB32" s="18" t="s">
        <v>133</v>
      </c>
      <c r="DC32" s="37" t="n">
        <v>0.02</v>
      </c>
      <c r="DD32" s="25" t="s">
        <v>120</v>
      </c>
      <c r="DE32" s="37" t="n">
        <v>-0.03</v>
      </c>
    </row>
    <row r="33" customFormat="false" ht="15" hidden="false" customHeight="true" outlineLevel="0" collapsed="false">
      <c r="B33" s="30" t="s">
        <v>111</v>
      </c>
      <c r="C33" s="34"/>
      <c r="D33" s="34" t="str">
        <f aca="false">IFERROR(D29/C29-1,"")</f>
        <v/>
      </c>
      <c r="E33" s="34" t="str">
        <f aca="false">IFERROR(E29/D29-1,"")</f>
        <v/>
      </c>
      <c r="F33" s="34" t="str">
        <f aca="false">IFERROR(F29/E29-1,"")</f>
        <v/>
      </c>
      <c r="G33" s="34" t="str">
        <f aca="false">IFERROR(G29/F29-1,"")</f>
        <v/>
      </c>
      <c r="H33" s="34" t="str">
        <f aca="false">IFERROR(H29/G29-1,"")</f>
        <v/>
      </c>
      <c r="I33" s="34" t="str">
        <f aca="false">IFERROR(I29/H29-1,"")</f>
        <v/>
      </c>
      <c r="J33" s="34"/>
      <c r="K33" s="34"/>
      <c r="L33" s="34"/>
      <c r="M33" s="34"/>
      <c r="N33" s="34"/>
      <c r="O33" s="34" t="str">
        <f aca="false">IFERROR(O29/I29-1,"")</f>
        <v/>
      </c>
      <c r="P33" s="34" t="str">
        <f aca="false">IFERROR(P29/J29-1,"")</f>
        <v/>
      </c>
      <c r="Q33" s="34" t="str">
        <f aca="false">IFERROR(Q29/K29-1,"")</f>
        <v/>
      </c>
      <c r="R33" s="34" t="str">
        <f aca="false">IFERROR(R29/L29-1,"")</f>
        <v/>
      </c>
      <c r="S33" s="34" t="str">
        <f aca="false">IFERROR(S29/M29-1,"")</f>
        <v/>
      </c>
      <c r="T33" s="34" t="str">
        <f aca="false">IFERROR(T29/N29-1,"")</f>
        <v/>
      </c>
      <c r="U33" s="34" t="str">
        <f aca="false">IFERROR(U29/O29-1,"")</f>
        <v/>
      </c>
      <c r="V33" s="34" t="str">
        <f aca="false">IFERROR(V29/P29-1,"")</f>
        <v/>
      </c>
      <c r="W33" s="34" t="str">
        <f aca="false">IFERROR(W29/Q29-1,"")</f>
        <v/>
      </c>
      <c r="X33" s="34" t="str">
        <f aca="false">IFERROR(X29/R29-1,"")</f>
        <v/>
      </c>
      <c r="Y33" s="34" t="str">
        <f aca="false">IFERROR(Y29/S29-1,"")</f>
        <v/>
      </c>
      <c r="Z33" s="34" t="str">
        <f aca="false">IFERROR(Z29/T29-1,"")</f>
        <v/>
      </c>
      <c r="AA33" s="34" t="str">
        <f aca="false">IFERROR(AA29/U29-1,"")</f>
        <v/>
      </c>
      <c r="AB33" s="34" t="str">
        <f aca="false">IFERROR(AB29/V29-1,"")</f>
        <v/>
      </c>
      <c r="AC33" s="34" t="str">
        <f aca="false">IFERROR(AC29/W29-1,"")</f>
        <v/>
      </c>
      <c r="AD33" s="34" t="str">
        <f aca="false">IFERROR(AD29/X29-1,"")</f>
        <v/>
      </c>
      <c r="AE33" s="34" t="str">
        <f aca="false">IFERROR(AE29/Y29-1,"")</f>
        <v/>
      </c>
      <c r="AF33" s="34" t="str">
        <f aca="false">IFERROR(AF29/Z29-1,"")</f>
        <v/>
      </c>
      <c r="AG33" s="34" t="str">
        <f aca="false">IFERROR(AG29/AA29-1,"")</f>
        <v/>
      </c>
      <c r="AH33" s="34" t="str">
        <f aca="false">IFERROR(AH29/AB29-1,"")</f>
        <v/>
      </c>
      <c r="AI33" s="34" t="str">
        <f aca="false">IFERROR(AI29/AC29-1,"")</f>
        <v/>
      </c>
      <c r="AJ33" s="34" t="str">
        <f aca="false">IFERROR(AJ29/AD29-1,"")</f>
        <v/>
      </c>
      <c r="AK33" s="34" t="str">
        <f aca="false">IFERROR(AK29/AE29-1,"")</f>
        <v/>
      </c>
      <c r="AL33" s="34" t="str">
        <f aca="false">IFERROR(AL29/AF29-1,"")</f>
        <v/>
      </c>
      <c r="AM33" s="34" t="str">
        <f aca="false">IFERROR(AM29/AG29-1,"")</f>
        <v/>
      </c>
      <c r="AN33" s="34" t="str">
        <f aca="false">IFERROR(AN29/AH29-1,"")</f>
        <v/>
      </c>
      <c r="AO33" s="34" t="str">
        <f aca="false">IFERROR(AO29/AI29-1,"")</f>
        <v/>
      </c>
      <c r="AP33" s="34" t="str">
        <f aca="false">IFERROR(AP29/AJ29-1,"")</f>
        <v/>
      </c>
      <c r="AQ33" s="34" t="str">
        <f aca="false">IFERROR(AQ29/AK29-1,"")</f>
        <v/>
      </c>
      <c r="AR33" s="34" t="str">
        <f aca="false">IFERROR(AR29/AL29-1,"")</f>
        <v/>
      </c>
      <c r="AS33" s="34" t="str">
        <f aca="false">IFERROR(AS29/AM29-1,"")</f>
        <v/>
      </c>
      <c r="AT33" s="34" t="str">
        <f aca="false">IFERROR(AT29/AN29-1,"")</f>
        <v/>
      </c>
      <c r="AU33" s="34" t="str">
        <f aca="false">IFERROR(AU29/AO29-1,"")</f>
        <v/>
      </c>
      <c r="AV33" s="34" t="str">
        <f aca="false">IFERROR(AV29/AP29-1,"")</f>
        <v/>
      </c>
      <c r="AW33" s="34" t="str">
        <f aca="false">IFERROR(AW29/AQ29-1,"")</f>
        <v/>
      </c>
      <c r="AX33" s="34" t="str">
        <f aca="false">IFERROR(AX29/AR29-1,"")</f>
        <v/>
      </c>
      <c r="AY33" s="34" t="str">
        <f aca="false">IFERROR(AY29/AS29-1,"")</f>
        <v/>
      </c>
      <c r="AZ33" s="34" t="str">
        <f aca="false">IFERROR(AZ29/AT29-1,"")</f>
        <v/>
      </c>
      <c r="BA33" s="34" t="str">
        <f aca="false">IFERROR(BA29/AU29-1,"")</f>
        <v/>
      </c>
      <c r="BB33" s="34" t="str">
        <f aca="false">IFERROR(BB29/AV29-1,"")</f>
        <v/>
      </c>
      <c r="BC33" s="34" t="str">
        <f aca="false">IFERROR(BC29/AW29-1,"")</f>
        <v/>
      </c>
      <c r="BD33" s="34" t="str">
        <f aca="false">IFERROR(BD29/AX29-1,"")</f>
        <v/>
      </c>
      <c r="BE33" s="34" t="str">
        <f aca="false">IFERROR(BE29/AY29-1,"")</f>
        <v/>
      </c>
      <c r="BF33" s="34" t="str">
        <f aca="false">IFERROR(BF29/AZ29-1,"")</f>
        <v/>
      </c>
      <c r="BG33" s="34" t="str">
        <f aca="false">IFERROR(BG29/BA29-1,"")</f>
        <v/>
      </c>
      <c r="BH33" s="34" t="str">
        <f aca="false">IFERROR(BH29/BB29-1,"")</f>
        <v/>
      </c>
      <c r="BI33" s="34" t="str">
        <f aca="false">IFERROR(BI29/BC29-1,"")</f>
        <v/>
      </c>
      <c r="BJ33" s="34" t="str">
        <f aca="false">IFERROR(BJ29/BD29-1,"")</f>
        <v/>
      </c>
      <c r="BK33" s="34" t="str">
        <f aca="false">IFERROR(BK29/BE29-1,"")</f>
        <v/>
      </c>
      <c r="BL33" s="34" t="str">
        <f aca="false">IFERROR(BL29/BF29-1,"")</f>
        <v/>
      </c>
      <c r="BM33" s="34" t="str">
        <f aca="false">IFERROR(BM29/BG29-1,"")</f>
        <v/>
      </c>
      <c r="BN33" s="34" t="str">
        <f aca="false">IFERROR(BN29/BH29-1,"")</f>
        <v/>
      </c>
      <c r="BO33" s="34" t="str">
        <f aca="false">IFERROR(BO29/BI29-1,"")</f>
        <v/>
      </c>
      <c r="BP33" s="34" t="str">
        <f aca="false">IFERROR(BP29/BJ29-1,"")</f>
        <v/>
      </c>
      <c r="BQ33" s="34" t="str">
        <f aca="false">IFERROR(BQ29/BK29-1,"")</f>
        <v/>
      </c>
      <c r="BR33" s="34" t="str">
        <f aca="false">IFERROR(BR29/BL29-1,"")</f>
        <v/>
      </c>
      <c r="BS33" s="34" t="str">
        <f aca="false">IFERROR(BS29/BM29-1,"")</f>
        <v/>
      </c>
      <c r="BT33" s="34" t="str">
        <f aca="false">IFERROR(BT29/BN29-1,"")</f>
        <v/>
      </c>
      <c r="BU33" s="34" t="str">
        <f aca="false">IFERROR(BU29/BO29-1,"")</f>
        <v/>
      </c>
      <c r="BV33" s="34" t="str">
        <f aca="false">IFERROR(BV29/BP29-1,"")</f>
        <v/>
      </c>
      <c r="BW33" s="34" t="str">
        <f aca="false">IFERROR(BW29/BQ29-1,"")</f>
        <v/>
      </c>
      <c r="BX33" s="34" t="str">
        <f aca="false">IFERROR(BX29/BR29-1,"")</f>
        <v/>
      </c>
      <c r="BY33" s="34" t="str">
        <f aca="false">IFERROR(BY29/BS29-1,"")</f>
        <v/>
      </c>
      <c r="BZ33" s="34" t="str">
        <f aca="false">IFERROR(BZ29/BT29-1,"")</f>
        <v/>
      </c>
      <c r="CA33" s="34" t="str">
        <f aca="false">IFERROR(CA29/BU29-1,"")</f>
        <v/>
      </c>
      <c r="CB33" s="34" t="str">
        <f aca="false">IFERROR(CB29/BV29-1,"")</f>
        <v/>
      </c>
      <c r="CC33" s="34" t="str">
        <f aca="false">IFERROR(CC29/BW29-1,"")</f>
        <v/>
      </c>
      <c r="CD33" s="34" t="str">
        <f aca="false">IFERROR(CD29/BX29-1,"")</f>
        <v/>
      </c>
      <c r="CE33" s="34" t="str">
        <f aca="false">IFERROR(CE29/BY29-1,"")</f>
        <v/>
      </c>
      <c r="CF33" s="34" t="str">
        <f aca="false">IFERROR(CF29/BZ29-1,"")</f>
        <v/>
      </c>
      <c r="CG33" s="34" t="str">
        <f aca="false">IFERROR(CG29/CA29-1,"")</f>
        <v/>
      </c>
      <c r="CH33" s="34" t="str">
        <f aca="false">IFERROR(CH29/CB29-1,"")</f>
        <v/>
      </c>
      <c r="CI33" s="34" t="str">
        <f aca="false">IFERROR(CI29/CC29-1,"")</f>
        <v/>
      </c>
      <c r="CJ33" s="34" t="n">
        <f aca="false">IFERROR(CJ29/CD29-1,"")</f>
        <v>-0.109465020576132</v>
      </c>
      <c r="CK33" s="34" t="n">
        <f aca="false">IFERROR(CK29/CE29-1,"")</f>
        <v>0.35852534562212</v>
      </c>
      <c r="CL33" s="34" t="n">
        <f aca="false">IFERROR(CL29/CF29-1,"")</f>
        <v>0.111304347826087</v>
      </c>
      <c r="CM33" s="35" t="n">
        <f aca="false">IFERROR(CM29/CG29-1,"")</f>
        <v>0.0671885854236303</v>
      </c>
      <c r="CN33" s="35" t="n">
        <f aca="false">IFERROR(CN29/CH29-1,"")</f>
        <v>0.0652510032244424</v>
      </c>
      <c r="CO33" s="35" t="n">
        <f aca="false">IFERROR(CO29/CI29-1,"")</f>
        <v>0.0884017951399754</v>
      </c>
      <c r="CP33" s="35" t="n">
        <f aca="false">CHOOSE(MATCH($CT$2,{"Bull","Base","Bear"},0),$DC$33,$DD$33,$DE$33)</f>
        <v>0.05</v>
      </c>
      <c r="CQ33" s="35" t="n">
        <f aca="false">CHOOSE(MATCH($CT$2,{"Bull","Base","Bear"},0),$DC$34,$DD$34,$DE$34)</f>
        <v>0.05</v>
      </c>
      <c r="CR33" s="35" t="n">
        <f aca="false">CHOOSE(MATCH($CT$2,{"Bull","Base","Bear"},0),$DC$35,$DD$35,$DE$35)</f>
        <v>0.05</v>
      </c>
      <c r="CS33" s="35" t="n">
        <f aca="false">CHOOSE(MATCH($CT$2,{"Bull","Base","Bear"},0),$DC$36,$DD$36,$DE$36)</f>
        <v>0.05</v>
      </c>
      <c r="CT33" s="23" t="s">
        <v>134</v>
      </c>
      <c r="CV33" s="7"/>
      <c r="CW33" s="7"/>
      <c r="CX33" s="7"/>
      <c r="CY33" s="7"/>
      <c r="DB33" s="13" t="s">
        <v>122</v>
      </c>
      <c r="DC33" s="38" t="n">
        <f aca="false">DD33+$DC$32</f>
        <v>0.07</v>
      </c>
      <c r="DD33" s="29" t="n">
        <v>0.05</v>
      </c>
      <c r="DE33" s="38" t="n">
        <f aca="false">DD33+$DE$32</f>
        <v>0.02</v>
      </c>
    </row>
    <row r="34" customFormat="false" ht="15" hidden="false" customHeight="true" outlineLevel="0" collapsed="false">
      <c r="B34" s="30" t="s">
        <v>114</v>
      </c>
      <c r="C34" s="34"/>
      <c r="D34" s="34" t="str">
        <f aca="false">IFERROR(D30/C30-1,"")</f>
        <v/>
      </c>
      <c r="E34" s="34" t="str">
        <f aca="false">IFERROR(E30/D30-1,"")</f>
        <v/>
      </c>
      <c r="F34" s="34" t="str">
        <f aca="false">IFERROR(F30/E30-1,"")</f>
        <v/>
      </c>
      <c r="G34" s="34" t="str">
        <f aca="false">IFERROR(G30/F30-1,"")</f>
        <v/>
      </c>
      <c r="H34" s="34" t="str">
        <f aca="false">IFERROR(H30/G30-1,"")</f>
        <v/>
      </c>
      <c r="I34" s="34" t="str">
        <f aca="false">IFERROR(I30/H30-1,"")</f>
        <v/>
      </c>
      <c r="J34" s="34"/>
      <c r="K34" s="34"/>
      <c r="L34" s="34"/>
      <c r="M34" s="34"/>
      <c r="N34" s="34"/>
      <c r="O34" s="34" t="str">
        <f aca="false">IFERROR(O30/I30-1,"")</f>
        <v/>
      </c>
      <c r="P34" s="34" t="str">
        <f aca="false">IFERROR(P30/J30-1,"")</f>
        <v/>
      </c>
      <c r="Q34" s="34" t="str">
        <f aca="false">IFERROR(Q30/K30-1,"")</f>
        <v/>
      </c>
      <c r="R34" s="34" t="str">
        <f aca="false">IFERROR(R30/L30-1,"")</f>
        <v/>
      </c>
      <c r="S34" s="34" t="str">
        <f aca="false">IFERROR(S30/M30-1,"")</f>
        <v/>
      </c>
      <c r="T34" s="34" t="str">
        <f aca="false">IFERROR(T30/N30-1,"")</f>
        <v/>
      </c>
      <c r="U34" s="34" t="str">
        <f aca="false">IFERROR(U30/O30-1,"")</f>
        <v/>
      </c>
      <c r="V34" s="34" t="str">
        <f aca="false">IFERROR(V30/P30-1,"")</f>
        <v/>
      </c>
      <c r="W34" s="34" t="str">
        <f aca="false">IFERROR(W30/Q30-1,"")</f>
        <v/>
      </c>
      <c r="X34" s="34" t="str">
        <f aca="false">IFERROR(X30/R30-1,"")</f>
        <v/>
      </c>
      <c r="Y34" s="34" t="str">
        <f aca="false">IFERROR(Y30/S30-1,"")</f>
        <v/>
      </c>
      <c r="Z34" s="34" t="str">
        <f aca="false">IFERROR(Z30/T30-1,"")</f>
        <v/>
      </c>
      <c r="AA34" s="34" t="str">
        <f aca="false">IFERROR(AA30/U30-1,"")</f>
        <v/>
      </c>
      <c r="AB34" s="34" t="str">
        <f aca="false">IFERROR(AB30/V30-1,"")</f>
        <v/>
      </c>
      <c r="AC34" s="34" t="str">
        <f aca="false">IFERROR(AC30/W30-1,"")</f>
        <v/>
      </c>
      <c r="AD34" s="34" t="str">
        <f aca="false">IFERROR(AD30/X30-1,"")</f>
        <v/>
      </c>
      <c r="AE34" s="34" t="str">
        <f aca="false">IFERROR(AE30/Y30-1,"")</f>
        <v/>
      </c>
      <c r="AF34" s="34" t="str">
        <f aca="false">IFERROR(AF30/Z30-1,"")</f>
        <v/>
      </c>
      <c r="AG34" s="34" t="str">
        <f aca="false">IFERROR(AG30/AA30-1,"")</f>
        <v/>
      </c>
      <c r="AH34" s="34" t="str">
        <f aca="false">IFERROR(AH30/AB30-1,"")</f>
        <v/>
      </c>
      <c r="AI34" s="34" t="str">
        <f aca="false">IFERROR(AI30/AC30-1,"")</f>
        <v/>
      </c>
      <c r="AJ34" s="34" t="str">
        <f aca="false">IFERROR(AJ30/AD30-1,"")</f>
        <v/>
      </c>
      <c r="AK34" s="34" t="str">
        <f aca="false">IFERROR(AK30/AE30-1,"")</f>
        <v/>
      </c>
      <c r="AL34" s="34" t="str">
        <f aca="false">IFERROR(AL30/AF30-1,"")</f>
        <v/>
      </c>
      <c r="AM34" s="34" t="str">
        <f aca="false">IFERROR(AM30/AG30-1,"")</f>
        <v/>
      </c>
      <c r="AN34" s="34" t="str">
        <f aca="false">IFERROR(AN30/AH30-1,"")</f>
        <v/>
      </c>
      <c r="AO34" s="34" t="str">
        <f aca="false">IFERROR(AO30/AI30-1,"")</f>
        <v/>
      </c>
      <c r="AP34" s="34" t="str">
        <f aca="false">IFERROR(AP30/AJ30-1,"")</f>
        <v/>
      </c>
      <c r="AQ34" s="34" t="str">
        <f aca="false">IFERROR(AQ30/AK30-1,"")</f>
        <v/>
      </c>
      <c r="AR34" s="34" t="str">
        <f aca="false">IFERROR(AR30/AL30-1,"")</f>
        <v/>
      </c>
      <c r="AS34" s="34" t="str">
        <f aca="false">IFERROR(AS30/AM30-1,"")</f>
        <v/>
      </c>
      <c r="AT34" s="34" t="str">
        <f aca="false">IFERROR(AT30/AN30-1,"")</f>
        <v/>
      </c>
      <c r="AU34" s="34" t="str">
        <f aca="false">IFERROR(AU30/AO30-1,"")</f>
        <v/>
      </c>
      <c r="AV34" s="34" t="str">
        <f aca="false">IFERROR(AV30/AP30-1,"")</f>
        <v/>
      </c>
      <c r="AW34" s="34" t="str">
        <f aca="false">IFERROR(AW30/AQ30-1,"")</f>
        <v/>
      </c>
      <c r="AX34" s="34" t="str">
        <f aca="false">IFERROR(AX30/AR30-1,"")</f>
        <v/>
      </c>
      <c r="AY34" s="34" t="str">
        <f aca="false">IFERROR(AY30/AS30-1,"")</f>
        <v/>
      </c>
      <c r="AZ34" s="34" t="str">
        <f aca="false">IFERROR(AZ30/AT30-1,"")</f>
        <v/>
      </c>
      <c r="BA34" s="34" t="str">
        <f aca="false">IFERROR(BA30/AU30-1,"")</f>
        <v/>
      </c>
      <c r="BB34" s="34" t="str">
        <f aca="false">IFERROR(BB30/AV30-1,"")</f>
        <v/>
      </c>
      <c r="BC34" s="34" t="str">
        <f aca="false">IFERROR(BC30/AW30-1,"")</f>
        <v/>
      </c>
      <c r="BD34" s="34" t="str">
        <f aca="false">IFERROR(BD30/AX30-1,"")</f>
        <v/>
      </c>
      <c r="BE34" s="34" t="str">
        <f aca="false">IFERROR(BE30/AY30-1,"")</f>
        <v/>
      </c>
      <c r="BF34" s="34" t="str">
        <f aca="false">IFERROR(BF30/AZ30-1,"")</f>
        <v/>
      </c>
      <c r="BG34" s="34" t="str">
        <f aca="false">IFERROR(BG30/BA30-1,"")</f>
        <v/>
      </c>
      <c r="BH34" s="34" t="str">
        <f aca="false">IFERROR(BH30/BB30-1,"")</f>
        <v/>
      </c>
      <c r="BI34" s="34" t="str">
        <f aca="false">IFERROR(BI30/BC30-1,"")</f>
        <v/>
      </c>
      <c r="BJ34" s="34" t="str">
        <f aca="false">IFERROR(BJ30/BD30-1,"")</f>
        <v/>
      </c>
      <c r="BK34" s="34" t="str">
        <f aca="false">IFERROR(BK30/BE30-1,"")</f>
        <v/>
      </c>
      <c r="BL34" s="34" t="str">
        <f aca="false">IFERROR(BL30/BF30-1,"")</f>
        <v/>
      </c>
      <c r="BM34" s="34" t="str">
        <f aca="false">IFERROR(BM30/BG30-1,"")</f>
        <v/>
      </c>
      <c r="BN34" s="34" t="str">
        <f aca="false">IFERROR(BN30/BH30-1,"")</f>
        <v/>
      </c>
      <c r="BO34" s="34" t="str">
        <f aca="false">IFERROR(BO30/BI30-1,"")</f>
        <v/>
      </c>
      <c r="BP34" s="34" t="str">
        <f aca="false">IFERROR(BP30/BJ30-1,"")</f>
        <v/>
      </c>
      <c r="BQ34" s="34" t="str">
        <f aca="false">IFERROR(BQ30/BK30-1,"")</f>
        <v/>
      </c>
      <c r="BR34" s="34" t="str">
        <f aca="false">IFERROR(BR30/BL30-1,"")</f>
        <v/>
      </c>
      <c r="BS34" s="34" t="str">
        <f aca="false">IFERROR(BS30/BM30-1,"")</f>
        <v/>
      </c>
      <c r="BT34" s="34" t="str">
        <f aca="false">IFERROR(BT30/BN30-1,"")</f>
        <v/>
      </c>
      <c r="BU34" s="34" t="str">
        <f aca="false">IFERROR(BU30/BO30-1,"")</f>
        <v/>
      </c>
      <c r="BV34" s="34" t="str">
        <f aca="false">IFERROR(BV30/BP30-1,"")</f>
        <v/>
      </c>
      <c r="BW34" s="34" t="str">
        <f aca="false">IFERROR(BW30/BQ30-1,"")</f>
        <v/>
      </c>
      <c r="BX34" s="34" t="str">
        <f aca="false">IFERROR(BX30/BR30-1,"")</f>
        <v/>
      </c>
      <c r="BY34" s="34" t="str">
        <f aca="false">IFERROR(BY30/BS30-1,"")</f>
        <v/>
      </c>
      <c r="BZ34" s="34" t="str">
        <f aca="false">IFERROR(BZ30/BT30-1,"")</f>
        <v/>
      </c>
      <c r="CA34" s="34" t="str">
        <f aca="false">IFERROR(CA30/BU30-1,"")</f>
        <v/>
      </c>
      <c r="CB34" s="34" t="str">
        <f aca="false">IFERROR(CB30/BV30-1,"")</f>
        <v/>
      </c>
      <c r="CC34" s="34" t="str">
        <f aca="false">IFERROR(CC30/BW30-1,"")</f>
        <v/>
      </c>
      <c r="CD34" s="34" t="str">
        <f aca="false">IFERROR(CD30/BX30-1,"")</f>
        <v/>
      </c>
      <c r="CE34" s="34" t="str">
        <f aca="false">IFERROR(CE30/BY30-1,"")</f>
        <v/>
      </c>
      <c r="CF34" s="34" t="str">
        <f aca="false">IFERROR(CF30/BZ30-1,"")</f>
        <v/>
      </c>
      <c r="CG34" s="34" t="str">
        <f aca="false">IFERROR(CG30/CA30-1,"")</f>
        <v/>
      </c>
      <c r="CH34" s="34" t="str">
        <f aca="false">IFERROR(CH30/CB30-1,"")</f>
        <v/>
      </c>
      <c r="CI34" s="34" t="str">
        <f aca="false">IFERROR(CI30/CC30-1,"")</f>
        <v/>
      </c>
      <c r="CJ34" s="34" t="n">
        <f aca="false">IFERROR(CJ30/CD30-1,"")</f>
        <v>-0.358904109589041</v>
      </c>
      <c r="CK34" s="34" t="n">
        <f aca="false">IFERROR(CK30/CE30-1,"")</f>
        <v>-0.192604006163328</v>
      </c>
      <c r="CL34" s="34" t="n">
        <f aca="false">IFERROR(CL30/CF30-1,"")</f>
        <v>-0.280638143582306</v>
      </c>
      <c r="CM34" s="35" t="n">
        <f aca="false">IFERROR(CM30/CG30-1,"")</f>
        <v>0.0671885854236305</v>
      </c>
      <c r="CN34" s="35" t="n">
        <f aca="false">IFERROR(CN30/CH30-1,"")</f>
        <v>0.0652510032244424</v>
      </c>
      <c r="CO34" s="35" t="n">
        <f aca="false">IFERROR(CO30/CI30-1,"")</f>
        <v>-0.130788238379316</v>
      </c>
      <c r="CP34" s="35" t="n">
        <f aca="false">IFERROR(CP30/CO30-1,"")</f>
        <v>0.05</v>
      </c>
      <c r="CQ34" s="35" t="n">
        <f aca="false">IFERROR(CQ30/CP30-1,"")</f>
        <v>0.0499999999999998</v>
      </c>
      <c r="CR34" s="35" t="n">
        <f aca="false">IFERROR(CR30/CQ30-1,"")</f>
        <v>0.05</v>
      </c>
      <c r="CS34" s="35" t="n">
        <f aca="false">IFERROR(CS30/CR30-1,"")</f>
        <v>0.0499999999999998</v>
      </c>
      <c r="CT34" s="23"/>
      <c r="CV34" s="7"/>
      <c r="CW34" s="7"/>
      <c r="CX34" s="7"/>
      <c r="CY34" s="7"/>
      <c r="DB34" s="13" t="s">
        <v>123</v>
      </c>
      <c r="DC34" s="38" t="n">
        <f aca="false">DD34+$DC$32</f>
        <v>0.07</v>
      </c>
      <c r="DD34" s="29" t="n">
        <v>0.05</v>
      </c>
      <c r="DE34" s="38" t="n">
        <f aca="false">DD34+$DE$32</f>
        <v>0.02</v>
      </c>
    </row>
    <row r="35" customFormat="false" ht="15" hidden="false" customHeight="true" outlineLevel="0" collapsed="false">
      <c r="B35" s="39" t="s">
        <v>135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40" t="n">
        <v>377.5</v>
      </c>
      <c r="BS35" s="40" t="n">
        <v>560.8</v>
      </c>
      <c r="BT35" s="31" t="n">
        <f aca="false">BR35+BS35</f>
        <v>938.3</v>
      </c>
      <c r="BU35" s="40" t="n">
        <v>471.8</v>
      </c>
      <c r="BV35" s="40" t="n">
        <v>542.8</v>
      </c>
      <c r="BW35" s="40" t="n">
        <v>1952.9</v>
      </c>
      <c r="BX35" s="40" t="n">
        <v>411.2</v>
      </c>
      <c r="BY35" s="40" t="n">
        <v>483.1</v>
      </c>
      <c r="BZ35" s="31" t="n">
        <f aca="false">BX35+BY35</f>
        <v>894.3</v>
      </c>
      <c r="CA35" s="40" t="n">
        <v>373.5</v>
      </c>
      <c r="CB35" s="40" t="n">
        <v>553.6</v>
      </c>
      <c r="CC35" s="40" t="n">
        <v>1821.4</v>
      </c>
      <c r="CD35" s="40" t="n">
        <v>407.5</v>
      </c>
      <c r="CE35" s="40" t="n">
        <v>513.4</v>
      </c>
      <c r="CF35" s="31" t="n">
        <f aca="false">CD35+CE35</f>
        <v>920.9</v>
      </c>
      <c r="CG35" s="40" t="n">
        <v>412.7</v>
      </c>
      <c r="CH35" s="40" t="n">
        <v>545.7</v>
      </c>
      <c r="CI35" s="40" t="n">
        <v>1879.2</v>
      </c>
      <c r="CJ35" s="40" t="n">
        <v>429.7</v>
      </c>
      <c r="CK35" s="31"/>
      <c r="CL35" s="31"/>
      <c r="CM35" s="32"/>
      <c r="CN35" s="32"/>
      <c r="CO35" s="32"/>
      <c r="CP35" s="32"/>
      <c r="CQ35" s="32"/>
      <c r="CR35" s="32"/>
      <c r="CS35" s="32"/>
      <c r="CT35" s="23"/>
      <c r="CV35" s="7"/>
      <c r="CW35" s="7"/>
      <c r="CX35" s="7"/>
      <c r="CY35" s="7"/>
      <c r="DB35" s="13" t="s">
        <v>125</v>
      </c>
      <c r="DC35" s="38" t="n">
        <f aca="false">DD35+$DC$32</f>
        <v>0.07</v>
      </c>
      <c r="DD35" s="29" t="n">
        <v>0.05</v>
      </c>
      <c r="DE35" s="38" t="n">
        <f aca="false">DD35+$DE$32</f>
        <v>0.02</v>
      </c>
    </row>
    <row r="36" customFormat="false" ht="15" hidden="false" customHeight="true" outlineLevel="0" collapsed="false">
      <c r="B36" s="39" t="s">
        <v>136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40" t="n">
        <v>105.2</v>
      </c>
      <c r="BS36" s="40" t="n">
        <v>172.8</v>
      </c>
      <c r="BT36" s="31" t="n">
        <f aca="false">BR36+BS36</f>
        <v>278</v>
      </c>
      <c r="BU36" s="40" t="n">
        <v>157.8</v>
      </c>
      <c r="BV36" s="40" t="n">
        <v>155.3</v>
      </c>
      <c r="BW36" s="40" t="n">
        <v>591.1</v>
      </c>
      <c r="BX36" s="40" t="n">
        <v>145.6</v>
      </c>
      <c r="BY36" s="40" t="n">
        <v>173.6</v>
      </c>
      <c r="BZ36" s="31" t="n">
        <f aca="false">BX36+BY36</f>
        <v>319.2</v>
      </c>
      <c r="CA36" s="40" t="n">
        <v>140.8</v>
      </c>
      <c r="CB36" s="40" t="n">
        <v>157.4</v>
      </c>
      <c r="CC36" s="40" t="n">
        <v>617.3</v>
      </c>
      <c r="CD36" s="40" t="n">
        <v>141.9</v>
      </c>
      <c r="CE36" s="40" t="n">
        <v>153.8</v>
      </c>
      <c r="CF36" s="31" t="n">
        <f aca="false">CD36+CE36</f>
        <v>295.7</v>
      </c>
      <c r="CG36" s="40" t="n">
        <v>126.7</v>
      </c>
      <c r="CH36" s="40" t="n">
        <v>147.6</v>
      </c>
      <c r="CI36" s="40" t="n">
        <v>570</v>
      </c>
      <c r="CJ36" s="40" t="n">
        <v>128.4</v>
      </c>
      <c r="CK36" s="31"/>
      <c r="CL36" s="31"/>
      <c r="CM36" s="32"/>
      <c r="CN36" s="32"/>
      <c r="CO36" s="32"/>
      <c r="CP36" s="32"/>
      <c r="CQ36" s="32"/>
      <c r="CR36" s="32"/>
      <c r="CS36" s="32"/>
      <c r="CT36" s="23"/>
      <c r="CV36" s="7"/>
      <c r="CW36" s="7"/>
      <c r="CX36" s="7"/>
      <c r="CY36" s="7"/>
      <c r="DB36" s="13" t="s">
        <v>126</v>
      </c>
      <c r="DC36" s="38" t="n">
        <f aca="false">DD36+$DC$32</f>
        <v>0.07</v>
      </c>
      <c r="DD36" s="29" t="n">
        <v>0.05</v>
      </c>
      <c r="DE36" s="38" t="n">
        <f aca="false">DD36+$DE$32</f>
        <v>0.02</v>
      </c>
    </row>
    <row r="37" customFormat="false" ht="15" hidden="false" customHeight="true" outlineLevel="0" collapsed="false">
      <c r="B37" s="13"/>
      <c r="CM37" s="7"/>
      <c r="CN37" s="7"/>
      <c r="CO37" s="7"/>
      <c r="CP37" s="7"/>
      <c r="CQ37" s="7"/>
      <c r="CR37" s="7"/>
      <c r="CS37" s="7"/>
      <c r="CT37" s="7"/>
    </row>
    <row r="38" customFormat="false" ht="15" hidden="false" customHeight="true" outlineLevel="0" collapsed="false">
      <c r="B38" s="17" t="s">
        <v>137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8" t="s">
        <v>138</v>
      </c>
      <c r="DB38" s="18" t="s">
        <v>139</v>
      </c>
      <c r="DC38" s="37" t="n">
        <v>0.01</v>
      </c>
      <c r="DD38" s="25" t="s">
        <v>120</v>
      </c>
      <c r="DE38" s="37" t="n">
        <v>-0.015</v>
      </c>
      <c r="DF38" s="16" t="s">
        <v>140</v>
      </c>
    </row>
    <row r="39" customFormat="false" ht="15" hidden="false" customHeight="true" outlineLevel="0" collapsed="false">
      <c r="B39" s="41" t="s">
        <v>141</v>
      </c>
      <c r="C39" s="42" t="n">
        <v>2721.023</v>
      </c>
      <c r="D39" s="42" t="n">
        <v>3186.483</v>
      </c>
      <c r="E39" s="42" t="n">
        <v>3567.16</v>
      </c>
      <c r="F39" s="42" t="n">
        <v>3492.021</v>
      </c>
      <c r="G39" s="42" t="n">
        <v>3277.771</v>
      </c>
      <c r="H39" s="42" t="n">
        <v>3714.281</v>
      </c>
      <c r="I39" s="42" t="n">
        <v>3907.991</v>
      </c>
      <c r="J39" s="21" t="n">
        <v>845.353</v>
      </c>
      <c r="K39" s="21" t="n">
        <v>1072.942</v>
      </c>
      <c r="L39" s="20" t="n">
        <f aca="false">J39+K39</f>
        <v>1918.295</v>
      </c>
      <c r="M39" s="21" t="n">
        <v>789.64</v>
      </c>
      <c r="N39" s="21" t="n">
        <v>1109.834</v>
      </c>
      <c r="O39" s="42" t="n">
        <v>3817.769</v>
      </c>
      <c r="P39" s="21" t="n">
        <v>855.377</v>
      </c>
      <c r="Q39" s="21" t="n">
        <v>1229.204</v>
      </c>
      <c r="R39" s="20" t="n">
        <f aca="false">P39+Q39</f>
        <v>2084.581</v>
      </c>
      <c r="S39" s="21" t="n">
        <v>886.876</v>
      </c>
      <c r="T39" s="21" t="n">
        <v>1241.184</v>
      </c>
      <c r="U39" s="42" t="n">
        <v>4212.641</v>
      </c>
      <c r="V39" s="21" t="n">
        <v>955.561</v>
      </c>
      <c r="W39" s="21" t="n">
        <v>1262.168</v>
      </c>
      <c r="X39" s="20" t="n">
        <f aca="false">V39+W39</f>
        <v>2217.729</v>
      </c>
      <c r="Y39" s="21" t="n">
        <v>894.509</v>
      </c>
      <c r="Z39" s="21" t="n">
        <v>1135.397</v>
      </c>
      <c r="AA39" s="42" t="n">
        <v>4247.635</v>
      </c>
      <c r="AB39" s="21" t="n">
        <v>1019.922</v>
      </c>
      <c r="AC39" s="21" t="n">
        <v>1275.682</v>
      </c>
      <c r="AD39" s="20" t="n">
        <f aca="false">AB39+AC39</f>
        <v>2295.604</v>
      </c>
      <c r="AE39" s="21" t="n">
        <v>998.859</v>
      </c>
      <c r="AF39" s="21" t="n">
        <v>1040.352</v>
      </c>
      <c r="AG39" s="42" t="n">
        <v>4334.815</v>
      </c>
      <c r="AH39" s="21" t="n">
        <v>899.41</v>
      </c>
      <c r="AI39" s="21" t="n">
        <v>1254.318</v>
      </c>
      <c r="AJ39" s="20" t="n">
        <f aca="false">AH39+AI39</f>
        <v>2153.728</v>
      </c>
      <c r="AK39" s="21" t="n">
        <v>1019.322</v>
      </c>
      <c r="AL39" s="21" t="n">
        <v>1294.932</v>
      </c>
      <c r="AM39" s="42" t="n">
        <v>4467.982</v>
      </c>
      <c r="AN39" s="21" t="n">
        <v>1160.712</v>
      </c>
      <c r="AO39" s="21" t="n">
        <v>1426.412</v>
      </c>
      <c r="AP39" s="20" t="n">
        <f aca="false">AN39+AO39</f>
        <v>2587.124</v>
      </c>
      <c r="AQ39" s="21" t="n">
        <v>1039.427</v>
      </c>
      <c r="AR39" s="21" t="n">
        <v>1337.614</v>
      </c>
      <c r="AS39" s="42" t="n">
        <v>4964.165</v>
      </c>
      <c r="AT39" s="21" t="n">
        <v>1174.681</v>
      </c>
      <c r="AU39" s="21" t="n">
        <v>1497.757</v>
      </c>
      <c r="AV39" s="20" t="n">
        <f aca="false">AT39+AU39</f>
        <v>2672.438</v>
      </c>
      <c r="AW39" s="21" t="n">
        <v>1084.241</v>
      </c>
      <c r="AX39" s="21" t="n">
        <v>1383.908</v>
      </c>
      <c r="AY39" s="42" t="n">
        <v>5140.587</v>
      </c>
      <c r="AZ39" s="21" t="n">
        <v>1147.025</v>
      </c>
      <c r="BA39" s="21" t="n">
        <v>1493.982</v>
      </c>
      <c r="BB39" s="20" t="n">
        <f aca="false">AZ39+BA39</f>
        <v>2641.007</v>
      </c>
      <c r="BC39" s="21" t="n">
        <v>1321.379</v>
      </c>
      <c r="BD39" s="21" t="n">
        <v>1448.832</v>
      </c>
      <c r="BE39" s="42" t="n">
        <v>5411.218</v>
      </c>
      <c r="BF39" s="21" t="n">
        <v>1274.539</v>
      </c>
      <c r="BG39" s="21" t="n">
        <v>1527.642</v>
      </c>
      <c r="BH39" s="20" t="n">
        <f aca="false">BF39+BG39</f>
        <v>2802.181</v>
      </c>
      <c r="BI39" s="21" t="n">
        <v>1270.258</v>
      </c>
      <c r="BJ39" s="21" t="n">
        <v>1461.492</v>
      </c>
      <c r="BK39" s="42" t="n">
        <v>5533.931</v>
      </c>
      <c r="BL39" s="21" t="n">
        <v>1439.105</v>
      </c>
      <c r="BM39" s="21" t="n">
        <v>1684.276</v>
      </c>
      <c r="BN39" s="20" t="n">
        <f aca="false">BL39+BM39</f>
        <v>3123.381</v>
      </c>
      <c r="BO39" s="21" t="n">
        <v>1358.242</v>
      </c>
      <c r="BP39" s="21" t="n">
        <v>1544.267</v>
      </c>
      <c r="BQ39" s="42" t="n">
        <v>6025.889</v>
      </c>
      <c r="BR39" s="21" t="n">
        <v>1899.2</v>
      </c>
      <c r="BS39" s="21" t="n">
        <v>4144</v>
      </c>
      <c r="BT39" s="20" t="n">
        <f aca="false">BR39+BS39</f>
        <v>6043.2</v>
      </c>
      <c r="BU39" s="21" t="n">
        <v>3875.4</v>
      </c>
      <c r="BV39" s="21" t="n">
        <v>4012</v>
      </c>
      <c r="BW39" s="42" t="n">
        <v>13930.6</v>
      </c>
      <c r="BX39" s="21" t="n">
        <v>4077.4</v>
      </c>
      <c r="BY39" s="21" t="n">
        <v>4104.1</v>
      </c>
      <c r="BZ39" s="20" t="n">
        <f aca="false">BX39+BY39</f>
        <v>8181.5</v>
      </c>
      <c r="CA39" s="21" t="n">
        <v>3622.2</v>
      </c>
      <c r="CB39" s="21" t="n">
        <v>4101.2</v>
      </c>
      <c r="CC39" s="42" t="n">
        <v>15904.8</v>
      </c>
      <c r="CD39" s="21" t="n">
        <v>3828.9</v>
      </c>
      <c r="CE39" s="21" t="n">
        <v>4198.1</v>
      </c>
      <c r="CF39" s="20" t="n">
        <f aca="false">CD39+CE39</f>
        <v>8027</v>
      </c>
      <c r="CG39" s="21" t="n">
        <v>3893.8</v>
      </c>
      <c r="CH39" s="21" t="n">
        <v>4281.1</v>
      </c>
      <c r="CI39" s="42" t="n">
        <v>16201.9</v>
      </c>
      <c r="CJ39" s="21" t="n">
        <v>4340.9</v>
      </c>
      <c r="CK39" s="21" t="n">
        <v>4672.7</v>
      </c>
      <c r="CL39" s="20" t="n">
        <f aca="false">CJ39+CK39</f>
        <v>9013.6</v>
      </c>
      <c r="CM39" s="43" t="n">
        <f aca="false">(CI39*(1+CHOOSE(MATCH($CT$2,{"Bull","Base","Bear"},0),$DC$12,$DD$12,$DE$12))-CL39)*CG39/(CG39+CH39)</f>
        <v>4195.5862899852</v>
      </c>
      <c r="CN39" s="43" t="n">
        <f aca="false">(CI39*(1+CHOOSE(MATCH($CT$2,{"Bull","Base","Bear"},0),$DC$12,$DD$12,$DE$12))-CL39)*CH39/(CG39+CH39)</f>
        <v>4612.9037100148</v>
      </c>
      <c r="CO39" s="43" t="n">
        <f aca="false">SUM(CJ39,CK39,CM39,CN39)</f>
        <v>17822.09</v>
      </c>
      <c r="CP39" s="43" t="n">
        <f aca="false">CP11+CP19+CP29</f>
        <v>18793.0030890223</v>
      </c>
      <c r="CQ39" s="43" t="n">
        <f aca="false">CQ11+CQ19+CQ29</f>
        <v>19690.3546912916</v>
      </c>
      <c r="CR39" s="43" t="n">
        <f aca="false">CR11+CR19+CR29</f>
        <v>20535.0211789075</v>
      </c>
      <c r="CS39" s="43" t="n">
        <f aca="false">CS11+CS19+CS29</f>
        <v>21416.0697046618</v>
      </c>
      <c r="CT39" s="23" t="s">
        <v>142</v>
      </c>
      <c r="CV39" s="24" t="n">
        <f aca="false">IFERROR((CS39/CI39)^(1/5)-1,"n/m")</f>
        <v>0.057388943375571</v>
      </c>
      <c r="CW39" s="24" t="n">
        <f aca="false">IFERROR((CI39/BE39)^(1/5)-1,"n/m")</f>
        <v>0.245243212983806</v>
      </c>
      <c r="CX39" s="24" t="n">
        <f aca="false">IFERROR((CI39/AA39)^(1/10)-1,"n/m")</f>
        <v>0.143251752179514</v>
      </c>
      <c r="CY39" s="24" t="n">
        <f aca="false">IFERROR((CI39/C39)^(1/19)-1,"n/m")</f>
        <v>0.0984510867782722</v>
      </c>
      <c r="DB39" s="13" t="s">
        <v>122</v>
      </c>
      <c r="DC39" s="38" t="n">
        <f aca="false">DD39+$DC$38</f>
        <v>0.315</v>
      </c>
      <c r="DD39" s="29" t="n">
        <v>0.305</v>
      </c>
      <c r="DE39" s="38" t="n">
        <f aca="false">DD39+$DE$38</f>
        <v>0.29</v>
      </c>
    </row>
    <row r="40" customFormat="false" ht="15" hidden="false" customHeight="true" outlineLevel="0" collapsed="false">
      <c r="B40" s="30" t="s">
        <v>111</v>
      </c>
      <c r="C40" s="34"/>
      <c r="D40" s="34" t="n">
        <f aca="false">IFERROR(D39/C39-1,"")</f>
        <v>0.171060663581307</v>
      </c>
      <c r="E40" s="34" t="n">
        <f aca="false">IFERROR(E39/D39-1,"")</f>
        <v>0.119466195175057</v>
      </c>
      <c r="F40" s="34" t="n">
        <f aca="false">IFERROR(F39/E39-1,"")</f>
        <v>-0.0210640958073088</v>
      </c>
      <c r="G40" s="34" t="n">
        <f aca="false">IFERROR(G39/F39-1,"")</f>
        <v>-0.0613541556594305</v>
      </c>
      <c r="H40" s="34" t="n">
        <f aca="false">IFERROR(H39/G39-1,"")</f>
        <v>0.133172817747182</v>
      </c>
      <c r="I40" s="34" t="n">
        <f aca="false">IFERROR(I39/H39-1,"")</f>
        <v>0.0521527585015782</v>
      </c>
      <c r="J40" s="34"/>
      <c r="K40" s="34"/>
      <c r="L40" s="34"/>
      <c r="M40" s="34"/>
      <c r="N40" s="34"/>
      <c r="O40" s="34" t="n">
        <f aca="false">IFERROR(O39/I39-1,"")</f>
        <v>-0.0230865424203894</v>
      </c>
      <c r="P40" s="34" t="n">
        <f aca="false">IFERROR(P39/J39-1,"")</f>
        <v>0.0118577682932455</v>
      </c>
      <c r="Q40" s="34" t="n">
        <f aca="false">IFERROR(Q39/K39-1,"")</f>
        <v>0.145638813654419</v>
      </c>
      <c r="R40" s="34" t="n">
        <f aca="false">IFERROR(R39/L39-1,"")</f>
        <v>0.086684269103553</v>
      </c>
      <c r="S40" s="34" t="n">
        <f aca="false">IFERROR(S39/M39-1,"")</f>
        <v>0.123139658578593</v>
      </c>
      <c r="T40" s="34" t="n">
        <f aca="false">IFERROR(T39/N39-1,"")</f>
        <v>0.118351032676959</v>
      </c>
      <c r="U40" s="34" t="n">
        <f aca="false">IFERROR(U39/O39-1,"")</f>
        <v>0.103430039900266</v>
      </c>
      <c r="V40" s="34" t="n">
        <f aca="false">IFERROR(V39/P39-1,"")</f>
        <v>0.117122625462223</v>
      </c>
      <c r="W40" s="34" t="n">
        <f aca="false">IFERROR(W39/Q39-1,"")</f>
        <v>0.0268173549711845</v>
      </c>
      <c r="X40" s="34" t="n">
        <f aca="false">IFERROR(X39/R39-1,"")</f>
        <v>0.0638727878648033</v>
      </c>
      <c r="Y40" s="34" t="n">
        <f aca="false">IFERROR(Y39/S39-1,"")</f>
        <v>0.00860661467894053</v>
      </c>
      <c r="Z40" s="34" t="n">
        <f aca="false">IFERROR(Z39/T39-1,"")</f>
        <v>-0.0852307151880786</v>
      </c>
      <c r="AA40" s="34" t="n">
        <f aca="false">IFERROR(AA39/U39-1,"")</f>
        <v>0.0083069029618239</v>
      </c>
      <c r="AB40" s="34" t="n">
        <f aca="false">IFERROR(AB39/V39-1,"")</f>
        <v>0.0673541511216971</v>
      </c>
      <c r="AC40" s="34" t="n">
        <f aca="false">IFERROR(AC39/W39-1,"")</f>
        <v>0.0107069740319832</v>
      </c>
      <c r="AD40" s="34" t="n">
        <f aca="false">IFERROR(AD39/X39-1,"")</f>
        <v>0.0351147502693072</v>
      </c>
      <c r="AE40" s="34" t="n">
        <f aca="false">IFERROR(AE39/Y39-1,"")</f>
        <v>0.116656176740536</v>
      </c>
      <c r="AF40" s="34" t="n">
        <f aca="false">IFERROR(AF39/Z39-1,"")</f>
        <v>-0.0837108077615141</v>
      </c>
      <c r="AG40" s="34" t="n">
        <f aca="false">IFERROR(AG39/AA39-1,"")</f>
        <v>0.0205243623804774</v>
      </c>
      <c r="AH40" s="34" t="n">
        <f aca="false">IFERROR(AH39/AB39-1,"")</f>
        <v>-0.118158055223831</v>
      </c>
      <c r="AI40" s="34" t="n">
        <f aca="false">IFERROR(AI39/AC39-1,"")</f>
        <v>-0.0167471203638525</v>
      </c>
      <c r="AJ40" s="34" t="n">
        <f aca="false">IFERROR(AJ39/AD39-1,"")</f>
        <v>-0.0618033423883214</v>
      </c>
      <c r="AK40" s="34" t="n">
        <f aca="false">IFERROR(AK39/AE39-1,"")</f>
        <v>0.0204863749538222</v>
      </c>
      <c r="AL40" s="34" t="n">
        <f aca="false">IFERROR(AL39/AF39-1,"")</f>
        <v>0.244705638091723</v>
      </c>
      <c r="AM40" s="34" t="n">
        <f aca="false">IFERROR(AM39/AG39-1,"")</f>
        <v>0.0307203421599307</v>
      </c>
      <c r="AN40" s="34" t="n">
        <f aca="false">IFERROR(AN39/AH39-1,"")</f>
        <v>0.290526011496425</v>
      </c>
      <c r="AO40" s="34" t="n">
        <f aca="false">IFERROR(AO39/AI39-1,"")</f>
        <v>0.137201251995108</v>
      </c>
      <c r="AP40" s="34" t="n">
        <f aca="false">IFERROR(AP39/AJ39-1,"")</f>
        <v>0.201230610364911</v>
      </c>
      <c r="AQ40" s="34" t="n">
        <f aca="false">IFERROR(AQ39/AK39-1,"")</f>
        <v>0.0197238949026901</v>
      </c>
      <c r="AR40" s="34" t="n">
        <f aca="false">IFERROR(AR39/AL39-1,"")</f>
        <v>0.032960804119444</v>
      </c>
      <c r="AS40" s="34" t="n">
        <f aca="false">IFERROR(AS39/AM39-1,"")</f>
        <v>0.111053043633569</v>
      </c>
      <c r="AT40" s="34" t="n">
        <f aca="false">IFERROR(AT39/AN39-1,"")</f>
        <v>0.0120348544686366</v>
      </c>
      <c r="AU40" s="34" t="n">
        <f aca="false">IFERROR(AU39/AO39-1,"")</f>
        <v>0.0500171058572139</v>
      </c>
      <c r="AV40" s="34" t="n">
        <f aca="false">IFERROR(AV39/AP39-1,"")</f>
        <v>0.0329763861337919</v>
      </c>
      <c r="AW40" s="34" t="n">
        <f aca="false">IFERROR(AW39/AQ39-1,"")</f>
        <v>0.0431141388476537</v>
      </c>
      <c r="AX40" s="34" t="n">
        <f aca="false">IFERROR(AX39/AR39-1,"")</f>
        <v>0.0346093865644348</v>
      </c>
      <c r="AY40" s="34" t="n">
        <f aca="false">IFERROR(AY39/AS39-1,"")</f>
        <v>0.0355391087927175</v>
      </c>
      <c r="AZ40" s="34" t="n">
        <f aca="false">IFERROR(AZ39/AT39-1,"")</f>
        <v>-0.0235434130627804</v>
      </c>
      <c r="BA40" s="34" t="n">
        <f aca="false">IFERROR(BA39/AU39-1,"")</f>
        <v>-0.0025204355579711</v>
      </c>
      <c r="BB40" s="34" t="n">
        <f aca="false">IFERROR(BB39/AV39-1,"")</f>
        <v>-0.0117611708859102</v>
      </c>
      <c r="BC40" s="34" t="n">
        <f aca="false">IFERROR(BC39/AW39-1,"")</f>
        <v>0.218713367231086</v>
      </c>
      <c r="BD40" s="34" t="n">
        <f aca="false">IFERROR(BD39/AX39-1,"")</f>
        <v>0.0469135231532734</v>
      </c>
      <c r="BE40" s="34" t="n">
        <f aca="false">IFERROR(BE39/AY39-1,"")</f>
        <v>0.0526459332368072</v>
      </c>
      <c r="BF40" s="34" t="n">
        <f aca="false">IFERROR(BF39/AZ39-1,"")</f>
        <v>0.111169329352019</v>
      </c>
      <c r="BG40" s="34" t="n">
        <f aca="false">IFERROR(BG39/BA39-1,"")</f>
        <v>0.0225303919324329</v>
      </c>
      <c r="BH40" s="34" t="n">
        <f aca="false">IFERROR(BH39/BB39-1,"")</f>
        <v>0.0610274792910432</v>
      </c>
      <c r="BI40" s="34" t="n">
        <f aca="false">IFERROR(BI39/BC39-1,"")</f>
        <v>-0.0386876134704728</v>
      </c>
      <c r="BJ40" s="34" t="n">
        <f aca="false">IFERROR(BJ39/BD39-1,"")</f>
        <v>0.00873807315133846</v>
      </c>
      <c r="BK40" s="34" t="n">
        <f aca="false">IFERROR(BK39/BE39-1,"")</f>
        <v>0.0226775191832966</v>
      </c>
      <c r="BL40" s="34" t="n">
        <f aca="false">IFERROR(BL39/BF39-1,"")</f>
        <v>0.129118057587881</v>
      </c>
      <c r="BM40" s="34" t="n">
        <f aca="false">IFERROR(BM39/BG39-1,"")</f>
        <v>0.102533185131071</v>
      </c>
      <c r="BN40" s="34" t="n">
        <f aca="false">IFERROR(BN39/BH39-1,"")</f>
        <v>0.114625001025987</v>
      </c>
      <c r="BO40" s="34" t="n">
        <f aca="false">IFERROR(BO39/BI39-1,"")</f>
        <v>0.0692646690672287</v>
      </c>
      <c r="BP40" s="34" t="n">
        <f aca="false">IFERROR(BP39/BJ39-1,"")</f>
        <v>0.0566373267865989</v>
      </c>
      <c r="BQ40" s="34" t="n">
        <f aca="false">IFERROR(BQ39/BK39-1,"")</f>
        <v>0.0888984701833111</v>
      </c>
      <c r="BR40" s="34" t="n">
        <f aca="false">IFERROR(BR39/BL39-1,"")</f>
        <v>0.319709124768519</v>
      </c>
      <c r="BS40" s="34" t="n">
        <f aca="false">IFERROR(BS39/BM39-1,"")</f>
        <v>1.46040435178082</v>
      </c>
      <c r="BT40" s="34" t="n">
        <f aca="false">IFERROR(BT39/BN39-1,"")</f>
        <v>0.934826394858648</v>
      </c>
      <c r="BU40" s="34" t="n">
        <f aca="false">IFERROR(BU39/BO39-1,"")</f>
        <v>1.85324706495602</v>
      </c>
      <c r="BV40" s="34" t="n">
        <f aca="false">IFERROR(BV39/BP39-1,"")</f>
        <v>1.59799633094536</v>
      </c>
      <c r="BW40" s="34" t="n">
        <f aca="false">IFERROR(BW39/BQ39-1,"")</f>
        <v>1.31179167090532</v>
      </c>
      <c r="BX40" s="34" t="n">
        <f aca="false">IFERROR(BX39/BR39-1,"")</f>
        <v>1.14690395956192</v>
      </c>
      <c r="BY40" s="34" t="n">
        <f aca="false">IFERROR(BY39/BS39-1,"")</f>
        <v>-0.00962837837837827</v>
      </c>
      <c r="BZ40" s="34" t="n">
        <f aca="false">IFERROR(BZ39/BT39-1,"")</f>
        <v>0.35383571617686</v>
      </c>
      <c r="CA40" s="34" t="n">
        <f aca="false">IFERROR(CA39/BU39-1,"")</f>
        <v>-0.0653351912060691</v>
      </c>
      <c r="CB40" s="34" t="n">
        <f aca="false">IFERROR(CB39/BV39-1,"")</f>
        <v>0.0222333000997008</v>
      </c>
      <c r="CC40" s="34" t="n">
        <f aca="false">IFERROR(CC39/BW39-1,"")</f>
        <v>0.141716796117899</v>
      </c>
      <c r="CD40" s="34" t="n">
        <f aca="false">IFERROR(CD39/BX39-1,"")</f>
        <v>-0.0609457006916172</v>
      </c>
      <c r="CE40" s="34" t="n">
        <f aca="false">IFERROR(CE39/BY39-1,"")</f>
        <v>0.0229039253429497</v>
      </c>
      <c r="CF40" s="34" t="n">
        <f aca="false">IFERROR(CF39/BZ39-1,"")</f>
        <v>-0.0188840677137444</v>
      </c>
      <c r="CG40" s="34" t="n">
        <f aca="false">IFERROR(CG39/CA39-1,"")</f>
        <v>0.0749820551046327</v>
      </c>
      <c r="CH40" s="34" t="n">
        <f aca="false">IFERROR(CH39/CB39-1,"")</f>
        <v>0.0438652101823858</v>
      </c>
      <c r="CI40" s="34" t="n">
        <f aca="false">IFERROR(CI39/CC39-1,"")</f>
        <v>0.018679895377496</v>
      </c>
      <c r="CJ40" s="34" t="n">
        <f aca="false">IFERROR(CJ39/CD39-1,"")</f>
        <v>0.133719867324819</v>
      </c>
      <c r="CK40" s="34" t="n">
        <f aca="false">IFERROR(CK39/CE39-1,"")</f>
        <v>0.113051142183368</v>
      </c>
      <c r="CL40" s="34" t="n">
        <f aca="false">IFERROR(CL39/CF39-1,"")</f>
        <v>0.122910178148748</v>
      </c>
      <c r="CM40" s="35" t="n">
        <f aca="false">IFERROR(CM39/CG39-1,"")</f>
        <v>0.0775043119793517</v>
      </c>
      <c r="CN40" s="35" t="n">
        <f aca="false">IFERROR(CN39/CH39-1,"")</f>
        <v>0.0775043119793517</v>
      </c>
      <c r="CO40" s="35" t="n">
        <f aca="false">IFERROR(CO39/CI39-1,"")</f>
        <v>0.1</v>
      </c>
      <c r="CP40" s="35" t="n">
        <f aca="false">IFERROR(CP39/CO39-1,"")</f>
        <v>0.0544780712600075</v>
      </c>
      <c r="CQ40" s="35" t="n">
        <f aca="false">IFERROR(CQ39/CP39-1,"")</f>
        <v>0.0477492393322432</v>
      </c>
      <c r="CR40" s="35" t="n">
        <f aca="false">IFERROR(CR39/CQ39-1,"")</f>
        <v>0.0428974744670037</v>
      </c>
      <c r="CS40" s="35" t="n">
        <f aca="false">IFERROR(CS39/CR39-1,"")</f>
        <v>0.0429046806467039</v>
      </c>
      <c r="CT40" s="23"/>
      <c r="CV40" s="7"/>
      <c r="CW40" s="7"/>
      <c r="CX40" s="7"/>
      <c r="CY40" s="7"/>
      <c r="DB40" s="13" t="s">
        <v>123</v>
      </c>
      <c r="DC40" s="38" t="n">
        <f aca="false">DD40+$DC$38</f>
        <v>0.32</v>
      </c>
      <c r="DD40" s="29" t="n">
        <v>0.31</v>
      </c>
      <c r="DE40" s="38" t="n">
        <f aca="false">DD40+$DE$38</f>
        <v>0.295</v>
      </c>
    </row>
    <row r="41" customFormat="false" ht="15" hidden="false" customHeight="true" outlineLevel="0" collapsed="false">
      <c r="B41" s="13" t="s">
        <v>143</v>
      </c>
      <c r="C41" s="31" t="str">
        <f aca="false">IF(ISNUMBER(C11),C39-C11,"")</f>
        <v/>
      </c>
      <c r="D41" s="31" t="str">
        <f aca="false">IF(ISNUMBER(D11),D39-D11,"")</f>
        <v/>
      </c>
      <c r="E41" s="31" t="str">
        <f aca="false">IF(ISNUMBER(E11),E39-E11,"")</f>
        <v/>
      </c>
      <c r="F41" s="31" t="str">
        <f aca="false">IF(ISNUMBER(F11),F39-F11,"")</f>
        <v/>
      </c>
      <c r="G41" s="31" t="str">
        <f aca="false">IF(ISNUMBER(G11),G39-G11,"")</f>
        <v/>
      </c>
      <c r="H41" s="31" t="str">
        <f aca="false">IF(ISNUMBER(H11),H39-H11,"")</f>
        <v/>
      </c>
      <c r="I41" s="31" t="str">
        <f aca="false">IF(ISNUMBER(I11),I39-I11,"")</f>
        <v/>
      </c>
      <c r="J41" s="31" t="str">
        <f aca="false">IF(ISNUMBER(J11),J39-J11,"")</f>
        <v/>
      </c>
      <c r="K41" s="31" t="str">
        <f aca="false">IF(ISNUMBER(K11),K39-K11,"")</f>
        <v/>
      </c>
      <c r="L41" s="31" t="str">
        <f aca="false">IF(ISNUMBER(L11),L39-L11,"")</f>
        <v/>
      </c>
      <c r="M41" s="31" t="str">
        <f aca="false">IF(ISNUMBER(M11),M39-M11,"")</f>
        <v/>
      </c>
      <c r="N41" s="31" t="str">
        <f aca="false">IF(ISNUMBER(N11),N39-N11,"")</f>
        <v/>
      </c>
      <c r="O41" s="31" t="str">
        <f aca="false">IF(ISNUMBER(O11),O39-O11,"")</f>
        <v/>
      </c>
      <c r="P41" s="31" t="str">
        <f aca="false">IF(ISNUMBER(P11),P39-P11,"")</f>
        <v/>
      </c>
      <c r="Q41" s="31" t="str">
        <f aca="false">IF(ISNUMBER(Q11),Q39-Q11,"")</f>
        <v/>
      </c>
      <c r="R41" s="31" t="str">
        <f aca="false">IF(ISNUMBER(R11),R39-R11,"")</f>
        <v/>
      </c>
      <c r="S41" s="31" t="str">
        <f aca="false">IF(ISNUMBER(S11),S39-S11,"")</f>
        <v/>
      </c>
      <c r="T41" s="31" t="str">
        <f aca="false">IF(ISNUMBER(T11),T39-T11,"")</f>
        <v/>
      </c>
      <c r="U41" s="31" t="str">
        <f aca="false">IF(ISNUMBER(U11),U39-U11,"")</f>
        <v/>
      </c>
      <c r="V41" s="31" t="str">
        <f aca="false">IF(ISNUMBER(V11),V39-V11,"")</f>
        <v/>
      </c>
      <c r="W41" s="31" t="str">
        <f aca="false">IF(ISNUMBER(W11),W39-W11,"")</f>
        <v/>
      </c>
      <c r="X41" s="31" t="str">
        <f aca="false">IF(ISNUMBER(X11),X39-X11,"")</f>
        <v/>
      </c>
      <c r="Y41" s="31" t="str">
        <f aca="false">IF(ISNUMBER(Y11),Y39-Y11,"")</f>
        <v/>
      </c>
      <c r="Z41" s="31" t="str">
        <f aca="false">IF(ISNUMBER(Z11),Z39-Z11,"")</f>
        <v/>
      </c>
      <c r="AA41" s="31" t="str">
        <f aca="false">IF(ISNUMBER(AA11),AA39-AA11,"")</f>
        <v/>
      </c>
      <c r="AB41" s="31" t="str">
        <f aca="false">IF(ISNUMBER(AB11),AB39-AB11,"")</f>
        <v/>
      </c>
      <c r="AC41" s="31" t="str">
        <f aca="false">IF(ISNUMBER(AC11),AC39-AC11,"")</f>
        <v/>
      </c>
      <c r="AD41" s="31" t="str">
        <f aca="false">IF(ISNUMBER(AD11),AD39-AD11,"")</f>
        <v/>
      </c>
      <c r="AE41" s="31" t="str">
        <f aca="false">IF(ISNUMBER(AE11),AE39-AE11,"")</f>
        <v/>
      </c>
      <c r="AF41" s="31" t="str">
        <f aca="false">IF(ISNUMBER(AF11),AF39-AF11,"")</f>
        <v/>
      </c>
      <c r="AG41" s="31" t="str">
        <f aca="false">IF(ISNUMBER(AG11),AG39-AG11,"")</f>
        <v/>
      </c>
      <c r="AH41" s="31" t="str">
        <f aca="false">IF(ISNUMBER(AH11),AH39-AH11,"")</f>
        <v/>
      </c>
      <c r="AI41" s="31" t="str">
        <f aca="false">IF(ISNUMBER(AI11),AI39-AI11,"")</f>
        <v/>
      </c>
      <c r="AJ41" s="31" t="str">
        <f aca="false">IF(ISNUMBER(AJ11),AJ39-AJ11,"")</f>
        <v/>
      </c>
      <c r="AK41" s="31" t="str">
        <f aca="false">IF(ISNUMBER(AK11),AK39-AK11,"")</f>
        <v/>
      </c>
      <c r="AL41" s="31" t="str">
        <f aca="false">IF(ISNUMBER(AL11),AL39-AL11,"")</f>
        <v/>
      </c>
      <c r="AM41" s="31" t="str">
        <f aca="false">IF(ISNUMBER(AM11),AM39-AM11,"")</f>
        <v/>
      </c>
      <c r="AN41" s="31" t="str">
        <f aca="false">IF(ISNUMBER(AN11),AN39-AN11,"")</f>
        <v/>
      </c>
      <c r="AO41" s="31" t="str">
        <f aca="false">IF(ISNUMBER(AO11),AO39-AO11,"")</f>
        <v/>
      </c>
      <c r="AP41" s="31" t="str">
        <f aca="false">IF(ISNUMBER(AP11),AP39-AP11,"")</f>
        <v/>
      </c>
      <c r="AQ41" s="31" t="str">
        <f aca="false">IF(ISNUMBER(AQ11),AQ39-AQ11,"")</f>
        <v/>
      </c>
      <c r="AR41" s="31" t="str">
        <f aca="false">IF(ISNUMBER(AR11),AR39-AR11,"")</f>
        <v/>
      </c>
      <c r="AS41" s="31" t="str">
        <f aca="false">IF(ISNUMBER(AS11),AS39-AS11,"")</f>
        <v/>
      </c>
      <c r="AT41" s="31" t="str">
        <f aca="false">IF(ISNUMBER(AT11),AT39-AT11,"")</f>
        <v/>
      </c>
      <c r="AU41" s="31" t="str">
        <f aca="false">IF(ISNUMBER(AU11),AU39-AU11,"")</f>
        <v/>
      </c>
      <c r="AV41" s="31" t="str">
        <f aca="false">IF(ISNUMBER(AV11),AV39-AV11,"")</f>
        <v/>
      </c>
      <c r="AW41" s="31" t="str">
        <f aca="false">IF(ISNUMBER(AW11),AW39-AW11,"")</f>
        <v/>
      </c>
      <c r="AX41" s="31" t="str">
        <f aca="false">IF(ISNUMBER(AX11),AX39-AX11,"")</f>
        <v/>
      </c>
      <c r="AY41" s="31" t="str">
        <f aca="false">IF(ISNUMBER(AY11),AY39-AY11,"")</f>
        <v/>
      </c>
      <c r="AZ41" s="31" t="str">
        <f aca="false">IF(ISNUMBER(AZ11),AZ39-AZ11,"")</f>
        <v/>
      </c>
      <c r="BA41" s="31" t="str">
        <f aca="false">IF(ISNUMBER(BA11),BA39-BA11,"")</f>
        <v/>
      </c>
      <c r="BB41" s="31" t="str">
        <f aca="false">IF(ISNUMBER(BB11),BB39-BB11,"")</f>
        <v/>
      </c>
      <c r="BC41" s="31" t="str">
        <f aca="false">IF(ISNUMBER(BC11),BC39-BC11,"")</f>
        <v/>
      </c>
      <c r="BD41" s="31" t="str">
        <f aca="false">IF(ISNUMBER(BD11),BD39-BD11,"")</f>
        <v/>
      </c>
      <c r="BE41" s="31" t="str">
        <f aca="false">IF(ISNUMBER(BE11),BE39-BE11,"")</f>
        <v/>
      </c>
      <c r="BF41" s="31" t="str">
        <f aca="false">IF(ISNUMBER(BF11),BF39-BF11,"")</f>
        <v/>
      </c>
      <c r="BG41" s="31" t="str">
        <f aca="false">IF(ISNUMBER(BG11),BG39-BG11,"")</f>
        <v/>
      </c>
      <c r="BH41" s="31" t="str">
        <f aca="false">IF(ISNUMBER(BH11),BH39-BH11,"")</f>
        <v/>
      </c>
      <c r="BI41" s="31" t="str">
        <f aca="false">IF(ISNUMBER(BI11),BI39-BI11,"")</f>
        <v/>
      </c>
      <c r="BJ41" s="31" t="str">
        <f aca="false">IF(ISNUMBER(BJ11),BJ39-BJ11,"")</f>
        <v/>
      </c>
      <c r="BK41" s="31" t="str">
        <f aca="false">IF(ISNUMBER(BK11),BK39-BK11,"")</f>
        <v/>
      </c>
      <c r="BL41" s="31" t="str">
        <f aca="false">IF(ISNUMBER(BL11),BL39-BL11,"")</f>
        <v/>
      </c>
      <c r="BM41" s="31" t="str">
        <f aca="false">IF(ISNUMBER(BM11),BM39-BM11,"")</f>
        <v/>
      </c>
      <c r="BN41" s="31" t="str">
        <f aca="false">IF(ISNUMBER(BN11),BN39-BN11,"")</f>
        <v/>
      </c>
      <c r="BO41" s="31" t="str">
        <f aca="false">IF(ISNUMBER(BO11),BO39-BO11,"")</f>
        <v/>
      </c>
      <c r="BP41" s="31" t="str">
        <f aca="false">IF(ISNUMBER(BP11),BP39-BP11,"")</f>
        <v/>
      </c>
      <c r="BQ41" s="31" t="str">
        <f aca="false">IF(ISNUMBER(BQ11),BQ39-BQ11,"")</f>
        <v/>
      </c>
      <c r="BR41" s="31" t="n">
        <f aca="false">IF(ISNUMBER(BR11),BR39-BR11,"")</f>
        <v>1567.5</v>
      </c>
      <c r="BS41" s="31" t="n">
        <f aca="false">IF(ISNUMBER(BS11),BS39-BS11,"")</f>
        <v>2042.1</v>
      </c>
      <c r="BT41" s="31" t="n">
        <f aca="false">IF(ISNUMBER(BT11),BT39-BT11,"")</f>
        <v>3609.6</v>
      </c>
      <c r="BU41" s="31" t="n">
        <f aca="false">IF(ISNUMBER(BU11),BU39-BU11,"")</f>
        <v>1824.3</v>
      </c>
      <c r="BV41" s="31" t="n">
        <f aca="false">IF(ISNUMBER(BV11),BV39-BV11,"")</f>
        <v>1965.6</v>
      </c>
      <c r="BW41" s="31" t="n">
        <f aca="false">IF(ISNUMBER(BW11),BW39-BW11,"")</f>
        <v>7399.4</v>
      </c>
      <c r="BX41" s="31" t="n">
        <f aca="false">IF(ISNUMBER(BX11),BX39-BX11,"")</f>
        <v>1972.4</v>
      </c>
      <c r="BY41" s="31" t="n">
        <f aca="false">IF(ISNUMBER(BY11),BY39-BY11,"")</f>
        <v>2096.4</v>
      </c>
      <c r="BZ41" s="31" t="n">
        <f aca="false">IF(ISNUMBER(BZ11),BZ39-BZ11,"")</f>
        <v>4068.8</v>
      </c>
      <c r="CA41" s="31" t="n">
        <f aca="false">IF(ISNUMBER(CA11),CA39-CA11,"")</f>
        <v>1591.1</v>
      </c>
      <c r="CB41" s="31" t="n">
        <f aca="false">IF(ISNUMBER(CB11),CB39-CB11,"")</f>
        <v>1967.3</v>
      </c>
      <c r="CC41" s="31" t="n">
        <f aca="false">IF(ISNUMBER(CC11),CC39-CC11,"")</f>
        <v>7627.2</v>
      </c>
      <c r="CD41" s="31" t="n">
        <f aca="false">IF(ISNUMBER(CD11),CD39-CD11,"")</f>
        <v>1684.2</v>
      </c>
      <c r="CE41" s="31" t="n">
        <f aca="false">IF(ISNUMBER(CE11),CE39-CE11,"")</f>
        <v>2036.6</v>
      </c>
      <c r="CF41" s="31" t="n">
        <f aca="false">IF(ISNUMBER(CF11),CF39-CF11,"")</f>
        <v>3720.8</v>
      </c>
      <c r="CG41" s="31" t="n">
        <f aca="false">IF(ISNUMBER(CG11),CG39-CG11,"")</f>
        <v>1741.6</v>
      </c>
      <c r="CH41" s="31" t="n">
        <f aca="false">IF(ISNUMBER(CH11),CH39-CH11,"")</f>
        <v>2080.4</v>
      </c>
      <c r="CI41" s="31" t="n">
        <f aca="false">IF(ISNUMBER(CI11),CI39-CI11,"")</f>
        <v>7542.8</v>
      </c>
      <c r="CJ41" s="31" t="n">
        <f aca="false">IF(ISNUMBER(CJ11),CJ39-CJ11,"")</f>
        <v>2051.7</v>
      </c>
      <c r="CK41" s="31" t="n">
        <f aca="false">IF(ISNUMBER(CK11),CK39-CK11,"")</f>
        <v>2224</v>
      </c>
      <c r="CL41" s="31" t="n">
        <f aca="false">IF(ISNUMBER(CL11),CL39-CL11,"")</f>
        <v>4275.7</v>
      </c>
      <c r="CM41" s="32" t="n">
        <f aca="false">CM39-CM11</f>
        <v>1921.62808331014</v>
      </c>
      <c r="CN41" s="32" t="n">
        <f aca="false">CN39-CN11</f>
        <v>2291.92329742663</v>
      </c>
      <c r="CO41" s="32" t="n">
        <f aca="false">SUM(CJ41,CK41,CM41,CN41)</f>
        <v>8489.25138073677</v>
      </c>
      <c r="CP41" s="32" t="n">
        <f aca="false">CP39-CP11</f>
        <v>8993.52253879588</v>
      </c>
      <c r="CQ41" s="32" t="n">
        <f aca="false">CQ39-CQ11</f>
        <v>9400.90011355387</v>
      </c>
      <c r="CR41" s="32" t="n">
        <f aca="false">CR39-CR11</f>
        <v>9782.5411451716</v>
      </c>
      <c r="CS41" s="32" t="n">
        <f aca="false">CS39-CS11</f>
        <v>10179.7280694078</v>
      </c>
      <c r="CT41" s="23" t="s">
        <v>144</v>
      </c>
      <c r="CV41" s="7"/>
      <c r="CW41" s="7"/>
      <c r="CX41" s="7"/>
      <c r="CY41" s="7"/>
      <c r="DB41" s="13" t="s">
        <v>125</v>
      </c>
      <c r="DC41" s="38" t="n">
        <f aca="false">DD41+$DC$38</f>
        <v>0.325</v>
      </c>
      <c r="DD41" s="29" t="n">
        <v>0.315</v>
      </c>
      <c r="DE41" s="38" t="n">
        <f aca="false">DD41+$DE$38</f>
        <v>0.3</v>
      </c>
    </row>
    <row r="42" customFormat="false" ht="15" hidden="false" customHeight="true" outlineLevel="0" collapsed="false">
      <c r="B42" s="30" t="s">
        <v>145</v>
      </c>
      <c r="C42" s="34"/>
      <c r="D42" s="34" t="str">
        <f aca="false">IFERROR(D41/C41-1,"")</f>
        <v/>
      </c>
      <c r="E42" s="34" t="str">
        <f aca="false">IFERROR(E41/D41-1,"")</f>
        <v/>
      </c>
      <c r="F42" s="34" t="str">
        <f aca="false">IFERROR(F41/E41-1,"")</f>
        <v/>
      </c>
      <c r="G42" s="34" t="str">
        <f aca="false">IFERROR(G41/F41-1,"")</f>
        <v/>
      </c>
      <c r="H42" s="34" t="str">
        <f aca="false">IFERROR(H41/G41-1,"")</f>
        <v/>
      </c>
      <c r="I42" s="34" t="str">
        <f aca="false">IFERROR(I41/H41-1,"")</f>
        <v/>
      </c>
      <c r="J42" s="34"/>
      <c r="K42" s="34"/>
      <c r="L42" s="34"/>
      <c r="M42" s="34"/>
      <c r="N42" s="34"/>
      <c r="O42" s="34" t="str">
        <f aca="false">IFERROR(O41/I41-1,"")</f>
        <v/>
      </c>
      <c r="P42" s="34" t="str">
        <f aca="false">IFERROR(P41/J41-1,"")</f>
        <v/>
      </c>
      <c r="Q42" s="34" t="str">
        <f aca="false">IFERROR(Q41/K41-1,"")</f>
        <v/>
      </c>
      <c r="R42" s="34" t="str">
        <f aca="false">IFERROR(R41/L41-1,"")</f>
        <v/>
      </c>
      <c r="S42" s="34" t="str">
        <f aca="false">IFERROR(S41/M41-1,"")</f>
        <v/>
      </c>
      <c r="T42" s="34" t="str">
        <f aca="false">IFERROR(T41/N41-1,"")</f>
        <v/>
      </c>
      <c r="U42" s="34" t="str">
        <f aca="false">IFERROR(U41/O41-1,"")</f>
        <v/>
      </c>
      <c r="V42" s="34" t="str">
        <f aca="false">IFERROR(V41/P41-1,"")</f>
        <v/>
      </c>
      <c r="W42" s="34" t="str">
        <f aca="false">IFERROR(W41/Q41-1,"")</f>
        <v/>
      </c>
      <c r="X42" s="34" t="str">
        <f aca="false">IFERROR(X41/R41-1,"")</f>
        <v/>
      </c>
      <c r="Y42" s="34" t="str">
        <f aca="false">IFERROR(Y41/S41-1,"")</f>
        <v/>
      </c>
      <c r="Z42" s="34" t="str">
        <f aca="false">IFERROR(Z41/T41-1,"")</f>
        <v/>
      </c>
      <c r="AA42" s="34" t="str">
        <f aca="false">IFERROR(AA41/U41-1,"")</f>
        <v/>
      </c>
      <c r="AB42" s="34" t="str">
        <f aca="false">IFERROR(AB41/V41-1,"")</f>
        <v/>
      </c>
      <c r="AC42" s="34" t="str">
        <f aca="false">IFERROR(AC41/W41-1,"")</f>
        <v/>
      </c>
      <c r="AD42" s="34" t="str">
        <f aca="false">IFERROR(AD41/X41-1,"")</f>
        <v/>
      </c>
      <c r="AE42" s="34" t="str">
        <f aca="false">IFERROR(AE41/Y41-1,"")</f>
        <v/>
      </c>
      <c r="AF42" s="34" t="str">
        <f aca="false">IFERROR(AF41/Z41-1,"")</f>
        <v/>
      </c>
      <c r="AG42" s="34" t="str">
        <f aca="false">IFERROR(AG41/AA41-1,"")</f>
        <v/>
      </c>
      <c r="AH42" s="34" t="str">
        <f aca="false">IFERROR(AH41/AB41-1,"")</f>
        <v/>
      </c>
      <c r="AI42" s="34" t="str">
        <f aca="false">IFERROR(AI41/AC41-1,"")</f>
        <v/>
      </c>
      <c r="AJ42" s="34" t="str">
        <f aca="false">IFERROR(AJ41/AD41-1,"")</f>
        <v/>
      </c>
      <c r="AK42" s="34" t="str">
        <f aca="false">IFERROR(AK41/AE41-1,"")</f>
        <v/>
      </c>
      <c r="AL42" s="34" t="str">
        <f aca="false">IFERROR(AL41/AF41-1,"")</f>
        <v/>
      </c>
      <c r="AM42" s="34" t="str">
        <f aca="false">IFERROR(AM41/AG41-1,"")</f>
        <v/>
      </c>
      <c r="AN42" s="34" t="str">
        <f aca="false">IFERROR(AN41/AH41-1,"")</f>
        <v/>
      </c>
      <c r="AO42" s="34" t="str">
        <f aca="false">IFERROR(AO41/AI41-1,"")</f>
        <v/>
      </c>
      <c r="AP42" s="34" t="str">
        <f aca="false">IFERROR(AP41/AJ41-1,"")</f>
        <v/>
      </c>
      <c r="AQ42" s="34" t="str">
        <f aca="false">IFERROR(AQ41/AK41-1,"")</f>
        <v/>
      </c>
      <c r="AR42" s="34" t="str">
        <f aca="false">IFERROR(AR41/AL41-1,"")</f>
        <v/>
      </c>
      <c r="AS42" s="34" t="str">
        <f aca="false">IFERROR(AS41/AM41-1,"")</f>
        <v/>
      </c>
      <c r="AT42" s="34" t="str">
        <f aca="false">IFERROR(AT41/AN41-1,"")</f>
        <v/>
      </c>
      <c r="AU42" s="34" t="str">
        <f aca="false">IFERROR(AU41/AO41-1,"")</f>
        <v/>
      </c>
      <c r="AV42" s="34" t="str">
        <f aca="false">IFERROR(AV41/AP41-1,"")</f>
        <v/>
      </c>
      <c r="AW42" s="34" t="str">
        <f aca="false">IFERROR(AW41/AQ41-1,"")</f>
        <v/>
      </c>
      <c r="AX42" s="34" t="str">
        <f aca="false">IFERROR(AX41/AR41-1,"")</f>
        <v/>
      </c>
      <c r="AY42" s="34" t="str">
        <f aca="false">IFERROR(AY41/AS41-1,"")</f>
        <v/>
      </c>
      <c r="AZ42" s="34" t="str">
        <f aca="false">IFERROR(AZ41/AT41-1,"")</f>
        <v/>
      </c>
      <c r="BA42" s="34" t="str">
        <f aca="false">IFERROR(BA41/AU41-1,"")</f>
        <v/>
      </c>
      <c r="BB42" s="34" t="str">
        <f aca="false">IFERROR(BB41/AV41-1,"")</f>
        <v/>
      </c>
      <c r="BC42" s="34" t="str">
        <f aca="false">IFERROR(BC41/AW41-1,"")</f>
        <v/>
      </c>
      <c r="BD42" s="34" t="str">
        <f aca="false">IFERROR(BD41/AX41-1,"")</f>
        <v/>
      </c>
      <c r="BE42" s="34" t="str">
        <f aca="false">IFERROR(BE41/AY41-1,"")</f>
        <v/>
      </c>
      <c r="BF42" s="34" t="str">
        <f aca="false">IFERROR(BF41/AZ41-1,"")</f>
        <v/>
      </c>
      <c r="BG42" s="34" t="str">
        <f aca="false">IFERROR(BG41/BA41-1,"")</f>
        <v/>
      </c>
      <c r="BH42" s="34" t="str">
        <f aca="false">IFERROR(BH41/BB41-1,"")</f>
        <v/>
      </c>
      <c r="BI42" s="34" t="str">
        <f aca="false">IFERROR(BI41/BC41-1,"")</f>
        <v/>
      </c>
      <c r="BJ42" s="34" t="str">
        <f aca="false">IFERROR(BJ41/BD41-1,"")</f>
        <v/>
      </c>
      <c r="BK42" s="34" t="str">
        <f aca="false">IFERROR(BK41/BE41-1,"")</f>
        <v/>
      </c>
      <c r="BL42" s="34" t="str">
        <f aca="false">IFERROR(BL41/BF41-1,"")</f>
        <v/>
      </c>
      <c r="BM42" s="34" t="str">
        <f aca="false">IFERROR(BM41/BG41-1,"")</f>
        <v/>
      </c>
      <c r="BN42" s="34" t="str">
        <f aca="false">IFERROR(BN41/BH41-1,"")</f>
        <v/>
      </c>
      <c r="BO42" s="34" t="str">
        <f aca="false">IFERROR(BO41/BI41-1,"")</f>
        <v/>
      </c>
      <c r="BP42" s="34" t="str">
        <f aca="false">IFERROR(BP41/BJ41-1,"")</f>
        <v/>
      </c>
      <c r="BQ42" s="34" t="str">
        <f aca="false">IFERROR(BQ41/BK41-1,"")</f>
        <v/>
      </c>
      <c r="BR42" s="34" t="str">
        <f aca="false">IFERROR(BR41/BL41-1,"")</f>
        <v/>
      </c>
      <c r="BS42" s="34" t="str">
        <f aca="false">IFERROR(BS41/BM41-1,"")</f>
        <v/>
      </c>
      <c r="BT42" s="34" t="str">
        <f aca="false">IFERROR(BT41/BN41-1,"")</f>
        <v/>
      </c>
      <c r="BU42" s="34" t="str">
        <f aca="false">IFERROR(BU41/BO41-1,"")</f>
        <v/>
      </c>
      <c r="BV42" s="34" t="str">
        <f aca="false">IFERROR(BV41/BP41-1,"")</f>
        <v/>
      </c>
      <c r="BW42" s="34" t="str">
        <f aca="false">IFERROR(BW41/BQ41-1,"")</f>
        <v/>
      </c>
      <c r="BX42" s="34" t="n">
        <f aca="false">IFERROR(BX41/BR41-1,"")</f>
        <v>0.258309409888357</v>
      </c>
      <c r="BY42" s="34" t="n">
        <f aca="false">IFERROR(BY41/BS41-1,"")</f>
        <v>0.0265902747172031</v>
      </c>
      <c r="BZ42" s="34" t="n">
        <f aca="false">IFERROR(BZ41/BT41-1,"")</f>
        <v>0.127216312056738</v>
      </c>
      <c r="CA42" s="34" t="n">
        <f aca="false">IFERROR(CA41/BU41-1,"")</f>
        <v>-0.127829852546182</v>
      </c>
      <c r="CB42" s="34" t="n">
        <f aca="false">IFERROR(CB41/BV41-1,"")</f>
        <v>0.000864875864875714</v>
      </c>
      <c r="CC42" s="34" t="n">
        <f aca="false">IFERROR(CC41/BW41-1,"")</f>
        <v>0.0307862799686458</v>
      </c>
      <c r="CD42" s="34" t="n">
        <f aca="false">IFERROR(CD41/BX41-1,"")</f>
        <v>-0.146116406408436</v>
      </c>
      <c r="CE42" s="34" t="n">
        <f aca="false">IFERROR(CE41/BY41-1,"")</f>
        <v>-0.0285250906315589</v>
      </c>
      <c r="CF42" s="34" t="n">
        <f aca="false">IFERROR(CF41/BZ41-1,"")</f>
        <v>-0.0855289028706252</v>
      </c>
      <c r="CG42" s="34" t="n">
        <f aca="false">IFERROR(CG41/CA41-1,"")</f>
        <v>0.0945886493620769</v>
      </c>
      <c r="CH42" s="34" t="n">
        <f aca="false">IFERROR(CH41/CB41-1,"")</f>
        <v>0.0574899608600625</v>
      </c>
      <c r="CI42" s="34" t="n">
        <f aca="false">IFERROR(CI41/CC41-1,"")</f>
        <v>-0.0110656597440738</v>
      </c>
      <c r="CJ42" s="34" t="n">
        <f aca="false">IFERROR(CJ41/CD41-1,"")</f>
        <v>0.218204488778055</v>
      </c>
      <c r="CK42" s="34" t="n">
        <f aca="false">IFERROR(CK41/CE41-1,"")</f>
        <v>0.0920161052734949</v>
      </c>
      <c r="CL42" s="34" t="n">
        <f aca="false">IFERROR(CL41/CF41-1,"")</f>
        <v>0.149134594710814</v>
      </c>
      <c r="CM42" s="35" t="n">
        <f aca="false">IFERROR(CM41/CG41-1,"")</f>
        <v>0.103369363407291</v>
      </c>
      <c r="CN42" s="35" t="n">
        <f aca="false">IFERROR(CN41/CH41-1,"")</f>
        <v>0.101674340235836</v>
      </c>
      <c r="CO42" s="35" t="n">
        <f aca="false">IFERROR(CO41/CI41-1,"")</f>
        <v>0.125477459396613</v>
      </c>
      <c r="CP42" s="35" t="n">
        <f aca="false">IFERROR(CP41/CO41-1,"")</f>
        <v>0.0594011339095653</v>
      </c>
      <c r="CQ42" s="35" t="n">
        <f aca="false">IFERROR(CQ41/CP41-1,"")</f>
        <v>0.045296775874043</v>
      </c>
      <c r="CR42" s="35" t="n">
        <f aca="false">IFERROR(CR41/CQ41-1,"")</f>
        <v>0.0405962223838006</v>
      </c>
      <c r="CS42" s="35" t="n">
        <f aca="false">IFERROR(CS41/CR41-1,"")</f>
        <v>0.0406016103936608</v>
      </c>
      <c r="CT42" s="23"/>
      <c r="CV42" s="7"/>
      <c r="CW42" s="7"/>
      <c r="CX42" s="7"/>
      <c r="CY42" s="7"/>
      <c r="DB42" s="13" t="s">
        <v>126</v>
      </c>
      <c r="DC42" s="38" t="n">
        <f aca="false">DD42+$DC$38</f>
        <v>0.33</v>
      </c>
      <c r="DD42" s="29" t="n">
        <v>0.32</v>
      </c>
      <c r="DE42" s="38" t="n">
        <f aca="false">DD42+$DE$38</f>
        <v>0.305</v>
      </c>
    </row>
    <row r="43" customFormat="false" ht="15" hidden="false" customHeight="true" outlineLevel="0" collapsed="false">
      <c r="B43" s="30" t="s">
        <v>146</v>
      </c>
      <c r="C43" s="44" t="str">
        <f aca="false">IF(ISNUMBER(C11),C11/C39,"")</f>
        <v/>
      </c>
      <c r="D43" s="44" t="str">
        <f aca="false">IF(ISNUMBER(D11),D11/D39,"")</f>
        <v/>
      </c>
      <c r="E43" s="44" t="str">
        <f aca="false">IF(ISNUMBER(E11),E11/E39,"")</f>
        <v/>
      </c>
      <c r="F43" s="44" t="str">
        <f aca="false">IF(ISNUMBER(F11),F11/F39,"")</f>
        <v/>
      </c>
      <c r="G43" s="44" t="str">
        <f aca="false">IF(ISNUMBER(G11),G11/G39,"")</f>
        <v/>
      </c>
      <c r="H43" s="44" t="str">
        <f aca="false">IF(ISNUMBER(H11),H11/H39,"")</f>
        <v/>
      </c>
      <c r="I43" s="44" t="str">
        <f aca="false">IF(ISNUMBER(I11),I11/I39,"")</f>
        <v/>
      </c>
      <c r="J43" s="44" t="str">
        <f aca="false">IF(ISNUMBER(J11),J11/J39,"")</f>
        <v/>
      </c>
      <c r="K43" s="44" t="str">
        <f aca="false">IF(ISNUMBER(K11),K11/K39,"")</f>
        <v/>
      </c>
      <c r="L43" s="44" t="str">
        <f aca="false">IF(ISNUMBER(L11),L11/L39,"")</f>
        <v/>
      </c>
      <c r="M43" s="44" t="str">
        <f aca="false">IF(ISNUMBER(M11),M11/M39,"")</f>
        <v/>
      </c>
      <c r="N43" s="44" t="str">
        <f aca="false">IF(ISNUMBER(N11),N11/N39,"")</f>
        <v/>
      </c>
      <c r="O43" s="44" t="str">
        <f aca="false">IF(ISNUMBER(O11),O11/O39,"")</f>
        <v/>
      </c>
      <c r="P43" s="44" t="str">
        <f aca="false">IF(ISNUMBER(P11),P11/P39,"")</f>
        <v/>
      </c>
      <c r="Q43" s="44" t="str">
        <f aca="false">IF(ISNUMBER(Q11),Q11/Q39,"")</f>
        <v/>
      </c>
      <c r="R43" s="44" t="str">
        <f aca="false">IF(ISNUMBER(R11),R11/R39,"")</f>
        <v/>
      </c>
      <c r="S43" s="44" t="str">
        <f aca="false">IF(ISNUMBER(S11),S11/S39,"")</f>
        <v/>
      </c>
      <c r="T43" s="44" t="str">
        <f aca="false">IF(ISNUMBER(T11),T11/T39,"")</f>
        <v/>
      </c>
      <c r="U43" s="44" t="str">
        <f aca="false">IF(ISNUMBER(U11),U11/U39,"")</f>
        <v/>
      </c>
      <c r="V43" s="44" t="str">
        <f aca="false">IF(ISNUMBER(V11),V11/V39,"")</f>
        <v/>
      </c>
      <c r="W43" s="44" t="str">
        <f aca="false">IF(ISNUMBER(W11),W11/W39,"")</f>
        <v/>
      </c>
      <c r="X43" s="44" t="str">
        <f aca="false">IF(ISNUMBER(X11),X11/X39,"")</f>
        <v/>
      </c>
      <c r="Y43" s="44" t="str">
        <f aca="false">IF(ISNUMBER(Y11),Y11/Y39,"")</f>
        <v/>
      </c>
      <c r="Z43" s="44" t="str">
        <f aca="false">IF(ISNUMBER(Z11),Z11/Z39,"")</f>
        <v/>
      </c>
      <c r="AA43" s="44" t="str">
        <f aca="false">IF(ISNUMBER(AA11),AA11/AA39,"")</f>
        <v/>
      </c>
      <c r="AB43" s="44" t="str">
        <f aca="false">IF(ISNUMBER(AB11),AB11/AB39,"")</f>
        <v/>
      </c>
      <c r="AC43" s="44" t="str">
        <f aca="false">IF(ISNUMBER(AC11),AC11/AC39,"")</f>
        <v/>
      </c>
      <c r="AD43" s="44" t="str">
        <f aca="false">IF(ISNUMBER(AD11),AD11/AD39,"")</f>
        <v/>
      </c>
      <c r="AE43" s="44" t="str">
        <f aca="false">IF(ISNUMBER(AE11),AE11/AE39,"")</f>
        <v/>
      </c>
      <c r="AF43" s="44" t="str">
        <f aca="false">IF(ISNUMBER(AF11),AF11/AF39,"")</f>
        <v/>
      </c>
      <c r="AG43" s="44" t="str">
        <f aca="false">IF(ISNUMBER(AG11),AG11/AG39,"")</f>
        <v/>
      </c>
      <c r="AH43" s="44" t="str">
        <f aca="false">IF(ISNUMBER(AH11),AH11/AH39,"")</f>
        <v/>
      </c>
      <c r="AI43" s="44" t="str">
        <f aca="false">IF(ISNUMBER(AI11),AI11/AI39,"")</f>
        <v/>
      </c>
      <c r="AJ43" s="44" t="str">
        <f aca="false">IF(ISNUMBER(AJ11),AJ11/AJ39,"")</f>
        <v/>
      </c>
      <c r="AK43" s="44" t="str">
        <f aca="false">IF(ISNUMBER(AK11),AK11/AK39,"")</f>
        <v/>
      </c>
      <c r="AL43" s="44" t="str">
        <f aca="false">IF(ISNUMBER(AL11),AL11/AL39,"")</f>
        <v/>
      </c>
      <c r="AM43" s="44" t="str">
        <f aca="false">IF(ISNUMBER(AM11),AM11/AM39,"")</f>
        <v/>
      </c>
      <c r="AN43" s="44" t="str">
        <f aca="false">IF(ISNUMBER(AN11),AN11/AN39,"")</f>
        <v/>
      </c>
      <c r="AO43" s="44" t="str">
        <f aca="false">IF(ISNUMBER(AO11),AO11/AO39,"")</f>
        <v/>
      </c>
      <c r="AP43" s="44" t="str">
        <f aca="false">IF(ISNUMBER(AP11),AP11/AP39,"")</f>
        <v/>
      </c>
      <c r="AQ43" s="44" t="str">
        <f aca="false">IF(ISNUMBER(AQ11),AQ11/AQ39,"")</f>
        <v/>
      </c>
      <c r="AR43" s="44" t="str">
        <f aca="false">IF(ISNUMBER(AR11),AR11/AR39,"")</f>
        <v/>
      </c>
      <c r="AS43" s="44" t="str">
        <f aca="false">IF(ISNUMBER(AS11),AS11/AS39,"")</f>
        <v/>
      </c>
      <c r="AT43" s="44" t="str">
        <f aca="false">IF(ISNUMBER(AT11),AT11/AT39,"")</f>
        <v/>
      </c>
      <c r="AU43" s="44" t="str">
        <f aca="false">IF(ISNUMBER(AU11),AU11/AU39,"")</f>
        <v/>
      </c>
      <c r="AV43" s="44" t="str">
        <f aca="false">IF(ISNUMBER(AV11),AV11/AV39,"")</f>
        <v/>
      </c>
      <c r="AW43" s="44" t="str">
        <f aca="false">IF(ISNUMBER(AW11),AW11/AW39,"")</f>
        <v/>
      </c>
      <c r="AX43" s="44" t="str">
        <f aca="false">IF(ISNUMBER(AX11),AX11/AX39,"")</f>
        <v/>
      </c>
      <c r="AY43" s="44" t="str">
        <f aca="false">IF(ISNUMBER(AY11),AY11/AY39,"")</f>
        <v/>
      </c>
      <c r="AZ43" s="44" t="str">
        <f aca="false">IF(ISNUMBER(AZ11),AZ11/AZ39,"")</f>
        <v/>
      </c>
      <c r="BA43" s="44" t="str">
        <f aca="false">IF(ISNUMBER(BA11),BA11/BA39,"")</f>
        <v/>
      </c>
      <c r="BB43" s="44" t="str">
        <f aca="false">IF(ISNUMBER(BB11),BB11/BB39,"")</f>
        <v/>
      </c>
      <c r="BC43" s="44" t="str">
        <f aca="false">IF(ISNUMBER(BC11),BC11/BC39,"")</f>
        <v/>
      </c>
      <c r="BD43" s="44" t="str">
        <f aca="false">IF(ISNUMBER(BD11),BD11/BD39,"")</f>
        <v/>
      </c>
      <c r="BE43" s="44" t="str">
        <f aca="false">IF(ISNUMBER(BE11),BE11/BE39,"")</f>
        <v/>
      </c>
      <c r="BF43" s="44" t="str">
        <f aca="false">IF(ISNUMBER(BF11),BF11/BF39,"")</f>
        <v/>
      </c>
      <c r="BG43" s="44" t="str">
        <f aca="false">IF(ISNUMBER(BG11),BG11/BG39,"")</f>
        <v/>
      </c>
      <c r="BH43" s="44" t="str">
        <f aca="false">IF(ISNUMBER(BH11),BH11/BH39,"")</f>
        <v/>
      </c>
      <c r="BI43" s="44" t="str">
        <f aca="false">IF(ISNUMBER(BI11),BI11/BI39,"")</f>
        <v/>
      </c>
      <c r="BJ43" s="44" t="str">
        <f aca="false">IF(ISNUMBER(BJ11),BJ11/BJ39,"")</f>
        <v/>
      </c>
      <c r="BK43" s="44" t="str">
        <f aca="false">IF(ISNUMBER(BK11),BK11/BK39,"")</f>
        <v/>
      </c>
      <c r="BL43" s="44" t="str">
        <f aca="false">IF(ISNUMBER(BL11),BL11/BL39,"")</f>
        <v/>
      </c>
      <c r="BM43" s="44" t="str">
        <f aca="false">IF(ISNUMBER(BM11),BM11/BM39,"")</f>
        <v/>
      </c>
      <c r="BN43" s="44" t="str">
        <f aca="false">IF(ISNUMBER(BN11),BN11/BN39,"")</f>
        <v/>
      </c>
      <c r="BO43" s="44" t="str">
        <f aca="false">IF(ISNUMBER(BO11),BO11/BO39,"")</f>
        <v/>
      </c>
      <c r="BP43" s="44" t="str">
        <f aca="false">IF(ISNUMBER(BP11),BP11/BP39,"")</f>
        <v/>
      </c>
      <c r="BQ43" s="44" t="str">
        <f aca="false">IF(ISNUMBER(BQ11),BQ11/BQ39,"")</f>
        <v/>
      </c>
      <c r="BR43" s="44" t="n">
        <f aca="false">IF(ISNUMBER(BR11),BR11/BR39,"")</f>
        <v>0.17465248525695</v>
      </c>
      <c r="BS43" s="44" t="n">
        <f aca="false">IF(ISNUMBER(BS11),BS11/BS39,"")</f>
        <v>0.507215250965251</v>
      </c>
      <c r="BT43" s="44" t="n">
        <f aca="false">IF(ISNUMBER(BT11),BT11/BT39,"")</f>
        <v>0.402700555996823</v>
      </c>
      <c r="BU43" s="44" t="n">
        <f aca="false">IF(ISNUMBER(BU11),BU11/BU39,"")</f>
        <v>0.529261495587552</v>
      </c>
      <c r="BV43" s="44" t="n">
        <f aca="false">IF(ISNUMBER(BV11),BV11/BV39,"")</f>
        <v>0.510069790628116</v>
      </c>
      <c r="BW43" s="44" t="n">
        <f aca="false">IF(ISNUMBER(BW11),BW11/BW39,"")</f>
        <v>0.468838384563479</v>
      </c>
      <c r="BX43" s="44" t="n">
        <f aca="false">IF(ISNUMBER(BX11),BX11/BX39,"")</f>
        <v>0.516260361995389</v>
      </c>
      <c r="BY43" s="44" t="n">
        <f aca="false">IF(ISNUMBER(BY11),BY11/BY39,"")</f>
        <v>0.489193733096172</v>
      </c>
      <c r="BZ43" s="44" t="n">
        <f aca="false">IF(ISNUMBER(BZ11),BZ11/BZ39,"")</f>
        <v>0.502682882112082</v>
      </c>
      <c r="CA43" s="44" t="n">
        <f aca="false">IF(ISNUMBER(CA11),CA11/CA39,"")</f>
        <v>0.560736568936006</v>
      </c>
      <c r="CB43" s="44" t="n">
        <f aca="false">IF(ISNUMBER(CB11),CB11/CB39,"")</f>
        <v>0.52031112845021</v>
      </c>
      <c r="CC43" s="44" t="n">
        <f aca="false">IF(ISNUMBER(CC11),CC11/CC39,"")</f>
        <v>0.520446657612796</v>
      </c>
      <c r="CD43" s="44" t="n">
        <f aca="false">IF(ISNUMBER(CD11),CD11/CD39,"")</f>
        <v>0.560134764553788</v>
      </c>
      <c r="CE43" s="44" t="n">
        <f aca="false">IF(ISNUMBER(CE11),CE11/CE39,"")</f>
        <v>0.514875777137276</v>
      </c>
      <c r="CF43" s="44" t="n">
        <f aca="false">IF(ISNUMBER(CF11),CF11/CF39,"")</f>
        <v>0.536464432540177</v>
      </c>
      <c r="CG43" s="44" t="n">
        <f aca="false">IF(ISNUMBER(CG11),CG11/CG39,"")</f>
        <v>0.552724844624788</v>
      </c>
      <c r="CH43" s="44" t="n">
        <f aca="false">IF(ISNUMBER(CH11),CH11/CH39,"")</f>
        <v>0.51405012730373</v>
      </c>
      <c r="CI43" s="44" t="n">
        <f aca="false">IF(ISNUMBER(CI11),CI11/CI39,"")</f>
        <v>0.534449663311093</v>
      </c>
      <c r="CJ43" s="44" t="n">
        <f aca="false">IF(ISNUMBER(CJ11),CJ11/CJ39,"")</f>
        <v>0.527356078232625</v>
      </c>
      <c r="CK43" s="44" t="n">
        <f aca="false">IF(ISNUMBER(CK11),CK11/CK39,"")</f>
        <v>0.524043914653198</v>
      </c>
      <c r="CL43" s="44" t="n">
        <f aca="false">IF(ISNUMBER(CL11),CL11/CL39,"")</f>
        <v>0.525639034348096</v>
      </c>
      <c r="CM43" s="35" t="n">
        <f aca="false">IFERROR(CM11/CM39,"")</f>
        <v>0.541988186991402</v>
      </c>
      <c r="CN43" s="35" t="n">
        <f aca="false">IFERROR(CN11/CN39,"")</f>
        <v>0.503149547116977</v>
      </c>
      <c r="CO43" s="35" t="n">
        <f aca="false">IFERROR(CO11/CO39,"")</f>
        <v>0.523666899856483</v>
      </c>
      <c r="CP43" s="35" t="n">
        <f aca="false">IFERROR(CP11/CP39,"")</f>
        <v>0.521443034080628</v>
      </c>
      <c r="CQ43" s="35" t="n">
        <f aca="false">IFERROR(CQ11/CQ39,"")</f>
        <v>0.522563190915419</v>
      </c>
      <c r="CR43" s="35" t="n">
        <f aca="false">IFERROR(CR11/CR39,"")</f>
        <v>0.523616700467798</v>
      </c>
      <c r="CS43" s="35" t="n">
        <f aca="false">IFERROR(CS11/CS39,"")</f>
        <v>0.524668708601005</v>
      </c>
      <c r="CT43" s="23"/>
      <c r="CV43" s="7"/>
      <c r="CW43" s="7"/>
      <c r="CX43" s="7"/>
      <c r="CY43" s="7"/>
    </row>
    <row r="44" customFormat="false" ht="15" hidden="false" customHeight="true" outlineLevel="0" collapsed="false">
      <c r="B44" s="13" t="s">
        <v>147</v>
      </c>
      <c r="C44" s="26"/>
      <c r="D44" s="26"/>
      <c r="E44" s="26"/>
      <c r="F44" s="27" t="n">
        <v>283</v>
      </c>
      <c r="G44" s="27" t="n">
        <v>277</v>
      </c>
      <c r="H44" s="27" t="n">
        <v>268.5</v>
      </c>
      <c r="I44" s="27" t="n">
        <v>287</v>
      </c>
      <c r="J44" s="27" t="n">
        <v>62</v>
      </c>
      <c r="K44" s="27" t="n">
        <v>85.5</v>
      </c>
      <c r="L44" s="26" t="n">
        <f aca="false">J44+K44</f>
        <v>147.5</v>
      </c>
      <c r="M44" s="27" t="n">
        <v>69</v>
      </c>
      <c r="N44" s="27" t="n">
        <v>84.5</v>
      </c>
      <c r="O44" s="27" t="n">
        <v>301</v>
      </c>
      <c r="P44" s="27" t="n">
        <v>62.5</v>
      </c>
      <c r="Q44" s="27" t="n">
        <v>83.5</v>
      </c>
      <c r="R44" s="26" t="n">
        <f aca="false">P44+Q44</f>
        <v>146</v>
      </c>
      <c r="S44" s="27" t="n">
        <v>73</v>
      </c>
      <c r="T44" s="27" t="n">
        <v>100.5</v>
      </c>
      <c r="U44" s="27" t="n">
        <v>319.5</v>
      </c>
      <c r="V44" s="27" t="n">
        <v>72.5</v>
      </c>
      <c r="W44" s="27" t="n">
        <v>96</v>
      </c>
      <c r="X44" s="26" t="n">
        <f aca="false">V44+W44</f>
        <v>168.5</v>
      </c>
      <c r="Y44" s="27" t="n">
        <v>85</v>
      </c>
      <c r="Z44" s="27" t="n">
        <v>101</v>
      </c>
      <c r="AA44" s="27" t="n">
        <v>354.5</v>
      </c>
      <c r="AB44" s="27" t="n">
        <v>93</v>
      </c>
      <c r="AC44" s="27" t="n">
        <v>110.5</v>
      </c>
      <c r="AD44" s="26" t="n">
        <f aca="false">AB44+AC44</f>
        <v>203.5</v>
      </c>
      <c r="AE44" s="27" t="n">
        <v>90.5</v>
      </c>
      <c r="AF44" s="27" t="n">
        <v>104.5</v>
      </c>
      <c r="AG44" s="27" t="n">
        <v>398.5</v>
      </c>
      <c r="AH44" s="27" t="n">
        <v>84</v>
      </c>
      <c r="AI44" s="27" t="n">
        <v>108</v>
      </c>
      <c r="AJ44" s="26" t="n">
        <f aca="false">AH44+AI44</f>
        <v>192</v>
      </c>
      <c r="AK44" s="27" t="n">
        <v>84</v>
      </c>
      <c r="AL44" s="27" t="n">
        <v>106.5</v>
      </c>
      <c r="AM44" s="27" t="n">
        <v>382.5</v>
      </c>
      <c r="AN44" s="27" t="n">
        <v>81</v>
      </c>
      <c r="AO44" s="27" t="n">
        <v>103.5</v>
      </c>
      <c r="AP44" s="26" t="n">
        <f aca="false">AN44+AO44</f>
        <v>184.5</v>
      </c>
      <c r="AQ44" s="27" t="n">
        <v>89</v>
      </c>
      <c r="AR44" s="27" t="n">
        <v>103.5</v>
      </c>
      <c r="AS44" s="27" t="n">
        <v>377</v>
      </c>
      <c r="AT44" s="26"/>
      <c r="AU44" s="26"/>
      <c r="AV44" s="26"/>
      <c r="AW44" s="26"/>
      <c r="AX44" s="26"/>
      <c r="AY44" s="26"/>
      <c r="AZ44" s="27" t="n">
        <v>100.805</v>
      </c>
      <c r="BA44" s="27" t="n">
        <v>148.957</v>
      </c>
      <c r="BB44" s="26" t="n">
        <f aca="false">AZ44+BA44</f>
        <v>249.762</v>
      </c>
      <c r="BC44" s="27" t="n">
        <v>142.472</v>
      </c>
      <c r="BD44" s="27" t="n">
        <v>151.108</v>
      </c>
      <c r="BE44" s="27" t="n">
        <v>543.342</v>
      </c>
      <c r="BF44" s="27" t="n">
        <v>116.259</v>
      </c>
      <c r="BG44" s="27" t="n">
        <v>148.206</v>
      </c>
      <c r="BH44" s="26" t="n">
        <f aca="false">BF44+BG44</f>
        <v>264.465</v>
      </c>
      <c r="BI44" s="27" t="n">
        <v>107.825</v>
      </c>
      <c r="BJ44" s="27" t="n">
        <v>121.081</v>
      </c>
      <c r="BK44" s="27" t="n">
        <v>493.371</v>
      </c>
      <c r="BL44" s="27" t="n">
        <v>105.767</v>
      </c>
      <c r="BM44" s="27" t="n">
        <v>144.167</v>
      </c>
      <c r="BN44" s="26" t="n">
        <f aca="false">BL44+BM44</f>
        <v>249.934</v>
      </c>
      <c r="BO44" s="27" t="n">
        <v>125.661</v>
      </c>
      <c r="BP44" s="27" t="n">
        <v>145.364</v>
      </c>
      <c r="BQ44" s="27" t="n">
        <v>520.959</v>
      </c>
      <c r="BR44" s="27" t="n">
        <v>249.3</v>
      </c>
      <c r="BS44" s="27" t="n">
        <v>830.6</v>
      </c>
      <c r="BT44" s="26" t="n">
        <f aca="false">BR44+BS44</f>
        <v>1079.9</v>
      </c>
      <c r="BU44" s="27" t="n">
        <v>799.4</v>
      </c>
      <c r="BV44" s="27" t="n">
        <v>814.7</v>
      </c>
      <c r="BW44" s="27" t="n">
        <v>2694</v>
      </c>
      <c r="BX44" s="27" t="n">
        <v>839</v>
      </c>
      <c r="BY44" s="27" t="n">
        <v>839.5</v>
      </c>
      <c r="BZ44" s="26" t="n">
        <f aca="false">BX44+BY44</f>
        <v>1678.5</v>
      </c>
      <c r="CA44" s="27" t="n">
        <v>797.7</v>
      </c>
      <c r="CB44" s="27" t="n">
        <v>870.7</v>
      </c>
      <c r="CC44" s="27" t="n">
        <v>3346.8</v>
      </c>
      <c r="CD44" s="27" t="n">
        <v>855.1</v>
      </c>
      <c r="CE44" s="27" t="n">
        <v>847.2</v>
      </c>
      <c r="CF44" s="26" t="n">
        <f aca="false">CD44+CE44</f>
        <v>1702.3</v>
      </c>
      <c r="CG44" s="27" t="n">
        <v>816.2</v>
      </c>
      <c r="CH44" s="27" t="n">
        <v>875.3</v>
      </c>
      <c r="CI44" s="27" t="n">
        <v>3393.8</v>
      </c>
      <c r="CJ44" s="27" t="n">
        <v>857.5</v>
      </c>
      <c r="CK44" s="27" t="n">
        <v>911.2</v>
      </c>
      <c r="CL44" s="26" t="n">
        <f aca="false">CJ44+CK44</f>
        <v>1768.7</v>
      </c>
      <c r="CM44" s="28" t="n">
        <f aca="false">CM12+CM20+CM30</f>
        <v>848.912836936441</v>
      </c>
      <c r="CN44" s="28" t="n">
        <f aca="false">CN12+CN20+CN30</f>
        <v>909.970967177854</v>
      </c>
      <c r="CO44" s="28" t="n">
        <f aca="false">SUM(CJ44,CK44,CM44,CN44)</f>
        <v>3527.58380411429</v>
      </c>
      <c r="CP44" s="28" t="n">
        <f aca="false">CP12+CP20+CP30</f>
        <v>3630.4393637593</v>
      </c>
      <c r="CQ44" s="28" t="n">
        <f aca="false">CQ12+CQ20+CQ30</f>
        <v>3724.75734895398</v>
      </c>
      <c r="CR44" s="28" t="n">
        <f aca="false">CR12+CR20+CR30</f>
        <v>3817.96394397955</v>
      </c>
      <c r="CS44" s="28" t="n">
        <f aca="false">CS12+CS20+CS30</f>
        <v>3913.67278953222</v>
      </c>
      <c r="CT44" s="23"/>
      <c r="CV44" s="7"/>
      <c r="CW44" s="7"/>
      <c r="CX44" s="7"/>
      <c r="CY44" s="7"/>
      <c r="DB44" s="18" t="s">
        <v>148</v>
      </c>
      <c r="DC44" s="45" t="n">
        <v>150</v>
      </c>
      <c r="DD44" s="25" t="s">
        <v>120</v>
      </c>
      <c r="DE44" s="45" t="n">
        <v>-200</v>
      </c>
      <c r="DF44" s="16" t="s">
        <v>149</v>
      </c>
    </row>
    <row r="45" customFormat="false" ht="15" hidden="false" customHeight="true" outlineLevel="0" collapsed="false">
      <c r="B45" s="46" t="s">
        <v>150</v>
      </c>
      <c r="C45" s="31" t="str">
        <f aca="false">IF(ISNUMBER(C19),ROUND(C39-C11-C19-C29,1),"")</f>
        <v/>
      </c>
      <c r="D45" s="31" t="str">
        <f aca="false">IF(ISNUMBER(D19),ROUND(D39-D11-D19-D29,1),"")</f>
        <v/>
      </c>
      <c r="E45" s="31" t="str">
        <f aca="false">IF(ISNUMBER(E19),ROUND(E39-E11-E19-E29,1),"")</f>
        <v/>
      </c>
      <c r="F45" s="31" t="str">
        <f aca="false">IF(ISNUMBER(F19),ROUND(F39-F11-F19-F29,1),"")</f>
        <v/>
      </c>
      <c r="G45" s="31" t="str">
        <f aca="false">IF(ISNUMBER(G19),ROUND(G39-G11-G19-G29,1),"")</f>
        <v/>
      </c>
      <c r="H45" s="31" t="str">
        <f aca="false">IF(ISNUMBER(H19),ROUND(H39-H11-H19-H29,1),"")</f>
        <v/>
      </c>
      <c r="I45" s="31" t="str">
        <f aca="false">IF(ISNUMBER(I19),ROUND(I39-I11-I19-I29,1),"")</f>
        <v/>
      </c>
      <c r="J45" s="31" t="str">
        <f aca="false">IF(ISNUMBER(J19),ROUND(J39-J11-J19-J29,1),"")</f>
        <v/>
      </c>
      <c r="K45" s="31" t="str">
        <f aca="false">IF(ISNUMBER(K19),ROUND(K39-K11-K19-K29,1),"")</f>
        <v/>
      </c>
      <c r="L45" s="31" t="str">
        <f aca="false">IF(ISNUMBER(L19),ROUND(L39-L11-L19-L29,1),"")</f>
        <v/>
      </c>
      <c r="M45" s="31" t="str">
        <f aca="false">IF(ISNUMBER(M19),ROUND(M39-M11-M19-M29,1),"")</f>
        <v/>
      </c>
      <c r="N45" s="31" t="str">
        <f aca="false">IF(ISNUMBER(N19),ROUND(N39-N11-N19-N29,1),"")</f>
        <v/>
      </c>
      <c r="O45" s="31" t="str">
        <f aca="false">IF(ISNUMBER(O19),ROUND(O39-O11-O19-O29,1),"")</f>
        <v/>
      </c>
      <c r="P45" s="31" t="str">
        <f aca="false">IF(ISNUMBER(P19),ROUND(P39-P11-P19-P29,1),"")</f>
        <v/>
      </c>
      <c r="Q45" s="31" t="str">
        <f aca="false">IF(ISNUMBER(Q19),ROUND(Q39-Q11-Q19-Q29,1),"")</f>
        <v/>
      </c>
      <c r="R45" s="31" t="str">
        <f aca="false">IF(ISNUMBER(R19),ROUND(R39-R11-R19-R29,1),"")</f>
        <v/>
      </c>
      <c r="S45" s="31" t="str">
        <f aca="false">IF(ISNUMBER(S19),ROUND(S39-S11-S19-S29,1),"")</f>
        <v/>
      </c>
      <c r="T45" s="31" t="str">
        <f aca="false">IF(ISNUMBER(T19),ROUND(T39-T11-T19-T29,1),"")</f>
        <v/>
      </c>
      <c r="U45" s="31" t="str">
        <f aca="false">IF(ISNUMBER(U19),ROUND(U39-U11-U19-U29,1),"")</f>
        <v/>
      </c>
      <c r="V45" s="31" t="str">
        <f aca="false">IF(ISNUMBER(V19),ROUND(V39-V11-V19-V29,1),"")</f>
        <v/>
      </c>
      <c r="W45" s="31" t="str">
        <f aca="false">IF(ISNUMBER(W19),ROUND(W39-W11-W19-W29,1),"")</f>
        <v/>
      </c>
      <c r="X45" s="31" t="str">
        <f aca="false">IF(ISNUMBER(X19),ROUND(X39-X11-X19-X29,1),"")</f>
        <v/>
      </c>
      <c r="Y45" s="31" t="str">
        <f aca="false">IF(ISNUMBER(Y19),ROUND(Y39-Y11-Y19-Y29,1),"")</f>
        <v/>
      </c>
      <c r="Z45" s="31" t="str">
        <f aca="false">IF(ISNUMBER(Z19),ROUND(Z39-Z11-Z19-Z29,1),"")</f>
        <v/>
      </c>
      <c r="AA45" s="31" t="str">
        <f aca="false">IF(ISNUMBER(AA19),ROUND(AA39-AA11-AA19-AA29,1),"")</f>
        <v/>
      </c>
      <c r="AB45" s="31" t="str">
        <f aca="false">IF(ISNUMBER(AB19),ROUND(AB39-AB11-AB19-AB29,1),"")</f>
        <v/>
      </c>
      <c r="AC45" s="31" t="str">
        <f aca="false">IF(ISNUMBER(AC19),ROUND(AC39-AC11-AC19-AC29,1),"")</f>
        <v/>
      </c>
      <c r="AD45" s="31" t="str">
        <f aca="false">IF(ISNUMBER(AD19),ROUND(AD39-AD11-AD19-AD29,1),"")</f>
        <v/>
      </c>
      <c r="AE45" s="31" t="str">
        <f aca="false">IF(ISNUMBER(AE19),ROUND(AE39-AE11-AE19-AE29,1),"")</f>
        <v/>
      </c>
      <c r="AF45" s="31" t="str">
        <f aca="false">IF(ISNUMBER(AF19),ROUND(AF39-AF11-AF19-AF29,1),"")</f>
        <v/>
      </c>
      <c r="AG45" s="31" t="str">
        <f aca="false">IF(ISNUMBER(AG19),ROUND(AG39-AG11-AG19-AG29,1),"")</f>
        <v/>
      </c>
      <c r="AH45" s="31" t="str">
        <f aca="false">IF(ISNUMBER(AH19),ROUND(AH39-AH11-AH19-AH29,1),"")</f>
        <v/>
      </c>
      <c r="AI45" s="31" t="str">
        <f aca="false">IF(ISNUMBER(AI19),ROUND(AI39-AI11-AI19-AI29,1),"")</f>
        <v/>
      </c>
      <c r="AJ45" s="31" t="str">
        <f aca="false">IF(ISNUMBER(AJ19),ROUND(AJ39-AJ11-AJ19-AJ29,1),"")</f>
        <v/>
      </c>
      <c r="AK45" s="31" t="str">
        <f aca="false">IF(ISNUMBER(AK19),ROUND(AK39-AK11-AK19-AK29,1),"")</f>
        <v/>
      </c>
      <c r="AL45" s="31" t="str">
        <f aca="false">IF(ISNUMBER(AL19),ROUND(AL39-AL11-AL19-AL29,1),"")</f>
        <v/>
      </c>
      <c r="AM45" s="31" t="str">
        <f aca="false">IF(ISNUMBER(AM19),ROUND(AM39-AM11-AM19-AM29,1),"")</f>
        <v/>
      </c>
      <c r="AN45" s="31" t="str">
        <f aca="false">IF(ISNUMBER(AN19),ROUND(AN39-AN11-AN19-AN29,1),"")</f>
        <v/>
      </c>
      <c r="AO45" s="31" t="str">
        <f aca="false">IF(ISNUMBER(AO19),ROUND(AO39-AO11-AO19-AO29,1),"")</f>
        <v/>
      </c>
      <c r="AP45" s="31" t="str">
        <f aca="false">IF(ISNUMBER(AP19),ROUND(AP39-AP11-AP19-AP29,1),"")</f>
        <v/>
      </c>
      <c r="AQ45" s="31" t="str">
        <f aca="false">IF(ISNUMBER(AQ19),ROUND(AQ39-AQ11-AQ19-AQ29,1),"")</f>
        <v/>
      </c>
      <c r="AR45" s="31" t="str">
        <f aca="false">IF(ISNUMBER(AR19),ROUND(AR39-AR11-AR19-AR29,1),"")</f>
        <v/>
      </c>
      <c r="AS45" s="31" t="str">
        <f aca="false">IF(ISNUMBER(AS19),ROUND(AS39-AS11-AS19-AS29,1),"")</f>
        <v/>
      </c>
      <c r="AT45" s="31" t="str">
        <f aca="false">IF(ISNUMBER(AT19),ROUND(AT39-AT11-AT19-AT29,1),"")</f>
        <v/>
      </c>
      <c r="AU45" s="31" t="str">
        <f aca="false">IF(ISNUMBER(AU19),ROUND(AU39-AU11-AU19-AU29,1),"")</f>
        <v/>
      </c>
      <c r="AV45" s="31" t="str">
        <f aca="false">IF(ISNUMBER(AV19),ROUND(AV39-AV11-AV19-AV29,1),"")</f>
        <v/>
      </c>
      <c r="AW45" s="31" t="str">
        <f aca="false">IF(ISNUMBER(AW19),ROUND(AW39-AW11-AW19-AW29,1),"")</f>
        <v/>
      </c>
      <c r="AX45" s="31" t="str">
        <f aca="false">IF(ISNUMBER(AX19),ROUND(AX39-AX11-AX19-AX29,1),"")</f>
        <v/>
      </c>
      <c r="AY45" s="31" t="str">
        <f aca="false">IF(ISNUMBER(AY19),ROUND(AY39-AY11-AY19-AY29,1),"")</f>
        <v/>
      </c>
      <c r="AZ45" s="31" t="str">
        <f aca="false">IF(ISNUMBER(AZ19),ROUND(AZ39-AZ11-AZ19-AZ29,1),"")</f>
        <v/>
      </c>
      <c r="BA45" s="31" t="str">
        <f aca="false">IF(ISNUMBER(BA19),ROUND(BA39-BA11-BA19-BA29,1),"")</f>
        <v/>
      </c>
      <c r="BB45" s="31" t="str">
        <f aca="false">IF(ISNUMBER(BB19),ROUND(BB39-BB11-BB19-BB29,1),"")</f>
        <v/>
      </c>
      <c r="BC45" s="31" t="str">
        <f aca="false">IF(ISNUMBER(BC19),ROUND(BC39-BC11-BC19-BC29,1),"")</f>
        <v/>
      </c>
      <c r="BD45" s="31" t="str">
        <f aca="false">IF(ISNUMBER(BD19),ROUND(BD39-BD11-BD19-BD29,1),"")</f>
        <v/>
      </c>
      <c r="BE45" s="31" t="str">
        <f aca="false">IF(ISNUMBER(BE19),ROUND(BE39-BE11-BE19-BE29,1),"")</f>
        <v/>
      </c>
      <c r="BF45" s="31" t="str">
        <f aca="false">IF(ISNUMBER(BF19),ROUND(BF39-BF11-BF19-BF29,1),"")</f>
        <v/>
      </c>
      <c r="BG45" s="31" t="str">
        <f aca="false">IF(ISNUMBER(BG19),ROUND(BG39-BG11-BG19-BG29,1),"")</f>
        <v/>
      </c>
      <c r="BH45" s="31" t="str">
        <f aca="false">IF(ISNUMBER(BH19),ROUND(BH39-BH11-BH19-BH29,1),"")</f>
        <v/>
      </c>
      <c r="BI45" s="31" t="str">
        <f aca="false">IF(ISNUMBER(BI19),ROUND(BI39-BI11-BI19-BI29,1),"")</f>
        <v/>
      </c>
      <c r="BJ45" s="31" t="str">
        <f aca="false">IF(ISNUMBER(BJ19),ROUND(BJ39-BJ11-BJ19-BJ29,1),"")</f>
        <v/>
      </c>
      <c r="BK45" s="31" t="str">
        <f aca="false">IF(ISNUMBER(BK19),ROUND(BK39-BK11-BK19-BK29,1),"")</f>
        <v/>
      </c>
      <c r="BL45" s="31" t="str">
        <f aca="false">IF(ISNUMBER(BL19),ROUND(BL39-BL11-BL19-BL29,1),"")</f>
        <v/>
      </c>
      <c r="BM45" s="31" t="str">
        <f aca="false">IF(ISNUMBER(BM19),ROUND(BM39-BM11-BM19-BM29,1),"")</f>
        <v/>
      </c>
      <c r="BN45" s="31" t="str">
        <f aca="false">IF(ISNUMBER(BN19),ROUND(BN39-BN11-BN19-BN29,1),"")</f>
        <v/>
      </c>
      <c r="BO45" s="31" t="str">
        <f aca="false">IF(ISNUMBER(BO19),ROUND(BO39-BO11-BO19-BO29,1),"")</f>
        <v/>
      </c>
      <c r="BP45" s="31" t="str">
        <f aca="false">IF(ISNUMBER(BP19),ROUND(BP39-BP11-BP19-BP29,1),"")</f>
        <v/>
      </c>
      <c r="BQ45" s="31" t="str">
        <f aca="false">IF(ISNUMBER(BQ19),ROUND(BQ39-BQ11-BQ19-BQ29,1),"")</f>
        <v/>
      </c>
      <c r="BR45" s="31" t="str">
        <f aca="false">IF(ISNUMBER(BR19),ROUND(BR39-BR11-BR19-BR29,1),"")</f>
        <v/>
      </c>
      <c r="BS45" s="31" t="str">
        <f aca="false">IF(ISNUMBER(BS19),ROUND(BS39-BS11-BS19-BS29,1),"")</f>
        <v/>
      </c>
      <c r="BT45" s="31" t="str">
        <f aca="false">IF(ISNUMBER(BT19),ROUND(BT39-BT11-BT19-BT29,1),"")</f>
        <v/>
      </c>
      <c r="BU45" s="31" t="str">
        <f aca="false">IF(ISNUMBER(BU19),ROUND(BU39-BU11-BU19-BU29,1),"")</f>
        <v/>
      </c>
      <c r="BV45" s="31" t="str">
        <f aca="false">IF(ISNUMBER(BV19),ROUND(BV39-BV11-BV19-BV29,1),"")</f>
        <v/>
      </c>
      <c r="BW45" s="31" t="str">
        <f aca="false">IF(ISNUMBER(BW19),ROUND(BW39-BW11-BW19-BW29,1),"")</f>
        <v/>
      </c>
      <c r="BX45" s="31" t="str">
        <f aca="false">IF(ISNUMBER(BX19),ROUND(BX39-BX11-BX19-BX29,1),"")</f>
        <v/>
      </c>
      <c r="BY45" s="31" t="str">
        <f aca="false">IF(ISNUMBER(BY19),ROUND(BY39-BY11-BY19-BY29,1),"")</f>
        <v/>
      </c>
      <c r="BZ45" s="31" t="str">
        <f aca="false">IF(ISNUMBER(BZ19),ROUND(BZ39-BZ11-BZ19-BZ29,1),"")</f>
        <v/>
      </c>
      <c r="CA45" s="31" t="str">
        <f aca="false">IF(ISNUMBER(CA19),ROUND(CA39-CA11-CA19-CA29,1),"")</f>
        <v/>
      </c>
      <c r="CB45" s="31" t="str">
        <f aca="false">IF(ISNUMBER(CB19),ROUND(CB39-CB11-CB19-CB29,1),"")</f>
        <v/>
      </c>
      <c r="CC45" s="31" t="str">
        <f aca="false">IF(ISNUMBER(CC19),ROUND(CC39-CC11-CC19-CC29,1),"")</f>
        <v/>
      </c>
      <c r="CD45" s="31" t="n">
        <f aca="false">IF(ISNUMBER(CD19),ROUND(CD39-CD11-CD19-CD29,1),"")</f>
        <v>0</v>
      </c>
      <c r="CE45" s="31" t="n">
        <f aca="false">IF(ISNUMBER(CE19),ROUND(CE39-CE11-CE19-CE29,1),"")</f>
        <v>0</v>
      </c>
      <c r="CF45" s="31" t="n">
        <f aca="false">IF(ISNUMBER(CF19),ROUND(CF39-CF11-CF19-CF29,1),"")</f>
        <v>0</v>
      </c>
      <c r="CG45" s="31" t="n">
        <f aca="false">IF(ISNUMBER(CG19),ROUND(CG39-CG11-CG19-CG29,1),"")</f>
        <v>0</v>
      </c>
      <c r="CH45" s="31" t="n">
        <f aca="false">IF(ISNUMBER(CH19),ROUND(CH39-CH11-CH19-CH29,1),"")</f>
        <v>-0.1</v>
      </c>
      <c r="CI45" s="31" t="n">
        <f aca="false">IF(ISNUMBER(CI19),ROUND(CI39-CI11-CI19-CI29,1),"")</f>
        <v>-0.1</v>
      </c>
      <c r="CJ45" s="31" t="n">
        <f aca="false">IF(ISNUMBER(CJ19),ROUND(CJ39-CJ11-CJ19-CJ29,1),"")</f>
        <v>0</v>
      </c>
      <c r="CK45" s="31" t="n">
        <f aca="false">IF(ISNUMBER(CK19),ROUND(CK39-CK11-CK19-CK29,1),"")</f>
        <v>0</v>
      </c>
      <c r="CL45" s="31" t="n">
        <f aca="false">IF(ISNUMBER(CL19),ROUND(CL39-CL11-CL19-CL29,1),"")</f>
        <v>-0</v>
      </c>
      <c r="CM45" s="32" t="n">
        <f aca="false">ROUND(CM39-CM11-CM19-CM29,1)</f>
        <v>0</v>
      </c>
      <c r="CN45" s="32" t="n">
        <f aca="false">ROUND(CN39-CN11-CN19-CN29,1)</f>
        <v>0</v>
      </c>
      <c r="CO45" s="32" t="n">
        <f aca="false">ROUND(CO39-CO11-CO19-CO29,1)</f>
        <v>0</v>
      </c>
      <c r="CP45" s="32" t="n">
        <f aca="false">ROUND(CP39-CP11-CP19-CP29,1)</f>
        <v>0</v>
      </c>
      <c r="CQ45" s="32" t="n">
        <f aca="false">ROUND(CQ39-CQ11-CQ19-CQ29,1)</f>
        <v>-0</v>
      </c>
      <c r="CR45" s="32" t="n">
        <f aca="false">ROUND(CR39-CR11-CR19-CR29,1)</f>
        <v>0</v>
      </c>
      <c r="CS45" s="32" t="n">
        <f aca="false">ROUND(CS39-CS11-CS19-CS29,1)</f>
        <v>0</v>
      </c>
      <c r="CT45" s="23"/>
      <c r="CV45" s="7"/>
      <c r="CW45" s="7"/>
      <c r="CX45" s="7"/>
      <c r="CY45" s="7"/>
      <c r="DB45" s="13" t="s">
        <v>151</v>
      </c>
      <c r="DC45" s="47" t="n">
        <f aca="false">MAX(0,DD45+$DC$44)</f>
        <v>350</v>
      </c>
      <c r="DD45" s="33" t="n">
        <v>200</v>
      </c>
      <c r="DE45" s="47" t="n">
        <f aca="false">MAX(0,DD45+$DE$44)</f>
        <v>0</v>
      </c>
    </row>
    <row r="46" customFormat="false" ht="15" hidden="false" customHeight="true" outlineLevel="0" collapsed="false">
      <c r="B46" s="13"/>
      <c r="CM46" s="7"/>
      <c r="CN46" s="7"/>
      <c r="CO46" s="7"/>
      <c r="CP46" s="7"/>
      <c r="CQ46" s="7"/>
      <c r="CR46" s="7"/>
      <c r="CS46" s="7"/>
      <c r="CT46" s="7"/>
      <c r="DB46" s="13" t="s">
        <v>122</v>
      </c>
      <c r="DC46" s="47" t="n">
        <f aca="false">MAX(0,DD46+$DC$44)</f>
        <v>550</v>
      </c>
      <c r="DD46" s="33" t="n">
        <v>400</v>
      </c>
      <c r="DE46" s="47" t="n">
        <f aca="false">MAX(0,DD46+$DE$44)</f>
        <v>200</v>
      </c>
    </row>
    <row r="47" customFormat="false" ht="15" hidden="false" customHeight="true" outlineLevel="0" collapsed="false">
      <c r="B47" s="17" t="s">
        <v>152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8" t="s">
        <v>153</v>
      </c>
      <c r="DB47" s="13" t="s">
        <v>123</v>
      </c>
      <c r="DC47" s="47" t="n">
        <f aca="false">MAX(0,DD47+$DC$44)</f>
        <v>550</v>
      </c>
      <c r="DD47" s="33" t="n">
        <v>400</v>
      </c>
      <c r="DE47" s="47" t="n">
        <f aca="false">MAX(0,DD47+$DE$44)</f>
        <v>200</v>
      </c>
    </row>
    <row r="48" customFormat="false" ht="15" hidden="false" customHeight="true" outlineLevel="0" collapsed="false">
      <c r="B48" s="13" t="s">
        <v>154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40" t="n">
        <v>139.2</v>
      </c>
      <c r="BS48" s="40" t="n">
        <v>244.6</v>
      </c>
      <c r="BT48" s="31" t="n">
        <f aca="false">BR48+BS48</f>
        <v>383.8</v>
      </c>
      <c r="BU48" s="40" t="n">
        <v>223.2</v>
      </c>
      <c r="BV48" s="40" t="n">
        <v>244.7</v>
      </c>
      <c r="BW48" s="40" t="n">
        <v>851.7</v>
      </c>
      <c r="BX48" s="40" t="n">
        <v>238.6</v>
      </c>
      <c r="BY48" s="40" t="n">
        <v>250.7</v>
      </c>
      <c r="BZ48" s="31" t="n">
        <f aca="false">BX48+BY48</f>
        <v>489.3</v>
      </c>
      <c r="CA48" s="40" t="n">
        <v>206.6</v>
      </c>
      <c r="CB48" s="40" t="n">
        <v>243.5</v>
      </c>
      <c r="CC48" s="40" t="n">
        <v>939.4</v>
      </c>
      <c r="CD48" s="40" t="n">
        <v>216.8</v>
      </c>
      <c r="CE48" s="40" t="n">
        <v>241</v>
      </c>
      <c r="CF48" s="31" t="n">
        <f aca="false">CD48+CE48</f>
        <v>457.8</v>
      </c>
      <c r="CG48" s="40" t="n">
        <v>215.8</v>
      </c>
      <c r="CH48" s="40" t="n">
        <v>255.2</v>
      </c>
      <c r="CI48" s="40" t="n">
        <v>928.8</v>
      </c>
      <c r="CJ48" s="40" t="n">
        <v>241.3</v>
      </c>
      <c r="CK48" s="40" t="n">
        <v>239.2</v>
      </c>
      <c r="CL48" s="31" t="n">
        <f aca="false">CJ48+CK48</f>
        <v>480.5</v>
      </c>
      <c r="CM48" s="32" t="n">
        <f aca="false">CM53*CL48/CL53</f>
        <v>223.659715578447</v>
      </c>
      <c r="CN48" s="32" t="n">
        <f aca="false">CN53*CL48/CL53</f>
        <v>245.906212019849</v>
      </c>
      <c r="CO48" s="32" t="n">
        <f aca="false">SUM(CJ48,CK48,CM48,CN48)</f>
        <v>950.065927598296</v>
      </c>
      <c r="CP48" s="32" t="n">
        <f aca="false">CP53*CO48/CO53</f>
        <v>986.296541344023</v>
      </c>
      <c r="CQ48" s="32" t="n">
        <f aca="false">CQ53*CP48/CP53</f>
        <v>1033.39145094922</v>
      </c>
      <c r="CR48" s="32" t="n">
        <f aca="false">CR53*CQ48/CQ53</f>
        <v>1077.72133433074</v>
      </c>
      <c r="CS48" s="32" t="n">
        <f aca="false">CS53*CR48/CR53</f>
        <v>1123.96062400634</v>
      </c>
      <c r="CT48" s="23" t="s">
        <v>155</v>
      </c>
      <c r="CV48" s="7"/>
      <c r="CW48" s="7"/>
      <c r="CX48" s="7"/>
      <c r="CY48" s="7"/>
      <c r="DB48" s="13" t="s">
        <v>125</v>
      </c>
      <c r="DC48" s="47" t="n">
        <f aca="false">MAX(0,DD48+$DC$44)</f>
        <v>600</v>
      </c>
      <c r="DD48" s="33" t="n">
        <v>450</v>
      </c>
      <c r="DE48" s="47" t="n">
        <f aca="false">MAX(0,DD48+$DE$44)</f>
        <v>250</v>
      </c>
    </row>
    <row r="49" customFormat="false" ht="15" hidden="false" customHeight="true" outlineLevel="0" collapsed="false">
      <c r="B49" s="13" t="s">
        <v>156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40" t="n">
        <v>145.3</v>
      </c>
      <c r="BS49" s="40" t="n">
        <v>482.7</v>
      </c>
      <c r="BT49" s="31" t="n">
        <f aca="false">BR49+BS49</f>
        <v>628</v>
      </c>
      <c r="BU49" s="40" t="n">
        <v>476.6</v>
      </c>
      <c r="BV49" s="40" t="n">
        <v>488.7</v>
      </c>
      <c r="BW49" s="40" t="n">
        <v>1593.2</v>
      </c>
      <c r="BX49" s="40" t="n">
        <v>525.4</v>
      </c>
      <c r="BY49" s="40" t="n">
        <v>510</v>
      </c>
      <c r="BZ49" s="31" t="n">
        <f aca="false">BX49+BY49</f>
        <v>1035.4</v>
      </c>
      <c r="CA49" s="40" t="n">
        <v>486.9</v>
      </c>
      <c r="CB49" s="40" t="n">
        <v>544.8</v>
      </c>
      <c r="CC49" s="40" t="n">
        <v>2067.1</v>
      </c>
      <c r="CD49" s="40" t="n">
        <v>556.7</v>
      </c>
      <c r="CE49" s="40" t="n">
        <v>560.6</v>
      </c>
      <c r="CF49" s="31" t="n">
        <f aca="false">CD49+CE49</f>
        <v>1117.3</v>
      </c>
      <c r="CG49" s="40" t="n">
        <v>543.8</v>
      </c>
      <c r="CH49" s="40" t="n">
        <v>577.2</v>
      </c>
      <c r="CI49" s="40" t="n">
        <v>2238.3</v>
      </c>
      <c r="CJ49" s="40" t="n">
        <v>577.5</v>
      </c>
      <c r="CK49" s="40" t="n">
        <v>610.9</v>
      </c>
      <c r="CL49" s="31" t="n">
        <f aca="false">CJ49+CK49</f>
        <v>1188.4</v>
      </c>
      <c r="CM49" s="32" t="n">
        <f aca="false">CM53*CL49/CL53</f>
        <v>553.167962525341</v>
      </c>
      <c r="CN49" s="32" t="n">
        <f aca="false">CN53*CL49/CL53</f>
        <v>608.189266106949</v>
      </c>
      <c r="CO49" s="32" t="n">
        <f aca="false">SUM(CJ49,CK49,CM49,CN49)</f>
        <v>2349.75722863229</v>
      </c>
      <c r="CP49" s="32" t="n">
        <f aca="false">CP53*CO49/CO53</f>
        <v>2439.36484856033</v>
      </c>
      <c r="CQ49" s="32" t="n">
        <f aca="false">CQ53*CP49/CP53</f>
        <v>2555.84266453289</v>
      </c>
      <c r="CR49" s="32" t="n">
        <f aca="false">CR53*CQ49/CQ53</f>
        <v>2665.48185997637</v>
      </c>
      <c r="CS49" s="32" t="n">
        <f aca="false">CS53*CR49/CR53</f>
        <v>2779.84350794824</v>
      </c>
      <c r="CT49" s="23"/>
      <c r="CV49" s="7"/>
      <c r="CW49" s="7"/>
      <c r="CX49" s="7"/>
      <c r="CY49" s="7"/>
      <c r="DB49" s="13" t="s">
        <v>126</v>
      </c>
      <c r="DC49" s="47" t="n">
        <f aca="false">MAX(0,DD49+$DC$44)</f>
        <v>650</v>
      </c>
      <c r="DD49" s="33" t="n">
        <v>500</v>
      </c>
      <c r="DE49" s="47" t="n">
        <f aca="false">MAX(0,DD49+$DE$44)</f>
        <v>300</v>
      </c>
    </row>
    <row r="50" customFormat="false" ht="15" hidden="false" customHeight="true" outlineLevel="0" collapsed="false">
      <c r="B50" s="13" t="s">
        <v>157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40" t="n">
        <v>59.1</v>
      </c>
      <c r="BS50" s="40" t="n">
        <v>78.8</v>
      </c>
      <c r="BT50" s="31" t="n">
        <f aca="false">BR50+BS50</f>
        <v>137.9</v>
      </c>
      <c r="BU50" s="40" t="n">
        <v>74</v>
      </c>
      <c r="BV50" s="40" t="n">
        <v>75.7</v>
      </c>
      <c r="BW50" s="40" t="n">
        <v>287.6</v>
      </c>
      <c r="BX50" s="40" t="n">
        <v>85.1</v>
      </c>
      <c r="BY50" s="40" t="n">
        <v>98.4</v>
      </c>
      <c r="BZ50" s="31" t="n">
        <f aca="false">BX50+BY50</f>
        <v>183.5</v>
      </c>
      <c r="CA50" s="40" t="n">
        <v>86.4</v>
      </c>
      <c r="CB50" s="40" t="n">
        <v>87.2</v>
      </c>
      <c r="CC50" s="40" t="n">
        <v>357.1</v>
      </c>
      <c r="CD50" s="40" t="n">
        <v>79</v>
      </c>
      <c r="CE50" s="40" t="n">
        <v>85.6</v>
      </c>
      <c r="CF50" s="31" t="n">
        <f aca="false">CD50+CE50</f>
        <v>164.6</v>
      </c>
      <c r="CG50" s="40" t="n">
        <v>85.4</v>
      </c>
      <c r="CH50" s="40" t="n">
        <v>85.1</v>
      </c>
      <c r="CI50" s="40" t="n">
        <v>335.1</v>
      </c>
      <c r="CJ50" s="40" t="n">
        <v>78.9</v>
      </c>
      <c r="CK50" s="40" t="n">
        <v>83.3</v>
      </c>
      <c r="CL50" s="31" t="n">
        <f aca="false">CJ50+CK50</f>
        <v>162.2</v>
      </c>
      <c r="CM50" s="32" t="n">
        <f aca="false">CM53-CM48-CM49</f>
        <v>75.4997000350137</v>
      </c>
      <c r="CN50" s="32" t="n">
        <f aca="false">CN53-CN48-CN49</f>
        <v>83.009339416482</v>
      </c>
      <c r="CO50" s="32" t="n">
        <f aca="false">SUM(CJ50,CK50,CM50,CN50)</f>
        <v>320.709039451496</v>
      </c>
      <c r="CP50" s="32" t="n">
        <f aca="false">CP53-CP48-CP49</f>
        <v>332.939227900105</v>
      </c>
      <c r="CQ50" s="32" t="n">
        <f aca="false">CQ53-CQ48-CQ49</f>
        <v>348.8368227762</v>
      </c>
      <c r="CR50" s="32" t="n">
        <f aca="false">CR53-CR48-CR49</f>
        <v>363.801041474393</v>
      </c>
      <c r="CS50" s="32" t="n">
        <f aca="false">CS53-CS48-CS49</f>
        <v>379.40980897779</v>
      </c>
      <c r="CT50" s="23"/>
      <c r="CV50" s="7"/>
      <c r="CW50" s="7"/>
      <c r="CX50" s="7"/>
      <c r="CY50" s="7"/>
    </row>
    <row r="51" customFormat="false" ht="15" hidden="false" customHeight="true" outlineLevel="0" collapsed="false">
      <c r="B51" s="13" t="s">
        <v>158</v>
      </c>
      <c r="C51" s="31"/>
      <c r="D51" s="31"/>
      <c r="E51" s="31"/>
      <c r="F51" s="31"/>
      <c r="G51" s="40" t="n">
        <v>326.768</v>
      </c>
      <c r="H51" s="40" t="n">
        <v>342.774</v>
      </c>
      <c r="I51" s="40" t="n">
        <v>351.017</v>
      </c>
      <c r="J51" s="40" t="n">
        <v>82.044</v>
      </c>
      <c r="K51" s="40" t="n">
        <v>102.138</v>
      </c>
      <c r="L51" s="31" t="n">
        <f aca="false">J51+K51</f>
        <v>184.182</v>
      </c>
      <c r="M51" s="40" t="n">
        <v>85.474</v>
      </c>
      <c r="N51" s="40" t="n">
        <v>104.451</v>
      </c>
      <c r="O51" s="40" t="n">
        <v>374.107</v>
      </c>
      <c r="P51" s="40" t="n">
        <v>78.174</v>
      </c>
      <c r="Q51" s="40" t="n">
        <v>112.684</v>
      </c>
      <c r="R51" s="31" t="n">
        <f aca="false">P51+Q51</f>
        <v>190.858</v>
      </c>
      <c r="S51" s="40" t="n">
        <v>80.193</v>
      </c>
      <c r="T51" s="40" t="n">
        <v>108.289</v>
      </c>
      <c r="U51" s="40" t="n">
        <v>379.34</v>
      </c>
      <c r="V51" s="40" t="n">
        <v>93.14</v>
      </c>
      <c r="W51" s="40" t="n">
        <v>124.592</v>
      </c>
      <c r="X51" s="31" t="n">
        <f aca="false">V51+W51</f>
        <v>217.732</v>
      </c>
      <c r="Y51" s="40" t="n">
        <v>83.648</v>
      </c>
      <c r="Z51" s="40" t="n">
        <v>103.929</v>
      </c>
      <c r="AA51" s="40" t="n">
        <v>405.308</v>
      </c>
      <c r="AB51" s="40" t="n">
        <v>99.793</v>
      </c>
      <c r="AC51" s="40" t="n">
        <v>118.18</v>
      </c>
      <c r="AD51" s="31" t="n">
        <f aca="false">AB51+AC51</f>
        <v>217.973</v>
      </c>
      <c r="AE51" s="40" t="n">
        <v>96.11</v>
      </c>
      <c r="AF51" s="40" t="n">
        <v>110.044</v>
      </c>
      <c r="AG51" s="40" t="n">
        <v>424.128</v>
      </c>
      <c r="AH51" s="40" t="n">
        <v>79.297</v>
      </c>
      <c r="AI51" s="40" t="n">
        <v>112.242</v>
      </c>
      <c r="AJ51" s="31" t="n">
        <f aca="false">AH51+AI51</f>
        <v>191.539</v>
      </c>
      <c r="AK51" s="40" t="n">
        <v>88.696</v>
      </c>
      <c r="AL51" s="40" t="n">
        <v>114.162</v>
      </c>
      <c r="AM51" s="40" t="n">
        <v>394.397</v>
      </c>
      <c r="AN51" s="40" t="n">
        <v>101.294</v>
      </c>
      <c r="AO51" s="40" t="n">
        <v>124.697</v>
      </c>
      <c r="AP51" s="31" t="n">
        <f aca="false">AN51+AO51</f>
        <v>225.991</v>
      </c>
      <c r="AQ51" s="40" t="n">
        <v>87.548</v>
      </c>
      <c r="AR51" s="40" t="n">
        <v>106.621</v>
      </c>
      <c r="AS51" s="40" t="n">
        <v>420.16</v>
      </c>
      <c r="AT51" s="40" t="n">
        <v>92.28</v>
      </c>
      <c r="AU51" s="40" t="n">
        <v>134.466</v>
      </c>
      <c r="AV51" s="31" t="n">
        <f aca="false">AT51+AU51</f>
        <v>226.746</v>
      </c>
      <c r="AW51" s="40" t="n">
        <v>90.928</v>
      </c>
      <c r="AX51" s="40" t="n">
        <v>114.107</v>
      </c>
      <c r="AY51" s="40" t="n">
        <v>431.781</v>
      </c>
      <c r="AZ51" s="40" t="n">
        <v>93.484</v>
      </c>
      <c r="BA51" s="40" t="n">
        <v>125.465</v>
      </c>
      <c r="BB51" s="31" t="n">
        <f aca="false">AZ51+BA51</f>
        <v>218.949</v>
      </c>
      <c r="BC51" s="40" t="n">
        <v>112.762</v>
      </c>
      <c r="BD51" s="40" t="n">
        <v>121.17</v>
      </c>
      <c r="BE51" s="40" t="n">
        <v>452.882</v>
      </c>
      <c r="BF51" s="40" t="n">
        <v>103.975</v>
      </c>
      <c r="BG51" s="40" t="n">
        <v>129.334</v>
      </c>
      <c r="BH51" s="31" t="n">
        <f aca="false">BF51+BG51</f>
        <v>233.309</v>
      </c>
      <c r="BI51" s="40" t="n">
        <v>110.275</v>
      </c>
      <c r="BJ51" s="40" t="n">
        <v>126.135</v>
      </c>
      <c r="BK51" s="40" t="n">
        <v>469.718</v>
      </c>
      <c r="BL51" s="40" t="n">
        <v>116.375</v>
      </c>
      <c r="BM51" s="40" t="n">
        <v>136.403</v>
      </c>
      <c r="BN51" s="31" t="n">
        <f aca="false">BL51+BM51</f>
        <v>252.778</v>
      </c>
      <c r="BO51" s="40" t="n">
        <v>108.238</v>
      </c>
      <c r="BP51" s="40" t="n">
        <v>124.898</v>
      </c>
      <c r="BQ51" s="40" t="n">
        <v>485.916</v>
      </c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2"/>
      <c r="CN51" s="32"/>
      <c r="CO51" s="32"/>
      <c r="CP51" s="32"/>
      <c r="CQ51" s="32"/>
      <c r="CR51" s="32"/>
      <c r="CS51" s="32"/>
      <c r="CT51" s="23"/>
      <c r="CV51" s="7"/>
      <c r="CW51" s="7"/>
      <c r="CX51" s="7"/>
      <c r="CY51" s="7"/>
    </row>
    <row r="52" customFormat="false" ht="15" hidden="false" customHeight="true" outlineLevel="0" collapsed="false">
      <c r="B52" s="13" t="s">
        <v>159</v>
      </c>
      <c r="C52" s="31"/>
      <c r="D52" s="31"/>
      <c r="E52" s="31"/>
      <c r="F52" s="31"/>
      <c r="G52" s="40" t="n">
        <v>30.601</v>
      </c>
      <c r="H52" s="40" t="n">
        <v>53.325</v>
      </c>
      <c r="I52" s="40" t="n">
        <v>86.938</v>
      </c>
      <c r="J52" s="40" t="n">
        <v>20.014</v>
      </c>
      <c r="K52" s="40" t="n">
        <v>26.184</v>
      </c>
      <c r="L52" s="31" t="n">
        <f aca="false">J52+K52</f>
        <v>46.198</v>
      </c>
      <c r="M52" s="40" t="n">
        <v>20.326</v>
      </c>
      <c r="N52" s="40" t="n">
        <v>26.772</v>
      </c>
      <c r="O52" s="40" t="n">
        <v>93.296</v>
      </c>
      <c r="P52" s="40" t="n">
        <v>20.414</v>
      </c>
      <c r="Q52" s="40" t="n">
        <v>29.151</v>
      </c>
      <c r="R52" s="31" t="n">
        <f aca="false">P52+Q52</f>
        <v>49.565</v>
      </c>
      <c r="S52" s="40" t="n">
        <v>22.024</v>
      </c>
      <c r="T52" s="40" t="n">
        <v>30.168</v>
      </c>
      <c r="U52" s="40" t="n">
        <v>101.757</v>
      </c>
      <c r="V52" s="40" t="n">
        <v>22.478</v>
      </c>
      <c r="W52" s="40" t="n">
        <v>30.885</v>
      </c>
      <c r="X52" s="31" t="n">
        <f aca="false">V52+W52</f>
        <v>53.363</v>
      </c>
      <c r="Y52" s="40" t="n">
        <v>25.67</v>
      </c>
      <c r="Z52" s="40" t="n">
        <v>31.533</v>
      </c>
      <c r="AA52" s="40" t="n">
        <v>110.567</v>
      </c>
      <c r="AB52" s="40" t="n">
        <v>32.152</v>
      </c>
      <c r="AC52" s="40" t="n">
        <v>40.625</v>
      </c>
      <c r="AD52" s="31" t="n">
        <f aca="false">AB52+AC52</f>
        <v>72.777</v>
      </c>
      <c r="AE52" s="40" t="n">
        <v>32.766</v>
      </c>
      <c r="AF52" s="40" t="n">
        <v>36.725</v>
      </c>
      <c r="AG52" s="40" t="n">
        <v>142.267</v>
      </c>
      <c r="AH52" s="40" t="n">
        <v>44.082</v>
      </c>
      <c r="AI52" s="40" t="n">
        <v>60.507</v>
      </c>
      <c r="AJ52" s="31" t="n">
        <f aca="false">AH52+AI52</f>
        <v>104.589</v>
      </c>
      <c r="AK52" s="40" t="n">
        <v>57.242</v>
      </c>
      <c r="AL52" s="40" t="n">
        <v>68.189</v>
      </c>
      <c r="AM52" s="40" t="n">
        <v>230.02</v>
      </c>
      <c r="AN52" s="40" t="n">
        <v>74.722</v>
      </c>
      <c r="AO52" s="40" t="n">
        <v>89.649</v>
      </c>
      <c r="AP52" s="31" t="n">
        <f aca="false">AN52+AO52</f>
        <v>164.371</v>
      </c>
      <c r="AQ52" s="40" t="n">
        <v>73.826</v>
      </c>
      <c r="AR52" s="40" t="n">
        <v>91.158</v>
      </c>
      <c r="AS52" s="40" t="n">
        <v>329.355</v>
      </c>
      <c r="AT52" s="40" t="n">
        <v>80.092</v>
      </c>
      <c r="AU52" s="40" t="n">
        <v>100.14</v>
      </c>
      <c r="AV52" s="31" t="n">
        <f aca="false">AT52+AU52</f>
        <v>180.232</v>
      </c>
      <c r="AW52" s="40" t="n">
        <v>87.649</v>
      </c>
      <c r="AX52" s="40" t="n">
        <v>104.362</v>
      </c>
      <c r="AY52" s="40" t="n">
        <v>372.243</v>
      </c>
      <c r="AZ52" s="40" t="n">
        <v>89.639</v>
      </c>
      <c r="BA52" s="40" t="n">
        <v>108.674</v>
      </c>
      <c r="BB52" s="31" t="n">
        <f aca="false">AZ52+BA52</f>
        <v>198.313</v>
      </c>
      <c r="BC52" s="40" t="n">
        <v>109.917</v>
      </c>
      <c r="BD52" s="40" t="n">
        <v>110.485</v>
      </c>
      <c r="BE52" s="40" t="n">
        <v>418.714</v>
      </c>
      <c r="BF52" s="40" t="n">
        <v>102.055</v>
      </c>
      <c r="BG52" s="40" t="n">
        <v>123.414</v>
      </c>
      <c r="BH52" s="31" t="n">
        <f aca="false">BF52+BG52</f>
        <v>225.469</v>
      </c>
      <c r="BI52" s="40" t="n">
        <v>103.918</v>
      </c>
      <c r="BJ52" s="40" t="n">
        <v>118.653</v>
      </c>
      <c r="BK52" s="40" t="n">
        <v>448.041</v>
      </c>
      <c r="BL52" s="40" t="n">
        <v>128.486</v>
      </c>
      <c r="BM52" s="40" t="n">
        <v>150.099</v>
      </c>
      <c r="BN52" s="31" t="n">
        <f aca="false">BL52+BM52</f>
        <v>278.585</v>
      </c>
      <c r="BO52" s="40" t="n">
        <v>138.458</v>
      </c>
      <c r="BP52" s="40" t="n">
        <v>147.625</v>
      </c>
      <c r="BQ52" s="40" t="n">
        <v>564.667</v>
      </c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2"/>
      <c r="CN52" s="32"/>
      <c r="CO52" s="32"/>
      <c r="CP52" s="32"/>
      <c r="CQ52" s="32"/>
      <c r="CR52" s="32"/>
      <c r="CS52" s="32"/>
      <c r="CT52" s="23"/>
      <c r="CV52" s="7"/>
      <c r="CW52" s="7"/>
      <c r="CX52" s="7"/>
      <c r="CY52" s="7"/>
    </row>
    <row r="53" customFormat="false" ht="15" hidden="false" customHeight="true" outlineLevel="0" collapsed="false">
      <c r="B53" s="19" t="s">
        <v>160</v>
      </c>
      <c r="C53" s="20" t="str">
        <f aca="false">IF(COUNT(C48,C49,C50,C51,C52)=0,"n/d",SUM(C48,C49,C50,C51,C52))</f>
        <v>n/d</v>
      </c>
      <c r="D53" s="20" t="str">
        <f aca="false">IF(COUNT(D48,D49,D50,D51,D52)=0,"n/d",SUM(D48,D49,D50,D51,D52))</f>
        <v>n/d</v>
      </c>
      <c r="E53" s="20" t="str">
        <f aca="false">IF(COUNT(E48,E49,E50,E51,E52)=0,"n/d",SUM(E48,E49,E50,E51,E52))</f>
        <v>n/d</v>
      </c>
      <c r="F53" s="20" t="str">
        <f aca="false">IF(COUNT(F48,F49,F50,F51,F52)=0,"n/d",SUM(F48,F49,F50,F51,F52))</f>
        <v>n/d</v>
      </c>
      <c r="G53" s="20" t="n">
        <f aca="false">IF(COUNT(G48,G49,G50,G51,G52)=0,"n/d",SUM(G48,G49,G50,G51,G52))</f>
        <v>357.369</v>
      </c>
      <c r="H53" s="20" t="n">
        <f aca="false">IF(COUNT(H48,H49,H50,H51,H52)=0,"n/d",SUM(H48,H49,H50,H51,H52))</f>
        <v>396.099</v>
      </c>
      <c r="I53" s="20" t="n">
        <f aca="false">IF(COUNT(I48,I49,I50,I51,I52)=0,"n/d",SUM(I48,I49,I50,I51,I52))</f>
        <v>437.955</v>
      </c>
      <c r="J53" s="20" t="n">
        <f aca="false">IF(COUNT(J48,J49,J50,J51,J52)=0,"n/d",SUM(J48,J49,J50,J51,J52))</f>
        <v>102.058</v>
      </c>
      <c r="K53" s="20" t="n">
        <f aca="false">IF(COUNT(K48,K49,K50,K51,K52)=0,"n/d",SUM(K48,K49,K50,K51,K52))</f>
        <v>128.322</v>
      </c>
      <c r="L53" s="20" t="n">
        <f aca="false">IF(COUNT(L48,L49,L50,L51,L52)=0,"n/d",SUM(L48,L49,L50,L51,L52))</f>
        <v>230.38</v>
      </c>
      <c r="M53" s="20" t="n">
        <f aca="false">IF(COUNT(M48,M49,M50,M51,M52)=0,"n/d",SUM(M48,M49,M50,M51,M52))</f>
        <v>105.8</v>
      </c>
      <c r="N53" s="20" t="n">
        <f aca="false">IF(COUNT(N48,N49,N50,N51,N52)=0,"n/d",SUM(N48,N49,N50,N51,N52))</f>
        <v>131.223</v>
      </c>
      <c r="O53" s="20" t="n">
        <f aca="false">IF(COUNT(O48,O49,O50,O51,O52)=0,"n/d",SUM(O48,O49,O50,O51,O52))</f>
        <v>467.403</v>
      </c>
      <c r="P53" s="20" t="n">
        <f aca="false">IF(COUNT(P48,P49,P50,P51,P52)=0,"n/d",SUM(P48,P49,P50,P51,P52))</f>
        <v>98.588</v>
      </c>
      <c r="Q53" s="20" t="n">
        <f aca="false">IF(COUNT(Q48,Q49,Q50,Q51,Q52)=0,"n/d",SUM(Q48,Q49,Q50,Q51,Q52))</f>
        <v>141.835</v>
      </c>
      <c r="R53" s="20" t="n">
        <f aca="false">IF(COUNT(R48,R49,R50,R51,R52)=0,"n/d",SUM(R48,R49,R50,R51,R52))</f>
        <v>240.423</v>
      </c>
      <c r="S53" s="20" t="n">
        <f aca="false">IF(COUNT(S48,S49,S50,S51,S52)=0,"n/d",SUM(S48,S49,S50,S51,S52))</f>
        <v>102.217</v>
      </c>
      <c r="T53" s="20" t="n">
        <f aca="false">IF(COUNT(T48,T49,T50,T51,T52)=0,"n/d",SUM(T48,T49,T50,T51,T52))</f>
        <v>138.457</v>
      </c>
      <c r="U53" s="20" t="n">
        <f aca="false">IF(COUNT(U48,U49,U50,U51,U52)=0,"n/d",SUM(U48,U49,U50,U51,U52))</f>
        <v>481.097</v>
      </c>
      <c r="V53" s="20" t="n">
        <f aca="false">IF(COUNT(V48,V49,V50,V51,V52)=0,"n/d",SUM(V48,V49,V50,V51,V52))</f>
        <v>115.618</v>
      </c>
      <c r="W53" s="20" t="n">
        <f aca="false">IF(COUNT(W48,W49,W50,W51,W52)=0,"n/d",SUM(W48,W49,W50,W51,W52))</f>
        <v>155.477</v>
      </c>
      <c r="X53" s="20" t="n">
        <f aca="false">IF(COUNT(X48,X49,X50,X51,X52)=0,"n/d",SUM(X48,X49,X50,X51,X52))</f>
        <v>271.095</v>
      </c>
      <c r="Y53" s="20" t="n">
        <f aca="false">IF(COUNT(Y48,Y49,Y50,Y51,Y52)=0,"n/d",SUM(Y48,Y49,Y50,Y51,Y52))</f>
        <v>109.318</v>
      </c>
      <c r="Z53" s="20" t="n">
        <f aca="false">IF(COUNT(Z48,Z49,Z50,Z51,Z52)=0,"n/d",SUM(Z48,Z49,Z50,Z51,Z52))</f>
        <v>135.462</v>
      </c>
      <c r="AA53" s="20" t="n">
        <f aca="false">IF(COUNT(AA48,AA49,AA50,AA51,AA52)=0,"n/d",SUM(AA48,AA49,AA50,AA51,AA52))</f>
        <v>515.875</v>
      </c>
      <c r="AB53" s="20" t="n">
        <f aca="false">IF(COUNT(AB48,AB49,AB50,AB51,AB52)=0,"n/d",SUM(AB48,AB49,AB50,AB51,AB52))</f>
        <v>131.945</v>
      </c>
      <c r="AC53" s="20" t="n">
        <f aca="false">IF(COUNT(AC48,AC49,AC50,AC51,AC52)=0,"n/d",SUM(AC48,AC49,AC50,AC51,AC52))</f>
        <v>158.805</v>
      </c>
      <c r="AD53" s="20" t="n">
        <f aca="false">IF(COUNT(AD48,AD49,AD50,AD51,AD52)=0,"n/d",SUM(AD48,AD49,AD50,AD51,AD52))</f>
        <v>290.75</v>
      </c>
      <c r="AE53" s="20" t="n">
        <f aca="false">IF(COUNT(AE48,AE49,AE50,AE51,AE52)=0,"n/d",SUM(AE48,AE49,AE50,AE51,AE52))</f>
        <v>128.876</v>
      </c>
      <c r="AF53" s="20" t="n">
        <f aca="false">IF(COUNT(AF48,AF49,AF50,AF51,AF52)=0,"n/d",SUM(AF48,AF49,AF50,AF51,AF52))</f>
        <v>146.769</v>
      </c>
      <c r="AG53" s="20" t="n">
        <f aca="false">IF(COUNT(AG48,AG49,AG50,AG51,AG52)=0,"n/d",SUM(AG48,AG49,AG50,AG51,AG52))</f>
        <v>566.395</v>
      </c>
      <c r="AH53" s="20" t="n">
        <f aca="false">IF(COUNT(AH48,AH49,AH50,AH51,AH52)=0,"n/d",SUM(AH48,AH49,AH50,AH51,AH52))</f>
        <v>123.379</v>
      </c>
      <c r="AI53" s="20" t="n">
        <f aca="false">IF(COUNT(AI48,AI49,AI50,AI51,AI52)=0,"n/d",SUM(AI48,AI49,AI50,AI51,AI52))</f>
        <v>172.749</v>
      </c>
      <c r="AJ53" s="20" t="n">
        <f aca="false">IF(COUNT(AJ48,AJ49,AJ50,AJ51,AJ52)=0,"n/d",SUM(AJ48,AJ49,AJ50,AJ51,AJ52))</f>
        <v>296.128</v>
      </c>
      <c r="AK53" s="20" t="n">
        <f aca="false">IF(COUNT(AK48,AK49,AK50,AK51,AK52)=0,"n/d",SUM(AK48,AK49,AK50,AK51,AK52))</f>
        <v>145.938</v>
      </c>
      <c r="AL53" s="20" t="n">
        <f aca="false">IF(COUNT(AL48,AL49,AL50,AL51,AL52)=0,"n/d",SUM(AL48,AL49,AL50,AL51,AL52))</f>
        <v>182.351</v>
      </c>
      <c r="AM53" s="20" t="n">
        <f aca="false">IF(COUNT(AM48,AM49,AM50,AM51,AM52)=0,"n/d",SUM(AM48,AM49,AM50,AM51,AM52))</f>
        <v>624.417</v>
      </c>
      <c r="AN53" s="20" t="n">
        <f aca="false">IF(COUNT(AN48,AN49,AN50,AN51,AN52)=0,"n/d",SUM(AN48,AN49,AN50,AN51,AN52))</f>
        <v>176.016</v>
      </c>
      <c r="AO53" s="20" t="n">
        <f aca="false">IF(COUNT(AO48,AO49,AO50,AO51,AO52)=0,"n/d",SUM(AO48,AO49,AO50,AO51,AO52))</f>
        <v>214.346</v>
      </c>
      <c r="AP53" s="20" t="n">
        <f aca="false">IF(COUNT(AP48,AP49,AP50,AP51,AP52)=0,"n/d",SUM(AP48,AP49,AP50,AP51,AP52))</f>
        <v>390.362</v>
      </c>
      <c r="AQ53" s="20" t="n">
        <f aca="false">IF(COUNT(AQ48,AQ49,AQ50,AQ51,AQ52)=0,"n/d",SUM(AQ48,AQ49,AQ50,AQ51,AQ52))</f>
        <v>161.374</v>
      </c>
      <c r="AR53" s="20" t="n">
        <f aca="false">IF(COUNT(AR48,AR49,AR50,AR51,AR52)=0,"n/d",SUM(AR48,AR49,AR50,AR51,AR52))</f>
        <v>197.779</v>
      </c>
      <c r="AS53" s="20" t="n">
        <f aca="false">IF(COUNT(AS48,AS49,AS50,AS51,AS52)=0,"n/d",SUM(AS48,AS49,AS50,AS51,AS52))</f>
        <v>749.515</v>
      </c>
      <c r="AT53" s="20" t="n">
        <f aca="false">IF(COUNT(AT48,AT49,AT50,AT51,AT52)=0,"n/d",SUM(AT48,AT49,AT50,AT51,AT52))</f>
        <v>172.372</v>
      </c>
      <c r="AU53" s="20" t="n">
        <f aca="false">IF(COUNT(AU48,AU49,AU50,AU51,AU52)=0,"n/d",SUM(AU48,AU49,AU50,AU51,AU52))</f>
        <v>234.606</v>
      </c>
      <c r="AV53" s="20" t="n">
        <f aca="false">IF(COUNT(AV48,AV49,AV50,AV51,AV52)=0,"n/d",SUM(AV48,AV49,AV50,AV51,AV52))</f>
        <v>406.978</v>
      </c>
      <c r="AW53" s="20" t="n">
        <f aca="false">IF(COUNT(AW48,AW49,AW50,AW51,AW52)=0,"n/d",SUM(AW48,AW49,AW50,AW51,AW52))</f>
        <v>178.577</v>
      </c>
      <c r="AX53" s="20" t="n">
        <f aca="false">IF(COUNT(AX48,AX49,AX50,AX51,AX52)=0,"n/d",SUM(AX48,AX49,AX50,AX51,AX52))</f>
        <v>218.469</v>
      </c>
      <c r="AY53" s="20" t="n">
        <f aca="false">IF(COUNT(AY48,AY49,AY50,AY51,AY52)=0,"n/d",SUM(AY48,AY49,AY50,AY51,AY52))</f>
        <v>804.024</v>
      </c>
      <c r="AZ53" s="20" t="n">
        <f aca="false">IF(COUNT(AZ48,AZ49,AZ50,AZ51,AZ52)=0,"n/d",SUM(AZ48,AZ49,AZ50,AZ51,AZ52))</f>
        <v>183.123</v>
      </c>
      <c r="BA53" s="20" t="n">
        <f aca="false">IF(COUNT(BA48,BA49,BA50,BA51,BA52)=0,"n/d",SUM(BA48,BA49,BA50,BA51,BA52))</f>
        <v>234.139</v>
      </c>
      <c r="BB53" s="20" t="n">
        <f aca="false">IF(COUNT(BB48,BB49,BB50,BB51,BB52)=0,"n/d",SUM(BB48,BB49,BB50,BB51,BB52))</f>
        <v>417.262</v>
      </c>
      <c r="BC53" s="20" t="n">
        <f aca="false">IF(COUNT(BC48,BC49,BC50,BC51,BC52)=0,"n/d",SUM(BC48,BC49,BC50,BC51,BC52))</f>
        <v>222.679</v>
      </c>
      <c r="BD53" s="20" t="n">
        <f aca="false">IF(COUNT(BD48,BD49,BD50,BD51,BD52)=0,"n/d",SUM(BD48,BD49,BD50,BD51,BD52))</f>
        <v>231.655</v>
      </c>
      <c r="BE53" s="20" t="n">
        <f aca="false">IF(COUNT(BE48,BE49,BE50,BE51,BE52)=0,"n/d",SUM(BE48,BE49,BE50,BE51,BE52))</f>
        <v>871.596</v>
      </c>
      <c r="BF53" s="20" t="n">
        <f aca="false">IF(COUNT(BF48,BF49,BF50,BF51,BF52)=0,"n/d",SUM(BF48,BF49,BF50,BF51,BF52))</f>
        <v>206.03</v>
      </c>
      <c r="BG53" s="20" t="n">
        <f aca="false">IF(COUNT(BG48,BG49,BG50,BG51,BG52)=0,"n/d",SUM(BG48,BG49,BG50,BG51,BG52))</f>
        <v>252.748</v>
      </c>
      <c r="BH53" s="20" t="n">
        <f aca="false">IF(COUNT(BH48,BH49,BH50,BH51,BH52)=0,"n/d",SUM(BH48,BH49,BH50,BH51,BH52))</f>
        <v>458.778</v>
      </c>
      <c r="BI53" s="20" t="n">
        <f aca="false">IF(COUNT(BI48,BI49,BI50,BI51,BI52)=0,"n/d",SUM(BI48,BI49,BI50,BI51,BI52))</f>
        <v>214.193</v>
      </c>
      <c r="BJ53" s="20" t="n">
        <f aca="false">IF(COUNT(BJ48,BJ49,BJ50,BJ51,BJ52)=0,"n/d",SUM(BJ48,BJ49,BJ50,BJ51,BJ52))</f>
        <v>244.788</v>
      </c>
      <c r="BK53" s="20" t="n">
        <f aca="false">IF(COUNT(BK48,BK49,BK50,BK51,BK52)=0,"n/d",SUM(BK48,BK49,BK50,BK51,BK52))</f>
        <v>917.759</v>
      </c>
      <c r="BL53" s="20" t="n">
        <f aca="false">IF(COUNT(BL48,BL49,BL50,BL51,BL52)=0,"n/d",SUM(BL48,BL49,BL50,BL51,BL52))</f>
        <v>244.861</v>
      </c>
      <c r="BM53" s="20" t="n">
        <f aca="false">IF(COUNT(BM48,BM49,BM50,BM51,BM52)=0,"n/d",SUM(BM48,BM49,BM50,BM51,BM52))</f>
        <v>286.502</v>
      </c>
      <c r="BN53" s="20" t="n">
        <f aca="false">IF(COUNT(BN48,BN49,BN50,BN51,BN52)=0,"n/d",SUM(BN48,BN49,BN50,BN51,BN52))</f>
        <v>531.363</v>
      </c>
      <c r="BO53" s="20" t="n">
        <f aca="false">IF(COUNT(BO48,BO49,BO50,BO51,BO52)=0,"n/d",SUM(BO48,BO49,BO50,BO51,BO52))</f>
        <v>246.696</v>
      </c>
      <c r="BP53" s="20" t="n">
        <f aca="false">IF(COUNT(BP48,BP49,BP50,BP51,BP52)=0,"n/d",SUM(BP48,BP49,BP50,BP51,BP52))</f>
        <v>272.523</v>
      </c>
      <c r="BQ53" s="20" t="n">
        <f aca="false">IF(COUNT(BQ48,BQ49,BQ50,BQ51,BQ52)=0,"n/d",SUM(BQ48,BQ49,BQ50,BQ51,BQ52))</f>
        <v>1050.583</v>
      </c>
      <c r="BR53" s="20" t="n">
        <f aca="false">IF(COUNT(BR48,BR49,BR50,BR51,BR52)=0,"n/d",SUM(BR48,BR49,BR50,BR51,BR52))</f>
        <v>343.6</v>
      </c>
      <c r="BS53" s="20" t="n">
        <f aca="false">IF(COUNT(BS48,BS49,BS50,BS51,BS52)=0,"n/d",SUM(BS48,BS49,BS50,BS51,BS52))</f>
        <v>806.1</v>
      </c>
      <c r="BT53" s="20" t="n">
        <f aca="false">IF(COUNT(BT48,BT49,BT50,BT51,BT52)=0,"n/d",SUM(BT48,BT49,BT50,BT51,BT52))</f>
        <v>1149.7</v>
      </c>
      <c r="BU53" s="20" t="n">
        <f aca="false">IF(COUNT(BU48,BU49,BU50,BU51,BU52)=0,"n/d",SUM(BU48,BU49,BU50,BU51,BU52))</f>
        <v>773.8</v>
      </c>
      <c r="BV53" s="20" t="n">
        <f aca="false">IF(COUNT(BV48,BV49,BV50,BV51,BV52)=0,"n/d",SUM(BV48,BV49,BV50,BV51,BV52))</f>
        <v>809.1</v>
      </c>
      <c r="BW53" s="20" t="n">
        <f aca="false">IF(COUNT(BW48,BW49,BW50,BW51,BW52)=0,"n/d",SUM(BW48,BW49,BW50,BW51,BW52))</f>
        <v>2732.5</v>
      </c>
      <c r="BX53" s="20" t="n">
        <f aca="false">IF(COUNT(BX48,BX49,BX50,BX51,BX52)=0,"n/d",SUM(BX48,BX49,BX50,BX51,BX52))</f>
        <v>849.1</v>
      </c>
      <c r="BY53" s="20" t="n">
        <f aca="false">IF(COUNT(BY48,BY49,BY50,BY51,BY52)=0,"n/d",SUM(BY48,BY49,BY50,BY51,BY52))</f>
        <v>859.1</v>
      </c>
      <c r="BZ53" s="20" t="n">
        <f aca="false">IF(COUNT(BZ48,BZ49,BZ50,BZ51,BZ52)=0,"n/d",SUM(BZ48,BZ49,BZ50,BZ51,BZ52))</f>
        <v>1708.2</v>
      </c>
      <c r="CA53" s="20" t="n">
        <f aca="false">IF(COUNT(CA48,CA49,CA50,CA51,CA52)=0,"n/d",SUM(CA48,CA49,CA50,CA51,CA52))</f>
        <v>779.9</v>
      </c>
      <c r="CB53" s="20" t="n">
        <f aca="false">IF(COUNT(CB48,CB49,CB50,CB51,CB52)=0,"n/d",SUM(CB48,CB49,CB50,CB51,CB52))</f>
        <v>875.5</v>
      </c>
      <c r="CC53" s="20" t="n">
        <f aca="false">IF(COUNT(CC48,CC49,CC50,CC51,CC52)=0,"n/d",SUM(CC48,CC49,CC50,CC51,CC52))</f>
        <v>3363.6</v>
      </c>
      <c r="CD53" s="20" t="n">
        <f aca="false">IF(COUNT(CD48,CD49,CD50,CD51,CD52)=0,"n/d",SUM(CD48,CD49,CD50,CD51,CD52))</f>
        <v>852.5</v>
      </c>
      <c r="CE53" s="20" t="n">
        <f aca="false">IF(COUNT(CE48,CE49,CE50,CE51,CE52)=0,"n/d",SUM(CE48,CE49,CE50,CE51,CE52))</f>
        <v>887.2</v>
      </c>
      <c r="CF53" s="20" t="n">
        <f aca="false">IF(COUNT(CF48,CF49,CF50,CF51,CF52)=0,"n/d",SUM(CF48,CF49,CF50,CF51,CF52))</f>
        <v>1739.7</v>
      </c>
      <c r="CG53" s="20" t="n">
        <f aca="false">IF(COUNT(CG48,CG49,CG50,CG51,CG52)=0,"n/d",SUM(CG48,CG49,CG50,CG51,CG52))</f>
        <v>845</v>
      </c>
      <c r="CH53" s="20" t="n">
        <f aca="false">IF(COUNT(CH48,CH49,CH50,CH51,CH52)=0,"n/d",SUM(CH48,CH49,CH50,CH51,CH52))</f>
        <v>917.5</v>
      </c>
      <c r="CI53" s="20" t="n">
        <f aca="false">IF(COUNT(CI48,CI49,CI50,CI51,CI52)=0,"n/d",SUM(CI48,CI49,CI50,CI51,CI52))</f>
        <v>3502.2</v>
      </c>
      <c r="CJ53" s="20" t="n">
        <f aca="false">IF(COUNT(CJ48,CJ49,CJ50,CJ51,CJ52)=0,"n/d",SUM(CJ48,CJ49,CJ50,CJ51,CJ52))</f>
        <v>897.7</v>
      </c>
      <c r="CK53" s="20" t="n">
        <f aca="false">IF(COUNT(CK48,CK49,CK50,CK51,CK52)=0,"n/d",SUM(CK48,CK49,CK50,CK51,CK52))</f>
        <v>933.4</v>
      </c>
      <c r="CL53" s="20" t="n">
        <f aca="false">IF(COUNT(CL48,CL49,CL50,CL51,CL52)=0,"n/d",SUM(CL48,CL49,CL50,CL51,CL52))</f>
        <v>1831.1</v>
      </c>
      <c r="CM53" s="22" t="n">
        <f aca="false">CM39*CM54</f>
        <v>852.327378138802</v>
      </c>
      <c r="CN53" s="22" t="n">
        <f aca="false">CN39*CN54</f>
        <v>937.10481754328</v>
      </c>
      <c r="CO53" s="22" t="n">
        <f aca="false">SUM(CJ53,CK53,CM53,CN53)</f>
        <v>3620.53219568208</v>
      </c>
      <c r="CP53" s="22" t="n">
        <f aca="false">CP39*CP54</f>
        <v>3758.60061780445</v>
      </c>
      <c r="CQ53" s="22" t="n">
        <f aca="false">CQ39*CQ54</f>
        <v>3938.07093825832</v>
      </c>
      <c r="CR53" s="22" t="n">
        <f aca="false">CR39*CR54</f>
        <v>4107.0042357815</v>
      </c>
      <c r="CS53" s="22" t="n">
        <f aca="false">CS39*CS54</f>
        <v>4283.21394093237</v>
      </c>
      <c r="CT53" s="23" t="s">
        <v>161</v>
      </c>
      <c r="CV53" s="24" t="n">
        <f aca="false">IFERROR((CS53/CI53)^(1/5)-1,"n/m")</f>
        <v>0.0410839825131726</v>
      </c>
      <c r="CW53" s="24" t="n">
        <f aca="false">IFERROR((CI53/BE53)^(1/5)-1,"n/m")</f>
        <v>0.320702935206418</v>
      </c>
      <c r="CX53" s="24" t="n">
        <f aca="false">IFERROR((CI53/AA53)^(1/10)-1,"n/m")</f>
        <v>0.211099001801664</v>
      </c>
      <c r="CY53" s="24" t="str">
        <f aca="false">IFERROR((CI53/C53)^(1/19)-1,"n/m")</f>
        <v>n/m</v>
      </c>
    </row>
    <row r="54" customFormat="false" ht="15" hidden="false" customHeight="true" outlineLevel="0" collapsed="false">
      <c r="B54" s="30" t="s">
        <v>162</v>
      </c>
      <c r="C54" s="44" t="n">
        <f aca="false">IFERROR(C93/C39,"")</f>
        <v>0.094764726354757</v>
      </c>
      <c r="D54" s="44" t="n">
        <f aca="false">IFERROR(D93/D39,"")</f>
        <v>0.0978840935288216</v>
      </c>
      <c r="E54" s="44" t="n">
        <f aca="false">IFERROR(E93/E39,"")</f>
        <v>0.0994679240628399</v>
      </c>
      <c r="F54" s="44" t="n">
        <f aca="false">IFERROR(F93/F39,"")</f>
        <v>0.10802082805344</v>
      </c>
      <c r="G54" s="44" t="n">
        <f aca="false">IFERROR(G93/G39,"")</f>
        <v>0.109028055956319</v>
      </c>
      <c r="H54" s="44" t="n">
        <f aca="false">IFERROR(H93/H39,"")</f>
        <v>0.106642173815067</v>
      </c>
      <c r="I54" s="44" t="n">
        <f aca="false">IFERROR(I93/I39,"")</f>
        <v>0.112066532394778</v>
      </c>
      <c r="J54" s="44" t="n">
        <f aca="false">IFERROR(J93/J39,"")</f>
        <v>0.120728263814052</v>
      </c>
      <c r="K54" s="44" t="n">
        <f aca="false">IFERROR(K93/K39,"")</f>
        <v>0.119598263466245</v>
      </c>
      <c r="L54" s="44" t="n">
        <f aca="false">IFERROR(L93/L39,"")</f>
        <v>0.120096231288723</v>
      </c>
      <c r="M54" s="44" t="n">
        <f aca="false">IFERROR(M93/M39,"")</f>
        <v>0.13398510713743</v>
      </c>
      <c r="N54" s="44" t="n">
        <f aca="false">IFERROR(N93/N39,"")</f>
        <v>0.118236601149361</v>
      </c>
      <c r="O54" s="44" t="n">
        <f aca="false">IFERROR(O93/O39,"")</f>
        <v>0.122428308260662</v>
      </c>
      <c r="P54" s="44" t="n">
        <f aca="false">IFERROR(P93/P39,"")</f>
        <v>0.115256781512713</v>
      </c>
      <c r="Q54" s="44" t="n">
        <f aca="false">IFERROR(Q93/Q39,"")</f>
        <v>0.115387681784309</v>
      </c>
      <c r="R54" s="44" t="n">
        <f aca="false">IFERROR(R93/R39,"")</f>
        <v>0.115333968792769</v>
      </c>
      <c r="S54" s="44" t="n">
        <f aca="false">IFERROR(S93/S39,"")</f>
        <v>0.115255120219738</v>
      </c>
      <c r="T54" s="44" t="n">
        <f aca="false">IFERROR(T93/T39,"")</f>
        <v>0.111552356459639</v>
      </c>
      <c r="U54" s="44" t="n">
        <f aca="false">IFERROR(U93/U39,"")</f>
        <v>0.114203180380194</v>
      </c>
      <c r="V54" s="44" t="n">
        <f aca="false">IFERROR(V93/V39,"")</f>
        <v>0.120994892005848</v>
      </c>
      <c r="W54" s="44" t="n">
        <f aca="false">IFERROR(W93/W39,"")</f>
        <v>0.123182492346502</v>
      </c>
      <c r="X54" s="44" t="n">
        <f aca="false">IFERROR(X93/X39,"")</f>
        <v>0.122239912992074</v>
      </c>
      <c r="Y54" s="44" t="n">
        <f aca="false">IFERROR(Y93/Y39,"")</f>
        <v>0.122210061609218</v>
      </c>
      <c r="Z54" s="44" t="n">
        <f aca="false">IFERROR(Z93/Z39,"")</f>
        <v>0.119308048198119</v>
      </c>
      <c r="AA54" s="44" t="n">
        <f aca="false">IFERROR(AA93/AA39,"")</f>
        <v>0.121449936258647</v>
      </c>
      <c r="AB54" s="44" t="n">
        <f aca="false">IFERROR(AB93/AB39,"")</f>
        <v>0.129367735964123</v>
      </c>
      <c r="AC54" s="44" t="n">
        <f aca="false">IFERROR(AC93/AC39,"")</f>
        <v>0.124486353182063</v>
      </c>
      <c r="AD54" s="44" t="n">
        <f aca="false">IFERROR(AD93/AD39,"")</f>
        <v>0.126655119959714</v>
      </c>
      <c r="AE54" s="44" t="n">
        <f aca="false">IFERROR(AE93/AE39,"")</f>
        <v>0.129023215488873</v>
      </c>
      <c r="AF54" s="44" t="n">
        <f aca="false">IFERROR(AF93/AF39,"")</f>
        <v>0.141076289563532</v>
      </c>
      <c r="AG54" s="44" t="n">
        <f aca="false">IFERROR(AG93/AG39,"")</f>
        <v>0.130661862155594</v>
      </c>
      <c r="AH54" s="44" t="n">
        <f aca="false">IFERROR(AH93/AH39,"")</f>
        <v>0.137177705384641</v>
      </c>
      <c r="AI54" s="44" t="n">
        <f aca="false">IFERROR(AI93/AI39,"")</f>
        <v>0.137723448120811</v>
      </c>
      <c r="AJ54" s="44" t="n">
        <f aca="false">IFERROR(AJ93/AJ39,"")</f>
        <v>0.137495542612623</v>
      </c>
      <c r="AK54" s="44" t="n">
        <f aca="false">IFERROR(AK93/AK39,"")</f>
        <v>0.143171637617946</v>
      </c>
      <c r="AL54" s="44" t="n">
        <f aca="false">IFERROR(AL93/AL39,"")</f>
        <v>0.140818977367151</v>
      </c>
      <c r="AM54" s="44" t="n">
        <f aca="false">IFERROR(AM93/AM39,"")</f>
        <v>0.13975369641149</v>
      </c>
      <c r="AN54" s="44" t="n">
        <f aca="false">IFERROR(AN93/AN39,"")</f>
        <v>0.151644852469863</v>
      </c>
      <c r="AO54" s="44" t="n">
        <f aca="false">IFERROR(AO93/AO39,"")</f>
        <v>0.150269347145145</v>
      </c>
      <c r="AP54" s="44" t="n">
        <f aca="false">IFERROR(AP93/AP39,"")</f>
        <v>0.150886466980323</v>
      </c>
      <c r="AQ54" s="44" t="n">
        <f aca="false">IFERROR(AQ93/AQ39,"")</f>
        <v>0.155252846039212</v>
      </c>
      <c r="AR54" s="44" t="n">
        <f aca="false">IFERROR(AR93/AR39,"")</f>
        <v>0.147859546924599</v>
      </c>
      <c r="AS54" s="44" t="n">
        <f aca="false">IFERROR(AS93/AS39,"")</f>
        <v>0.150985110285416</v>
      </c>
      <c r="AT54" s="44" t="n">
        <f aca="false">IFERROR(AT93/AT39,"")</f>
        <v>0.146739412657564</v>
      </c>
      <c r="AU54" s="44" t="n">
        <f aca="false">IFERROR(AU93/AU39,"")</f>
        <v>0.156638226361152</v>
      </c>
      <c r="AV54" s="44" t="n">
        <f aca="false">IFERROR(AV93/AV39,"")</f>
        <v>0.152287162508541</v>
      </c>
      <c r="AW54" s="44" t="n">
        <f aca="false">IFERROR(AW93/AW39,"")</f>
        <v>0.164702312493256</v>
      </c>
      <c r="AX54" s="44" t="n">
        <f aca="false">IFERROR(AX93/AX39,"")</f>
        <v>0.157863817537004</v>
      </c>
      <c r="AY54" s="44" t="n">
        <f aca="false">IFERROR(AY93/AY39,"")</f>
        <v>0.156407040674538</v>
      </c>
      <c r="AZ54" s="44" t="n">
        <f aca="false">IFERROR(AZ93/AZ39,"")</f>
        <v>0.159650399947691</v>
      </c>
      <c r="BA54" s="44" t="n">
        <f aca="false">IFERROR(BA93/BA39,"")</f>
        <v>0.156721433056088</v>
      </c>
      <c r="BB54" s="44" t="n">
        <f aca="false">IFERROR(BB93/BB39,"")</f>
        <v>0.157993522925157</v>
      </c>
      <c r="BC54" s="44" t="n">
        <f aca="false">IFERROR(BC93/BC39,"")</f>
        <v>0.168520159621123</v>
      </c>
      <c r="BD54" s="44" t="n">
        <f aca="false">IFERROR(BD93/BD39,"")</f>
        <v>0.159890863813058</v>
      </c>
      <c r="BE54" s="44" t="n">
        <f aca="false">IFERROR(BE93/BE39,"")</f>
        <v>0.161072054387755</v>
      </c>
      <c r="BF54" s="44" t="n">
        <f aca="false">IFERROR(BF93/BF39,"")</f>
        <v>0.161650604649995</v>
      </c>
      <c r="BG54" s="44" t="n">
        <f aca="false">IFERROR(BG93/BG39,"")</f>
        <v>0.165449758516721</v>
      </c>
      <c r="BH54" s="44" t="n">
        <f aca="false">IFERROR(BH93/BH39,"")</f>
        <v>0.163721758159091</v>
      </c>
      <c r="BI54" s="44" t="n">
        <f aca="false">IFERROR(BI93/BI39,"")</f>
        <v>0.168621650089982</v>
      </c>
      <c r="BJ54" s="44" t="n">
        <f aca="false">IFERROR(BJ93/BJ39,"")</f>
        <v>0.167491850793573</v>
      </c>
      <c r="BK54" s="44" t="n">
        <f aca="false">IFERROR(BK93/BK39,"")</f>
        <v>0.165842147290958</v>
      </c>
      <c r="BL54" s="44" t="n">
        <f aca="false">IFERROR(BL93/BL39,"")</f>
        <v>0.170148112889608</v>
      </c>
      <c r="BM54" s="44" t="n">
        <f aca="false">IFERROR(BM93/BM39,"")</f>
        <v>0.170103949708955</v>
      </c>
      <c r="BN54" s="44" t="n">
        <f aca="false">IFERROR(BN93/BN39,"")</f>
        <v>0.170124297996306</v>
      </c>
      <c r="BO54" s="44" t="n">
        <f aca="false">IFERROR(BO93/BO39,"")</f>
        <v>0.181628899710066</v>
      </c>
      <c r="BP54" s="44" t="n">
        <f aca="false">IFERROR(BP93/BP39,"")</f>
        <v>0.17647401647513</v>
      </c>
      <c r="BQ54" s="44" t="n">
        <f aca="false">IFERROR(BQ93/BQ39,"")</f>
        <v>0.174344897491474</v>
      </c>
      <c r="BR54" s="44" t="n">
        <f aca="false">IFERROR(BR93/BR39,"")</f>
        <v>0.180918281381634</v>
      </c>
      <c r="BS54" s="44" t="n">
        <f aca="false">IFERROR(BS93/BS39,"")</f>
        <v>0.194522200772201</v>
      </c>
      <c r="BT54" s="44" t="n">
        <f aca="false">IFERROR(BT93/BT39,"")</f>
        <v>0.190246889065396</v>
      </c>
      <c r="BU54" s="44" t="n">
        <f aca="false">IFERROR(BU93/BU39,"")</f>
        <v>0.19966971151365</v>
      </c>
      <c r="BV54" s="44" t="n">
        <f aca="false">IFERROR(BV93/BV39,"")</f>
        <v>0.20166999002991</v>
      </c>
      <c r="BW54" s="44" t="n">
        <f aca="false">IFERROR(BW93/BW39,"")</f>
        <v>0.196150919558382</v>
      </c>
      <c r="BX54" s="44" t="n">
        <f aca="false">IFERROR(BX93/BX39,"")</f>
        <v>0.208245450532202</v>
      </c>
      <c r="BY54" s="44" t="n">
        <f aca="false">IFERROR(BY93/BY39,"")</f>
        <v>0.209327258107746</v>
      </c>
      <c r="BZ54" s="44" t="n">
        <f aca="false">IFERROR(BZ93/BZ39,"")</f>
        <v>0.208788119537982</v>
      </c>
      <c r="CA54" s="44" t="n">
        <f aca="false">IFERROR(CA93/CA39,"")</f>
        <v>0.21531113687814</v>
      </c>
      <c r="CB54" s="44" t="n">
        <f aca="false">IFERROR(CB93/CB39,"")</f>
        <v>0.213474105139959</v>
      </c>
      <c r="CC54" s="44" t="n">
        <f aca="false">IFERROR(CC93/CC39,"")</f>
        <v>0.211483325788441</v>
      </c>
      <c r="CD54" s="44" t="n">
        <f aca="false">IFERROR(CD93/CD39,"")</f>
        <v>0.222648802528141</v>
      </c>
      <c r="CE54" s="44" t="n">
        <f aca="false">IFERROR(CE93/CE39,"")</f>
        <v>0.211333698577928</v>
      </c>
      <c r="CF54" s="44" t="n">
        <f aca="false">IFERROR(CF93/CF39,"")</f>
        <v>0.21673103276442</v>
      </c>
      <c r="CG54" s="44" t="n">
        <f aca="false">IFERROR(CG93/CG39,"")</f>
        <v>0.217011659561354</v>
      </c>
      <c r="CH54" s="44" t="n">
        <f aca="false">IFERROR(CH93/CH39,"")</f>
        <v>0.214314078157483</v>
      </c>
      <c r="CI54" s="44" t="n">
        <f aca="false">IFERROR(CI93/CI39,"")</f>
        <v>0.216159833105994</v>
      </c>
      <c r="CJ54" s="44" t="n">
        <f aca="false">IFERROR(CJ93/CJ39,"")</f>
        <v>0.206800433089912</v>
      </c>
      <c r="CK54" s="44" t="n">
        <f aca="false">IFERROR(CK93/CK39,"")</f>
        <v>0.199756029704454</v>
      </c>
      <c r="CL54" s="44" t="n">
        <f aca="false">IFERROR(CL93/CL39,"")</f>
        <v>0.203148575485932</v>
      </c>
      <c r="CM54" s="35" t="n">
        <f aca="false">$CL$54+$CO$55</f>
        <v>0.203148575485932</v>
      </c>
      <c r="CN54" s="35" t="n">
        <f aca="false">$CL$54+$CO$55</f>
        <v>0.203148575485932</v>
      </c>
      <c r="CO54" s="35" t="n">
        <f aca="false">IFERROR(CO93/CO39,"")</f>
        <v>0.203148575485932</v>
      </c>
      <c r="CP54" s="36" t="n">
        <v>0.2</v>
      </c>
      <c r="CQ54" s="36" t="n">
        <v>0.2</v>
      </c>
      <c r="CR54" s="36" t="n">
        <v>0.2</v>
      </c>
      <c r="CS54" s="36" t="n">
        <v>0.2</v>
      </c>
      <c r="CT54" s="23" t="s">
        <v>163</v>
      </c>
      <c r="CV54" s="7"/>
      <c r="CW54" s="7"/>
      <c r="CX54" s="7"/>
      <c r="CY54" s="7"/>
    </row>
    <row r="55" customFormat="false" ht="15" hidden="false" customHeight="true" outlineLevel="0" collapsed="false">
      <c r="B55" s="30" t="s">
        <v>164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35"/>
      <c r="CN55" s="35"/>
      <c r="CO55" s="36" t="n">
        <v>0</v>
      </c>
      <c r="CP55" s="35"/>
      <c r="CQ55" s="35"/>
      <c r="CR55" s="35"/>
      <c r="CS55" s="35"/>
      <c r="CT55" s="23"/>
      <c r="CV55" s="7"/>
      <c r="CW55" s="7"/>
      <c r="CX55" s="7"/>
      <c r="CY55" s="7"/>
    </row>
    <row r="56" customFormat="false" ht="15" hidden="false" customHeight="true" outlineLevel="0" collapsed="false">
      <c r="B56" s="13" t="s">
        <v>165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40" t="n">
        <v>76.048</v>
      </c>
      <c r="AI56" s="40" t="n">
        <v>79.864</v>
      </c>
      <c r="AJ56" s="31" t="n">
        <f aca="false">AH56+AI56</f>
        <v>155.912</v>
      </c>
      <c r="AK56" s="40" t="n">
        <v>81.463</v>
      </c>
      <c r="AL56" s="40" t="n">
        <v>109.399</v>
      </c>
      <c r="AM56" s="40" t="n">
        <v>346.774</v>
      </c>
      <c r="AN56" s="40" t="n">
        <v>84.162</v>
      </c>
      <c r="AO56" s="40" t="n">
        <v>94.184</v>
      </c>
      <c r="AP56" s="31" t="n">
        <f aca="false">AN56+AO56</f>
        <v>178.346</v>
      </c>
      <c r="AQ56" s="40" t="n">
        <v>83.972</v>
      </c>
      <c r="AR56" s="40" t="n">
        <v>158.193</v>
      </c>
      <c r="AS56" s="40" t="n">
        <v>420.511</v>
      </c>
      <c r="AT56" s="40" t="n">
        <v>131.057</v>
      </c>
      <c r="AU56" s="40" t="n">
        <v>158.616</v>
      </c>
      <c r="AV56" s="31" t="n">
        <f aca="false">AT56+AU56</f>
        <v>289.673</v>
      </c>
      <c r="AW56" s="40" t="n">
        <v>111.219</v>
      </c>
      <c r="AX56" s="40" t="n">
        <v>113.725</v>
      </c>
      <c r="AY56" s="40" t="n">
        <v>514.617</v>
      </c>
      <c r="AZ56" s="40" t="n">
        <v>90.132</v>
      </c>
      <c r="BA56" s="40" t="n">
        <v>154.911</v>
      </c>
      <c r="BB56" s="31" t="n">
        <f aca="false">AZ56+BA56</f>
        <v>245.043</v>
      </c>
      <c r="BC56" s="40" t="n">
        <v>108.863</v>
      </c>
      <c r="BD56" s="40" t="n">
        <v>151.758</v>
      </c>
      <c r="BE56" s="40" t="n">
        <v>505.664</v>
      </c>
      <c r="BF56" s="40" t="n">
        <v>125.525</v>
      </c>
      <c r="BG56" s="40" t="n">
        <v>143.613</v>
      </c>
      <c r="BH56" s="31" t="n">
        <f aca="false">BF56+BG56</f>
        <v>269.138</v>
      </c>
      <c r="BI56" s="40" t="n">
        <v>115.489</v>
      </c>
      <c r="BJ56" s="40" t="n">
        <v>114.585</v>
      </c>
      <c r="BK56" s="40" t="n">
        <v>499.212</v>
      </c>
      <c r="BL56" s="40" t="n">
        <v>149.06</v>
      </c>
      <c r="BM56" s="40" t="n">
        <v>198.044</v>
      </c>
      <c r="BN56" s="31" t="n">
        <f aca="false">BL56+BM56</f>
        <v>347.104</v>
      </c>
      <c r="BO56" s="40" t="n">
        <v>164.783</v>
      </c>
      <c r="BP56" s="40" t="n">
        <v>171.338</v>
      </c>
      <c r="BQ56" s="40" t="n">
        <v>683.225</v>
      </c>
      <c r="BR56" s="40" t="n">
        <v>168.8</v>
      </c>
      <c r="BS56" s="40" t="n">
        <v>300.4</v>
      </c>
      <c r="BT56" s="31" t="n">
        <f aca="false">BR56+BS56</f>
        <v>469.2</v>
      </c>
      <c r="BU56" s="40" t="n">
        <v>246</v>
      </c>
      <c r="BV56" s="40" t="n">
        <v>231.8</v>
      </c>
      <c r="BW56" s="40" t="n">
        <v>947.1</v>
      </c>
      <c r="BX56" s="40" t="n">
        <v>215.6</v>
      </c>
      <c r="BY56" s="40" t="n">
        <v>237</v>
      </c>
      <c r="BZ56" s="31" t="n">
        <f aca="false">BX56+BY56</f>
        <v>452.6</v>
      </c>
      <c r="CA56" s="40" t="n">
        <v>201.9</v>
      </c>
      <c r="CB56" s="40" t="n">
        <v>266.1</v>
      </c>
      <c r="CC56" s="40" t="n">
        <v>920.6</v>
      </c>
      <c r="CD56" s="40" t="n">
        <v>256.1</v>
      </c>
      <c r="CE56" s="40" t="n">
        <v>298.8</v>
      </c>
      <c r="CF56" s="31" t="n">
        <f aca="false">CD56+CE56</f>
        <v>554.9</v>
      </c>
      <c r="CG56" s="40" t="n">
        <v>247.7</v>
      </c>
      <c r="CH56" s="40" t="n">
        <v>285.9</v>
      </c>
      <c r="CI56" s="40" t="n">
        <v>1088.5</v>
      </c>
      <c r="CJ56" s="40" t="n">
        <v>336.9</v>
      </c>
      <c r="CK56" s="40" t="n">
        <v>383.7</v>
      </c>
      <c r="CL56" s="31" t="n">
        <f aca="false">CJ56+CK56</f>
        <v>720.6</v>
      </c>
      <c r="CM56" s="32" t="n">
        <f aca="false">CM39*CM57</f>
        <v>308.659421606003</v>
      </c>
      <c r="CN56" s="32" t="n">
        <f aca="false">CN39*CN57</f>
        <v>356.260511252145</v>
      </c>
      <c r="CO56" s="32" t="n">
        <f aca="false">SUM(CJ56,CK56,CM56,CN56)</f>
        <v>1385.51993285815</v>
      </c>
      <c r="CP56" s="32" t="n">
        <f aca="false">CP39*CP57</f>
        <v>1503.44024712178</v>
      </c>
      <c r="CQ56" s="32" t="n">
        <f aca="false">CQ39*CQ57</f>
        <v>1575.22837530333</v>
      </c>
      <c r="CR56" s="32" t="n">
        <f aca="false">CR39*CR57</f>
        <v>1642.8016943126</v>
      </c>
      <c r="CS56" s="32" t="n">
        <f aca="false">CS39*CS57</f>
        <v>1713.28557637295</v>
      </c>
      <c r="CT56" s="23" t="s">
        <v>166</v>
      </c>
      <c r="CV56" s="24" t="n">
        <f aca="false">IFERROR((CS56/CI56)^(1/5)-1,"n/m")</f>
        <v>0.094965069764432</v>
      </c>
      <c r="CW56" s="24" t="n">
        <f aca="false">IFERROR((CI56/BE56)^(1/5)-1,"n/m")</f>
        <v>0.16571740143279</v>
      </c>
      <c r="CX56" s="24" t="str">
        <f aca="false">IFERROR((CI56/AA56)^(1/10)-1,"n/m")</f>
        <v>n/m</v>
      </c>
      <c r="CY56" s="24" t="str">
        <f aca="false">IFERROR((CI56/C56)^(1/19)-1,"n/m")</f>
        <v>n/m</v>
      </c>
    </row>
    <row r="57" customFormat="false" ht="15" hidden="false" customHeight="true" outlineLevel="0" collapsed="false">
      <c r="B57" s="30" t="s">
        <v>167</v>
      </c>
      <c r="C57" s="44" t="n">
        <f aca="false">IFERROR(C56/C39,"")</f>
        <v>0</v>
      </c>
      <c r="D57" s="44" t="n">
        <f aca="false">IFERROR(D56/D39,"")</f>
        <v>0</v>
      </c>
      <c r="E57" s="44" t="n">
        <f aca="false">IFERROR(E56/E39,"")</f>
        <v>0</v>
      </c>
      <c r="F57" s="44" t="n">
        <f aca="false">IFERROR(F56/F39,"")</f>
        <v>0</v>
      </c>
      <c r="G57" s="44" t="n">
        <f aca="false">IFERROR(G56/G39,"")</f>
        <v>0</v>
      </c>
      <c r="H57" s="44" t="n">
        <f aca="false">IFERROR(H56/H39,"")</f>
        <v>0</v>
      </c>
      <c r="I57" s="44" t="n">
        <f aca="false">IFERROR(I56/I39,"")</f>
        <v>0</v>
      </c>
      <c r="J57" s="44" t="n">
        <f aca="false">IFERROR(J56/J39,"")</f>
        <v>0</v>
      </c>
      <c r="K57" s="44" t="n">
        <f aca="false">IFERROR(K56/K39,"")</f>
        <v>0</v>
      </c>
      <c r="L57" s="44" t="n">
        <f aca="false">IFERROR(L56/L39,"")</f>
        <v>0</v>
      </c>
      <c r="M57" s="44" t="n">
        <f aca="false">IFERROR(M56/M39,"")</f>
        <v>0</v>
      </c>
      <c r="N57" s="44" t="n">
        <f aca="false">IFERROR(N56/N39,"")</f>
        <v>0</v>
      </c>
      <c r="O57" s="44" t="n">
        <f aca="false">IFERROR(O56/O39,"")</f>
        <v>0</v>
      </c>
      <c r="P57" s="44" t="n">
        <f aca="false">IFERROR(P56/P39,"")</f>
        <v>0</v>
      </c>
      <c r="Q57" s="44" t="n">
        <f aca="false">IFERROR(Q56/Q39,"")</f>
        <v>0</v>
      </c>
      <c r="R57" s="44" t="n">
        <f aca="false">IFERROR(R56/R39,"")</f>
        <v>0</v>
      </c>
      <c r="S57" s="44" t="n">
        <f aca="false">IFERROR(S56/S39,"")</f>
        <v>0</v>
      </c>
      <c r="T57" s="44" t="n">
        <f aca="false">IFERROR(T56/T39,"")</f>
        <v>0</v>
      </c>
      <c r="U57" s="44" t="n">
        <f aca="false">IFERROR(U56/U39,"")</f>
        <v>0</v>
      </c>
      <c r="V57" s="44" t="n">
        <f aca="false">IFERROR(V56/V39,"")</f>
        <v>0</v>
      </c>
      <c r="W57" s="44" t="n">
        <f aca="false">IFERROR(W56/W39,"")</f>
        <v>0</v>
      </c>
      <c r="X57" s="44" t="n">
        <f aca="false">IFERROR(X56/X39,"")</f>
        <v>0</v>
      </c>
      <c r="Y57" s="44" t="n">
        <f aca="false">IFERROR(Y56/Y39,"")</f>
        <v>0</v>
      </c>
      <c r="Z57" s="44" t="n">
        <f aca="false">IFERROR(Z56/Z39,"")</f>
        <v>0</v>
      </c>
      <c r="AA57" s="44" t="n">
        <f aca="false">IFERROR(AA56/AA39,"")</f>
        <v>0</v>
      </c>
      <c r="AB57" s="44" t="n">
        <f aca="false">IFERROR(AB56/AB39,"")</f>
        <v>0</v>
      </c>
      <c r="AC57" s="44" t="n">
        <f aca="false">IFERROR(AC56/AC39,"")</f>
        <v>0</v>
      </c>
      <c r="AD57" s="44" t="n">
        <f aca="false">IFERROR(AD56/AD39,"")</f>
        <v>0</v>
      </c>
      <c r="AE57" s="44" t="n">
        <f aca="false">IFERROR(AE56/AE39,"")</f>
        <v>0</v>
      </c>
      <c r="AF57" s="44" t="n">
        <f aca="false">IFERROR(AF56/AF39,"")</f>
        <v>0</v>
      </c>
      <c r="AG57" s="44" t="n">
        <f aca="false">IFERROR(AG56/AG39,"")</f>
        <v>0</v>
      </c>
      <c r="AH57" s="44" t="n">
        <f aca="false">IFERROR(AH56/AH39,"")</f>
        <v>0.0845532071024338</v>
      </c>
      <c r="AI57" s="44" t="n">
        <f aca="false">IFERROR(AI56/AI39,"")</f>
        <v>0.0636712540201129</v>
      </c>
      <c r="AJ57" s="44" t="n">
        <f aca="false">IFERROR(AJ56/AJ39,"")</f>
        <v>0.0723916854867467</v>
      </c>
      <c r="AK57" s="44" t="n">
        <f aca="false">IFERROR(AK56/AK39,"")</f>
        <v>0.0799188087768144</v>
      </c>
      <c r="AL57" s="44" t="n">
        <f aca="false">IFERROR(AL56/AL39,"")</f>
        <v>0.0844824284209518</v>
      </c>
      <c r="AM57" s="44" t="n">
        <f aca="false">IFERROR(AM56/AM39,"")</f>
        <v>0.077613114824545</v>
      </c>
      <c r="AN57" s="44" t="n">
        <f aca="false">IFERROR(AN56/AN39,"")</f>
        <v>0.0725089427868412</v>
      </c>
      <c r="AO57" s="44" t="n">
        <f aca="false">IFERROR(AO56/AO39,"")</f>
        <v>0.0660286088451303</v>
      </c>
      <c r="AP57" s="44" t="n">
        <f aca="false">IFERROR(AP56/AP39,"")</f>
        <v>0.0689360077058541</v>
      </c>
      <c r="AQ57" s="44" t="n">
        <f aca="false">IFERROR(AQ56/AQ39,"")</f>
        <v>0.0807868181219076</v>
      </c>
      <c r="AR57" s="44" t="n">
        <f aca="false">IFERROR(AR56/AR39,"")</f>
        <v>0.11826506002479</v>
      </c>
      <c r="AS57" s="44" t="n">
        <f aca="false">IFERROR(AS56/AS39,"")</f>
        <v>0.0847093116364988</v>
      </c>
      <c r="AT57" s="44" t="n">
        <f aca="false">IFERROR(AT56/AT39,"")</f>
        <v>0.111568161909489</v>
      </c>
      <c r="AU57" s="44" t="n">
        <f aca="false">IFERROR(AU56/AU39,"")</f>
        <v>0.105902359327982</v>
      </c>
      <c r="AV57" s="44" t="n">
        <f aca="false">IFERROR(AV56/AV39,"")</f>
        <v>0.108392785913088</v>
      </c>
      <c r="AW57" s="44" t="n">
        <f aca="false">IFERROR(AW56/AW39,"")</f>
        <v>0.102577747936114</v>
      </c>
      <c r="AX57" s="44" t="n">
        <f aca="false">IFERROR(AX56/AX39,"")</f>
        <v>0.0821767053879304</v>
      </c>
      <c r="AY57" s="44" t="n">
        <f aca="false">IFERROR(AY56/AY39,"")</f>
        <v>0.100108606273953</v>
      </c>
      <c r="AZ57" s="44" t="n">
        <f aca="false">IFERROR(AZ56/AZ39,"")</f>
        <v>0.0785789324557006</v>
      </c>
      <c r="BA57" s="44" t="n">
        <f aca="false">IFERROR(BA56/BA39,"")</f>
        <v>0.103690004297241</v>
      </c>
      <c r="BB57" s="44" t="n">
        <f aca="false">IFERROR(BB56/BB39,"")</f>
        <v>0.0927839267370363</v>
      </c>
      <c r="BC57" s="44" t="n">
        <f aca="false">IFERROR(BC56/BC39,"")</f>
        <v>0.0823859013954361</v>
      </c>
      <c r="BD57" s="44" t="n">
        <f aca="false">IFERROR(BD56/BD39,"")</f>
        <v>0.10474506360986</v>
      </c>
      <c r="BE57" s="44" t="n">
        <f aca="false">IFERROR(BE56/BE39,"")</f>
        <v>0.0934473532576215</v>
      </c>
      <c r="BF57" s="44" t="n">
        <f aca="false">IFERROR(BF56/BF39,"")</f>
        <v>0.0984865900533448</v>
      </c>
      <c r="BG57" s="44" t="n">
        <f aca="false">IFERROR(BG56/BG39,"")</f>
        <v>0.0940095912524008</v>
      </c>
      <c r="BH57" s="44" t="n">
        <f aca="false">IFERROR(BH56/BH39,"")</f>
        <v>0.0960459013889538</v>
      </c>
      <c r="BI57" s="44" t="n">
        <f aca="false">IFERROR(BI56/BI39,"")</f>
        <v>0.0909177505672076</v>
      </c>
      <c r="BJ57" s="44" t="n">
        <f aca="false">IFERROR(BJ56/BJ39,"")</f>
        <v>0.0784027555402288</v>
      </c>
      <c r="BK57" s="44" t="n">
        <f aca="false">IFERROR(BK56/BK39,"")</f>
        <v>0.0902092924541343</v>
      </c>
      <c r="BL57" s="44" t="n">
        <f aca="false">IFERROR(BL56/BL39,"")</f>
        <v>0.10357826565817</v>
      </c>
      <c r="BM57" s="44" t="n">
        <f aca="false">IFERROR(BM56/BM39,"")</f>
        <v>0.117584053919904</v>
      </c>
      <c r="BN57" s="44" t="n">
        <f aca="false">IFERROR(BN56/BN39,"")</f>
        <v>0.111130854673189</v>
      </c>
      <c r="BO57" s="44" t="n">
        <f aca="false">IFERROR(BO56/BO39,"")</f>
        <v>0.121320795557787</v>
      </c>
      <c r="BP57" s="44" t="n">
        <f aca="false">IFERROR(BP56/BP39,"")</f>
        <v>0.110951020775552</v>
      </c>
      <c r="BQ57" s="44" t="n">
        <f aca="false">IFERROR(BQ56/BQ39,"")</f>
        <v>0.113381610580613</v>
      </c>
      <c r="BR57" s="44" t="n">
        <f aca="false">IFERROR(BR56/BR39,"")</f>
        <v>0.0888795282224094</v>
      </c>
      <c r="BS57" s="44" t="n">
        <f aca="false">IFERROR(BS56/BS39,"")</f>
        <v>0.0724903474903475</v>
      </c>
      <c r="BT57" s="44" t="n">
        <f aca="false">IFERROR(BT56/BT39,"")</f>
        <v>0.0776409849086577</v>
      </c>
      <c r="BU57" s="44" t="n">
        <f aca="false">IFERROR(BU56/BU39,"")</f>
        <v>0.0634773184703514</v>
      </c>
      <c r="BV57" s="44" t="n">
        <f aca="false">IFERROR(BV56/BV39,"")</f>
        <v>0.0577766699900299</v>
      </c>
      <c r="BW57" s="44" t="n">
        <f aca="false">IFERROR(BW56/BW39,"")</f>
        <v>0.0679870213773994</v>
      </c>
      <c r="BX57" s="44" t="n">
        <f aca="false">IFERROR(BX56/BX39,"")</f>
        <v>0.0528768332761073</v>
      </c>
      <c r="BY57" s="44" t="n">
        <f aca="false">IFERROR(BY56/BY39,"")</f>
        <v>0.0577471309178626</v>
      </c>
      <c r="BZ57" s="44" t="n">
        <f aca="false">IFERROR(BZ56/BZ39,"")</f>
        <v>0.0553199291083542</v>
      </c>
      <c r="CA57" s="44" t="n">
        <f aca="false">IFERROR(CA56/CA39,"")</f>
        <v>0.0557396057644526</v>
      </c>
      <c r="CB57" s="44" t="n">
        <f aca="false">IFERROR(CB56/CB39,"")</f>
        <v>0.0648834487467083</v>
      </c>
      <c r="CC57" s="44" t="n">
        <f aca="false">IFERROR(CC56/CC39,"")</f>
        <v>0.0578818972888688</v>
      </c>
      <c r="CD57" s="44" t="n">
        <f aca="false">IFERROR(CD56/CD39,"")</f>
        <v>0.0668860508239965</v>
      </c>
      <c r="CE57" s="44" t="n">
        <f aca="false">IFERROR(CE56/CE39,"")</f>
        <v>0.0711750553821967</v>
      </c>
      <c r="CF57" s="44" t="n">
        <f aca="false">IFERROR(CF56/CF39,"")</f>
        <v>0.0691291889871683</v>
      </c>
      <c r="CG57" s="44" t="n">
        <f aca="false">IFERROR(CG56/CG39,"")</f>
        <v>0.0636139503826596</v>
      </c>
      <c r="CH57" s="44" t="n">
        <f aca="false">IFERROR(CH56/CH39,"")</f>
        <v>0.066781901847656</v>
      </c>
      <c r="CI57" s="44" t="n">
        <f aca="false">IFERROR(CI56/CI39,"")</f>
        <v>0.0671834784809189</v>
      </c>
      <c r="CJ57" s="44" t="n">
        <f aca="false">IFERROR(CJ56/CJ39,"")</f>
        <v>0.0776106337395471</v>
      </c>
      <c r="CK57" s="44" t="n">
        <f aca="false">IFERROR(CK56/CK39,"")</f>
        <v>0.0821152652641942</v>
      </c>
      <c r="CL57" s="44" t="n">
        <f aca="false">IFERROR(CL56/CL39,"")</f>
        <v>0.079945859589953</v>
      </c>
      <c r="CM57" s="35" t="n">
        <f aca="false">CG57*$CL$57/$CF$57</f>
        <v>0.0735676494946055</v>
      </c>
      <c r="CN57" s="35" t="n">
        <f aca="false">CH57*$CL$57/$CF$57</f>
        <v>0.0772312915352404</v>
      </c>
      <c r="CO57" s="35" t="n">
        <f aca="false">IFERROR(CO56/CO39,"")</f>
        <v>0.0777417201269968</v>
      </c>
      <c r="CP57" s="36" t="n">
        <v>0.08</v>
      </c>
      <c r="CQ57" s="36" t="n">
        <v>0.08</v>
      </c>
      <c r="CR57" s="36" t="n">
        <v>0.08</v>
      </c>
      <c r="CS57" s="36" t="n">
        <v>0.08</v>
      </c>
      <c r="CT57" s="23" t="s">
        <v>168</v>
      </c>
      <c r="CV57" s="7"/>
      <c r="CW57" s="7"/>
      <c r="CX57" s="7"/>
      <c r="CY57" s="7"/>
    </row>
    <row r="58" customFormat="false" ht="15" hidden="false" customHeight="true" outlineLevel="0" collapsed="false">
      <c r="B58" s="13" t="s">
        <v>169</v>
      </c>
      <c r="C58" s="31" t="str">
        <f aca="false">IF(ISNUMBER(C56),C56-C98,"")</f>
        <v/>
      </c>
      <c r="D58" s="31" t="str">
        <f aca="false">IF(ISNUMBER(D56),D56-D98,"")</f>
        <v/>
      </c>
      <c r="E58" s="31" t="str">
        <f aca="false">IF(ISNUMBER(E56),E56-E98,"")</f>
        <v/>
      </c>
      <c r="F58" s="31" t="str">
        <f aca="false">IF(ISNUMBER(F56),F56-F98,"")</f>
        <v/>
      </c>
      <c r="G58" s="31" t="str">
        <f aca="false">IF(ISNUMBER(G56),G56-G98,"")</f>
        <v/>
      </c>
      <c r="H58" s="31" t="str">
        <f aca="false">IF(ISNUMBER(H56),H56-H98,"")</f>
        <v/>
      </c>
      <c r="I58" s="31" t="str">
        <f aca="false">IF(ISNUMBER(I56),I56-I98,"")</f>
        <v/>
      </c>
      <c r="J58" s="31" t="str">
        <f aca="false">IF(ISNUMBER(J56),J56-J98,"")</f>
        <v/>
      </c>
      <c r="K58" s="31" t="str">
        <f aca="false">IF(ISNUMBER(K56),K56-K98,"")</f>
        <v/>
      </c>
      <c r="L58" s="31" t="str">
        <f aca="false">IF(ISNUMBER(L56),L56-L98,"")</f>
        <v/>
      </c>
      <c r="M58" s="31" t="str">
        <f aca="false">IF(ISNUMBER(M56),M56-M98,"")</f>
        <v/>
      </c>
      <c r="N58" s="31" t="str">
        <f aca="false">IF(ISNUMBER(N56),N56-N98,"")</f>
        <v/>
      </c>
      <c r="O58" s="31" t="str">
        <f aca="false">IF(ISNUMBER(O56),O56-O98,"")</f>
        <v/>
      </c>
      <c r="P58" s="31" t="str">
        <f aca="false">IF(ISNUMBER(P56),P56-P98,"")</f>
        <v/>
      </c>
      <c r="Q58" s="31" t="str">
        <f aca="false">IF(ISNUMBER(Q56),Q56-Q98,"")</f>
        <v/>
      </c>
      <c r="R58" s="31" t="str">
        <f aca="false">IF(ISNUMBER(R56),R56-R98,"")</f>
        <v/>
      </c>
      <c r="S58" s="31" t="str">
        <f aca="false">IF(ISNUMBER(S56),S56-S98,"")</f>
        <v/>
      </c>
      <c r="T58" s="31" t="str">
        <f aca="false">IF(ISNUMBER(T56),T56-T98,"")</f>
        <v/>
      </c>
      <c r="U58" s="31" t="str">
        <f aca="false">IF(ISNUMBER(U56),U56-U98,"")</f>
        <v/>
      </c>
      <c r="V58" s="31" t="str">
        <f aca="false">IF(ISNUMBER(V56),V56-V98,"")</f>
        <v/>
      </c>
      <c r="W58" s="31" t="str">
        <f aca="false">IF(ISNUMBER(W56),W56-W98,"")</f>
        <v/>
      </c>
      <c r="X58" s="31" t="str">
        <f aca="false">IF(ISNUMBER(X56),X56-X98,"")</f>
        <v/>
      </c>
      <c r="Y58" s="31" t="str">
        <f aca="false">IF(ISNUMBER(Y56),Y56-Y98,"")</f>
        <v/>
      </c>
      <c r="Z58" s="31" t="str">
        <f aca="false">IF(ISNUMBER(Z56),Z56-Z98,"")</f>
        <v/>
      </c>
      <c r="AA58" s="31" t="str">
        <f aca="false">IF(ISNUMBER(AA56),AA56-AA98,"")</f>
        <v/>
      </c>
      <c r="AB58" s="31" t="str">
        <f aca="false">IF(ISNUMBER(AB56),AB56-AB98,"")</f>
        <v/>
      </c>
      <c r="AC58" s="31" t="str">
        <f aca="false">IF(ISNUMBER(AC56),AC56-AC98,"")</f>
        <v/>
      </c>
      <c r="AD58" s="31" t="str">
        <f aca="false">IF(ISNUMBER(AD56),AD56-AD98,"")</f>
        <v/>
      </c>
      <c r="AE58" s="31" t="str">
        <f aca="false">IF(ISNUMBER(AE56),AE56-AE98,"")</f>
        <v/>
      </c>
      <c r="AF58" s="31" t="str">
        <f aca="false">IF(ISNUMBER(AF56),AF56-AF98,"")</f>
        <v/>
      </c>
      <c r="AG58" s="31" t="str">
        <f aca="false">IF(ISNUMBER(AG56),AG56-AG98,"")</f>
        <v/>
      </c>
      <c r="AH58" s="31" t="n">
        <f aca="false">IF(ISNUMBER(AH56),AH56-AH98,"")</f>
        <v>12.647</v>
      </c>
      <c r="AI58" s="31" t="n">
        <f aca="false">IF(ISNUMBER(AI56),AI56-AI98,"")</f>
        <v>8.13800000000001</v>
      </c>
      <c r="AJ58" s="31" t="n">
        <f aca="false">IF(ISNUMBER(AJ56),AJ56-AJ98,"")</f>
        <v>20.785</v>
      </c>
      <c r="AK58" s="31" t="n">
        <f aca="false">IF(ISNUMBER(AK56),AK56-AK98,"")</f>
        <v>8.987</v>
      </c>
      <c r="AL58" s="31" t="n">
        <f aca="false">IF(ISNUMBER(AL56),AL56-AL98,"")</f>
        <v>10.504</v>
      </c>
      <c r="AM58" s="31" t="n">
        <f aca="false">IF(ISNUMBER(AM56),AM56-AM98,"")</f>
        <v>40.276</v>
      </c>
      <c r="AN58" s="31" t="n">
        <f aca="false">IF(ISNUMBER(AN56),AN56-AN98,"")</f>
        <v>8.37100000000001</v>
      </c>
      <c r="AO58" s="31" t="n">
        <f aca="false">IF(ISNUMBER(AO56),AO56-AO98,"")</f>
        <v>12.482</v>
      </c>
      <c r="AP58" s="31" t="n">
        <f aca="false">IF(ISNUMBER(AP56),AP56-AP98,"")</f>
        <v>20.853</v>
      </c>
      <c r="AQ58" s="31" t="n">
        <f aca="false">IF(ISNUMBER(AQ56),AQ56-AQ98,"")</f>
        <v>9.631</v>
      </c>
      <c r="AR58" s="31" t="n">
        <f aca="false">IF(ISNUMBER(AR56),AR56-AR98,"")</f>
        <v>15.688</v>
      </c>
      <c r="AS58" s="31" t="n">
        <f aca="false">IF(ISNUMBER(AS56),AS56-AS98,"")</f>
        <v>46.172</v>
      </c>
      <c r="AT58" s="31" t="n">
        <f aca="false">IF(ISNUMBER(AT56),AT56-AT98,"")</f>
        <v>10.582</v>
      </c>
      <c r="AU58" s="31" t="n">
        <f aca="false">IF(ISNUMBER(AU56),AU56-AU98,"")</f>
        <v>8.798</v>
      </c>
      <c r="AV58" s="31" t="n">
        <f aca="false">IF(ISNUMBER(AV56),AV56-AV98,"")</f>
        <v>19.38</v>
      </c>
      <c r="AW58" s="31" t="n">
        <f aca="false">IF(ISNUMBER(AW56),AW56-AW98,"")</f>
        <v>8.809</v>
      </c>
      <c r="AX58" s="31" t="n">
        <f aca="false">IF(ISNUMBER(AX56),AX56-AX98,"")</f>
        <v>5.589</v>
      </c>
      <c r="AY58" s="31" t="n">
        <f aca="false">IF(ISNUMBER(AY56),AY56-AY98,"")</f>
        <v>33.778</v>
      </c>
      <c r="AZ58" s="31" t="n">
        <f aca="false">IF(ISNUMBER(AZ56),AZ56-AZ98,"")</f>
        <v>8.54700000000001</v>
      </c>
      <c r="BA58" s="31" t="n">
        <f aca="false">IF(ISNUMBER(BA56),BA56-BA98,"")</f>
        <v>11.777</v>
      </c>
      <c r="BB58" s="31" t="n">
        <f aca="false">IF(ISNUMBER(BB56),BB56-BB98,"")</f>
        <v>20.324</v>
      </c>
      <c r="BC58" s="31" t="n">
        <f aca="false">IF(ISNUMBER(BC56),BC56-BC98,"")</f>
        <v>12.61</v>
      </c>
      <c r="BD58" s="31" t="n">
        <f aca="false">IF(ISNUMBER(BD56),BD56-BD98,"")</f>
        <v>14.436</v>
      </c>
      <c r="BE58" s="31" t="n">
        <f aca="false">IF(ISNUMBER(BE56),BE56-BE98,"")</f>
        <v>47.371</v>
      </c>
      <c r="BF58" s="31" t="n">
        <f aca="false">IF(ISNUMBER(BF56),BF56-BF98,"")</f>
        <v>14.778</v>
      </c>
      <c r="BG58" s="31" t="n">
        <f aca="false">IF(ISNUMBER(BG56),BG56-BG98,"")</f>
        <v>12.59</v>
      </c>
      <c r="BH58" s="31" t="n">
        <f aca="false">IF(ISNUMBER(BH56),BH56-BH98,"")</f>
        <v>27.3680000000001</v>
      </c>
      <c r="BI58" s="31" t="n">
        <f aca="false">IF(ISNUMBER(BI56),BI56-BI98,"")</f>
        <v>12.496</v>
      </c>
      <c r="BJ58" s="31" t="n">
        <f aca="false">IF(ISNUMBER(BJ56),BJ56-BJ98,"")</f>
        <v>11.426</v>
      </c>
      <c r="BK58" s="31" t="n">
        <f aca="false">IF(ISNUMBER(BK56),BK56-BK98,"")</f>
        <v>51.291</v>
      </c>
      <c r="BL58" s="31" t="n">
        <f aca="false">IF(ISNUMBER(BL56),BL56-BL98,"")</f>
        <v>17.478</v>
      </c>
      <c r="BM58" s="31" t="n">
        <f aca="false">IF(ISNUMBER(BM56),BM56-BM98,"")</f>
        <v>21.873</v>
      </c>
      <c r="BN58" s="31" t="n">
        <f aca="false">IF(ISNUMBER(BN56),BN56-BN98,"")</f>
        <v>39.3510000000001</v>
      </c>
      <c r="BO58" s="31" t="n">
        <f aca="false">IF(ISNUMBER(BO56),BO56-BO98,"")</f>
        <v>17.53</v>
      </c>
      <c r="BP58" s="31" t="n">
        <f aca="false">IF(ISNUMBER(BP56),BP56-BP98,"")</f>
        <v>17.771</v>
      </c>
      <c r="BQ58" s="31" t="n">
        <f aca="false">IF(ISNUMBER(BQ56),BQ56-BQ98,"")</f>
        <v>74.6510000000001</v>
      </c>
      <c r="BR58" s="31" t="n">
        <f aca="false">IF(ISNUMBER(BR56),BR56-BR98,"")</f>
        <v>17.3</v>
      </c>
      <c r="BS58" s="31" t="n">
        <f aca="false">IF(ISNUMBER(BS56),BS56-BS98,"")</f>
        <v>8.5</v>
      </c>
      <c r="BT58" s="31" t="n">
        <f aca="false">IF(ISNUMBER(BT56),BT56-BT98,"")</f>
        <v>25.8</v>
      </c>
      <c r="BU58" s="31" t="n">
        <f aca="false">IF(ISNUMBER(BU56),BU56-BU98,"")</f>
        <v>16</v>
      </c>
      <c r="BV58" s="31" t="n">
        <f aca="false">IF(ISNUMBER(BV56),BV56-BV98,"")</f>
        <v>11.6</v>
      </c>
      <c r="BW58" s="31" t="n">
        <f aca="false">IF(ISNUMBER(BW56),BW56-BW98,"")</f>
        <v>53.5</v>
      </c>
      <c r="BX58" s="31" t="n">
        <f aca="false">IF(ISNUMBER(BX56),BX56-BX98,"")</f>
        <v>19</v>
      </c>
      <c r="BY58" s="31" t="n">
        <f aca="false">IF(ISNUMBER(BY56),BY56-BY98,"")</f>
        <v>14.3</v>
      </c>
      <c r="BZ58" s="31" t="n">
        <f aca="false">IF(ISNUMBER(BZ56),BZ56-BZ98,"")</f>
        <v>33.3000000000001</v>
      </c>
      <c r="CA58" s="31" t="n">
        <f aca="false">IF(ISNUMBER(CA56),CA56-CA98,"")</f>
        <v>8.40000000000001</v>
      </c>
      <c r="CB58" s="31" t="n">
        <f aca="false">IF(ISNUMBER(CB56),CB56-CB98,"")</f>
        <v>15.1</v>
      </c>
      <c r="CC58" s="31" t="n">
        <f aca="false">IF(ISNUMBER(CC56),CC56-CC98,"")</f>
        <v>56.8000000000001</v>
      </c>
      <c r="CD58" s="31" t="n">
        <f aca="false">IF(ISNUMBER(CD56),CD56-CD98,"")</f>
        <v>21.1</v>
      </c>
      <c r="CE58" s="31" t="n">
        <f aca="false">IF(ISNUMBER(CE56),CE56-CE98,"")</f>
        <v>12.4</v>
      </c>
      <c r="CF58" s="31" t="n">
        <f aca="false">IF(ISNUMBER(CF56),CF56-CF98,"")</f>
        <v>33.5000000000001</v>
      </c>
      <c r="CG58" s="31" t="n">
        <f aca="false">IF(ISNUMBER(CG56),CG56-CG98,"")</f>
        <v>11.6</v>
      </c>
      <c r="CH58" s="31" t="n">
        <f aca="false">IF(ISNUMBER(CH56),CH56-CH98,"")</f>
        <v>12.8</v>
      </c>
      <c r="CI58" s="31" t="n">
        <f aca="false">IF(ISNUMBER(CI56),CI56-CI98,"")</f>
        <v>57.9000000000001</v>
      </c>
      <c r="CJ58" s="31" t="n">
        <f aca="false">IF(ISNUMBER(CJ56),CJ56-CJ98,"")</f>
        <v>30.2</v>
      </c>
      <c r="CK58" s="31" t="n">
        <f aca="false">IF(ISNUMBER(CK56),CK56-CK98,"")</f>
        <v>22.8</v>
      </c>
      <c r="CL58" s="31" t="n">
        <f aca="false">IF(ISNUMBER(CL56),CL56-CL98,"")</f>
        <v>53</v>
      </c>
      <c r="CM58" s="32" t="n">
        <f aca="false">CM56-CM98</f>
        <v>22.7018447753513</v>
      </c>
      <c r="CN58" s="32" t="n">
        <f aca="false">CN56-CN98</f>
        <v>26.2028963313401</v>
      </c>
      <c r="CO58" s="32" t="n">
        <f aca="false">SUM(CJ58,CK58,CM58,CN58)</f>
        <v>101.904741106691</v>
      </c>
      <c r="CP58" s="32" t="n">
        <f aca="false">CP56-CP98</f>
        <v>105.240817298525</v>
      </c>
      <c r="CQ58" s="32" t="n">
        <f aca="false">CQ56-CQ98</f>
        <v>110.265986271233</v>
      </c>
      <c r="CR58" s="32" t="n">
        <f aca="false">CR56-CR98</f>
        <v>114.996118601882</v>
      </c>
      <c r="CS58" s="32" t="n">
        <f aca="false">CS56-CS98</f>
        <v>119.929990346106</v>
      </c>
      <c r="CT58" s="23"/>
      <c r="CV58" s="7"/>
      <c r="CW58" s="7"/>
      <c r="CX58" s="7"/>
      <c r="CY58" s="7"/>
    </row>
    <row r="59" customFormat="false" ht="15" hidden="false" customHeight="true" outlineLevel="0" collapsed="false">
      <c r="B59" s="30" t="s">
        <v>170</v>
      </c>
      <c r="C59" s="44" t="str">
        <f aca="false">IFERROR(C58/C56,"")</f>
        <v/>
      </c>
      <c r="D59" s="44" t="str">
        <f aca="false">IFERROR(D58/D56,"")</f>
        <v/>
      </c>
      <c r="E59" s="44" t="str">
        <f aca="false">IFERROR(E58/E56,"")</f>
        <v/>
      </c>
      <c r="F59" s="44" t="str">
        <f aca="false">IFERROR(F58/F56,"")</f>
        <v/>
      </c>
      <c r="G59" s="44" t="str">
        <f aca="false">IFERROR(G58/G56,"")</f>
        <v/>
      </c>
      <c r="H59" s="44" t="str">
        <f aca="false">IFERROR(H58/H56,"")</f>
        <v/>
      </c>
      <c r="I59" s="44" t="str">
        <f aca="false">IFERROR(I58/I56,"")</f>
        <v/>
      </c>
      <c r="J59" s="44" t="str">
        <f aca="false">IFERROR(J58/J56,"")</f>
        <v/>
      </c>
      <c r="K59" s="44" t="str">
        <f aca="false">IFERROR(K58/K56,"")</f>
        <v/>
      </c>
      <c r="L59" s="44" t="str">
        <f aca="false">IFERROR(L58/L56,"")</f>
        <v/>
      </c>
      <c r="M59" s="44" t="str">
        <f aca="false">IFERROR(M58/M56,"")</f>
        <v/>
      </c>
      <c r="N59" s="44" t="str">
        <f aca="false">IFERROR(N58/N56,"")</f>
        <v/>
      </c>
      <c r="O59" s="44" t="str">
        <f aca="false">IFERROR(O58/O56,"")</f>
        <v/>
      </c>
      <c r="P59" s="44" t="str">
        <f aca="false">IFERROR(P58/P56,"")</f>
        <v/>
      </c>
      <c r="Q59" s="44" t="str">
        <f aca="false">IFERROR(Q58/Q56,"")</f>
        <v/>
      </c>
      <c r="R59" s="44" t="str">
        <f aca="false">IFERROR(R58/R56,"")</f>
        <v/>
      </c>
      <c r="S59" s="44" t="str">
        <f aca="false">IFERROR(S58/S56,"")</f>
        <v/>
      </c>
      <c r="T59" s="44" t="str">
        <f aca="false">IFERROR(T58/T56,"")</f>
        <v/>
      </c>
      <c r="U59" s="44" t="str">
        <f aca="false">IFERROR(U58/U56,"")</f>
        <v/>
      </c>
      <c r="V59" s="44" t="str">
        <f aca="false">IFERROR(V58/V56,"")</f>
        <v/>
      </c>
      <c r="W59" s="44" t="str">
        <f aca="false">IFERROR(W58/W56,"")</f>
        <v/>
      </c>
      <c r="X59" s="44" t="str">
        <f aca="false">IFERROR(X58/X56,"")</f>
        <v/>
      </c>
      <c r="Y59" s="44" t="str">
        <f aca="false">IFERROR(Y58/Y56,"")</f>
        <v/>
      </c>
      <c r="Z59" s="44" t="str">
        <f aca="false">IFERROR(Z58/Z56,"")</f>
        <v/>
      </c>
      <c r="AA59" s="44" t="str">
        <f aca="false">IFERROR(AA58/AA56,"")</f>
        <v/>
      </c>
      <c r="AB59" s="44" t="str">
        <f aca="false">IFERROR(AB58/AB56,"")</f>
        <v/>
      </c>
      <c r="AC59" s="44" t="str">
        <f aca="false">IFERROR(AC58/AC56,"")</f>
        <v/>
      </c>
      <c r="AD59" s="44" t="str">
        <f aca="false">IFERROR(AD58/AD56,"")</f>
        <v/>
      </c>
      <c r="AE59" s="44" t="str">
        <f aca="false">IFERROR(AE58/AE56,"")</f>
        <v/>
      </c>
      <c r="AF59" s="44" t="str">
        <f aca="false">IFERROR(AF58/AF56,"")</f>
        <v/>
      </c>
      <c r="AG59" s="44" t="str">
        <f aca="false">IFERROR(AG58/AG56,"")</f>
        <v/>
      </c>
      <c r="AH59" s="44" t="n">
        <f aca="false">IFERROR(AH58/AH56,"")</f>
        <v>0.166302861350726</v>
      </c>
      <c r="AI59" s="44" t="n">
        <f aca="false">IFERROR(AI58/AI56,"")</f>
        <v>0.101898226985876</v>
      </c>
      <c r="AJ59" s="44" t="n">
        <f aca="false">IFERROR(AJ58/AJ56,"")</f>
        <v>0.133312381343322</v>
      </c>
      <c r="AK59" s="44" t="n">
        <f aca="false">IFERROR(AK58/AK56,"")</f>
        <v>0.110320022586941</v>
      </c>
      <c r="AL59" s="44" t="n">
        <f aca="false">IFERROR(AL58/AL56,"")</f>
        <v>0.0960155028839387</v>
      </c>
      <c r="AM59" s="44" t="n">
        <f aca="false">IFERROR(AM58/AM56,"")</f>
        <v>0.116144809011056</v>
      </c>
      <c r="AN59" s="44" t="n">
        <f aca="false">IFERROR(AN58/AN56,"")</f>
        <v>0.0994629405194745</v>
      </c>
      <c r="AO59" s="44" t="n">
        <f aca="false">IFERROR(AO58/AO56,"")</f>
        <v>0.132527817888389</v>
      </c>
      <c r="AP59" s="44" t="n">
        <f aca="false">IFERROR(AP58/AP56,"")</f>
        <v>0.116924405369338</v>
      </c>
      <c r="AQ59" s="44" t="n">
        <f aca="false">IFERROR(AQ58/AQ56,"")</f>
        <v>0.114692992902396</v>
      </c>
      <c r="AR59" s="44" t="n">
        <f aca="false">IFERROR(AR58/AR56,"")</f>
        <v>0.0991700012010646</v>
      </c>
      <c r="AS59" s="44" t="n">
        <f aca="false">IFERROR(AS58/AS56,"")</f>
        <v>0.109799743645232</v>
      </c>
      <c r="AT59" s="44" t="n">
        <f aca="false">IFERROR(AT58/AT56,"")</f>
        <v>0.0807434932891795</v>
      </c>
      <c r="AU59" s="44" t="n">
        <f aca="false">IFERROR(AU58/AU56,"")</f>
        <v>0.0554672920764614</v>
      </c>
      <c r="AV59" s="44" t="n">
        <f aca="false">IFERROR(AV58/AV56,"")</f>
        <v>0.0669030251352387</v>
      </c>
      <c r="AW59" s="44" t="n">
        <f aca="false">IFERROR(AW58/AW56,"")</f>
        <v>0.0792040928258661</v>
      </c>
      <c r="AX59" s="44" t="n">
        <f aca="false">IFERROR(AX58/AX56,"")</f>
        <v>0.0491448670037371</v>
      </c>
      <c r="AY59" s="44" t="n">
        <f aca="false">IFERROR(AY58/AY56,"")</f>
        <v>0.0656371631718345</v>
      </c>
      <c r="AZ59" s="44" t="n">
        <f aca="false">IFERROR(AZ58/AZ56,"")</f>
        <v>0.0948275862068967</v>
      </c>
      <c r="BA59" s="44" t="n">
        <f aca="false">IFERROR(BA58/BA56,"")</f>
        <v>0.0760242978226208</v>
      </c>
      <c r="BB59" s="44" t="n">
        <f aca="false">IFERROR(BB58/BB56,"")</f>
        <v>0.0829405451288142</v>
      </c>
      <c r="BC59" s="44" t="n">
        <f aca="false">IFERROR(BC58/BC56,"")</f>
        <v>0.115833662493225</v>
      </c>
      <c r="BD59" s="44" t="n">
        <f aca="false">IFERROR(BD58/BD56,"")</f>
        <v>0.0951251334361286</v>
      </c>
      <c r="BE59" s="44" t="n">
        <f aca="false">IFERROR(BE58/BE56,"")</f>
        <v>0.0936807840779648</v>
      </c>
      <c r="BF59" s="44" t="n">
        <f aca="false">IFERROR(BF58/BF56,"")</f>
        <v>0.117729535949014</v>
      </c>
      <c r="BG59" s="44" t="n">
        <f aca="false">IFERROR(BG58/BG56,"")</f>
        <v>0.0876661583561377</v>
      </c>
      <c r="BH59" s="44" t="n">
        <f aca="false">IFERROR(BH58/BH56,"")</f>
        <v>0.101687610073643</v>
      </c>
      <c r="BI59" s="44" t="n">
        <f aca="false">IFERROR(BI58/BI56,"")</f>
        <v>0.108200781026765</v>
      </c>
      <c r="BJ59" s="44" t="n">
        <f aca="false">IFERROR(BJ58/BJ56,"")</f>
        <v>0.0997163677619234</v>
      </c>
      <c r="BK59" s="44" t="n">
        <f aca="false">IFERROR(BK58/BK56,"")</f>
        <v>0.102743924424894</v>
      </c>
      <c r="BL59" s="44" t="n">
        <f aca="false">IFERROR(BL58/BL56,"")</f>
        <v>0.117254796726151</v>
      </c>
      <c r="BM59" s="44" t="n">
        <f aca="false">IFERROR(BM58/BM56,"")</f>
        <v>0.11044515360223</v>
      </c>
      <c r="BN59" s="44" t="n">
        <f aca="false">IFERROR(BN58/BN56,"")</f>
        <v>0.113369480040564</v>
      </c>
      <c r="BO59" s="44" t="n">
        <f aca="false">IFERROR(BO58/BO56,"")</f>
        <v>0.106382333129024</v>
      </c>
      <c r="BP59" s="44" t="n">
        <f aca="false">IFERROR(BP58/BP56,"")</f>
        <v>0.103718964853097</v>
      </c>
      <c r="BQ59" s="44" t="n">
        <f aca="false">IFERROR(BQ58/BQ56,"")</f>
        <v>0.10926268798712</v>
      </c>
      <c r="BR59" s="44" t="n">
        <f aca="false">IFERROR(BR58/BR56,"")</f>
        <v>0.102488151658768</v>
      </c>
      <c r="BS59" s="44" t="n">
        <f aca="false">IFERROR(BS58/BS56,"")</f>
        <v>0.0282956058588549</v>
      </c>
      <c r="BT59" s="44" t="n">
        <f aca="false">IFERROR(BT58/BT56,"")</f>
        <v>0.0549872122762149</v>
      </c>
      <c r="BU59" s="44" t="n">
        <f aca="false">IFERROR(BU58/BU56,"")</f>
        <v>0.0650406504065041</v>
      </c>
      <c r="BV59" s="44" t="n">
        <f aca="false">IFERROR(BV58/BV56,"")</f>
        <v>0.0500431406384815</v>
      </c>
      <c r="BW59" s="44" t="n">
        <f aca="false">IFERROR(BW58/BW56,"")</f>
        <v>0.0564882272199345</v>
      </c>
      <c r="BX59" s="44" t="n">
        <f aca="false">IFERROR(BX58/BX56,"")</f>
        <v>0.088126159554731</v>
      </c>
      <c r="BY59" s="44" t="n">
        <f aca="false">IFERROR(BY58/BY56,"")</f>
        <v>0.0603375527426161</v>
      </c>
      <c r="BZ59" s="44" t="n">
        <f aca="false">IFERROR(BZ58/BZ56,"")</f>
        <v>0.0735749005744588</v>
      </c>
      <c r="CA59" s="44" t="n">
        <f aca="false">IFERROR(CA58/CA56,"")</f>
        <v>0.0416047548291234</v>
      </c>
      <c r="CB59" s="44" t="n">
        <f aca="false">IFERROR(CB58/CB56,"")</f>
        <v>0.0567455843667795</v>
      </c>
      <c r="CC59" s="44" t="n">
        <f aca="false">IFERROR(CC58/CC56,"")</f>
        <v>0.061698892026939</v>
      </c>
      <c r="CD59" s="44" t="n">
        <f aca="false">IFERROR(CD58/CD56,"")</f>
        <v>0.0823896915267475</v>
      </c>
      <c r="CE59" s="44" t="n">
        <f aca="false">IFERROR(CE58/CE56,"")</f>
        <v>0.0414993306559573</v>
      </c>
      <c r="CF59" s="44" t="n">
        <f aca="false">IFERROR(CF58/CF56,"")</f>
        <v>0.0603712380609121</v>
      </c>
      <c r="CG59" s="44" t="n">
        <f aca="false">IFERROR(CG58/CG56,"")</f>
        <v>0.046830843762616</v>
      </c>
      <c r="CH59" s="44" t="n">
        <f aca="false">IFERROR(CH58/CH56,"")</f>
        <v>0.0447708989157046</v>
      </c>
      <c r="CI59" s="44" t="n">
        <f aca="false">IFERROR(CI58/CI56,"")</f>
        <v>0.0531924666972899</v>
      </c>
      <c r="CJ59" s="44" t="n">
        <f aca="false">IFERROR(CJ58/CJ56,"")</f>
        <v>0.0896408429801128</v>
      </c>
      <c r="CK59" s="44" t="n">
        <f aca="false">IFERROR(CK58/CK56,"")</f>
        <v>0.0594214229867084</v>
      </c>
      <c r="CL59" s="44" t="n">
        <f aca="false">IFERROR(CL58/CL56,"")</f>
        <v>0.0735498195947821</v>
      </c>
      <c r="CM59" s="35" t="n">
        <f aca="false">$CL$59</f>
        <v>0.0735498195947821</v>
      </c>
      <c r="CN59" s="35" t="n">
        <f aca="false">$CL$59</f>
        <v>0.0735498195947821</v>
      </c>
      <c r="CO59" s="35" t="n">
        <f aca="false">IFERROR(CO58/CO56,"")</f>
        <v>0.0735498195947821</v>
      </c>
      <c r="CP59" s="36" t="n">
        <v>0.07</v>
      </c>
      <c r="CQ59" s="36" t="n">
        <v>0.07</v>
      </c>
      <c r="CR59" s="36" t="n">
        <v>0.07</v>
      </c>
      <c r="CS59" s="36" t="n">
        <v>0.07</v>
      </c>
      <c r="CT59" s="23" t="s">
        <v>171</v>
      </c>
      <c r="CV59" s="7"/>
      <c r="CW59" s="7"/>
      <c r="CX59" s="7"/>
      <c r="CY59" s="7"/>
    </row>
    <row r="60" customFormat="false" ht="15" hidden="false" customHeight="true" outlineLevel="0" collapsed="false">
      <c r="B60" s="41" t="s">
        <v>172</v>
      </c>
      <c r="C60" s="43" t="n">
        <f aca="false">IF(ISNUMBER(C53),C53+N(C56),C93+N(C56))</f>
        <v>257.857</v>
      </c>
      <c r="D60" s="43" t="n">
        <f aca="false">IF(ISNUMBER(D53),D53+N(D56),D93+N(D56))</f>
        <v>311.906</v>
      </c>
      <c r="E60" s="43" t="n">
        <f aca="false">IF(ISNUMBER(E53),E53+N(E56),E93+N(E56))</f>
        <v>354.818</v>
      </c>
      <c r="F60" s="43" t="n">
        <f aca="false">IF(ISNUMBER(F53),F53+N(F56),F93+N(F56))</f>
        <v>377.211</v>
      </c>
      <c r="G60" s="43" t="n">
        <f aca="false">IF(ISNUMBER(G53),G53+N(G56),G93+N(G56))</f>
        <v>357.369</v>
      </c>
      <c r="H60" s="43" t="n">
        <f aca="false">IF(ISNUMBER(H53),H53+N(H56),H93+N(H56))</f>
        <v>396.099</v>
      </c>
      <c r="I60" s="43" t="n">
        <f aca="false">IF(ISNUMBER(I53),I53+N(I56),I93+N(I56))</f>
        <v>437.955</v>
      </c>
      <c r="J60" s="20" t="n">
        <f aca="false">IF(ISNUMBER(J53),J53+N(J56),J93+N(J56))</f>
        <v>102.058</v>
      </c>
      <c r="K60" s="20" t="n">
        <f aca="false">IF(ISNUMBER(K53),K53+N(K56),K93+N(K56))</f>
        <v>128.322</v>
      </c>
      <c r="L60" s="20" t="n">
        <f aca="false">IF(ISNUMBER(L53),L53+N(L56),L93+N(L56))</f>
        <v>230.38</v>
      </c>
      <c r="M60" s="20" t="n">
        <f aca="false">IF(ISNUMBER(M53),M53+N(M56),M93+N(M56))</f>
        <v>105.8</v>
      </c>
      <c r="N60" s="20" t="n">
        <f aca="false">IF(ISNUMBER(N53),N53+N(N56),N93+N(N56))</f>
        <v>131.223</v>
      </c>
      <c r="O60" s="43" t="n">
        <f aca="false">IF(ISNUMBER(O53),O53+N(O56),O93+N(O56))</f>
        <v>467.403</v>
      </c>
      <c r="P60" s="20" t="n">
        <f aca="false">IF(ISNUMBER(P53),P53+N(P56),P93+N(P56))</f>
        <v>98.588</v>
      </c>
      <c r="Q60" s="20" t="n">
        <f aca="false">IF(ISNUMBER(Q53),Q53+N(Q56),Q93+N(Q56))</f>
        <v>141.835</v>
      </c>
      <c r="R60" s="20" t="n">
        <f aca="false">IF(ISNUMBER(R53),R53+N(R56),R93+N(R56))</f>
        <v>240.423</v>
      </c>
      <c r="S60" s="20" t="n">
        <f aca="false">IF(ISNUMBER(S53),S53+N(S56),S93+N(S56))</f>
        <v>102.217</v>
      </c>
      <c r="T60" s="20" t="n">
        <f aca="false">IF(ISNUMBER(T53),T53+N(T56),T93+N(T56))</f>
        <v>138.457</v>
      </c>
      <c r="U60" s="43" t="n">
        <f aca="false">IF(ISNUMBER(U53),U53+N(U56),U93+N(U56))</f>
        <v>481.097</v>
      </c>
      <c r="V60" s="20" t="n">
        <f aca="false">IF(ISNUMBER(V53),V53+N(V56),V93+N(V56))</f>
        <v>115.618</v>
      </c>
      <c r="W60" s="20" t="n">
        <f aca="false">IF(ISNUMBER(W53),W53+N(W56),W93+N(W56))</f>
        <v>155.477</v>
      </c>
      <c r="X60" s="20" t="n">
        <f aca="false">IF(ISNUMBER(X53),X53+N(X56),X93+N(X56))</f>
        <v>271.095</v>
      </c>
      <c r="Y60" s="20" t="n">
        <f aca="false">IF(ISNUMBER(Y53),Y53+N(Y56),Y93+N(Y56))</f>
        <v>109.318</v>
      </c>
      <c r="Z60" s="20" t="n">
        <f aca="false">IF(ISNUMBER(Z53),Z53+N(Z56),Z93+N(Z56))</f>
        <v>135.462</v>
      </c>
      <c r="AA60" s="43" t="n">
        <f aca="false">IF(ISNUMBER(AA53),AA53+N(AA56),AA93+N(AA56))</f>
        <v>515.875</v>
      </c>
      <c r="AB60" s="20" t="n">
        <f aca="false">IF(ISNUMBER(AB53),AB53+N(AB56),AB93+N(AB56))</f>
        <v>131.945</v>
      </c>
      <c r="AC60" s="20" t="n">
        <f aca="false">IF(ISNUMBER(AC53),AC53+N(AC56),AC93+N(AC56))</f>
        <v>158.805</v>
      </c>
      <c r="AD60" s="20" t="n">
        <f aca="false">IF(ISNUMBER(AD53),AD53+N(AD56),AD93+N(AD56))</f>
        <v>290.75</v>
      </c>
      <c r="AE60" s="20" t="n">
        <f aca="false">IF(ISNUMBER(AE53),AE53+N(AE56),AE93+N(AE56))</f>
        <v>128.876</v>
      </c>
      <c r="AF60" s="20" t="n">
        <f aca="false">IF(ISNUMBER(AF53),AF53+N(AF56),AF93+N(AF56))</f>
        <v>146.769</v>
      </c>
      <c r="AG60" s="43" t="n">
        <f aca="false">IF(ISNUMBER(AG53),AG53+N(AG56),AG93+N(AG56))</f>
        <v>566.395</v>
      </c>
      <c r="AH60" s="20" t="n">
        <f aca="false">IF(ISNUMBER(AH53),AH53+N(AH56),AH93+N(AH56))</f>
        <v>199.427</v>
      </c>
      <c r="AI60" s="20" t="n">
        <f aca="false">IF(ISNUMBER(AI53),AI53+N(AI56),AI93+N(AI56))</f>
        <v>252.613</v>
      </c>
      <c r="AJ60" s="20" t="n">
        <f aca="false">IF(ISNUMBER(AJ53),AJ53+N(AJ56),AJ93+N(AJ56))</f>
        <v>452.04</v>
      </c>
      <c r="AK60" s="20" t="n">
        <f aca="false">IF(ISNUMBER(AK53),AK53+N(AK56),AK93+N(AK56))</f>
        <v>227.401</v>
      </c>
      <c r="AL60" s="20" t="n">
        <f aca="false">IF(ISNUMBER(AL53),AL53+N(AL56),AL93+N(AL56))</f>
        <v>291.75</v>
      </c>
      <c r="AM60" s="43" t="n">
        <f aca="false">IF(ISNUMBER(AM53),AM53+N(AM56),AM93+N(AM56))</f>
        <v>971.191</v>
      </c>
      <c r="AN60" s="20" t="n">
        <f aca="false">IF(ISNUMBER(AN53),AN53+N(AN56),AN93+N(AN56))</f>
        <v>260.178</v>
      </c>
      <c r="AO60" s="20" t="n">
        <f aca="false">IF(ISNUMBER(AO53),AO53+N(AO56),AO93+N(AO56))</f>
        <v>308.53</v>
      </c>
      <c r="AP60" s="20" t="n">
        <f aca="false">IF(ISNUMBER(AP53),AP53+N(AP56),AP93+N(AP56))</f>
        <v>568.708</v>
      </c>
      <c r="AQ60" s="20" t="n">
        <f aca="false">IF(ISNUMBER(AQ53),AQ53+N(AQ56),AQ93+N(AQ56))</f>
        <v>245.346</v>
      </c>
      <c r="AR60" s="20" t="n">
        <f aca="false">IF(ISNUMBER(AR53),AR53+N(AR56),AR93+N(AR56))</f>
        <v>355.972</v>
      </c>
      <c r="AS60" s="43" t="n">
        <f aca="false">IF(ISNUMBER(AS53),AS53+N(AS56),AS93+N(AS56))</f>
        <v>1170.026</v>
      </c>
      <c r="AT60" s="20" t="n">
        <f aca="false">IF(ISNUMBER(AT53),AT53+N(AT56),AT93+N(AT56))</f>
        <v>303.429</v>
      </c>
      <c r="AU60" s="20" t="n">
        <f aca="false">IF(ISNUMBER(AU53),AU53+N(AU56),AU93+N(AU56))</f>
        <v>393.222</v>
      </c>
      <c r="AV60" s="20" t="n">
        <f aca="false">IF(ISNUMBER(AV53),AV53+N(AV56),AV93+N(AV56))</f>
        <v>696.651</v>
      </c>
      <c r="AW60" s="20" t="n">
        <f aca="false">IF(ISNUMBER(AW53),AW53+N(AW56),AW93+N(AW56))</f>
        <v>289.796</v>
      </c>
      <c r="AX60" s="20" t="n">
        <f aca="false">IF(ISNUMBER(AX53),AX53+N(AX56),AX93+N(AX56))</f>
        <v>332.194</v>
      </c>
      <c r="AY60" s="43" t="n">
        <f aca="false">IF(ISNUMBER(AY53),AY53+N(AY56),AY93+N(AY56))</f>
        <v>1318.641</v>
      </c>
      <c r="AZ60" s="20" t="n">
        <f aca="false">IF(ISNUMBER(AZ53),AZ53+N(AZ56),AZ93+N(AZ56))</f>
        <v>273.255</v>
      </c>
      <c r="BA60" s="20" t="n">
        <f aca="false">IF(ISNUMBER(BA53),BA53+N(BA56),BA93+N(BA56))</f>
        <v>389.05</v>
      </c>
      <c r="BB60" s="20" t="n">
        <f aca="false">IF(ISNUMBER(BB53),BB53+N(BB56),BB93+N(BB56))</f>
        <v>662.305</v>
      </c>
      <c r="BC60" s="20" t="n">
        <f aca="false">IF(ISNUMBER(BC53),BC53+N(BC56),BC93+N(BC56))</f>
        <v>331.542</v>
      </c>
      <c r="BD60" s="20" t="n">
        <f aca="false">IF(ISNUMBER(BD53),BD53+N(BD56),BD93+N(BD56))</f>
        <v>383.413</v>
      </c>
      <c r="BE60" s="43" t="n">
        <f aca="false">IF(ISNUMBER(BE53),BE53+N(BE56),BE93+N(BE56))</f>
        <v>1377.26</v>
      </c>
      <c r="BF60" s="20" t="n">
        <f aca="false">IF(ISNUMBER(BF53),BF53+N(BF56),BF93+N(BF56))</f>
        <v>331.555</v>
      </c>
      <c r="BG60" s="20" t="n">
        <f aca="false">IF(ISNUMBER(BG53),BG53+N(BG56),BG93+N(BG56))</f>
        <v>396.361</v>
      </c>
      <c r="BH60" s="20" t="n">
        <f aca="false">IF(ISNUMBER(BH53),BH53+N(BH56),BH93+N(BH56))</f>
        <v>727.916</v>
      </c>
      <c r="BI60" s="20" t="n">
        <f aca="false">IF(ISNUMBER(BI53),BI53+N(BI56),BI93+N(BI56))</f>
        <v>329.682</v>
      </c>
      <c r="BJ60" s="20" t="n">
        <f aca="false">IF(ISNUMBER(BJ53),BJ53+N(BJ56),BJ93+N(BJ56))</f>
        <v>359.373</v>
      </c>
      <c r="BK60" s="43" t="n">
        <f aca="false">IF(ISNUMBER(BK53),BK53+N(BK56),BK93+N(BK56))</f>
        <v>1416.971</v>
      </c>
      <c r="BL60" s="20" t="n">
        <f aca="false">IF(ISNUMBER(BL53),BL53+N(BL56),BL93+N(BL56))</f>
        <v>393.921</v>
      </c>
      <c r="BM60" s="20" t="n">
        <f aca="false">IF(ISNUMBER(BM53),BM53+N(BM56),BM93+N(BM56))</f>
        <v>484.546</v>
      </c>
      <c r="BN60" s="20" t="n">
        <f aca="false">IF(ISNUMBER(BN53),BN53+N(BN56),BN93+N(BN56))</f>
        <v>878.467</v>
      </c>
      <c r="BO60" s="20" t="n">
        <f aca="false">IF(ISNUMBER(BO53),BO53+N(BO56),BO93+N(BO56))</f>
        <v>411.479</v>
      </c>
      <c r="BP60" s="20" t="n">
        <f aca="false">IF(ISNUMBER(BP53),BP53+N(BP56),BP93+N(BP56))</f>
        <v>443.861</v>
      </c>
      <c r="BQ60" s="43" t="n">
        <f aca="false">IF(ISNUMBER(BQ53),BQ53+N(BQ56),BQ93+N(BQ56))</f>
        <v>1733.808</v>
      </c>
      <c r="BR60" s="20" t="n">
        <f aca="false">IF(ISNUMBER(BR53),BR53+N(BR56),BR93+N(BR56))</f>
        <v>512.4</v>
      </c>
      <c r="BS60" s="20" t="n">
        <f aca="false">IF(ISNUMBER(BS53),BS53+N(BS56),BS93+N(BS56))</f>
        <v>1106.5</v>
      </c>
      <c r="BT60" s="20" t="n">
        <f aca="false">IF(ISNUMBER(BT53),BT53+N(BT56),BT93+N(BT56))</f>
        <v>1618.9</v>
      </c>
      <c r="BU60" s="20" t="n">
        <f aca="false">IF(ISNUMBER(BU53),BU53+N(BU56),BU93+N(BU56))</f>
        <v>1019.8</v>
      </c>
      <c r="BV60" s="20" t="n">
        <f aca="false">IF(ISNUMBER(BV53),BV53+N(BV56),BV93+N(BV56))</f>
        <v>1040.9</v>
      </c>
      <c r="BW60" s="43" t="n">
        <f aca="false">IF(ISNUMBER(BW53),BW53+N(BW56),BW93+N(BW56))</f>
        <v>3679.6</v>
      </c>
      <c r="BX60" s="20" t="n">
        <f aca="false">IF(ISNUMBER(BX53),BX53+N(BX56),BX93+N(BX56))</f>
        <v>1064.7</v>
      </c>
      <c r="BY60" s="20" t="n">
        <f aca="false">IF(ISNUMBER(BY53),BY53+N(BY56),BY93+N(BY56))</f>
        <v>1096.1</v>
      </c>
      <c r="BZ60" s="20" t="n">
        <f aca="false">IF(ISNUMBER(BZ53),BZ53+N(BZ56),BZ93+N(BZ56))</f>
        <v>2160.8</v>
      </c>
      <c r="CA60" s="20" t="n">
        <f aca="false">IF(ISNUMBER(CA53),CA53+N(CA56),CA93+N(CA56))</f>
        <v>981.8</v>
      </c>
      <c r="CB60" s="20" t="n">
        <f aca="false">IF(ISNUMBER(CB53),CB53+N(CB56),CB93+N(CB56))</f>
        <v>1141.6</v>
      </c>
      <c r="CC60" s="43" t="n">
        <f aca="false">IF(ISNUMBER(CC53),CC53+N(CC56),CC93+N(CC56))</f>
        <v>4284.2</v>
      </c>
      <c r="CD60" s="20" t="n">
        <f aca="false">IF(ISNUMBER(CD53),CD53+N(CD56),CD93+N(CD56))</f>
        <v>1108.6</v>
      </c>
      <c r="CE60" s="20" t="n">
        <f aca="false">IF(ISNUMBER(CE53),CE53+N(CE56),CE93+N(CE56))</f>
        <v>1186</v>
      </c>
      <c r="CF60" s="20" t="n">
        <f aca="false">IF(ISNUMBER(CF53),CF53+N(CF56),CF93+N(CF56))</f>
        <v>2294.6</v>
      </c>
      <c r="CG60" s="20" t="n">
        <f aca="false">IF(ISNUMBER(CG53),CG53+N(CG56),CG93+N(CG56))</f>
        <v>1092.7</v>
      </c>
      <c r="CH60" s="20" t="n">
        <f aca="false">IF(ISNUMBER(CH53),CH53+N(CH56),CH93+N(CH56))</f>
        <v>1203.4</v>
      </c>
      <c r="CI60" s="43" t="n">
        <f aca="false">IF(ISNUMBER(CI53),CI53+N(CI56),CI93+N(CI56))</f>
        <v>4590.7</v>
      </c>
      <c r="CJ60" s="20" t="n">
        <f aca="false">IF(ISNUMBER(CJ53),CJ53+N(CJ56),CJ93+N(CJ56))</f>
        <v>1234.6</v>
      </c>
      <c r="CK60" s="20" t="n">
        <f aca="false">IF(ISNUMBER(CK53),CK53+N(CK56),CK93+N(CK56))</f>
        <v>1317.1</v>
      </c>
      <c r="CL60" s="20" t="n">
        <f aca="false">IF(ISNUMBER(CL53),CL53+N(CL56),CL93+N(CL56))</f>
        <v>2551.7</v>
      </c>
      <c r="CM60" s="43" t="n">
        <f aca="false">CM53+CM56</f>
        <v>1160.9867997448</v>
      </c>
      <c r="CN60" s="43" t="n">
        <f aca="false">CN53+CN56</f>
        <v>1293.36532879542</v>
      </c>
      <c r="CO60" s="43" t="n">
        <f aca="false">SUM(CJ60,CK60,CM60,CN60)</f>
        <v>5006.05212854023</v>
      </c>
      <c r="CP60" s="43" t="n">
        <f aca="false">CP53+CP56</f>
        <v>5262.04086492624</v>
      </c>
      <c r="CQ60" s="43" t="n">
        <f aca="false">CQ53+CQ56</f>
        <v>5513.29931356164</v>
      </c>
      <c r="CR60" s="43" t="n">
        <f aca="false">CR53+CR56</f>
        <v>5749.8059300941</v>
      </c>
      <c r="CS60" s="43" t="n">
        <f aca="false">CS53+CS56</f>
        <v>5996.49951730531</v>
      </c>
      <c r="CT60" s="23" t="s">
        <v>173</v>
      </c>
      <c r="CV60" s="24" t="n">
        <f aca="false">IFERROR((CS60/CI60)^(1/5)-1,"n/m")</f>
        <v>0.0548817480194668</v>
      </c>
      <c r="CW60" s="24" t="n">
        <f aca="false">IFERROR((CI60/BE60)^(1/5)-1,"n/m")</f>
        <v>0.272250398791166</v>
      </c>
      <c r="CX60" s="24" t="n">
        <f aca="false">IFERROR((CI60/AA60)^(1/10)-1,"n/m")</f>
        <v>0.244323900844261</v>
      </c>
      <c r="CY60" s="24" t="n">
        <f aca="false">IFERROR((CI60/C60)^(1/19)-1,"n/m")</f>
        <v>0.163632356126279</v>
      </c>
    </row>
    <row r="61" customFormat="false" ht="15" hidden="false" customHeight="true" outlineLevel="0" collapsed="false">
      <c r="B61" s="30" t="s">
        <v>174</v>
      </c>
      <c r="C61" s="44" t="n">
        <f aca="false">IFERROR(C60/C39,"")</f>
        <v>0.094764726354757</v>
      </c>
      <c r="D61" s="44" t="n">
        <f aca="false">IFERROR(D60/D39,"")</f>
        <v>0.0978840935288216</v>
      </c>
      <c r="E61" s="44" t="n">
        <f aca="false">IFERROR(E60/E39,"")</f>
        <v>0.0994679240628399</v>
      </c>
      <c r="F61" s="44" t="n">
        <f aca="false">IFERROR(F60/F39,"")</f>
        <v>0.10802082805344</v>
      </c>
      <c r="G61" s="44" t="n">
        <f aca="false">IFERROR(G60/G39,"")</f>
        <v>0.109028055956319</v>
      </c>
      <c r="H61" s="44" t="n">
        <f aca="false">IFERROR(H60/H39,"")</f>
        <v>0.106642173815067</v>
      </c>
      <c r="I61" s="44" t="n">
        <f aca="false">IFERROR(I60/I39,"")</f>
        <v>0.112066532394778</v>
      </c>
      <c r="J61" s="44" t="n">
        <f aca="false">IFERROR(J60/J39,"")</f>
        <v>0.120728263814052</v>
      </c>
      <c r="K61" s="44" t="n">
        <f aca="false">IFERROR(K60/K39,"")</f>
        <v>0.119598263466245</v>
      </c>
      <c r="L61" s="44" t="n">
        <f aca="false">IFERROR(L60/L39,"")</f>
        <v>0.120096231288723</v>
      </c>
      <c r="M61" s="44" t="n">
        <f aca="false">IFERROR(M60/M39,"")</f>
        <v>0.13398510713743</v>
      </c>
      <c r="N61" s="44" t="n">
        <f aca="false">IFERROR(N60/N39,"")</f>
        <v>0.118236601149361</v>
      </c>
      <c r="O61" s="44" t="n">
        <f aca="false">IFERROR(O60/O39,"")</f>
        <v>0.122428308260662</v>
      </c>
      <c r="P61" s="44" t="n">
        <f aca="false">IFERROR(P60/P39,"")</f>
        <v>0.115256781512713</v>
      </c>
      <c r="Q61" s="44" t="n">
        <f aca="false">IFERROR(Q60/Q39,"")</f>
        <v>0.115387681784309</v>
      </c>
      <c r="R61" s="44" t="n">
        <f aca="false">IFERROR(R60/R39,"")</f>
        <v>0.115333968792769</v>
      </c>
      <c r="S61" s="44" t="n">
        <f aca="false">IFERROR(S60/S39,"")</f>
        <v>0.115255120219738</v>
      </c>
      <c r="T61" s="44" t="n">
        <f aca="false">IFERROR(T60/T39,"")</f>
        <v>0.111552356459639</v>
      </c>
      <c r="U61" s="44" t="n">
        <f aca="false">IFERROR(U60/U39,"")</f>
        <v>0.114203180380194</v>
      </c>
      <c r="V61" s="44" t="n">
        <f aca="false">IFERROR(V60/V39,"")</f>
        <v>0.120994892005848</v>
      </c>
      <c r="W61" s="44" t="n">
        <f aca="false">IFERROR(W60/W39,"")</f>
        <v>0.123182492346502</v>
      </c>
      <c r="X61" s="44" t="n">
        <f aca="false">IFERROR(X60/X39,"")</f>
        <v>0.122239912992074</v>
      </c>
      <c r="Y61" s="44" t="n">
        <f aca="false">IFERROR(Y60/Y39,"")</f>
        <v>0.122210061609218</v>
      </c>
      <c r="Z61" s="44" t="n">
        <f aca="false">IFERROR(Z60/Z39,"")</f>
        <v>0.119308048198119</v>
      </c>
      <c r="AA61" s="44" t="n">
        <f aca="false">IFERROR(AA60/AA39,"")</f>
        <v>0.121449936258647</v>
      </c>
      <c r="AB61" s="44" t="n">
        <f aca="false">IFERROR(AB60/AB39,"")</f>
        <v>0.129367735964123</v>
      </c>
      <c r="AC61" s="44" t="n">
        <f aca="false">IFERROR(AC60/AC39,"")</f>
        <v>0.124486353182063</v>
      </c>
      <c r="AD61" s="44" t="n">
        <f aca="false">IFERROR(AD60/AD39,"")</f>
        <v>0.126655119959714</v>
      </c>
      <c r="AE61" s="44" t="n">
        <f aca="false">IFERROR(AE60/AE39,"")</f>
        <v>0.129023215488873</v>
      </c>
      <c r="AF61" s="44" t="n">
        <f aca="false">IFERROR(AF60/AF39,"")</f>
        <v>0.141076289563532</v>
      </c>
      <c r="AG61" s="44" t="n">
        <f aca="false">IFERROR(AG60/AG39,"")</f>
        <v>0.130661862155594</v>
      </c>
      <c r="AH61" s="44" t="n">
        <f aca="false">IFERROR(AH60/AH39,"")</f>
        <v>0.221730912487075</v>
      </c>
      <c r="AI61" s="44" t="n">
        <f aca="false">IFERROR(AI60/AI39,"")</f>
        <v>0.201394702140924</v>
      </c>
      <c r="AJ61" s="44" t="n">
        <f aca="false">IFERROR(AJ60/AJ39,"")</f>
        <v>0.20988722809937</v>
      </c>
      <c r="AK61" s="44" t="n">
        <f aca="false">IFERROR(AK60/AK39,"")</f>
        <v>0.22309044639476</v>
      </c>
      <c r="AL61" s="44" t="n">
        <f aca="false">IFERROR(AL60/AL39,"")</f>
        <v>0.225301405788103</v>
      </c>
      <c r="AM61" s="44" t="n">
        <f aca="false">IFERROR(AM60/AM39,"")</f>
        <v>0.217366811236035</v>
      </c>
      <c r="AN61" s="44" t="n">
        <f aca="false">IFERROR(AN60/AN39,"")</f>
        <v>0.224153795256705</v>
      </c>
      <c r="AO61" s="44" t="n">
        <f aca="false">IFERROR(AO60/AO39,"")</f>
        <v>0.216297955990275</v>
      </c>
      <c r="AP61" s="44" t="n">
        <f aca="false">IFERROR(AP60/AP39,"")</f>
        <v>0.219822474686177</v>
      </c>
      <c r="AQ61" s="44" t="n">
        <f aca="false">IFERROR(AQ60/AQ39,"")</f>
        <v>0.23603966416112</v>
      </c>
      <c r="AR61" s="44" t="n">
        <f aca="false">IFERROR(AR60/AR39,"")</f>
        <v>0.266124606949389</v>
      </c>
      <c r="AS61" s="44" t="n">
        <f aca="false">IFERROR(AS60/AS39,"")</f>
        <v>0.235694421921914</v>
      </c>
      <c r="AT61" s="44" t="n">
        <f aca="false">IFERROR(AT60/AT39,"")</f>
        <v>0.258307574567053</v>
      </c>
      <c r="AU61" s="44" t="n">
        <f aca="false">IFERROR(AU60/AU39,"")</f>
        <v>0.262540585689134</v>
      </c>
      <c r="AV61" s="44" t="n">
        <f aca="false">IFERROR(AV60/AV39,"")</f>
        <v>0.260679948421629</v>
      </c>
      <c r="AW61" s="44" t="n">
        <f aca="false">IFERROR(AW60/AW39,"")</f>
        <v>0.267280060429369</v>
      </c>
      <c r="AX61" s="44" t="n">
        <f aca="false">IFERROR(AX60/AX39,"")</f>
        <v>0.240040522924934</v>
      </c>
      <c r="AY61" s="44" t="n">
        <f aca="false">IFERROR(AY60/AY39,"")</f>
        <v>0.256515646948491</v>
      </c>
      <c r="AZ61" s="44" t="n">
        <f aca="false">IFERROR(AZ60/AZ39,"")</f>
        <v>0.238229332403391</v>
      </c>
      <c r="BA61" s="44" t="n">
        <f aca="false">IFERROR(BA60/BA39,"")</f>
        <v>0.260411437353328</v>
      </c>
      <c r="BB61" s="44" t="n">
        <f aca="false">IFERROR(BB60/BB39,"")</f>
        <v>0.250777449662193</v>
      </c>
      <c r="BC61" s="44" t="n">
        <f aca="false">IFERROR(BC60/BC39,"")</f>
        <v>0.250906061016559</v>
      </c>
      <c r="BD61" s="44" t="n">
        <f aca="false">IFERROR(BD60/BD39,"")</f>
        <v>0.264635927422917</v>
      </c>
      <c r="BE61" s="44" t="n">
        <f aca="false">IFERROR(BE60/BE39,"")</f>
        <v>0.254519407645377</v>
      </c>
      <c r="BF61" s="44" t="n">
        <f aca="false">IFERROR(BF60/BF39,"")</f>
        <v>0.26013719470334</v>
      </c>
      <c r="BG61" s="44" t="n">
        <f aca="false">IFERROR(BG60/BG39,"")</f>
        <v>0.259459349769121</v>
      </c>
      <c r="BH61" s="44" t="n">
        <f aca="false">IFERROR(BH60/BH39,"")</f>
        <v>0.259767659548045</v>
      </c>
      <c r="BI61" s="44" t="n">
        <f aca="false">IFERROR(BI60/BI39,"")</f>
        <v>0.259539400657189</v>
      </c>
      <c r="BJ61" s="44" t="n">
        <f aca="false">IFERROR(BJ60/BJ39,"")</f>
        <v>0.245894606333801</v>
      </c>
      <c r="BK61" s="44" t="n">
        <f aca="false">IFERROR(BK60/BK39,"")</f>
        <v>0.256051439745093</v>
      </c>
      <c r="BL61" s="44" t="n">
        <f aca="false">IFERROR(BL60/BL39,"")</f>
        <v>0.273726378547778</v>
      </c>
      <c r="BM61" s="44" t="n">
        <f aca="false">IFERROR(BM60/BM39,"")</f>
        <v>0.287688003628859</v>
      </c>
      <c r="BN61" s="44" t="n">
        <f aca="false">IFERROR(BN60/BN39,"")</f>
        <v>0.281255152669495</v>
      </c>
      <c r="BO61" s="44" t="n">
        <f aca="false">IFERROR(BO60/BO39,"")</f>
        <v>0.302949695267854</v>
      </c>
      <c r="BP61" s="44" t="n">
        <f aca="false">IFERROR(BP60/BP39,"")</f>
        <v>0.287425037250683</v>
      </c>
      <c r="BQ61" s="44" t="n">
        <f aca="false">IFERROR(BQ60/BQ39,"")</f>
        <v>0.287726508072087</v>
      </c>
      <c r="BR61" s="44" t="n">
        <f aca="false">IFERROR(BR60/BR39,"")</f>
        <v>0.269797809604044</v>
      </c>
      <c r="BS61" s="44" t="n">
        <f aca="false">IFERROR(BS60/BS39,"")</f>
        <v>0.267012548262548</v>
      </c>
      <c r="BT61" s="44" t="n">
        <f aca="false">IFERROR(BT60/BT39,"")</f>
        <v>0.267887873974054</v>
      </c>
      <c r="BU61" s="44" t="n">
        <f aca="false">IFERROR(BU60/BU39,"")</f>
        <v>0.263147029984002</v>
      </c>
      <c r="BV61" s="44" t="n">
        <f aca="false">IFERROR(BV60/BV39,"")</f>
        <v>0.25944666001994</v>
      </c>
      <c r="BW61" s="44" t="n">
        <f aca="false">IFERROR(BW60/BW39,"")</f>
        <v>0.264137940935782</v>
      </c>
      <c r="BX61" s="44" t="n">
        <f aca="false">IFERROR(BX60/BX39,"")</f>
        <v>0.261122283808309</v>
      </c>
      <c r="BY61" s="44" t="n">
        <f aca="false">IFERROR(BY60/BY39,"")</f>
        <v>0.267074389025609</v>
      </c>
      <c r="BZ61" s="44" t="n">
        <f aca="false">IFERROR(BZ60/BZ39,"")</f>
        <v>0.264108048646336</v>
      </c>
      <c r="CA61" s="44" t="n">
        <f aca="false">IFERROR(CA60/CA39,"")</f>
        <v>0.271050742642593</v>
      </c>
      <c r="CB61" s="44" t="n">
        <f aca="false">IFERROR(CB60/CB39,"")</f>
        <v>0.278357553886667</v>
      </c>
      <c r="CC61" s="44" t="n">
        <f aca="false">IFERROR(CC60/CC39,"")</f>
        <v>0.26936522307731</v>
      </c>
      <c r="CD61" s="44" t="n">
        <f aca="false">IFERROR(CD60/CD39,"")</f>
        <v>0.289534853352138</v>
      </c>
      <c r="CE61" s="44" t="n">
        <f aca="false">IFERROR(CE60/CE39,"")</f>
        <v>0.282508753960125</v>
      </c>
      <c r="CF61" s="44" t="n">
        <f aca="false">IFERROR(CF60/CF39,"")</f>
        <v>0.285860221751588</v>
      </c>
      <c r="CG61" s="44" t="n">
        <f aca="false">IFERROR(CG60/CG39,"")</f>
        <v>0.280625609944014</v>
      </c>
      <c r="CH61" s="44" t="n">
        <f aca="false">IFERROR(CH60/CH39,"")</f>
        <v>0.281095980005139</v>
      </c>
      <c r="CI61" s="44" t="n">
        <f aca="false">IFERROR(CI60/CI39,"")</f>
        <v>0.283343311586913</v>
      </c>
      <c r="CJ61" s="44" t="n">
        <f aca="false">IFERROR(CJ60/CJ39,"")</f>
        <v>0.284411066829459</v>
      </c>
      <c r="CK61" s="44" t="n">
        <f aca="false">IFERROR(CK60/CK39,"")</f>
        <v>0.281871294968648</v>
      </c>
      <c r="CL61" s="44" t="n">
        <f aca="false">IFERROR(CL60/CL39,"")</f>
        <v>0.283094435075885</v>
      </c>
      <c r="CM61" s="35" t="n">
        <f aca="false">IFERROR(CM60/CM39,"")</f>
        <v>0.276716224980538</v>
      </c>
      <c r="CN61" s="35" t="n">
        <f aca="false">IFERROR(CN60/CN39,"")</f>
        <v>0.280379867021173</v>
      </c>
      <c r="CO61" s="35" t="n">
        <f aca="false">IFERROR(CO60/CO39,"")</f>
        <v>0.280890295612929</v>
      </c>
      <c r="CP61" s="35" t="n">
        <f aca="false">IFERROR(CP60/CP39,"")</f>
        <v>0.28</v>
      </c>
      <c r="CQ61" s="35" t="n">
        <f aca="false">IFERROR(CQ60/CQ39,"")</f>
        <v>0.28</v>
      </c>
      <c r="CR61" s="35" t="n">
        <f aca="false">IFERROR(CR60/CR39,"")</f>
        <v>0.28</v>
      </c>
      <c r="CS61" s="35" t="n">
        <f aca="false">IFERROR(CS60/CS39,"")</f>
        <v>0.28</v>
      </c>
      <c r="CT61" s="23"/>
      <c r="CV61" s="7"/>
      <c r="CW61" s="7"/>
      <c r="CX61" s="7"/>
      <c r="CY61" s="7"/>
    </row>
    <row r="62" customFormat="false" ht="15" hidden="false" customHeight="true" outlineLevel="0" collapsed="false">
      <c r="B62" s="46" t="s">
        <v>175</v>
      </c>
      <c r="C62" s="31" t="str">
        <f aca="false">IF(ISNUMBER(C53),ROUND(C53-C93,1),"n/d")</f>
        <v>n/d</v>
      </c>
      <c r="D62" s="31" t="str">
        <f aca="false">IF(ISNUMBER(D53),ROUND(D53-D93,1),"n/d")</f>
        <v>n/d</v>
      </c>
      <c r="E62" s="31" t="str">
        <f aca="false">IF(ISNUMBER(E53),ROUND(E53-E93,1),"n/d")</f>
        <v>n/d</v>
      </c>
      <c r="F62" s="31" t="str">
        <f aca="false">IF(ISNUMBER(F53),ROUND(F53-F93,1),"n/d")</f>
        <v>n/d</v>
      </c>
      <c r="G62" s="31" t="n">
        <f aca="false">IF(ISNUMBER(G53),ROUND(G53-G93,1),"n/d")</f>
        <v>0</v>
      </c>
      <c r="H62" s="31" t="n">
        <f aca="false">IF(ISNUMBER(H53),ROUND(H53-H93,1),"n/d")</f>
        <v>0</v>
      </c>
      <c r="I62" s="31" t="n">
        <f aca="false">IF(ISNUMBER(I53),ROUND(I53-I93,1),"n/d")</f>
        <v>0</v>
      </c>
      <c r="J62" s="31" t="n">
        <f aca="false">IF(ISNUMBER(J53),ROUND(J53-J93,1),"n/d")</f>
        <v>0</v>
      </c>
      <c r="K62" s="31" t="n">
        <f aca="false">IF(ISNUMBER(K53),ROUND(K53-K93,1),"n/d")</f>
        <v>0</v>
      </c>
      <c r="L62" s="31" t="n">
        <f aca="false">IF(ISNUMBER(L53),ROUND(L53-L93,1),"n/d")</f>
        <v>0</v>
      </c>
      <c r="M62" s="31" t="n">
        <f aca="false">IF(ISNUMBER(M53),ROUND(M53-M93,1),"n/d")</f>
        <v>0</v>
      </c>
      <c r="N62" s="31" t="n">
        <f aca="false">IF(ISNUMBER(N53),ROUND(N53-N93,1),"n/d")</f>
        <v>0</v>
      </c>
      <c r="O62" s="31" t="n">
        <f aca="false">IF(ISNUMBER(O53),ROUND(O53-O93,1),"n/d")</f>
        <v>0</v>
      </c>
      <c r="P62" s="31" t="n">
        <f aca="false">IF(ISNUMBER(P53),ROUND(P53-P93,1),"n/d")</f>
        <v>0</v>
      </c>
      <c r="Q62" s="31" t="n">
        <f aca="false">IF(ISNUMBER(Q53),ROUND(Q53-Q93,1),"n/d")</f>
        <v>0</v>
      </c>
      <c r="R62" s="31" t="n">
        <f aca="false">IF(ISNUMBER(R53),ROUND(R53-R93,1),"n/d")</f>
        <v>0</v>
      </c>
      <c r="S62" s="31" t="n">
        <f aca="false">IF(ISNUMBER(S53),ROUND(S53-S93,1),"n/d")</f>
        <v>0</v>
      </c>
      <c r="T62" s="31" t="n">
        <f aca="false">IF(ISNUMBER(T53),ROUND(T53-T93,1),"n/d")</f>
        <v>0</v>
      </c>
      <c r="U62" s="31" t="n">
        <f aca="false">IF(ISNUMBER(U53),ROUND(U53-U93,1),"n/d")</f>
        <v>0</v>
      </c>
      <c r="V62" s="31" t="n">
        <f aca="false">IF(ISNUMBER(V53),ROUND(V53-V93,1),"n/d")</f>
        <v>0</v>
      </c>
      <c r="W62" s="31" t="n">
        <f aca="false">IF(ISNUMBER(W53),ROUND(W53-W93,1),"n/d")</f>
        <v>0</v>
      </c>
      <c r="X62" s="31" t="n">
        <f aca="false">IF(ISNUMBER(X53),ROUND(X53-X93,1),"n/d")</f>
        <v>0</v>
      </c>
      <c r="Y62" s="31" t="n">
        <f aca="false">IF(ISNUMBER(Y53),ROUND(Y53-Y93,1),"n/d")</f>
        <v>0</v>
      </c>
      <c r="Z62" s="31" t="n">
        <f aca="false">IF(ISNUMBER(Z53),ROUND(Z53-Z93,1),"n/d")</f>
        <v>0</v>
      </c>
      <c r="AA62" s="31" t="n">
        <f aca="false">IF(ISNUMBER(AA53),ROUND(AA53-AA93,1),"n/d")</f>
        <v>0</v>
      </c>
      <c r="AB62" s="31" t="n">
        <f aca="false">IF(ISNUMBER(AB53),ROUND(AB53-AB93,1),"n/d")</f>
        <v>0</v>
      </c>
      <c r="AC62" s="31" t="n">
        <f aca="false">IF(ISNUMBER(AC53),ROUND(AC53-AC93,1),"n/d")</f>
        <v>0</v>
      </c>
      <c r="AD62" s="31" t="n">
        <f aca="false">IF(ISNUMBER(AD53),ROUND(AD53-AD93,1),"n/d")</f>
        <v>0</v>
      </c>
      <c r="AE62" s="31" t="n">
        <f aca="false">IF(ISNUMBER(AE53),ROUND(AE53-AE93,1),"n/d")</f>
        <v>0</v>
      </c>
      <c r="AF62" s="31" t="n">
        <f aca="false">IF(ISNUMBER(AF53),ROUND(AF53-AF93,1),"n/d")</f>
        <v>0</v>
      </c>
      <c r="AG62" s="31" t="n">
        <f aca="false">IF(ISNUMBER(AG53),ROUND(AG53-AG93,1),"n/d")</f>
        <v>0</v>
      </c>
      <c r="AH62" s="31" t="n">
        <f aca="false">IF(ISNUMBER(AH53),ROUND(AH53-AH93,1),"n/d")</f>
        <v>0</v>
      </c>
      <c r="AI62" s="31" t="n">
        <f aca="false">IF(ISNUMBER(AI53),ROUND(AI53-AI93,1),"n/d")</f>
        <v>0</v>
      </c>
      <c r="AJ62" s="31" t="n">
        <f aca="false">IF(ISNUMBER(AJ53),ROUND(AJ53-AJ93,1),"n/d")</f>
        <v>0</v>
      </c>
      <c r="AK62" s="31" t="n">
        <f aca="false">IF(ISNUMBER(AK53),ROUND(AK53-AK93,1),"n/d")</f>
        <v>0</v>
      </c>
      <c r="AL62" s="31" t="n">
        <f aca="false">IF(ISNUMBER(AL53),ROUND(AL53-AL93,1),"n/d")</f>
        <v>0</v>
      </c>
      <c r="AM62" s="31" t="n">
        <f aca="false">IF(ISNUMBER(AM53),ROUND(AM53-AM93,1),"n/d")</f>
        <v>0</v>
      </c>
      <c r="AN62" s="31" t="n">
        <f aca="false">IF(ISNUMBER(AN53),ROUND(AN53-AN93,1),"n/d")</f>
        <v>0</v>
      </c>
      <c r="AO62" s="31" t="n">
        <f aca="false">IF(ISNUMBER(AO53),ROUND(AO53-AO93,1),"n/d")</f>
        <v>0</v>
      </c>
      <c r="AP62" s="31" t="n">
        <f aca="false">IF(ISNUMBER(AP53),ROUND(AP53-AP93,1),"n/d")</f>
        <v>0</v>
      </c>
      <c r="AQ62" s="31" t="n">
        <f aca="false">IF(ISNUMBER(AQ53),ROUND(AQ53-AQ93,1),"n/d")</f>
        <v>0</v>
      </c>
      <c r="AR62" s="31" t="n">
        <f aca="false">IF(ISNUMBER(AR53),ROUND(AR53-AR93,1),"n/d")</f>
        <v>0</v>
      </c>
      <c r="AS62" s="31" t="n">
        <f aca="false">IF(ISNUMBER(AS53),ROUND(AS53-AS93,1),"n/d")</f>
        <v>0</v>
      </c>
      <c r="AT62" s="31" t="n">
        <f aca="false">IF(ISNUMBER(AT53),ROUND(AT53-AT93,1),"n/d")</f>
        <v>0</v>
      </c>
      <c r="AU62" s="31" t="n">
        <f aca="false">IF(ISNUMBER(AU53),ROUND(AU53-AU93,1),"n/d")</f>
        <v>0</v>
      </c>
      <c r="AV62" s="31" t="n">
        <f aca="false">IF(ISNUMBER(AV53),ROUND(AV53-AV93,1),"n/d")</f>
        <v>0</v>
      </c>
      <c r="AW62" s="31" t="n">
        <f aca="false">IF(ISNUMBER(AW53),ROUND(AW53-AW93,1),"n/d")</f>
        <v>0</v>
      </c>
      <c r="AX62" s="31" t="n">
        <f aca="false">IF(ISNUMBER(AX53),ROUND(AX53-AX93,1),"n/d")</f>
        <v>0</v>
      </c>
      <c r="AY62" s="31" t="n">
        <f aca="false">IF(ISNUMBER(AY53),ROUND(AY53-AY93,1),"n/d")</f>
        <v>0</v>
      </c>
      <c r="AZ62" s="31" t="n">
        <f aca="false">IF(ISNUMBER(AZ53),ROUND(AZ53-AZ93,1),"n/d")</f>
        <v>0</v>
      </c>
      <c r="BA62" s="31" t="n">
        <f aca="false">IF(ISNUMBER(BA53),ROUND(BA53-BA93,1),"n/d")</f>
        <v>0</v>
      </c>
      <c r="BB62" s="31" t="n">
        <f aca="false">IF(ISNUMBER(BB53),ROUND(BB53-BB93,1),"n/d")</f>
        <v>0</v>
      </c>
      <c r="BC62" s="31" t="n">
        <f aca="false">IF(ISNUMBER(BC53),ROUND(BC53-BC93,1),"n/d")</f>
        <v>0</v>
      </c>
      <c r="BD62" s="31" t="n">
        <f aca="false">IF(ISNUMBER(BD53),ROUND(BD53-BD93,1),"n/d")</f>
        <v>0</v>
      </c>
      <c r="BE62" s="31" t="n">
        <f aca="false">IF(ISNUMBER(BE53),ROUND(BE53-BE93,1),"n/d")</f>
        <v>0</v>
      </c>
      <c r="BF62" s="31" t="n">
        <f aca="false">IF(ISNUMBER(BF53),ROUND(BF53-BF93,1),"n/d")</f>
        <v>0</v>
      </c>
      <c r="BG62" s="31" t="n">
        <f aca="false">IF(ISNUMBER(BG53),ROUND(BG53-BG93,1),"n/d")</f>
        <v>0</v>
      </c>
      <c r="BH62" s="31" t="n">
        <f aca="false">IF(ISNUMBER(BH53),ROUND(BH53-BH93,1),"n/d")</f>
        <v>0</v>
      </c>
      <c r="BI62" s="31" t="n">
        <f aca="false">IF(ISNUMBER(BI53),ROUND(BI53-BI93,1),"n/d")</f>
        <v>0</v>
      </c>
      <c r="BJ62" s="31" t="n">
        <f aca="false">IF(ISNUMBER(BJ53),ROUND(BJ53-BJ93,1),"n/d")</f>
        <v>0</v>
      </c>
      <c r="BK62" s="31" t="n">
        <f aca="false">IF(ISNUMBER(BK53),ROUND(BK53-BK93,1),"n/d")</f>
        <v>0</v>
      </c>
      <c r="BL62" s="31" t="n">
        <f aca="false">IF(ISNUMBER(BL53),ROUND(BL53-BL93,1),"n/d")</f>
        <v>0</v>
      </c>
      <c r="BM62" s="31" t="n">
        <f aca="false">IF(ISNUMBER(BM53),ROUND(BM53-BM93,1),"n/d")</f>
        <v>0</v>
      </c>
      <c r="BN62" s="31" t="n">
        <f aca="false">IF(ISNUMBER(BN53),ROUND(BN53-BN93,1),"n/d")</f>
        <v>0</v>
      </c>
      <c r="BO62" s="31" t="n">
        <f aca="false">IF(ISNUMBER(BO53),ROUND(BO53-BO93,1),"n/d")</f>
        <v>0</v>
      </c>
      <c r="BP62" s="31" t="n">
        <f aca="false">IF(ISNUMBER(BP53),ROUND(BP53-BP93,1),"n/d")</f>
        <v>0</v>
      </c>
      <c r="BQ62" s="31" t="n">
        <f aca="false">IF(ISNUMBER(BQ53),ROUND(BQ53-BQ93,1),"n/d")</f>
        <v>0</v>
      </c>
      <c r="BR62" s="31" t="n">
        <f aca="false">IF(ISNUMBER(BR53),ROUND(BR53-BR93,1),"n/d")</f>
        <v>0</v>
      </c>
      <c r="BS62" s="31" t="n">
        <f aca="false">IF(ISNUMBER(BS53),ROUND(BS53-BS93,1),"n/d")</f>
        <v>0</v>
      </c>
      <c r="BT62" s="31" t="n">
        <f aca="false">IF(ISNUMBER(BT53),ROUND(BT53-BT93,1),"n/d")</f>
        <v>0</v>
      </c>
      <c r="BU62" s="31" t="n">
        <f aca="false">IF(ISNUMBER(BU53),ROUND(BU53-BU93,1),"n/d")</f>
        <v>0</v>
      </c>
      <c r="BV62" s="31" t="n">
        <f aca="false">IF(ISNUMBER(BV53),ROUND(BV53-BV93,1),"n/d")</f>
        <v>0</v>
      </c>
      <c r="BW62" s="31" t="n">
        <f aca="false">IF(ISNUMBER(BW53),ROUND(BW53-BW93,1),"n/d")</f>
        <v>0</v>
      </c>
      <c r="BX62" s="31" t="n">
        <f aca="false">IF(ISNUMBER(BX53),ROUND(BX53-BX93,1),"n/d")</f>
        <v>0</v>
      </c>
      <c r="BY62" s="31" t="n">
        <f aca="false">IF(ISNUMBER(BY53),ROUND(BY53-BY93,1),"n/d")</f>
        <v>0</v>
      </c>
      <c r="BZ62" s="31" t="n">
        <f aca="false">IF(ISNUMBER(BZ53),ROUND(BZ53-BZ93,1),"n/d")</f>
        <v>0</v>
      </c>
      <c r="CA62" s="31" t="n">
        <f aca="false">IF(ISNUMBER(CA53),ROUND(CA53-CA93,1),"n/d")</f>
        <v>0</v>
      </c>
      <c r="CB62" s="31" t="n">
        <f aca="false">IF(ISNUMBER(CB53),ROUND(CB53-CB93,1),"n/d")</f>
        <v>0</v>
      </c>
      <c r="CC62" s="31" t="n">
        <f aca="false">IF(ISNUMBER(CC53),ROUND(CC53-CC93,1),"n/d")</f>
        <v>0</v>
      </c>
      <c r="CD62" s="31" t="n">
        <f aca="false">IF(ISNUMBER(CD53),ROUND(CD53-CD93,1),"n/d")</f>
        <v>0</v>
      </c>
      <c r="CE62" s="31" t="n">
        <f aca="false">IF(ISNUMBER(CE53),ROUND(CE53-CE93,1),"n/d")</f>
        <v>0</v>
      </c>
      <c r="CF62" s="31" t="n">
        <f aca="false">IF(ISNUMBER(CF53),ROUND(CF53-CF93,1),"n/d")</f>
        <v>0</v>
      </c>
      <c r="CG62" s="31" t="n">
        <f aca="false">IF(ISNUMBER(CG53),ROUND(CG53-CG93,1),"n/d")</f>
        <v>0</v>
      </c>
      <c r="CH62" s="31" t="n">
        <f aca="false">IF(ISNUMBER(CH53),ROUND(CH53-CH93,1),"n/d")</f>
        <v>0</v>
      </c>
      <c r="CI62" s="31" t="n">
        <f aca="false">IF(ISNUMBER(CI53),ROUND(CI53-CI93,1),"n/d")</f>
        <v>0</v>
      </c>
      <c r="CJ62" s="31" t="n">
        <f aca="false">IF(ISNUMBER(CJ53),ROUND(CJ53-CJ93,1),"n/d")</f>
        <v>0</v>
      </c>
      <c r="CK62" s="31" t="n">
        <f aca="false">IF(ISNUMBER(CK53),ROUND(CK53-CK93,1),"n/d")</f>
        <v>0</v>
      </c>
      <c r="CL62" s="31" t="n">
        <f aca="false">IF(ISNUMBER(CL53),ROUND(CL53-CL93,1),"n/d")</f>
        <v>0</v>
      </c>
      <c r="CM62" s="32" t="n">
        <f aca="false">ROUND(CM60-CM95,1)</f>
        <v>0</v>
      </c>
      <c r="CN62" s="32" t="n">
        <f aca="false">ROUND(CN60-CN95,1)</f>
        <v>0</v>
      </c>
      <c r="CO62" s="32" t="n">
        <f aca="false">ROUND(CO60-CO95,1)</f>
        <v>0</v>
      </c>
      <c r="CP62" s="32" t="n">
        <f aca="false">ROUND(CP60-CP95,1)</f>
        <v>0</v>
      </c>
      <c r="CQ62" s="32" t="n">
        <f aca="false">ROUND(CQ60-CQ95,1)</f>
        <v>0</v>
      </c>
      <c r="CR62" s="32" t="n">
        <f aca="false">ROUND(CR60-CR95,1)</f>
        <v>0</v>
      </c>
      <c r="CS62" s="32" t="n">
        <f aca="false">ROUND(CS60-CS95,1)</f>
        <v>0</v>
      </c>
      <c r="CT62" s="23"/>
      <c r="CV62" s="7"/>
      <c r="CW62" s="7"/>
      <c r="CX62" s="7"/>
      <c r="CY62" s="7"/>
    </row>
    <row r="63" customFormat="false" ht="15" hidden="false" customHeight="true" outlineLevel="0" collapsed="false">
      <c r="B63" s="13"/>
      <c r="CM63" s="7"/>
      <c r="CN63" s="7"/>
      <c r="CO63" s="7"/>
      <c r="CP63" s="7"/>
      <c r="CQ63" s="7"/>
      <c r="CR63" s="7"/>
      <c r="CS63" s="7"/>
      <c r="CT63" s="7"/>
    </row>
    <row r="64" customFormat="false" ht="15" hidden="false" customHeight="true" outlineLevel="0" collapsed="false">
      <c r="B64" s="17" t="s">
        <v>176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8" t="s">
        <v>177</v>
      </c>
    </row>
    <row r="65" customFormat="false" ht="15" hidden="false" customHeight="true" outlineLevel="0" collapsed="false">
      <c r="B65" s="30" t="s">
        <v>178</v>
      </c>
      <c r="C65" s="44" t="n">
        <f aca="false">IFERROR(C97/C93,"")</f>
        <v>0.156897039832155</v>
      </c>
      <c r="D65" s="44" t="n">
        <f aca="false">IFERROR(D97/D93,"")</f>
        <v>0.149022461895571</v>
      </c>
      <c r="E65" s="44" t="n">
        <f aca="false">IFERROR(E97/E93,"")</f>
        <v>0.140212728779262</v>
      </c>
      <c r="F65" s="44" t="n">
        <f aca="false">IFERROR(F97/F93,"")</f>
        <v>0.132260193896785</v>
      </c>
      <c r="G65" s="44" t="n">
        <f aca="false">IFERROR(G97/G93,"")</f>
        <v>0.13157548640201</v>
      </c>
      <c r="H65" s="44" t="n">
        <f aca="false">IFERROR(H97/H93,"")</f>
        <v>0.121292909095958</v>
      </c>
      <c r="I65" s="44" t="n">
        <f aca="false">IFERROR(I97/I93,"")</f>
        <v>0.113452295327145</v>
      </c>
      <c r="J65" s="44" t="n">
        <f aca="false">IFERROR(J97/J93,"")</f>
        <v>0.0917223539555939</v>
      </c>
      <c r="K65" s="44" t="n">
        <f aca="false">IFERROR(K97/K93,"")</f>
        <v>0.121187325633952</v>
      </c>
      <c r="L65" s="44" t="n">
        <f aca="false">IFERROR(L97/L93,"")</f>
        <v>0.108134386665509</v>
      </c>
      <c r="M65" s="44" t="n">
        <f aca="false">IFERROR(M97/M93,"")</f>
        <v>0.112476370510397</v>
      </c>
      <c r="N65" s="44" t="n">
        <f aca="false">IFERROR(N97/N93,"")</f>
        <v>0.131044100500674</v>
      </c>
      <c r="O65" s="44" t="n">
        <f aca="false">IFERROR(O97/O93,"")</f>
        <v>0.115549108585097</v>
      </c>
      <c r="P65" s="44" t="n">
        <f aca="false">IFERROR(P97/P93,"")</f>
        <v>0.104475189678257</v>
      </c>
      <c r="Q65" s="44" t="n">
        <f aca="false">IFERROR(Q97/Q93,"")</f>
        <v>0.124200655691472</v>
      </c>
      <c r="R65" s="44" t="n">
        <f aca="false">IFERROR(R97/R93,"")</f>
        <v>0.116112019232769</v>
      </c>
      <c r="S65" s="44" t="n">
        <f aca="false">IFERROR(S97/S93,"")</f>
        <v>0.12179970063688</v>
      </c>
      <c r="T65" s="44" t="n">
        <f aca="false">IFERROR(T97/T93,"")</f>
        <v>0.126523036032848</v>
      </c>
      <c r="U65" s="44" t="n">
        <f aca="false">IFERROR(U97/U93,"")</f>
        <v>0.120316692891454</v>
      </c>
      <c r="V65" s="44" t="n">
        <f aca="false">IFERROR(V97/V93,"")</f>
        <v>0.100408240931343</v>
      </c>
      <c r="W65" s="44" t="n">
        <f aca="false">IFERROR(W97/W93,"")</f>
        <v>0.10951459058253</v>
      </c>
      <c r="X65" s="44" t="n">
        <f aca="false">IFERROR(X97/X93,"")</f>
        <v>0.105630867408104</v>
      </c>
      <c r="Y65" s="44" t="n">
        <f aca="false">IFERROR(Y97/Y93,"")</f>
        <v>0.110183135439726</v>
      </c>
      <c r="Z65" s="44" t="n">
        <f aca="false">IFERROR(Z97/Z93,"")</f>
        <v>0.113279000752979</v>
      </c>
      <c r="AA65" s="44" t="n">
        <f aca="false">IFERROR(AA97/AA93,"")</f>
        <v>0.108603828446814</v>
      </c>
      <c r="AB65" s="44" t="n">
        <f aca="false">IFERROR(AB97/AB93,"")</f>
        <v>0.116055932396074</v>
      </c>
      <c r="AC65" s="44" t="n">
        <f aca="false">IFERROR(AC97/AC93,"")</f>
        <v>0.124416737508265</v>
      </c>
      <c r="AD65" s="44" t="n">
        <f aca="false">IFERROR(AD97/AD93,"")</f>
        <v>0.12062252794497</v>
      </c>
      <c r="AE65" s="44" t="n">
        <f aca="false">IFERROR(AE97/AE93,"")</f>
        <v>0.114451100282442</v>
      </c>
      <c r="AF65" s="44" t="n">
        <f aca="false">IFERROR(AF97/AF93,"")</f>
        <v>0.110656882584197</v>
      </c>
      <c r="AG65" s="44" t="n">
        <f aca="false">IFERROR(AG97/AG93,"")</f>
        <v>0.11663591663062</v>
      </c>
      <c r="AH65" s="44" t="n">
        <f aca="false">IFERROR(AH97/AH93,"")</f>
        <v>0.197278305060018</v>
      </c>
      <c r="AI65" s="44" t="n">
        <f aca="false">IFERROR(AI97/AI93,"")</f>
        <v>0.210085152446613</v>
      </c>
      <c r="AJ65" s="44" t="n">
        <f aca="false">IFERROR(AJ97/AJ93,"")</f>
        <v>0.204749297601037</v>
      </c>
      <c r="AK65" s="44" t="n">
        <f aca="false">IFERROR(AK97/AK93,"")</f>
        <v>0.229282297962148</v>
      </c>
      <c r="AL65" s="44" t="n">
        <f aca="false">IFERROR(AL97/AL93,"")</f>
        <v>0.214399701674244</v>
      </c>
      <c r="AM65" s="44" t="n">
        <f aca="false">IFERROR(AM97/AM93,"")</f>
        <v>0.213301367515619</v>
      </c>
      <c r="AN65" s="44" t="n">
        <f aca="false">IFERROR(AN97/AN93,"")</f>
        <v>0.208259476411235</v>
      </c>
      <c r="AO65" s="44" t="n">
        <f aca="false">IFERROR(AO97/AO93,"")</f>
        <v>0.200764185009284</v>
      </c>
      <c r="AP65" s="44" t="n">
        <f aca="false">IFERROR(AP97/AP93,"")</f>
        <v>0.204143845968614</v>
      </c>
      <c r="AQ65" s="44" t="n">
        <f aca="false">IFERROR(AQ97/AQ93,"")</f>
        <v>0.204822338170957</v>
      </c>
      <c r="AR65" s="44" t="n">
        <f aca="false">IFERROR(AR97/AR93,"")</f>
        <v>0.23417551914005</v>
      </c>
      <c r="AS65" s="44" t="n">
        <f aca="false">IFERROR(AS97/AS93,"")</f>
        <v>0.212214565418971</v>
      </c>
      <c r="AT65" s="44" t="n">
        <f aca="false">IFERROR(AT97/AT93,"")</f>
        <v>0.209250922423595</v>
      </c>
      <c r="AU65" s="44" t="n">
        <f aca="false">IFERROR(AU97/AU93,"")</f>
        <v>0.21426561980512</v>
      </c>
      <c r="AV65" s="44" t="n">
        <f aca="false">IFERROR(AV97/AV93,"")</f>
        <v>0.212141688248505</v>
      </c>
      <c r="AW65" s="44" t="n">
        <f aca="false">IFERROR(AW97/AW93,"")</f>
        <v>0.203732843535282</v>
      </c>
      <c r="AX65" s="44" t="n">
        <f aca="false">IFERROR(AX97/AX93,"")</f>
        <v>0.193427900525933</v>
      </c>
      <c r="AY65" s="44" t="n">
        <f aca="false">IFERROR(AY97/AY93,"")</f>
        <v>0.205189148582629</v>
      </c>
      <c r="AZ65" s="44" t="n">
        <f aca="false">IFERROR(AZ97/AZ93,"")</f>
        <v>0.214910196971435</v>
      </c>
      <c r="BA65" s="44" t="n">
        <f aca="false">IFERROR(BA97/BA93,"")</f>
        <v>0.168481115918322</v>
      </c>
      <c r="BB65" s="44" t="n">
        <f aca="false">IFERROR(BB97/BB93,"")</f>
        <v>0.18885736060317</v>
      </c>
      <c r="BC65" s="44" t="n">
        <f aca="false">IFERROR(BC97/BC93,"")</f>
        <v>0.176141441267475</v>
      </c>
      <c r="BD65" s="44" t="n">
        <f aca="false">IFERROR(BD97/BD93,"")</f>
        <v>0.169519328311498</v>
      </c>
      <c r="BE65" s="44" t="n">
        <f aca="false">IFERROR(BE97/BE93,"")</f>
        <v>0.188766355054406</v>
      </c>
      <c r="BF65" s="44" t="n">
        <f aca="false">IFERROR(BF97/BF93,"")</f>
        <v>0.183788768625928</v>
      </c>
      <c r="BG65" s="44" t="n">
        <f aca="false">IFERROR(BG97/BG93,"")</f>
        <v>0.16340782122905</v>
      </c>
      <c r="BH65" s="44" t="n">
        <f aca="false">IFERROR(BH97/BH93,"")</f>
        <v>0.172560584858036</v>
      </c>
      <c r="BI65" s="44" t="n">
        <f aca="false">IFERROR(BI97/BI93,"")</f>
        <v>0.16390825096992</v>
      </c>
      <c r="BJ65" s="44" t="n">
        <f aca="false">IFERROR(BJ97/BJ93,"")</f>
        <v>0.167426507835351</v>
      </c>
      <c r="BK65" s="44" t="n">
        <f aca="false">IFERROR(BK97/BK93,"")</f>
        <v>0.169170773590888</v>
      </c>
      <c r="BL65" s="44" t="n">
        <f aca="false">IFERROR(BL97/BL93,"")</f>
        <v>0.159335296351808</v>
      </c>
      <c r="BM65" s="44" t="n">
        <f aca="false">IFERROR(BM97/BM93,"")</f>
        <v>0.157203091077898</v>
      </c>
      <c r="BN65" s="44" t="n">
        <f aca="false">IFERROR(BN97/BN93,"")</f>
        <v>0.158185647100005</v>
      </c>
      <c r="BO65" s="44" t="n">
        <f aca="false">IFERROR(BO97/BO93,"")</f>
        <v>0.168308363329766</v>
      </c>
      <c r="BP65" s="44" t="n">
        <f aca="false">IFERROR(BP97/BP93,"")</f>
        <v>0.156144618986287</v>
      </c>
      <c r="BQ65" s="44" t="n">
        <f aca="false">IFERROR(BQ97/BQ93,"")</f>
        <v>0.160032096464534</v>
      </c>
      <c r="BR65" s="44" t="n">
        <f aca="false">IFERROR(BR97/BR93,"")</f>
        <v>0.222351571594878</v>
      </c>
      <c r="BS65" s="44" t="n">
        <f aca="false">IFERROR(BS97/BS93,"")</f>
        <v>0.35640739362362</v>
      </c>
      <c r="BT65" s="44" t="n">
        <f aca="false">IFERROR(BT97/BT93,"")</f>
        <v>0.316343393928851</v>
      </c>
      <c r="BU65" s="44" t="n">
        <f aca="false">IFERROR(BU97/BU93,"")</f>
        <v>0.409408115792194</v>
      </c>
      <c r="BV65" s="44" t="n">
        <f aca="false">IFERROR(BV97/BV93,"")</f>
        <v>0.404276356445433</v>
      </c>
      <c r="BW65" s="44" t="n">
        <f aca="false">IFERROR(BW97/BW93,"")</f>
        <v>0.368746569075938</v>
      </c>
      <c r="BX65" s="44" t="n">
        <f aca="false">IFERROR(BX97/BX93,"")</f>
        <v>0.415734306913202</v>
      </c>
      <c r="BY65" s="44" t="n">
        <f aca="false">IFERROR(BY97/BY93,"")</f>
        <v>0.406006285647771</v>
      </c>
      <c r="BZ65" s="44" t="n">
        <f aca="false">IFERROR(BZ97/BZ93,"")</f>
        <v>0.410841821800726</v>
      </c>
      <c r="CA65" s="44" t="n">
        <f aca="false">IFERROR(CA97/CA93,"")</f>
        <v>0.435568662649058</v>
      </c>
      <c r="CB65" s="44" t="n">
        <f aca="false">IFERROR(CB97/CB93,"")</f>
        <v>0.427412906910337</v>
      </c>
      <c r="CC65" s="44" t="n">
        <f aca="false">IFERROR(CC97/CC93,"")</f>
        <v>0.420888333927934</v>
      </c>
      <c r="CD65" s="44" t="n">
        <f aca="false">IFERROR(CD97/CD93,"")</f>
        <v>0.424516129032258</v>
      </c>
      <c r="CE65" s="44" t="n">
        <f aca="false">IFERROR(CE97/CE93,"")</f>
        <v>0.398895401262399</v>
      </c>
      <c r="CF65" s="44" t="n">
        <f aca="false">IFERROR(CF97/CF93,"")</f>
        <v>0.411450250043111</v>
      </c>
      <c r="CG65" s="44" t="n">
        <f aca="false">IFERROR(CG97/CG93,"")</f>
        <v>0.417751479289941</v>
      </c>
      <c r="CH65" s="44" t="n">
        <f aca="false">IFERROR(CH97/CH93,"")</f>
        <v>0.395095367847411</v>
      </c>
      <c r="CI65" s="44" t="n">
        <f aca="false">IFERROR(CI97/CI93,"")</f>
        <v>0.408685968819599</v>
      </c>
      <c r="CJ65" s="44" t="n">
        <f aca="false">IFERROR(CJ97/CJ93,"")</f>
        <v>0.406706026512198</v>
      </c>
      <c r="CK65" s="44" t="n">
        <f aca="false">IFERROR(CK97/CK93,"")</f>
        <v>0.408827940861367</v>
      </c>
      <c r="CL65" s="44" t="n">
        <f aca="false">IFERROR(CL97/CL93,"")</f>
        <v>0.407787668614494</v>
      </c>
      <c r="CM65" s="35" t="n">
        <f aca="false">CG65*$CL$65/$CF$65</f>
        <v>0.41403280659582</v>
      </c>
      <c r="CN65" s="35" t="n">
        <f aca="false">CH65*$CL$65/$CF$65</f>
        <v>0.39157837166948</v>
      </c>
      <c r="CO65" s="35" t="n">
        <f aca="false">IFERROR(CO97/CO93,"")</f>
        <v>0.405062404028754</v>
      </c>
      <c r="CP65" s="36" t="n">
        <v>0.405</v>
      </c>
      <c r="CQ65" s="36" t="n">
        <v>0.403</v>
      </c>
      <c r="CR65" s="36" t="n">
        <v>0.401</v>
      </c>
      <c r="CS65" s="36" t="n">
        <v>0.4</v>
      </c>
      <c r="CT65" s="23" t="s">
        <v>179</v>
      </c>
      <c r="CV65" s="7"/>
      <c r="CW65" s="7"/>
      <c r="CX65" s="7"/>
      <c r="CY65" s="7"/>
    </row>
    <row r="66" customFormat="false" ht="15" hidden="false" customHeight="true" outlineLevel="0" collapsed="false">
      <c r="B66" s="30" t="s">
        <v>180</v>
      </c>
      <c r="C66" s="44" t="n">
        <f aca="false">IFERROR(C86/C95,"")</f>
        <v>0.0582377053948506</v>
      </c>
      <c r="D66" s="44" t="n">
        <f aca="false">IFERROR(D86/D95,"")</f>
        <v>0.0622527299891634</v>
      </c>
      <c r="E66" s="44" t="n">
        <f aca="false">IFERROR(E86/E95,"")</f>
        <v>0.0697935279495403</v>
      </c>
      <c r="F66" s="44" t="n">
        <f aca="false">IFERROR(F86/F95,"")</f>
        <v>0.0841995593977906</v>
      </c>
      <c r="G66" s="44" t="n">
        <f aca="false">IFERROR(G86/G95,"")</f>
        <v>0.105809401486978</v>
      </c>
      <c r="H66" s="44" t="n">
        <f aca="false">IFERROR(H86/H95,"")</f>
        <v>0.107064143055145</v>
      </c>
      <c r="I66" s="44" t="n">
        <f aca="false">IFERROR(I86/I95,"")</f>
        <v>0.0939320249797354</v>
      </c>
      <c r="J66" s="44" t="n">
        <f aca="false">IFERROR(J86/J95,"")</f>
        <v>0.101118971565188</v>
      </c>
      <c r="K66" s="44" t="n">
        <f aca="false">IFERROR(K86/K95,"")</f>
        <v>0.0835320521812316</v>
      </c>
      <c r="L66" s="44" t="n">
        <f aca="false">IFERROR(L86/L95,"")</f>
        <v>0.0913230315131522</v>
      </c>
      <c r="M66" s="44" t="n">
        <f aca="false">IFERROR(M86/M95,"")</f>
        <v>0.102221172022684</v>
      </c>
      <c r="N66" s="44" t="n">
        <f aca="false">IFERROR(N86/N95,"")</f>
        <v>0.0870731502861541</v>
      </c>
      <c r="O66" s="44" t="n">
        <f aca="false">IFERROR(O86/O95,"")</f>
        <v>0.0925967526952116</v>
      </c>
      <c r="P66" s="44" t="n">
        <f aca="false">IFERROR(P86/P95,"")</f>
        <v>0.107487726701018</v>
      </c>
      <c r="Q66" s="44" t="n">
        <f aca="false">IFERROR(Q86/Q95,"")</f>
        <v>0.0774068459830084</v>
      </c>
      <c r="R66" s="44" t="n">
        <f aca="false">IFERROR(R86/R95,"")</f>
        <v>0.0897418300245817</v>
      </c>
      <c r="S66" s="44" t="n">
        <f aca="false">IFERROR(S86/S95,"")</f>
        <v>0.111586135378655</v>
      </c>
      <c r="T66" s="44" t="n">
        <f aca="false">IFERROR(T86/T95,"")</f>
        <v>0.0834482908050875</v>
      </c>
      <c r="U66" s="44" t="n">
        <f aca="false">IFERROR(U86/U95,"")</f>
        <v>0.0925717682712634</v>
      </c>
      <c r="V66" s="44" t="n">
        <f aca="false">IFERROR(V86/V95,"")</f>
        <v>0.091819612863049</v>
      </c>
      <c r="W66" s="44" t="n">
        <f aca="false">IFERROR(W86/W95,"")</f>
        <v>0.0692642641676904</v>
      </c>
      <c r="X66" s="44" t="n">
        <f aca="false">IFERROR(X86/X95,"")</f>
        <v>0.0788837861266346</v>
      </c>
      <c r="Y66" s="44" t="n">
        <f aca="false">IFERROR(Y86/Y95,"")</f>
        <v>0.0916317532336852</v>
      </c>
      <c r="Z66" s="44" t="n">
        <f aca="false">IFERROR(Z86/Z95,"")</f>
        <v>0.0784721914632886</v>
      </c>
      <c r="AA66" s="44" t="n">
        <f aca="false">IFERROR(AA86/AA95,"")</f>
        <v>0.0814771020111461</v>
      </c>
      <c r="AB66" s="44" t="n">
        <f aca="false">IFERROR(AB86/AB95,"")</f>
        <v>0.0763954678085566</v>
      </c>
      <c r="AC66" s="44" t="n">
        <f aca="false">IFERROR(AC86/AC95,"")</f>
        <v>0.0647586662888448</v>
      </c>
      <c r="AD66" s="44" t="n">
        <f aca="false">IFERROR(AD86/AD95,"")</f>
        <v>0.0700395528804815</v>
      </c>
      <c r="AE66" s="44" t="n">
        <f aca="false">IFERROR(AE86/AE95,"")</f>
        <v>0.0791148080325274</v>
      </c>
      <c r="AF66" s="44" t="n">
        <f aca="false">IFERROR(AF86/AF95,"")</f>
        <v>0.0701851208361439</v>
      </c>
      <c r="AG66" s="44" t="n">
        <f aca="false">IFERROR(AG86/AG95,"")</f>
        <v>0.0721422328940051</v>
      </c>
      <c r="AH66" s="44" t="n">
        <f aca="false">IFERROR(AH86/AH95,"")</f>
        <v>0.0518385173522141</v>
      </c>
      <c r="AI66" s="44" t="n">
        <f aca="false">IFERROR(AI86/AI95,"")</f>
        <v>0.0469967895555652</v>
      </c>
      <c r="AJ66" s="44" t="n">
        <f aca="false">IFERROR(AJ86/AJ95,"")</f>
        <v>0.0491328201044155</v>
      </c>
      <c r="AK66" s="44" t="n">
        <f aca="false">IFERROR(AK86/AK95,"")</f>
        <v>0.0652459751716132</v>
      </c>
      <c r="AL66" s="44" t="n">
        <f aca="false">IFERROR(AL86/AL95,"")</f>
        <v>0.0536315338474722</v>
      </c>
      <c r="AM66" s="44" t="n">
        <f aca="false">IFERROR(AM86/AM95,"")</f>
        <v>0.0542570925801413</v>
      </c>
      <c r="AN66" s="44" t="n">
        <f aca="false">IFERROR(AN86/AN95,"")</f>
        <v>0.0622304729838803</v>
      </c>
      <c r="AO66" s="44" t="n">
        <f aca="false">IFERROR(AO86/AO95,"")</f>
        <v>0.0535993258354131</v>
      </c>
      <c r="AP66" s="44" t="n">
        <f aca="false">IFERROR(AP86/AP95,"")</f>
        <v>0.0575479859611611</v>
      </c>
      <c r="AQ66" s="44" t="n">
        <f aca="false">IFERROR(AQ86/AQ95,"")</f>
        <v>0.0681608829978887</v>
      </c>
      <c r="AR66" s="44" t="n">
        <f aca="false">IFERROR(AR86/AR95,"")</f>
        <v>0.0482144663063387</v>
      </c>
      <c r="AS66" s="44" t="n">
        <f aca="false">IFERROR(AS86/AS95,"")</f>
        <v>0.0569337775399863</v>
      </c>
      <c r="AT66" s="44" t="n">
        <f aca="false">IFERROR(AT86/AT95,"")</f>
        <v>0.0564052875631532</v>
      </c>
      <c r="AU66" s="44" t="n">
        <f aca="false">IFERROR(AU86/AU95,"")</f>
        <v>0.0435174023833865</v>
      </c>
      <c r="AV66" s="44" t="n">
        <f aca="false">IFERROR(AV86/AV95,"")</f>
        <v>0.049130769926405</v>
      </c>
      <c r="AW66" s="44" t="n">
        <f aca="false">IFERROR(AW86/AW95,"")</f>
        <v>0.0419053403083548</v>
      </c>
      <c r="AX66" s="44" t="n">
        <f aca="false">IFERROR(AX86/AX95,"")</f>
        <v>0.0392361090206325</v>
      </c>
      <c r="AY66" s="44" t="n">
        <f aca="false">IFERROR(AY86/AY95,"")</f>
        <v>0.0378139311609452</v>
      </c>
      <c r="AZ66" s="44" t="n">
        <f aca="false">IFERROR(AZ86/AZ95,"")</f>
        <v>0.0503010008965984</v>
      </c>
      <c r="BA66" s="44" t="n">
        <f aca="false">IFERROR(BA86/BA95,"")</f>
        <v>0.0332142398149338</v>
      </c>
      <c r="BB66" s="44" t="n">
        <f aca="false">IFERROR(BB86/BB95,"")</f>
        <v>0.040263926740701</v>
      </c>
      <c r="BC66" s="44" t="n">
        <f aca="false">IFERROR(BC86/BC95,"")</f>
        <v>0.0405468990354163</v>
      </c>
      <c r="BD66" s="44" t="n">
        <f aca="false">IFERROR(BD86/BD95,"")</f>
        <v>0.0357708267586128</v>
      </c>
      <c r="BE66" s="44" t="n">
        <f aca="false">IFERROR(BE86/BE95,"")</f>
        <v>0.0390797670737551</v>
      </c>
      <c r="BF66" s="44" t="n">
        <f aca="false">IFERROR(BF86/BF95,"")</f>
        <v>0.0435191747975449</v>
      </c>
      <c r="BG66" s="44" t="n">
        <f aca="false">IFERROR(BG86/BG95,"")</f>
        <v>0.0381798411044477</v>
      </c>
      <c r="BH66" s="44" t="n">
        <f aca="false">IFERROR(BH86/BH95,"")</f>
        <v>0.0406118288373933</v>
      </c>
      <c r="BI66" s="44" t="n">
        <f aca="false">IFERROR(BI86/BI95,"")</f>
        <v>0.0463628587548001</v>
      </c>
      <c r="BJ66" s="44" t="n">
        <f aca="false">IFERROR(BJ86/BJ95,"")</f>
        <v>0.0419675379062979</v>
      </c>
      <c r="BK66" s="44" t="n">
        <f aca="false">IFERROR(BK86/BK95,"")</f>
        <v>0.0422937378393771</v>
      </c>
      <c r="BL66" s="44" t="n">
        <f aca="false">IFERROR(BL86/BL95,"")</f>
        <v>0.0398379370482914</v>
      </c>
      <c r="BM66" s="44" t="n">
        <f aca="false">IFERROR(BM86/BM95,"")</f>
        <v>0.0327564359214605</v>
      </c>
      <c r="BN66" s="44" t="n">
        <f aca="false">IFERROR(BN86/BN95,"")</f>
        <v>0.0359319132078951</v>
      </c>
      <c r="BO66" s="44" t="n">
        <f aca="false">IFERROR(BO86/BO95,"")</f>
        <v>0.0390372291174033</v>
      </c>
      <c r="BP66" s="44" t="n">
        <f aca="false">IFERROR(BP86/BP95,"")</f>
        <v>0.0363627351806084</v>
      </c>
      <c r="BQ66" s="44" t="n">
        <f aca="false">IFERROR(BQ86/BQ95,"")</f>
        <v>0.0367791589380139</v>
      </c>
      <c r="BR66" s="44" t="n">
        <f aca="false">IFERROR(BR86/BR95,"")</f>
        <v>0.0382513661202186</v>
      </c>
      <c r="BS66" s="44" t="n">
        <f aca="false">IFERROR(BS86/BS95,"")</f>
        <v>0.0303660189787619</v>
      </c>
      <c r="BT66" s="44" t="n">
        <f aca="false">IFERROR(BT86/BT95,"")</f>
        <v>0.0328618197541541</v>
      </c>
      <c r="BU66" s="44" t="n">
        <f aca="false">IFERROR(BU86/BU95,"")</f>
        <v>0.0364777407334772</v>
      </c>
      <c r="BV66" s="44" t="n">
        <f aca="false">IFERROR(BV86/BV95,"")</f>
        <v>0.0342972427706792</v>
      </c>
      <c r="BW66" s="44" t="n">
        <f aca="false">IFERROR(BW86/BW95,"")</f>
        <v>0.0342428524839657</v>
      </c>
      <c r="BX66" s="44" t="n">
        <f aca="false">IFERROR(BX86/BX95,"")</f>
        <v>0.0357847280924204</v>
      </c>
      <c r="BY66" s="44" t="n">
        <f aca="false">IFERROR(BY86/BY95,"")</f>
        <v>0.0376790438828574</v>
      </c>
      <c r="BZ66" s="44" t="n">
        <f aca="false">IFERROR(BZ86/BZ95,"")</f>
        <v>0.0367456497593484</v>
      </c>
      <c r="CA66" s="44" t="n">
        <f aca="false">IFERROR(CA86/CA95,"")</f>
        <v>0.0448156447341618</v>
      </c>
      <c r="CB66" s="44" t="n">
        <f aca="false">IFERROR(CB86/CB95,"")</f>
        <v>0.0402943237561318</v>
      </c>
      <c r="CC66" s="44" t="n">
        <f aca="false">IFERROR(CC86/CC95,"")</f>
        <v>0.0395639792726763</v>
      </c>
      <c r="CD66" s="44" t="n">
        <f aca="false">IFERROR(CD86/CD95,"")</f>
        <v>0.0416741836550604</v>
      </c>
      <c r="CE66" s="44" t="n">
        <f aca="false">IFERROR(CE86/CE95,"")</f>
        <v>0.0408094435075885</v>
      </c>
      <c r="CF66" s="44" t="n">
        <f aca="false">IFERROR(CF86/CF95,"")</f>
        <v>0.0412272291466922</v>
      </c>
      <c r="CG66" s="44" t="n">
        <f aca="false">IFERROR(CG86/CG95,"")</f>
        <v>0.0475885421433147</v>
      </c>
      <c r="CH66" s="44" t="n">
        <f aca="false">IFERROR(CH86/CH95,"")</f>
        <v>0.0452052517866046</v>
      </c>
      <c r="CI66" s="44" t="n">
        <f aca="false">IFERROR(CI86/CI95,"")</f>
        <v>0.0437841723484436</v>
      </c>
      <c r="CJ66" s="44" t="n">
        <f aca="false">IFERROR(CJ86/CJ95,"")</f>
        <v>0.0438198606836222</v>
      </c>
      <c r="CK66" s="44" t="n">
        <f aca="false">IFERROR(CK86/CK95,"")</f>
        <v>0.0426695011768279</v>
      </c>
      <c r="CL66" s="44" t="n">
        <f aca="false">IFERROR(CL86/CL95,"")</f>
        <v>0.0432260845710703</v>
      </c>
      <c r="CM66" s="35" t="n">
        <f aca="false">$CL$66</f>
        <v>0.0432260845710703</v>
      </c>
      <c r="CN66" s="35" t="n">
        <f aca="false">$CL$66</f>
        <v>0.0432260845710703</v>
      </c>
      <c r="CO66" s="35" t="n">
        <f aca="false">IFERROR(CO86/CO95,"")</f>
        <v>0.0432260845710703</v>
      </c>
      <c r="CP66" s="36" t="n">
        <v>0.043</v>
      </c>
      <c r="CQ66" s="36" t="n">
        <v>0.043</v>
      </c>
      <c r="CR66" s="36" t="n">
        <v>0.043</v>
      </c>
      <c r="CS66" s="36" t="n">
        <v>0.043</v>
      </c>
      <c r="CT66" s="23" t="s">
        <v>181</v>
      </c>
      <c r="CV66" s="7"/>
      <c r="CW66" s="7"/>
      <c r="CX66" s="7"/>
      <c r="CY66" s="7"/>
    </row>
    <row r="67" customFormat="false" ht="15" hidden="false" customHeight="true" outlineLevel="0" collapsed="false">
      <c r="B67" s="30" t="s">
        <v>182</v>
      </c>
      <c r="C67" s="44" t="n">
        <f aca="false">IFERROR(C143/C95,"")</f>
        <v>0</v>
      </c>
      <c r="D67" s="44" t="n">
        <f aca="false">IFERROR(D143/D95,"")</f>
        <v>0</v>
      </c>
      <c r="E67" s="44" t="n">
        <f aca="false">IFERROR(E143/E95,"")</f>
        <v>0</v>
      </c>
      <c r="F67" s="44" t="n">
        <f aca="false">IFERROR(F143/F95,"")</f>
        <v>0</v>
      </c>
      <c r="G67" s="44" t="n">
        <f aca="false">IFERROR(G143/G95,"")</f>
        <v>0</v>
      </c>
      <c r="H67" s="44" t="n">
        <f aca="false">IFERROR(H143/H95,"")</f>
        <v>0</v>
      </c>
      <c r="I67" s="44" t="n">
        <f aca="false">IFERROR(I143/I95,"")</f>
        <v>0</v>
      </c>
      <c r="J67" s="44" t="n">
        <f aca="false">IFERROR(J143/J95,"")</f>
        <v>0</v>
      </c>
      <c r="K67" s="44" t="n">
        <f aca="false">IFERROR(K143/K95,"")</f>
        <v>0</v>
      </c>
      <c r="L67" s="44" t="n">
        <f aca="false">IFERROR(L143/L95,"")</f>
        <v>0</v>
      </c>
      <c r="M67" s="44" t="n">
        <f aca="false">IFERROR(M143/M95,"")</f>
        <v>0</v>
      </c>
      <c r="N67" s="44" t="n">
        <f aca="false">IFERROR(N143/N95,"")</f>
        <v>0</v>
      </c>
      <c r="O67" s="44" t="n">
        <f aca="false">IFERROR(O143/O95,"")</f>
        <v>0</v>
      </c>
      <c r="P67" s="44" t="n">
        <f aca="false">IFERROR(P143/P95,"")</f>
        <v>0</v>
      </c>
      <c r="Q67" s="44" t="n">
        <f aca="false">IFERROR(Q143/Q95,"")</f>
        <v>0</v>
      </c>
      <c r="R67" s="44" t="n">
        <f aca="false">IFERROR(R143/R95,"")</f>
        <v>0</v>
      </c>
      <c r="S67" s="44" t="n">
        <f aca="false">IFERROR(S143/S95,"")</f>
        <v>0</v>
      </c>
      <c r="T67" s="44" t="n">
        <f aca="false">IFERROR(T143/T95,"")</f>
        <v>0</v>
      </c>
      <c r="U67" s="44" t="n">
        <f aca="false">IFERROR(U143/U95,"")</f>
        <v>0</v>
      </c>
      <c r="V67" s="44" t="n">
        <f aca="false">IFERROR(V143/V95,"")</f>
        <v>0</v>
      </c>
      <c r="W67" s="44" t="n">
        <f aca="false">IFERROR(W143/W95,"")</f>
        <v>0</v>
      </c>
      <c r="X67" s="44" t="n">
        <f aca="false">IFERROR(X143/X95,"")</f>
        <v>0</v>
      </c>
      <c r="Y67" s="44" t="n">
        <f aca="false">IFERROR(Y143/Y95,"")</f>
        <v>0</v>
      </c>
      <c r="Z67" s="44" t="n">
        <f aca="false">IFERROR(Z143/Z95,"")</f>
        <v>0</v>
      </c>
      <c r="AA67" s="44" t="n">
        <f aca="false">IFERROR(AA143/AA95,"")</f>
        <v>0</v>
      </c>
      <c r="AB67" s="44" t="n">
        <f aca="false">IFERROR(AB143/AB95,"")</f>
        <v>0</v>
      </c>
      <c r="AC67" s="44" t="n">
        <f aca="false">IFERROR(AC143/AC95,"")</f>
        <v>0</v>
      </c>
      <c r="AD67" s="44" t="n">
        <f aca="false">IFERROR(AD143/AD95,"")</f>
        <v>0</v>
      </c>
      <c r="AE67" s="44" t="n">
        <f aca="false">IFERROR(AE143/AE95,"")</f>
        <v>0</v>
      </c>
      <c r="AF67" s="44" t="n">
        <f aca="false">IFERROR(AF143/AF95,"")</f>
        <v>0</v>
      </c>
      <c r="AG67" s="44" t="n">
        <f aca="false">IFERROR(AG143/AG95,"")</f>
        <v>0</v>
      </c>
      <c r="AH67" s="44" t="n">
        <f aca="false">IFERROR(AH143/AH95,"")</f>
        <v>0</v>
      </c>
      <c r="AI67" s="44" t="n">
        <f aca="false">IFERROR(AI143/AI95,"")</f>
        <v>0</v>
      </c>
      <c r="AJ67" s="44" t="n">
        <f aca="false">IFERROR(AJ143/AJ95,"")</f>
        <v>0</v>
      </c>
      <c r="AK67" s="44" t="n">
        <f aca="false">IFERROR(AK143/AK95,"")</f>
        <v>0</v>
      </c>
      <c r="AL67" s="44" t="n">
        <f aca="false">IFERROR(AL143/AL95,"")</f>
        <v>0</v>
      </c>
      <c r="AM67" s="44" t="n">
        <f aca="false">IFERROR(AM143/AM95,"")</f>
        <v>0</v>
      </c>
      <c r="AN67" s="44" t="n">
        <f aca="false">IFERROR(AN143/AN95,"")</f>
        <v>0</v>
      </c>
      <c r="AO67" s="44" t="n">
        <f aca="false">IFERROR(AO143/AO95,"")</f>
        <v>0</v>
      </c>
      <c r="AP67" s="44" t="n">
        <f aca="false">IFERROR(AP143/AP95,"")</f>
        <v>0</v>
      </c>
      <c r="AQ67" s="44" t="n">
        <f aca="false">IFERROR(AQ143/AQ95,"")</f>
        <v>0</v>
      </c>
      <c r="AR67" s="44" t="n">
        <f aca="false">IFERROR(AR143/AR95,"")</f>
        <v>0</v>
      </c>
      <c r="AS67" s="44" t="n">
        <f aca="false">IFERROR(AS143/AS95,"")</f>
        <v>0</v>
      </c>
      <c r="AT67" s="44" t="n">
        <f aca="false">IFERROR(AT143/AT95,"")</f>
        <v>0</v>
      </c>
      <c r="AU67" s="44" t="n">
        <f aca="false">IFERROR(AU143/AU95,"")</f>
        <v>0</v>
      </c>
      <c r="AV67" s="44" t="n">
        <f aca="false">IFERROR(AV143/AV95,"")</f>
        <v>0</v>
      </c>
      <c r="AW67" s="44" t="n">
        <f aca="false">IFERROR(AW143/AW95,"")</f>
        <v>0.0195309804138083</v>
      </c>
      <c r="AX67" s="44" t="n">
        <f aca="false">IFERROR(AX143/AX95,"")</f>
        <v>0.000833850099640572</v>
      </c>
      <c r="AY67" s="44" t="n">
        <f aca="false">IFERROR(AY143/AY95,"")</f>
        <v>0.012440838711977</v>
      </c>
      <c r="AZ67" s="44" t="n">
        <f aca="false">IFERROR(AZ143/AZ95,"")</f>
        <v>0.00880496239776034</v>
      </c>
      <c r="BA67" s="44" t="n">
        <f aca="false">IFERROR(BA143/BA95,"")</f>
        <v>0.0163346613545817</v>
      </c>
      <c r="BB67" s="44" t="n">
        <f aca="false">IFERROR(BB143/BB95,"")</f>
        <v>0.0132280444810171</v>
      </c>
      <c r="BC67" s="44" t="n">
        <f aca="false">IFERROR(BC143/BC95,"")</f>
        <v>0.0258428796351593</v>
      </c>
      <c r="BD67" s="44" t="n">
        <f aca="false">IFERROR(BD143/BD95,"")</f>
        <v>0.0118749233854877</v>
      </c>
      <c r="BE67" s="44" t="n">
        <f aca="false">IFERROR(BE143/BE95,"")</f>
        <v>0.015888067612506</v>
      </c>
      <c r="BF67" s="44" t="n">
        <f aca="false">IFERROR(BF143/BF95,"")</f>
        <v>0.0113947912111113</v>
      </c>
      <c r="BG67" s="44" t="n">
        <f aca="false">IFERROR(BG143/BG95,"")</f>
        <v>0.0190230623093594</v>
      </c>
      <c r="BH67" s="44" t="n">
        <f aca="false">IFERROR(BH143/BH95,"")</f>
        <v>0.0155484973540903</v>
      </c>
      <c r="BI67" s="44" t="n">
        <f aca="false">IFERROR(BI143/BI95,"")</f>
        <v>0.0170679624607956</v>
      </c>
      <c r="BJ67" s="44" t="n">
        <f aca="false">IFERROR(BJ143/BJ95,"")</f>
        <v>0.0171409649584137</v>
      </c>
      <c r="BK67" s="44" t="n">
        <f aca="false">IFERROR(BK143/BK95,"")</f>
        <v>0.0163066146025571</v>
      </c>
      <c r="BL67" s="44" t="n">
        <f aca="false">IFERROR(BL143/BL95,"")</f>
        <v>0.0136727922603771</v>
      </c>
      <c r="BM67" s="44" t="n">
        <f aca="false">IFERROR(BM143/BM95,"")</f>
        <v>0.0281500621200051</v>
      </c>
      <c r="BN67" s="44" t="n">
        <f aca="false">IFERROR(BN143/BN95,"")</f>
        <v>0.0216581840865963</v>
      </c>
      <c r="BO67" s="44" t="n">
        <f aca="false">IFERROR(BO143/BO95,"")</f>
        <v>0.0214008491320335</v>
      </c>
      <c r="BP67" s="44" t="n">
        <f aca="false">IFERROR(BP143/BP95,"")</f>
        <v>0.0205649966994172</v>
      </c>
      <c r="BQ67" s="44" t="n">
        <f aca="false">IFERROR(BQ143/BQ95,"")</f>
        <v>0.0213178160442217</v>
      </c>
      <c r="BR67" s="44" t="n">
        <f aca="false">IFERROR(BR143/BR95,"")</f>
        <v>0.0130757220921155</v>
      </c>
      <c r="BS67" s="44" t="n">
        <f aca="false">IFERROR(BS143/BS95,"")</f>
        <v>0.0111161319475825</v>
      </c>
      <c r="BT67" s="44" t="n">
        <f aca="false">IFERROR(BT143/BT95,"")</f>
        <v>0.0117363641979122</v>
      </c>
      <c r="BU67" s="44" t="n">
        <f aca="false">IFERROR(BU143/BU95,"")</f>
        <v>0.0124534222396548</v>
      </c>
      <c r="BV67" s="44" t="n">
        <f aca="false">IFERROR(BV143/BV95,"")</f>
        <v>0.0132577577096743</v>
      </c>
      <c r="BW67" s="44" t="n">
        <f aca="false">IFERROR(BW143/BW95,"")</f>
        <v>0.0123654745080987</v>
      </c>
      <c r="BX67" s="44" t="n">
        <f aca="false">IFERROR(BX143/BX95,"")</f>
        <v>0.012491781722551</v>
      </c>
      <c r="BY67" s="44" t="n">
        <f aca="false">IFERROR(BY143/BY95,"")</f>
        <v>0.0165130918711796</v>
      </c>
      <c r="BZ67" s="44" t="n">
        <f aca="false">IFERROR(BZ143/BZ95,"")</f>
        <v>0.0145316549426138</v>
      </c>
      <c r="CA67" s="44" t="n">
        <f aca="false">IFERROR(CA143/CA95,"")</f>
        <v>0.00987981258912202</v>
      </c>
      <c r="CB67" s="44" t="n">
        <f aca="false">IFERROR(CB143/CB95,"")</f>
        <v>0.0133146461107218</v>
      </c>
      <c r="CC67" s="44" t="n">
        <f aca="false">IFERROR(CC143/CC95,"")</f>
        <v>0.0131413099295084</v>
      </c>
      <c r="CD67" s="44" t="n">
        <f aca="false">IFERROR(CD143/CD95,"")</f>
        <v>0.0129893559444344</v>
      </c>
      <c r="CE67" s="44" t="n">
        <f aca="false">IFERROR(CE143/CE95,"")</f>
        <v>0.021247892074199</v>
      </c>
      <c r="CF67" s="44" t="n">
        <f aca="false">IFERROR(CF143/CF95,"")</f>
        <v>0.0172579098753595</v>
      </c>
      <c r="CG67" s="44" t="n">
        <f aca="false">IFERROR(CG143/CG95,"")</f>
        <v>0.0197675482749153</v>
      </c>
      <c r="CH67" s="44" t="n">
        <f aca="false">IFERROR(CH143/CH95,"")</f>
        <v>0.0128801728436098</v>
      </c>
      <c r="CI67" s="44" t="n">
        <f aca="false">IFERROR(CI143/CI95,"")</f>
        <v>0.0167076916374409</v>
      </c>
      <c r="CJ67" s="44" t="n">
        <f aca="false">IFERROR(CJ143/CJ95,"")</f>
        <v>0.0123926777903775</v>
      </c>
      <c r="CK67" s="44" t="n">
        <f aca="false">IFERROR(CK143/CK95,"")</f>
        <v>0.0135904638979576</v>
      </c>
      <c r="CL67" s="44" t="n">
        <f aca="false">IFERROR(CL143/CL95,"")</f>
        <v>0.0130109338872124</v>
      </c>
      <c r="CM67" s="35" t="n">
        <f aca="false">IFERROR(CM143/CM95,"")</f>
        <v>0.0155040522458624</v>
      </c>
      <c r="CN67" s="35" t="n">
        <f aca="false">IFERROR(CN143/CN95,"")</f>
        <v>0.0139171814793924</v>
      </c>
      <c r="CO67" s="35" t="n">
        <f aca="false">IFERROR(CO143/CO95,"")</f>
        <v>0.0138232679610907</v>
      </c>
      <c r="CP67" s="35" t="n">
        <f aca="false">IFERROR(CP143/CP95,"")</f>
        <v>0.0142530250002251</v>
      </c>
      <c r="CQ67" s="35" t="n">
        <f aca="false">IFERROR(CQ143/CQ95,"")</f>
        <v>0.0145103676492251</v>
      </c>
      <c r="CR67" s="35" t="n">
        <f aca="false">IFERROR(CR143/CR95,"")</f>
        <v>0.0147831076445756</v>
      </c>
      <c r="CS67" s="35" t="n">
        <f aca="false">IFERROR(CS143/CS95,"")</f>
        <v>0.0150087563152917</v>
      </c>
      <c r="CT67" s="23"/>
      <c r="CV67" s="7"/>
      <c r="CW67" s="7"/>
      <c r="CX67" s="7"/>
      <c r="CY67" s="7"/>
    </row>
    <row r="68" customFormat="false" ht="15" hidden="false" customHeight="true" outlineLevel="0" collapsed="false">
      <c r="B68" s="13"/>
      <c r="CM68" s="7"/>
      <c r="CN68" s="7"/>
      <c r="CO68" s="7"/>
      <c r="CP68" s="7"/>
      <c r="CQ68" s="7"/>
      <c r="CR68" s="7"/>
      <c r="CS68" s="7"/>
      <c r="CT68" s="7"/>
    </row>
    <row r="69" customFormat="false" ht="15" hidden="false" customHeight="true" outlineLevel="0" collapsed="false">
      <c r="B69" s="17" t="s">
        <v>183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8" t="s">
        <v>184</v>
      </c>
    </row>
    <row r="70" customFormat="false" ht="15" hidden="false" customHeight="true" outlineLevel="0" collapsed="false">
      <c r="B70" s="13" t="s">
        <v>185</v>
      </c>
      <c r="C70" s="40" t="n">
        <v>155.558</v>
      </c>
      <c r="D70" s="40" t="n">
        <v>173.983</v>
      </c>
      <c r="E70" s="40" t="n">
        <v>191.459</v>
      </c>
      <c r="F70" s="40" t="n">
        <v>202.415</v>
      </c>
      <c r="G70" s="40" t="n">
        <v>185.486</v>
      </c>
      <c r="H70" s="40" t="n">
        <v>195.274</v>
      </c>
      <c r="I70" s="40" t="n">
        <v>211.16</v>
      </c>
      <c r="J70" s="31"/>
      <c r="K70" s="31"/>
      <c r="L70" s="31"/>
      <c r="M70" s="31"/>
      <c r="N70" s="31"/>
      <c r="O70" s="40" t="n">
        <v>224.214</v>
      </c>
      <c r="P70" s="31"/>
      <c r="Q70" s="31"/>
      <c r="R70" s="31"/>
      <c r="S70" s="31"/>
      <c r="T70" s="31"/>
      <c r="U70" s="40" t="n">
        <v>223.77</v>
      </c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40" t="n">
        <v>743.793</v>
      </c>
      <c r="AZ70" s="31"/>
      <c r="BA70" s="31"/>
      <c r="BB70" s="31"/>
      <c r="BC70" s="31"/>
      <c r="BD70" s="31"/>
      <c r="BE70" s="40" t="n">
        <v>754.815</v>
      </c>
      <c r="BF70" s="31"/>
      <c r="BG70" s="31"/>
      <c r="BH70" s="31"/>
      <c r="BI70" s="31"/>
      <c r="BJ70" s="31"/>
      <c r="BK70" s="40" t="n">
        <v>748.73</v>
      </c>
      <c r="BL70" s="31"/>
      <c r="BM70" s="31"/>
      <c r="BN70" s="31"/>
      <c r="BO70" s="31"/>
      <c r="BP70" s="31"/>
      <c r="BQ70" s="40" t="n">
        <v>970.848</v>
      </c>
      <c r="BR70" s="40" t="n">
        <v>360.1</v>
      </c>
      <c r="BS70" s="40" t="n">
        <v>754.3</v>
      </c>
      <c r="BT70" s="31" t="n">
        <f aca="false">BR70+BS70</f>
        <v>1114.4</v>
      </c>
      <c r="BU70" s="40" t="n">
        <v>767.1</v>
      </c>
      <c r="BV70" s="40" t="n">
        <v>710.1</v>
      </c>
      <c r="BW70" s="40" t="n">
        <v>2591.6</v>
      </c>
      <c r="BX70" s="40" t="n">
        <v>791.2</v>
      </c>
      <c r="BY70" s="40" t="n">
        <v>767.5</v>
      </c>
      <c r="BZ70" s="31" t="n">
        <f aca="false">BX70+BY70</f>
        <v>1558.7</v>
      </c>
      <c r="CA70" s="40" t="n">
        <v>724</v>
      </c>
      <c r="CB70" s="40" t="n">
        <v>811.4</v>
      </c>
      <c r="CC70" s="40" t="n">
        <v>3094.1</v>
      </c>
      <c r="CD70" s="40" t="n">
        <v>854.7</v>
      </c>
      <c r="CE70" s="40" t="n">
        <v>815.7</v>
      </c>
      <c r="CF70" s="31" t="n">
        <f aca="false">CD70+CE70</f>
        <v>1670.4</v>
      </c>
      <c r="CG70" s="40" t="n">
        <v>799.7</v>
      </c>
      <c r="CH70" s="40" t="n">
        <v>837.1</v>
      </c>
      <c r="CI70" s="40" t="n">
        <v>3307.2</v>
      </c>
      <c r="CJ70" s="40" t="n">
        <v>874.9</v>
      </c>
      <c r="CK70" s="40" t="n">
        <v>897.2</v>
      </c>
      <c r="CL70" s="31" t="n">
        <f aca="false">CJ70+CK70</f>
        <v>1772.1</v>
      </c>
      <c r="CM70" s="32"/>
      <c r="CN70" s="32"/>
      <c r="CO70" s="32"/>
      <c r="CP70" s="32"/>
      <c r="CQ70" s="32"/>
      <c r="CR70" s="32"/>
      <c r="CS70" s="32"/>
      <c r="CT70" s="23"/>
      <c r="CV70" s="7"/>
      <c r="CW70" s="7"/>
      <c r="CX70" s="7"/>
      <c r="CY70" s="7"/>
    </row>
    <row r="71" customFormat="false" ht="15" hidden="false" customHeight="true" outlineLevel="0" collapsed="false">
      <c r="B71" s="13" t="s">
        <v>186</v>
      </c>
      <c r="C71" s="40" t="n">
        <v>54.306</v>
      </c>
      <c r="D71" s="40" t="n">
        <v>71.271</v>
      </c>
      <c r="E71" s="40" t="n">
        <v>75.683</v>
      </c>
      <c r="F71" s="40" t="n">
        <v>90.148</v>
      </c>
      <c r="G71" s="40" t="n">
        <v>82.894</v>
      </c>
      <c r="H71" s="40" t="n">
        <v>100.404</v>
      </c>
      <c r="I71" s="40" t="n">
        <v>124.392</v>
      </c>
      <c r="J71" s="31"/>
      <c r="K71" s="31"/>
      <c r="L71" s="31"/>
      <c r="M71" s="31"/>
      <c r="N71" s="31"/>
      <c r="O71" s="40" t="n">
        <v>135.545</v>
      </c>
      <c r="P71" s="31"/>
      <c r="Q71" s="31"/>
      <c r="R71" s="31"/>
      <c r="S71" s="31"/>
      <c r="T71" s="31"/>
      <c r="U71" s="40" t="n">
        <v>154.392</v>
      </c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40" t="n">
        <v>247.737</v>
      </c>
      <c r="AZ71" s="31"/>
      <c r="BA71" s="31"/>
      <c r="BB71" s="31"/>
      <c r="BC71" s="31"/>
      <c r="BD71" s="31"/>
      <c r="BE71" s="40" t="n">
        <v>305.236</v>
      </c>
      <c r="BF71" s="31"/>
      <c r="BG71" s="31"/>
      <c r="BH71" s="31"/>
      <c r="BI71" s="31"/>
      <c r="BJ71" s="31"/>
      <c r="BK71" s="40" t="n">
        <v>281.105</v>
      </c>
      <c r="BL71" s="31"/>
      <c r="BM71" s="31"/>
      <c r="BN71" s="31"/>
      <c r="BO71" s="31"/>
      <c r="BP71" s="31"/>
      <c r="BQ71" s="40" t="n">
        <v>375.67</v>
      </c>
      <c r="BR71" s="40" t="n">
        <v>68.3</v>
      </c>
      <c r="BS71" s="40" t="n">
        <v>188.3</v>
      </c>
      <c r="BT71" s="31" t="n">
        <f aca="false">BR71+BS71</f>
        <v>256.6</v>
      </c>
      <c r="BU71" s="40" t="n">
        <v>126.8</v>
      </c>
      <c r="BV71" s="40" t="n">
        <v>168.1</v>
      </c>
      <c r="BW71" s="40" t="n">
        <v>551.5</v>
      </c>
      <c r="BX71" s="40" t="n">
        <v>142.4</v>
      </c>
      <c r="BY71" s="40" t="n">
        <v>193.3</v>
      </c>
      <c r="BZ71" s="31" t="n">
        <f aca="false">BX71+BY71</f>
        <v>335.7</v>
      </c>
      <c r="CA71" s="40" t="n">
        <v>130.7</v>
      </c>
      <c r="CB71" s="40" t="n">
        <v>174.2</v>
      </c>
      <c r="CC71" s="40" t="n">
        <v>640.6</v>
      </c>
      <c r="CD71" s="40" t="n">
        <v>124.9</v>
      </c>
      <c r="CE71" s="40" t="n">
        <v>213.8</v>
      </c>
      <c r="CF71" s="31" t="n">
        <f aca="false">CD71+CE71</f>
        <v>338.7</v>
      </c>
      <c r="CG71" s="40" t="n">
        <v>157.9</v>
      </c>
      <c r="CH71" s="40" t="n">
        <v>199</v>
      </c>
      <c r="CI71" s="40" t="n">
        <v>695.6</v>
      </c>
      <c r="CJ71" s="40" t="n">
        <v>151.8</v>
      </c>
      <c r="CK71" s="40" t="n">
        <v>207</v>
      </c>
      <c r="CL71" s="31" t="n">
        <f aca="false">CJ71+CK71</f>
        <v>358.8</v>
      </c>
      <c r="CM71" s="32"/>
      <c r="CN71" s="32"/>
      <c r="CO71" s="32"/>
      <c r="CP71" s="32"/>
      <c r="CQ71" s="32"/>
      <c r="CR71" s="32"/>
      <c r="CS71" s="32"/>
      <c r="CT71" s="23"/>
      <c r="CV71" s="7"/>
      <c r="CW71" s="7"/>
      <c r="CX71" s="7"/>
      <c r="CY71" s="7"/>
    </row>
    <row r="72" customFormat="false" ht="15" hidden="false" customHeight="true" outlineLevel="0" collapsed="false">
      <c r="B72" s="13" t="s">
        <v>187</v>
      </c>
      <c r="C72" s="40" t="n">
        <v>28.505</v>
      </c>
      <c r="D72" s="40" t="n">
        <v>38.771</v>
      </c>
      <c r="E72" s="40" t="n">
        <v>54.635</v>
      </c>
      <c r="F72" s="40" t="n">
        <v>57.714</v>
      </c>
      <c r="G72" s="40" t="n">
        <v>51.428</v>
      </c>
      <c r="H72" s="40" t="n">
        <v>51.403</v>
      </c>
      <c r="I72" s="40" t="n">
        <v>60.572</v>
      </c>
      <c r="J72" s="31"/>
      <c r="K72" s="31"/>
      <c r="L72" s="31"/>
      <c r="M72" s="31"/>
      <c r="N72" s="31"/>
      <c r="O72" s="40" t="n">
        <v>65.016</v>
      </c>
      <c r="P72" s="31"/>
      <c r="Q72" s="31"/>
      <c r="R72" s="31"/>
      <c r="S72" s="31"/>
      <c r="T72" s="31"/>
      <c r="U72" s="40" t="n">
        <v>58.782</v>
      </c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40" t="n">
        <v>173.054</v>
      </c>
      <c r="AZ72" s="31"/>
      <c r="BA72" s="31"/>
      <c r="BB72" s="31"/>
      <c r="BC72" s="31"/>
      <c r="BD72" s="31"/>
      <c r="BE72" s="40" t="n">
        <v>158.999</v>
      </c>
      <c r="BF72" s="31"/>
      <c r="BG72" s="31"/>
      <c r="BH72" s="31"/>
      <c r="BI72" s="31"/>
      <c r="BJ72" s="31"/>
      <c r="BK72" s="40" t="n">
        <v>183.004</v>
      </c>
      <c r="BL72" s="31"/>
      <c r="BM72" s="31"/>
      <c r="BN72" s="31"/>
      <c r="BO72" s="31"/>
      <c r="BP72" s="31"/>
      <c r="BQ72" s="40" t="n">
        <v>143.232</v>
      </c>
      <c r="BR72" s="40" t="n">
        <v>50.7</v>
      </c>
      <c r="BS72" s="40" t="n">
        <v>91.8</v>
      </c>
      <c r="BT72" s="31" t="n">
        <f aca="false">BR72+BS72</f>
        <v>142.5</v>
      </c>
      <c r="BU72" s="40" t="n">
        <v>80.6</v>
      </c>
      <c r="BV72" s="40" t="n">
        <v>98.7</v>
      </c>
      <c r="BW72" s="40" t="n">
        <v>321.8</v>
      </c>
      <c r="BX72" s="40" t="n">
        <v>87.1</v>
      </c>
      <c r="BY72" s="40" t="n">
        <v>76.5</v>
      </c>
      <c r="BZ72" s="31" t="n">
        <f aca="false">BX72+BY72</f>
        <v>163.6</v>
      </c>
      <c r="CA72" s="40" t="n">
        <v>84.9</v>
      </c>
      <c r="CB72" s="40" t="n">
        <v>84.5</v>
      </c>
      <c r="CC72" s="40" t="n">
        <v>333</v>
      </c>
      <c r="CD72" s="40" t="n">
        <v>90.6</v>
      </c>
      <c r="CE72" s="40" t="n">
        <v>78.6</v>
      </c>
      <c r="CF72" s="31" t="n">
        <f aca="false">CD72+CE72</f>
        <v>169.2</v>
      </c>
      <c r="CG72" s="40" t="n">
        <v>79.1</v>
      </c>
      <c r="CH72" s="40" t="n">
        <v>90.6</v>
      </c>
      <c r="CI72" s="40" t="n">
        <v>338.9</v>
      </c>
      <c r="CJ72" s="40" t="n">
        <v>105.5</v>
      </c>
      <c r="CK72" s="40" t="n">
        <v>80.9</v>
      </c>
      <c r="CL72" s="31" t="n">
        <f aca="false">CJ72+CK72</f>
        <v>186.4</v>
      </c>
      <c r="CM72" s="32"/>
      <c r="CN72" s="32"/>
      <c r="CO72" s="32"/>
      <c r="CP72" s="32"/>
      <c r="CQ72" s="32"/>
      <c r="CR72" s="32"/>
      <c r="CS72" s="32"/>
      <c r="CT72" s="23"/>
      <c r="CV72" s="7"/>
      <c r="CW72" s="7"/>
      <c r="CX72" s="7"/>
      <c r="CY72" s="7"/>
    </row>
    <row r="73" customFormat="false" ht="15" hidden="false" customHeight="true" outlineLevel="0" collapsed="false">
      <c r="B73" s="13" t="s">
        <v>188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40" t="n">
        <v>98.365</v>
      </c>
      <c r="AZ73" s="31"/>
      <c r="BA73" s="31"/>
      <c r="BB73" s="31"/>
      <c r="BC73" s="31"/>
      <c r="BD73" s="31"/>
      <c r="BE73" s="40" t="n">
        <v>119.49</v>
      </c>
      <c r="BF73" s="31"/>
      <c r="BG73" s="31"/>
      <c r="BH73" s="31"/>
      <c r="BI73" s="31"/>
      <c r="BJ73" s="31"/>
      <c r="BK73" s="40" t="n">
        <v>149.551</v>
      </c>
      <c r="BL73" s="31"/>
      <c r="BM73" s="31"/>
      <c r="BN73" s="31"/>
      <c r="BO73" s="31"/>
      <c r="BP73" s="31"/>
      <c r="BQ73" s="40" t="n">
        <v>181.339</v>
      </c>
      <c r="BR73" s="40" t="n">
        <v>19.1</v>
      </c>
      <c r="BS73" s="40" t="n">
        <v>46.2</v>
      </c>
      <c r="BT73" s="31" t="n">
        <f aca="false">BR73+BS73</f>
        <v>65.3</v>
      </c>
      <c r="BU73" s="40" t="n">
        <v>25</v>
      </c>
      <c r="BV73" s="40" t="n">
        <v>46.4</v>
      </c>
      <c r="BW73" s="40" t="n">
        <v>136.7</v>
      </c>
      <c r="BX73" s="40" t="n">
        <v>27.6</v>
      </c>
      <c r="BY73" s="40" t="n">
        <v>34.2</v>
      </c>
      <c r="BZ73" s="31" t="n">
        <f aca="false">BX73+BY73</f>
        <v>61.8</v>
      </c>
      <c r="CA73" s="40" t="n">
        <v>27.1</v>
      </c>
      <c r="CB73" s="40" t="n">
        <v>48.3</v>
      </c>
      <c r="CC73" s="40" t="n">
        <v>137.2</v>
      </c>
      <c r="CD73" s="40" t="n">
        <v>17.1</v>
      </c>
      <c r="CE73" s="40" t="n">
        <v>53.1</v>
      </c>
      <c r="CF73" s="31" t="n">
        <f aca="false">CD73+CE73</f>
        <v>70.2</v>
      </c>
      <c r="CG73" s="40" t="n">
        <v>33.7</v>
      </c>
      <c r="CH73" s="40" t="n">
        <v>47.3</v>
      </c>
      <c r="CI73" s="40" t="n">
        <v>151.2</v>
      </c>
      <c r="CJ73" s="40" t="n">
        <v>71.4</v>
      </c>
      <c r="CK73" s="40" t="n">
        <v>98.1</v>
      </c>
      <c r="CL73" s="31" t="n">
        <f aca="false">CJ73+CK73</f>
        <v>169.5</v>
      </c>
      <c r="CM73" s="32"/>
      <c r="CN73" s="32"/>
      <c r="CO73" s="32"/>
      <c r="CP73" s="32"/>
      <c r="CQ73" s="32"/>
      <c r="CR73" s="32"/>
      <c r="CS73" s="32"/>
      <c r="CT73" s="23"/>
      <c r="CV73" s="7"/>
      <c r="CW73" s="7"/>
      <c r="CX73" s="7"/>
      <c r="CY73" s="7"/>
    </row>
    <row r="74" customFormat="false" ht="15" hidden="false" customHeight="true" outlineLevel="0" collapsed="false">
      <c r="B74" s="13" t="s">
        <v>189</v>
      </c>
      <c r="C74" s="40" t="n">
        <v>19.488</v>
      </c>
      <c r="D74" s="40" t="n">
        <v>27.881</v>
      </c>
      <c r="E74" s="40" t="n">
        <v>33.041</v>
      </c>
      <c r="F74" s="40" t="n">
        <v>26.934</v>
      </c>
      <c r="G74" s="40" t="n">
        <v>37.561</v>
      </c>
      <c r="H74" s="40" t="n">
        <v>49.018</v>
      </c>
      <c r="I74" s="40" t="n">
        <v>41.831</v>
      </c>
      <c r="J74" s="31"/>
      <c r="K74" s="31"/>
      <c r="L74" s="31"/>
      <c r="M74" s="31"/>
      <c r="N74" s="31"/>
      <c r="O74" s="40" t="n">
        <v>42.628</v>
      </c>
      <c r="P74" s="31"/>
      <c r="Q74" s="31"/>
      <c r="R74" s="31"/>
      <c r="S74" s="31"/>
      <c r="T74" s="31"/>
      <c r="U74" s="40" t="n">
        <v>44.153</v>
      </c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40" t="n">
        <v>55.692</v>
      </c>
      <c r="AZ74" s="31"/>
      <c r="BA74" s="31"/>
      <c r="BB74" s="31"/>
      <c r="BC74" s="31"/>
      <c r="BD74" s="31"/>
      <c r="BE74" s="40" t="n">
        <v>38.72</v>
      </c>
      <c r="BF74" s="31"/>
      <c r="BG74" s="31"/>
      <c r="BH74" s="31"/>
      <c r="BI74" s="31"/>
      <c r="BJ74" s="31"/>
      <c r="BK74" s="40" t="n">
        <v>54.581</v>
      </c>
      <c r="BL74" s="31"/>
      <c r="BM74" s="31"/>
      <c r="BN74" s="31"/>
      <c r="BO74" s="31"/>
      <c r="BP74" s="31"/>
      <c r="BQ74" s="40" t="n">
        <v>62.719</v>
      </c>
      <c r="BR74" s="40" t="n">
        <v>14.2</v>
      </c>
      <c r="BS74" s="40" t="n">
        <v>25.9</v>
      </c>
      <c r="BT74" s="31" t="n">
        <f aca="false">BR74+BS74</f>
        <v>40.1</v>
      </c>
      <c r="BU74" s="40" t="n">
        <v>20.3</v>
      </c>
      <c r="BV74" s="40" t="n">
        <v>17.6</v>
      </c>
      <c r="BW74" s="40" t="n">
        <v>78</v>
      </c>
      <c r="BX74" s="40" t="n">
        <v>16.4</v>
      </c>
      <c r="BY74" s="40" t="n">
        <v>24.6</v>
      </c>
      <c r="BZ74" s="31" t="n">
        <f aca="false">BX74+BY74</f>
        <v>41</v>
      </c>
      <c r="CA74" s="40" t="n">
        <v>15.1</v>
      </c>
      <c r="CB74" s="40" t="n">
        <v>23.2</v>
      </c>
      <c r="CC74" s="40" t="n">
        <v>79.3</v>
      </c>
      <c r="CD74" s="40" t="n">
        <v>21.3</v>
      </c>
      <c r="CE74" s="40" t="n">
        <v>24.8</v>
      </c>
      <c r="CF74" s="31" t="n">
        <f aca="false">CD74+CE74</f>
        <v>46.1</v>
      </c>
      <c r="CG74" s="40" t="n">
        <v>22.3</v>
      </c>
      <c r="CH74" s="40" t="n">
        <v>29.4</v>
      </c>
      <c r="CI74" s="40" t="n">
        <v>97.8</v>
      </c>
      <c r="CJ74" s="40" t="n">
        <v>31</v>
      </c>
      <c r="CK74" s="40" t="n">
        <v>33.9</v>
      </c>
      <c r="CL74" s="31" t="n">
        <f aca="false">CJ74+CK74</f>
        <v>64.9</v>
      </c>
      <c r="CM74" s="32"/>
      <c r="CN74" s="32"/>
      <c r="CO74" s="32"/>
      <c r="CP74" s="32"/>
      <c r="CQ74" s="32"/>
      <c r="CR74" s="32"/>
      <c r="CS74" s="32"/>
      <c r="CT74" s="23"/>
      <c r="CV74" s="7"/>
      <c r="CW74" s="7"/>
      <c r="CX74" s="7"/>
      <c r="CY74" s="7"/>
    </row>
    <row r="75" customFormat="false" ht="15" hidden="false" customHeight="true" outlineLevel="0" collapsed="false">
      <c r="B75" s="13" t="s">
        <v>190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2"/>
      <c r="CN75" s="32"/>
      <c r="CO75" s="32"/>
      <c r="CP75" s="32"/>
      <c r="CQ75" s="32"/>
      <c r="CR75" s="32"/>
      <c r="CS75" s="32"/>
      <c r="CT75" s="23"/>
      <c r="CV75" s="7"/>
      <c r="CW75" s="7"/>
      <c r="CX75" s="7"/>
      <c r="CY75" s="7"/>
    </row>
    <row r="76" customFormat="false" ht="15" hidden="false" customHeight="true" outlineLevel="0" collapsed="false">
      <c r="B76" s="30" t="s">
        <v>191</v>
      </c>
      <c r="C76" s="44" t="n">
        <f aca="false">IF(ISNUMBER(C70),C70/C95,"")</f>
        <v>0.603272356383577</v>
      </c>
      <c r="D76" s="44" t="n">
        <f aca="false">IF(ISNUMBER(D70),D70/D95,"")</f>
        <v>0.557805877411784</v>
      </c>
      <c r="E76" s="44" t="n">
        <f aca="false">IF(ISNUMBER(E70),E70/E95,"")</f>
        <v>0.539597765615048</v>
      </c>
      <c r="F76" s="44" t="n">
        <f aca="false">IF(ISNUMBER(F70),F70/F95,"")</f>
        <v>0.53660948381675</v>
      </c>
      <c r="G76" s="44" t="n">
        <f aca="false">IF(ISNUMBER(G70),G70/G95,"")</f>
        <v>0.519032148843352</v>
      </c>
      <c r="H76" s="44" t="n">
        <f aca="false">IF(ISNUMBER(H70),H70/H95,"")</f>
        <v>0.492992913387815</v>
      </c>
      <c r="I76" s="44" t="n">
        <f aca="false">IF(ISNUMBER(I70),I70/I95,"")</f>
        <v>0.482149992579146</v>
      </c>
      <c r="J76" s="44" t="str">
        <f aca="false">IF(ISNUMBER(J70),J70/J95,"")</f>
        <v/>
      </c>
      <c r="K76" s="44" t="str">
        <f aca="false">IF(ISNUMBER(K70),K70/K95,"")</f>
        <v/>
      </c>
      <c r="L76" s="44" t="str">
        <f aca="false">IF(ISNUMBER(L70),L70/L95,"")</f>
        <v/>
      </c>
      <c r="M76" s="44" t="str">
        <f aca="false">IF(ISNUMBER(M70),M70/M95,"")</f>
        <v/>
      </c>
      <c r="N76" s="44" t="str">
        <f aca="false">IF(ISNUMBER(N70),N70/N95,"")</f>
        <v/>
      </c>
      <c r="O76" s="44" t="n">
        <f aca="false">IF(ISNUMBER(O70),O70/O95,"")</f>
        <v>0.479701670720984</v>
      </c>
      <c r="P76" s="44" t="str">
        <f aca="false">IF(ISNUMBER(P70),P70/P95,"")</f>
        <v/>
      </c>
      <c r="Q76" s="44" t="str">
        <f aca="false">IF(ISNUMBER(Q70),Q70/Q95,"")</f>
        <v/>
      </c>
      <c r="R76" s="44" t="str">
        <f aca="false">IF(ISNUMBER(R70),R70/R95,"")</f>
        <v/>
      </c>
      <c r="S76" s="44" t="str">
        <f aca="false">IF(ISNUMBER(S70),S70/S95,"")</f>
        <v/>
      </c>
      <c r="T76" s="44" t="str">
        <f aca="false">IF(ISNUMBER(T70),T70/T95,"")</f>
        <v/>
      </c>
      <c r="U76" s="44" t="n">
        <f aca="false">IF(ISNUMBER(U70),U70/U95,"")</f>
        <v>0.465124496723114</v>
      </c>
      <c r="V76" s="44" t="str">
        <f aca="false">IF(ISNUMBER(V70),V70/V95,"")</f>
        <v/>
      </c>
      <c r="W76" s="44" t="str">
        <f aca="false">IF(ISNUMBER(W70),W70/W95,"")</f>
        <v/>
      </c>
      <c r="X76" s="44" t="str">
        <f aca="false">IF(ISNUMBER(X70),X70/X95,"")</f>
        <v/>
      </c>
      <c r="Y76" s="44" t="str">
        <f aca="false">IF(ISNUMBER(Y70),Y70/Y95,"")</f>
        <v/>
      </c>
      <c r="Z76" s="44" t="str">
        <f aca="false">IF(ISNUMBER(Z70),Z70/Z95,"")</f>
        <v/>
      </c>
      <c r="AA76" s="44" t="str">
        <f aca="false">IF(ISNUMBER(AA70),AA70/AA95,"")</f>
        <v/>
      </c>
      <c r="AB76" s="44" t="str">
        <f aca="false">IF(ISNUMBER(AB70),AB70/AB95,"")</f>
        <v/>
      </c>
      <c r="AC76" s="44" t="str">
        <f aca="false">IF(ISNUMBER(AC70),AC70/AC95,"")</f>
        <v/>
      </c>
      <c r="AD76" s="44" t="str">
        <f aca="false">IF(ISNUMBER(AD70),AD70/AD95,"")</f>
        <v/>
      </c>
      <c r="AE76" s="44" t="str">
        <f aca="false">IF(ISNUMBER(AE70),AE70/AE95,"")</f>
        <v/>
      </c>
      <c r="AF76" s="44" t="str">
        <f aca="false">IF(ISNUMBER(AF70),AF70/AF95,"")</f>
        <v/>
      </c>
      <c r="AG76" s="44" t="str">
        <f aca="false">IF(ISNUMBER(AG70),AG70/AG95,"")</f>
        <v/>
      </c>
      <c r="AH76" s="44" t="str">
        <f aca="false">IF(ISNUMBER(AH70),AH70/AH95,"")</f>
        <v/>
      </c>
      <c r="AI76" s="44" t="str">
        <f aca="false">IF(ISNUMBER(AI70),AI70/AI95,"")</f>
        <v/>
      </c>
      <c r="AJ76" s="44" t="str">
        <f aca="false">IF(ISNUMBER(AJ70),AJ70/AJ95,"")</f>
        <v/>
      </c>
      <c r="AK76" s="44" t="str">
        <f aca="false">IF(ISNUMBER(AK70),AK70/AK95,"")</f>
        <v/>
      </c>
      <c r="AL76" s="44" t="str">
        <f aca="false">IF(ISNUMBER(AL70),AL70/AL95,"")</f>
        <v/>
      </c>
      <c r="AM76" s="44" t="str">
        <f aca="false">IF(ISNUMBER(AM70),AM70/AM95,"")</f>
        <v/>
      </c>
      <c r="AN76" s="44" t="str">
        <f aca="false">IF(ISNUMBER(AN70),AN70/AN95,"")</f>
        <v/>
      </c>
      <c r="AO76" s="44" t="str">
        <f aca="false">IF(ISNUMBER(AO70),AO70/AO95,"")</f>
        <v/>
      </c>
      <c r="AP76" s="44" t="str">
        <f aca="false">IF(ISNUMBER(AP70),AP70/AP95,"")</f>
        <v/>
      </c>
      <c r="AQ76" s="44" t="str">
        <f aca="false">IF(ISNUMBER(AQ70),AQ70/AQ95,"")</f>
        <v/>
      </c>
      <c r="AR76" s="44" t="str">
        <f aca="false">IF(ISNUMBER(AR70),AR70/AR95,"")</f>
        <v/>
      </c>
      <c r="AS76" s="44" t="str">
        <f aca="false">IF(ISNUMBER(AS70),AS70/AS95,"")</f>
        <v/>
      </c>
      <c r="AT76" s="44" t="str">
        <f aca="false">IF(ISNUMBER(AT70),AT70/AT95,"")</f>
        <v/>
      </c>
      <c r="AU76" s="44" t="str">
        <f aca="false">IF(ISNUMBER(AU70),AU70/AU95,"")</f>
        <v/>
      </c>
      <c r="AV76" s="44" t="str">
        <f aca="false">IF(ISNUMBER(AV70),AV70/AV95,"")</f>
        <v/>
      </c>
      <c r="AW76" s="44" t="str">
        <f aca="false">IF(ISNUMBER(AW70),AW70/AW95,"")</f>
        <v/>
      </c>
      <c r="AX76" s="44" t="str">
        <f aca="false">IF(ISNUMBER(AX70),AX70/AX95,"")</f>
        <v/>
      </c>
      <c r="AY76" s="44" t="n">
        <f aca="false">IF(ISNUMBER(AY70),AY70/AY95,"")</f>
        <v>0.56406027114279</v>
      </c>
      <c r="AZ76" s="44" t="str">
        <f aca="false">IF(ISNUMBER(AZ70),AZ70/AZ95,"")</f>
        <v/>
      </c>
      <c r="BA76" s="44" t="str">
        <f aca="false">IF(ISNUMBER(BA70),BA70/BA95,"")</f>
        <v/>
      </c>
      <c r="BB76" s="44" t="str">
        <f aca="false">IF(ISNUMBER(BB70),BB70/BB95,"")</f>
        <v/>
      </c>
      <c r="BC76" s="44" t="str">
        <f aca="false">IF(ISNUMBER(BC70),BC70/BC95,"")</f>
        <v/>
      </c>
      <c r="BD76" s="44" t="str">
        <f aca="false">IF(ISNUMBER(BD70),BD70/BD95,"")</f>
        <v/>
      </c>
      <c r="BE76" s="44" t="n">
        <f aca="false">IF(ISNUMBER(BE70),BE70/BE95,"")</f>
        <v>0.54805555958933</v>
      </c>
      <c r="BF76" s="44" t="str">
        <f aca="false">IF(ISNUMBER(BF70),BF70/BF95,"")</f>
        <v/>
      </c>
      <c r="BG76" s="44" t="str">
        <f aca="false">IF(ISNUMBER(BG70),BG70/BG95,"")</f>
        <v/>
      </c>
      <c r="BH76" s="44" t="str">
        <f aca="false">IF(ISNUMBER(BH70),BH70/BH95,"")</f>
        <v/>
      </c>
      <c r="BI76" s="44" t="str">
        <f aca="false">IF(ISNUMBER(BI70),BI70/BI95,"")</f>
        <v/>
      </c>
      <c r="BJ76" s="44" t="str">
        <f aca="false">IF(ISNUMBER(BJ70),BJ70/BJ95,"")</f>
        <v/>
      </c>
      <c r="BK76" s="44" t="n">
        <f aca="false">IF(ISNUMBER(BK70),BK70/BK95,"")</f>
        <v>0.528401780982109</v>
      </c>
      <c r="BL76" s="44" t="str">
        <f aca="false">IF(ISNUMBER(BL70),BL70/BL95,"")</f>
        <v/>
      </c>
      <c r="BM76" s="44" t="str">
        <f aca="false">IF(ISNUMBER(BM70),BM70/BM95,"")</f>
        <v/>
      </c>
      <c r="BN76" s="44" t="str">
        <f aca="false">IF(ISNUMBER(BN70),BN70/BN95,"")</f>
        <v/>
      </c>
      <c r="BO76" s="44" t="str">
        <f aca="false">IF(ISNUMBER(BO70),BO70/BO95,"")</f>
        <v/>
      </c>
      <c r="BP76" s="44" t="str">
        <f aca="false">IF(ISNUMBER(BP70),BP70/BP95,"")</f>
        <v/>
      </c>
      <c r="BQ76" s="44" t="n">
        <f aca="false">IF(ISNUMBER(BQ70),BQ70/BQ95,"")</f>
        <v>0.559951274881648</v>
      </c>
      <c r="BR76" s="44" t="n">
        <f aca="false">IF(ISNUMBER(BR70),BR70/BR95,"")</f>
        <v>0.702771272443404</v>
      </c>
      <c r="BS76" s="44" t="n">
        <f aca="false">IF(ISNUMBER(BS70),BS70/BS95,"")</f>
        <v>0.681699051061907</v>
      </c>
      <c r="BT76" s="44" t="n">
        <f aca="false">IF(ISNUMBER(BT70),BT70/BT95,"")</f>
        <v>0.68836864537649</v>
      </c>
      <c r="BU76" s="44" t="n">
        <f aca="false">IF(ISNUMBER(BU70),BU70/BU95,"")</f>
        <v>0.752206314963719</v>
      </c>
      <c r="BV76" s="44" t="n">
        <f aca="false">IF(ISNUMBER(BV70),BV70/BV95,"")</f>
        <v>0.682198097799981</v>
      </c>
      <c r="BW76" s="44" t="n">
        <f aca="false">IF(ISNUMBER(BW70),BW70/BW95,"")</f>
        <v>0.704315686487662</v>
      </c>
      <c r="BX76" s="44" t="n">
        <f aca="false">IF(ISNUMBER(BX70),BX70/BX95,"")</f>
        <v>0.743120127735512</v>
      </c>
      <c r="BY76" s="44" t="n">
        <f aca="false">IF(ISNUMBER(BY70),BY70/BY95,"")</f>
        <v>0.700209834869081</v>
      </c>
      <c r="BZ76" s="44" t="n">
        <f aca="false">IF(ISNUMBER(BZ70),BZ70/BZ95,"")</f>
        <v>0.721353202517586</v>
      </c>
      <c r="CA76" s="44" t="n">
        <f aca="false">IF(ISNUMBER(CA70),CA70/CA95,"")</f>
        <v>0.737421063353025</v>
      </c>
      <c r="CB76" s="44" t="n">
        <f aca="false">IF(ISNUMBER(CB70),CB70/CB95,"")</f>
        <v>0.710756832515767</v>
      </c>
      <c r="CC76" s="44" t="n">
        <f aca="false">IF(ISNUMBER(CC70),CC70/CC95,"")</f>
        <v>0.722211848186359</v>
      </c>
      <c r="CD76" s="44" t="n">
        <f aca="false">IF(ISNUMBER(CD70),CD70/CD95,"")</f>
        <v>0.770972397618618</v>
      </c>
      <c r="CE76" s="44" t="n">
        <f aca="false">IF(ISNUMBER(CE70),CE70/CE95,"")</f>
        <v>0.687774030354132</v>
      </c>
      <c r="CF76" s="44" t="n">
        <f aca="false">IF(ISNUMBER(CF70),CF70/CF95,"")</f>
        <v>0.727970016560621</v>
      </c>
      <c r="CG76" s="44" t="n">
        <f aca="false">IF(ISNUMBER(CG70),CG70/CG95,"")</f>
        <v>0.731856868307861</v>
      </c>
      <c r="CH76" s="44" t="n">
        <f aca="false">IF(ISNUMBER(CH70),CH70/CH95,"")</f>
        <v>0.695612431444241</v>
      </c>
      <c r="CI76" s="44" t="n">
        <f aca="false">IF(ISNUMBER(CI70),CI70/CI95,"")</f>
        <v>0.720413008909317</v>
      </c>
      <c r="CJ76" s="44" t="n">
        <f aca="false">IF(ISNUMBER(CJ70),CJ70/CJ95,"")</f>
        <v>0.708650575085048</v>
      </c>
      <c r="CK76" s="44" t="n">
        <f aca="false">IF(ISNUMBER(CK70),CK70/CK95,"")</f>
        <v>0.681193531242882</v>
      </c>
      <c r="CL76" s="44" t="n">
        <f aca="false">IF(ISNUMBER(CL70),CL70/CL95,"")</f>
        <v>0.694478191009915</v>
      </c>
      <c r="CM76" s="35"/>
      <c r="CN76" s="35"/>
      <c r="CO76" s="35"/>
      <c r="CP76" s="35"/>
      <c r="CQ76" s="35"/>
      <c r="CR76" s="35"/>
      <c r="CS76" s="35"/>
      <c r="CT76" s="23"/>
      <c r="CV76" s="7"/>
      <c r="CW76" s="7"/>
      <c r="CX76" s="7"/>
      <c r="CY76" s="7"/>
    </row>
    <row r="77" customFormat="false" ht="15" hidden="false" customHeight="true" outlineLevel="0" collapsed="false">
      <c r="B77" s="13"/>
      <c r="CM77" s="7"/>
      <c r="CN77" s="7"/>
      <c r="CO77" s="7"/>
      <c r="CP77" s="7"/>
      <c r="CQ77" s="7"/>
      <c r="CR77" s="7"/>
      <c r="CS77" s="7"/>
      <c r="CT77" s="7"/>
    </row>
    <row r="78" customFormat="false" ht="15" hidden="false" customHeight="true" outlineLevel="0" collapsed="false">
      <c r="B78" s="17" t="s">
        <v>192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8" t="s">
        <v>193</v>
      </c>
    </row>
    <row r="79" customFormat="false" ht="15" hidden="false" customHeight="true" outlineLevel="0" collapsed="false">
      <c r="B79" s="19" t="s">
        <v>194</v>
      </c>
      <c r="C79" s="20" t="n">
        <f aca="false">C95</f>
        <v>257.857</v>
      </c>
      <c r="D79" s="20" t="n">
        <f aca="false">D95</f>
        <v>311.906</v>
      </c>
      <c r="E79" s="20" t="n">
        <f aca="false">E95</f>
        <v>354.818</v>
      </c>
      <c r="F79" s="20" t="n">
        <f aca="false">F95</f>
        <v>377.211</v>
      </c>
      <c r="G79" s="20" t="n">
        <f aca="false">G95</f>
        <v>357.369</v>
      </c>
      <c r="H79" s="20" t="n">
        <f aca="false">H95</f>
        <v>396.099</v>
      </c>
      <c r="I79" s="20" t="n">
        <f aca="false">I95</f>
        <v>437.955</v>
      </c>
      <c r="J79" s="20" t="n">
        <f aca="false">J95</f>
        <v>102.058</v>
      </c>
      <c r="K79" s="20" t="n">
        <f aca="false">K95</f>
        <v>128.322</v>
      </c>
      <c r="L79" s="20" t="n">
        <f aca="false">L95</f>
        <v>230.38</v>
      </c>
      <c r="M79" s="20" t="n">
        <f aca="false">M95</f>
        <v>105.8</v>
      </c>
      <c r="N79" s="20" t="n">
        <f aca="false">N95</f>
        <v>131.223</v>
      </c>
      <c r="O79" s="20" t="n">
        <f aca="false">O95</f>
        <v>467.403</v>
      </c>
      <c r="P79" s="20" t="n">
        <f aca="false">P95</f>
        <v>98.588</v>
      </c>
      <c r="Q79" s="20" t="n">
        <f aca="false">Q95</f>
        <v>141.835</v>
      </c>
      <c r="R79" s="20" t="n">
        <f aca="false">R95</f>
        <v>240.423</v>
      </c>
      <c r="S79" s="20" t="n">
        <f aca="false">S95</f>
        <v>102.217</v>
      </c>
      <c r="T79" s="20" t="n">
        <f aca="false">T95</f>
        <v>138.457</v>
      </c>
      <c r="U79" s="20" t="n">
        <f aca="false">U95</f>
        <v>481.097</v>
      </c>
      <c r="V79" s="20" t="n">
        <f aca="false">V95</f>
        <v>115.618</v>
      </c>
      <c r="W79" s="20" t="n">
        <f aca="false">W95</f>
        <v>155.477</v>
      </c>
      <c r="X79" s="20" t="n">
        <f aca="false">X95</f>
        <v>271.095</v>
      </c>
      <c r="Y79" s="20" t="n">
        <f aca="false">Y95</f>
        <v>109.318</v>
      </c>
      <c r="Z79" s="20" t="n">
        <f aca="false">Z95</f>
        <v>135.462</v>
      </c>
      <c r="AA79" s="20" t="n">
        <f aca="false">AA95</f>
        <v>515.875</v>
      </c>
      <c r="AB79" s="20" t="n">
        <f aca="false">AB95</f>
        <v>131.945</v>
      </c>
      <c r="AC79" s="20" t="n">
        <f aca="false">AC95</f>
        <v>158.805</v>
      </c>
      <c r="AD79" s="20" t="n">
        <f aca="false">AD95</f>
        <v>290.75</v>
      </c>
      <c r="AE79" s="20" t="n">
        <f aca="false">AE95</f>
        <v>128.876</v>
      </c>
      <c r="AF79" s="20" t="n">
        <f aca="false">AF95</f>
        <v>146.769</v>
      </c>
      <c r="AG79" s="20" t="n">
        <f aca="false">AG95</f>
        <v>566.395</v>
      </c>
      <c r="AH79" s="20" t="n">
        <f aca="false">AH95</f>
        <v>199.427</v>
      </c>
      <c r="AI79" s="20" t="n">
        <f aca="false">AI95</f>
        <v>252.613</v>
      </c>
      <c r="AJ79" s="20" t="n">
        <f aca="false">AJ95</f>
        <v>452.04</v>
      </c>
      <c r="AK79" s="20" t="n">
        <f aca="false">AK95</f>
        <v>227.401</v>
      </c>
      <c r="AL79" s="20" t="n">
        <f aca="false">AL95</f>
        <v>291.75</v>
      </c>
      <c r="AM79" s="20" t="n">
        <f aca="false">AM95</f>
        <v>971.191</v>
      </c>
      <c r="AN79" s="20" t="n">
        <f aca="false">AN95</f>
        <v>260.178</v>
      </c>
      <c r="AO79" s="20" t="n">
        <f aca="false">AO95</f>
        <v>308.53</v>
      </c>
      <c r="AP79" s="20" t="n">
        <f aca="false">AP95</f>
        <v>568.708</v>
      </c>
      <c r="AQ79" s="20" t="n">
        <f aca="false">AQ95</f>
        <v>245.346</v>
      </c>
      <c r="AR79" s="20" t="n">
        <f aca="false">AR95</f>
        <v>355.972</v>
      </c>
      <c r="AS79" s="20" t="n">
        <f aca="false">AS95</f>
        <v>1170.026</v>
      </c>
      <c r="AT79" s="20" t="n">
        <f aca="false">AT95</f>
        <v>303.429</v>
      </c>
      <c r="AU79" s="20" t="n">
        <f aca="false">AU95</f>
        <v>393.222</v>
      </c>
      <c r="AV79" s="20" t="n">
        <f aca="false">AV95</f>
        <v>696.651</v>
      </c>
      <c r="AW79" s="20" t="n">
        <f aca="false">AW95</f>
        <v>289.796</v>
      </c>
      <c r="AX79" s="20" t="n">
        <f aca="false">AX95</f>
        <v>332.194</v>
      </c>
      <c r="AY79" s="20" t="n">
        <f aca="false">AY95</f>
        <v>1318.641</v>
      </c>
      <c r="AZ79" s="20" t="n">
        <f aca="false">AZ95</f>
        <v>273.255</v>
      </c>
      <c r="BA79" s="20" t="n">
        <f aca="false">BA95</f>
        <v>389.05</v>
      </c>
      <c r="BB79" s="20" t="n">
        <f aca="false">BB95</f>
        <v>662.305</v>
      </c>
      <c r="BC79" s="20" t="n">
        <f aca="false">BC95</f>
        <v>331.542</v>
      </c>
      <c r="BD79" s="20" t="n">
        <f aca="false">BD95</f>
        <v>383.413</v>
      </c>
      <c r="BE79" s="20" t="n">
        <f aca="false">BE95</f>
        <v>1377.26</v>
      </c>
      <c r="BF79" s="20" t="n">
        <f aca="false">BF95</f>
        <v>331.555</v>
      </c>
      <c r="BG79" s="20" t="n">
        <f aca="false">BG95</f>
        <v>396.361</v>
      </c>
      <c r="BH79" s="20" t="n">
        <f aca="false">BH95</f>
        <v>727.916</v>
      </c>
      <c r="BI79" s="20" t="n">
        <f aca="false">BI95</f>
        <v>329.682</v>
      </c>
      <c r="BJ79" s="20" t="n">
        <f aca="false">BJ95</f>
        <v>359.373</v>
      </c>
      <c r="BK79" s="20" t="n">
        <f aca="false">BK95</f>
        <v>1416.971</v>
      </c>
      <c r="BL79" s="20" t="n">
        <f aca="false">BL95</f>
        <v>393.921</v>
      </c>
      <c r="BM79" s="20" t="n">
        <f aca="false">BM95</f>
        <v>484.546</v>
      </c>
      <c r="BN79" s="20" t="n">
        <f aca="false">BN95</f>
        <v>878.467</v>
      </c>
      <c r="BO79" s="20" t="n">
        <f aca="false">BO95</f>
        <v>411.479</v>
      </c>
      <c r="BP79" s="20" t="n">
        <f aca="false">BP95</f>
        <v>443.861</v>
      </c>
      <c r="BQ79" s="20" t="n">
        <f aca="false">BQ95</f>
        <v>1733.808</v>
      </c>
      <c r="BR79" s="20" t="n">
        <f aca="false">BR95</f>
        <v>512.4</v>
      </c>
      <c r="BS79" s="20" t="n">
        <f aca="false">BS95</f>
        <v>1106.5</v>
      </c>
      <c r="BT79" s="20" t="n">
        <f aca="false">BT95</f>
        <v>1618.9</v>
      </c>
      <c r="BU79" s="20" t="n">
        <f aca="false">BU95</f>
        <v>1019.8</v>
      </c>
      <c r="BV79" s="20" t="n">
        <f aca="false">BV95</f>
        <v>1040.9</v>
      </c>
      <c r="BW79" s="20" t="n">
        <f aca="false">BW95</f>
        <v>3679.6</v>
      </c>
      <c r="BX79" s="20" t="n">
        <f aca="false">BX95</f>
        <v>1064.7</v>
      </c>
      <c r="BY79" s="20" t="n">
        <f aca="false">BY95</f>
        <v>1096.1</v>
      </c>
      <c r="BZ79" s="20" t="n">
        <f aca="false">BZ95</f>
        <v>2160.8</v>
      </c>
      <c r="CA79" s="20" t="n">
        <f aca="false">CA95</f>
        <v>981.8</v>
      </c>
      <c r="CB79" s="20" t="n">
        <f aca="false">CB95</f>
        <v>1141.6</v>
      </c>
      <c r="CC79" s="20" t="n">
        <f aca="false">CC95</f>
        <v>4284.2</v>
      </c>
      <c r="CD79" s="20" t="n">
        <f aca="false">CD95</f>
        <v>1108.6</v>
      </c>
      <c r="CE79" s="20" t="n">
        <f aca="false">CE95</f>
        <v>1186</v>
      </c>
      <c r="CF79" s="20" t="n">
        <f aca="false">CF95</f>
        <v>2294.6</v>
      </c>
      <c r="CG79" s="20" t="n">
        <f aca="false">CG95</f>
        <v>1092.7</v>
      </c>
      <c r="CH79" s="20" t="n">
        <f aca="false">CH95</f>
        <v>1203.4</v>
      </c>
      <c r="CI79" s="20" t="n">
        <f aca="false">CI95</f>
        <v>4590.7</v>
      </c>
      <c r="CJ79" s="20" t="n">
        <f aca="false">CJ95</f>
        <v>1234.6</v>
      </c>
      <c r="CK79" s="20" t="n">
        <f aca="false">CK95</f>
        <v>1317.1</v>
      </c>
      <c r="CL79" s="20" t="n">
        <f aca="false">CL95</f>
        <v>2551.7</v>
      </c>
      <c r="CM79" s="22" t="n">
        <f aca="false">CM95</f>
        <v>1160.9867997448</v>
      </c>
      <c r="CN79" s="22" t="n">
        <f aca="false">CN95</f>
        <v>1293.36532879542</v>
      </c>
      <c r="CO79" s="22" t="n">
        <f aca="false">SUM(CJ79,CK79,CM79,CN79)</f>
        <v>5006.05212854023</v>
      </c>
      <c r="CP79" s="22" t="n">
        <f aca="false">CP95</f>
        <v>5262.04086492624</v>
      </c>
      <c r="CQ79" s="22" t="n">
        <f aca="false">CQ95</f>
        <v>5513.29931356164</v>
      </c>
      <c r="CR79" s="22" t="n">
        <f aca="false">CR95</f>
        <v>5749.8059300941</v>
      </c>
      <c r="CS79" s="22" t="n">
        <f aca="false">CS95</f>
        <v>5996.49951730531</v>
      </c>
      <c r="CT79" s="23"/>
      <c r="CV79" s="24" t="n">
        <f aca="false">IFERROR((CS79/CI79)^(1/5)-1,"n/m")</f>
        <v>0.0548817480194668</v>
      </c>
      <c r="CW79" s="24" t="n">
        <f aca="false">IFERROR((CI79/BE79)^(1/5)-1,"n/m")</f>
        <v>0.272250398791166</v>
      </c>
      <c r="CX79" s="24" t="n">
        <f aca="false">IFERROR((CI79/AA79)^(1/10)-1,"n/m")</f>
        <v>0.244323900844261</v>
      </c>
      <c r="CY79" s="24" t="n">
        <f aca="false">IFERROR((CI79/C79)^(1/19)-1,"n/m")</f>
        <v>0.163632356126279</v>
      </c>
    </row>
    <row r="80" customFormat="false" ht="15" hidden="false" customHeight="true" outlineLevel="0" collapsed="false">
      <c r="B80" s="41" t="s">
        <v>195</v>
      </c>
      <c r="C80" s="43" t="n">
        <f aca="false">IF(ISNUMBER(C158),C158,C156)</f>
        <v>101.591</v>
      </c>
      <c r="D80" s="43" t="n">
        <f aca="false">IF(ISNUMBER(D158),D158,D156)</f>
        <v>125.125</v>
      </c>
      <c r="E80" s="43" t="n">
        <f aca="false">IF(ISNUMBER(E158),E158,E156)</f>
        <v>159.913</v>
      </c>
      <c r="F80" s="43" t="n">
        <f aca="false">IF(ISNUMBER(F158),F158,F156)</f>
        <v>161.428</v>
      </c>
      <c r="G80" s="43" t="n">
        <f aca="false">IF(ISNUMBER(G158),G158,G156)</f>
        <v>131.352</v>
      </c>
      <c r="H80" s="43" t="n">
        <f aca="false">IF(ISNUMBER(H158),H158,H156)</f>
        <v>153.638</v>
      </c>
      <c r="I80" s="43" t="n">
        <f aca="false">IF(ISNUMBER(I158),I158,I156)</f>
        <v>157.593</v>
      </c>
      <c r="J80" s="20" t="n">
        <f aca="false">IF(ISNUMBER(J158),J158,J156)</f>
        <v>31.998</v>
      </c>
      <c r="K80" s="20" t="n">
        <f aca="false">IF(ISNUMBER(K158),K158,K156)</f>
        <v>53.279</v>
      </c>
      <c r="L80" s="20" t="n">
        <f aca="false">IF(ISNUMBER(L158),L158,L156)</f>
        <v>85.277</v>
      </c>
      <c r="M80" s="20" t="n">
        <f aca="false">IF(ISNUMBER(M158),M158,M156)</f>
        <v>37.633</v>
      </c>
      <c r="N80" s="20" t="n">
        <f aca="false">IF(ISNUMBER(N158),N158,N156)</f>
        <v>64.451</v>
      </c>
      <c r="O80" s="43" t="n">
        <f aca="false">IF(ISNUMBER(O158),O158,O156)</f>
        <v>175</v>
      </c>
      <c r="P80" s="20" t="n">
        <f aca="false">IF(ISNUMBER(P158),P158,P156)</f>
        <v>30.485</v>
      </c>
      <c r="Q80" s="20" t="n">
        <f aca="false">IF(ISNUMBER(Q158),Q158,Q156)</f>
        <v>63.44</v>
      </c>
      <c r="R80" s="20" t="n">
        <f aca="false">IF(ISNUMBER(R158),R158,R156)</f>
        <v>93.925</v>
      </c>
      <c r="S80" s="20" t="n">
        <f aca="false">IF(ISNUMBER(S158),S158,S156)</f>
        <v>28.052</v>
      </c>
      <c r="T80" s="20" t="n">
        <f aca="false">IF(ISNUMBER(T158),T158,T156)</f>
        <v>60.152</v>
      </c>
      <c r="U80" s="43" t="n">
        <f aca="false">IF(ISNUMBER(U158),U158,U156)</f>
        <v>182.8</v>
      </c>
      <c r="V80" s="20" t="n">
        <f aca="false">IF(ISNUMBER(V158),V158,V156)</f>
        <v>44.581</v>
      </c>
      <c r="W80" s="20" t="n">
        <f aca="false">IF(ISNUMBER(W158),W158,W156)</f>
        <v>74.655</v>
      </c>
      <c r="X80" s="20" t="n">
        <f aca="false">IF(ISNUMBER(X158),X158,X156)</f>
        <v>119.236</v>
      </c>
      <c r="Y80" s="20" t="n">
        <f aca="false">IF(ISNUMBER(Y158),Y158,Y156)</f>
        <v>39.721</v>
      </c>
      <c r="Z80" s="20" t="n">
        <f aca="false">IF(ISNUMBER(Z158),Z158,Z156)</f>
        <v>53.429</v>
      </c>
      <c r="AA80" s="43" t="n">
        <f aca="false">IF(ISNUMBER(AA158),AA158,AA156)</f>
        <v>212.386</v>
      </c>
      <c r="AB80" s="20" t="n">
        <f aca="false">IF(ISNUMBER(AB158),AB158,AB156)</f>
        <v>50.471</v>
      </c>
      <c r="AC80" s="20" t="n">
        <f aca="false">IF(ISNUMBER(AC158),AC158,AC156)</f>
        <v>64.665</v>
      </c>
      <c r="AD80" s="20" t="n">
        <f aca="false">IF(ISNUMBER(AD158),AD158,AD156)</f>
        <v>115.136</v>
      </c>
      <c r="AE80" s="20" t="n">
        <f aca="false">IF(ISNUMBER(AE158),AE158,AE156)</f>
        <v>41.184</v>
      </c>
      <c r="AF80" s="20" t="n">
        <f aca="false">IF(ISNUMBER(AF158),AF158,AF156)</f>
        <v>53.766</v>
      </c>
      <c r="AG80" s="43" t="n">
        <f aca="false">IF(ISNUMBER(AG158),AG158,AG156)</f>
        <v>210.086</v>
      </c>
      <c r="AH80" s="20" t="n">
        <f aca="false">IF(ISNUMBER(AH158),AH158,AH156)</f>
        <v>35.264</v>
      </c>
      <c r="AI80" s="20" t="n">
        <f aca="false">IF(ISNUMBER(AI158),AI158,AI156)</f>
        <v>65.416</v>
      </c>
      <c r="AJ80" s="20" t="n">
        <f aca="false">IF(ISNUMBER(AJ158),AJ158,AJ156)</f>
        <v>100.68</v>
      </c>
      <c r="AK80" s="20" t="n">
        <f aca="false">IF(ISNUMBER(AK158),AK158,AK156)</f>
        <v>31.843</v>
      </c>
      <c r="AL80" s="20" t="n">
        <f aca="false">IF(ISNUMBER(AL158),AL158,AL156)</f>
        <v>59.001</v>
      </c>
      <c r="AM80" s="43" t="n">
        <f aca="false">IF(ISNUMBER(AM158),AM158,AM156)</f>
        <v>191.524</v>
      </c>
      <c r="AN80" s="20" t="n">
        <f aca="false">IF(ISNUMBER(AN158),AN158,AN156)</f>
        <v>49.585</v>
      </c>
      <c r="AO80" s="20" t="n">
        <f aca="false">IF(ISNUMBER(AO158),AO158,AO156)</f>
        <v>81.395</v>
      </c>
      <c r="AP80" s="20" t="n">
        <f aca="false">IF(ISNUMBER(AP158),AP158,AP156)</f>
        <v>130.98</v>
      </c>
      <c r="AQ80" s="20" t="n">
        <f aca="false">IF(ISNUMBER(AQ158),AQ158,AQ156)</f>
        <v>50.885</v>
      </c>
      <c r="AR80" s="20" t="n">
        <f aca="false">IF(ISNUMBER(AR158),AR158,AR156)</f>
        <v>75.466</v>
      </c>
      <c r="AS80" s="43" t="n">
        <f aca="false">IF(ISNUMBER(AS158),AS158,AS156)</f>
        <v>257.331</v>
      </c>
      <c r="AT80" s="20" t="n">
        <f aca="false">IF(ISNUMBER(AT158),AT158,AT156)</f>
        <v>51.887</v>
      </c>
      <c r="AU80" s="20" t="n">
        <f aca="false">IF(ISNUMBER(AU158),AU158,AU156)</f>
        <v>95.698</v>
      </c>
      <c r="AV80" s="20" t="n">
        <f aca="false">IF(ISNUMBER(AV158),AV158,AV156)</f>
        <v>147.585</v>
      </c>
      <c r="AW80" s="20" t="n">
        <f aca="false">IF(ISNUMBER(AW158),AW158,AW156)</f>
        <v>64.181</v>
      </c>
      <c r="AX80" s="20" t="n">
        <f aca="false">IF(ISNUMBER(AX158),AX158,AX156)</f>
        <v>92.123</v>
      </c>
      <c r="AY80" s="43" t="n">
        <f aca="false">IF(ISNUMBER(AY158),AY158,AY156)</f>
        <v>314.814</v>
      </c>
      <c r="AZ80" s="20" t="n">
        <f aca="false">IF(ISNUMBER(AZ158),AZ158,AZ156)</f>
        <v>58.439</v>
      </c>
      <c r="BA80" s="20" t="n">
        <f aca="false">IF(ISNUMBER(BA158),BA158,BA156)</f>
        <v>112.263</v>
      </c>
      <c r="BB80" s="20" t="n">
        <f aca="false">IF(ISNUMBER(BB158),BB158,BB156)</f>
        <v>170.702</v>
      </c>
      <c r="BC80" s="20" t="n">
        <f aca="false">IF(ISNUMBER(BC158),BC158,BC156)</f>
        <v>99.801</v>
      </c>
      <c r="BD80" s="20" t="n">
        <f aca="false">IF(ISNUMBER(BD158),BD158,BD156)</f>
        <v>103.792</v>
      </c>
      <c r="BE80" s="43" t="n">
        <f aca="false">IF(ISNUMBER(BE158),BE158,BE156)</f>
        <v>374.295</v>
      </c>
      <c r="BF80" s="20" t="n">
        <f aca="false">IF(ISNUMBER(BF158),BF158,BF156)</f>
        <v>72.903</v>
      </c>
      <c r="BG80" s="20" t="n">
        <f aca="false">IF(ISNUMBER(BG158),BG158,BG156)</f>
        <v>122.97</v>
      </c>
      <c r="BH80" s="20" t="n">
        <f aca="false">IF(ISNUMBER(BH158),BH158,BH156)</f>
        <v>195.873</v>
      </c>
      <c r="BI80" s="20" t="n">
        <f aca="false">IF(ISNUMBER(BI158),BI158,BI156)</f>
        <v>91.247</v>
      </c>
      <c r="BJ80" s="20" t="n">
        <f aca="false">IF(ISNUMBER(BJ158),BJ158,BJ156)</f>
        <v>98.202</v>
      </c>
      <c r="BK80" s="43" t="n">
        <f aca="false">IF(ISNUMBER(BK158),BK158,BK156)</f>
        <v>385.324</v>
      </c>
      <c r="BL80" s="20" t="n">
        <f aca="false">IF(ISNUMBER(BL158),BL158,BL156)</f>
        <v>104.929</v>
      </c>
      <c r="BM80" s="20" t="n">
        <f aca="false">IF(ISNUMBER(BM158),BM158,BM156)</f>
        <v>136.219</v>
      </c>
      <c r="BN80" s="20" t="n">
        <f aca="false">IF(ISNUMBER(BN158),BN158,BN156)</f>
        <v>241.148</v>
      </c>
      <c r="BO80" s="20" t="n">
        <f aca="false">IF(ISNUMBER(BO158),BO158,BO156)</f>
        <v>102.544</v>
      </c>
      <c r="BP80" s="20" t="n">
        <f aca="false">IF(ISNUMBER(BP158),BP158,BP156)</f>
        <v>121.522</v>
      </c>
      <c r="BQ80" s="43" t="n">
        <f aca="false">IF(ISNUMBER(BQ158),BQ158,BQ156)</f>
        <v>465.215</v>
      </c>
      <c r="BR80" s="20" t="n">
        <f aca="false">IF(ISNUMBER(BR158),BR158,BR156)</f>
        <v>132.6</v>
      </c>
      <c r="BS80" s="20" t="n">
        <f aca="false">IF(ISNUMBER(BS158),BS158,BS156)</f>
        <v>306.9</v>
      </c>
      <c r="BT80" s="20" t="n">
        <f aca="false">IF(ISNUMBER(BT158),BT158,BT156)</f>
        <v>439.5</v>
      </c>
      <c r="BU80" s="20" t="n">
        <f aca="false">IF(ISNUMBER(BU158),BU158,BU156)</f>
        <v>285.8</v>
      </c>
      <c r="BV80" s="20" t="n">
        <f aca="false">IF(ISNUMBER(BV158),BV158,BV156)</f>
        <v>307.5</v>
      </c>
      <c r="BW80" s="43" t="n">
        <f aca="false">IF(ISNUMBER(BW158),BW158,BW156)</f>
        <v>1032.8</v>
      </c>
      <c r="BX80" s="20" t="n">
        <f aca="false">IF(ISNUMBER(BX158),BX158,BX156)</f>
        <v>331</v>
      </c>
      <c r="BY80" s="20" t="n">
        <f aca="false">IF(ISNUMBER(BY158),BY158,BY156)</f>
        <v>342</v>
      </c>
      <c r="BZ80" s="20" t="n">
        <f aca="false">IF(ISNUMBER(BZ158),BZ158,BZ156)</f>
        <v>673</v>
      </c>
      <c r="CA80" s="20" t="n">
        <f aca="false">IF(ISNUMBER(CA158),CA158,CA156)</f>
        <v>283.7</v>
      </c>
      <c r="CB80" s="20" t="n">
        <f aca="false">IF(ISNUMBER(CB158),CB158,CB156)</f>
        <v>346</v>
      </c>
      <c r="CC80" s="43" t="n">
        <f aca="false">IF(ISNUMBER(CC158),CC158,CC156)</f>
        <v>1302.7</v>
      </c>
      <c r="CD80" s="20" t="n">
        <f aca="false">IF(ISNUMBER(CD158),CD158,CD156)</f>
        <v>327.9</v>
      </c>
      <c r="CE80" s="20" t="n">
        <f aca="false">IF(ISNUMBER(CE158),CE158,CE156)</f>
        <v>364.5</v>
      </c>
      <c r="CF80" s="20" t="n">
        <f aca="false">IF(ISNUMBER(CF158),CF158,CF156)</f>
        <v>692.4</v>
      </c>
      <c r="CG80" s="20" t="n">
        <f aca="false">IF(ISNUMBER(CG158),CG158,CG156)</f>
        <v>327.7</v>
      </c>
      <c r="CH80" s="20" t="n">
        <f aca="false">IF(ISNUMBER(CH158),CH158,CH156)</f>
        <v>379.6</v>
      </c>
      <c r="CI80" s="43" t="n">
        <f aca="false">IF(ISNUMBER(CI158),CI158,CI156)</f>
        <v>1399.7</v>
      </c>
      <c r="CJ80" s="20" t="n">
        <f aca="false">IF(ISNUMBER(CJ158),CJ158,CJ156)</f>
        <v>362.7</v>
      </c>
      <c r="CK80" s="20" t="n">
        <f aca="false">IF(ISNUMBER(CK158),CK158,CK156)</f>
        <v>387.2</v>
      </c>
      <c r="CL80" s="20" t="n">
        <f aca="false">IF(ISNUMBER(CL158),CL158,CL156)</f>
        <v>749.9</v>
      </c>
      <c r="CM80" s="43" t="n">
        <f aca="false">(CHOOSE(MATCH($CT$2,{"Bull","Base","Bear"},0),$DC$13,$DD$13,$DE$13)-CL80)*CM95/(CM95+CN95)</f>
        <v>364.281850223033</v>
      </c>
      <c r="CN80" s="43" t="n">
        <f aca="false">(CHOOSE(MATCH($CT$2,{"Bull","Base","Bear"},0),$DC$13,$DD$13,$DE$13)-CL80)*CN95/(CM95+CN95)</f>
        <v>405.818149776967</v>
      </c>
      <c r="CO80" s="43" t="n">
        <f aca="false">SUM(CJ80,CK80,CM80,CN80)</f>
        <v>1520</v>
      </c>
      <c r="CP80" s="43" t="n">
        <f aca="false">CP95*CP81</f>
        <v>1604.9224638025</v>
      </c>
      <c r="CQ80" s="43" t="n">
        <f aca="false">CQ95*CQ81</f>
        <v>1709.12278720411</v>
      </c>
      <c r="CR80" s="43" t="n">
        <f aca="false">CR95*CR81</f>
        <v>1811.18886797964</v>
      </c>
      <c r="CS80" s="43" t="n">
        <f aca="false">CS95*CS81</f>
        <v>1918.8798455377</v>
      </c>
      <c r="CT80" s="23" t="s">
        <v>196</v>
      </c>
      <c r="CV80" s="24" t="n">
        <f aca="false">IFERROR((CS80/CI80)^(1/5)-1,"n/m")</f>
        <v>0.0651298693857514</v>
      </c>
      <c r="CW80" s="24" t="n">
        <f aca="false">IFERROR((CI80/BE80)^(1/5)-1,"n/m")</f>
        <v>0.30185971222598</v>
      </c>
      <c r="CX80" s="24" t="n">
        <f aca="false">IFERROR((CI80/AA80)^(1/10)-1,"n/m")</f>
        <v>0.207510477239951</v>
      </c>
      <c r="CY80" s="24" t="n">
        <f aca="false">IFERROR((CI80/C80)^(1/19)-1,"n/m")</f>
        <v>0.148039491778528</v>
      </c>
    </row>
    <row r="81" customFormat="false" ht="15" hidden="false" customHeight="true" outlineLevel="0" collapsed="false">
      <c r="B81" s="30" t="s">
        <v>197</v>
      </c>
      <c r="C81" s="44" t="n">
        <f aca="false">IFERROR(C80/C95,"")</f>
        <v>0.393981935724064</v>
      </c>
      <c r="D81" s="44" t="n">
        <f aca="false">IFERROR(D80/D95,"")</f>
        <v>0.401162529736523</v>
      </c>
      <c r="E81" s="44" t="n">
        <f aca="false">IFERROR(E80/E95,"")</f>
        <v>0.450690213010614</v>
      </c>
      <c r="F81" s="44" t="n">
        <f aca="false">IFERROR(F80/F95,"")</f>
        <v>0.427951464830029</v>
      </c>
      <c r="G81" s="44" t="n">
        <f aca="false">IFERROR(G80/G95,"")</f>
        <v>0.367552865525549</v>
      </c>
      <c r="H81" s="44" t="n">
        <f aca="false">IFERROR(H80/H95,"")</f>
        <v>0.38787777803024</v>
      </c>
      <c r="I81" s="44" t="n">
        <f aca="false">IFERROR(I80/I95,"")</f>
        <v>0.359838339555434</v>
      </c>
      <c r="J81" s="44" t="n">
        <f aca="false">IFERROR(J80/J95,"")</f>
        <v>0.313527601951832</v>
      </c>
      <c r="K81" s="44" t="n">
        <f aca="false">IFERROR(K80/K95,"")</f>
        <v>0.415197705771419</v>
      </c>
      <c r="L81" s="44" t="n">
        <f aca="false">IFERROR(L80/L95,"")</f>
        <v>0.370157999826374</v>
      </c>
      <c r="M81" s="44" t="n">
        <f aca="false">IFERROR(M80/M95,"")</f>
        <v>0.35569943289225</v>
      </c>
      <c r="N81" s="44" t="n">
        <f aca="false">IFERROR(N80/N95,"")</f>
        <v>0.491156275957721</v>
      </c>
      <c r="O81" s="44" t="n">
        <f aca="false">IFERROR(O80/O95,"")</f>
        <v>0.374409235713078</v>
      </c>
      <c r="P81" s="44" t="n">
        <f aca="false">IFERROR(P80/P95,"")</f>
        <v>0.309216131780744</v>
      </c>
      <c r="Q81" s="44" t="n">
        <f aca="false">IFERROR(Q80/Q95,"")</f>
        <v>0.447280290478373</v>
      </c>
      <c r="R81" s="44" t="n">
        <f aca="false">IFERROR(R80/R95,"")</f>
        <v>0.390665618514036</v>
      </c>
      <c r="S81" s="44" t="n">
        <f aca="false">IFERROR(S80/S95,"")</f>
        <v>0.274435759218134</v>
      </c>
      <c r="T81" s="44" t="n">
        <f aca="false">IFERROR(T80/T95,"")</f>
        <v>0.434445351264291</v>
      </c>
      <c r="U81" s="44" t="n">
        <f aca="false">IFERROR(U80/U95,"")</f>
        <v>0.379964955092216</v>
      </c>
      <c r="V81" s="44" t="n">
        <f aca="false">IFERROR(V80/V95,"")</f>
        <v>0.385588749156706</v>
      </c>
      <c r="W81" s="44" t="n">
        <f aca="false">IFERROR(W80/W95,"")</f>
        <v>0.480167484579713</v>
      </c>
      <c r="X81" s="44" t="n">
        <f aca="false">IFERROR(X80/X95,"")</f>
        <v>0.439831055534038</v>
      </c>
      <c r="Y81" s="44" t="n">
        <f aca="false">IFERROR(Y80/Y95,"")</f>
        <v>0.363352787281143</v>
      </c>
      <c r="Z81" s="44" t="n">
        <f aca="false">IFERROR(Z80/Z95,"")</f>
        <v>0.394420575511952</v>
      </c>
      <c r="AA81" s="44" t="n">
        <f aca="false">IFERROR(AA80/AA95,"")</f>
        <v>0.411700508844197</v>
      </c>
      <c r="AB81" s="44" t="n">
        <f aca="false">IFERROR(AB80/AB95,"")</f>
        <v>0.382515442040244</v>
      </c>
      <c r="AC81" s="44" t="n">
        <f aca="false">IFERROR(AC80/AC95,"")</f>
        <v>0.407197506375744</v>
      </c>
      <c r="AD81" s="44" t="n">
        <f aca="false">IFERROR(AD80/AD95,"")</f>
        <v>0.395996560619089</v>
      </c>
      <c r="AE81" s="44" t="n">
        <f aca="false">IFERROR(AE80/AE95,"")</f>
        <v>0.319562990781837</v>
      </c>
      <c r="AF81" s="44" t="n">
        <f aca="false">IFERROR(AF80/AF95,"")</f>
        <v>0.366330764671014</v>
      </c>
      <c r="AG81" s="44" t="n">
        <f aca="false">IFERROR(AG80/AG95,"")</f>
        <v>0.370917822367782</v>
      </c>
      <c r="AH81" s="44" t="n">
        <f aca="false">IFERROR(AH80/AH95,"")</f>
        <v>0.176826608232586</v>
      </c>
      <c r="AI81" s="44" t="n">
        <f aca="false">IFERROR(AI80/AI95,"")</f>
        <v>0.25895737749047</v>
      </c>
      <c r="AJ81" s="44" t="n">
        <f aca="false">IFERROR(AJ80/AJ95,"")</f>
        <v>0.222723652774091</v>
      </c>
      <c r="AK81" s="44" t="n">
        <f aca="false">IFERROR(AK80/AK95,"")</f>
        <v>0.14003016697376</v>
      </c>
      <c r="AL81" s="44" t="n">
        <f aca="false">IFERROR(AL80/AL95,"")</f>
        <v>0.202231362467866</v>
      </c>
      <c r="AM81" s="44" t="n">
        <f aca="false">IFERROR(AM80/AM95,"")</f>
        <v>0.19720528711654</v>
      </c>
      <c r="AN81" s="44" t="n">
        <f aca="false">IFERROR(AN80/AN95,"")</f>
        <v>0.19058106373329</v>
      </c>
      <c r="AO81" s="44" t="n">
        <f aca="false">IFERROR(AO80/AO95,"")</f>
        <v>0.263815512267851</v>
      </c>
      <c r="AP81" s="44" t="n">
        <f aca="false">IFERROR(AP80/AP95,"")</f>
        <v>0.230311513113935</v>
      </c>
      <c r="AQ81" s="44" t="n">
        <f aca="false">IFERROR(AQ80/AQ95,"")</f>
        <v>0.207400976580014</v>
      </c>
      <c r="AR81" s="44" t="n">
        <f aca="false">IFERROR(AR80/AR95,"")</f>
        <v>0.211999820210578</v>
      </c>
      <c r="AS81" s="44" t="n">
        <f aca="false">IFERROR(AS80/AS95,"")</f>
        <v>0.219936138171289</v>
      </c>
      <c r="AT81" s="44" t="n">
        <f aca="false">IFERROR(AT80/AT95,"")</f>
        <v>0.171002112520557</v>
      </c>
      <c r="AU81" s="44" t="n">
        <f aca="false">IFERROR(AU80/AU95,"")</f>
        <v>0.243368885769362</v>
      </c>
      <c r="AV81" s="44" t="n">
        <f aca="false">IFERROR(AV80/AV95,"")</f>
        <v>0.211849261681961</v>
      </c>
      <c r="AW81" s="44" t="n">
        <f aca="false">IFERROR(AW80/AW95,"")</f>
        <v>0.221469585501525</v>
      </c>
      <c r="AX81" s="44" t="n">
        <f aca="false">IFERROR(AX80/AX95,"")</f>
        <v>0.277316869058442</v>
      </c>
      <c r="AY81" s="44" t="n">
        <f aca="false">IFERROR(AY80/AY95,"")</f>
        <v>0.238741249513704</v>
      </c>
      <c r="AZ81" s="44" t="n">
        <f aca="false">IFERROR(AZ80/AZ95,"")</f>
        <v>0.213862509377688</v>
      </c>
      <c r="BA81" s="44" t="n">
        <f aca="false">IFERROR(BA80/BA95,"")</f>
        <v>0.28855674077882</v>
      </c>
      <c r="BB81" s="44" t="n">
        <f aca="false">IFERROR(BB80/BB95,"")</f>
        <v>0.257739259102679</v>
      </c>
      <c r="BC81" s="44" t="n">
        <f aca="false">IFERROR(BC80/BC95,"")</f>
        <v>0.301020685162061</v>
      </c>
      <c r="BD81" s="44" t="n">
        <f aca="false">IFERROR(BD80/BD95,"")</f>
        <v>0.270705479469919</v>
      </c>
      <c r="BE81" s="44" t="n">
        <f aca="false">IFERROR(BE80/BE95,"")</f>
        <v>0.271767857920799</v>
      </c>
      <c r="BF81" s="44" t="n">
        <f aca="false">IFERROR(BF80/BF95,"")</f>
        <v>0.219882070847974</v>
      </c>
      <c r="BG81" s="44" t="n">
        <f aca="false">IFERROR(BG80/BG95,"")</f>
        <v>0.310247476416701</v>
      </c>
      <c r="BH81" s="44" t="n">
        <f aca="false">IFERROR(BH80/BH95,"")</f>
        <v>0.269087367223691</v>
      </c>
      <c r="BI81" s="44" t="n">
        <f aca="false">IFERROR(BI80/BI95,"")</f>
        <v>0.276772768910647</v>
      </c>
      <c r="BJ81" s="44" t="n">
        <f aca="false">IFERROR(BJ80/BJ95,"")</f>
        <v>0.27325925987762</v>
      </c>
      <c r="BK81" s="44" t="n">
        <f aca="false">IFERROR(BK80/BK95,"")</f>
        <v>0.271934993729582</v>
      </c>
      <c r="BL81" s="44" t="n">
        <f aca="false">IFERROR(BL80/BL95,"")</f>
        <v>0.266370668230432</v>
      </c>
      <c r="BM81" s="44" t="n">
        <f aca="false">IFERROR(BM80/BM95,"")</f>
        <v>0.281127075654324</v>
      </c>
      <c r="BN81" s="44" t="n">
        <f aca="false">IFERROR(BN80/BN95,"")</f>
        <v>0.274510027126802</v>
      </c>
      <c r="BO81" s="44" t="n">
        <f aca="false">IFERROR(BO80/BO95,"")</f>
        <v>0.249208343560668</v>
      </c>
      <c r="BP81" s="44" t="n">
        <f aca="false">IFERROR(BP80/BP95,"")</f>
        <v>0.273783909827626</v>
      </c>
      <c r="BQ81" s="44" t="n">
        <f aca="false">IFERROR(BQ80/BQ95,"")</f>
        <v>0.268319790888034</v>
      </c>
      <c r="BR81" s="44" t="n">
        <f aca="false">IFERROR(BR80/BR95,"")</f>
        <v>0.258782201405152</v>
      </c>
      <c r="BS81" s="44" t="n">
        <f aca="false">IFERROR(BS80/BS95,"")</f>
        <v>0.277361048350655</v>
      </c>
      <c r="BT81" s="44" t="n">
        <f aca="false">IFERROR(BT80/BT95,"")</f>
        <v>0.271480634999073</v>
      </c>
      <c r="BU81" s="44" t="n">
        <f aca="false">IFERROR(BU80/BU95,"")</f>
        <v>0.28025102961365</v>
      </c>
      <c r="BV81" s="44" t="n">
        <f aca="false">IFERROR(BV80/BV95,"")</f>
        <v>0.295417427226439</v>
      </c>
      <c r="BW81" s="44" t="n">
        <f aca="false">IFERROR(BW80/BW95,"")</f>
        <v>0.280682682900315</v>
      </c>
      <c r="BX81" s="44" t="n">
        <f aca="false">IFERROR(BX80/BX95,"")</f>
        <v>0.31088569550108</v>
      </c>
      <c r="BY81" s="44" t="n">
        <f aca="false">IFERROR(BY80/BY95,"")</f>
        <v>0.312015327068698</v>
      </c>
      <c r="BZ81" s="44" t="n">
        <f aca="false">IFERROR(BZ80/BZ95,"")</f>
        <v>0.311458718992966</v>
      </c>
      <c r="CA81" s="44" t="n">
        <f aca="false">IFERROR(CA80/CA95,"")</f>
        <v>0.288959054797311</v>
      </c>
      <c r="CB81" s="44" t="n">
        <f aca="false">IFERROR(CB80/CB95,"")</f>
        <v>0.303083391730904</v>
      </c>
      <c r="CC81" s="44" t="n">
        <f aca="false">IFERROR(CC80/CC95,"")</f>
        <v>0.304070771672658</v>
      </c>
      <c r="CD81" s="44" t="n">
        <f aca="false">IFERROR(CD80/CD95,"")</f>
        <v>0.295778459318059</v>
      </c>
      <c r="CE81" s="44" t="n">
        <f aca="false">IFERROR(CE80/CE95,"")</f>
        <v>0.307335581787521</v>
      </c>
      <c r="CF81" s="44" t="n">
        <f aca="false">IFERROR(CF80/CF95,"")</f>
        <v>0.301751939335832</v>
      </c>
      <c r="CG81" s="44" t="n">
        <f aca="false">IFERROR(CG80/CG95,"")</f>
        <v>0.299899331930081</v>
      </c>
      <c r="CH81" s="44" t="n">
        <f aca="false">IFERROR(CH80/CH95,"")</f>
        <v>0.315439587834469</v>
      </c>
      <c r="CI81" s="44" t="n">
        <f aca="false">IFERROR(CI80/CI95,"")</f>
        <v>0.304899035005555</v>
      </c>
      <c r="CJ81" s="44" t="n">
        <f aca="false">IFERROR(CJ80/CJ95,"")</f>
        <v>0.293779361736595</v>
      </c>
      <c r="CK81" s="44" t="n">
        <f aca="false">IFERROR(CK80/CK95,"")</f>
        <v>0.293979196720067</v>
      </c>
      <c r="CL81" s="44" t="n">
        <f aca="false">IFERROR(CL80/CL95,"")</f>
        <v>0.293882509699416</v>
      </c>
      <c r="CM81" s="35" t="n">
        <f aca="false">IFERROR(CM80/CM95,"")</f>
        <v>0.313769157670962</v>
      </c>
      <c r="CN81" s="35" t="n">
        <f aca="false">IFERROR(CN80/CN95,"")</f>
        <v>0.313769157670962</v>
      </c>
      <c r="CO81" s="35" t="n">
        <f aca="false">IFERROR(CO80/CO95,"")</f>
        <v>0.303632475445923</v>
      </c>
      <c r="CP81" s="35" t="n">
        <f aca="false">CHOOSE(MATCH($CT$2,{"Bull","Base","Bear"},0),$DC$39,$DD$39,$DE$39)</f>
        <v>0.305</v>
      </c>
      <c r="CQ81" s="35" t="n">
        <f aca="false">CHOOSE(MATCH($CT$2,{"Bull","Base","Bear"},0),$DC$40,$DD$40,$DE$40)</f>
        <v>0.31</v>
      </c>
      <c r="CR81" s="35" t="n">
        <f aca="false">CHOOSE(MATCH($CT$2,{"Bull","Base","Bear"},0),$DC$41,$DD$41,$DE$41)</f>
        <v>0.315</v>
      </c>
      <c r="CS81" s="35" t="n">
        <f aca="false">CHOOSE(MATCH($CT$2,{"Bull","Base","Bear"},0),$DC$42,$DD$42,$DE$42)</f>
        <v>0.32</v>
      </c>
      <c r="CT81" s="23" t="s">
        <v>198</v>
      </c>
      <c r="CV81" s="48" t="n">
        <f aca="false">IFERROR(AVERAGE(CO81,CP81,CQ81,CR81,CS81),"n/m")</f>
        <v>0.310726495089185</v>
      </c>
      <c r="CW81" s="48" t="n">
        <f aca="false">IFERROR(AVERAGE(BK81,BQ81,BW81,CC81,CI81),"n/m")</f>
        <v>0.285981454839229</v>
      </c>
      <c r="CX81" s="48" t="n">
        <f aca="false">IFERROR(AVERAGE(AG81,AM81,AS81,AY81,BE81,BK81,BQ81,BW81,CC81,CI81),"n/m")</f>
        <v>0.272847562928626</v>
      </c>
      <c r="CY81" s="48" t="n">
        <f aca="false">IFERROR(AVERAGE(C81,D81,E81,F81,G81,H81,I81,O81,U81,AA81,AG81,AM81,AS81,AY81,BE81,BK81,BQ81,BW81,CC81,CI81),"n/m")</f>
        <v>0.33418027276741</v>
      </c>
    </row>
    <row r="82" customFormat="false" ht="15" hidden="false" customHeight="true" outlineLevel="0" collapsed="false">
      <c r="B82" s="30" t="s">
        <v>199</v>
      </c>
      <c r="C82" s="44" t="n">
        <f aca="false">IFERROR(C80/C39,"")</f>
        <v>0.0373355903276084</v>
      </c>
      <c r="D82" s="44" t="n">
        <f aca="false">IFERROR(D80/D39,"")</f>
        <v>0.0392674305809885</v>
      </c>
      <c r="E82" s="44" t="n">
        <f aca="false">IFERROR(E80/E39,"")</f>
        <v>0.0448292198836049</v>
      </c>
      <c r="F82" s="44" t="n">
        <f aca="false">IFERROR(F80/F39,"")</f>
        <v>0.0462276715976221</v>
      </c>
      <c r="G82" s="44" t="n">
        <f aca="false">IFERROR(G80/G39,"")</f>
        <v>0.040073574389425</v>
      </c>
      <c r="H82" s="44" t="n">
        <f aca="false">IFERROR(H80/H39,"")</f>
        <v>0.0413641294237027</v>
      </c>
      <c r="I82" s="44" t="n">
        <f aca="false">IFERROR(I80/I39,"")</f>
        <v>0.0403258349366721</v>
      </c>
      <c r="J82" s="44" t="n">
        <f aca="false">IFERROR(J80/J39,"")</f>
        <v>0.0378516430414277</v>
      </c>
      <c r="K82" s="44" t="n">
        <f aca="false">IFERROR(K80/K39,"")</f>
        <v>0.0496569246054307</v>
      </c>
      <c r="L82" s="44" t="n">
        <f aca="false">IFERROR(L80/L39,"")</f>
        <v>0.0444545807605191</v>
      </c>
      <c r="M82" s="44" t="n">
        <f aca="false">IFERROR(M80/M39,"")</f>
        <v>0.047658426624791</v>
      </c>
      <c r="N82" s="44" t="n">
        <f aca="false">IFERROR(N80/N39,"")</f>
        <v>0.0580726487024186</v>
      </c>
      <c r="O82" s="44" t="n">
        <f aca="false">IFERROR(O80/O39,"")</f>
        <v>0.0458382893255197</v>
      </c>
      <c r="P82" s="44" t="n">
        <f aca="false">IFERROR(P80/P39,"")</f>
        <v>0.0356392561408595</v>
      </c>
      <c r="Q82" s="44" t="n">
        <f aca="false">IFERROR(Q80/Q39,"")</f>
        <v>0.0516106358261119</v>
      </c>
      <c r="R82" s="44" t="n">
        <f aca="false">IFERROR(R80/R39,"")</f>
        <v>0.0450570162541057</v>
      </c>
      <c r="S82" s="44" t="n">
        <f aca="false">IFERROR(S80/S39,"")</f>
        <v>0.031630126421281</v>
      </c>
      <c r="T82" s="44" t="n">
        <f aca="false">IFERROR(T80/T39,"")</f>
        <v>0.0484634026864671</v>
      </c>
      <c r="U82" s="44" t="n">
        <f aca="false">IFERROR(U80/U39,"")</f>
        <v>0.0433932063045486</v>
      </c>
      <c r="V82" s="44" t="n">
        <f aca="false">IFERROR(V80/V39,"")</f>
        <v>0.0466542690628856</v>
      </c>
      <c r="W82" s="44" t="n">
        <f aca="false">IFERROR(W80/W39,"")</f>
        <v>0.0591482274942797</v>
      </c>
      <c r="X82" s="44" t="n">
        <f aca="false">IFERROR(X80/X39,"")</f>
        <v>0.053764909959693</v>
      </c>
      <c r="Y82" s="44" t="n">
        <f aca="false">IFERROR(Y80/Y39,"")</f>
        <v>0.0444053665195096</v>
      </c>
      <c r="Z82" s="44" t="n">
        <f aca="false">IFERROR(Z80/Z39,"")</f>
        <v>0.0470575490335099</v>
      </c>
      <c r="AA82" s="44" t="n">
        <f aca="false">IFERROR(AA80/AA39,"")</f>
        <v>0.0500010005567804</v>
      </c>
      <c r="AB82" s="44" t="n">
        <f aca="false">IFERROR(AB80/AB39,"")</f>
        <v>0.049485156708062</v>
      </c>
      <c r="AC82" s="44" t="n">
        <f aca="false">IFERROR(AC80/AC39,"")</f>
        <v>0.050690532593546</v>
      </c>
      <c r="AD82" s="44" t="n">
        <f aca="false">IFERROR(AD80/AD39,"")</f>
        <v>0.0501549918888449</v>
      </c>
      <c r="AE82" s="44" t="n">
        <f aca="false">IFERROR(AE80/AE39,"")</f>
        <v>0.0412310446219136</v>
      </c>
      <c r="AF82" s="44" t="n">
        <f aca="false">IFERROR(AF80/AF39,"")</f>
        <v>0.0516805850327581</v>
      </c>
      <c r="AG82" s="44" t="n">
        <f aca="false">IFERROR(AG80/AG39,"")</f>
        <v>0.0484648133772722</v>
      </c>
      <c r="AH82" s="44" t="n">
        <f aca="false">IFERROR(AH80/AH39,"")</f>
        <v>0.0392079251954059</v>
      </c>
      <c r="AI82" s="44" t="n">
        <f aca="false">IFERROR(AI80/AI39,"")</f>
        <v>0.052152643906888</v>
      </c>
      <c r="AJ82" s="44" t="n">
        <f aca="false">IFERROR(AJ80/AJ39,"")</f>
        <v>0.0467468501129205</v>
      </c>
      <c r="AK82" s="44" t="n">
        <f aca="false">IFERROR(AK80/AK39,"")</f>
        <v>0.031239392458909</v>
      </c>
      <c r="AL82" s="44" t="n">
        <f aca="false">IFERROR(AL80/AL39,"")</f>
        <v>0.0455630102584537</v>
      </c>
      <c r="AM82" s="44" t="n">
        <f aca="false">IFERROR(AM80/AM39,"")</f>
        <v>0.042865884419409</v>
      </c>
      <c r="AN82" s="44" t="n">
        <f aca="false">IFERROR(AN80/AN39,"")</f>
        <v>0.0427194687398769</v>
      </c>
      <c r="AO82" s="44" t="n">
        <f aca="false">IFERROR(AO80/AO39,"")</f>
        <v>0.0570627560620634</v>
      </c>
      <c r="AP82" s="44" t="n">
        <f aca="false">IFERROR(AP80/AP39,"")</f>
        <v>0.0506276467614231</v>
      </c>
      <c r="AQ82" s="44" t="n">
        <f aca="false">IFERROR(AQ80/AQ39,"")</f>
        <v>0.0489548568586346</v>
      </c>
      <c r="AR82" s="44" t="n">
        <f aca="false">IFERROR(AR80/AR39,"")</f>
        <v>0.0564183688268813</v>
      </c>
      <c r="AS82" s="44" t="n">
        <f aca="false">IFERROR(AS80/AS39,"")</f>
        <v>0.0518377209460201</v>
      </c>
      <c r="AT82" s="44" t="n">
        <f aca="false">IFERROR(AT80/AT39,"")</f>
        <v>0.0441711409310272</v>
      </c>
      <c r="AU82" s="44" t="n">
        <f aca="false">IFERROR(AU80/AU39,"")</f>
        <v>0.0638942098084002</v>
      </c>
      <c r="AV82" s="44" t="n">
        <f aca="false">IFERROR(AV80/AV39,"")</f>
        <v>0.0552248546084138</v>
      </c>
      <c r="AW82" s="44" t="n">
        <f aca="false">IFERROR(AW80/AW39,"")</f>
        <v>0.0591944041961151</v>
      </c>
      <c r="AX82" s="44" t="n">
        <f aca="false">IFERROR(AX80/AX39,"")</f>
        <v>0.0665672862646939</v>
      </c>
      <c r="AY82" s="44" t="n">
        <f aca="false">IFERROR(AY80/AY39,"")</f>
        <v>0.0612408660722988</v>
      </c>
      <c r="AZ82" s="44" t="n">
        <f aca="false">IFERROR(AZ80/AZ39,"")</f>
        <v>0.0509483228351605</v>
      </c>
      <c r="BA82" s="44" t="n">
        <f aca="false">IFERROR(BA80/BA39,"")</f>
        <v>0.0751434756242043</v>
      </c>
      <c r="BB82" s="44" t="n">
        <f aca="false">IFERROR(BB80/BB39,"")</f>
        <v>0.0646351940755931</v>
      </c>
      <c r="BC82" s="44" t="n">
        <f aca="false">IFERROR(BC80/BC39,"")</f>
        <v>0.0755279143985185</v>
      </c>
      <c r="BD82" s="44" t="n">
        <f aca="false">IFERROR(BD80/BD39,"")</f>
        <v>0.0716383956179875</v>
      </c>
      <c r="BE82" s="44" t="n">
        <f aca="false">IFERROR(BE80/BE39,"")</f>
        <v>0.0691701942150547</v>
      </c>
      <c r="BF82" s="44" t="n">
        <f aca="false">IFERROR(BF80/BF39,"")</f>
        <v>0.057199505075953</v>
      </c>
      <c r="BG82" s="44" t="n">
        <f aca="false">IFERROR(BG80/BG39,"")</f>
        <v>0.080496608498588</v>
      </c>
      <c r="BH82" s="44" t="n">
        <f aca="false">IFERROR(BH80/BH39,"")</f>
        <v>0.0699001955976434</v>
      </c>
      <c r="BI82" s="44" t="n">
        <f aca="false">IFERROR(BI80/BI39,"")</f>
        <v>0.0718334385613001</v>
      </c>
      <c r="BJ82" s="44" t="n">
        <f aca="false">IFERROR(BJ80/BJ39,"")</f>
        <v>0.0671929781346733</v>
      </c>
      <c r="BK82" s="44" t="n">
        <f aca="false">IFERROR(BK80/BK39,"")</f>
        <v>0.0696293466615323</v>
      </c>
      <c r="BL82" s="44" t="n">
        <f aca="false">IFERROR(BL80/BL39,"")</f>
        <v>0.0729126783660678</v>
      </c>
      <c r="BM82" s="44" t="n">
        <f aca="false">IFERROR(BM80/BM39,"")</f>
        <v>0.0808768871610116</v>
      </c>
      <c r="BN82" s="44" t="n">
        <f aca="false">IFERROR(BN80/BN39,"")</f>
        <v>0.0772073595888558</v>
      </c>
      <c r="BO82" s="44" t="n">
        <f aca="false">IFERROR(BO80/BO39,"")</f>
        <v>0.0754975917399109</v>
      </c>
      <c r="BP82" s="44" t="n">
        <f aca="false">IFERROR(BP80/BP39,"")</f>
        <v>0.078692350480843</v>
      </c>
      <c r="BQ82" s="44" t="n">
        <f aca="false">IFERROR(BQ80/BQ39,"")</f>
        <v>0.0772027164788465</v>
      </c>
      <c r="BR82" s="44" t="n">
        <f aca="false">IFERROR(BR80/BR39,"")</f>
        <v>0.0698188711036226</v>
      </c>
      <c r="BS82" s="44" t="n">
        <f aca="false">IFERROR(BS80/BS39,"")</f>
        <v>0.0740588803088803</v>
      </c>
      <c r="BT82" s="44" t="n">
        <f aca="false">IFERROR(BT80/BT39,"")</f>
        <v>0.0727263701350278</v>
      </c>
      <c r="BU82" s="44" t="n">
        <f aca="false">IFERROR(BU80/BU39,"")</f>
        <v>0.0737472260927904</v>
      </c>
      <c r="BV82" s="44" t="n">
        <f aca="false">IFERROR(BV80/BV39,"")</f>
        <v>0.0766450648055833</v>
      </c>
      <c r="BW82" s="44" t="n">
        <f aca="false">IFERROR(BW80/BW39,"")</f>
        <v>0.0741389459176202</v>
      </c>
      <c r="BX82" s="44" t="n">
        <f aca="false">IFERROR(BX80/BX39,"")</f>
        <v>0.0811791828125766</v>
      </c>
      <c r="BY82" s="44" t="n">
        <f aca="false">IFERROR(BY80/BY39,"")</f>
        <v>0.083331302843498</v>
      </c>
      <c r="BZ82" s="44" t="n">
        <f aca="false">IFERROR(BZ80/BZ39,"")</f>
        <v>0.0822587545071197</v>
      </c>
      <c r="CA82" s="44" t="n">
        <f aca="false">IFERROR(CA80/CA39,"")</f>
        <v>0.0783225663961129</v>
      </c>
      <c r="CB82" s="44" t="n">
        <f aca="false">IFERROR(CB80/CB39,"")</f>
        <v>0.084365551545889</v>
      </c>
      <c r="CC82" s="44" t="n">
        <f aca="false">IFERROR(CC80/CC39,"")</f>
        <v>0.0819060912428952</v>
      </c>
      <c r="CD82" s="44" t="n">
        <f aca="false">IFERROR(CD80/CD39,"")</f>
        <v>0.0856381728433754</v>
      </c>
      <c r="CE82" s="44" t="n">
        <f aca="false">IFERROR(CE80/CE39,"")</f>
        <v>0.0868249922584026</v>
      </c>
      <c r="CF82" s="44" t="n">
        <f aca="false">IFERROR(CF80/CF39,"")</f>
        <v>0.0862588762925128</v>
      </c>
      <c r="CG82" s="44" t="n">
        <f aca="false">IFERROR(CG80/CG39,"")</f>
        <v>0.0841594329446813</v>
      </c>
      <c r="CH82" s="44" t="n">
        <f aca="false">IFERROR(CH80/CH39,"")</f>
        <v>0.0886688000747471</v>
      </c>
      <c r="CI82" s="44" t="n">
        <f aca="false">IFERROR(CI80/CI39,"")</f>
        <v>0.0863911022781279</v>
      </c>
      <c r="CJ82" s="44" t="n">
        <f aca="false">IFERROR(CJ80/CJ39,"")</f>
        <v>0.0835541016839826</v>
      </c>
      <c r="CK82" s="44" t="n">
        <f aca="false">IFERROR(CK80/CK39,"")</f>
        <v>0.0828642968733281</v>
      </c>
      <c r="CL82" s="44" t="n">
        <f aca="false">IFERROR(CL80/CL39,"")</f>
        <v>0.0831965030620396</v>
      </c>
      <c r="CM82" s="35" t="n">
        <f aca="false">IFERROR(CM80/CM39,"")</f>
        <v>0.0868250168260317</v>
      </c>
      <c r="CN82" s="35" t="n">
        <f aca="false">IFERROR(CN80/CN39,"")</f>
        <v>0.0879745547031297</v>
      </c>
      <c r="CO82" s="35" t="n">
        <f aca="false">IFERROR(CO80/CO39,"")</f>
        <v>0.0852874157856907</v>
      </c>
      <c r="CP82" s="35" t="n">
        <f aca="false">IFERROR(CP80/CP39,"")</f>
        <v>0.0854</v>
      </c>
      <c r="CQ82" s="35" t="n">
        <f aca="false">IFERROR(CQ80/CQ39,"")</f>
        <v>0.0868</v>
      </c>
      <c r="CR82" s="35" t="n">
        <f aca="false">IFERROR(CR80/CR39,"")</f>
        <v>0.0882</v>
      </c>
      <c r="CS82" s="35" t="n">
        <f aca="false">IFERROR(CS80/CS39,"")</f>
        <v>0.0896</v>
      </c>
      <c r="CT82" s="23"/>
      <c r="CV82" s="48" t="n">
        <f aca="false">IFERROR(AVERAGE(CO82,CP82,CQ82,CR82,CS82),"n/m")</f>
        <v>0.0870574831571381</v>
      </c>
      <c r="CW82" s="48" t="n">
        <f aca="false">IFERROR(AVERAGE(BK82,BQ82,BW82,CC82,CI82),"n/m")</f>
        <v>0.0778536405158044</v>
      </c>
      <c r="CX82" s="48" t="n">
        <f aca="false">IFERROR(AVERAGE(AG82,AM82,AS82,AY82,BE82,BK82,BQ82,BW82,CC82,CI82),"n/m")</f>
        <v>0.0662847681609077</v>
      </c>
      <c r="CY82" s="48" t="n">
        <f aca="false">IFERROR(AVERAGE(C82,D82,E82,F82,G82,H82,I82,O82,U82,AA82,AG82,AM82,AS82,AY82,BE82,BK82,BQ82,BW82,CC82,CI82),"n/m")</f>
        <v>0.0545751814467775</v>
      </c>
    </row>
    <row r="83" customFormat="false" ht="15" hidden="false" customHeight="true" outlineLevel="0" collapsed="false">
      <c r="B83" s="30" t="s">
        <v>200</v>
      </c>
      <c r="C83" s="44" t="n">
        <f aca="false">IFERROR(C80/(C93+N(C58)),"")</f>
        <v>0.393981935724064</v>
      </c>
      <c r="D83" s="44" t="n">
        <f aca="false">IFERROR(D80/(D93+N(D58)),"")</f>
        <v>0.401162529736523</v>
      </c>
      <c r="E83" s="44" t="n">
        <f aca="false">IFERROR(E80/(E93+N(E58)),"")</f>
        <v>0.450690213010614</v>
      </c>
      <c r="F83" s="44" t="n">
        <f aca="false">IFERROR(F80/(F93+N(F58)),"")</f>
        <v>0.427951464830029</v>
      </c>
      <c r="G83" s="44" t="n">
        <f aca="false">IFERROR(G80/(G93+N(G58)),"")</f>
        <v>0.367552865525549</v>
      </c>
      <c r="H83" s="44" t="n">
        <f aca="false">IFERROR(H80/(H93+N(H58)),"")</f>
        <v>0.38787777803024</v>
      </c>
      <c r="I83" s="44" t="n">
        <f aca="false">IFERROR(I80/(I93+N(I58)),"")</f>
        <v>0.359838339555434</v>
      </c>
      <c r="J83" s="44" t="n">
        <f aca="false">IFERROR(J80/(J93+N(J58)),"")</f>
        <v>0.313527601951832</v>
      </c>
      <c r="K83" s="44" t="n">
        <f aca="false">IFERROR(K80/(K93+N(K58)),"")</f>
        <v>0.415197705771419</v>
      </c>
      <c r="L83" s="44" t="n">
        <f aca="false">IFERROR(L80/(L93+N(L58)),"")</f>
        <v>0.370157999826374</v>
      </c>
      <c r="M83" s="44" t="n">
        <f aca="false">IFERROR(M80/(M93+N(M58)),"")</f>
        <v>0.35569943289225</v>
      </c>
      <c r="N83" s="44" t="n">
        <f aca="false">IFERROR(N80/(N93+N(N58)),"")</f>
        <v>0.491156275957721</v>
      </c>
      <c r="O83" s="44" t="n">
        <f aca="false">IFERROR(O80/(O93+N(O58)),"")</f>
        <v>0.374409235713078</v>
      </c>
      <c r="P83" s="44" t="n">
        <f aca="false">IFERROR(P80/(P93+N(P58)),"")</f>
        <v>0.309216131780744</v>
      </c>
      <c r="Q83" s="44" t="n">
        <f aca="false">IFERROR(Q80/(Q93+N(Q58)),"")</f>
        <v>0.447280290478373</v>
      </c>
      <c r="R83" s="44" t="n">
        <f aca="false">IFERROR(R80/(R93+N(R58)),"")</f>
        <v>0.390665618514036</v>
      </c>
      <c r="S83" s="44" t="n">
        <f aca="false">IFERROR(S80/(S93+N(S58)),"")</f>
        <v>0.274435759218134</v>
      </c>
      <c r="T83" s="44" t="n">
        <f aca="false">IFERROR(T80/(T93+N(T58)),"")</f>
        <v>0.434445351264291</v>
      </c>
      <c r="U83" s="44" t="n">
        <f aca="false">IFERROR(U80/(U93+N(U58)),"")</f>
        <v>0.379964955092216</v>
      </c>
      <c r="V83" s="44" t="n">
        <f aca="false">IFERROR(V80/(V93+N(V58)),"")</f>
        <v>0.385588749156706</v>
      </c>
      <c r="W83" s="44" t="n">
        <f aca="false">IFERROR(W80/(W93+N(W58)),"")</f>
        <v>0.480167484579713</v>
      </c>
      <c r="X83" s="44" t="n">
        <f aca="false">IFERROR(X80/(X93+N(X58)),"")</f>
        <v>0.439831055534038</v>
      </c>
      <c r="Y83" s="44" t="n">
        <f aca="false">IFERROR(Y80/(Y93+N(Y58)),"")</f>
        <v>0.363352787281143</v>
      </c>
      <c r="Z83" s="44" t="n">
        <f aca="false">IFERROR(Z80/(Z93+N(Z58)),"")</f>
        <v>0.394420575511952</v>
      </c>
      <c r="AA83" s="44" t="n">
        <f aca="false">IFERROR(AA80/(AA93+N(AA58)),"")</f>
        <v>0.411700508844197</v>
      </c>
      <c r="AB83" s="44" t="n">
        <f aca="false">IFERROR(AB80/(AB93+N(AB58)),"")</f>
        <v>0.382515442040244</v>
      </c>
      <c r="AC83" s="44" t="n">
        <f aca="false">IFERROR(AC80/(AC93+N(AC58)),"")</f>
        <v>0.407197506375744</v>
      </c>
      <c r="AD83" s="44" t="n">
        <f aca="false">IFERROR(AD80/(AD93+N(AD58)),"")</f>
        <v>0.395996560619089</v>
      </c>
      <c r="AE83" s="44" t="n">
        <f aca="false">IFERROR(AE80/(AE93+N(AE58)),"")</f>
        <v>0.319562990781837</v>
      </c>
      <c r="AF83" s="44" t="n">
        <f aca="false">IFERROR(AF80/(AF93+N(AF58)),"")</f>
        <v>0.366330764671014</v>
      </c>
      <c r="AG83" s="44" t="n">
        <f aca="false">IFERROR(AG80/(AG93+N(AG58)),"")</f>
        <v>0.370917822367782</v>
      </c>
      <c r="AH83" s="44" t="n">
        <f aca="false">IFERROR(AH80/(AH93+N(AH58)),"")</f>
        <v>0.259244556187788</v>
      </c>
      <c r="AI83" s="44" t="n">
        <f aca="false">IFERROR(AI80/(AI93+N(AI58)),"")</f>
        <v>0.361640139976892</v>
      </c>
      <c r="AJ83" s="44" t="n">
        <f aca="false">IFERROR(AJ80/(AJ93+N(AJ58)),"")</f>
        <v>0.317689712949611</v>
      </c>
      <c r="AK83" s="44" t="n">
        <f aca="false">IFERROR(AK80/(AK93+N(AK58)),"")</f>
        <v>0.205538163627562</v>
      </c>
      <c r="AL83" s="44" t="n">
        <f aca="false">IFERROR(AL80/(AL93+N(AL58)),"")</f>
        <v>0.305934510383449</v>
      </c>
      <c r="AM83" s="44" t="n">
        <f aca="false">IFERROR(AM80/(AM93+N(AM58)),"")</f>
        <v>0.288139035614938</v>
      </c>
      <c r="AN83" s="44" t="n">
        <f aca="false">IFERROR(AN80/(AN93+N(AN58)),"")</f>
        <v>0.268918090754771</v>
      </c>
      <c r="AO83" s="44" t="n">
        <f aca="false">IFERROR(AO80/(AO93+N(AO58)),"")</f>
        <v>0.358840178461213</v>
      </c>
      <c r="AP83" s="44" t="n">
        <f aca="false">IFERROR(AP80/(AP93+N(AP58)),"")</f>
        <v>0.318519509259147</v>
      </c>
      <c r="AQ83" s="44" t="n">
        <f aca="false">IFERROR(AQ80/(AQ93+N(AQ58)),"")</f>
        <v>0.297564398701792</v>
      </c>
      <c r="AR83" s="44" t="n">
        <f aca="false">IFERROR(AR80/(AR93+N(AR58)),"")</f>
        <v>0.353525369260823</v>
      </c>
      <c r="AS83" s="44" t="n">
        <f aca="false">IFERROR(AS80/(AS93+N(AS58)),"")</f>
        <v>0.3234073197124</v>
      </c>
      <c r="AT83" s="44" t="n">
        <f aca="false">IFERROR(AT80/(AT93+N(AT58)),"")</f>
        <v>0.283606808268745</v>
      </c>
      <c r="AU83" s="44" t="n">
        <f aca="false">IFERROR(AU80/(AU93+N(AU58)),"")</f>
        <v>0.393165272550985</v>
      </c>
      <c r="AV83" s="44" t="n">
        <f aca="false">IFERROR(AV80/(AV93+N(AV58)),"")</f>
        <v>0.346152763639946</v>
      </c>
      <c r="AW83" s="44" t="n">
        <f aca="false">IFERROR(AW80/(AW93+N(AW58)),"")</f>
        <v>0.342506910868475</v>
      </c>
      <c r="AX83" s="44" t="n">
        <f aca="false">IFERROR(AX80/(AX93+N(AX58)),"")</f>
        <v>0.411156932579957</v>
      </c>
      <c r="AY83" s="44" t="n">
        <f aca="false">IFERROR(AY80/(AY93+N(AY58)),"")</f>
        <v>0.37576181484408</v>
      </c>
      <c r="AZ83" s="44" t="n">
        <f aca="false">IFERROR(AZ80/(AZ93+N(AZ58)),"")</f>
        <v>0.304893827933427</v>
      </c>
      <c r="BA83" s="44" t="n">
        <f aca="false">IFERROR(BA80/(BA93+N(BA58)),"")</f>
        <v>0.456509539842873</v>
      </c>
      <c r="BB83" s="44" t="n">
        <f aca="false">IFERROR(BB80/(BB93+N(BB58)),"")</f>
        <v>0.390099317619851</v>
      </c>
      <c r="BC83" s="44" t="n">
        <f aca="false">IFERROR(BC80/(BC93+N(BC58)),"")</f>
        <v>0.424163475555593</v>
      </c>
      <c r="BD83" s="44" t="n">
        <f aca="false">IFERROR(BD80/(BD93+N(BD58)),"")</f>
        <v>0.421762681284565</v>
      </c>
      <c r="BE83" s="44" t="n">
        <f aca="false">IFERROR(BE80/(BE93+N(BE58)),"")</f>
        <v>0.407299718052988</v>
      </c>
      <c r="BF83" s="44" t="n">
        <f aca="false">IFERROR(BF80/(BF93+N(BF58)),"")</f>
        <v>0.330164667946814</v>
      </c>
      <c r="BG83" s="44" t="n">
        <f aca="false">IFERROR(BG80/(BG93+N(BG58)),"")</f>
        <v>0.463446622798092</v>
      </c>
      <c r="BH83" s="44" t="n">
        <f aca="false">IFERROR(BH80/(BH93+N(BH58)),"")</f>
        <v>0.402909825443385</v>
      </c>
      <c r="BI83" s="44" t="n">
        <f aca="false">IFERROR(BI80/(BI93+N(BI58)),"")</f>
        <v>0.402520633996356</v>
      </c>
      <c r="BJ83" s="44" t="n">
        <f aca="false">IFERROR(BJ80/(BJ93+N(BJ58)),"")</f>
        <v>0.383281163402468</v>
      </c>
      <c r="BK83" s="44" t="n">
        <f aca="false">IFERROR(BK80/(BK93+N(BK58)),"")</f>
        <v>0.397630669212115</v>
      </c>
      <c r="BL83" s="44" t="n">
        <f aca="false">IFERROR(BL80/(BL93+N(BL58)),"")</f>
        <v>0.399974841712441</v>
      </c>
      <c r="BM83" s="44" t="n">
        <f aca="false">IFERROR(BM80/(BM93+N(BM58)),"")</f>
        <v>0.44173165788407</v>
      </c>
      <c r="BN83" s="44" t="n">
        <f aca="false">IFERROR(BN80/(BN93+N(BN58)),"")</f>
        <v>0.422537382997438</v>
      </c>
      <c r="BO83" s="44" t="n">
        <f aca="false">IFERROR(BO80/(BO93+N(BO58)),"")</f>
        <v>0.388092012141122</v>
      </c>
      <c r="BP83" s="44" t="n">
        <f aca="false">IFERROR(BP80/(BP93+N(BP58)),"")</f>
        <v>0.418616988294626</v>
      </c>
      <c r="BQ83" s="44" t="n">
        <f aca="false">IFERROR(BQ80/(BQ93+N(BQ58)),"")</f>
        <v>0.413438449247001</v>
      </c>
      <c r="BR83" s="44" t="n">
        <f aca="false">IFERROR(BR80/(BR93+N(BR58)),"")</f>
        <v>0.367414796342477</v>
      </c>
      <c r="BS83" s="44" t="n">
        <f aca="false">IFERROR(BS80/(BS93+N(BS58)),"")</f>
        <v>0.376749324821998</v>
      </c>
      <c r="BT83" s="44" t="n">
        <f aca="false">IFERROR(BT80/(BT93+N(BT58)),"")</f>
        <v>0.373883453849426</v>
      </c>
      <c r="BU83" s="44" t="n">
        <f aca="false">IFERROR(BU80/(BU93+N(BU58)),"")</f>
        <v>0.361863762977969</v>
      </c>
      <c r="BV83" s="44" t="n">
        <f aca="false">IFERROR(BV80/(BV93+N(BV58)),"")</f>
        <v>0.374680151090532</v>
      </c>
      <c r="BW83" s="44" t="n">
        <f aca="false">IFERROR(BW80/(BW93+N(BW58)),"")</f>
        <v>0.370710696338837</v>
      </c>
      <c r="BX83" s="44" t="n">
        <f aca="false">IFERROR(BX80/(BX93+N(BX58)),"")</f>
        <v>0.381292477825135</v>
      </c>
      <c r="BY83" s="44" t="n">
        <f aca="false">IFERROR(BY80/(BY93+N(BY58)),"")</f>
        <v>0.391573162354019</v>
      </c>
      <c r="BZ83" s="44" t="n">
        <f aca="false">IFERROR(BZ80/(BZ93+N(BZ58)),"")</f>
        <v>0.386448463967844</v>
      </c>
      <c r="CA83" s="44" t="n">
        <f aca="false">IFERROR(CA80/(CA93+N(CA58)),"")</f>
        <v>0.359888367372828</v>
      </c>
      <c r="CB83" s="44" t="n">
        <f aca="false">IFERROR(CB80/(CB93+N(CB58)),"")</f>
        <v>0.388502133393218</v>
      </c>
      <c r="CC83" s="44" t="n">
        <f aca="false">IFERROR(CC80/(CC93+N(CC58)),"")</f>
        <v>0.380861887498538</v>
      </c>
      <c r="CD83" s="44" t="n">
        <f aca="false">IFERROR(CD80/(CD93+N(CD58)),"")</f>
        <v>0.375343406593407</v>
      </c>
      <c r="CE83" s="44" t="n">
        <f aca="false">IFERROR(CE80/(CE93+N(CE58)),"")</f>
        <v>0.405180080035571</v>
      </c>
      <c r="CF83" s="44" t="n">
        <f aca="false">IFERROR(CF80/(CF93+N(CF58)),"")</f>
        <v>0.390480487254681</v>
      </c>
      <c r="CG83" s="44" t="n">
        <f aca="false">IFERROR(CG80/(CG93+N(CG58)),"")</f>
        <v>0.382558954004203</v>
      </c>
      <c r="CH83" s="44" t="n">
        <f aca="false">IFERROR(CH80/(CH93+N(CH58)),"")</f>
        <v>0.408040417069762</v>
      </c>
      <c r="CI83" s="44" t="n">
        <f aca="false">IFERROR(CI80/(CI93+N(CI58)),"")</f>
        <v>0.393163113395691</v>
      </c>
      <c r="CJ83" s="44" t="n">
        <f aca="false">IFERROR(CJ80/(CJ93+N(CJ58)),"")</f>
        <v>0.390882638215325</v>
      </c>
      <c r="CK83" s="44" t="n">
        <f aca="false">IFERROR(CK80/(CK93+N(CK58)),"")</f>
        <v>0.404936205814683</v>
      </c>
      <c r="CL83" s="44" t="n">
        <f aca="false">IFERROR(CL80/(CL93+N(CL58)),"")</f>
        <v>0.39801496735842</v>
      </c>
      <c r="CM83" s="35" t="n">
        <f aca="false">IFERROR(CM80/(CM93+CM58),"")</f>
        <v>0.416308210838773</v>
      </c>
      <c r="CN83" s="35" t="n">
        <f aca="false">IFERROR(CN80/(CN93+CN58),"")</f>
        <v>0.421275718996045</v>
      </c>
      <c r="CO83" s="35" t="n">
        <f aca="false">IFERROR(CO80/(CO93+CO58),"")</f>
        <v>0.4083346543706</v>
      </c>
      <c r="CP83" s="35" t="n">
        <f aca="false">IFERROR(CP80/(CP93+CP58),"")</f>
        <v>0.415369649805448</v>
      </c>
      <c r="CQ83" s="35" t="n">
        <f aca="false">IFERROR(CQ80/(CQ93+CQ58),"")</f>
        <v>0.422178988326848</v>
      </c>
      <c r="CR83" s="35" t="n">
        <f aca="false">IFERROR(CR80/(CR93+CR58),"")</f>
        <v>0.428988326848249</v>
      </c>
      <c r="CS83" s="35" t="n">
        <f aca="false">IFERROR(CS80/(CS93+CS58),"")</f>
        <v>0.43579766536965</v>
      </c>
      <c r="CT83" s="23"/>
      <c r="CV83" s="7"/>
      <c r="CW83" s="7"/>
      <c r="CX83" s="7"/>
      <c r="CY83" s="7"/>
    </row>
    <row r="84" customFormat="false" ht="15" hidden="false" customHeight="true" outlineLevel="0" collapsed="false">
      <c r="B84" s="30" t="s">
        <v>201</v>
      </c>
      <c r="C84" s="34"/>
      <c r="D84" s="34" t="n">
        <f aca="false">IFERROR(D80/C80-1,"")</f>
        <v>0.23165437883277</v>
      </c>
      <c r="E84" s="34" t="n">
        <f aca="false">IFERROR(E80/D80-1,"")</f>
        <v>0.278025974025974</v>
      </c>
      <c r="F84" s="34" t="n">
        <f aca="false">IFERROR(F80/E80-1,"")</f>
        <v>0.00947390143390514</v>
      </c>
      <c r="G84" s="34" t="n">
        <f aca="false">IFERROR(G80/F80-1,"")</f>
        <v>-0.186312163936863</v>
      </c>
      <c r="H84" s="34" t="n">
        <f aca="false">IFERROR(H80/G80-1,"")</f>
        <v>0.169666240331323</v>
      </c>
      <c r="I84" s="34" t="n">
        <f aca="false">IFERROR(I80/H80-1,"")</f>
        <v>0.0257423293716397</v>
      </c>
      <c r="J84" s="34"/>
      <c r="K84" s="34"/>
      <c r="L84" s="34"/>
      <c r="M84" s="34"/>
      <c r="N84" s="34"/>
      <c r="O84" s="34" t="n">
        <f aca="false">IFERROR(O80/I80-1,"")</f>
        <v>0.110455413628778</v>
      </c>
      <c r="P84" s="34" t="n">
        <f aca="false">IFERROR(P80/J80-1,"")</f>
        <v>-0.0472842052628297</v>
      </c>
      <c r="Q84" s="34" t="n">
        <f aca="false">IFERROR(Q80/K80-1,"")</f>
        <v>0.190713038908388</v>
      </c>
      <c r="R84" s="34" t="n">
        <f aca="false">IFERROR(R80/L80-1,"")</f>
        <v>0.101410696905379</v>
      </c>
      <c r="S84" s="34" t="n">
        <f aca="false">IFERROR(S80/M80-1,"")</f>
        <v>-0.254590386097308</v>
      </c>
      <c r="T84" s="34" t="n">
        <f aca="false">IFERROR(T80/N80-1,"")</f>
        <v>-0.0667018355029405</v>
      </c>
      <c r="U84" s="34" t="n">
        <f aca="false">IFERROR(U80/O80-1,"")</f>
        <v>0.0445714285714287</v>
      </c>
      <c r="V84" s="34" t="n">
        <f aca="false">IFERROR(V80/P80-1,"")</f>
        <v>0.462391340003281</v>
      </c>
      <c r="W84" s="34" t="n">
        <f aca="false">IFERROR(W80/Q80-1,"")</f>
        <v>0.176781210592686</v>
      </c>
      <c r="X84" s="34" t="n">
        <f aca="false">IFERROR(X80/R80-1,"")</f>
        <v>0.269480968858132</v>
      </c>
      <c r="Y84" s="34" t="n">
        <f aca="false">IFERROR(Y80/S80-1,"")</f>
        <v>0.415977470412092</v>
      </c>
      <c r="Z84" s="34" t="n">
        <f aca="false">IFERROR(Z80/T80-1,"")</f>
        <v>-0.111766857294853</v>
      </c>
      <c r="AA84" s="34" t="n">
        <f aca="false">IFERROR(AA80/U80-1,"")</f>
        <v>0.161849015317286</v>
      </c>
      <c r="AB84" s="34" t="n">
        <f aca="false">IFERROR(AB80/V80-1,"")</f>
        <v>0.132119064175321</v>
      </c>
      <c r="AC84" s="34" t="n">
        <f aca="false">IFERROR(AC80/W80-1,"")</f>
        <v>-0.13381555153707</v>
      </c>
      <c r="AD84" s="34" t="n">
        <f aca="false">IFERROR(AD80/X80-1,"")</f>
        <v>-0.0343855882451613</v>
      </c>
      <c r="AE84" s="34" t="n">
        <f aca="false">IFERROR(AE80/Y80-1,"")</f>
        <v>0.0368319025200776</v>
      </c>
      <c r="AF84" s="34" t="n">
        <f aca="false">IFERROR(AF80/Z80-1,"")</f>
        <v>0.00630743603660955</v>
      </c>
      <c r="AG84" s="34" t="n">
        <f aca="false">IFERROR(AG80/AA80-1,"")</f>
        <v>-0.0108293390336462</v>
      </c>
      <c r="AH84" s="34" t="n">
        <f aca="false">IFERROR(AH80/AB80-1,"")</f>
        <v>-0.301301737631511</v>
      </c>
      <c r="AI84" s="34" t="n">
        <f aca="false">IFERROR(AI80/AC80-1,"")</f>
        <v>0.011613701384056</v>
      </c>
      <c r="AJ84" s="34" t="n">
        <f aca="false">IFERROR(AJ80/AD80-1,"")</f>
        <v>-0.125555864369094</v>
      </c>
      <c r="AK84" s="34" t="n">
        <f aca="false">IFERROR(AK80/AE80-1,"")</f>
        <v>-0.226811383061383</v>
      </c>
      <c r="AL84" s="34" t="n">
        <f aca="false">IFERROR(AL80/AF80-1,"")</f>
        <v>0.0973663653610088</v>
      </c>
      <c r="AM84" s="34" t="n">
        <f aca="false">IFERROR(AM80/AG80-1,"")</f>
        <v>-0.0883542930038176</v>
      </c>
      <c r="AN84" s="34" t="n">
        <f aca="false">IFERROR(AN80/AH80-1,"")</f>
        <v>0.406108212341198</v>
      </c>
      <c r="AO84" s="34" t="n">
        <f aca="false">IFERROR(AO80/AI80-1,"")</f>
        <v>0.244267457502752</v>
      </c>
      <c r="AP84" s="34" t="n">
        <f aca="false">IFERROR(AP80/AJ80-1,"")</f>
        <v>0.300953516090584</v>
      </c>
      <c r="AQ84" s="34" t="n">
        <f aca="false">IFERROR(AQ80/AK80-1,"")</f>
        <v>0.597996419935308</v>
      </c>
      <c r="AR84" s="34" t="n">
        <f aca="false">IFERROR(AR80/AL80-1,"")</f>
        <v>0.279063066727683</v>
      </c>
      <c r="AS84" s="34" t="n">
        <f aca="false">IFERROR(AS80/AM80-1,"")</f>
        <v>0.343596624966062</v>
      </c>
      <c r="AT84" s="34" t="n">
        <f aca="false">IFERROR(AT80/AN80-1,"")</f>
        <v>0.0464253302409998</v>
      </c>
      <c r="AU84" s="34" t="n">
        <f aca="false">IFERROR(AU80/AO80-1,"")</f>
        <v>0.175723324528534</v>
      </c>
      <c r="AV84" s="34" t="n">
        <f aca="false">IFERROR(AV80/AP80-1,"")</f>
        <v>0.126775080164911</v>
      </c>
      <c r="AW84" s="34" t="n">
        <f aca="false">IFERROR(AW80/AQ80-1,"")</f>
        <v>0.261295077134716</v>
      </c>
      <c r="AX84" s="34" t="n">
        <f aca="false">IFERROR(AX80/AR80-1,"")</f>
        <v>0.220721914504544</v>
      </c>
      <c r="AY84" s="34" t="n">
        <f aca="false">IFERROR(AY80/AS80-1,"")</f>
        <v>0.223381559159215</v>
      </c>
      <c r="AZ84" s="34" t="n">
        <f aca="false">IFERROR(AZ80/AT80-1,"")</f>
        <v>0.126274403993294</v>
      </c>
      <c r="BA84" s="34" t="n">
        <f aca="false">IFERROR(BA80/AU80-1,"")</f>
        <v>0.173096616439215</v>
      </c>
      <c r="BB84" s="34" t="n">
        <f aca="false">IFERROR(BB80/AV80-1,"")</f>
        <v>0.156635159399668</v>
      </c>
      <c r="BC84" s="34" t="n">
        <f aca="false">IFERROR(BC80/AW80-1,"")</f>
        <v>0.554992910674499</v>
      </c>
      <c r="BD84" s="34" t="n">
        <f aca="false">IFERROR(BD80/AX80-1,"")</f>
        <v>0.126667607437882</v>
      </c>
      <c r="BE84" s="34" t="n">
        <f aca="false">IFERROR(BE80/AY80-1,"")</f>
        <v>0.188940136080352</v>
      </c>
      <c r="BF84" s="34" t="n">
        <f aca="false">IFERROR(BF80/AZ80-1,"")</f>
        <v>0.24750594637143</v>
      </c>
      <c r="BG84" s="34" t="n">
        <f aca="false">IFERROR(BG80/BA80-1,"")</f>
        <v>0.0953742550974051</v>
      </c>
      <c r="BH84" s="34" t="n">
        <f aca="false">IFERROR(BH80/BB80-1,"")</f>
        <v>0.147455800166372</v>
      </c>
      <c r="BI84" s="34" t="n">
        <f aca="false">IFERROR(BI80/BC80-1,"")</f>
        <v>-0.0857105640224046</v>
      </c>
      <c r="BJ84" s="34" t="n">
        <f aca="false">IFERROR(BJ80/BD80-1,"")</f>
        <v>-0.0538577154308617</v>
      </c>
      <c r="BK84" s="34" t="n">
        <f aca="false">IFERROR(BK80/BE80-1,"")</f>
        <v>0.0294660628648527</v>
      </c>
      <c r="BL84" s="34" t="n">
        <f aca="false">IFERROR(BL80/BF80-1,"")</f>
        <v>0.439296050916972</v>
      </c>
      <c r="BM84" s="34" t="n">
        <f aca="false">IFERROR(BM80/BG80-1,"")</f>
        <v>0.107741725624136</v>
      </c>
      <c r="BN84" s="34" t="n">
        <f aca="false">IFERROR(BN80/BH80-1,"")</f>
        <v>0.231144670271043</v>
      </c>
      <c r="BO84" s="34" t="n">
        <f aca="false">IFERROR(BO80/BI80-1,"")</f>
        <v>0.123806810086907</v>
      </c>
      <c r="BP84" s="34" t="n">
        <f aca="false">IFERROR(BP80/BJ80-1,"")</f>
        <v>0.237469705301318</v>
      </c>
      <c r="BQ84" s="34" t="n">
        <f aca="false">IFERROR(BQ80/BK80-1,"")</f>
        <v>0.207334606720578</v>
      </c>
      <c r="BR84" s="34" t="n">
        <f aca="false">IFERROR(BR80/BL80-1,"")</f>
        <v>0.26371165264131</v>
      </c>
      <c r="BS84" s="34" t="n">
        <f aca="false">IFERROR(BS80/BM80-1,"")</f>
        <v>1.25298967104442</v>
      </c>
      <c r="BT84" s="34" t="n">
        <f aca="false">IFERROR(BT80/BN80-1,"")</f>
        <v>0.822532220876806</v>
      </c>
      <c r="BU84" s="34" t="n">
        <f aca="false">IFERROR(BU80/BO80-1,"")</f>
        <v>1.78709627086909</v>
      </c>
      <c r="BV84" s="34" t="n">
        <f aca="false">IFERROR(BV80/BP80-1,"")</f>
        <v>1.53040601701749</v>
      </c>
      <c r="BW84" s="34" t="n">
        <f aca="false">IFERROR(BW80/BQ80-1,"")</f>
        <v>1.22004879464334</v>
      </c>
      <c r="BX84" s="34" t="n">
        <f aca="false">IFERROR(BX80/BR80-1,"")</f>
        <v>1.49622926093514</v>
      </c>
      <c r="BY84" s="34" t="n">
        <f aca="false">IFERROR(BY80/BS80-1,"")</f>
        <v>0.114369501466276</v>
      </c>
      <c r="BZ84" s="34" t="n">
        <f aca="false">IFERROR(BZ80/BT80-1,"")</f>
        <v>0.531285551763367</v>
      </c>
      <c r="CA84" s="34" t="n">
        <f aca="false">IFERROR(CA80/BU80-1,"")</f>
        <v>-0.00734779566130173</v>
      </c>
      <c r="CB84" s="34" t="n">
        <f aca="false">IFERROR(CB80/BV80-1,"")</f>
        <v>0.12520325203252</v>
      </c>
      <c r="CC84" s="34" t="n">
        <f aca="false">IFERROR(CC80/BW80-1,"")</f>
        <v>0.261328427575523</v>
      </c>
      <c r="CD84" s="34" t="n">
        <f aca="false">IFERROR(CD80/BX80-1,"")</f>
        <v>-0.00936555891238677</v>
      </c>
      <c r="CE84" s="34" t="n">
        <f aca="false">IFERROR(CE80/BY80-1,"")</f>
        <v>0.0657894736842106</v>
      </c>
      <c r="CF84" s="34" t="n">
        <f aca="false">IFERROR(CF80/BZ80-1,"")</f>
        <v>0.0288261515601782</v>
      </c>
      <c r="CG84" s="34" t="n">
        <f aca="false">IFERROR(CG80/CA80-1,"")</f>
        <v>0.155093408530137</v>
      </c>
      <c r="CH84" s="34" t="n">
        <f aca="false">IFERROR(CH80/CB80-1,"")</f>
        <v>0.0971098265895956</v>
      </c>
      <c r="CI84" s="34" t="n">
        <f aca="false">IFERROR(CI80/CC80-1,"")</f>
        <v>0.0744607353957165</v>
      </c>
      <c r="CJ84" s="34" t="n">
        <f aca="false">IFERROR(CJ80/CD80-1,"")</f>
        <v>0.106129917657823</v>
      </c>
      <c r="CK84" s="34" t="n">
        <f aca="false">IFERROR(CK80/CE80-1,"")</f>
        <v>0.0622770919067215</v>
      </c>
      <c r="CL84" s="34" t="n">
        <f aca="false">IFERROR(CL80/CF80-1,"")</f>
        <v>0.0830444829578279</v>
      </c>
      <c r="CM84" s="35" t="n">
        <f aca="false">IFERROR(CM80/CG80-1,"")</f>
        <v>0.111632133729122</v>
      </c>
      <c r="CN84" s="35" t="n">
        <f aca="false">IFERROR(CN80/CH80-1,"")</f>
        <v>0.0690678339751503</v>
      </c>
      <c r="CO84" s="35" t="n">
        <f aca="false">IFERROR(CO80/CI80-1,"")</f>
        <v>0.0859469886404229</v>
      </c>
      <c r="CP84" s="35" t="n">
        <f aca="false">IFERROR(CP80/CO80-1,"")</f>
        <v>0.0558700419753302</v>
      </c>
      <c r="CQ84" s="35" t="n">
        <f aca="false">IFERROR(CQ80/CP80-1,"")</f>
        <v>0.0649254563704769</v>
      </c>
      <c r="CR84" s="35" t="n">
        <f aca="false">IFERROR(CR80/CQ80-1,"")</f>
        <v>0.059718401474536</v>
      </c>
      <c r="CS84" s="35" t="n">
        <f aca="false">IFERROR(CS80/CR80-1,"")</f>
        <v>0.0594587231966515</v>
      </c>
      <c r="CT84" s="23"/>
      <c r="CV84" s="7"/>
      <c r="CW84" s="7"/>
      <c r="CX84" s="7"/>
      <c r="CY84" s="7"/>
    </row>
    <row r="85" customFormat="false" ht="15" hidden="false" customHeight="true" outlineLevel="0" collapsed="false">
      <c r="B85" s="30" t="s">
        <v>202</v>
      </c>
      <c r="C85" s="44"/>
      <c r="D85" s="44" t="n">
        <f aca="false">IFERROR((D80-C80)/(D95-C95),"")</f>
        <v>0.435419711743047</v>
      </c>
      <c r="E85" s="44" t="n">
        <f aca="false">IFERROR((E80-D80)/(E95-D95),"")</f>
        <v>0.810682326621923</v>
      </c>
      <c r="F85" s="44" t="n">
        <f aca="false">IFERROR((F80-E80)/(F95-E95),"")</f>
        <v>0.0676550707810508</v>
      </c>
      <c r="G85" s="44" t="n">
        <f aca="false">IFERROR((G80-F80)/(G95-F95),"")</f>
        <v>1.515774619494</v>
      </c>
      <c r="H85" s="44" t="n">
        <f aca="false">IFERROR((H80-G80)/(H95-G95),"")</f>
        <v>0.575419571391686</v>
      </c>
      <c r="I85" s="44" t="n">
        <f aca="false">IFERROR((I80-H80)/(I95-H95),"")</f>
        <v>0.0944906345565746</v>
      </c>
      <c r="J85" s="44"/>
      <c r="K85" s="44"/>
      <c r="L85" s="44"/>
      <c r="M85" s="44"/>
      <c r="N85" s="44"/>
      <c r="O85" s="44" t="n">
        <f aca="false">IFERROR((O80-I80)/(O95-I95),"")</f>
        <v>0.591109752784569</v>
      </c>
      <c r="P85" s="44" t="n">
        <f aca="false">IFERROR((P80-J80)/(P95-J95),"")</f>
        <v>0.436023054755049</v>
      </c>
      <c r="Q85" s="44" t="n">
        <f aca="false">IFERROR((Q80-K80)/(Q95-K95),"")</f>
        <v>0.751942573817806</v>
      </c>
      <c r="R85" s="44" t="n">
        <f aca="false">IFERROR((R80-L80)/(R95-L95),"")</f>
        <v>0.861097281688737</v>
      </c>
      <c r="S85" s="44" t="n">
        <f aca="false">IFERROR((S80-M80)/(S95-M95),"")</f>
        <v>2.67401618755233</v>
      </c>
      <c r="T85" s="44" t="n">
        <f aca="false">IFERROR((T80-N80)/(T95-N95),"")</f>
        <v>-0.594277025158976</v>
      </c>
      <c r="U85" s="44" t="n">
        <f aca="false">IFERROR((U80-O80)/(U95-O95),"")</f>
        <v>0.569592522272531</v>
      </c>
      <c r="V85" s="44" t="n">
        <f aca="false">IFERROR((V80-P80)/(V95-P95),"")</f>
        <v>0.827715795654728</v>
      </c>
      <c r="W85" s="44" t="n">
        <f aca="false">IFERROR((W80-Q80)/(W95-Q95),"")</f>
        <v>0.822093534672334</v>
      </c>
      <c r="X85" s="44" t="n">
        <f aca="false">IFERROR((X80-R80)/(X95-R95),"")</f>
        <v>0.825215179968702</v>
      </c>
      <c r="Y85" s="44" t="n">
        <f aca="false">IFERROR((Y80-S80)/(Y95-S95),"")</f>
        <v>1.64328967751021</v>
      </c>
      <c r="Z85" s="44" t="n">
        <f aca="false">IFERROR((Z80-T80)/(Z95-T95),"")</f>
        <v>2.24474123539231</v>
      </c>
      <c r="AA85" s="44" t="n">
        <f aca="false">IFERROR((AA80-U80)/(AA95-U95),"")</f>
        <v>0.85071021910403</v>
      </c>
      <c r="AB85" s="44" t="n">
        <f aca="false">IFERROR((AB80-V80)/(AB95-V95),"")</f>
        <v>0.360752128376309</v>
      </c>
      <c r="AC85" s="44" t="n">
        <f aca="false">IFERROR((AC80-W80)/(AC95-W95),"")</f>
        <v>-3.00180288461538</v>
      </c>
      <c r="AD85" s="44" t="n">
        <f aca="false">IFERROR((AD80-X80)/(AD95-X95),"")</f>
        <v>-0.208598321037907</v>
      </c>
      <c r="AE85" s="44" t="n">
        <f aca="false">IFERROR((AE80-Y80)/(AE95-Y95),"")</f>
        <v>0.0748031496062992</v>
      </c>
      <c r="AF85" s="44" t="n">
        <f aca="false">IFERROR((AF80-Z80)/(AF95-Z95),"")</f>
        <v>0.0298045458565499</v>
      </c>
      <c r="AG85" s="44" t="n">
        <f aca="false">IFERROR((AG80-AA80)/(AG95-AA95),"")</f>
        <v>-0.0455265241488516</v>
      </c>
      <c r="AH85" s="44" t="n">
        <f aca="false">IFERROR((AH80-AB80)/(AH95-AB95),"")</f>
        <v>-0.225348981950742</v>
      </c>
      <c r="AI85" s="44" t="n">
        <f aca="false">IFERROR((AI80-AC80)/(AI95-AC95),"")</f>
        <v>0.00800571379839663</v>
      </c>
      <c r="AJ85" s="44" t="n">
        <f aca="false">IFERROR((AJ80-AD80)/(AJ95-AD95),"")</f>
        <v>-0.0896273792547585</v>
      </c>
      <c r="AK85" s="44" t="n">
        <f aca="false">IFERROR((AK80-AE80)/(AK95-AE95),"")</f>
        <v>-0.0948084242578026</v>
      </c>
      <c r="AL85" s="44" t="n">
        <f aca="false">IFERROR((AL80-AF80)/(AL95-AF95),"")</f>
        <v>0.0361081796925115</v>
      </c>
      <c r="AM85" s="44" t="n">
        <f aca="false">IFERROR((AM80-AG80)/(AM95-AG95),"")</f>
        <v>-0.0458551961975909</v>
      </c>
      <c r="AN85" s="44" t="n">
        <f aca="false">IFERROR((AN80-AH80)/(AN95-AH95),"")</f>
        <v>0.235732745139998</v>
      </c>
      <c r="AO85" s="44" t="n">
        <f aca="false">IFERROR((AO80-AI80)/(AO95-AI95),"")</f>
        <v>0.285762827047231</v>
      </c>
      <c r="AP85" s="44" t="n">
        <f aca="false">IFERROR((AP80-AJ80)/(AP95-AJ95),"")</f>
        <v>0.259711317584942</v>
      </c>
      <c r="AQ85" s="44" t="n">
        <f aca="false">IFERROR((AQ80-AK80)/(AQ95-AK95),"")</f>
        <v>1.06113123432711</v>
      </c>
      <c r="AR85" s="44" t="n">
        <f aca="false">IFERROR((AR80-AL80)/(AR95-AL95),"")</f>
        <v>0.256376319641245</v>
      </c>
      <c r="AS85" s="44" t="n">
        <f aca="false">IFERROR((AS80-AM80)/(AS95-AM95),"")</f>
        <v>0.330962858651646</v>
      </c>
      <c r="AT85" s="44" t="n">
        <f aca="false">IFERROR((AT80-AN80)/(AT95-AN95),"")</f>
        <v>0.0532242029086026</v>
      </c>
      <c r="AU85" s="44" t="n">
        <f aca="false">IFERROR((AU80-AO80)/(AU95-AO95),"")</f>
        <v>0.168882539082794</v>
      </c>
      <c r="AV85" s="44" t="n">
        <f aca="false">IFERROR((AV80-AP80)/(AV95-AP95),"")</f>
        <v>0.12978435709652</v>
      </c>
      <c r="AW85" s="44" t="n">
        <f aca="false">IFERROR((AW80-AQ80)/(AW95-AQ95),"")</f>
        <v>0.299122609673791</v>
      </c>
      <c r="AX85" s="44" t="n">
        <f aca="false">IFERROR((AX80-AR80)/(AX95-AR95),"")</f>
        <v>-0.700521490453358</v>
      </c>
      <c r="AY85" s="44" t="n">
        <f aca="false">IFERROR((AY80-AS80)/(AY95-AS95),"")</f>
        <v>0.386791373683679</v>
      </c>
      <c r="AZ85" s="44" t="n">
        <f aca="false">IFERROR((AZ80-AT80)/(AZ95-AT95),"")</f>
        <v>-0.217140584609267</v>
      </c>
      <c r="BA85" s="44" t="n">
        <f aca="false">IFERROR((BA80-AU80)/(BA95-AU95),"")</f>
        <v>-3.97051773729629</v>
      </c>
      <c r="BB85" s="44" t="n">
        <f aca="false">IFERROR((BB80-AV80)/(BB95-AV95),"")</f>
        <v>-0.67306236534094</v>
      </c>
      <c r="BC85" s="44" t="n">
        <f aca="false">IFERROR((BC80-AW80)/(BC95-AW95),"")</f>
        <v>0.853255401715134</v>
      </c>
      <c r="BD85" s="44" t="n">
        <f aca="false">IFERROR((BD80-AX80)/(BD95-AX95),"")</f>
        <v>0.227825611589449</v>
      </c>
      <c r="BE85" s="44" t="n">
        <f aca="false">IFERROR((BE80-AY80)/(BE95-AY95),"")</f>
        <v>1.01470512973609</v>
      </c>
      <c r="BF85" s="44" t="n">
        <f aca="false">IFERROR((BF80-AZ80)/(BF95-AZ95),"")</f>
        <v>0.248096054888508</v>
      </c>
      <c r="BG85" s="44" t="n">
        <f aca="false">IFERROR((BG80-BA80)/(BG95-BA95),"")</f>
        <v>1.46450553959787</v>
      </c>
      <c r="BH85" s="44" t="n">
        <f aca="false">IFERROR((BH80-BB80)/(BH95-BB95),"")</f>
        <v>0.383639938424959</v>
      </c>
      <c r="BI85" s="44" t="n">
        <f aca="false">IFERROR((BI80-BC80)/(BI95-BC95),"")</f>
        <v>4.59892473118276</v>
      </c>
      <c r="BJ85" s="44" t="n">
        <f aca="false">IFERROR((BJ80-BD80)/(BJ95-BD95),"")</f>
        <v>0.232529118136439</v>
      </c>
      <c r="BK85" s="44" t="n">
        <f aca="false">IFERROR((BK80-BE80)/(BK95-BE95),"")</f>
        <v>0.277731610888671</v>
      </c>
      <c r="BL85" s="44" t="n">
        <f aca="false">IFERROR((BL80-BF80)/(BL95-BF95),"")</f>
        <v>0.513516980405991</v>
      </c>
      <c r="BM85" s="44" t="n">
        <f aca="false">IFERROR((BM80-BG80)/(BM95-BG95),"")</f>
        <v>0.150240970686625</v>
      </c>
      <c r="BN85" s="44" t="n">
        <f aca="false">IFERROR((BN80-BH80)/(BN95-BH95),"")</f>
        <v>0.300728656734263</v>
      </c>
      <c r="BO85" s="44" t="n">
        <f aca="false">IFERROR((BO80-BI80)/(BO95-BI95),"")</f>
        <v>0.138110199640574</v>
      </c>
      <c r="BP85" s="44" t="n">
        <f aca="false">IFERROR((BP80-BJ80)/(BP95-BJ95),"")</f>
        <v>0.276015528832497</v>
      </c>
      <c r="BQ85" s="44" t="n">
        <f aca="false">IFERROR((BQ80-BK80)/(BQ95-BK95),"")</f>
        <v>0.252151737328658</v>
      </c>
      <c r="BR85" s="44" t="n">
        <f aca="false">IFERROR((BR80-BL80)/(BR95-BL95),"")</f>
        <v>0.233551937474151</v>
      </c>
      <c r="BS85" s="44" t="n">
        <f aca="false">IFERROR((BS80-BM80)/(BS95-BM95),"")</f>
        <v>0.274427047659473</v>
      </c>
      <c r="BT85" s="44" t="n">
        <f aca="false">IFERROR((BT80-BN80)/(BT95-BN95),"")</f>
        <v>0.267886493443701</v>
      </c>
      <c r="BU85" s="44" t="n">
        <f aca="false">IFERROR((BU80-BO80)/(BU95-BO95),"")</f>
        <v>0.301248847236903</v>
      </c>
      <c r="BV85" s="44" t="n">
        <f aca="false">IFERROR((BV80-BP80)/(BV95-BP95),"")</f>
        <v>0.311500588738759</v>
      </c>
      <c r="BW85" s="44" t="n">
        <f aca="false">IFERROR((BW80-BQ80)/(BW95-BQ95),"")</f>
        <v>0.291698701608394</v>
      </c>
      <c r="BX85" s="44" t="n">
        <f aca="false">IFERROR((BX80-BR80)/(BX95-BR95),"")</f>
        <v>0.359225058844831</v>
      </c>
      <c r="BY85" s="44" t="n">
        <f aca="false">IFERROR((BY80-BS80)/(BY95-BS95),"")</f>
        <v>-3.37499999999997</v>
      </c>
      <c r="BZ85" s="44" t="n">
        <f aca="false">IFERROR((BZ80-BT80)/(BZ95-BT95),"")</f>
        <v>0.430891308359476</v>
      </c>
      <c r="CA85" s="44" t="n">
        <f aca="false">IFERROR((CA80-BU80)/(CA95-BU95),"")</f>
        <v>0.0552631578947374</v>
      </c>
      <c r="CB85" s="44" t="n">
        <f aca="false">IFERROR((CB80-BV80)/(CB95-BV95),"")</f>
        <v>0.38232373386296</v>
      </c>
      <c r="CC85" s="44" t="n">
        <f aca="false">IFERROR((CC80-BW80)/(CC95-BW95),"")</f>
        <v>0.446410850148859</v>
      </c>
      <c r="CD85" s="44" t="n">
        <f aca="false">IFERROR((CD80-BX80)/(CD95-BX95),"")</f>
        <v>-0.0706150341685657</v>
      </c>
      <c r="CE85" s="44" t="n">
        <f aca="false">IFERROR((CE80-BY80)/(CE95-BY95),"")</f>
        <v>0.25027808676307</v>
      </c>
      <c r="CF85" s="44" t="n">
        <f aca="false">IFERROR((CF80-BZ80)/(CF95-BZ95),"")</f>
        <v>0.144992526158445</v>
      </c>
      <c r="CG85" s="44" t="n">
        <f aca="false">IFERROR((CG80-CA80)/(CG95-CA95),"")</f>
        <v>0.396753832281334</v>
      </c>
      <c r="CH85" s="44" t="n">
        <f aca="false">IFERROR((CH80-CB80)/(CH95-CB95),"")</f>
        <v>0.543689320388348</v>
      </c>
      <c r="CI85" s="44" t="n">
        <f aca="false">IFERROR((CI80-CC80)/(CI95-CC95),"")</f>
        <v>0.316476345840131</v>
      </c>
      <c r="CJ85" s="44" t="n">
        <f aca="false">IFERROR((CJ80-CD80)/(CJ95-CD95),"")</f>
        <v>0.276190476190476</v>
      </c>
      <c r="CK85" s="44" t="n">
        <f aca="false">IFERROR((CK80-CE80)/(CK95-CE95),"")</f>
        <v>0.173150266971777</v>
      </c>
      <c r="CL85" s="44" t="n">
        <f aca="false">IFERROR((CL80-CF80)/(CL95-CF95),"")</f>
        <v>0.223648385842085</v>
      </c>
      <c r="CM85" s="35" t="n">
        <f aca="false">IFERROR((CM80-CG80)/(CM95-CG95),"")</f>
        <v>0.535708956339197</v>
      </c>
      <c r="CN85" s="35" t="n">
        <f aca="false">IFERROR((CN80-CH80)/(CN95-CH95),"")</f>
        <v>0.291425042602639</v>
      </c>
      <c r="CO85" s="35" t="n">
        <f aca="false">IFERROR((CO80-CI80)/(CO95-CI95),"")</f>
        <v>0.289633763098311</v>
      </c>
      <c r="CP85" s="35" t="n">
        <f aca="false">IFERROR((CP80-CO80)/(CP95-CO95),"")</f>
        <v>0.331742970419007</v>
      </c>
      <c r="CQ85" s="35" t="n">
        <f aca="false">IFERROR((CQ80-CP80)/(CQ95-CP95),"")</f>
        <v>0.41471370999671</v>
      </c>
      <c r="CR85" s="35" t="n">
        <f aca="false">IFERROR((CR80-CQ80)/(CR95-CQ95),"")</f>
        <v>0.431556978286588</v>
      </c>
      <c r="CS85" s="35" t="n">
        <f aca="false">IFERROR((CS80-CR80)/(CS95-CR95),"")</f>
        <v>0.436537401622266</v>
      </c>
      <c r="CT85" s="23"/>
      <c r="CV85" s="7"/>
      <c r="CW85" s="7"/>
      <c r="CX85" s="7"/>
      <c r="CY85" s="7"/>
    </row>
    <row r="86" customFormat="false" ht="15" hidden="false" customHeight="true" outlineLevel="0" collapsed="false">
      <c r="B86" s="13" t="s">
        <v>203</v>
      </c>
      <c r="C86" s="31" t="n">
        <f aca="false">C101-N(C172)</f>
        <v>15.017</v>
      </c>
      <c r="D86" s="31" t="n">
        <f aca="false">D101-N(D172)</f>
        <v>19.417</v>
      </c>
      <c r="E86" s="31" t="n">
        <f aca="false">E101-N(E172)</f>
        <v>24.764</v>
      </c>
      <c r="F86" s="31" t="n">
        <f aca="false">F101-N(F172)</f>
        <v>31.761</v>
      </c>
      <c r="G86" s="31" t="n">
        <f aca="false">G101-N(G172)</f>
        <v>37.813</v>
      </c>
      <c r="H86" s="31" t="n">
        <f aca="false">H101-N(H172)</f>
        <v>42.408</v>
      </c>
      <c r="I86" s="31" t="n">
        <f aca="false">I101-N(I172)</f>
        <v>41.138</v>
      </c>
      <c r="J86" s="31" t="n">
        <f aca="false">J101-N(J172)</f>
        <v>10.32</v>
      </c>
      <c r="K86" s="31" t="n">
        <f aca="false">K101-N(K172)</f>
        <v>10.719</v>
      </c>
      <c r="L86" s="31" t="n">
        <f aca="false">L101-N(L172)</f>
        <v>21.039</v>
      </c>
      <c r="M86" s="31" t="n">
        <f aca="false">M101-N(M172)</f>
        <v>10.815</v>
      </c>
      <c r="N86" s="31" t="n">
        <f aca="false">N101-N(N172)</f>
        <v>11.426</v>
      </c>
      <c r="O86" s="31" t="n">
        <f aca="false">O101-N(O172)</f>
        <v>43.28</v>
      </c>
      <c r="P86" s="31" t="n">
        <f aca="false">P101-N(P172)</f>
        <v>10.597</v>
      </c>
      <c r="Q86" s="31" t="n">
        <f aca="false">Q101-N(Q172)</f>
        <v>10.979</v>
      </c>
      <c r="R86" s="31" t="n">
        <f aca="false">R101-N(R172)</f>
        <v>21.576</v>
      </c>
      <c r="S86" s="31" t="n">
        <f aca="false">S101-N(S172)</f>
        <v>11.406</v>
      </c>
      <c r="T86" s="31" t="n">
        <f aca="false">T101-N(T172)</f>
        <v>11.554</v>
      </c>
      <c r="U86" s="31" t="n">
        <f aca="false">U101-N(U172)</f>
        <v>44.536</v>
      </c>
      <c r="V86" s="31" t="n">
        <f aca="false">V101-N(V172)</f>
        <v>10.616</v>
      </c>
      <c r="W86" s="31" t="n">
        <f aca="false">W101-N(W172)</f>
        <v>10.769</v>
      </c>
      <c r="X86" s="31" t="n">
        <f aca="false">X101-N(X172)</f>
        <v>21.385</v>
      </c>
      <c r="Y86" s="31" t="n">
        <f aca="false">Y101-N(Y172)</f>
        <v>10.017</v>
      </c>
      <c r="Z86" s="31" t="n">
        <f aca="false">Z101-N(Z172)</f>
        <v>10.63</v>
      </c>
      <c r="AA86" s="31" t="n">
        <f aca="false">AA101-N(AA172)</f>
        <v>42.032</v>
      </c>
      <c r="AB86" s="31" t="n">
        <f aca="false">AB101-N(AB172)</f>
        <v>10.08</v>
      </c>
      <c r="AC86" s="31" t="n">
        <f aca="false">AC101-N(AC172)</f>
        <v>10.284</v>
      </c>
      <c r="AD86" s="31" t="n">
        <f aca="false">AD101-N(AD172)</f>
        <v>20.364</v>
      </c>
      <c r="AE86" s="31" t="n">
        <f aca="false">AE101-N(AE172)</f>
        <v>10.196</v>
      </c>
      <c r="AF86" s="31" t="n">
        <f aca="false">AF101-N(AF172)</f>
        <v>10.301</v>
      </c>
      <c r="AG86" s="31" t="n">
        <f aca="false">AG101-N(AG172)</f>
        <v>40.861</v>
      </c>
      <c r="AH86" s="31" t="n">
        <f aca="false">AH101-N(AH172)</f>
        <v>10.338</v>
      </c>
      <c r="AI86" s="31" t="n">
        <f aca="false">AI101-N(AI172)</f>
        <v>11.872</v>
      </c>
      <c r="AJ86" s="31" t="n">
        <f aca="false">AJ101-N(AJ172)</f>
        <v>22.21</v>
      </c>
      <c r="AK86" s="31" t="n">
        <f aca="false">AK101-N(AK172)</f>
        <v>14.837</v>
      </c>
      <c r="AL86" s="31" t="n">
        <f aca="false">AL101-N(AL172)</f>
        <v>15.647</v>
      </c>
      <c r="AM86" s="31" t="n">
        <f aca="false">AM101-N(AM172)</f>
        <v>52.694</v>
      </c>
      <c r="AN86" s="31" t="n">
        <f aca="false">AN101-N(AN172)</f>
        <v>16.191</v>
      </c>
      <c r="AO86" s="31" t="n">
        <f aca="false">AO101-N(AO172)</f>
        <v>16.537</v>
      </c>
      <c r="AP86" s="31" t="n">
        <f aca="false">AP101-N(AP172)</f>
        <v>32.728</v>
      </c>
      <c r="AQ86" s="31" t="n">
        <f aca="false">AQ101-N(AQ172)</f>
        <v>16.723</v>
      </c>
      <c r="AR86" s="31" t="n">
        <f aca="false">AR101-N(AR172)</f>
        <v>17.163</v>
      </c>
      <c r="AS86" s="31" t="n">
        <f aca="false">AS101-N(AS172)</f>
        <v>66.614</v>
      </c>
      <c r="AT86" s="31" t="n">
        <f aca="false">AT101-N(AT172)</f>
        <v>17.115</v>
      </c>
      <c r="AU86" s="31" t="n">
        <f aca="false">AU101-N(AU172)</f>
        <v>17.112</v>
      </c>
      <c r="AV86" s="31" t="n">
        <f aca="false">AV101-N(AV172)</f>
        <v>34.227</v>
      </c>
      <c r="AW86" s="31" t="n">
        <f aca="false">AW101-N(AW172)</f>
        <v>12.144</v>
      </c>
      <c r="AX86" s="31" t="n">
        <f aca="false">AX101-N(AX172)</f>
        <v>13.034</v>
      </c>
      <c r="AY86" s="31" t="n">
        <f aca="false">AY101-N(AY172)</f>
        <v>49.863</v>
      </c>
      <c r="AZ86" s="31" t="n">
        <f aca="false">AZ101-N(AZ172)</f>
        <v>13.745</v>
      </c>
      <c r="BA86" s="31" t="n">
        <f aca="false">BA101-N(BA172)</f>
        <v>12.922</v>
      </c>
      <c r="BB86" s="31" t="n">
        <f aca="false">BB101-N(BB172)</f>
        <v>26.667</v>
      </c>
      <c r="BC86" s="31" t="n">
        <f aca="false">BC101-N(BC172)</f>
        <v>13.443</v>
      </c>
      <c r="BD86" s="31" t="n">
        <f aca="false">BD101-N(BD172)</f>
        <v>13.715</v>
      </c>
      <c r="BE86" s="31" t="n">
        <f aca="false">BE101-N(BE172)</f>
        <v>53.823</v>
      </c>
      <c r="BF86" s="31" t="n">
        <f aca="false">BF101-N(BF172)</f>
        <v>14.429</v>
      </c>
      <c r="BG86" s="31" t="n">
        <f aca="false">BG101-N(BG172)</f>
        <v>15.133</v>
      </c>
      <c r="BH86" s="31" t="n">
        <f aca="false">BH101-N(BH172)</f>
        <v>29.562</v>
      </c>
      <c r="BI86" s="31" t="n">
        <f aca="false">BI101-N(BI172)</f>
        <v>15.285</v>
      </c>
      <c r="BJ86" s="31" t="n">
        <f aca="false">BJ101-N(BJ172)</f>
        <v>15.082</v>
      </c>
      <c r="BK86" s="31" t="n">
        <f aca="false">BK101-N(BK172)</f>
        <v>59.929</v>
      </c>
      <c r="BL86" s="31" t="n">
        <f aca="false">BL101-N(BL172)</f>
        <v>15.693</v>
      </c>
      <c r="BM86" s="31" t="n">
        <f aca="false">BM101-N(BM172)</f>
        <v>15.872</v>
      </c>
      <c r="BN86" s="31" t="n">
        <f aca="false">BN101-N(BN172)</f>
        <v>31.565</v>
      </c>
      <c r="BO86" s="31" t="n">
        <f aca="false">BO101-N(BO172)</f>
        <v>16.063</v>
      </c>
      <c r="BP86" s="31" t="n">
        <f aca="false">BP101-N(BP172)</f>
        <v>16.14</v>
      </c>
      <c r="BQ86" s="31" t="n">
        <f aca="false">BQ101-N(BQ172)</f>
        <v>63.768</v>
      </c>
      <c r="BR86" s="31" t="n">
        <f aca="false">BR101-N(BR172)</f>
        <v>19.6</v>
      </c>
      <c r="BS86" s="31" t="n">
        <f aca="false">BS101-N(BS172)</f>
        <v>33.6</v>
      </c>
      <c r="BT86" s="31" t="n">
        <f aca="false">BT101-N(BT172)</f>
        <v>53.2</v>
      </c>
      <c r="BU86" s="31" t="n">
        <f aca="false">BU101-N(BU172)</f>
        <v>37.2</v>
      </c>
      <c r="BV86" s="31" t="n">
        <f aca="false">BV101-N(BV172)</f>
        <v>35.7</v>
      </c>
      <c r="BW86" s="31" t="n">
        <f aca="false">BW101-N(BW172)</f>
        <v>126</v>
      </c>
      <c r="BX86" s="31" t="n">
        <f aca="false">BX101-N(BX172)</f>
        <v>38.1</v>
      </c>
      <c r="BY86" s="31" t="n">
        <f aca="false">BY101-N(BY172)</f>
        <v>41.3</v>
      </c>
      <c r="BZ86" s="31" t="n">
        <f aca="false">BZ101-N(BZ172)</f>
        <v>79.4</v>
      </c>
      <c r="CA86" s="31" t="n">
        <f aca="false">CA101-N(CA172)</f>
        <v>44</v>
      </c>
      <c r="CB86" s="31" t="n">
        <f aca="false">CB101-N(CB172)</f>
        <v>46</v>
      </c>
      <c r="CC86" s="31" t="n">
        <f aca="false">CC101-N(CC172)</f>
        <v>169.5</v>
      </c>
      <c r="CD86" s="31" t="n">
        <f aca="false">CD101-N(CD172)</f>
        <v>46.2</v>
      </c>
      <c r="CE86" s="31" t="n">
        <f aca="false">CE101-N(CE172)</f>
        <v>48.4</v>
      </c>
      <c r="CF86" s="31" t="n">
        <f aca="false">CF101-N(CF172)</f>
        <v>94.6</v>
      </c>
      <c r="CG86" s="31" t="n">
        <f aca="false">CG101-N(CG172)</f>
        <v>52</v>
      </c>
      <c r="CH86" s="31" t="n">
        <f aca="false">CH101-N(CH172)</f>
        <v>54.4</v>
      </c>
      <c r="CI86" s="31" t="n">
        <f aca="false">CI101-N(CI172)</f>
        <v>201</v>
      </c>
      <c r="CJ86" s="31" t="n">
        <f aca="false">CJ101-N(CJ172)</f>
        <v>54.1</v>
      </c>
      <c r="CK86" s="31" t="n">
        <f aca="false">CK101-N(CK172)</f>
        <v>56.2</v>
      </c>
      <c r="CL86" s="31" t="n">
        <f aca="false">CL101-N(CL172)</f>
        <v>110.3</v>
      </c>
      <c r="CM86" s="32" t="n">
        <f aca="false">CM95*CM66</f>
        <v>50.1849135916652</v>
      </c>
      <c r="CN86" s="32" t="n">
        <f aca="false">CN95*CN66</f>
        <v>55.9071190838011</v>
      </c>
      <c r="CO86" s="32" t="n">
        <f aca="false">SUM(CJ86,CK86,CM86,CN86)</f>
        <v>216.392032675466</v>
      </c>
      <c r="CP86" s="32" t="n">
        <f aca="false">CP95*CP66</f>
        <v>226.267757191828</v>
      </c>
      <c r="CQ86" s="32" t="n">
        <f aca="false">CQ95*CQ66</f>
        <v>237.071870483151</v>
      </c>
      <c r="CR86" s="32" t="n">
        <f aca="false">CR95*CR66</f>
        <v>247.241654994046</v>
      </c>
      <c r="CS86" s="32" t="n">
        <f aca="false">CS95*CS66</f>
        <v>257.849479244129</v>
      </c>
      <c r="CT86" s="23" t="s">
        <v>204</v>
      </c>
      <c r="CV86" s="7"/>
      <c r="CW86" s="7"/>
      <c r="CX86" s="7"/>
      <c r="CY86" s="7"/>
    </row>
    <row r="87" customFormat="false" ht="15" hidden="false" customHeight="true" outlineLevel="0" collapsed="false">
      <c r="B87" s="41" t="s">
        <v>205</v>
      </c>
      <c r="C87" s="43" t="n">
        <f aca="false">C80-C86</f>
        <v>86.5740000000001</v>
      </c>
      <c r="D87" s="43" t="n">
        <f aca="false">D80-D86</f>
        <v>105.708</v>
      </c>
      <c r="E87" s="43" t="n">
        <f aca="false">E80-E86</f>
        <v>135.149</v>
      </c>
      <c r="F87" s="43" t="n">
        <f aca="false">F80-F86</f>
        <v>129.667</v>
      </c>
      <c r="G87" s="43" t="n">
        <f aca="false">G80-G86</f>
        <v>93.539</v>
      </c>
      <c r="H87" s="43" t="n">
        <f aca="false">H80-H86</f>
        <v>111.23</v>
      </c>
      <c r="I87" s="43" t="n">
        <f aca="false">I80-I86</f>
        <v>116.455</v>
      </c>
      <c r="J87" s="20" t="n">
        <f aca="false">J80-J86</f>
        <v>21.678</v>
      </c>
      <c r="K87" s="20" t="n">
        <f aca="false">K80-K86</f>
        <v>42.56</v>
      </c>
      <c r="L87" s="20" t="n">
        <f aca="false">L80-L86</f>
        <v>64.238</v>
      </c>
      <c r="M87" s="20" t="n">
        <f aca="false">M80-M86</f>
        <v>26.818</v>
      </c>
      <c r="N87" s="20" t="n">
        <f aca="false">N80-N86</f>
        <v>53.025</v>
      </c>
      <c r="O87" s="43" t="n">
        <f aca="false">O80-O86</f>
        <v>131.72</v>
      </c>
      <c r="P87" s="20" t="n">
        <f aca="false">P80-P86</f>
        <v>19.888</v>
      </c>
      <c r="Q87" s="20" t="n">
        <f aca="false">Q80-Q86</f>
        <v>52.461</v>
      </c>
      <c r="R87" s="20" t="n">
        <f aca="false">R80-R86</f>
        <v>72.349</v>
      </c>
      <c r="S87" s="20" t="n">
        <f aca="false">S80-S86</f>
        <v>16.646</v>
      </c>
      <c r="T87" s="20" t="n">
        <f aca="false">T80-T86</f>
        <v>48.598</v>
      </c>
      <c r="U87" s="43" t="n">
        <f aca="false">U80-U86</f>
        <v>138.264</v>
      </c>
      <c r="V87" s="20" t="n">
        <f aca="false">V80-V86</f>
        <v>33.965</v>
      </c>
      <c r="W87" s="20" t="n">
        <f aca="false">W80-W86</f>
        <v>63.886</v>
      </c>
      <c r="X87" s="20" t="n">
        <f aca="false">X80-X86</f>
        <v>97.8510000000001</v>
      </c>
      <c r="Y87" s="20" t="n">
        <f aca="false">Y80-Y86</f>
        <v>29.704</v>
      </c>
      <c r="Z87" s="20" t="n">
        <f aca="false">Z80-Z86</f>
        <v>42.799</v>
      </c>
      <c r="AA87" s="43" t="n">
        <f aca="false">AA80-AA86</f>
        <v>170.354</v>
      </c>
      <c r="AB87" s="20" t="n">
        <f aca="false">AB80-AB86</f>
        <v>40.391</v>
      </c>
      <c r="AC87" s="20" t="n">
        <f aca="false">AC80-AC86</f>
        <v>54.381</v>
      </c>
      <c r="AD87" s="20" t="n">
        <f aca="false">AD80-AD86</f>
        <v>94.772</v>
      </c>
      <c r="AE87" s="20" t="n">
        <f aca="false">AE80-AE86</f>
        <v>30.988</v>
      </c>
      <c r="AF87" s="20" t="n">
        <f aca="false">AF80-AF86</f>
        <v>43.465</v>
      </c>
      <c r="AG87" s="43" t="n">
        <f aca="false">AG80-AG86</f>
        <v>169.225</v>
      </c>
      <c r="AH87" s="20" t="n">
        <f aca="false">AH80-AH86</f>
        <v>24.926</v>
      </c>
      <c r="AI87" s="20" t="n">
        <f aca="false">AI80-AI86</f>
        <v>53.544</v>
      </c>
      <c r="AJ87" s="20" t="n">
        <f aca="false">AJ80-AJ86</f>
        <v>78.47</v>
      </c>
      <c r="AK87" s="20" t="n">
        <f aca="false">AK80-AK86</f>
        <v>17.006</v>
      </c>
      <c r="AL87" s="20" t="n">
        <f aca="false">AL80-AL86</f>
        <v>43.354</v>
      </c>
      <c r="AM87" s="43" t="n">
        <f aca="false">AM80-AM86</f>
        <v>138.83</v>
      </c>
      <c r="AN87" s="20" t="n">
        <f aca="false">AN80-AN86</f>
        <v>33.394</v>
      </c>
      <c r="AO87" s="20" t="n">
        <f aca="false">AO80-AO86</f>
        <v>64.858</v>
      </c>
      <c r="AP87" s="20" t="n">
        <f aca="false">AP80-AP86</f>
        <v>98.252</v>
      </c>
      <c r="AQ87" s="20" t="n">
        <f aca="false">AQ80-AQ86</f>
        <v>34.162</v>
      </c>
      <c r="AR87" s="20" t="n">
        <f aca="false">AR80-AR86</f>
        <v>58.303</v>
      </c>
      <c r="AS87" s="43" t="n">
        <f aca="false">AS80-AS86</f>
        <v>190.717</v>
      </c>
      <c r="AT87" s="20" t="n">
        <f aca="false">AT80-AT86</f>
        <v>34.772</v>
      </c>
      <c r="AU87" s="20" t="n">
        <f aca="false">AU80-AU86</f>
        <v>78.586</v>
      </c>
      <c r="AV87" s="20" t="n">
        <f aca="false">AV80-AV86</f>
        <v>113.358</v>
      </c>
      <c r="AW87" s="20" t="n">
        <f aca="false">AW80-AW86</f>
        <v>52.037</v>
      </c>
      <c r="AX87" s="20" t="n">
        <f aca="false">AX80-AX86</f>
        <v>79.089</v>
      </c>
      <c r="AY87" s="43" t="n">
        <f aca="false">AY80-AY86</f>
        <v>264.951</v>
      </c>
      <c r="AZ87" s="20" t="n">
        <f aca="false">AZ80-AZ86</f>
        <v>44.694</v>
      </c>
      <c r="BA87" s="20" t="n">
        <f aca="false">BA80-BA86</f>
        <v>99.341</v>
      </c>
      <c r="BB87" s="20" t="n">
        <f aca="false">BB80-BB86</f>
        <v>144.035</v>
      </c>
      <c r="BC87" s="20" t="n">
        <f aca="false">BC80-BC86</f>
        <v>86.358</v>
      </c>
      <c r="BD87" s="20" t="n">
        <f aca="false">BD80-BD86</f>
        <v>90.077</v>
      </c>
      <c r="BE87" s="43" t="n">
        <f aca="false">BE80-BE86</f>
        <v>320.472</v>
      </c>
      <c r="BF87" s="20" t="n">
        <f aca="false">BF80-BF86</f>
        <v>58.474</v>
      </c>
      <c r="BG87" s="20" t="n">
        <f aca="false">BG80-BG86</f>
        <v>107.837</v>
      </c>
      <c r="BH87" s="20" t="n">
        <f aca="false">BH80-BH86</f>
        <v>166.311</v>
      </c>
      <c r="BI87" s="20" t="n">
        <f aca="false">BI80-BI86</f>
        <v>75.962</v>
      </c>
      <c r="BJ87" s="20" t="n">
        <f aca="false">BJ80-BJ86</f>
        <v>83.12</v>
      </c>
      <c r="BK87" s="43" t="n">
        <f aca="false">BK80-BK86</f>
        <v>325.395</v>
      </c>
      <c r="BL87" s="20" t="n">
        <f aca="false">BL80-BL86</f>
        <v>89.236</v>
      </c>
      <c r="BM87" s="20" t="n">
        <f aca="false">BM80-BM86</f>
        <v>120.347</v>
      </c>
      <c r="BN87" s="20" t="n">
        <f aca="false">BN80-BN86</f>
        <v>209.583</v>
      </c>
      <c r="BO87" s="20" t="n">
        <f aca="false">BO80-BO86</f>
        <v>86.481</v>
      </c>
      <c r="BP87" s="20" t="n">
        <f aca="false">BP80-BP86</f>
        <v>105.382</v>
      </c>
      <c r="BQ87" s="43" t="n">
        <f aca="false">BQ80-BQ86</f>
        <v>401.447</v>
      </c>
      <c r="BR87" s="20" t="n">
        <f aca="false">BR80-BR86</f>
        <v>113</v>
      </c>
      <c r="BS87" s="20" t="n">
        <f aca="false">BS80-BS86</f>
        <v>273.3</v>
      </c>
      <c r="BT87" s="20" t="n">
        <f aca="false">BT80-BT86</f>
        <v>386.3</v>
      </c>
      <c r="BU87" s="20" t="n">
        <f aca="false">BU80-BU86</f>
        <v>248.6</v>
      </c>
      <c r="BV87" s="20" t="n">
        <f aca="false">BV80-BV86</f>
        <v>271.8</v>
      </c>
      <c r="BW87" s="43" t="n">
        <f aca="false">BW80-BW86</f>
        <v>906.8</v>
      </c>
      <c r="BX87" s="20" t="n">
        <f aca="false">BX80-BX86</f>
        <v>292.9</v>
      </c>
      <c r="BY87" s="20" t="n">
        <f aca="false">BY80-BY86</f>
        <v>300.7</v>
      </c>
      <c r="BZ87" s="20" t="n">
        <f aca="false">BZ80-BZ86</f>
        <v>593.6</v>
      </c>
      <c r="CA87" s="20" t="n">
        <f aca="false">CA80-CA86</f>
        <v>239.7</v>
      </c>
      <c r="CB87" s="20" t="n">
        <f aca="false">CB80-CB86</f>
        <v>300</v>
      </c>
      <c r="CC87" s="43" t="n">
        <f aca="false">CC80-CC86</f>
        <v>1133.2</v>
      </c>
      <c r="CD87" s="20" t="n">
        <f aca="false">CD80-CD86</f>
        <v>281.7</v>
      </c>
      <c r="CE87" s="20" t="n">
        <f aca="false">CE80-CE86</f>
        <v>316.1</v>
      </c>
      <c r="CF87" s="20" t="n">
        <f aca="false">CF80-CF86</f>
        <v>597.8</v>
      </c>
      <c r="CG87" s="20" t="n">
        <f aca="false">CG80-CG86</f>
        <v>275.7</v>
      </c>
      <c r="CH87" s="20" t="n">
        <f aca="false">CH80-CH86</f>
        <v>325.2</v>
      </c>
      <c r="CI87" s="43" t="n">
        <f aca="false">CI80-CI86</f>
        <v>1198.7</v>
      </c>
      <c r="CJ87" s="20" t="n">
        <f aca="false">CJ80-CJ86</f>
        <v>308.6</v>
      </c>
      <c r="CK87" s="20" t="n">
        <f aca="false">CK80-CK86</f>
        <v>331</v>
      </c>
      <c r="CL87" s="20" t="n">
        <f aca="false">CL80-CL86</f>
        <v>639.6</v>
      </c>
      <c r="CM87" s="43" t="n">
        <f aca="false">CM80-CM86</f>
        <v>314.096936631368</v>
      </c>
      <c r="CN87" s="43" t="n">
        <f aca="false">CN80-CN86</f>
        <v>349.911030693166</v>
      </c>
      <c r="CO87" s="43" t="n">
        <f aca="false">SUM(CJ87,CK87,CM87,CN87)</f>
        <v>1303.60796732453</v>
      </c>
      <c r="CP87" s="43" t="n">
        <f aca="false">CP80-CP86</f>
        <v>1378.65470661067</v>
      </c>
      <c r="CQ87" s="43" t="n">
        <f aca="false">CQ80-CQ86</f>
        <v>1472.05091672096</v>
      </c>
      <c r="CR87" s="43" t="n">
        <f aca="false">CR80-CR86</f>
        <v>1563.9472129856</v>
      </c>
      <c r="CS87" s="43" t="n">
        <f aca="false">CS80-CS86</f>
        <v>1661.03036629357</v>
      </c>
      <c r="CT87" s="23" t="s">
        <v>206</v>
      </c>
      <c r="CV87" s="24" t="n">
        <f aca="false">IFERROR((CS87/CI87)^(1/5)-1,"n/m")</f>
        <v>0.067415274940446</v>
      </c>
      <c r="CW87" s="24" t="n">
        <f aca="false">IFERROR((CI87/BE87)^(1/5)-1,"n/m")</f>
        <v>0.301919353292812</v>
      </c>
      <c r="CX87" s="24" t="n">
        <f aca="false">IFERROR((CI87/AA87)^(1/10)-1,"n/m")</f>
        <v>0.21544641496092</v>
      </c>
      <c r="CY87" s="24" t="n">
        <f aca="false">IFERROR((CI87/C87)^(1/19)-1,"n/m")</f>
        <v>0.14833772574799</v>
      </c>
    </row>
    <row r="88" customFormat="false" ht="15" hidden="false" customHeight="true" outlineLevel="0" collapsed="false">
      <c r="B88" s="30" t="s">
        <v>207</v>
      </c>
      <c r="C88" s="44" t="n">
        <f aca="false">IFERROR(C87/C95,"")</f>
        <v>0.335744230329214</v>
      </c>
      <c r="D88" s="44" t="n">
        <f aca="false">IFERROR(D87/D95,"")</f>
        <v>0.33890979974736</v>
      </c>
      <c r="E88" s="44" t="n">
        <f aca="false">IFERROR(E87/E95,"")</f>
        <v>0.380896685061073</v>
      </c>
      <c r="F88" s="44" t="n">
        <f aca="false">IFERROR(F87/F95,"")</f>
        <v>0.343751905432238</v>
      </c>
      <c r="G88" s="44" t="n">
        <f aca="false">IFERROR(G87/G95,"")</f>
        <v>0.261743464038571</v>
      </c>
      <c r="H88" s="44" t="n">
        <f aca="false">IFERROR(H87/H95,"")</f>
        <v>0.280813634975095</v>
      </c>
      <c r="I88" s="44" t="n">
        <f aca="false">IFERROR(I87/I95,"")</f>
        <v>0.265906314575698</v>
      </c>
      <c r="J88" s="44" t="n">
        <f aca="false">IFERROR(J87/J95,"")</f>
        <v>0.212408630386643</v>
      </c>
      <c r="K88" s="44" t="n">
        <f aca="false">IFERROR(K87/K95,"")</f>
        <v>0.331665653590187</v>
      </c>
      <c r="L88" s="44" t="n">
        <f aca="false">IFERROR(L87/L95,"")</f>
        <v>0.278834968313222</v>
      </c>
      <c r="M88" s="44" t="n">
        <f aca="false">IFERROR(M87/M95,"")</f>
        <v>0.253478260869565</v>
      </c>
      <c r="N88" s="44" t="n">
        <f aca="false">IFERROR(N87/N95,"")</f>
        <v>0.404083125671567</v>
      </c>
      <c r="O88" s="44" t="n">
        <f aca="false">IFERROR(O87/O95,"")</f>
        <v>0.281812483017867</v>
      </c>
      <c r="P88" s="44" t="n">
        <f aca="false">IFERROR(P87/P95,"")</f>
        <v>0.201728405079726</v>
      </c>
      <c r="Q88" s="44" t="n">
        <f aca="false">IFERROR(Q87/Q95,"")</f>
        <v>0.369873444495364</v>
      </c>
      <c r="R88" s="44" t="n">
        <f aca="false">IFERROR(R87/R95,"")</f>
        <v>0.300923788489454</v>
      </c>
      <c r="S88" s="44" t="n">
        <f aca="false">IFERROR(S87/S95,"")</f>
        <v>0.162849623839479</v>
      </c>
      <c r="T88" s="44" t="n">
        <f aca="false">IFERROR(T87/T95,"")</f>
        <v>0.350997060459204</v>
      </c>
      <c r="U88" s="44" t="n">
        <f aca="false">IFERROR(U87/U95,"")</f>
        <v>0.287393186820953</v>
      </c>
      <c r="V88" s="44" t="n">
        <f aca="false">IFERROR(V87/V95,"")</f>
        <v>0.293769136293657</v>
      </c>
      <c r="W88" s="44" t="n">
        <f aca="false">IFERROR(W87/W95,"")</f>
        <v>0.410903220412022</v>
      </c>
      <c r="X88" s="44" t="n">
        <f aca="false">IFERROR(X87/X95,"")</f>
        <v>0.360947269407403</v>
      </c>
      <c r="Y88" s="44" t="n">
        <f aca="false">IFERROR(Y87/Y95,"")</f>
        <v>0.271721034047458</v>
      </c>
      <c r="Z88" s="44" t="n">
        <f aca="false">IFERROR(Z87/Z95,"")</f>
        <v>0.315948384048663</v>
      </c>
      <c r="AA88" s="44" t="n">
        <f aca="false">IFERROR(AA87/AA95,"")</f>
        <v>0.330223406833051</v>
      </c>
      <c r="AB88" s="44" t="n">
        <f aca="false">IFERROR(AB87/AB95,"")</f>
        <v>0.306119974231687</v>
      </c>
      <c r="AC88" s="44" t="n">
        <f aca="false">IFERROR(AC87/AC95,"")</f>
        <v>0.342438840086899</v>
      </c>
      <c r="AD88" s="44" t="n">
        <f aca="false">IFERROR(AD87/AD95,"")</f>
        <v>0.325957007738607</v>
      </c>
      <c r="AE88" s="44" t="n">
        <f aca="false">IFERROR(AE87/AE95,"")</f>
        <v>0.240448182749309</v>
      </c>
      <c r="AF88" s="44" t="n">
        <f aca="false">IFERROR(AF87/AF95,"")</f>
        <v>0.29614564383487</v>
      </c>
      <c r="AG88" s="44" t="n">
        <f aca="false">IFERROR(AG87/AG95,"")</f>
        <v>0.298775589473777</v>
      </c>
      <c r="AH88" s="44" t="n">
        <f aca="false">IFERROR(AH87/AH95,"")</f>
        <v>0.124988090880372</v>
      </c>
      <c r="AI88" s="44" t="n">
        <f aca="false">IFERROR(AI87/AI95,"")</f>
        <v>0.211960587934904</v>
      </c>
      <c r="AJ88" s="44" t="n">
        <f aca="false">IFERROR(AJ87/AJ95,"")</f>
        <v>0.173590832669675</v>
      </c>
      <c r="AK88" s="44" t="n">
        <f aca="false">IFERROR(AK87/AK95,"")</f>
        <v>0.0747841918021469</v>
      </c>
      <c r="AL88" s="44" t="n">
        <f aca="false">IFERROR(AL87/AL95,"")</f>
        <v>0.148599828620394</v>
      </c>
      <c r="AM88" s="44" t="n">
        <f aca="false">IFERROR(AM87/AM95,"")</f>
        <v>0.142948194536399</v>
      </c>
      <c r="AN88" s="44" t="n">
        <f aca="false">IFERROR(AN87/AN95,"")</f>
        <v>0.12835059074941</v>
      </c>
      <c r="AO88" s="44" t="n">
        <f aca="false">IFERROR(AO87/AO95,"")</f>
        <v>0.210216186432438</v>
      </c>
      <c r="AP88" s="44" t="n">
        <f aca="false">IFERROR(AP87/AP95,"")</f>
        <v>0.172763527152774</v>
      </c>
      <c r="AQ88" s="44" t="n">
        <f aca="false">IFERROR(AQ87/AQ95,"")</f>
        <v>0.139240093582125</v>
      </c>
      <c r="AR88" s="44" t="n">
        <f aca="false">IFERROR(AR87/AR95,"")</f>
        <v>0.16378535390424</v>
      </c>
      <c r="AS88" s="44" t="n">
        <f aca="false">IFERROR(AS87/AS95,"")</f>
        <v>0.163002360631302</v>
      </c>
      <c r="AT88" s="44" t="n">
        <f aca="false">IFERROR(AT87/AT95,"")</f>
        <v>0.114596824957403</v>
      </c>
      <c r="AU88" s="44" t="n">
        <f aca="false">IFERROR(AU87/AU95,"")</f>
        <v>0.199851483385975</v>
      </c>
      <c r="AV88" s="44" t="n">
        <f aca="false">IFERROR(AV87/AV95,"")</f>
        <v>0.162718491755556</v>
      </c>
      <c r="AW88" s="44" t="n">
        <f aca="false">IFERROR(AW87/AW95,"")</f>
        <v>0.17956424519317</v>
      </c>
      <c r="AX88" s="44" t="n">
        <f aca="false">IFERROR(AX87/AX95,"")</f>
        <v>0.238080760037809</v>
      </c>
      <c r="AY88" s="44" t="n">
        <f aca="false">IFERROR(AY87/AY95,"")</f>
        <v>0.200927318352759</v>
      </c>
      <c r="AZ88" s="44" t="n">
        <f aca="false">IFERROR(AZ87/AZ95,"")</f>
        <v>0.163561508481089</v>
      </c>
      <c r="BA88" s="44" t="n">
        <f aca="false">IFERROR(BA87/BA95,"")</f>
        <v>0.255342500963886</v>
      </c>
      <c r="BB88" s="44" t="n">
        <f aca="false">IFERROR(BB87/BB95,"")</f>
        <v>0.217475332361978</v>
      </c>
      <c r="BC88" s="44" t="n">
        <f aca="false">IFERROR(BC87/BC95,"")</f>
        <v>0.260473786126645</v>
      </c>
      <c r="BD88" s="44" t="n">
        <f aca="false">IFERROR(BD87/BD95,"")</f>
        <v>0.234934652711306</v>
      </c>
      <c r="BE88" s="44" t="n">
        <f aca="false">IFERROR(BE87/BE95,"")</f>
        <v>0.232688090847044</v>
      </c>
      <c r="BF88" s="44" t="n">
        <f aca="false">IFERROR(BF87/BF95,"")</f>
        <v>0.176362896050429</v>
      </c>
      <c r="BG88" s="44" t="n">
        <f aca="false">IFERROR(BG87/BG95,"")</f>
        <v>0.272067635312253</v>
      </c>
      <c r="BH88" s="44" t="n">
        <f aca="false">IFERROR(BH87/BH95,"")</f>
        <v>0.228475538386297</v>
      </c>
      <c r="BI88" s="44" t="n">
        <f aca="false">IFERROR(BI87/BI95,"")</f>
        <v>0.230409910155847</v>
      </c>
      <c r="BJ88" s="44" t="n">
        <f aca="false">IFERROR(BJ87/BJ95,"")</f>
        <v>0.231291721971322</v>
      </c>
      <c r="BK88" s="44" t="n">
        <f aca="false">IFERROR(BK87/BK95,"")</f>
        <v>0.229641255890205</v>
      </c>
      <c r="BL88" s="44" t="n">
        <f aca="false">IFERROR(BL87/BL95,"")</f>
        <v>0.226532731182141</v>
      </c>
      <c r="BM88" s="44" t="n">
        <f aca="false">IFERROR(BM87/BM95,"")</f>
        <v>0.248370639732863</v>
      </c>
      <c r="BN88" s="44" t="n">
        <f aca="false">IFERROR(BN87/BN95,"")</f>
        <v>0.238578113918906</v>
      </c>
      <c r="BO88" s="44" t="n">
        <f aca="false">IFERROR(BO87/BO95,"")</f>
        <v>0.210171114443264</v>
      </c>
      <c r="BP88" s="44" t="n">
        <f aca="false">IFERROR(BP87/BP95,"")</f>
        <v>0.237421174647018</v>
      </c>
      <c r="BQ88" s="44" t="n">
        <f aca="false">IFERROR(BQ87/BQ95,"")</f>
        <v>0.23154063195002</v>
      </c>
      <c r="BR88" s="44" t="n">
        <f aca="false">IFERROR(BR87/BR95,"")</f>
        <v>0.220530835284934</v>
      </c>
      <c r="BS88" s="44" t="n">
        <f aca="false">IFERROR(BS87/BS95,"")</f>
        <v>0.246995029371893</v>
      </c>
      <c r="BT88" s="44" t="n">
        <f aca="false">IFERROR(BT87/BT95,"")</f>
        <v>0.238618815244919</v>
      </c>
      <c r="BU88" s="44" t="n">
        <f aca="false">IFERROR(BU87/BU95,"")</f>
        <v>0.243773288880173</v>
      </c>
      <c r="BV88" s="44" t="n">
        <f aca="false">IFERROR(BV87/BV95,"")</f>
        <v>0.261120184455759</v>
      </c>
      <c r="BW88" s="44" t="n">
        <f aca="false">IFERROR(BW87/BW95,"")</f>
        <v>0.24643983041635</v>
      </c>
      <c r="BX88" s="44" t="n">
        <f aca="false">IFERROR(BX87/BX95,"")</f>
        <v>0.27510096740866</v>
      </c>
      <c r="BY88" s="44" t="n">
        <f aca="false">IFERROR(BY87/BY95,"")</f>
        <v>0.274336283185841</v>
      </c>
      <c r="BZ88" s="44" t="n">
        <f aca="false">IFERROR(BZ87/BZ95,"")</f>
        <v>0.274713069233617</v>
      </c>
      <c r="CA88" s="44" t="n">
        <f aca="false">IFERROR(CA87/CA95,"")</f>
        <v>0.244143410063149</v>
      </c>
      <c r="CB88" s="44" t="n">
        <f aca="false">IFERROR(CB87/CB95,"")</f>
        <v>0.262789067974772</v>
      </c>
      <c r="CC88" s="44" t="n">
        <f aca="false">IFERROR(CC87/CC95,"")</f>
        <v>0.264506792399981</v>
      </c>
      <c r="CD88" s="44" t="n">
        <f aca="false">IFERROR(CD87/CD95,"")</f>
        <v>0.254104275662998</v>
      </c>
      <c r="CE88" s="44" t="n">
        <f aca="false">IFERROR(CE87/CE95,"")</f>
        <v>0.266526138279933</v>
      </c>
      <c r="CF88" s="44" t="n">
        <f aca="false">IFERROR(CF87/CF95,"")</f>
        <v>0.26052471018914</v>
      </c>
      <c r="CG88" s="44" t="n">
        <f aca="false">IFERROR(CG87/CG95,"")</f>
        <v>0.252310789786767</v>
      </c>
      <c r="CH88" s="44" t="n">
        <f aca="false">IFERROR(CH87/CH95,"")</f>
        <v>0.270234336047864</v>
      </c>
      <c r="CI88" s="44" t="n">
        <f aca="false">IFERROR(CI87/CI95,"")</f>
        <v>0.261114862657111</v>
      </c>
      <c r="CJ88" s="44" t="n">
        <f aca="false">IFERROR(CJ87/CJ95,"")</f>
        <v>0.249959501052973</v>
      </c>
      <c r="CK88" s="44" t="n">
        <f aca="false">IFERROR(CK87/CK95,"")</f>
        <v>0.251309695543239</v>
      </c>
      <c r="CL88" s="44" t="n">
        <f aca="false">IFERROR(CL87/CL95,"")</f>
        <v>0.250656425128346</v>
      </c>
      <c r="CM88" s="35" t="n">
        <f aca="false">IFERROR(CM87/CM95,"")</f>
        <v>0.270543073099892</v>
      </c>
      <c r="CN88" s="35" t="n">
        <f aca="false">IFERROR(CN87/CN95,"")</f>
        <v>0.270543073099892</v>
      </c>
      <c r="CO88" s="35" t="n">
        <f aca="false">IFERROR(CO87/CO95,"")</f>
        <v>0.260406390874852</v>
      </c>
      <c r="CP88" s="35" t="n">
        <f aca="false">IFERROR(CP87/CP95,"")</f>
        <v>0.262</v>
      </c>
      <c r="CQ88" s="35" t="n">
        <f aca="false">IFERROR(CQ87/CQ95,"")</f>
        <v>0.267</v>
      </c>
      <c r="CR88" s="35" t="n">
        <f aca="false">IFERROR(CR87/CR95,"")</f>
        <v>0.272</v>
      </c>
      <c r="CS88" s="35" t="n">
        <f aca="false">IFERROR(CS87/CS95,"")</f>
        <v>0.277</v>
      </c>
      <c r="CT88" s="23"/>
      <c r="CV88" s="48" t="n">
        <f aca="false">IFERROR(AVERAGE(CO88,CP88,CQ88,CR88,CS88),"n/m")</f>
        <v>0.267681278174971</v>
      </c>
      <c r="CW88" s="48" t="n">
        <f aca="false">IFERROR(AVERAGE(BK88,BQ88,BW88,CC88,CI88),"n/m")</f>
        <v>0.246648674662733</v>
      </c>
      <c r="CX88" s="48" t="n">
        <f aca="false">IFERROR(AVERAGE(AG88,AM88,AS88,AY88,BE88,BK88,BQ88,BW88,CC88,CI88),"n/m")</f>
        <v>0.227158492715495</v>
      </c>
      <c r="CY88" s="48" t="n">
        <f aca="false">IFERROR(AVERAGE(C88,D88,E88,F88,G88,H88,I88,O88,U88,AA88,AG88,AM88,AS88,AY88,BE88,BK88,BQ88,BW88,CC88,CI88),"n/m")</f>
        <v>0.268939001899303</v>
      </c>
    </row>
    <row r="89" customFormat="false" ht="15" hidden="false" customHeight="true" outlineLevel="0" collapsed="false">
      <c r="B89" s="13" t="s">
        <v>208</v>
      </c>
      <c r="C89" s="31" t="n">
        <f aca="false">C139</f>
        <v>101.591</v>
      </c>
      <c r="D89" s="31" t="n">
        <f aca="false">D139</f>
        <v>125.125</v>
      </c>
      <c r="E89" s="31" t="n">
        <f aca="false">E139</f>
        <v>159.913</v>
      </c>
      <c r="F89" s="31" t="n">
        <f aca="false">F139</f>
        <v>161.428</v>
      </c>
      <c r="G89" s="31" t="n">
        <f aca="false">G139</f>
        <v>131.352</v>
      </c>
      <c r="H89" s="31" t="n">
        <f aca="false">H139</f>
        <v>153.638</v>
      </c>
      <c r="I89" s="31" t="n">
        <f aca="false">I139</f>
        <v>157.593</v>
      </c>
      <c r="J89" s="31" t="n">
        <f aca="false">J139</f>
        <v>31.998</v>
      </c>
      <c r="K89" s="31" t="n">
        <f aca="false">K139</f>
        <v>53.279</v>
      </c>
      <c r="L89" s="31" t="n">
        <f aca="false">L139</f>
        <v>85.277</v>
      </c>
      <c r="M89" s="31" t="n">
        <f aca="false">M139</f>
        <v>37.633</v>
      </c>
      <c r="N89" s="31" t="n">
        <f aca="false">N139</f>
        <v>59.851</v>
      </c>
      <c r="O89" s="31" t="n">
        <f aca="false">O139</f>
        <v>182.761</v>
      </c>
      <c r="P89" s="31" t="n">
        <f aca="false">P139</f>
        <v>30.485</v>
      </c>
      <c r="Q89" s="31" t="n">
        <f aca="false">Q139</f>
        <v>63.44</v>
      </c>
      <c r="R89" s="31" t="n">
        <f aca="false">R139</f>
        <v>93.925</v>
      </c>
      <c r="S89" s="31" t="n">
        <f aca="false">S139</f>
        <v>28.052</v>
      </c>
      <c r="T89" s="31" t="n">
        <f aca="false">T139</f>
        <v>54.652</v>
      </c>
      <c r="U89" s="31" t="n">
        <f aca="false">U139</f>
        <v>176.629</v>
      </c>
      <c r="V89" s="31" t="n">
        <f aca="false">V139</f>
        <v>44.581</v>
      </c>
      <c r="W89" s="31" t="n">
        <f aca="false">W139</f>
        <v>74.655</v>
      </c>
      <c r="X89" s="31" t="n">
        <f aca="false">X139</f>
        <v>119.236</v>
      </c>
      <c r="Y89" s="31" t="n">
        <f aca="false">Y139</f>
        <v>39.721</v>
      </c>
      <c r="Z89" s="31" t="n">
        <f aca="false">Z139</f>
        <v>61.813</v>
      </c>
      <c r="AA89" s="31" t="n">
        <f aca="false">AA139</f>
        <v>220.77</v>
      </c>
      <c r="AB89" s="31" t="n">
        <f aca="false">AB139</f>
        <v>50.471</v>
      </c>
      <c r="AC89" s="31" t="n">
        <f aca="false">AC139</f>
        <v>64.665</v>
      </c>
      <c r="AD89" s="31" t="n">
        <f aca="false">AD139</f>
        <v>115.136</v>
      </c>
      <c r="AE89" s="31" t="n">
        <f aca="false">AE139</f>
        <v>12.941</v>
      </c>
      <c r="AF89" s="31" t="n">
        <f aca="false">AF139</f>
        <v>46.979</v>
      </c>
      <c r="AG89" s="31" t="n">
        <f aca="false">AG139</f>
        <v>175.056</v>
      </c>
      <c r="AH89" s="31" t="n">
        <f aca="false">AH139</f>
        <v>35.264</v>
      </c>
      <c r="AI89" s="31" t="n">
        <f aca="false">AI139</f>
        <v>41.243</v>
      </c>
      <c r="AJ89" s="31" t="n">
        <f aca="false">AJ139</f>
        <v>76.507</v>
      </c>
      <c r="AK89" s="31" t="n">
        <f aca="false">AK139</f>
        <v>31.843</v>
      </c>
      <c r="AL89" s="31" t="n">
        <f aca="false">AL139</f>
        <v>56.835</v>
      </c>
      <c r="AM89" s="31" t="n">
        <f aca="false">AM139</f>
        <v>165.185</v>
      </c>
      <c r="AN89" s="31" t="n">
        <f aca="false">AN139</f>
        <v>49.585</v>
      </c>
      <c r="AO89" s="31" t="n">
        <f aca="false">AO139</f>
        <v>81.395</v>
      </c>
      <c r="AP89" s="31" t="n">
        <f aca="false">AP139</f>
        <v>130.98</v>
      </c>
      <c r="AQ89" s="31" t="n">
        <f aca="false">AQ139</f>
        <v>54.319</v>
      </c>
      <c r="AR89" s="31" t="n">
        <f aca="false">AR139</f>
        <v>75.466</v>
      </c>
      <c r="AS89" s="31" t="n">
        <f aca="false">AS139</f>
        <v>260.765</v>
      </c>
      <c r="AT89" s="31" t="n">
        <f aca="false">AT139</f>
        <v>51.887</v>
      </c>
      <c r="AU89" s="31" t="n">
        <f aca="false">AU139</f>
        <v>95.6979999999999</v>
      </c>
      <c r="AV89" s="31" t="n">
        <f aca="false">AV139</f>
        <v>147.585</v>
      </c>
      <c r="AW89" s="31" t="n">
        <f aca="false">AW139</f>
        <v>59.297</v>
      </c>
      <c r="AX89" s="31" t="n">
        <f aca="false">AX139</f>
        <v>91.8569999999999</v>
      </c>
      <c r="AY89" s="31" t="n">
        <f aca="false">AY139</f>
        <v>298.739</v>
      </c>
      <c r="AZ89" s="31" t="n">
        <f aca="false">AZ139</f>
        <v>56.08</v>
      </c>
      <c r="BA89" s="31" t="n">
        <f aca="false">BA139</f>
        <v>107.121</v>
      </c>
      <c r="BB89" s="31" t="n">
        <f aca="false">BB139</f>
        <v>163.201</v>
      </c>
      <c r="BC89" s="31" t="n">
        <f aca="false">BC139</f>
        <v>87.59</v>
      </c>
      <c r="BD89" s="31" t="n">
        <f aca="false">BD139</f>
        <v>93.249</v>
      </c>
      <c r="BE89" s="31" t="n">
        <f aca="false">BE139</f>
        <v>344.04</v>
      </c>
      <c r="BF89" s="31" t="n">
        <f aca="false">BF139</f>
        <v>66.271</v>
      </c>
      <c r="BG89" s="31" t="n">
        <f aca="false">BG139</f>
        <v>112.316</v>
      </c>
      <c r="BH89" s="31" t="n">
        <f aca="false">BH139</f>
        <v>178.587</v>
      </c>
      <c r="BI89" s="31" t="n">
        <f aca="false">BI139</f>
        <v>75.753</v>
      </c>
      <c r="BJ89" s="31" t="n">
        <f aca="false">BJ139</f>
        <v>74.37</v>
      </c>
      <c r="BK89" s="31" t="n">
        <f aca="false">BK139</f>
        <v>328.712</v>
      </c>
      <c r="BL89" s="31" t="n">
        <f aca="false">BL139</f>
        <v>258.704</v>
      </c>
      <c r="BM89" s="31" t="n">
        <f aca="false">BM139</f>
        <v>116.933</v>
      </c>
      <c r="BN89" s="31" t="n">
        <f aca="false">BN139</f>
        <v>375.637</v>
      </c>
      <c r="BO89" s="31" t="n">
        <f aca="false">BO139</f>
        <v>89.283</v>
      </c>
      <c r="BP89" s="31" t="n">
        <f aca="false">BP139</f>
        <v>89.132</v>
      </c>
      <c r="BQ89" s="31" t="n">
        <f aca="false">BQ139</f>
        <v>554.052</v>
      </c>
      <c r="BR89" s="31" t="n">
        <f aca="false">BR139</f>
        <v>13.3000000000001</v>
      </c>
      <c r="BS89" s="31" t="n">
        <f aca="false">BS139</f>
        <v>289</v>
      </c>
      <c r="BT89" s="31" t="n">
        <f aca="false">BT139</f>
        <v>302.3</v>
      </c>
      <c r="BU89" s="31" t="n">
        <f aca="false">BU139</f>
        <v>246.6</v>
      </c>
      <c r="BV89" s="31" t="n">
        <f aca="false">BV139</f>
        <v>277.4</v>
      </c>
      <c r="BW89" s="31" t="n">
        <f aca="false">BW139</f>
        <v>826.4</v>
      </c>
      <c r="BX89" s="31" t="n">
        <f aca="false">BX139</f>
        <v>304.9</v>
      </c>
      <c r="BY89" s="31" t="n">
        <f aca="false">BY139</f>
        <v>311</v>
      </c>
      <c r="BZ89" s="31" t="n">
        <f aca="false">BZ139</f>
        <v>615.9</v>
      </c>
      <c r="CA89" s="31" t="n">
        <f aca="false">CA139</f>
        <v>264.4</v>
      </c>
      <c r="CB89" s="31" t="n">
        <f aca="false">CB139</f>
        <v>321.7</v>
      </c>
      <c r="CC89" s="31" t="n">
        <f aca="false">CC139</f>
        <v>1202</v>
      </c>
      <c r="CD89" s="31" t="n">
        <f aca="false">CD139</f>
        <v>304.3</v>
      </c>
      <c r="CE89" s="31" t="n">
        <f aca="false">CE139</f>
        <v>305.7</v>
      </c>
      <c r="CF89" s="31" t="n">
        <f aca="false">CF139</f>
        <v>610.000000000001</v>
      </c>
      <c r="CG89" s="31" t="n">
        <f aca="false">CG139</f>
        <v>281</v>
      </c>
      <c r="CH89" s="31" t="n">
        <f aca="false">CH139</f>
        <v>304.7</v>
      </c>
      <c r="CI89" s="31" t="n">
        <f aca="false">CI139</f>
        <v>1195.7</v>
      </c>
      <c r="CJ89" s="31" t="n">
        <f aca="false">CJ139</f>
        <v>341.3</v>
      </c>
      <c r="CK89" s="31" t="n">
        <f aca="false">CK139</f>
        <v>355.5</v>
      </c>
      <c r="CL89" s="31" t="n">
        <f aca="false">CL139</f>
        <v>696.8</v>
      </c>
      <c r="CM89" s="32" t="n">
        <f aca="false">CM139</f>
        <v>335.781850223033</v>
      </c>
      <c r="CN89" s="32" t="n">
        <f aca="false">CN139</f>
        <v>377.318149776967</v>
      </c>
      <c r="CO89" s="32" t="n">
        <f aca="false">SUM(CJ89,CK89,CM89,CN89)</f>
        <v>1409.9</v>
      </c>
      <c r="CP89" s="32" t="n">
        <f aca="false">CP139</f>
        <v>1508.9224638025</v>
      </c>
      <c r="CQ89" s="32" t="n">
        <f aca="false">CQ139</f>
        <v>1608.12278720411</v>
      </c>
      <c r="CR89" s="32" t="n">
        <f aca="false">CR139</f>
        <v>1705.18886797964</v>
      </c>
      <c r="CS89" s="32" t="n">
        <f aca="false">CS139</f>
        <v>1807.8798455377</v>
      </c>
      <c r="CT89" s="23"/>
      <c r="CV89" s="7"/>
      <c r="CW89" s="7"/>
      <c r="CX89" s="7"/>
      <c r="CY89" s="7"/>
    </row>
    <row r="90" customFormat="false" ht="15" hidden="false" customHeight="true" outlineLevel="0" collapsed="false">
      <c r="B90" s="46" t="s">
        <v>209</v>
      </c>
      <c r="C90" s="31" t="str">
        <f aca="false">IF(ISNUMBER(C158),ROUND(C156-C80,1),"n/p")</f>
        <v>n/p</v>
      </c>
      <c r="D90" s="31" t="str">
        <f aca="false">IF(ISNUMBER(D158),ROUND(D156-D80,1),"n/p")</f>
        <v>n/p</v>
      </c>
      <c r="E90" s="31" t="str">
        <f aca="false">IF(ISNUMBER(E158),ROUND(E156-E80,1),"n/p")</f>
        <v>n/p</v>
      </c>
      <c r="F90" s="31" t="str">
        <f aca="false">IF(ISNUMBER(F158),ROUND(F156-F80,1),"n/p")</f>
        <v>n/p</v>
      </c>
      <c r="G90" s="31" t="str">
        <f aca="false">IF(ISNUMBER(G158),ROUND(G156-G80,1),"n/p")</f>
        <v>n/p</v>
      </c>
      <c r="H90" s="31" t="str">
        <f aca="false">IF(ISNUMBER(H158),ROUND(H156-H80,1),"n/p")</f>
        <v>n/p</v>
      </c>
      <c r="I90" s="31" t="str">
        <f aca="false">IF(ISNUMBER(I158),ROUND(I156-I80,1),"n/p")</f>
        <v>n/p</v>
      </c>
      <c r="J90" s="31" t="str">
        <f aca="false">IF(ISNUMBER(J158),ROUND(J156-J80,1),"n/p")</f>
        <v>n/p</v>
      </c>
      <c r="K90" s="31" t="str">
        <f aca="false">IF(ISNUMBER(K158),ROUND(K156-K80,1),"n/p")</f>
        <v>n/p</v>
      </c>
      <c r="L90" s="31" t="str">
        <f aca="false">IF(ISNUMBER(L158),ROUND(L156-L80,1),"n/p")</f>
        <v>n/p</v>
      </c>
      <c r="M90" s="31" t="str">
        <f aca="false">IF(ISNUMBER(M158),ROUND(M156-M80,1),"n/p")</f>
        <v>n/p</v>
      </c>
      <c r="N90" s="31" t="str">
        <f aca="false">IF(ISNUMBER(N158),ROUND(N156-N80,1),"n/p")</f>
        <v>n/p</v>
      </c>
      <c r="O90" s="31" t="n">
        <f aca="false">IF(ISNUMBER(O158),ROUND(O156-O80,1),"n/p")</f>
        <v>2.5</v>
      </c>
      <c r="P90" s="31" t="str">
        <f aca="false">IF(ISNUMBER(P158),ROUND(P156-P80,1),"n/p")</f>
        <v>n/p</v>
      </c>
      <c r="Q90" s="31" t="str">
        <f aca="false">IF(ISNUMBER(Q158),ROUND(Q156-Q80,1),"n/p")</f>
        <v>n/p</v>
      </c>
      <c r="R90" s="31" t="str">
        <f aca="false">IF(ISNUMBER(R158),ROUND(R156-R80,1),"n/p")</f>
        <v>n/p</v>
      </c>
      <c r="S90" s="31" t="str">
        <f aca="false">IF(ISNUMBER(S158),ROUND(S156-S80,1),"n/p")</f>
        <v>n/p</v>
      </c>
      <c r="T90" s="31" t="str">
        <f aca="false">IF(ISNUMBER(T158),ROUND(T156-T80,1),"n/p")</f>
        <v>n/p</v>
      </c>
      <c r="U90" s="31" t="n">
        <f aca="false">IF(ISNUMBER(U158),ROUND(U156-U80,1),"n/p")</f>
        <v>4</v>
      </c>
      <c r="V90" s="31" t="str">
        <f aca="false">IF(ISNUMBER(V158),ROUND(V156-V80,1),"n/p")</f>
        <v>n/p</v>
      </c>
      <c r="W90" s="31" t="n">
        <f aca="false">IF(ISNUMBER(W158),ROUND(W156-W80,1),"n/p")</f>
        <v>0</v>
      </c>
      <c r="X90" s="31" t="str">
        <f aca="false">IF(ISNUMBER(X158),ROUND(X156-X80,1),"n/p")</f>
        <v>n/p</v>
      </c>
      <c r="Y90" s="31" t="n">
        <f aca="false">IF(ISNUMBER(Y158),ROUND(Y156-Y80,1),"n/p")</f>
        <v>0</v>
      </c>
      <c r="Z90" s="31" t="str">
        <f aca="false">IF(ISNUMBER(Z158),ROUND(Z156-Z80,1),"n/p")</f>
        <v>n/p</v>
      </c>
      <c r="AA90" s="31" t="n">
        <f aca="false">IF(ISNUMBER(AA158),ROUND(AA156-AA80,1),"n/p")</f>
        <v>0</v>
      </c>
      <c r="AB90" s="31" t="n">
        <f aca="false">IF(ISNUMBER(AB158),ROUND(AB156-AB80,1),"n/p")</f>
        <v>0</v>
      </c>
      <c r="AC90" s="31" t="n">
        <f aca="false">IF(ISNUMBER(AC158),ROUND(AC156-AC80,1),"n/p")</f>
        <v>0</v>
      </c>
      <c r="AD90" s="31" t="n">
        <f aca="false">IF(ISNUMBER(AD158),ROUND(AD156-AD80,1),"n/p")</f>
        <v>0</v>
      </c>
      <c r="AE90" s="31" t="n">
        <f aca="false">IF(ISNUMBER(AE158),ROUND(AE156-AE80,1),"n/p")</f>
        <v>0</v>
      </c>
      <c r="AF90" s="31" t="str">
        <f aca="false">IF(ISNUMBER(AF158),ROUND(AF156-AF80,1),"n/p")</f>
        <v>n/p</v>
      </c>
      <c r="AG90" s="31" t="n">
        <f aca="false">IF(ISNUMBER(AG158),ROUND(AG156-AG80,1),"n/p")</f>
        <v>0</v>
      </c>
      <c r="AH90" s="31" t="n">
        <f aca="false">IF(ISNUMBER(AH158),ROUND(AH156-AH80,1),"n/p")</f>
        <v>0</v>
      </c>
      <c r="AI90" s="31" t="n">
        <f aca="false">IF(ISNUMBER(AI158),ROUND(AI156-AI80,1),"n/p")</f>
        <v>0</v>
      </c>
      <c r="AJ90" s="31" t="n">
        <f aca="false">IF(ISNUMBER(AJ158),ROUND(AJ156-AJ80,1),"n/p")</f>
        <v>0</v>
      </c>
      <c r="AK90" s="31" t="n">
        <f aca="false">IF(ISNUMBER(AK158),ROUND(AK156-AK80,1),"n/p")</f>
        <v>0</v>
      </c>
      <c r="AL90" s="31" t="str">
        <f aca="false">IF(ISNUMBER(AL158),ROUND(AL156-AL80,1),"n/p")</f>
        <v>n/p</v>
      </c>
      <c r="AM90" s="31" t="n">
        <f aca="false">IF(ISNUMBER(AM158),ROUND(AM156-AM80,1),"n/p")</f>
        <v>0</v>
      </c>
      <c r="AN90" s="31" t="n">
        <f aca="false">IF(ISNUMBER(AN158),ROUND(AN156-AN80,1),"n/p")</f>
        <v>0</v>
      </c>
      <c r="AO90" s="31" t="n">
        <f aca="false">IF(ISNUMBER(AO158),ROUND(AO156-AO80,1),"n/p")</f>
        <v>0</v>
      </c>
      <c r="AP90" s="31" t="n">
        <f aca="false">IF(ISNUMBER(AP158),ROUND(AP156-AP80,1),"n/p")</f>
        <v>0</v>
      </c>
      <c r="AQ90" s="31" t="n">
        <f aca="false">IF(ISNUMBER(AQ158),ROUND(AQ156-AQ80,1),"n/p")</f>
        <v>0</v>
      </c>
      <c r="AR90" s="31" t="str">
        <f aca="false">IF(ISNUMBER(AR158),ROUND(AR156-AR80,1),"n/p")</f>
        <v>n/p</v>
      </c>
      <c r="AS90" s="31" t="n">
        <f aca="false">IF(ISNUMBER(AS158),ROUND(AS156-AS80,1),"n/p")</f>
        <v>0</v>
      </c>
      <c r="AT90" s="31" t="str">
        <f aca="false">IF(ISNUMBER(AT158),ROUND(AT156-AT80,1),"n/p")</f>
        <v>n/p</v>
      </c>
      <c r="AU90" s="31" t="n">
        <f aca="false">IF(ISNUMBER(AU158),ROUND(AU156-AU80,1),"n/p")</f>
        <v>0</v>
      </c>
      <c r="AV90" s="31" t="str">
        <f aca="false">IF(ISNUMBER(AV158),ROUND(AV156-AV80,1),"n/p")</f>
        <v>n/p</v>
      </c>
      <c r="AW90" s="31" t="n">
        <f aca="false">IF(ISNUMBER(AW158),ROUND(AW156-AW80,1),"n/p")</f>
        <v>0</v>
      </c>
      <c r="AX90" s="31" t="n">
        <f aca="false">IF(ISNUMBER(AX158),ROUND(AX156-AX80,1),"n/p")</f>
        <v>0</v>
      </c>
      <c r="AY90" s="31" t="n">
        <f aca="false">IF(ISNUMBER(AY158),ROUND(AY156-AY80,1),"n/p")</f>
        <v>0</v>
      </c>
      <c r="AZ90" s="31" t="n">
        <f aca="false">IF(ISNUMBER(AZ158),ROUND(AZ156-AZ80,1),"n/p")</f>
        <v>0</v>
      </c>
      <c r="BA90" s="31" t="n">
        <f aca="false">IF(ISNUMBER(BA158),ROUND(BA156-BA80,1),"n/p")</f>
        <v>0</v>
      </c>
      <c r="BB90" s="31" t="n">
        <f aca="false">IF(ISNUMBER(BB158),ROUND(BB156-BB80,1),"n/p")</f>
        <v>0</v>
      </c>
      <c r="BC90" s="31" t="n">
        <f aca="false">IF(ISNUMBER(BC158),ROUND(BC156-BC80,1),"n/p")</f>
        <v>0</v>
      </c>
      <c r="BD90" s="31" t="n">
        <f aca="false">IF(ISNUMBER(BD158),ROUND(BD156-BD80,1),"n/p")</f>
        <v>0</v>
      </c>
      <c r="BE90" s="31" t="n">
        <f aca="false">IF(ISNUMBER(BE158),ROUND(BE156-BE80,1),"n/p")</f>
        <v>0</v>
      </c>
      <c r="BF90" s="31" t="n">
        <f aca="false">IF(ISNUMBER(BF158),ROUND(BF156-BF80,1),"n/p")</f>
        <v>0</v>
      </c>
      <c r="BG90" s="31" t="n">
        <f aca="false">IF(ISNUMBER(BG158),ROUND(BG156-BG80,1),"n/p")</f>
        <v>0</v>
      </c>
      <c r="BH90" s="31" t="n">
        <f aca="false">IF(ISNUMBER(BH158),ROUND(BH156-BH80,1),"n/p")</f>
        <v>0</v>
      </c>
      <c r="BI90" s="31" t="n">
        <f aca="false">IF(ISNUMBER(BI158),ROUND(BI156-BI80,1),"n/p")</f>
        <v>0</v>
      </c>
      <c r="BJ90" s="31" t="n">
        <f aca="false">IF(ISNUMBER(BJ158),ROUND(BJ156-BJ80,1),"n/p")</f>
        <v>-0</v>
      </c>
      <c r="BK90" s="31" t="n">
        <f aca="false">IF(ISNUMBER(BK158),ROUND(BK156-BK80,1),"n/p")</f>
        <v>0</v>
      </c>
      <c r="BL90" s="31" t="n">
        <f aca="false">IF(ISNUMBER(BL158),ROUND(BL156-BL80,1),"n/p")</f>
        <v>0</v>
      </c>
      <c r="BM90" s="31" t="n">
        <f aca="false">IF(ISNUMBER(BM158),ROUND(BM156-BM80,1),"n/p")</f>
        <v>0</v>
      </c>
      <c r="BN90" s="31" t="n">
        <f aca="false">IF(ISNUMBER(BN158),ROUND(BN156-BN80,1),"n/p")</f>
        <v>0</v>
      </c>
      <c r="BO90" s="31" t="n">
        <f aca="false">IF(ISNUMBER(BO158),ROUND(BO156-BO80,1),"n/p")</f>
        <v>0</v>
      </c>
      <c r="BP90" s="31" t="n">
        <f aca="false">IF(ISNUMBER(BP158),ROUND(BP156-BP80,1),"n/p")</f>
        <v>0</v>
      </c>
      <c r="BQ90" s="31" t="n">
        <f aca="false">IF(ISNUMBER(BQ158),ROUND(BQ156-BQ80,1),"n/p")</f>
        <v>0</v>
      </c>
      <c r="BR90" s="31" t="n">
        <f aca="false">IF(ISNUMBER(BR158),ROUND(BR156-BR80,1),"n/p")</f>
        <v>0</v>
      </c>
      <c r="BS90" s="31" t="n">
        <f aca="false">IF(ISNUMBER(BS158),ROUND(BS156-BS80,1),"n/p")</f>
        <v>0</v>
      </c>
      <c r="BT90" s="31" t="n">
        <f aca="false">IF(ISNUMBER(BT158),ROUND(BT156-BT80,1),"n/p")</f>
        <v>0</v>
      </c>
      <c r="BU90" s="31" t="n">
        <f aca="false">IF(ISNUMBER(BU158),ROUND(BU156-BU80,1),"n/p")</f>
        <v>0</v>
      </c>
      <c r="BV90" s="31" t="n">
        <f aca="false">IF(ISNUMBER(BV158),ROUND(BV156-BV80,1),"n/p")</f>
        <v>0</v>
      </c>
      <c r="BW90" s="31" t="n">
        <f aca="false">IF(ISNUMBER(BW158),ROUND(BW156-BW80,1),"n/p")</f>
        <v>0</v>
      </c>
      <c r="BX90" s="31" t="n">
        <f aca="false">IF(ISNUMBER(BX158),ROUND(BX156-BX80,1),"n/p")</f>
        <v>0</v>
      </c>
      <c r="BY90" s="31" t="n">
        <f aca="false">IF(ISNUMBER(BY158),ROUND(BY156-BY80,1),"n/p")</f>
        <v>0</v>
      </c>
      <c r="BZ90" s="31" t="n">
        <f aca="false">IF(ISNUMBER(BZ158),ROUND(BZ156-BZ80,1),"n/p")</f>
        <v>0</v>
      </c>
      <c r="CA90" s="31" t="n">
        <f aca="false">IF(ISNUMBER(CA158),ROUND(CA156-CA80,1),"n/p")</f>
        <v>0</v>
      </c>
      <c r="CB90" s="31" t="n">
        <f aca="false">IF(ISNUMBER(CB158),ROUND(CB156-CB80,1),"n/p")</f>
        <v>0</v>
      </c>
      <c r="CC90" s="31" t="n">
        <f aca="false">IF(ISNUMBER(CC158),ROUND(CC156-CC80,1),"n/p")</f>
        <v>0</v>
      </c>
      <c r="CD90" s="31" t="n">
        <f aca="false">IF(ISNUMBER(CD158),ROUND(CD156-CD80,1),"n/p")</f>
        <v>0</v>
      </c>
      <c r="CE90" s="31" t="n">
        <f aca="false">IF(ISNUMBER(CE158),ROUND(CE156-CE80,1),"n/p")</f>
        <v>0</v>
      </c>
      <c r="CF90" s="31" t="n">
        <f aca="false">IF(ISNUMBER(CF158),ROUND(CF156-CF80,1),"n/p")</f>
        <v>0</v>
      </c>
      <c r="CG90" s="31" t="n">
        <f aca="false">IF(ISNUMBER(CG158),ROUND(CG156-CG80,1),"n/p")</f>
        <v>0</v>
      </c>
      <c r="CH90" s="31" t="n">
        <f aca="false">IF(ISNUMBER(CH158),ROUND(CH156-CH80,1),"n/p")</f>
        <v>0</v>
      </c>
      <c r="CI90" s="31" t="n">
        <f aca="false">IF(ISNUMBER(CI158),ROUND(CI156-CI80,1),"n/p")</f>
        <v>0</v>
      </c>
      <c r="CJ90" s="31" t="n">
        <f aca="false">IF(ISNUMBER(CJ158),ROUND(CJ156-CJ80,1),"n/p")</f>
        <v>0</v>
      </c>
      <c r="CK90" s="31" t="n">
        <f aca="false">IF(ISNUMBER(CK158),ROUND(CK156-CK80,1),"n/p")</f>
        <v>0</v>
      </c>
      <c r="CL90" s="31" t="n">
        <f aca="false">IF(ISNUMBER(CL158),ROUND(CL156-CL80,1),"n/p")</f>
        <v>0</v>
      </c>
      <c r="CM90" s="32" t="n">
        <f aca="false">ROUND(CM156-CM80,1)</f>
        <v>0</v>
      </c>
      <c r="CN90" s="32" t="n">
        <f aca="false">ROUND(CN156-CN80,1)</f>
        <v>0</v>
      </c>
      <c r="CO90" s="32" t="n">
        <f aca="false">ROUND(CO156-CO80,1)</f>
        <v>0</v>
      </c>
      <c r="CP90" s="32" t="n">
        <f aca="false">ROUND(CP156-CP80,1)</f>
        <v>0</v>
      </c>
      <c r="CQ90" s="32" t="n">
        <f aca="false">ROUND(CQ156-CQ80,1)</f>
        <v>0</v>
      </c>
      <c r="CR90" s="32" t="n">
        <f aca="false">ROUND(CR156-CR80,1)</f>
        <v>0</v>
      </c>
      <c r="CS90" s="32" t="n">
        <f aca="false">ROUND(CS156-CS80,1)</f>
        <v>0</v>
      </c>
      <c r="CT90" s="23"/>
      <c r="CV90" s="7"/>
      <c r="CW90" s="7"/>
      <c r="CX90" s="7"/>
      <c r="CY90" s="7"/>
    </row>
    <row r="91" customFormat="false" ht="15" hidden="false" customHeight="true" outlineLevel="0" collapsed="false">
      <c r="B91" s="13"/>
      <c r="CM91" s="7"/>
      <c r="CN91" s="7"/>
      <c r="CO91" s="7"/>
      <c r="CP91" s="7"/>
      <c r="CQ91" s="7"/>
      <c r="CR91" s="7"/>
      <c r="CS91" s="7"/>
      <c r="CT91" s="7"/>
    </row>
    <row r="92" customFormat="false" ht="15" hidden="false" customHeight="true" outlineLevel="0" collapsed="false">
      <c r="B92" s="12" t="s">
        <v>210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 t="s">
        <v>211</v>
      </c>
    </row>
    <row r="93" customFormat="false" ht="15" hidden="false" customHeight="true" outlineLevel="0" collapsed="false">
      <c r="B93" s="13" t="s">
        <v>212</v>
      </c>
      <c r="C93" s="40" t="n">
        <v>257.857</v>
      </c>
      <c r="D93" s="40" t="n">
        <v>311.906</v>
      </c>
      <c r="E93" s="40" t="n">
        <v>354.818</v>
      </c>
      <c r="F93" s="40" t="n">
        <v>377.211</v>
      </c>
      <c r="G93" s="40" t="n">
        <v>357.369</v>
      </c>
      <c r="H93" s="40" t="n">
        <v>396.099</v>
      </c>
      <c r="I93" s="40" t="n">
        <v>437.955</v>
      </c>
      <c r="J93" s="40" t="n">
        <v>102.058</v>
      </c>
      <c r="K93" s="40" t="n">
        <v>128.322</v>
      </c>
      <c r="L93" s="31" t="n">
        <f aca="false">J93+K93</f>
        <v>230.38</v>
      </c>
      <c r="M93" s="40" t="n">
        <v>105.8</v>
      </c>
      <c r="N93" s="40" t="n">
        <v>131.223</v>
      </c>
      <c r="O93" s="40" t="n">
        <v>467.403</v>
      </c>
      <c r="P93" s="40" t="n">
        <v>98.588</v>
      </c>
      <c r="Q93" s="40" t="n">
        <v>141.835</v>
      </c>
      <c r="R93" s="31" t="n">
        <f aca="false">P93+Q93</f>
        <v>240.423</v>
      </c>
      <c r="S93" s="40" t="n">
        <v>102.217</v>
      </c>
      <c r="T93" s="40" t="n">
        <v>138.457</v>
      </c>
      <c r="U93" s="40" t="n">
        <v>481.097</v>
      </c>
      <c r="V93" s="40" t="n">
        <v>115.618</v>
      </c>
      <c r="W93" s="40" t="n">
        <v>155.477</v>
      </c>
      <c r="X93" s="31" t="n">
        <f aca="false">V93+W93</f>
        <v>271.095</v>
      </c>
      <c r="Y93" s="40" t="n">
        <v>109.318</v>
      </c>
      <c r="Z93" s="40" t="n">
        <v>135.462</v>
      </c>
      <c r="AA93" s="40" t="n">
        <v>515.875</v>
      </c>
      <c r="AB93" s="40" t="n">
        <v>131.945</v>
      </c>
      <c r="AC93" s="40" t="n">
        <v>158.805</v>
      </c>
      <c r="AD93" s="31" t="n">
        <f aca="false">AB93+AC93</f>
        <v>290.75</v>
      </c>
      <c r="AE93" s="40" t="n">
        <v>128.876</v>
      </c>
      <c r="AF93" s="40" t="n">
        <v>146.769</v>
      </c>
      <c r="AG93" s="40" t="n">
        <v>566.395</v>
      </c>
      <c r="AH93" s="40" t="n">
        <v>123.379</v>
      </c>
      <c r="AI93" s="40" t="n">
        <v>172.749</v>
      </c>
      <c r="AJ93" s="31" t="n">
        <f aca="false">AH93+AI93</f>
        <v>296.128</v>
      </c>
      <c r="AK93" s="40" t="n">
        <v>145.938</v>
      </c>
      <c r="AL93" s="40" t="n">
        <v>182.351</v>
      </c>
      <c r="AM93" s="40" t="n">
        <v>624.417</v>
      </c>
      <c r="AN93" s="40" t="n">
        <v>176.016</v>
      </c>
      <c r="AO93" s="40" t="n">
        <v>214.346</v>
      </c>
      <c r="AP93" s="31" t="n">
        <f aca="false">AN93+AO93</f>
        <v>390.362</v>
      </c>
      <c r="AQ93" s="40" t="n">
        <v>161.374</v>
      </c>
      <c r="AR93" s="40" t="n">
        <v>197.779</v>
      </c>
      <c r="AS93" s="40" t="n">
        <v>749.515</v>
      </c>
      <c r="AT93" s="40" t="n">
        <v>172.372</v>
      </c>
      <c r="AU93" s="40" t="n">
        <v>234.606</v>
      </c>
      <c r="AV93" s="31" t="n">
        <f aca="false">AT93+AU93</f>
        <v>406.978</v>
      </c>
      <c r="AW93" s="40" t="n">
        <v>178.577</v>
      </c>
      <c r="AX93" s="40" t="n">
        <v>218.469</v>
      </c>
      <c r="AY93" s="40" t="n">
        <v>804.024</v>
      </c>
      <c r="AZ93" s="40" t="n">
        <v>183.123</v>
      </c>
      <c r="BA93" s="40" t="n">
        <v>234.139</v>
      </c>
      <c r="BB93" s="31" t="n">
        <f aca="false">AZ93+BA93</f>
        <v>417.262</v>
      </c>
      <c r="BC93" s="40" t="n">
        <v>222.679</v>
      </c>
      <c r="BD93" s="40" t="n">
        <v>231.655</v>
      </c>
      <c r="BE93" s="40" t="n">
        <v>871.596</v>
      </c>
      <c r="BF93" s="40" t="n">
        <v>206.03</v>
      </c>
      <c r="BG93" s="40" t="n">
        <v>252.748</v>
      </c>
      <c r="BH93" s="31" t="n">
        <f aca="false">BF93+BG93</f>
        <v>458.778</v>
      </c>
      <c r="BI93" s="40" t="n">
        <v>214.193</v>
      </c>
      <c r="BJ93" s="40" t="n">
        <v>244.788</v>
      </c>
      <c r="BK93" s="40" t="n">
        <v>917.759</v>
      </c>
      <c r="BL93" s="40" t="n">
        <v>244.861</v>
      </c>
      <c r="BM93" s="40" t="n">
        <v>286.502</v>
      </c>
      <c r="BN93" s="31" t="n">
        <f aca="false">BL93+BM93</f>
        <v>531.363</v>
      </c>
      <c r="BO93" s="40" t="n">
        <v>246.696</v>
      </c>
      <c r="BP93" s="40" t="n">
        <v>272.523</v>
      </c>
      <c r="BQ93" s="40" t="n">
        <v>1050.583</v>
      </c>
      <c r="BR93" s="40" t="n">
        <v>343.6</v>
      </c>
      <c r="BS93" s="40" t="n">
        <v>806.1</v>
      </c>
      <c r="BT93" s="31" t="n">
        <f aca="false">BR93+BS93</f>
        <v>1149.7</v>
      </c>
      <c r="BU93" s="40" t="n">
        <v>773.8</v>
      </c>
      <c r="BV93" s="40" t="n">
        <v>809.1</v>
      </c>
      <c r="BW93" s="40" t="n">
        <v>2732.5</v>
      </c>
      <c r="BX93" s="40" t="n">
        <v>849.1</v>
      </c>
      <c r="BY93" s="40" t="n">
        <v>859.1</v>
      </c>
      <c r="BZ93" s="31" t="n">
        <f aca="false">BX93+BY93</f>
        <v>1708.2</v>
      </c>
      <c r="CA93" s="40" t="n">
        <v>779.9</v>
      </c>
      <c r="CB93" s="40" t="n">
        <v>875.5</v>
      </c>
      <c r="CC93" s="40" t="n">
        <v>3363.6</v>
      </c>
      <c r="CD93" s="40" t="n">
        <v>852.5</v>
      </c>
      <c r="CE93" s="40" t="n">
        <v>887.2</v>
      </c>
      <c r="CF93" s="31" t="n">
        <f aca="false">CD93+CE93</f>
        <v>1739.7</v>
      </c>
      <c r="CG93" s="40" t="n">
        <v>845</v>
      </c>
      <c r="CH93" s="40" t="n">
        <v>917.5</v>
      </c>
      <c r="CI93" s="40" t="n">
        <v>3502.2</v>
      </c>
      <c r="CJ93" s="40" t="n">
        <v>897.7</v>
      </c>
      <c r="CK93" s="40" t="n">
        <v>933.4</v>
      </c>
      <c r="CL93" s="31" t="n">
        <f aca="false">CJ93+CK93</f>
        <v>1831.1</v>
      </c>
      <c r="CM93" s="32" t="n">
        <f aca="false">CM53</f>
        <v>852.327378138802</v>
      </c>
      <c r="CN93" s="32" t="n">
        <f aca="false">CN53</f>
        <v>937.10481754328</v>
      </c>
      <c r="CO93" s="32" t="n">
        <f aca="false">SUM(CJ93,CK93,CM93,CN93)</f>
        <v>3620.53219568208</v>
      </c>
      <c r="CP93" s="32" t="n">
        <f aca="false">CP53</f>
        <v>3758.60061780445</v>
      </c>
      <c r="CQ93" s="32" t="n">
        <f aca="false">CQ53</f>
        <v>3938.07093825832</v>
      </c>
      <c r="CR93" s="32" t="n">
        <f aca="false">CR53</f>
        <v>4107.0042357815</v>
      </c>
      <c r="CS93" s="32" t="n">
        <f aca="false">CS53</f>
        <v>4283.21394093237</v>
      </c>
      <c r="CT93" s="23" t="s">
        <v>213</v>
      </c>
      <c r="CV93" s="24" t="n">
        <f aca="false">IFERROR((CS93/CI93)^(1/5)-1,"n/m")</f>
        <v>0.0410839825131726</v>
      </c>
      <c r="CW93" s="24" t="n">
        <f aca="false">IFERROR((CI93/BE93)^(1/5)-1,"n/m")</f>
        <v>0.320702935206418</v>
      </c>
      <c r="CX93" s="24" t="n">
        <f aca="false">IFERROR((CI93/AA93)^(1/10)-1,"n/m")</f>
        <v>0.211099001801664</v>
      </c>
      <c r="CY93" s="24" t="n">
        <f aca="false">IFERROR((CI93/C93)^(1/19)-1,"n/m")</f>
        <v>0.147174751452926</v>
      </c>
    </row>
    <row r="94" customFormat="false" ht="15" hidden="false" customHeight="true" outlineLevel="0" collapsed="false">
      <c r="B94" s="13" t="s">
        <v>214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40" t="n">
        <v>76.048</v>
      </c>
      <c r="AI94" s="40" t="n">
        <v>79.864</v>
      </c>
      <c r="AJ94" s="31" t="n">
        <f aca="false">AH94+AI94</f>
        <v>155.912</v>
      </c>
      <c r="AK94" s="40" t="n">
        <v>81.463</v>
      </c>
      <c r="AL94" s="40" t="n">
        <v>109.399</v>
      </c>
      <c r="AM94" s="40" t="n">
        <v>346.774</v>
      </c>
      <c r="AN94" s="40" t="n">
        <v>84.162</v>
      </c>
      <c r="AO94" s="40" t="n">
        <v>94.184</v>
      </c>
      <c r="AP94" s="31" t="n">
        <f aca="false">AN94+AO94</f>
        <v>178.346</v>
      </c>
      <c r="AQ94" s="40" t="n">
        <v>83.972</v>
      </c>
      <c r="AR94" s="40" t="n">
        <v>158.193</v>
      </c>
      <c r="AS94" s="40" t="n">
        <v>420.511</v>
      </c>
      <c r="AT94" s="40" t="n">
        <v>131.057</v>
      </c>
      <c r="AU94" s="40" t="n">
        <v>158.616</v>
      </c>
      <c r="AV94" s="31" t="n">
        <f aca="false">AT94+AU94</f>
        <v>289.673</v>
      </c>
      <c r="AW94" s="40" t="n">
        <v>111.219</v>
      </c>
      <c r="AX94" s="40" t="n">
        <v>113.725</v>
      </c>
      <c r="AY94" s="40" t="n">
        <v>514.617</v>
      </c>
      <c r="AZ94" s="40" t="n">
        <v>90.132</v>
      </c>
      <c r="BA94" s="40" t="n">
        <v>154.911</v>
      </c>
      <c r="BB94" s="31" t="n">
        <f aca="false">AZ94+BA94</f>
        <v>245.043</v>
      </c>
      <c r="BC94" s="40" t="n">
        <v>108.863</v>
      </c>
      <c r="BD94" s="40" t="n">
        <v>151.758</v>
      </c>
      <c r="BE94" s="40" t="n">
        <v>505.664</v>
      </c>
      <c r="BF94" s="40" t="n">
        <v>125.525</v>
      </c>
      <c r="BG94" s="40" t="n">
        <v>143.613</v>
      </c>
      <c r="BH94" s="31" t="n">
        <f aca="false">BF94+BG94</f>
        <v>269.138</v>
      </c>
      <c r="BI94" s="40" t="n">
        <v>115.489</v>
      </c>
      <c r="BJ94" s="40" t="n">
        <v>114.585</v>
      </c>
      <c r="BK94" s="40" t="n">
        <v>499.212</v>
      </c>
      <c r="BL94" s="40" t="n">
        <v>149.06</v>
      </c>
      <c r="BM94" s="40" t="n">
        <v>198.044</v>
      </c>
      <c r="BN94" s="31" t="n">
        <f aca="false">BL94+BM94</f>
        <v>347.104</v>
      </c>
      <c r="BO94" s="40" t="n">
        <v>164.783</v>
      </c>
      <c r="BP94" s="40" t="n">
        <v>171.338</v>
      </c>
      <c r="BQ94" s="40" t="n">
        <v>683.225</v>
      </c>
      <c r="BR94" s="40" t="n">
        <v>168.8</v>
      </c>
      <c r="BS94" s="40" t="n">
        <v>300.4</v>
      </c>
      <c r="BT94" s="31" t="n">
        <f aca="false">BR94+BS94</f>
        <v>469.2</v>
      </c>
      <c r="BU94" s="40" t="n">
        <v>246</v>
      </c>
      <c r="BV94" s="40" t="n">
        <v>231.8</v>
      </c>
      <c r="BW94" s="40" t="n">
        <v>947.1</v>
      </c>
      <c r="BX94" s="40" t="n">
        <v>215.6</v>
      </c>
      <c r="BY94" s="40" t="n">
        <v>237</v>
      </c>
      <c r="BZ94" s="31" t="n">
        <f aca="false">BX94+BY94</f>
        <v>452.6</v>
      </c>
      <c r="CA94" s="40" t="n">
        <v>201.9</v>
      </c>
      <c r="CB94" s="40" t="n">
        <v>266.1</v>
      </c>
      <c r="CC94" s="40" t="n">
        <v>920.6</v>
      </c>
      <c r="CD94" s="40" t="n">
        <v>256.1</v>
      </c>
      <c r="CE94" s="40" t="n">
        <v>298.8</v>
      </c>
      <c r="CF94" s="31" t="n">
        <f aca="false">CD94+CE94</f>
        <v>554.9</v>
      </c>
      <c r="CG94" s="40" t="n">
        <v>247.7</v>
      </c>
      <c r="CH94" s="40" t="n">
        <v>285.9</v>
      </c>
      <c r="CI94" s="40" t="n">
        <v>1088.5</v>
      </c>
      <c r="CJ94" s="40" t="n">
        <v>336.9</v>
      </c>
      <c r="CK94" s="40" t="n">
        <v>383.7</v>
      </c>
      <c r="CL94" s="31" t="n">
        <f aca="false">CJ94+CK94</f>
        <v>720.6</v>
      </c>
      <c r="CM94" s="32" t="n">
        <f aca="false">CM56</f>
        <v>308.659421606003</v>
      </c>
      <c r="CN94" s="32" t="n">
        <f aca="false">CN56</f>
        <v>356.260511252145</v>
      </c>
      <c r="CO94" s="32" t="n">
        <f aca="false">SUM(CJ94,CK94,CM94,CN94)</f>
        <v>1385.51993285815</v>
      </c>
      <c r="CP94" s="32" t="n">
        <f aca="false">CP56</f>
        <v>1503.44024712178</v>
      </c>
      <c r="CQ94" s="32" t="n">
        <f aca="false">CQ56</f>
        <v>1575.22837530333</v>
      </c>
      <c r="CR94" s="32" t="n">
        <f aca="false">CR56</f>
        <v>1642.8016943126</v>
      </c>
      <c r="CS94" s="32" t="n">
        <f aca="false">CS56</f>
        <v>1713.28557637295</v>
      </c>
      <c r="CT94" s="23"/>
      <c r="CV94" s="24" t="n">
        <f aca="false">IFERROR((CS94/CI94)^(1/5)-1,"n/m")</f>
        <v>0.094965069764432</v>
      </c>
      <c r="CW94" s="24" t="n">
        <f aca="false">IFERROR((CI94/BE94)^(1/5)-1,"n/m")</f>
        <v>0.16571740143279</v>
      </c>
      <c r="CX94" s="24" t="str">
        <f aca="false">IFERROR((CI94/AA94)^(1/10)-1,"n/m")</f>
        <v>n/m</v>
      </c>
      <c r="CY94" s="24" t="str">
        <f aca="false">IFERROR((CI94/C94)^(1/19)-1,"n/m")</f>
        <v>n/m</v>
      </c>
    </row>
    <row r="95" customFormat="false" ht="15" hidden="false" customHeight="true" outlineLevel="0" collapsed="false">
      <c r="B95" s="41" t="s">
        <v>215</v>
      </c>
      <c r="C95" s="43" t="n">
        <f aca="false">C93+C94</f>
        <v>257.857</v>
      </c>
      <c r="D95" s="43" t="n">
        <f aca="false">D93+D94</f>
        <v>311.906</v>
      </c>
      <c r="E95" s="43" t="n">
        <f aca="false">E93+E94</f>
        <v>354.818</v>
      </c>
      <c r="F95" s="43" t="n">
        <f aca="false">F93+F94</f>
        <v>377.211</v>
      </c>
      <c r="G95" s="43" t="n">
        <f aca="false">G93+G94</f>
        <v>357.369</v>
      </c>
      <c r="H95" s="43" t="n">
        <f aca="false">H93+H94</f>
        <v>396.099</v>
      </c>
      <c r="I95" s="43" t="n">
        <f aca="false">I93+I94</f>
        <v>437.955</v>
      </c>
      <c r="J95" s="20" t="n">
        <f aca="false">J93+J94</f>
        <v>102.058</v>
      </c>
      <c r="K95" s="20" t="n">
        <f aca="false">K93+K94</f>
        <v>128.322</v>
      </c>
      <c r="L95" s="20" t="n">
        <f aca="false">L93+L94</f>
        <v>230.38</v>
      </c>
      <c r="M95" s="20" t="n">
        <f aca="false">M93+M94</f>
        <v>105.8</v>
      </c>
      <c r="N95" s="20" t="n">
        <f aca="false">N93+N94</f>
        <v>131.223</v>
      </c>
      <c r="O95" s="43" t="n">
        <f aca="false">O93+O94</f>
        <v>467.403</v>
      </c>
      <c r="P95" s="20" t="n">
        <f aca="false">P93+P94</f>
        <v>98.588</v>
      </c>
      <c r="Q95" s="20" t="n">
        <f aca="false">Q93+Q94</f>
        <v>141.835</v>
      </c>
      <c r="R95" s="20" t="n">
        <f aca="false">R93+R94</f>
        <v>240.423</v>
      </c>
      <c r="S95" s="20" t="n">
        <f aca="false">S93+S94</f>
        <v>102.217</v>
      </c>
      <c r="T95" s="20" t="n">
        <f aca="false">T93+T94</f>
        <v>138.457</v>
      </c>
      <c r="U95" s="43" t="n">
        <f aca="false">U93+U94</f>
        <v>481.097</v>
      </c>
      <c r="V95" s="20" t="n">
        <f aca="false">V93+V94</f>
        <v>115.618</v>
      </c>
      <c r="W95" s="20" t="n">
        <f aca="false">W93+W94</f>
        <v>155.477</v>
      </c>
      <c r="X95" s="20" t="n">
        <f aca="false">X93+X94</f>
        <v>271.095</v>
      </c>
      <c r="Y95" s="20" t="n">
        <f aca="false">Y93+Y94</f>
        <v>109.318</v>
      </c>
      <c r="Z95" s="20" t="n">
        <f aca="false">Z93+Z94</f>
        <v>135.462</v>
      </c>
      <c r="AA95" s="43" t="n">
        <f aca="false">AA93+AA94</f>
        <v>515.875</v>
      </c>
      <c r="AB95" s="20" t="n">
        <f aca="false">AB93+AB94</f>
        <v>131.945</v>
      </c>
      <c r="AC95" s="20" t="n">
        <f aca="false">AC93+AC94</f>
        <v>158.805</v>
      </c>
      <c r="AD95" s="20" t="n">
        <f aca="false">AD93+AD94</f>
        <v>290.75</v>
      </c>
      <c r="AE95" s="20" t="n">
        <f aca="false">AE93+AE94</f>
        <v>128.876</v>
      </c>
      <c r="AF95" s="20" t="n">
        <f aca="false">AF93+AF94</f>
        <v>146.769</v>
      </c>
      <c r="AG95" s="43" t="n">
        <f aca="false">AG93+AG94</f>
        <v>566.395</v>
      </c>
      <c r="AH95" s="20" t="n">
        <f aca="false">AH93+AH94</f>
        <v>199.427</v>
      </c>
      <c r="AI95" s="20" t="n">
        <f aca="false">AI93+AI94</f>
        <v>252.613</v>
      </c>
      <c r="AJ95" s="20" t="n">
        <f aca="false">AJ93+AJ94</f>
        <v>452.04</v>
      </c>
      <c r="AK95" s="20" t="n">
        <f aca="false">AK93+AK94</f>
        <v>227.401</v>
      </c>
      <c r="AL95" s="20" t="n">
        <f aca="false">AL93+AL94</f>
        <v>291.75</v>
      </c>
      <c r="AM95" s="43" t="n">
        <f aca="false">AM93+AM94</f>
        <v>971.191</v>
      </c>
      <c r="AN95" s="20" t="n">
        <f aca="false">AN93+AN94</f>
        <v>260.178</v>
      </c>
      <c r="AO95" s="20" t="n">
        <f aca="false">AO93+AO94</f>
        <v>308.53</v>
      </c>
      <c r="AP95" s="20" t="n">
        <f aca="false">AP93+AP94</f>
        <v>568.708</v>
      </c>
      <c r="AQ95" s="20" t="n">
        <f aca="false">AQ93+AQ94</f>
        <v>245.346</v>
      </c>
      <c r="AR95" s="20" t="n">
        <f aca="false">AR93+AR94</f>
        <v>355.972</v>
      </c>
      <c r="AS95" s="43" t="n">
        <f aca="false">AS93+AS94</f>
        <v>1170.026</v>
      </c>
      <c r="AT95" s="20" t="n">
        <f aca="false">AT93+AT94</f>
        <v>303.429</v>
      </c>
      <c r="AU95" s="20" t="n">
        <f aca="false">AU93+AU94</f>
        <v>393.222</v>
      </c>
      <c r="AV95" s="20" t="n">
        <f aca="false">AV93+AV94</f>
        <v>696.651</v>
      </c>
      <c r="AW95" s="20" t="n">
        <f aca="false">AW93+AW94</f>
        <v>289.796</v>
      </c>
      <c r="AX95" s="20" t="n">
        <f aca="false">AX93+AX94</f>
        <v>332.194</v>
      </c>
      <c r="AY95" s="43" t="n">
        <f aca="false">AY93+AY94</f>
        <v>1318.641</v>
      </c>
      <c r="AZ95" s="20" t="n">
        <f aca="false">AZ93+AZ94</f>
        <v>273.255</v>
      </c>
      <c r="BA95" s="20" t="n">
        <f aca="false">BA93+BA94</f>
        <v>389.05</v>
      </c>
      <c r="BB95" s="20" t="n">
        <f aca="false">BB93+BB94</f>
        <v>662.305</v>
      </c>
      <c r="BC95" s="20" t="n">
        <f aca="false">BC93+BC94</f>
        <v>331.542</v>
      </c>
      <c r="BD95" s="20" t="n">
        <f aca="false">BD93+BD94</f>
        <v>383.413</v>
      </c>
      <c r="BE95" s="43" t="n">
        <f aca="false">BE93+BE94</f>
        <v>1377.26</v>
      </c>
      <c r="BF95" s="20" t="n">
        <f aca="false">BF93+BF94</f>
        <v>331.555</v>
      </c>
      <c r="BG95" s="20" t="n">
        <f aca="false">BG93+BG94</f>
        <v>396.361</v>
      </c>
      <c r="BH95" s="20" t="n">
        <f aca="false">BH93+BH94</f>
        <v>727.916</v>
      </c>
      <c r="BI95" s="20" t="n">
        <f aca="false">BI93+BI94</f>
        <v>329.682</v>
      </c>
      <c r="BJ95" s="20" t="n">
        <f aca="false">BJ93+BJ94</f>
        <v>359.373</v>
      </c>
      <c r="BK95" s="43" t="n">
        <f aca="false">BK93+BK94</f>
        <v>1416.971</v>
      </c>
      <c r="BL95" s="20" t="n">
        <f aca="false">BL93+BL94</f>
        <v>393.921</v>
      </c>
      <c r="BM95" s="20" t="n">
        <f aca="false">BM93+BM94</f>
        <v>484.546</v>
      </c>
      <c r="BN95" s="20" t="n">
        <f aca="false">BN93+BN94</f>
        <v>878.467</v>
      </c>
      <c r="BO95" s="20" t="n">
        <f aca="false">BO93+BO94</f>
        <v>411.479</v>
      </c>
      <c r="BP95" s="20" t="n">
        <f aca="false">BP93+BP94</f>
        <v>443.861</v>
      </c>
      <c r="BQ95" s="43" t="n">
        <f aca="false">BQ93+BQ94</f>
        <v>1733.808</v>
      </c>
      <c r="BR95" s="20" t="n">
        <f aca="false">BR93+BR94</f>
        <v>512.4</v>
      </c>
      <c r="BS95" s="20" t="n">
        <f aca="false">BS93+BS94</f>
        <v>1106.5</v>
      </c>
      <c r="BT95" s="20" t="n">
        <f aca="false">BT93+BT94</f>
        <v>1618.9</v>
      </c>
      <c r="BU95" s="20" t="n">
        <f aca="false">BU93+BU94</f>
        <v>1019.8</v>
      </c>
      <c r="BV95" s="20" t="n">
        <f aca="false">BV93+BV94</f>
        <v>1040.9</v>
      </c>
      <c r="BW95" s="43" t="n">
        <f aca="false">BW93+BW94</f>
        <v>3679.6</v>
      </c>
      <c r="BX95" s="20" t="n">
        <f aca="false">BX93+BX94</f>
        <v>1064.7</v>
      </c>
      <c r="BY95" s="20" t="n">
        <f aca="false">BY93+BY94</f>
        <v>1096.1</v>
      </c>
      <c r="BZ95" s="20" t="n">
        <f aca="false">BZ93+BZ94</f>
        <v>2160.8</v>
      </c>
      <c r="CA95" s="20" t="n">
        <f aca="false">CA93+CA94</f>
        <v>981.8</v>
      </c>
      <c r="CB95" s="20" t="n">
        <f aca="false">CB93+CB94</f>
        <v>1141.6</v>
      </c>
      <c r="CC95" s="43" t="n">
        <f aca="false">CC93+CC94</f>
        <v>4284.2</v>
      </c>
      <c r="CD95" s="20" t="n">
        <f aca="false">CD93+CD94</f>
        <v>1108.6</v>
      </c>
      <c r="CE95" s="20" t="n">
        <f aca="false">CE93+CE94</f>
        <v>1186</v>
      </c>
      <c r="CF95" s="20" t="n">
        <f aca="false">CF93+CF94</f>
        <v>2294.6</v>
      </c>
      <c r="CG95" s="20" t="n">
        <f aca="false">CG93+CG94</f>
        <v>1092.7</v>
      </c>
      <c r="CH95" s="20" t="n">
        <f aca="false">CH93+CH94</f>
        <v>1203.4</v>
      </c>
      <c r="CI95" s="43" t="n">
        <f aca="false">CI93+CI94</f>
        <v>4590.7</v>
      </c>
      <c r="CJ95" s="20" t="n">
        <f aca="false">CJ93+CJ94</f>
        <v>1234.6</v>
      </c>
      <c r="CK95" s="20" t="n">
        <f aca="false">CK93+CK94</f>
        <v>1317.1</v>
      </c>
      <c r="CL95" s="20" t="n">
        <f aca="false">CL93+CL94</f>
        <v>2551.7</v>
      </c>
      <c r="CM95" s="43" t="n">
        <f aca="false">CM93+CM94</f>
        <v>1160.9867997448</v>
      </c>
      <c r="CN95" s="43" t="n">
        <f aca="false">CN93+CN94</f>
        <v>1293.36532879542</v>
      </c>
      <c r="CO95" s="43" t="n">
        <f aca="false">SUM(CJ95,CK95,CM95,CN95)</f>
        <v>5006.05212854023</v>
      </c>
      <c r="CP95" s="43" t="n">
        <f aca="false">CP93+CP94</f>
        <v>5262.04086492624</v>
      </c>
      <c r="CQ95" s="43" t="n">
        <f aca="false">CQ93+CQ94</f>
        <v>5513.29931356164</v>
      </c>
      <c r="CR95" s="43" t="n">
        <f aca="false">CR93+CR94</f>
        <v>5749.8059300941</v>
      </c>
      <c r="CS95" s="43" t="n">
        <f aca="false">CS93+CS94</f>
        <v>5996.49951730531</v>
      </c>
      <c r="CT95" s="23"/>
      <c r="CV95" s="24" t="n">
        <f aca="false">IFERROR((CS95/CI95)^(1/5)-1,"n/m")</f>
        <v>0.0548817480194668</v>
      </c>
      <c r="CW95" s="24" t="n">
        <f aca="false">IFERROR((CI95/BE95)^(1/5)-1,"n/m")</f>
        <v>0.272250398791166</v>
      </c>
      <c r="CX95" s="24" t="n">
        <f aca="false">IFERROR((CI95/AA95)^(1/10)-1,"n/m")</f>
        <v>0.244323900844261</v>
      </c>
      <c r="CY95" s="24" t="n">
        <f aca="false">IFERROR((CI95/C95)^(1/19)-1,"n/m")</f>
        <v>0.163632356126279</v>
      </c>
    </row>
    <row r="96" customFormat="false" ht="15" hidden="false" customHeight="true" outlineLevel="0" collapsed="false">
      <c r="B96" s="39" t="s">
        <v>216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40" t="n">
        <v>255.504</v>
      </c>
      <c r="AC96" s="40" t="n">
        <v>275.667</v>
      </c>
      <c r="AD96" s="31" t="n">
        <f aca="false">AB96+AC96</f>
        <v>531.171</v>
      </c>
      <c r="AE96" s="40" t="n">
        <v>300.976</v>
      </c>
      <c r="AF96" s="40" t="n">
        <v>294.83</v>
      </c>
      <c r="AG96" s="40" t="n">
        <v>1126.977</v>
      </c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2"/>
      <c r="CN96" s="32"/>
      <c r="CO96" s="32"/>
      <c r="CP96" s="32"/>
      <c r="CQ96" s="32"/>
      <c r="CR96" s="32"/>
      <c r="CS96" s="32"/>
      <c r="CT96" s="23"/>
      <c r="CV96" s="7"/>
      <c r="CW96" s="7"/>
      <c r="CX96" s="7"/>
      <c r="CY96" s="7"/>
    </row>
    <row r="97" customFormat="false" ht="15" hidden="false" customHeight="true" outlineLevel="0" collapsed="false">
      <c r="B97" s="13" t="s">
        <v>217</v>
      </c>
      <c r="C97" s="40" t="n">
        <v>40.457</v>
      </c>
      <c r="D97" s="40" t="n">
        <v>46.481</v>
      </c>
      <c r="E97" s="40" t="n">
        <v>49.75</v>
      </c>
      <c r="F97" s="40" t="n">
        <v>49.89</v>
      </c>
      <c r="G97" s="40" t="n">
        <v>47.021</v>
      </c>
      <c r="H97" s="40" t="n">
        <v>48.044</v>
      </c>
      <c r="I97" s="40" t="n">
        <v>49.687</v>
      </c>
      <c r="J97" s="40" t="n">
        <v>9.361</v>
      </c>
      <c r="K97" s="40" t="n">
        <v>15.551</v>
      </c>
      <c r="L97" s="31" t="n">
        <f aca="false">J97+K97</f>
        <v>24.912</v>
      </c>
      <c r="M97" s="40" t="n">
        <v>11.9</v>
      </c>
      <c r="N97" s="40" t="n">
        <v>17.196</v>
      </c>
      <c r="O97" s="40" t="n">
        <v>54.008</v>
      </c>
      <c r="P97" s="40" t="n">
        <v>10.3</v>
      </c>
      <c r="Q97" s="40" t="n">
        <v>17.616</v>
      </c>
      <c r="R97" s="31" t="n">
        <f aca="false">P97+Q97</f>
        <v>27.916</v>
      </c>
      <c r="S97" s="40" t="n">
        <v>12.45</v>
      </c>
      <c r="T97" s="40" t="n">
        <v>17.518</v>
      </c>
      <c r="U97" s="40" t="n">
        <v>57.884</v>
      </c>
      <c r="V97" s="40" t="n">
        <v>11.609</v>
      </c>
      <c r="W97" s="40" t="n">
        <v>17.027</v>
      </c>
      <c r="X97" s="31" t="n">
        <f aca="false">V97+W97</f>
        <v>28.636</v>
      </c>
      <c r="Y97" s="40" t="n">
        <v>12.045</v>
      </c>
      <c r="Z97" s="40" t="n">
        <v>15.345</v>
      </c>
      <c r="AA97" s="40" t="n">
        <v>56.026</v>
      </c>
      <c r="AB97" s="40" t="n">
        <v>15.313</v>
      </c>
      <c r="AC97" s="40" t="n">
        <v>19.758</v>
      </c>
      <c r="AD97" s="31" t="n">
        <f aca="false">AB97+AC97</f>
        <v>35.071</v>
      </c>
      <c r="AE97" s="40" t="n">
        <v>14.75</v>
      </c>
      <c r="AF97" s="40" t="n">
        <v>16.241</v>
      </c>
      <c r="AG97" s="40" t="n">
        <v>66.062</v>
      </c>
      <c r="AH97" s="40" t="n">
        <v>24.34</v>
      </c>
      <c r="AI97" s="40" t="n">
        <v>36.292</v>
      </c>
      <c r="AJ97" s="31" t="n">
        <f aca="false">AH97+AI97</f>
        <v>60.632</v>
      </c>
      <c r="AK97" s="40" t="n">
        <v>33.461</v>
      </c>
      <c r="AL97" s="40" t="n">
        <v>39.096</v>
      </c>
      <c r="AM97" s="40" t="n">
        <v>133.189</v>
      </c>
      <c r="AN97" s="40" t="n">
        <v>36.657</v>
      </c>
      <c r="AO97" s="40" t="n">
        <v>43.033</v>
      </c>
      <c r="AP97" s="31" t="n">
        <f aca="false">AN97+AO97</f>
        <v>79.69</v>
      </c>
      <c r="AQ97" s="40" t="n">
        <v>33.053</v>
      </c>
      <c r="AR97" s="40" t="n">
        <v>46.315</v>
      </c>
      <c r="AS97" s="40" t="n">
        <v>159.058</v>
      </c>
      <c r="AT97" s="40" t="n">
        <v>36.069</v>
      </c>
      <c r="AU97" s="40" t="n">
        <v>50.268</v>
      </c>
      <c r="AV97" s="31" t="n">
        <f aca="false">AT97+AU97</f>
        <v>86.337</v>
      </c>
      <c r="AW97" s="40" t="n">
        <v>36.382</v>
      </c>
      <c r="AX97" s="40" t="n">
        <v>42.258</v>
      </c>
      <c r="AY97" s="40" t="n">
        <v>164.977</v>
      </c>
      <c r="AZ97" s="40" t="n">
        <v>39.355</v>
      </c>
      <c r="BA97" s="40" t="n">
        <v>39.448</v>
      </c>
      <c r="BB97" s="31" t="n">
        <f aca="false">AZ97+BA97</f>
        <v>78.803</v>
      </c>
      <c r="BC97" s="40" t="n">
        <v>39.223</v>
      </c>
      <c r="BD97" s="40" t="n">
        <v>39.27</v>
      </c>
      <c r="BE97" s="40" t="n">
        <v>164.528</v>
      </c>
      <c r="BF97" s="40" t="n">
        <v>37.866</v>
      </c>
      <c r="BG97" s="40" t="n">
        <v>41.301</v>
      </c>
      <c r="BH97" s="31" t="n">
        <f aca="false">BF97+BG97</f>
        <v>79.167</v>
      </c>
      <c r="BI97" s="40" t="n">
        <v>35.108</v>
      </c>
      <c r="BJ97" s="40" t="n">
        <v>40.984</v>
      </c>
      <c r="BK97" s="40" t="n">
        <v>155.258</v>
      </c>
      <c r="BL97" s="40" t="n">
        <v>39.015</v>
      </c>
      <c r="BM97" s="40" t="n">
        <v>45.039</v>
      </c>
      <c r="BN97" s="31" t="n">
        <f aca="false">BL97+BM97</f>
        <v>84.054</v>
      </c>
      <c r="BO97" s="40" t="n">
        <v>41.521</v>
      </c>
      <c r="BP97" s="40" t="n">
        <v>42.553</v>
      </c>
      <c r="BQ97" s="40" t="n">
        <v>168.127</v>
      </c>
      <c r="BR97" s="40" t="n">
        <v>76.4</v>
      </c>
      <c r="BS97" s="40" t="n">
        <v>287.3</v>
      </c>
      <c r="BT97" s="31" t="n">
        <f aca="false">BR97+BS97</f>
        <v>363.7</v>
      </c>
      <c r="BU97" s="40" t="n">
        <v>316.8</v>
      </c>
      <c r="BV97" s="40" t="n">
        <v>327.1</v>
      </c>
      <c r="BW97" s="40" t="n">
        <v>1007.6</v>
      </c>
      <c r="BX97" s="40" t="n">
        <v>353</v>
      </c>
      <c r="BY97" s="40" t="n">
        <v>348.8</v>
      </c>
      <c r="BZ97" s="31" t="n">
        <f aca="false">BX97+BY97</f>
        <v>701.8</v>
      </c>
      <c r="CA97" s="40" t="n">
        <v>339.7</v>
      </c>
      <c r="CB97" s="40" t="n">
        <v>374.2</v>
      </c>
      <c r="CC97" s="40" t="n">
        <v>1415.7</v>
      </c>
      <c r="CD97" s="40" t="n">
        <v>361.9</v>
      </c>
      <c r="CE97" s="40" t="n">
        <v>353.9</v>
      </c>
      <c r="CF97" s="31" t="n">
        <f aca="false">CD97+CE97</f>
        <v>715.8</v>
      </c>
      <c r="CG97" s="40" t="n">
        <v>353</v>
      </c>
      <c r="CH97" s="40" t="n">
        <v>362.5</v>
      </c>
      <c r="CI97" s="40" t="n">
        <v>1431.3</v>
      </c>
      <c r="CJ97" s="40" t="n">
        <v>365.1</v>
      </c>
      <c r="CK97" s="40" t="n">
        <v>381.6</v>
      </c>
      <c r="CL97" s="31" t="n">
        <f aca="false">CJ97+CK97</f>
        <v>746.7</v>
      </c>
      <c r="CM97" s="32" t="n">
        <f aca="false">CM93*CM65</f>
        <v>352.891496509265</v>
      </c>
      <c r="CN97" s="32" t="n">
        <f aca="false">CN93*CN65</f>
        <v>366.949978537223</v>
      </c>
      <c r="CO97" s="32" t="n">
        <f aca="false">SUM(CJ97,CK97,CM97,CN97)</f>
        <v>1466.54147504649</v>
      </c>
      <c r="CP97" s="32" t="n">
        <f aca="false">CP93*CP65</f>
        <v>1522.2332502108</v>
      </c>
      <c r="CQ97" s="32" t="n">
        <f aca="false">CQ93*CQ65</f>
        <v>1587.0425881181</v>
      </c>
      <c r="CR97" s="32" t="n">
        <f aca="false">CR93*CR65</f>
        <v>1646.90869854838</v>
      </c>
      <c r="CS97" s="32" t="n">
        <f aca="false">CS93*CS65</f>
        <v>1713.28557637295</v>
      </c>
      <c r="CT97" s="23" t="s">
        <v>218</v>
      </c>
      <c r="CV97" s="7"/>
      <c r="CW97" s="7"/>
      <c r="CX97" s="7"/>
      <c r="CY97" s="7"/>
    </row>
    <row r="98" customFormat="false" ht="15" hidden="false" customHeight="true" outlineLevel="0" collapsed="false">
      <c r="B98" s="13" t="s">
        <v>219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40" t="n">
        <v>63.401</v>
      </c>
      <c r="AI98" s="40" t="n">
        <v>71.726</v>
      </c>
      <c r="AJ98" s="31" t="n">
        <f aca="false">AH98+AI98</f>
        <v>135.127</v>
      </c>
      <c r="AK98" s="40" t="n">
        <v>72.476</v>
      </c>
      <c r="AL98" s="40" t="n">
        <v>98.895</v>
      </c>
      <c r="AM98" s="40" t="n">
        <v>306.498</v>
      </c>
      <c r="AN98" s="40" t="n">
        <v>75.791</v>
      </c>
      <c r="AO98" s="40" t="n">
        <v>81.702</v>
      </c>
      <c r="AP98" s="31" t="n">
        <f aca="false">AN98+AO98</f>
        <v>157.493</v>
      </c>
      <c r="AQ98" s="40" t="n">
        <v>74.341</v>
      </c>
      <c r="AR98" s="40" t="n">
        <v>142.505</v>
      </c>
      <c r="AS98" s="40" t="n">
        <v>374.339</v>
      </c>
      <c r="AT98" s="40" t="n">
        <v>120.475</v>
      </c>
      <c r="AU98" s="40" t="n">
        <v>149.818</v>
      </c>
      <c r="AV98" s="31" t="n">
        <f aca="false">AT98+AU98</f>
        <v>270.293</v>
      </c>
      <c r="AW98" s="40" t="n">
        <v>102.41</v>
      </c>
      <c r="AX98" s="40" t="n">
        <v>108.136</v>
      </c>
      <c r="AY98" s="40" t="n">
        <v>480.839</v>
      </c>
      <c r="AZ98" s="40" t="n">
        <v>81.585</v>
      </c>
      <c r="BA98" s="40" t="n">
        <v>143.134</v>
      </c>
      <c r="BB98" s="31" t="n">
        <f aca="false">AZ98+BA98</f>
        <v>224.719</v>
      </c>
      <c r="BC98" s="40" t="n">
        <v>96.253</v>
      </c>
      <c r="BD98" s="40" t="n">
        <v>137.322</v>
      </c>
      <c r="BE98" s="40" t="n">
        <v>458.293</v>
      </c>
      <c r="BF98" s="40" t="n">
        <v>110.747</v>
      </c>
      <c r="BG98" s="40" t="n">
        <v>131.023</v>
      </c>
      <c r="BH98" s="31" t="n">
        <f aca="false">BF98+BG98</f>
        <v>241.77</v>
      </c>
      <c r="BI98" s="40" t="n">
        <v>102.993</v>
      </c>
      <c r="BJ98" s="40" t="n">
        <v>103.159</v>
      </c>
      <c r="BK98" s="40" t="n">
        <v>447.921</v>
      </c>
      <c r="BL98" s="40" t="n">
        <v>131.582</v>
      </c>
      <c r="BM98" s="40" t="n">
        <v>176.171</v>
      </c>
      <c r="BN98" s="31" t="n">
        <f aca="false">BL98+BM98</f>
        <v>307.753</v>
      </c>
      <c r="BO98" s="40" t="n">
        <v>147.253</v>
      </c>
      <c r="BP98" s="40" t="n">
        <v>153.567</v>
      </c>
      <c r="BQ98" s="40" t="n">
        <v>608.574</v>
      </c>
      <c r="BR98" s="40" t="n">
        <v>151.5</v>
      </c>
      <c r="BS98" s="40" t="n">
        <v>291.9</v>
      </c>
      <c r="BT98" s="31" t="n">
        <f aca="false">BR98+BS98</f>
        <v>443.4</v>
      </c>
      <c r="BU98" s="40" t="n">
        <v>230</v>
      </c>
      <c r="BV98" s="40" t="n">
        <v>220.2</v>
      </c>
      <c r="BW98" s="40" t="n">
        <v>893.6</v>
      </c>
      <c r="BX98" s="40" t="n">
        <v>196.6</v>
      </c>
      <c r="BY98" s="40" t="n">
        <v>222.7</v>
      </c>
      <c r="BZ98" s="31" t="n">
        <f aca="false">BX98+BY98</f>
        <v>419.3</v>
      </c>
      <c r="CA98" s="40" t="n">
        <v>193.5</v>
      </c>
      <c r="CB98" s="40" t="n">
        <v>251</v>
      </c>
      <c r="CC98" s="40" t="n">
        <v>863.8</v>
      </c>
      <c r="CD98" s="40" t="n">
        <v>235</v>
      </c>
      <c r="CE98" s="40" t="n">
        <v>286.4</v>
      </c>
      <c r="CF98" s="31" t="n">
        <f aca="false">CD98+CE98</f>
        <v>521.4</v>
      </c>
      <c r="CG98" s="40" t="n">
        <v>236.1</v>
      </c>
      <c r="CH98" s="40" t="n">
        <v>273.1</v>
      </c>
      <c r="CI98" s="40" t="n">
        <v>1030.6</v>
      </c>
      <c r="CJ98" s="40" t="n">
        <v>306.7</v>
      </c>
      <c r="CK98" s="40" t="n">
        <v>360.9</v>
      </c>
      <c r="CL98" s="31" t="n">
        <f aca="false">CJ98+CK98</f>
        <v>667.6</v>
      </c>
      <c r="CM98" s="32" t="n">
        <f aca="false">CM94*(1-CM59)</f>
        <v>285.957576830652</v>
      </c>
      <c r="CN98" s="32" t="n">
        <f aca="false">CN94*(1-CN59)</f>
        <v>330.057614920805</v>
      </c>
      <c r="CO98" s="32" t="n">
        <f aca="false">SUM(CJ98,CK98,CM98,CN98)</f>
        <v>1283.61519175146</v>
      </c>
      <c r="CP98" s="32" t="n">
        <f aca="false">CP94*(1-CP59)</f>
        <v>1398.19942982326</v>
      </c>
      <c r="CQ98" s="32" t="n">
        <f aca="false">CQ94*(1-CQ59)</f>
        <v>1464.96238903209</v>
      </c>
      <c r="CR98" s="32" t="n">
        <f aca="false">CR94*(1-CR59)</f>
        <v>1527.80557571072</v>
      </c>
      <c r="CS98" s="32" t="n">
        <f aca="false">CS94*(1-CS59)</f>
        <v>1593.35558602684</v>
      </c>
      <c r="CT98" s="23" t="s">
        <v>220</v>
      </c>
      <c r="CV98" s="7"/>
      <c r="CW98" s="7"/>
      <c r="CX98" s="7"/>
      <c r="CY98" s="7"/>
    </row>
    <row r="99" customFormat="false" ht="15" hidden="false" customHeight="true" outlineLevel="0" collapsed="false">
      <c r="B99" s="13" t="s">
        <v>221</v>
      </c>
      <c r="C99" s="40" t="n">
        <v>117.714</v>
      </c>
      <c r="D99" s="40" t="n">
        <v>144.816</v>
      </c>
      <c r="E99" s="40" t="n">
        <v>164.556</v>
      </c>
      <c r="F99" s="40" t="n">
        <v>168.312</v>
      </c>
      <c r="G99" s="40" t="n">
        <v>181.02</v>
      </c>
      <c r="H99" s="40" t="n">
        <v>201.935</v>
      </c>
      <c r="I99" s="40" t="n">
        <v>227.091</v>
      </c>
      <c r="J99" s="40" t="n">
        <v>60.769</v>
      </c>
      <c r="K99" s="40" t="n">
        <v>60.417</v>
      </c>
      <c r="L99" s="31" t="n">
        <f aca="false">J99+K99</f>
        <v>121.186</v>
      </c>
      <c r="M99" s="40" t="n">
        <v>57.687</v>
      </c>
      <c r="N99" s="40" t="n">
        <v>64.863</v>
      </c>
      <c r="O99" s="40" t="n">
        <v>243.736</v>
      </c>
      <c r="P99" s="40" t="n">
        <v>59.972</v>
      </c>
      <c r="Q99" s="40" t="n">
        <v>61.513</v>
      </c>
      <c r="R99" s="31" t="n">
        <f aca="false">P99+Q99</f>
        <v>121.485</v>
      </c>
      <c r="S99" s="40" t="n">
        <v>58.556</v>
      </c>
      <c r="T99" s="40" t="n">
        <v>68.179</v>
      </c>
      <c r="U99" s="40" t="n">
        <v>248.22</v>
      </c>
      <c r="V99" s="40" t="n">
        <v>63.756</v>
      </c>
      <c r="W99" s="40" t="n">
        <v>65.239</v>
      </c>
      <c r="X99" s="31" t="n">
        <f aca="false">V99+W99</f>
        <v>128.995</v>
      </c>
      <c r="Y99" s="40" t="n">
        <v>58.17</v>
      </c>
      <c r="Z99" s="40" t="n">
        <v>67.224</v>
      </c>
      <c r="AA99" s="40" t="n">
        <v>254.389</v>
      </c>
      <c r="AB99" s="40" t="n">
        <v>67.11</v>
      </c>
      <c r="AC99" s="40" t="n">
        <v>73.992</v>
      </c>
      <c r="AD99" s="31" t="n">
        <f aca="false">AB99+AC99</f>
        <v>141.102</v>
      </c>
      <c r="AE99" s="40" t="n">
        <v>68.293</v>
      </c>
      <c r="AF99" s="40" t="n">
        <v>74.134</v>
      </c>
      <c r="AG99" s="40" t="n">
        <v>283.529</v>
      </c>
      <c r="AH99" s="40" t="n">
        <v>70.575</v>
      </c>
      <c r="AI99" s="40" t="n">
        <v>74.377</v>
      </c>
      <c r="AJ99" s="31" t="n">
        <f aca="false">AH99+AI99</f>
        <v>144.952</v>
      </c>
      <c r="AK99" s="40" t="n">
        <v>85.335</v>
      </c>
      <c r="AL99" s="40" t="n">
        <v>92.983</v>
      </c>
      <c r="AM99" s="40" t="n">
        <v>323.27</v>
      </c>
      <c r="AN99" s="40" t="n">
        <v>97.47</v>
      </c>
      <c r="AO99" s="40" t="n">
        <v>101.259</v>
      </c>
      <c r="AP99" s="31" t="n">
        <f aca="false">AN99+AO99</f>
        <v>198.729</v>
      </c>
      <c r="AQ99" s="40" t="n">
        <v>88.323</v>
      </c>
      <c r="AR99" s="40" t="n">
        <v>95.624</v>
      </c>
      <c r="AS99" s="40" t="n">
        <v>382.676</v>
      </c>
      <c r="AT99" s="40" t="n">
        <v>95.184</v>
      </c>
      <c r="AU99" s="40" t="n">
        <v>97.714</v>
      </c>
      <c r="AV99" s="31" t="n">
        <f aca="false">AT99+AU99</f>
        <v>192.898</v>
      </c>
      <c r="AW99" s="40" t="n">
        <v>93.691</v>
      </c>
      <c r="AX99" s="40" t="n">
        <v>95.8</v>
      </c>
      <c r="AY99" s="40" t="n">
        <v>382.389</v>
      </c>
      <c r="AZ99" s="40" t="n">
        <v>98.385</v>
      </c>
      <c r="BA99" s="40" t="n">
        <v>100.632</v>
      </c>
      <c r="BB99" s="31" t="n">
        <f aca="false">AZ99+BA99</f>
        <v>199.017</v>
      </c>
      <c r="BC99" s="40" t="n">
        <v>110.186</v>
      </c>
      <c r="BD99" s="40" t="n">
        <v>108.318</v>
      </c>
      <c r="BE99" s="40" t="n">
        <v>410.291</v>
      </c>
      <c r="BF99" s="40" t="n">
        <v>114.239</v>
      </c>
      <c r="BG99" s="40" t="n">
        <v>109.56</v>
      </c>
      <c r="BH99" s="31" t="n">
        <f aca="false">BF99+BG99</f>
        <v>223.799</v>
      </c>
      <c r="BI99" s="40" t="n">
        <v>106.508</v>
      </c>
      <c r="BJ99" s="40" t="n">
        <v>125.896</v>
      </c>
      <c r="BK99" s="40" t="n">
        <v>456.203</v>
      </c>
      <c r="BL99" s="40" t="n">
        <v>126.606</v>
      </c>
      <c r="BM99" s="40" t="n">
        <v>144.277</v>
      </c>
      <c r="BN99" s="31" t="n">
        <f aca="false">BL99+BM99</f>
        <v>270.883</v>
      </c>
      <c r="BO99" s="40" t="n">
        <v>133.193</v>
      </c>
      <c r="BP99" s="40" t="n">
        <v>135.856</v>
      </c>
      <c r="BQ99" s="40" t="n">
        <v>539.933</v>
      </c>
      <c r="BR99" s="40" t="n">
        <v>148.2</v>
      </c>
      <c r="BS99" s="40" t="n">
        <v>194.5</v>
      </c>
      <c r="BT99" s="31" t="n">
        <f aca="false">BR99+BS99</f>
        <v>342.7</v>
      </c>
      <c r="BU99" s="40" t="n">
        <v>203.5</v>
      </c>
      <c r="BV99" s="40" t="n">
        <v>197.5</v>
      </c>
      <c r="BW99" s="40" t="n">
        <v>743.7</v>
      </c>
      <c r="BX99" s="40" t="n">
        <v>198.1</v>
      </c>
      <c r="BY99" s="40" t="n">
        <v>208.6</v>
      </c>
      <c r="BZ99" s="31" t="n">
        <f aca="false">BX99+BY99</f>
        <v>406.7</v>
      </c>
      <c r="CA99" s="40" t="n">
        <v>177.8</v>
      </c>
      <c r="CB99" s="40" t="n">
        <v>189.4</v>
      </c>
      <c r="CC99" s="40" t="n">
        <v>773.9</v>
      </c>
      <c r="CD99" s="40" t="n">
        <v>205</v>
      </c>
      <c r="CE99" s="40" t="n">
        <v>222.2</v>
      </c>
      <c r="CF99" s="31" t="n">
        <f aca="false">CD99+CE99</f>
        <v>427.2</v>
      </c>
      <c r="CG99" s="40" t="n">
        <v>217.8</v>
      </c>
      <c r="CH99" s="40" t="n">
        <v>260.2</v>
      </c>
      <c r="CI99" s="40" t="n">
        <v>905.2</v>
      </c>
      <c r="CJ99" s="40" t="n">
        <v>214.2</v>
      </c>
      <c r="CK99" s="40" t="n">
        <v>210.8</v>
      </c>
      <c r="CL99" s="31" t="n">
        <f aca="false">CJ99+CK99</f>
        <v>425</v>
      </c>
      <c r="CM99" s="32" t="n">
        <f aca="false">CM95-CM97-CM98-CM100-CM102+CM104+CM105-CM80+CM155+CM109+CM110+CM111</f>
        <v>180.355876181855</v>
      </c>
      <c r="CN99" s="32" t="n">
        <f aca="false">CN95-CN97-CN98-CN100-CN102+CN104+CN105-CN80+CN155+CN109+CN110+CN111</f>
        <v>213.03958556043</v>
      </c>
      <c r="CO99" s="32" t="n">
        <f aca="false">SUM(CJ99,CK99,CM99,CN99)</f>
        <v>818.395461742285</v>
      </c>
      <c r="CP99" s="32" t="n">
        <f aca="false">CP95-CP97-CP98-CP100-CP102+CP104+CP105-CP80+CP155+CP109+CP110+CP111</f>
        <v>822.685721089673</v>
      </c>
      <c r="CQ99" s="32" t="n">
        <f aca="false">CQ95-CQ97-CQ98-CQ100-CQ102+CQ104+CQ105-CQ80+CQ155+CQ109+CQ110+CQ111</f>
        <v>843.171549207338</v>
      </c>
      <c r="CR99" s="32" t="n">
        <f aca="false">CR95-CR97-CR98-CR100-CR102+CR104+CR105-CR80+CR155+CR109+CR110+CR111</f>
        <v>859.902787855359</v>
      </c>
      <c r="CS99" s="32" t="n">
        <f aca="false">CS95-CS97-CS98-CS100-CS102+CS104+CS105-CS80+CS155+CS109+CS110+CS111</f>
        <v>871.978509367826</v>
      </c>
      <c r="CT99" s="23" t="s">
        <v>222</v>
      </c>
      <c r="CV99" s="7"/>
      <c r="CW99" s="7"/>
      <c r="CX99" s="7"/>
      <c r="CY99" s="7"/>
    </row>
    <row r="100" customFormat="false" ht="15" hidden="false" customHeight="true" outlineLevel="0" collapsed="false">
      <c r="B100" s="13" t="s">
        <v>223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40" t="n">
        <v>0.601</v>
      </c>
      <c r="AA100" s="40" t="n">
        <v>0.601</v>
      </c>
      <c r="AB100" s="40" t="n">
        <v>1.197</v>
      </c>
      <c r="AC100" s="40" t="n">
        <v>0.603</v>
      </c>
      <c r="AD100" s="31" t="n">
        <f aca="false">AB100+AC100</f>
        <v>1.8</v>
      </c>
      <c r="AE100" s="40" t="n">
        <v>5.398</v>
      </c>
      <c r="AF100" s="40" t="n">
        <v>4.631</v>
      </c>
      <c r="AG100" s="40" t="n">
        <v>11.829</v>
      </c>
      <c r="AH100" s="40" t="n">
        <v>8.627</v>
      </c>
      <c r="AI100" s="40" t="n">
        <v>22.948</v>
      </c>
      <c r="AJ100" s="31" t="n">
        <f aca="false">AH100+AI100</f>
        <v>31.575</v>
      </c>
      <c r="AK100" s="40" t="n">
        <v>3.587</v>
      </c>
      <c r="AL100" s="40" t="n">
        <v>3.11</v>
      </c>
      <c r="AM100" s="40" t="n">
        <v>38.272</v>
      </c>
      <c r="AN100" s="40" t="n">
        <v>1.633</v>
      </c>
      <c r="AO100" s="40" t="n">
        <v>1.399</v>
      </c>
      <c r="AP100" s="31" t="n">
        <f aca="false">AN100+AO100</f>
        <v>3.032</v>
      </c>
      <c r="AQ100" s="40" t="n">
        <v>2.007</v>
      </c>
      <c r="AR100" s="40" t="n">
        <v>0.054</v>
      </c>
      <c r="AS100" s="40" t="n">
        <v>5.093</v>
      </c>
      <c r="AT100" s="40" t="n">
        <v>0.669</v>
      </c>
      <c r="AU100" s="40" t="n">
        <v>0.038</v>
      </c>
      <c r="AV100" s="31" t="n">
        <f aca="false">AT100+AU100</f>
        <v>0.707</v>
      </c>
      <c r="AW100" s="40" t="n">
        <v>0.045</v>
      </c>
      <c r="AX100" s="40" t="n">
        <v>0.025</v>
      </c>
      <c r="AY100" s="40" t="n">
        <v>0.777</v>
      </c>
      <c r="AZ100" s="40" t="n">
        <v>0</v>
      </c>
      <c r="BA100" s="40" t="n">
        <v>0</v>
      </c>
      <c r="BB100" s="31" t="n">
        <f aca="false">AZ100+BA100</f>
        <v>0</v>
      </c>
      <c r="BC100" s="40" t="n">
        <v>0</v>
      </c>
      <c r="BD100" s="40" t="n">
        <v>6.014</v>
      </c>
      <c r="BE100" s="40" t="n">
        <v>6.014</v>
      </c>
      <c r="BF100" s="40" t="n">
        <v>2.922</v>
      </c>
      <c r="BG100" s="40" t="n">
        <v>3.049</v>
      </c>
      <c r="BH100" s="31" t="n">
        <f aca="false">BF100+BG100</f>
        <v>5.971</v>
      </c>
      <c r="BI100" s="40" t="n">
        <v>10.255</v>
      </c>
      <c r="BJ100" s="40" t="n">
        <v>13.971</v>
      </c>
      <c r="BK100" s="40" t="n">
        <v>30.197</v>
      </c>
      <c r="BL100" s="40" t="n">
        <v>9.637</v>
      </c>
      <c r="BM100" s="40" t="n">
        <v>3.399</v>
      </c>
      <c r="BN100" s="31" t="n">
        <f aca="false">BL100+BM100</f>
        <v>13.036</v>
      </c>
      <c r="BO100" s="40" t="n">
        <v>2.031</v>
      </c>
      <c r="BP100" s="40" t="n">
        <v>22.194</v>
      </c>
      <c r="BQ100" s="40" t="n">
        <v>37.261</v>
      </c>
      <c r="BR100" s="40" t="n">
        <v>126.2</v>
      </c>
      <c r="BS100" s="40" t="n">
        <v>46.3</v>
      </c>
      <c r="BT100" s="31" t="n">
        <f aca="false">BR100+BS100</f>
        <v>172.5</v>
      </c>
      <c r="BU100" s="40" t="n">
        <v>23.1</v>
      </c>
      <c r="BV100" s="40" t="n">
        <v>20.5</v>
      </c>
      <c r="BW100" s="40" t="n">
        <v>216.1</v>
      </c>
      <c r="BX100" s="40" t="n">
        <v>12.8</v>
      </c>
      <c r="BY100" s="40" t="n">
        <v>4.1</v>
      </c>
      <c r="BZ100" s="31" t="n">
        <f aca="false">BX100+BY100</f>
        <v>16.9</v>
      </c>
      <c r="CA100" s="40" t="n">
        <v>6</v>
      </c>
      <c r="CB100" s="40" t="n">
        <v>6.1</v>
      </c>
      <c r="CC100" s="40" t="n">
        <v>29</v>
      </c>
      <c r="CD100" s="40" t="n">
        <v>3.1</v>
      </c>
      <c r="CE100" s="40" t="n">
        <v>2.7</v>
      </c>
      <c r="CF100" s="31" t="n">
        <f aca="false">CD100+CE100</f>
        <v>5.8</v>
      </c>
      <c r="CG100" s="40" t="n">
        <v>4</v>
      </c>
      <c r="CH100" s="40" t="n">
        <v>9.6</v>
      </c>
      <c r="CI100" s="40" t="n">
        <v>19.4</v>
      </c>
      <c r="CJ100" s="40" t="n">
        <v>6.2</v>
      </c>
      <c r="CK100" s="40" t="n">
        <v>7.7</v>
      </c>
      <c r="CL100" s="31" t="n">
        <f aca="false">CJ100+CK100</f>
        <v>13.9</v>
      </c>
      <c r="CM100" s="32" t="n">
        <f aca="false">CM144</f>
        <v>6</v>
      </c>
      <c r="CN100" s="32" t="n">
        <f aca="false">CN144</f>
        <v>6</v>
      </c>
      <c r="CO100" s="32" t="n">
        <f aca="false">SUM(CJ100,CK100,CM100,CN100)</f>
        <v>25.9</v>
      </c>
      <c r="CP100" s="32" t="n">
        <f aca="false">CP144</f>
        <v>10</v>
      </c>
      <c r="CQ100" s="32" t="n">
        <f aca="false">CQ144</f>
        <v>10</v>
      </c>
      <c r="CR100" s="32" t="n">
        <f aca="false">CR144</f>
        <v>10</v>
      </c>
      <c r="CS100" s="32" t="n">
        <f aca="false">CS144</f>
        <v>10</v>
      </c>
      <c r="CT100" s="23"/>
      <c r="CV100" s="7"/>
      <c r="CW100" s="7"/>
      <c r="CX100" s="7"/>
      <c r="CY100" s="7"/>
    </row>
    <row r="101" customFormat="false" ht="15" hidden="false" customHeight="true" outlineLevel="0" collapsed="false">
      <c r="B101" s="13" t="s">
        <v>224</v>
      </c>
      <c r="C101" s="40" t="n">
        <v>15.017</v>
      </c>
      <c r="D101" s="40" t="n">
        <v>19.417</v>
      </c>
      <c r="E101" s="40" t="n">
        <v>24.764</v>
      </c>
      <c r="F101" s="40" t="n">
        <v>31.761</v>
      </c>
      <c r="G101" s="40" t="n">
        <v>37.813</v>
      </c>
      <c r="H101" s="40" t="n">
        <v>42.408</v>
      </c>
      <c r="I101" s="40" t="n">
        <v>41.138</v>
      </c>
      <c r="J101" s="40" t="n">
        <v>10.32</v>
      </c>
      <c r="K101" s="40" t="n">
        <v>10.719</v>
      </c>
      <c r="L101" s="31" t="n">
        <f aca="false">J101+K101</f>
        <v>21.039</v>
      </c>
      <c r="M101" s="40" t="n">
        <v>10.815</v>
      </c>
      <c r="N101" s="40" t="n">
        <v>11.426</v>
      </c>
      <c r="O101" s="40" t="n">
        <v>43.28</v>
      </c>
      <c r="P101" s="40" t="n">
        <v>10.597</v>
      </c>
      <c r="Q101" s="40" t="n">
        <v>10.979</v>
      </c>
      <c r="R101" s="31" t="n">
        <f aca="false">P101+Q101</f>
        <v>21.576</v>
      </c>
      <c r="S101" s="40" t="n">
        <v>11.406</v>
      </c>
      <c r="T101" s="40" t="n">
        <v>11.554</v>
      </c>
      <c r="U101" s="40" t="n">
        <v>44.536</v>
      </c>
      <c r="V101" s="40" t="n">
        <v>10.616</v>
      </c>
      <c r="W101" s="40" t="n">
        <v>10.769</v>
      </c>
      <c r="X101" s="31" t="n">
        <f aca="false">V101+W101</f>
        <v>21.385</v>
      </c>
      <c r="Y101" s="40" t="n">
        <v>10.017</v>
      </c>
      <c r="Z101" s="40" t="n">
        <v>10.63</v>
      </c>
      <c r="AA101" s="40" t="n">
        <v>42.032</v>
      </c>
      <c r="AB101" s="40" t="n">
        <v>10.08</v>
      </c>
      <c r="AC101" s="40" t="n">
        <v>10.284</v>
      </c>
      <c r="AD101" s="31" t="n">
        <f aca="false">AB101+AC101</f>
        <v>20.364</v>
      </c>
      <c r="AE101" s="40" t="n">
        <v>10.196</v>
      </c>
      <c r="AF101" s="40" t="n">
        <v>10.301</v>
      </c>
      <c r="AG101" s="40" t="n">
        <v>40.861</v>
      </c>
      <c r="AH101" s="40" t="n">
        <v>10.338</v>
      </c>
      <c r="AI101" s="40" t="n">
        <v>11.872</v>
      </c>
      <c r="AJ101" s="31" t="n">
        <f aca="false">AH101+AI101</f>
        <v>22.21</v>
      </c>
      <c r="AK101" s="40" t="n">
        <v>14.837</v>
      </c>
      <c r="AL101" s="40" t="n">
        <v>15.647</v>
      </c>
      <c r="AM101" s="40" t="n">
        <v>52.694</v>
      </c>
      <c r="AN101" s="40" t="n">
        <v>16.191</v>
      </c>
      <c r="AO101" s="40" t="n">
        <v>16.537</v>
      </c>
      <c r="AP101" s="31" t="n">
        <f aca="false">AN101+AO101</f>
        <v>32.728</v>
      </c>
      <c r="AQ101" s="40" t="n">
        <v>16.723</v>
      </c>
      <c r="AR101" s="40" t="n">
        <v>17.163</v>
      </c>
      <c r="AS101" s="40" t="n">
        <v>66.614</v>
      </c>
      <c r="AT101" s="40" t="n">
        <v>17.115</v>
      </c>
      <c r="AU101" s="40" t="n">
        <v>17.112</v>
      </c>
      <c r="AV101" s="31" t="n">
        <f aca="false">AT101+AU101</f>
        <v>34.227</v>
      </c>
      <c r="AW101" s="40" t="n">
        <v>17.692</v>
      </c>
      <c r="AX101" s="40" t="n">
        <v>18.582</v>
      </c>
      <c r="AY101" s="40" t="n">
        <v>70.501</v>
      </c>
      <c r="AZ101" s="40" t="n">
        <v>19.293</v>
      </c>
      <c r="BA101" s="40" t="n">
        <v>17.857</v>
      </c>
      <c r="BB101" s="31" t="n">
        <f aca="false">AZ101+BA101</f>
        <v>37.15</v>
      </c>
      <c r="BC101" s="40" t="n">
        <v>18.436</v>
      </c>
      <c r="BD101" s="40" t="n">
        <v>19.337</v>
      </c>
      <c r="BE101" s="40" t="n">
        <v>74.921</v>
      </c>
      <c r="BF101" s="40" t="n">
        <v>21.07</v>
      </c>
      <c r="BG101" s="40" t="n">
        <v>21.935</v>
      </c>
      <c r="BH101" s="31" t="n">
        <f aca="false">BF101+BG101</f>
        <v>43.005</v>
      </c>
      <c r="BI101" s="40" t="n">
        <v>21.907</v>
      </c>
      <c r="BJ101" s="40" t="n">
        <v>22.977</v>
      </c>
      <c r="BK101" s="40" t="n">
        <v>87.889</v>
      </c>
      <c r="BL101" s="40" t="n">
        <v>24.225</v>
      </c>
      <c r="BM101" s="40" t="n">
        <v>24.298</v>
      </c>
      <c r="BN101" s="31" t="n">
        <f aca="false">BL101+BM101</f>
        <v>48.523</v>
      </c>
      <c r="BO101" s="40" t="n">
        <v>24.29</v>
      </c>
      <c r="BP101" s="40" t="n">
        <v>24.342</v>
      </c>
      <c r="BQ101" s="40" t="n">
        <v>97.155</v>
      </c>
      <c r="BR101" s="40" t="n">
        <v>36.2</v>
      </c>
      <c r="BS101" s="40" t="n">
        <v>109.6</v>
      </c>
      <c r="BT101" s="31" t="n">
        <f aca="false">BR101+BS101</f>
        <v>145.8</v>
      </c>
      <c r="BU101" s="40" t="n">
        <v>101.1</v>
      </c>
      <c r="BV101" s="40" t="n">
        <v>105.3</v>
      </c>
      <c r="BW101" s="40" t="n">
        <v>352.2</v>
      </c>
      <c r="BX101" s="40" t="n">
        <v>107.7</v>
      </c>
      <c r="BY101" s="40" t="n">
        <v>110.3</v>
      </c>
      <c r="BZ101" s="31" t="n">
        <f aca="false">BX101+BY101</f>
        <v>218</v>
      </c>
      <c r="CA101" s="40" t="n">
        <v>111.9</v>
      </c>
      <c r="CB101" s="40" t="n">
        <v>114.5</v>
      </c>
      <c r="CC101" s="40" t="n">
        <v>444.4</v>
      </c>
      <c r="CD101" s="40" t="n">
        <v>114.5</v>
      </c>
      <c r="CE101" s="40" t="n">
        <v>116.7</v>
      </c>
      <c r="CF101" s="31" t="n">
        <f aca="false">CD101+CE101</f>
        <v>231.2</v>
      </c>
      <c r="CG101" s="40" t="n">
        <v>124.7</v>
      </c>
      <c r="CH101" s="40" t="n">
        <v>127.5</v>
      </c>
      <c r="CI101" s="40" t="n">
        <v>483.4</v>
      </c>
      <c r="CJ101" s="40" t="n">
        <v>126.7</v>
      </c>
      <c r="CK101" s="40" t="n">
        <v>130.4</v>
      </c>
      <c r="CL101" s="31" t="n">
        <f aca="false">CJ101+CK101</f>
        <v>257.1</v>
      </c>
      <c r="CM101" s="32" t="n">
        <f aca="false">CM86+CM172</f>
        <v>125.284913591665</v>
      </c>
      <c r="CN101" s="32" t="n">
        <f aca="false">CN86+CN172</f>
        <v>131.007119083801</v>
      </c>
      <c r="CO101" s="32" t="n">
        <f aca="false">SUM(CJ101,CK101,CM101,CN101)</f>
        <v>513.392032675466</v>
      </c>
      <c r="CP101" s="32" t="n">
        <f aca="false">CP86+CP172</f>
        <v>463.267757191828</v>
      </c>
      <c r="CQ101" s="32" t="n">
        <f aca="false">CQ86+CQ172</f>
        <v>420.071870483151</v>
      </c>
      <c r="CR101" s="32" t="n">
        <f aca="false">CR86+CR172</f>
        <v>408.241654994046</v>
      </c>
      <c r="CS101" s="32" t="n">
        <f aca="false">CS86+CS172</f>
        <v>411.849479244129</v>
      </c>
      <c r="CT101" s="23" t="s">
        <v>225</v>
      </c>
      <c r="CV101" s="24" t="n">
        <f aca="false">IFERROR((CS101/CI101)^(1/5)-1,"n/m")</f>
        <v>-0.0315295478331145</v>
      </c>
      <c r="CW101" s="24" t="n">
        <f aca="false">IFERROR((CI101/BE101)^(1/5)-1,"n/m")</f>
        <v>0.451913074614174</v>
      </c>
      <c r="CX101" s="24" t="n">
        <f aca="false">IFERROR((CI101/AA101)^(1/10)-1,"n/m")</f>
        <v>0.27665237958038</v>
      </c>
      <c r="CY101" s="24" t="n">
        <f aca="false">IFERROR((CI101/C101)^(1/19)-1,"n/m")</f>
        <v>0.200477063002792</v>
      </c>
    </row>
    <row r="102" customFormat="false" ht="15" hidden="false" customHeight="true" outlineLevel="0" collapsed="false">
      <c r="B102" s="13" t="s">
        <v>226</v>
      </c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40" t="n">
        <v>0</v>
      </c>
      <c r="P102" s="31"/>
      <c r="Q102" s="31"/>
      <c r="R102" s="31"/>
      <c r="S102" s="40" t="n">
        <v>8.084</v>
      </c>
      <c r="T102" s="31"/>
      <c r="U102" s="40" t="n">
        <v>8.084</v>
      </c>
      <c r="V102" s="31"/>
      <c r="W102" s="31"/>
      <c r="X102" s="31"/>
      <c r="Y102" s="31"/>
      <c r="Z102" s="31"/>
      <c r="AA102" s="40" t="n">
        <v>0</v>
      </c>
      <c r="AB102" s="31"/>
      <c r="AC102" s="31"/>
      <c r="AD102" s="31"/>
      <c r="AE102" s="40" t="n">
        <v>28.243</v>
      </c>
      <c r="AF102" s="40" t="n">
        <v>0</v>
      </c>
      <c r="AG102" s="40" t="n">
        <v>28.243</v>
      </c>
      <c r="AH102" s="31"/>
      <c r="AI102" s="40" t="n">
        <v>8.911</v>
      </c>
      <c r="AJ102" s="31" t="n">
        <f aca="false">N(AH102)+N(AI102)</f>
        <v>8.911</v>
      </c>
      <c r="AK102" s="40" t="n">
        <v>0</v>
      </c>
      <c r="AL102" s="31"/>
      <c r="AM102" s="40" t="n">
        <v>8.911</v>
      </c>
      <c r="AN102" s="31"/>
      <c r="AO102" s="40" t="n">
        <v>0</v>
      </c>
      <c r="AP102" s="31" t="n">
        <f aca="false">N(AN102)+N(AO102)</f>
        <v>0</v>
      </c>
      <c r="AQ102" s="40" t="n">
        <v>0</v>
      </c>
      <c r="AR102" s="31"/>
      <c r="AS102" s="40" t="n">
        <v>0</v>
      </c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49" t="n">
        <v>0</v>
      </c>
      <c r="CN102" s="49" t="n">
        <v>0</v>
      </c>
      <c r="CO102" s="32" t="n">
        <f aca="false">SUM(CJ102,CK102,CM102,CN102)</f>
        <v>0</v>
      </c>
      <c r="CP102" s="49" t="n">
        <v>0</v>
      </c>
      <c r="CQ102" s="49" t="n">
        <v>0</v>
      </c>
      <c r="CR102" s="49" t="n">
        <v>0</v>
      </c>
      <c r="CS102" s="49" t="n">
        <v>0</v>
      </c>
      <c r="CT102" s="23"/>
      <c r="CV102" s="7"/>
      <c r="CW102" s="7"/>
      <c r="CX102" s="7"/>
      <c r="CY102" s="7"/>
    </row>
    <row r="103" customFormat="false" ht="15" hidden="false" customHeight="true" outlineLevel="0" collapsed="false">
      <c r="B103" s="19" t="s">
        <v>227</v>
      </c>
      <c r="C103" s="20" t="n">
        <f aca="false">C97+N(C98)+C99+N(C100)+C101+N(C102)</f>
        <v>173.188</v>
      </c>
      <c r="D103" s="20" t="n">
        <f aca="false">D97+N(D98)+D99+N(D100)+D101+N(D102)</f>
        <v>210.714</v>
      </c>
      <c r="E103" s="20" t="n">
        <f aca="false">E97+N(E98)+E99+N(E100)+E101+N(E102)</f>
        <v>239.07</v>
      </c>
      <c r="F103" s="20" t="n">
        <f aca="false">F97+N(F98)+F99+N(F100)+F101+N(F102)</f>
        <v>249.963</v>
      </c>
      <c r="G103" s="20" t="n">
        <f aca="false">G97+N(G98)+G99+N(G100)+G101+N(G102)</f>
        <v>265.854</v>
      </c>
      <c r="H103" s="20" t="n">
        <f aca="false">H97+N(H98)+H99+N(H100)+H101+N(H102)</f>
        <v>292.387</v>
      </c>
      <c r="I103" s="20" t="n">
        <f aca="false">I97+N(I98)+I99+N(I100)+I101+N(I102)</f>
        <v>317.916</v>
      </c>
      <c r="J103" s="20" t="n">
        <f aca="false">J97+N(J98)+J99+N(J100)+J101+N(J102)</f>
        <v>80.45</v>
      </c>
      <c r="K103" s="20" t="n">
        <f aca="false">K97+N(K98)+K99+N(K100)+K101+N(K102)</f>
        <v>86.687</v>
      </c>
      <c r="L103" s="20" t="n">
        <f aca="false">L97+N(L98)+L99+N(L100)+L101+N(L102)</f>
        <v>167.137</v>
      </c>
      <c r="M103" s="20" t="n">
        <f aca="false">M97+N(M98)+M99+N(M100)+M101+N(M102)</f>
        <v>80.402</v>
      </c>
      <c r="N103" s="20" t="n">
        <f aca="false">N97+N(N98)+N99+N(N100)+N101+N(N102)</f>
        <v>93.485</v>
      </c>
      <c r="O103" s="20" t="n">
        <f aca="false">O97+N(O98)+O99+N(O100)+O101+N(O102)</f>
        <v>341.024</v>
      </c>
      <c r="P103" s="20" t="n">
        <f aca="false">P97+N(P98)+P99+N(P100)+P101+N(P102)</f>
        <v>80.869</v>
      </c>
      <c r="Q103" s="20" t="n">
        <f aca="false">Q97+N(Q98)+Q99+N(Q100)+Q101+N(Q102)</f>
        <v>90.108</v>
      </c>
      <c r="R103" s="20" t="n">
        <f aca="false">R97+N(R98)+R99+N(R100)+R101+N(R102)</f>
        <v>170.977</v>
      </c>
      <c r="S103" s="20" t="n">
        <f aca="false">S97+N(S98)+S99+N(S100)+S101+N(S102)</f>
        <v>90.496</v>
      </c>
      <c r="T103" s="20" t="n">
        <f aca="false">T97+N(T98)+T99+N(T100)+T101+N(T102)</f>
        <v>97.251</v>
      </c>
      <c r="U103" s="20" t="n">
        <f aca="false">U97+N(U98)+U99+N(U100)+U101+N(U102)</f>
        <v>358.724</v>
      </c>
      <c r="V103" s="20" t="n">
        <f aca="false">V97+N(V98)+V99+N(V100)+V101+N(V102)</f>
        <v>85.981</v>
      </c>
      <c r="W103" s="20" t="n">
        <f aca="false">W97+N(W98)+W99+N(W100)+W101+N(W102)</f>
        <v>93.035</v>
      </c>
      <c r="X103" s="20" t="n">
        <f aca="false">X97+N(X98)+X99+N(X100)+X101+N(X102)</f>
        <v>179.016</v>
      </c>
      <c r="Y103" s="20" t="n">
        <f aca="false">Y97+N(Y98)+Y99+N(Y100)+Y101+N(Y102)</f>
        <v>80.232</v>
      </c>
      <c r="Z103" s="20" t="n">
        <f aca="false">Z97+N(Z98)+Z99+N(Z100)+Z101+N(Z102)</f>
        <v>93.8</v>
      </c>
      <c r="AA103" s="20" t="n">
        <f aca="false">AA97+N(AA98)+AA99+N(AA100)+AA101+N(AA102)</f>
        <v>353.048</v>
      </c>
      <c r="AB103" s="20" t="n">
        <f aca="false">AB97+N(AB98)+AB99+N(AB100)+AB101+N(AB102)</f>
        <v>93.7</v>
      </c>
      <c r="AC103" s="20" t="n">
        <f aca="false">AC97+N(AC98)+AC99+N(AC100)+AC101+N(AC102)</f>
        <v>104.637</v>
      </c>
      <c r="AD103" s="20" t="n">
        <f aca="false">AD97+N(AD98)+AD99+N(AD100)+AD101+N(AD102)</f>
        <v>198.337</v>
      </c>
      <c r="AE103" s="20" t="n">
        <f aca="false">AE97+N(AE98)+AE99+N(AE100)+AE101+N(AE102)</f>
        <v>126.88</v>
      </c>
      <c r="AF103" s="20" t="n">
        <f aca="false">AF97+N(AF98)+AF99+N(AF100)+AF101+N(AF102)</f>
        <v>105.307</v>
      </c>
      <c r="AG103" s="20" t="n">
        <f aca="false">AG97+N(AG98)+AG99+N(AG100)+AG101+N(AG102)</f>
        <v>430.524</v>
      </c>
      <c r="AH103" s="20" t="n">
        <f aca="false">AH97+N(AH98)+AH99+N(AH100)+AH101+N(AH102)</f>
        <v>177.281</v>
      </c>
      <c r="AI103" s="20" t="n">
        <f aca="false">AI97+N(AI98)+AI99+N(AI100)+AI101+N(AI102)</f>
        <v>226.126</v>
      </c>
      <c r="AJ103" s="20" t="n">
        <f aca="false">AJ97+N(AJ98)+AJ99+N(AJ100)+AJ101+N(AJ102)</f>
        <v>403.407</v>
      </c>
      <c r="AK103" s="20" t="n">
        <f aca="false">AK97+N(AK98)+AK99+N(AK100)+AK101+N(AK102)</f>
        <v>209.696</v>
      </c>
      <c r="AL103" s="20" t="n">
        <f aca="false">AL97+N(AL98)+AL99+N(AL100)+AL101+N(AL102)</f>
        <v>249.731</v>
      </c>
      <c r="AM103" s="20" t="n">
        <f aca="false">AM97+N(AM98)+AM99+N(AM100)+AM101+N(AM102)</f>
        <v>862.834</v>
      </c>
      <c r="AN103" s="20" t="n">
        <f aca="false">AN97+N(AN98)+AN99+N(AN100)+AN101+N(AN102)</f>
        <v>227.742</v>
      </c>
      <c r="AO103" s="20" t="n">
        <f aca="false">AO97+N(AO98)+AO99+N(AO100)+AO101+N(AO102)</f>
        <v>243.93</v>
      </c>
      <c r="AP103" s="20" t="n">
        <f aca="false">AP97+N(AP98)+AP99+N(AP100)+AP101+N(AP102)</f>
        <v>471.672</v>
      </c>
      <c r="AQ103" s="20" t="n">
        <f aca="false">AQ97+N(AQ98)+AQ99+N(AQ100)+AQ101+N(AQ102)</f>
        <v>214.447</v>
      </c>
      <c r="AR103" s="20" t="n">
        <f aca="false">AR97+N(AR98)+AR99+N(AR100)+AR101+N(AR102)</f>
        <v>301.661</v>
      </c>
      <c r="AS103" s="20" t="n">
        <f aca="false">AS97+N(AS98)+AS99+N(AS100)+AS101+N(AS102)</f>
        <v>987.78</v>
      </c>
      <c r="AT103" s="20" t="n">
        <f aca="false">AT97+N(AT98)+AT99+N(AT100)+AT101+N(AT102)</f>
        <v>269.512</v>
      </c>
      <c r="AU103" s="20" t="n">
        <f aca="false">AU97+N(AU98)+AU99+N(AU100)+AU101+N(AU102)</f>
        <v>314.95</v>
      </c>
      <c r="AV103" s="20" t="n">
        <f aca="false">AV97+N(AV98)+AV99+N(AV100)+AV101+N(AV102)</f>
        <v>584.462</v>
      </c>
      <c r="AW103" s="20" t="n">
        <f aca="false">AW97+N(AW98)+AW99+N(AW100)+AW101+N(AW102)</f>
        <v>250.22</v>
      </c>
      <c r="AX103" s="20" t="n">
        <f aca="false">AX97+N(AX98)+AX99+N(AX100)+AX101+N(AX102)</f>
        <v>264.801</v>
      </c>
      <c r="AY103" s="20" t="n">
        <f aca="false">AY97+N(AY98)+AY99+N(AY100)+AY101+N(AY102)</f>
        <v>1099.483</v>
      </c>
      <c r="AZ103" s="20" t="n">
        <f aca="false">AZ97+N(AZ98)+AZ99+N(AZ100)+AZ101+N(AZ102)</f>
        <v>238.618</v>
      </c>
      <c r="BA103" s="20" t="n">
        <f aca="false">BA97+N(BA98)+BA99+N(BA100)+BA101+N(BA102)</f>
        <v>301.071</v>
      </c>
      <c r="BB103" s="20" t="n">
        <f aca="false">BB97+N(BB98)+BB99+N(BB100)+BB101+N(BB102)</f>
        <v>539.689</v>
      </c>
      <c r="BC103" s="20" t="n">
        <f aca="false">BC97+N(BC98)+BC99+N(BC100)+BC101+N(BC102)</f>
        <v>264.098</v>
      </c>
      <c r="BD103" s="20" t="n">
        <f aca="false">BD97+N(BD98)+BD99+N(BD100)+BD101+N(BD102)</f>
        <v>310.261</v>
      </c>
      <c r="BE103" s="20" t="n">
        <f aca="false">BE97+N(BE98)+BE99+N(BE100)+BE101+N(BE102)</f>
        <v>1114.047</v>
      </c>
      <c r="BF103" s="20" t="n">
        <f aca="false">BF97+N(BF98)+BF99+N(BF100)+BF101+N(BF102)</f>
        <v>286.844</v>
      </c>
      <c r="BG103" s="20" t="n">
        <f aca="false">BG97+N(BG98)+BG99+N(BG100)+BG101+N(BG102)</f>
        <v>306.868</v>
      </c>
      <c r="BH103" s="20" t="n">
        <f aca="false">BH97+N(BH98)+BH99+N(BH100)+BH101+N(BH102)</f>
        <v>593.712</v>
      </c>
      <c r="BI103" s="20" t="n">
        <f aca="false">BI97+N(BI98)+BI99+N(BI100)+BI101+N(BI102)</f>
        <v>276.771</v>
      </c>
      <c r="BJ103" s="20" t="n">
        <f aca="false">BJ97+N(BJ98)+BJ99+N(BJ100)+BJ101+N(BJ102)</f>
        <v>306.987</v>
      </c>
      <c r="BK103" s="20" t="n">
        <f aca="false">BK97+N(BK98)+BK99+N(BK100)+BK101+N(BK102)</f>
        <v>1177.468</v>
      </c>
      <c r="BL103" s="20" t="n">
        <f aca="false">BL97+N(BL98)+BL99+N(BL100)+BL101+N(BL102)</f>
        <v>331.065</v>
      </c>
      <c r="BM103" s="20" t="n">
        <f aca="false">BM97+N(BM98)+BM99+N(BM100)+BM101+N(BM102)</f>
        <v>393.184</v>
      </c>
      <c r="BN103" s="20" t="n">
        <f aca="false">BN97+N(BN98)+BN99+N(BN100)+BN101+N(BN102)</f>
        <v>724.249</v>
      </c>
      <c r="BO103" s="20" t="n">
        <f aca="false">BO97+N(BO98)+BO99+N(BO100)+BO101+N(BO102)</f>
        <v>348.288</v>
      </c>
      <c r="BP103" s="20" t="n">
        <f aca="false">BP97+N(BP98)+BP99+N(BP100)+BP101+N(BP102)</f>
        <v>378.512</v>
      </c>
      <c r="BQ103" s="20" t="n">
        <f aca="false">BQ97+N(BQ98)+BQ99+N(BQ100)+BQ101+N(BQ102)</f>
        <v>1451.05</v>
      </c>
      <c r="BR103" s="20" t="n">
        <f aca="false">BR97+N(BR98)+BR99+N(BR100)+BR101+N(BR102)</f>
        <v>538.5</v>
      </c>
      <c r="BS103" s="20" t="n">
        <f aca="false">BS97+N(BS98)+BS99+N(BS100)+BS101+N(BS102)</f>
        <v>929.6</v>
      </c>
      <c r="BT103" s="20" t="n">
        <f aca="false">BT97+N(BT98)+BT99+N(BT100)+BT101+N(BT102)</f>
        <v>1468.1</v>
      </c>
      <c r="BU103" s="20" t="n">
        <f aca="false">BU97+N(BU98)+BU99+N(BU100)+BU101+N(BU102)</f>
        <v>874.5</v>
      </c>
      <c r="BV103" s="20" t="n">
        <f aca="false">BV97+N(BV98)+BV99+N(BV100)+BV101+N(BV102)</f>
        <v>870.6</v>
      </c>
      <c r="BW103" s="20" t="n">
        <f aca="false">BW97+N(BW98)+BW99+N(BW100)+BW101+N(BW102)</f>
        <v>3213.2</v>
      </c>
      <c r="BX103" s="20" t="n">
        <f aca="false">BX97+N(BX98)+BX99+N(BX100)+BX101+N(BX102)</f>
        <v>868.2</v>
      </c>
      <c r="BY103" s="20" t="n">
        <f aca="false">BY97+N(BY98)+BY99+N(BY100)+BY101+N(BY102)</f>
        <v>894.5</v>
      </c>
      <c r="BZ103" s="20" t="n">
        <f aca="false">BZ97+N(BZ98)+BZ99+N(BZ100)+BZ101+N(BZ102)</f>
        <v>1762.7</v>
      </c>
      <c r="CA103" s="20" t="n">
        <f aca="false">CA97+N(CA98)+CA99+N(CA100)+CA101+N(CA102)</f>
        <v>828.9</v>
      </c>
      <c r="CB103" s="20" t="n">
        <f aca="false">CB97+N(CB98)+CB99+N(CB100)+CB101+N(CB102)</f>
        <v>935.2</v>
      </c>
      <c r="CC103" s="20" t="n">
        <f aca="false">CC97+N(CC98)+CC99+N(CC100)+CC101+N(CC102)</f>
        <v>3526.8</v>
      </c>
      <c r="CD103" s="20" t="n">
        <f aca="false">CD97+N(CD98)+CD99+N(CD100)+CD101+N(CD102)</f>
        <v>919.5</v>
      </c>
      <c r="CE103" s="20" t="n">
        <f aca="false">CE97+N(CE98)+CE99+N(CE100)+CE101+N(CE102)</f>
        <v>981.9</v>
      </c>
      <c r="CF103" s="20" t="n">
        <f aca="false">CF97+N(CF98)+CF99+N(CF100)+CF101+N(CF102)</f>
        <v>1901.4</v>
      </c>
      <c r="CG103" s="20" t="n">
        <f aca="false">CG97+N(CG98)+CG99+N(CG100)+CG101+N(CG102)</f>
        <v>935.6</v>
      </c>
      <c r="CH103" s="20" t="n">
        <f aca="false">CH97+N(CH98)+CH99+N(CH100)+CH101+N(CH102)</f>
        <v>1032.9</v>
      </c>
      <c r="CI103" s="20" t="n">
        <f aca="false">CI97+N(CI98)+CI99+N(CI100)+CI101+N(CI102)</f>
        <v>3869.9</v>
      </c>
      <c r="CJ103" s="20" t="n">
        <f aca="false">CJ97+N(CJ98)+CJ99+N(CJ100)+CJ101+N(CJ102)</f>
        <v>1018.9</v>
      </c>
      <c r="CK103" s="20" t="n">
        <f aca="false">CK97+N(CK98)+CK99+N(CK100)+CK101+N(CK102)</f>
        <v>1091.4</v>
      </c>
      <c r="CL103" s="20" t="n">
        <f aca="false">CL97+N(CL98)+CL99+N(CL100)+CL101+N(CL102)</f>
        <v>2110.3</v>
      </c>
      <c r="CM103" s="22" t="n">
        <f aca="false">CM97+CM98+CM99+CM100+CM101+CM102</f>
        <v>950.489863113437</v>
      </c>
      <c r="CN103" s="22" t="n">
        <f aca="false">CN97+CN98+CN99+CN100+CN101+CN102</f>
        <v>1047.05429810226</v>
      </c>
      <c r="CO103" s="22" t="n">
        <f aca="false">SUM(CJ103,CK103,CM103,CN103)</f>
        <v>4107.8441612157</v>
      </c>
      <c r="CP103" s="22" t="n">
        <f aca="false">CP97+CP98+CP99+CP100+CP101+CP102</f>
        <v>4216.38615831556</v>
      </c>
      <c r="CQ103" s="22" t="n">
        <f aca="false">CQ97+CQ98+CQ99+CQ100+CQ101+CQ102</f>
        <v>4325.24839684068</v>
      </c>
      <c r="CR103" s="22" t="n">
        <f aca="false">CR97+CR98+CR99+CR100+CR101+CR102</f>
        <v>4452.85871710851</v>
      </c>
      <c r="CS103" s="22" t="n">
        <f aca="false">CS97+CS98+CS99+CS100+CS101+CS102</f>
        <v>4600.46915101174</v>
      </c>
      <c r="CT103" s="23"/>
      <c r="CV103" s="7"/>
      <c r="CW103" s="7"/>
      <c r="CX103" s="7"/>
      <c r="CY103" s="7"/>
    </row>
    <row r="104" customFormat="false" ht="15" hidden="false" customHeight="true" outlineLevel="0" collapsed="false">
      <c r="B104" s="13" t="s">
        <v>228</v>
      </c>
      <c r="C104" s="40" t="n">
        <v>1.277</v>
      </c>
      <c r="D104" s="40" t="n">
        <v>0.243</v>
      </c>
      <c r="E104" s="40" t="n">
        <v>6.37</v>
      </c>
      <c r="F104" s="40" t="n">
        <v>0.647</v>
      </c>
      <c r="G104" s="40" t="n">
        <v>0.25</v>
      </c>
      <c r="H104" s="40" t="n">
        <v>3.861</v>
      </c>
      <c r="I104" s="40" t="n">
        <v>-2.074</v>
      </c>
      <c r="J104" s="40" t="n">
        <v>-0.011</v>
      </c>
      <c r="K104" s="40" t="n">
        <v>0.13</v>
      </c>
      <c r="L104" s="31" t="n">
        <f aca="false">J104+K104</f>
        <v>0.119</v>
      </c>
      <c r="M104" s="40" t="n">
        <v>0.785</v>
      </c>
      <c r="N104" s="40" t="n">
        <v>9.648</v>
      </c>
      <c r="O104" s="40" t="n">
        <v>10.552</v>
      </c>
      <c r="P104" s="40" t="n">
        <v>0.071</v>
      </c>
      <c r="Q104" s="40" t="n">
        <v>0.258</v>
      </c>
      <c r="R104" s="31" t="n">
        <f aca="false">P104+Q104</f>
        <v>0.329</v>
      </c>
      <c r="S104" s="40" t="n">
        <v>3.104</v>
      </c>
      <c r="T104" s="40" t="n">
        <v>0.079</v>
      </c>
      <c r="U104" s="40" t="n">
        <v>3.512</v>
      </c>
      <c r="V104" s="40" t="n">
        <v>0.175</v>
      </c>
      <c r="W104" s="40" t="n">
        <v>0.791</v>
      </c>
      <c r="X104" s="31" t="n">
        <f aca="false">V104+W104</f>
        <v>0.966</v>
      </c>
      <c r="Y104" s="40" t="n">
        <v>0.234</v>
      </c>
      <c r="Z104" s="40" t="n">
        <v>8.491</v>
      </c>
      <c r="AA104" s="40" t="n">
        <v>9.691</v>
      </c>
      <c r="AB104" s="40" t="n">
        <v>0.246</v>
      </c>
      <c r="AC104" s="40" t="n">
        <v>0.201</v>
      </c>
      <c r="AD104" s="31" t="n">
        <f aca="false">AB104+AC104</f>
        <v>0.447</v>
      </c>
      <c r="AE104" s="40" t="n">
        <v>0.57</v>
      </c>
      <c r="AF104" s="40" t="n">
        <v>0.265</v>
      </c>
      <c r="AG104" s="40" t="n">
        <v>1.282</v>
      </c>
      <c r="AH104" s="40" t="n">
        <v>0.721</v>
      </c>
      <c r="AI104" s="40" t="n">
        <v>0.308</v>
      </c>
      <c r="AJ104" s="31" t="n">
        <f aca="false">AH104+AI104</f>
        <v>1.029</v>
      </c>
      <c r="AK104" s="40" t="n">
        <v>0.042</v>
      </c>
      <c r="AL104" s="40" t="n">
        <v>0.585</v>
      </c>
      <c r="AM104" s="40" t="n">
        <v>1.656</v>
      </c>
      <c r="AN104" s="40" t="n">
        <v>0.345</v>
      </c>
      <c r="AO104" s="40" t="n">
        <v>0.271</v>
      </c>
      <c r="AP104" s="31" t="n">
        <f aca="false">AN104+AO104</f>
        <v>0.616</v>
      </c>
      <c r="AQ104" s="40" t="n">
        <v>0.342</v>
      </c>
      <c r="AR104" s="40" t="n">
        <v>1.773</v>
      </c>
      <c r="AS104" s="40" t="n">
        <v>2.731</v>
      </c>
      <c r="AT104" s="40" t="n">
        <v>0.149</v>
      </c>
      <c r="AU104" s="40" t="n">
        <v>0.101</v>
      </c>
      <c r="AV104" s="31" t="n">
        <f aca="false">AT104+AU104</f>
        <v>0.25</v>
      </c>
      <c r="AW104" s="40" t="n">
        <v>0.821</v>
      </c>
      <c r="AX104" s="40" t="n">
        <v>0.036</v>
      </c>
      <c r="AY104" s="40" t="n">
        <v>1.107</v>
      </c>
      <c r="AZ104" s="40" t="n">
        <v>0.047</v>
      </c>
      <c r="BA104" s="40" t="n">
        <v>1.213</v>
      </c>
      <c r="BB104" s="31" t="n">
        <f aca="false">AZ104+BA104</f>
        <v>1.26</v>
      </c>
      <c r="BC104" s="40" t="n">
        <v>0.276</v>
      </c>
      <c r="BD104" s="40" t="n">
        <v>0.022</v>
      </c>
      <c r="BE104" s="40" t="n">
        <v>1.559</v>
      </c>
      <c r="BF104" s="40" t="n">
        <v>0.068</v>
      </c>
      <c r="BG104" s="40" t="n">
        <v>0.175</v>
      </c>
      <c r="BH104" s="31" t="n">
        <f aca="false">BF104+BG104</f>
        <v>0.243</v>
      </c>
      <c r="BI104" s="40" t="n">
        <v>1.068</v>
      </c>
      <c r="BJ104" s="40" t="n">
        <v>0.125</v>
      </c>
      <c r="BK104" s="40" t="n">
        <v>1.436</v>
      </c>
      <c r="BL104" s="40" t="n">
        <v>169.82</v>
      </c>
      <c r="BM104" s="40" t="n">
        <v>0.347</v>
      </c>
      <c r="BN104" s="31" t="n">
        <f aca="false">BL104+BM104</f>
        <v>170.167</v>
      </c>
      <c r="BO104" s="40" t="n">
        <v>0.333</v>
      </c>
      <c r="BP104" s="40" t="n">
        <v>0.333</v>
      </c>
      <c r="BQ104" s="40" t="n">
        <v>170.833</v>
      </c>
      <c r="BR104" s="40" t="n">
        <v>1.2</v>
      </c>
      <c r="BS104" s="40" t="n">
        <v>2.7</v>
      </c>
      <c r="BT104" s="31" t="n">
        <f aca="false">BR104+BS104</f>
        <v>3.9</v>
      </c>
      <c r="BU104" s="40" t="n">
        <v>0.5</v>
      </c>
      <c r="BV104" s="40" t="n">
        <v>0.5</v>
      </c>
      <c r="BW104" s="40" t="n">
        <v>4.9</v>
      </c>
      <c r="BX104" s="40" t="n">
        <v>2.4</v>
      </c>
      <c r="BY104" s="40" t="n">
        <v>0.3</v>
      </c>
      <c r="BZ104" s="31" t="n">
        <f aca="false">BX104+BY104</f>
        <v>2.7</v>
      </c>
      <c r="CA104" s="40" t="n">
        <v>0.5</v>
      </c>
      <c r="CB104" s="40" t="n">
        <v>0.6</v>
      </c>
      <c r="CC104" s="40" t="n">
        <v>3.8</v>
      </c>
      <c r="CD104" s="40" t="n">
        <v>0.4</v>
      </c>
      <c r="CE104" s="40" t="n">
        <v>0</v>
      </c>
      <c r="CF104" s="31" t="n">
        <f aca="false">CD104+CE104</f>
        <v>0.4</v>
      </c>
      <c r="CG104" s="40" t="n">
        <v>1.2</v>
      </c>
      <c r="CH104" s="40" t="n">
        <v>0.6</v>
      </c>
      <c r="CI104" s="40" t="n">
        <v>2.2</v>
      </c>
      <c r="CJ104" s="40" t="n">
        <v>1.8</v>
      </c>
      <c r="CK104" s="40" t="n">
        <v>-0.9</v>
      </c>
      <c r="CL104" s="31" t="n">
        <f aca="false">CJ104+CK104</f>
        <v>0.9</v>
      </c>
      <c r="CM104" s="49" t="n">
        <v>0</v>
      </c>
      <c r="CN104" s="49" t="n">
        <v>0</v>
      </c>
      <c r="CO104" s="32" t="n">
        <f aca="false">SUM(CJ104,CK104,CM104,CN104)</f>
        <v>0.9</v>
      </c>
      <c r="CP104" s="49" t="n">
        <v>0</v>
      </c>
      <c r="CQ104" s="49" t="n">
        <v>0</v>
      </c>
      <c r="CR104" s="49" t="n">
        <v>0</v>
      </c>
      <c r="CS104" s="49" t="n">
        <v>0</v>
      </c>
      <c r="CT104" s="23" t="s">
        <v>229</v>
      </c>
      <c r="CV104" s="7"/>
      <c r="CW104" s="7"/>
      <c r="CX104" s="7"/>
      <c r="CY104" s="7"/>
    </row>
    <row r="105" customFormat="false" ht="15" hidden="false" customHeight="true" outlineLevel="0" collapsed="false">
      <c r="B105" s="13" t="s">
        <v>230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40" t="n">
        <v>0</v>
      </c>
      <c r="BZ105" s="31" t="n">
        <f aca="false">N(BX105)+N(BY105)</f>
        <v>0</v>
      </c>
      <c r="CA105" s="40" t="n">
        <v>0</v>
      </c>
      <c r="CB105" s="40" t="n">
        <v>0</v>
      </c>
      <c r="CC105" s="40" t="n">
        <v>0</v>
      </c>
      <c r="CD105" s="31"/>
      <c r="CE105" s="40" t="n">
        <v>-15.5</v>
      </c>
      <c r="CF105" s="31" t="n">
        <f aca="false">N(CD105)+N(CE105)</f>
        <v>-15.5</v>
      </c>
      <c r="CG105" s="40" t="n">
        <v>0</v>
      </c>
      <c r="CH105" s="40" t="n">
        <v>5.9</v>
      </c>
      <c r="CI105" s="40" t="n">
        <v>-9.6</v>
      </c>
      <c r="CJ105" s="31"/>
      <c r="CK105" s="40" t="n">
        <v>0</v>
      </c>
      <c r="CL105" s="31" t="n">
        <f aca="false">N(CJ105)+N(CK105)</f>
        <v>0</v>
      </c>
      <c r="CM105" s="49" t="n">
        <v>0</v>
      </c>
      <c r="CN105" s="49" t="n">
        <v>0</v>
      </c>
      <c r="CO105" s="32" t="n">
        <f aca="false">SUM(CJ105,CK105,CM105,CN105)</f>
        <v>0</v>
      </c>
      <c r="CP105" s="49" t="n">
        <v>0</v>
      </c>
      <c r="CQ105" s="49" t="n">
        <v>0</v>
      </c>
      <c r="CR105" s="49" t="n">
        <v>0</v>
      </c>
      <c r="CS105" s="49" t="n">
        <v>0</v>
      </c>
      <c r="CT105" s="23"/>
      <c r="CV105" s="7"/>
      <c r="CW105" s="7"/>
      <c r="CX105" s="7"/>
      <c r="CY105" s="7"/>
    </row>
    <row r="106" customFormat="false" ht="15" hidden="false" customHeight="true" outlineLevel="0" collapsed="false">
      <c r="B106" s="41" t="s">
        <v>231</v>
      </c>
      <c r="C106" s="43" t="n">
        <f aca="false">C95-C103+N(C104)+N(C105)</f>
        <v>85.946</v>
      </c>
      <c r="D106" s="43" t="n">
        <f aca="false">D95-D103+N(D104)+N(D105)</f>
        <v>101.435</v>
      </c>
      <c r="E106" s="43" t="n">
        <f aca="false">E95-E103+N(E104)+N(E105)</f>
        <v>122.118</v>
      </c>
      <c r="F106" s="43" t="n">
        <f aca="false">F95-F103+N(F104)+N(F105)</f>
        <v>127.895</v>
      </c>
      <c r="G106" s="43" t="n">
        <f aca="false">G95-G103+N(G104)+N(G105)</f>
        <v>91.765</v>
      </c>
      <c r="H106" s="43" t="n">
        <f aca="false">H95-H103+N(H104)+N(H105)</f>
        <v>107.573</v>
      </c>
      <c r="I106" s="43" t="n">
        <f aca="false">I95-I103+N(I104)+N(I105)</f>
        <v>117.965</v>
      </c>
      <c r="J106" s="20" t="n">
        <f aca="false">J95-J103+N(J104)+N(J105)</f>
        <v>21.597</v>
      </c>
      <c r="K106" s="20" t="n">
        <f aca="false">K95-K103+N(K104)+N(K105)</f>
        <v>41.765</v>
      </c>
      <c r="L106" s="20" t="n">
        <f aca="false">L95-L103+N(L104)+N(L105)</f>
        <v>63.362</v>
      </c>
      <c r="M106" s="20" t="n">
        <f aca="false">M95-M103+N(M104)+N(M105)</f>
        <v>26.183</v>
      </c>
      <c r="N106" s="20" t="n">
        <f aca="false">N95-N103+N(N104)+N(N105)</f>
        <v>47.386</v>
      </c>
      <c r="O106" s="43" t="n">
        <f aca="false">O95-O103+N(O104)+N(O105)</f>
        <v>136.931</v>
      </c>
      <c r="P106" s="20" t="n">
        <f aca="false">P95-P103+N(P104)+N(P105)</f>
        <v>17.79</v>
      </c>
      <c r="Q106" s="20" t="n">
        <f aca="false">Q95-Q103+N(Q104)+N(Q105)</f>
        <v>51.985</v>
      </c>
      <c r="R106" s="20" t="n">
        <f aca="false">R95-R103+N(R104)+N(R105)</f>
        <v>69.775</v>
      </c>
      <c r="S106" s="20" t="n">
        <f aca="false">S95-S103+N(S104)+N(S105)</f>
        <v>14.825</v>
      </c>
      <c r="T106" s="20" t="n">
        <f aca="false">T95-T103+N(T104)+N(T105)</f>
        <v>41.285</v>
      </c>
      <c r="U106" s="43" t="n">
        <f aca="false">U95-U103+N(U104)+N(U105)</f>
        <v>125.885</v>
      </c>
      <c r="V106" s="20" t="n">
        <f aca="false">V95-V103+N(V104)+N(V105)</f>
        <v>29.812</v>
      </c>
      <c r="W106" s="20" t="n">
        <f aca="false">W95-W103+N(W104)+N(W105)</f>
        <v>63.233</v>
      </c>
      <c r="X106" s="20" t="n">
        <f aca="false">X95-X103+N(X104)+N(X105)</f>
        <v>93.045</v>
      </c>
      <c r="Y106" s="20" t="n">
        <f aca="false">Y95-Y103+N(Y104)+N(Y105)</f>
        <v>29.32</v>
      </c>
      <c r="Z106" s="20" t="n">
        <f aca="false">Z95-Z103+N(Z104)+N(Z105)</f>
        <v>50.153</v>
      </c>
      <c r="AA106" s="43" t="n">
        <f aca="false">AA95-AA103+N(AA104)+N(AA105)</f>
        <v>172.518</v>
      </c>
      <c r="AB106" s="20" t="n">
        <f aca="false">AB95-AB103+N(AB104)+N(AB105)</f>
        <v>38.491</v>
      </c>
      <c r="AC106" s="20" t="n">
        <f aca="false">AC95-AC103+N(AC104)+N(AC105)</f>
        <v>54.369</v>
      </c>
      <c r="AD106" s="20" t="n">
        <f aca="false">AD95-AD103+N(AD104)+N(AD105)</f>
        <v>92.86</v>
      </c>
      <c r="AE106" s="20" t="n">
        <f aca="false">AE95-AE103+N(AE104)+N(AE105)</f>
        <v>2.56600000000001</v>
      </c>
      <c r="AF106" s="20" t="n">
        <f aca="false">AF95-AF103+N(AF104)+N(AF105)</f>
        <v>41.727</v>
      </c>
      <c r="AG106" s="43" t="n">
        <f aca="false">AG95-AG103+N(AG104)+N(AG105)</f>
        <v>137.153</v>
      </c>
      <c r="AH106" s="20" t="n">
        <f aca="false">AH95-AH103+N(AH104)+N(AH105)</f>
        <v>22.867</v>
      </c>
      <c r="AI106" s="20" t="n">
        <f aca="false">AI95-AI103+N(AI104)+N(AI105)</f>
        <v>26.795</v>
      </c>
      <c r="AJ106" s="20" t="n">
        <f aca="false">AJ95-AJ103+N(AJ104)+N(AJ105)</f>
        <v>49.662</v>
      </c>
      <c r="AK106" s="20" t="n">
        <f aca="false">AK95-AK103+N(AK104)+N(AK105)</f>
        <v>17.747</v>
      </c>
      <c r="AL106" s="20" t="n">
        <f aca="false">AL95-AL103+N(AL104)+N(AL105)</f>
        <v>42.604</v>
      </c>
      <c r="AM106" s="43" t="n">
        <f aca="false">AM95-AM103+N(AM104)+N(AM105)</f>
        <v>110.013</v>
      </c>
      <c r="AN106" s="20" t="n">
        <f aca="false">AN95-AN103+N(AN104)+N(AN105)</f>
        <v>32.781</v>
      </c>
      <c r="AO106" s="20" t="n">
        <f aca="false">AO95-AO103+N(AO104)+N(AO105)</f>
        <v>64.871</v>
      </c>
      <c r="AP106" s="20" t="n">
        <f aca="false">AP95-AP103+N(AP104)+N(AP105)</f>
        <v>97.652</v>
      </c>
      <c r="AQ106" s="20" t="n">
        <f aca="false">AQ95-AQ103+N(AQ104)+N(AQ105)</f>
        <v>31.241</v>
      </c>
      <c r="AR106" s="20" t="n">
        <f aca="false">AR95-AR103+N(AR104)+N(AR105)</f>
        <v>56.084</v>
      </c>
      <c r="AS106" s="43" t="n">
        <f aca="false">AS95-AS103+N(AS104)+N(AS105)</f>
        <v>184.977</v>
      </c>
      <c r="AT106" s="20" t="n">
        <f aca="false">AT95-AT103+N(AT104)+N(AT105)</f>
        <v>34.066</v>
      </c>
      <c r="AU106" s="20" t="n">
        <f aca="false">AU95-AU103+N(AU104)+N(AU105)</f>
        <v>78.3729999999999</v>
      </c>
      <c r="AV106" s="20" t="n">
        <f aca="false">AV95-AV103+N(AV104)+N(AV105)</f>
        <v>112.439</v>
      </c>
      <c r="AW106" s="20" t="n">
        <f aca="false">AW95-AW103+N(AW104)+N(AW105)</f>
        <v>40.397</v>
      </c>
      <c r="AX106" s="20" t="n">
        <f aca="false">AX95-AX103+N(AX104)+N(AX105)</f>
        <v>67.4289999999999</v>
      </c>
      <c r="AY106" s="43" t="n">
        <f aca="false">AY95-AY103+N(AY104)+N(AY105)</f>
        <v>220.265</v>
      </c>
      <c r="AZ106" s="20" t="n">
        <f aca="false">AZ95-AZ103+N(AZ104)+N(AZ105)</f>
        <v>34.684</v>
      </c>
      <c r="BA106" s="20" t="n">
        <f aca="false">BA95-BA103+N(BA104)+N(BA105)</f>
        <v>89.192</v>
      </c>
      <c r="BB106" s="20" t="n">
        <f aca="false">BB95-BB103+N(BB104)+N(BB105)</f>
        <v>123.876</v>
      </c>
      <c r="BC106" s="20" t="n">
        <f aca="false">BC95-BC103+N(BC104)+N(BC105)</f>
        <v>67.72</v>
      </c>
      <c r="BD106" s="20" t="n">
        <f aca="false">BD95-BD103+N(BD104)+N(BD105)</f>
        <v>73.174</v>
      </c>
      <c r="BE106" s="43" t="n">
        <f aca="false">BE95-BE103+N(BE104)+N(BE105)</f>
        <v>264.772</v>
      </c>
      <c r="BF106" s="20" t="n">
        <f aca="false">BF95-BF103+N(BF104)+N(BF105)</f>
        <v>44.779</v>
      </c>
      <c r="BG106" s="20" t="n">
        <f aca="false">BG95-BG103+N(BG104)+N(BG105)</f>
        <v>89.668</v>
      </c>
      <c r="BH106" s="20" t="n">
        <f aca="false">BH95-BH103+N(BH104)+N(BH105)</f>
        <v>134.447</v>
      </c>
      <c r="BI106" s="20" t="n">
        <f aca="false">BI95-BI103+N(BI104)+N(BI105)</f>
        <v>53.9790000000001</v>
      </c>
      <c r="BJ106" s="20" t="n">
        <f aca="false">BJ95-BJ103+N(BJ104)+N(BJ105)</f>
        <v>52.511</v>
      </c>
      <c r="BK106" s="43" t="n">
        <f aca="false">BK95-BK103+N(BK104)+N(BK105)</f>
        <v>240.939</v>
      </c>
      <c r="BL106" s="20" t="n">
        <f aca="false">BL95-BL103+N(BL104)+N(BL105)</f>
        <v>232.676</v>
      </c>
      <c r="BM106" s="20" t="n">
        <f aca="false">BM95-BM103+N(BM104)+N(BM105)</f>
        <v>91.7090000000001</v>
      </c>
      <c r="BN106" s="20" t="n">
        <f aca="false">BN95-BN103+N(BN104)+N(BN105)</f>
        <v>324.385</v>
      </c>
      <c r="BO106" s="20" t="n">
        <f aca="false">BO95-BO103+N(BO104)+N(BO105)</f>
        <v>63.524</v>
      </c>
      <c r="BP106" s="20" t="n">
        <f aca="false">BP95-BP103+N(BP104)+N(BP105)</f>
        <v>65.682</v>
      </c>
      <c r="BQ106" s="43" t="n">
        <f aca="false">BQ95-BQ103+N(BQ104)+N(BQ105)</f>
        <v>453.591</v>
      </c>
      <c r="BR106" s="20" t="n">
        <f aca="false">BR95-BR103+N(BR104)+N(BR105)</f>
        <v>-24.8999999999999</v>
      </c>
      <c r="BS106" s="20" t="n">
        <f aca="false">BS95-BS103+N(BS104)+N(BS105)</f>
        <v>179.6</v>
      </c>
      <c r="BT106" s="20" t="n">
        <f aca="false">BT95-BT103+N(BT104)+N(BT105)</f>
        <v>154.7</v>
      </c>
      <c r="BU106" s="20" t="n">
        <f aca="false">BU95-BU103+N(BU104)+N(BU105)</f>
        <v>145.8</v>
      </c>
      <c r="BV106" s="20" t="n">
        <f aca="false">BV95-BV103+N(BV104)+N(BV105)</f>
        <v>170.8</v>
      </c>
      <c r="BW106" s="43" t="n">
        <f aca="false">BW95-BW103+N(BW104)+N(BW105)</f>
        <v>471.3</v>
      </c>
      <c r="BX106" s="20" t="n">
        <f aca="false">BX95-BX103+N(BX104)+N(BX105)</f>
        <v>198.9</v>
      </c>
      <c r="BY106" s="20" t="n">
        <f aca="false">BY95-BY103+N(BY104)+N(BY105)</f>
        <v>201.9</v>
      </c>
      <c r="BZ106" s="20" t="n">
        <f aca="false">BZ95-BZ103+N(BZ104)+N(BZ105)</f>
        <v>400.8</v>
      </c>
      <c r="CA106" s="20" t="n">
        <f aca="false">CA95-CA103+N(CA104)+N(CA105)</f>
        <v>153.4</v>
      </c>
      <c r="CB106" s="20" t="n">
        <f aca="false">CB95-CB103+N(CB104)+N(CB105)</f>
        <v>207</v>
      </c>
      <c r="CC106" s="43" t="n">
        <f aca="false">CC95-CC103+N(CC104)+N(CC105)</f>
        <v>761.2</v>
      </c>
      <c r="CD106" s="20" t="n">
        <f aca="false">CD95-CD103+N(CD104)+N(CD105)</f>
        <v>189.5</v>
      </c>
      <c r="CE106" s="20" t="n">
        <f aca="false">CE95-CE103+N(CE104)+N(CE105)</f>
        <v>188.6</v>
      </c>
      <c r="CF106" s="20" t="n">
        <f aca="false">CF95-CF103+N(CF104)+N(CF105)</f>
        <v>378.100000000001</v>
      </c>
      <c r="CG106" s="20" t="n">
        <f aca="false">CG95-CG103+N(CG104)+N(CG105)</f>
        <v>158.3</v>
      </c>
      <c r="CH106" s="20" t="n">
        <f aca="false">CH95-CH103+N(CH104)+N(CH105)</f>
        <v>177</v>
      </c>
      <c r="CI106" s="43" t="n">
        <f aca="false">CI95-CI103+N(CI104)+N(CI105)</f>
        <v>713.4</v>
      </c>
      <c r="CJ106" s="20" t="n">
        <f aca="false">CJ95-CJ103+N(CJ104)+N(CJ105)</f>
        <v>217.5</v>
      </c>
      <c r="CK106" s="20" t="n">
        <f aca="false">CK95-CK103+N(CK104)+N(CK105)</f>
        <v>224.8</v>
      </c>
      <c r="CL106" s="20" t="n">
        <f aca="false">CL95-CL103+N(CL104)+N(CL105)</f>
        <v>442.3</v>
      </c>
      <c r="CM106" s="43" t="n">
        <f aca="false">CM95-CM103+CM104+CM105</f>
        <v>210.496936631368</v>
      </c>
      <c r="CN106" s="43" t="n">
        <f aca="false">CN95-CN103+CN104+CN105</f>
        <v>246.311030693166</v>
      </c>
      <c r="CO106" s="43" t="n">
        <f aca="false">SUM(CJ106,CK106,CM106,CN106)</f>
        <v>899.107967324534</v>
      </c>
      <c r="CP106" s="43" t="n">
        <f aca="false">CP95-CP103+CP104+CP105</f>
        <v>1045.65470661067</v>
      </c>
      <c r="CQ106" s="43" t="n">
        <f aca="false">CQ95-CQ103+CQ104+CQ105</f>
        <v>1188.05091672096</v>
      </c>
      <c r="CR106" s="43" t="n">
        <f aca="false">CR95-CR103+CR104+CR105</f>
        <v>1296.9472129856</v>
      </c>
      <c r="CS106" s="43" t="n">
        <f aca="false">CS95-CS103+CS104+CS105</f>
        <v>1396.03036629357</v>
      </c>
      <c r="CT106" s="23"/>
      <c r="CV106" s="24" t="n">
        <f aca="false">IFERROR((CS106/CI106)^(1/5)-1,"n/m")</f>
        <v>0.143700608104324</v>
      </c>
      <c r="CW106" s="24" t="n">
        <f aca="false">IFERROR((CI106/BE106)^(1/5)-1,"n/m")</f>
        <v>0.219248443407433</v>
      </c>
      <c r="CX106" s="24" t="n">
        <f aca="false">IFERROR((CI106/AA106)^(1/10)-1,"n/m")</f>
        <v>0.152523711223922</v>
      </c>
      <c r="CY106" s="24" t="n">
        <f aca="false">IFERROR((CI106/C106)^(1/19)-1,"n/m")</f>
        <v>0.117825662137968</v>
      </c>
    </row>
    <row r="107" customFormat="false" ht="15" hidden="false" customHeight="true" outlineLevel="0" collapsed="false">
      <c r="B107" s="13" t="s">
        <v>232</v>
      </c>
      <c r="C107" s="40" t="n">
        <v>1.172</v>
      </c>
      <c r="D107" s="40" t="n">
        <v>1.206</v>
      </c>
      <c r="E107" s="40" t="n">
        <v>0.859</v>
      </c>
      <c r="F107" s="40" t="n">
        <v>0.544</v>
      </c>
      <c r="G107" s="40" t="n">
        <v>5.216</v>
      </c>
      <c r="H107" s="40" t="n">
        <v>5.541</v>
      </c>
      <c r="I107" s="40" t="n">
        <v>6.86</v>
      </c>
      <c r="J107" s="40" t="n">
        <v>1.764</v>
      </c>
      <c r="K107" s="40" t="n">
        <v>2.097</v>
      </c>
      <c r="L107" s="31" t="n">
        <f aca="false">J107+K107</f>
        <v>3.861</v>
      </c>
      <c r="M107" s="40" t="n">
        <v>1.915</v>
      </c>
      <c r="N107" s="40" t="n">
        <v>1.658</v>
      </c>
      <c r="O107" s="40" t="n">
        <v>7.434</v>
      </c>
      <c r="P107" s="40" t="n">
        <v>1.419</v>
      </c>
      <c r="Q107" s="40" t="n">
        <v>1.345</v>
      </c>
      <c r="R107" s="31" t="n">
        <f aca="false">P107+Q107</f>
        <v>2.764</v>
      </c>
      <c r="S107" s="40" t="n">
        <v>1.278</v>
      </c>
      <c r="T107" s="40" t="n">
        <v>1.235</v>
      </c>
      <c r="U107" s="40" t="n">
        <v>5.277</v>
      </c>
      <c r="V107" s="40" t="n">
        <v>1.269</v>
      </c>
      <c r="W107" s="40" t="n">
        <v>1.308</v>
      </c>
      <c r="X107" s="31" t="n">
        <f aca="false">V107+W107</f>
        <v>2.577</v>
      </c>
      <c r="Y107" s="40" t="n">
        <v>1.239</v>
      </c>
      <c r="Z107" s="40" t="n">
        <v>1.146</v>
      </c>
      <c r="AA107" s="40" t="n">
        <v>4.962</v>
      </c>
      <c r="AB107" s="40" t="n">
        <v>1.363</v>
      </c>
      <c r="AC107" s="40" t="n">
        <v>1.06</v>
      </c>
      <c r="AD107" s="31" t="n">
        <f aca="false">AB107+AC107</f>
        <v>2.423</v>
      </c>
      <c r="AE107" s="40" t="n">
        <v>0.934</v>
      </c>
      <c r="AF107" s="40" t="n">
        <v>2.207</v>
      </c>
      <c r="AG107" s="40" t="n">
        <v>5.564</v>
      </c>
      <c r="AH107" s="40" t="n">
        <v>8.133</v>
      </c>
      <c r="AI107" s="40" t="n">
        <v>8.62</v>
      </c>
      <c r="AJ107" s="31" t="n">
        <f aca="false">AH107+AI107</f>
        <v>16.753</v>
      </c>
      <c r="AK107" s="40" t="n">
        <v>10.558</v>
      </c>
      <c r="AL107" s="40" t="n">
        <v>10.98</v>
      </c>
      <c r="AM107" s="40" t="n">
        <v>38.291</v>
      </c>
      <c r="AN107" s="40" t="n">
        <v>11.31</v>
      </c>
      <c r="AO107" s="40" t="n">
        <v>10.937</v>
      </c>
      <c r="AP107" s="31" t="n">
        <f aca="false">AN107+AO107</f>
        <v>22.247</v>
      </c>
      <c r="AQ107" s="40" t="n">
        <v>10.473</v>
      </c>
      <c r="AR107" s="40" t="n">
        <v>11.807</v>
      </c>
      <c r="AS107" s="40" t="n">
        <v>44.527</v>
      </c>
      <c r="AT107" s="40" t="n">
        <v>10.816</v>
      </c>
      <c r="AU107" s="40" t="n">
        <v>10.117</v>
      </c>
      <c r="AV107" s="31" t="n">
        <f aca="false">AT107+AU107</f>
        <v>20.933</v>
      </c>
      <c r="AW107" s="40" t="n">
        <v>10.09</v>
      </c>
      <c r="AX107" s="40" t="n">
        <v>10.254</v>
      </c>
      <c r="AY107" s="40" t="n">
        <v>41.277</v>
      </c>
      <c r="AZ107" s="40" t="n">
        <v>9.182</v>
      </c>
      <c r="BA107" s="40" t="n">
        <v>8.882</v>
      </c>
      <c r="BB107" s="31" t="n">
        <f aca="false">AZ107+BA107</f>
        <v>18.064</v>
      </c>
      <c r="BC107" s="40" t="n">
        <v>8.737</v>
      </c>
      <c r="BD107" s="40" t="n">
        <v>8.767</v>
      </c>
      <c r="BE107" s="40" t="n">
        <v>35.568</v>
      </c>
      <c r="BF107" s="40" t="n">
        <v>8.946</v>
      </c>
      <c r="BG107" s="40" t="n">
        <v>8.867</v>
      </c>
      <c r="BH107" s="31" t="n">
        <f aca="false">BF107+BG107</f>
        <v>17.813</v>
      </c>
      <c r="BI107" s="40" t="n">
        <v>8.807</v>
      </c>
      <c r="BJ107" s="40" t="n">
        <v>10.373</v>
      </c>
      <c r="BK107" s="40" t="n">
        <v>36.993</v>
      </c>
      <c r="BL107" s="40" t="n">
        <v>20.686</v>
      </c>
      <c r="BM107" s="40" t="n">
        <v>18.463</v>
      </c>
      <c r="BN107" s="31" t="n">
        <f aca="false">BL107+BM107</f>
        <v>39.149</v>
      </c>
      <c r="BO107" s="40" t="n">
        <v>9.199</v>
      </c>
      <c r="BP107" s="40" t="n">
        <v>9.532</v>
      </c>
      <c r="BQ107" s="40" t="n">
        <v>57.88</v>
      </c>
      <c r="BR107" s="40" t="n">
        <v>20.9</v>
      </c>
      <c r="BS107" s="40" t="n">
        <v>65</v>
      </c>
      <c r="BT107" s="31" t="n">
        <f aca="false">BR107+BS107</f>
        <v>85.9</v>
      </c>
      <c r="BU107" s="40" t="n">
        <v>63.7</v>
      </c>
      <c r="BV107" s="40" t="n">
        <v>64.2</v>
      </c>
      <c r="BW107" s="40" t="n">
        <v>213.8</v>
      </c>
      <c r="BX107" s="40" t="n">
        <v>63.9</v>
      </c>
      <c r="BY107" s="40" t="n">
        <v>59.9</v>
      </c>
      <c r="BZ107" s="31" t="n">
        <f aca="false">BX107+BY107</f>
        <v>123.8</v>
      </c>
      <c r="CA107" s="40" t="n">
        <v>57.2</v>
      </c>
      <c r="CB107" s="40" t="n">
        <v>52.7</v>
      </c>
      <c r="CC107" s="40" t="n">
        <v>233.7</v>
      </c>
      <c r="CD107" s="40" t="n">
        <v>49.9</v>
      </c>
      <c r="CE107" s="40" t="n">
        <v>47.5</v>
      </c>
      <c r="CF107" s="31" t="n">
        <f aca="false">CD107+CE107</f>
        <v>97.4</v>
      </c>
      <c r="CG107" s="40" t="n">
        <v>48.2</v>
      </c>
      <c r="CH107" s="40" t="n">
        <v>46</v>
      </c>
      <c r="CI107" s="40" t="n">
        <v>191.6</v>
      </c>
      <c r="CJ107" s="40" t="n">
        <v>44</v>
      </c>
      <c r="CK107" s="40" t="n">
        <v>42.4</v>
      </c>
      <c r="CL107" s="31" t="n">
        <f aca="false">CJ107+CK107</f>
        <v>86.4</v>
      </c>
      <c r="CM107" s="32" t="n">
        <f aca="false">CL107/2</f>
        <v>43.2</v>
      </c>
      <c r="CN107" s="32" t="n">
        <f aca="false">CL107/2</f>
        <v>43.2</v>
      </c>
      <c r="CO107" s="32" t="n">
        <f aca="false">SUM(CJ107,CK107,CM107,CN107)</f>
        <v>172.8</v>
      </c>
      <c r="CP107" s="32" t="n">
        <f aca="false">CP342*AVERAGE(CP340,CO340)</f>
        <v>165</v>
      </c>
      <c r="CQ107" s="32" t="n">
        <f aca="false">CQ342*AVERAGE(CQ340,CP340)</f>
        <v>156.35</v>
      </c>
      <c r="CR107" s="32" t="n">
        <f aca="false">CR342*AVERAGE(CR340,CQ340)</f>
        <v>147.9</v>
      </c>
      <c r="CS107" s="32" t="n">
        <f aca="false">CS342*AVERAGE(CS340,CR340)</f>
        <v>142.1</v>
      </c>
      <c r="CT107" s="23" t="s">
        <v>233</v>
      </c>
      <c r="CV107" s="7"/>
      <c r="CW107" s="7"/>
      <c r="CX107" s="7"/>
      <c r="CY107" s="7"/>
    </row>
    <row r="108" customFormat="false" ht="15" hidden="false" customHeight="true" outlineLevel="0" collapsed="false">
      <c r="B108" s="13" t="s">
        <v>234</v>
      </c>
      <c r="C108" s="40" t="n">
        <v>6.664</v>
      </c>
      <c r="D108" s="40" t="n">
        <v>7.393</v>
      </c>
      <c r="E108" s="40" t="n">
        <v>4.994</v>
      </c>
      <c r="F108" s="40" t="n">
        <v>2.4</v>
      </c>
      <c r="G108" s="40" t="n">
        <v>2.035</v>
      </c>
      <c r="H108" s="40" t="n">
        <v>2.326</v>
      </c>
      <c r="I108" s="40" t="n">
        <v>2.42</v>
      </c>
      <c r="J108" s="40" t="n">
        <v>0.547</v>
      </c>
      <c r="K108" s="40" t="n">
        <v>0.785</v>
      </c>
      <c r="L108" s="31" t="n">
        <f aca="false">J108+K108</f>
        <v>1.332</v>
      </c>
      <c r="M108" s="40" t="n">
        <v>0.73</v>
      </c>
      <c r="N108" s="40" t="n">
        <v>0.646</v>
      </c>
      <c r="O108" s="40" t="n">
        <v>2.708</v>
      </c>
      <c r="P108" s="40" t="n">
        <v>0.508</v>
      </c>
      <c r="Q108" s="40" t="n">
        <v>0.617</v>
      </c>
      <c r="R108" s="31" t="n">
        <f aca="false">P108+Q108</f>
        <v>1.125</v>
      </c>
      <c r="S108" s="40" t="n">
        <v>0.523</v>
      </c>
      <c r="T108" s="40" t="n">
        <v>0.574</v>
      </c>
      <c r="U108" s="40" t="n">
        <v>2.222</v>
      </c>
      <c r="V108" s="40" t="n">
        <v>0.847</v>
      </c>
      <c r="W108" s="40" t="n">
        <v>0.68</v>
      </c>
      <c r="X108" s="31" t="n">
        <f aca="false">V108+W108</f>
        <v>1.527</v>
      </c>
      <c r="Y108" s="40" t="n">
        <v>0.548</v>
      </c>
      <c r="Z108" s="40" t="n">
        <v>0.585</v>
      </c>
      <c r="AA108" s="40" t="n">
        <v>2.66</v>
      </c>
      <c r="AB108" s="40" t="n">
        <v>0.498</v>
      </c>
      <c r="AC108" s="40" t="n">
        <v>0.487</v>
      </c>
      <c r="AD108" s="31" t="n">
        <f aca="false">AB108+AC108</f>
        <v>0.985</v>
      </c>
      <c r="AE108" s="40" t="n">
        <v>0.369</v>
      </c>
      <c r="AF108" s="40" t="n">
        <v>0.509</v>
      </c>
      <c r="AG108" s="40" t="n">
        <v>1.863</v>
      </c>
      <c r="AH108" s="40" t="n">
        <v>0.955</v>
      </c>
      <c r="AI108" s="40" t="n">
        <v>0.987</v>
      </c>
      <c r="AJ108" s="31" t="n">
        <f aca="false">AH108+AI108</f>
        <v>1.942</v>
      </c>
      <c r="AK108" s="40" t="n">
        <v>0.517</v>
      </c>
      <c r="AL108" s="40" t="n">
        <v>0.735</v>
      </c>
      <c r="AM108" s="40" t="n">
        <v>3.194</v>
      </c>
      <c r="AN108" s="40" t="n">
        <v>0.392</v>
      </c>
      <c r="AO108" s="40" t="n">
        <v>0.837</v>
      </c>
      <c r="AP108" s="31" t="n">
        <f aca="false">AN108+AO108</f>
        <v>1.229</v>
      </c>
      <c r="AQ108" s="40" t="n">
        <v>0.78</v>
      </c>
      <c r="AR108" s="40" t="n">
        <v>0.879</v>
      </c>
      <c r="AS108" s="40" t="n">
        <v>2.888</v>
      </c>
      <c r="AT108" s="40" t="n">
        <v>0.855</v>
      </c>
      <c r="AU108" s="40" t="n">
        <v>1.063</v>
      </c>
      <c r="AV108" s="31" t="n">
        <f aca="false">AT108+AU108</f>
        <v>1.918</v>
      </c>
      <c r="AW108" s="40" t="n">
        <v>0.517</v>
      </c>
      <c r="AX108" s="40" t="n">
        <v>1.367</v>
      </c>
      <c r="AY108" s="40" t="n">
        <v>3.802</v>
      </c>
      <c r="AZ108" s="40" t="n">
        <v>0.872</v>
      </c>
      <c r="BA108" s="40" t="n">
        <v>0.393</v>
      </c>
      <c r="BB108" s="31" t="n">
        <f aca="false">AZ108+BA108</f>
        <v>1.265</v>
      </c>
      <c r="BC108" s="40" t="n">
        <v>0.51</v>
      </c>
      <c r="BD108" s="40" t="n">
        <v>0.563</v>
      </c>
      <c r="BE108" s="40" t="n">
        <v>2.337</v>
      </c>
      <c r="BF108" s="40" t="n">
        <v>0.303</v>
      </c>
      <c r="BG108" s="40" t="n">
        <v>0.332</v>
      </c>
      <c r="BH108" s="31" t="n">
        <f aca="false">BF108+BG108</f>
        <v>0.635</v>
      </c>
      <c r="BI108" s="40" t="n">
        <v>0.375</v>
      </c>
      <c r="BJ108" s="40" t="n">
        <v>0.393</v>
      </c>
      <c r="BK108" s="40" t="n">
        <v>1.402</v>
      </c>
      <c r="BL108" s="40" t="n">
        <v>0.544</v>
      </c>
      <c r="BM108" s="40" t="n">
        <v>0.871</v>
      </c>
      <c r="BN108" s="31" t="n">
        <f aca="false">BL108+BM108</f>
        <v>1.415</v>
      </c>
      <c r="BO108" s="40" t="n">
        <v>1.827</v>
      </c>
      <c r="BP108" s="40" t="n">
        <v>3.73</v>
      </c>
      <c r="BQ108" s="40" t="n">
        <v>6.971</v>
      </c>
      <c r="BR108" s="40" t="n">
        <v>6.3</v>
      </c>
      <c r="BS108" s="40" t="n">
        <v>5</v>
      </c>
      <c r="BT108" s="31" t="n">
        <f aca="false">BR108+BS108</f>
        <v>11.3</v>
      </c>
      <c r="BU108" s="40" t="n">
        <v>4.5</v>
      </c>
      <c r="BV108" s="40" t="n">
        <v>6.2</v>
      </c>
      <c r="BW108" s="40" t="n">
        <v>22</v>
      </c>
      <c r="BX108" s="40" t="n">
        <v>6.6</v>
      </c>
      <c r="BY108" s="40" t="n">
        <v>6.8</v>
      </c>
      <c r="BZ108" s="31" t="n">
        <f aca="false">BX108+BY108</f>
        <v>13.4</v>
      </c>
      <c r="CA108" s="40" t="n">
        <v>6.9</v>
      </c>
      <c r="CB108" s="40" t="n">
        <v>5.9</v>
      </c>
      <c r="CC108" s="40" t="n">
        <v>26.2</v>
      </c>
      <c r="CD108" s="40" t="n">
        <v>3</v>
      </c>
      <c r="CE108" s="40" t="n">
        <v>4</v>
      </c>
      <c r="CF108" s="31" t="n">
        <f aca="false">CD108+CE108</f>
        <v>7</v>
      </c>
      <c r="CG108" s="40" t="n">
        <v>3.6</v>
      </c>
      <c r="CH108" s="40" t="n">
        <v>4.3</v>
      </c>
      <c r="CI108" s="40" t="n">
        <v>14.9</v>
      </c>
      <c r="CJ108" s="40" t="n">
        <v>2.6</v>
      </c>
      <c r="CK108" s="40" t="n">
        <v>3.3</v>
      </c>
      <c r="CL108" s="31" t="n">
        <f aca="false">CJ108+CK108</f>
        <v>5.9</v>
      </c>
      <c r="CM108" s="32" t="n">
        <f aca="false">CL108/2</f>
        <v>2.95</v>
      </c>
      <c r="CN108" s="32" t="n">
        <f aca="false">CL108/2</f>
        <v>2.95</v>
      </c>
      <c r="CO108" s="32" t="n">
        <f aca="false">SUM(CJ108,CK108,CM108,CN108)</f>
        <v>11.8</v>
      </c>
      <c r="CP108" s="32" t="n">
        <f aca="false">CP343*CO274</f>
        <v>15.8222021126591</v>
      </c>
      <c r="CQ108" s="32" t="n">
        <f aca="false">CQ343*CP274</f>
        <v>17.0288968248338</v>
      </c>
      <c r="CR108" s="32" t="n">
        <f aca="false">CR343*CQ274</f>
        <v>20.1101242025153</v>
      </c>
      <c r="CS108" s="32" t="n">
        <f aca="false">CS343*CR274</f>
        <v>23.8669252283195</v>
      </c>
      <c r="CT108" s="23" t="s">
        <v>235</v>
      </c>
      <c r="CV108" s="7"/>
      <c r="CW108" s="7"/>
      <c r="CX108" s="7"/>
      <c r="CY108" s="7"/>
    </row>
    <row r="109" customFormat="false" ht="15" hidden="false" customHeight="true" outlineLevel="0" collapsed="false">
      <c r="B109" s="13" t="s">
        <v>236</v>
      </c>
      <c r="C109" s="40" t="n">
        <v>1.079</v>
      </c>
      <c r="D109" s="40" t="n">
        <v>1.471</v>
      </c>
      <c r="E109" s="40" t="n">
        <v>1.375</v>
      </c>
      <c r="F109" s="40" t="n">
        <v>2.857</v>
      </c>
      <c r="G109" s="40" t="n">
        <v>1.823</v>
      </c>
      <c r="H109" s="40" t="n">
        <v>4.242</v>
      </c>
      <c r="I109" s="40" t="n">
        <v>-0.891</v>
      </c>
      <c r="J109" s="40" t="n">
        <v>-0.014</v>
      </c>
      <c r="K109" s="40" t="n">
        <v>0.843</v>
      </c>
      <c r="L109" s="31" t="n">
        <f aca="false">J109+K109</f>
        <v>0.829</v>
      </c>
      <c r="M109" s="40" t="n">
        <v>0.756</v>
      </c>
      <c r="N109" s="40" t="n">
        <v>0.937</v>
      </c>
      <c r="O109" s="40" t="n">
        <v>2.522</v>
      </c>
      <c r="P109" s="40" t="n">
        <v>0.807</v>
      </c>
      <c r="Q109" s="40" t="n">
        <v>0.688</v>
      </c>
      <c r="R109" s="31" t="n">
        <f aca="false">P109+Q109</f>
        <v>1.495</v>
      </c>
      <c r="S109" s="40" t="n">
        <v>0.743</v>
      </c>
      <c r="T109" s="40" t="n">
        <v>1.928</v>
      </c>
      <c r="U109" s="40" t="n">
        <v>4.166</v>
      </c>
      <c r="V109" s="40" t="n">
        <v>0.946</v>
      </c>
      <c r="W109" s="40" t="n">
        <v>1.091</v>
      </c>
      <c r="X109" s="31" t="n">
        <f aca="false">V109+W109</f>
        <v>2.037</v>
      </c>
      <c r="Y109" s="40" t="n">
        <v>1.102</v>
      </c>
      <c r="Z109" s="40" t="n">
        <v>0.759</v>
      </c>
      <c r="AA109" s="40" t="n">
        <v>3.898</v>
      </c>
      <c r="AB109" s="40" t="n">
        <v>1.217</v>
      </c>
      <c r="AC109" s="40" t="n">
        <v>0.746</v>
      </c>
      <c r="AD109" s="31" t="n">
        <f aca="false">AB109+AC109</f>
        <v>1.963</v>
      </c>
      <c r="AE109" s="40" t="n">
        <v>0.46</v>
      </c>
      <c r="AF109" s="40" t="n">
        <v>2.837</v>
      </c>
      <c r="AG109" s="40" t="n">
        <v>5.26</v>
      </c>
      <c r="AH109" s="40" t="n">
        <v>1.329</v>
      </c>
      <c r="AI109" s="40" t="n">
        <v>2.483</v>
      </c>
      <c r="AJ109" s="31" t="n">
        <f aca="false">AH109+AI109</f>
        <v>3.812</v>
      </c>
      <c r="AK109" s="40" t="n">
        <v>0.075</v>
      </c>
      <c r="AL109" s="40" t="n">
        <v>1.15</v>
      </c>
      <c r="AM109" s="40" t="n">
        <v>5.037</v>
      </c>
      <c r="AN109" s="40" t="n">
        <v>0.521</v>
      </c>
      <c r="AO109" s="40" t="n">
        <v>0.063</v>
      </c>
      <c r="AP109" s="31" t="n">
        <f aca="false">AN109+AO109</f>
        <v>0.584</v>
      </c>
      <c r="AQ109" s="40" t="n">
        <v>6.402</v>
      </c>
      <c r="AR109" s="40" t="n">
        <v>1.976</v>
      </c>
      <c r="AS109" s="40" t="n">
        <v>8.962</v>
      </c>
      <c r="AT109" s="40" t="n">
        <v>1.184</v>
      </c>
      <c r="AU109" s="40" t="n">
        <v>0.616</v>
      </c>
      <c r="AV109" s="31" t="n">
        <f aca="false">AT109+AU109</f>
        <v>1.8</v>
      </c>
      <c r="AW109" s="40" t="n">
        <v>1.445</v>
      </c>
      <c r="AX109" s="40" t="n">
        <v>1.791</v>
      </c>
      <c r="AY109" s="40" t="n">
        <v>5.036</v>
      </c>
      <c r="AZ109" s="40" t="n">
        <v>2.705</v>
      </c>
      <c r="BA109" s="40" t="n">
        <v>0.464</v>
      </c>
      <c r="BB109" s="31" t="n">
        <f aca="false">AZ109+BA109</f>
        <v>3.169</v>
      </c>
      <c r="BC109" s="40" t="n">
        <v>1.77</v>
      </c>
      <c r="BD109" s="40" t="n">
        <v>1.02</v>
      </c>
      <c r="BE109" s="40" t="n">
        <v>5.959</v>
      </c>
      <c r="BF109" s="40" t="n">
        <v>0.699</v>
      </c>
      <c r="BG109" s="40" t="n">
        <v>0.864</v>
      </c>
      <c r="BH109" s="31" t="n">
        <f aca="false">BF109+BG109</f>
        <v>1.563</v>
      </c>
      <c r="BI109" s="40" t="n">
        <v>0.227</v>
      </c>
      <c r="BJ109" s="40" t="n">
        <v>0.134</v>
      </c>
      <c r="BK109" s="40" t="n">
        <v>1.924</v>
      </c>
      <c r="BL109" s="40" t="n">
        <v>0.376</v>
      </c>
      <c r="BM109" s="40" t="n">
        <v>0.768</v>
      </c>
      <c r="BN109" s="31" t="n">
        <f aca="false">BL109+BM109</f>
        <v>1.144</v>
      </c>
      <c r="BO109" s="40" t="n">
        <v>1.039</v>
      </c>
      <c r="BP109" s="40" t="n">
        <v>-1.094</v>
      </c>
      <c r="BQ109" s="40" t="n">
        <v>1.089</v>
      </c>
      <c r="BR109" s="40" t="n">
        <v>2.4</v>
      </c>
      <c r="BS109" s="40" t="n">
        <v>0.2</v>
      </c>
      <c r="BT109" s="31" t="n">
        <f aca="false">BR109+BS109</f>
        <v>2.6</v>
      </c>
      <c r="BU109" s="40" t="n">
        <v>0.4</v>
      </c>
      <c r="BV109" s="40" t="n">
        <v>1.7</v>
      </c>
      <c r="BW109" s="40" t="n">
        <v>4.7</v>
      </c>
      <c r="BX109" s="40" t="n">
        <v>-0.8</v>
      </c>
      <c r="BY109" s="40" t="n">
        <v>-0.2</v>
      </c>
      <c r="BZ109" s="31" t="n">
        <f aca="false">BX109+BY109</f>
        <v>-1</v>
      </c>
      <c r="CA109" s="40" t="n">
        <v>-1.2</v>
      </c>
      <c r="CB109" s="40" t="n">
        <v>0.5</v>
      </c>
      <c r="CC109" s="40" t="n">
        <v>-1.7</v>
      </c>
      <c r="CD109" s="40" t="n">
        <v>0.7</v>
      </c>
      <c r="CE109" s="40" t="n">
        <v>0.2</v>
      </c>
      <c r="CF109" s="31" t="n">
        <f aca="false">CD109+CE109</f>
        <v>0.9</v>
      </c>
      <c r="CG109" s="40" t="n">
        <v>-1.6</v>
      </c>
      <c r="CH109" s="40" t="n">
        <v>0.6</v>
      </c>
      <c r="CI109" s="40" t="n">
        <v>-0.1</v>
      </c>
      <c r="CJ109" s="40" t="n">
        <v>-2.3</v>
      </c>
      <c r="CK109" s="40" t="n">
        <v>0.8</v>
      </c>
      <c r="CL109" s="31" t="n">
        <f aca="false">CJ109+CK109</f>
        <v>-1.5</v>
      </c>
      <c r="CM109" s="49" t="n">
        <v>0</v>
      </c>
      <c r="CN109" s="49" t="n">
        <v>0</v>
      </c>
      <c r="CO109" s="32" t="n">
        <f aca="false">SUM(CJ109,CK109,CM109,CN109)</f>
        <v>-1.5</v>
      </c>
      <c r="CP109" s="49" t="n">
        <v>0</v>
      </c>
      <c r="CQ109" s="49" t="n">
        <v>0</v>
      </c>
      <c r="CR109" s="49" t="n">
        <v>0</v>
      </c>
      <c r="CS109" s="49" t="n">
        <v>0</v>
      </c>
      <c r="CT109" s="23"/>
      <c r="CV109" s="7"/>
      <c r="CW109" s="7"/>
      <c r="CX109" s="7"/>
      <c r="CY109" s="7"/>
    </row>
    <row r="110" customFormat="false" ht="15" hidden="false" customHeight="true" outlineLevel="0" collapsed="false">
      <c r="B110" s="13" t="s">
        <v>237</v>
      </c>
      <c r="C110" s="40" t="n">
        <v>-0.451</v>
      </c>
      <c r="D110" s="40" t="n">
        <v>2.802</v>
      </c>
      <c r="E110" s="40" t="n">
        <v>11.656</v>
      </c>
      <c r="F110" s="40" t="n">
        <v>-1.085</v>
      </c>
      <c r="G110" s="40" t="n">
        <v>-0.049</v>
      </c>
      <c r="H110" s="40" t="n">
        <v>-0.585</v>
      </c>
      <c r="I110" s="40" t="n">
        <v>-0.619</v>
      </c>
      <c r="J110" s="40" t="n">
        <v>0.095</v>
      </c>
      <c r="K110" s="40" t="n">
        <v>-0.048</v>
      </c>
      <c r="L110" s="31" t="n">
        <f aca="false">J110+K110</f>
        <v>0.047</v>
      </c>
      <c r="M110" s="40" t="n">
        <v>-0.121</v>
      </c>
      <c r="N110" s="40" t="n">
        <v>0.102</v>
      </c>
      <c r="O110" s="40" t="n">
        <v>0.028</v>
      </c>
      <c r="P110" s="40" t="n">
        <v>1.291</v>
      </c>
      <c r="Q110" s="40" t="n">
        <v>-0.212</v>
      </c>
      <c r="R110" s="31" t="n">
        <f aca="false">P110+Q110</f>
        <v>1.079</v>
      </c>
      <c r="S110" s="40" t="n">
        <v>1.078</v>
      </c>
      <c r="T110" s="40" t="n">
        <v>-0.115</v>
      </c>
      <c r="U110" s="40" t="n">
        <v>2.042</v>
      </c>
      <c r="V110" s="40" t="n">
        <v>3.207</v>
      </c>
      <c r="W110" s="40" t="n">
        <v>-0.438</v>
      </c>
      <c r="X110" s="31" t="n">
        <f aca="false">V110+W110</f>
        <v>2.769</v>
      </c>
      <c r="Y110" s="40" t="n">
        <v>-0.718</v>
      </c>
      <c r="Z110" s="40" t="n">
        <v>0.271</v>
      </c>
      <c r="AA110" s="40" t="n">
        <v>2.322</v>
      </c>
      <c r="AB110" s="40" t="n">
        <v>0.683</v>
      </c>
      <c r="AC110" s="40" t="n">
        <v>-0.734</v>
      </c>
      <c r="AD110" s="31" t="n">
        <f aca="false">AB110+AC110</f>
        <v>-0.0509999999999999</v>
      </c>
      <c r="AE110" s="40" t="n">
        <v>-0.281</v>
      </c>
      <c r="AF110" s="40" t="n">
        <v>-1.099</v>
      </c>
      <c r="AG110" s="40" t="n">
        <v>-1.431</v>
      </c>
      <c r="AH110" s="40" t="n">
        <v>0.73</v>
      </c>
      <c r="AI110" s="40" t="n">
        <v>0.093</v>
      </c>
      <c r="AJ110" s="31" t="n">
        <f aca="false">AH110+AI110</f>
        <v>0.823</v>
      </c>
      <c r="AK110" s="40" t="n">
        <v>-0.816</v>
      </c>
      <c r="AL110" s="40" t="n">
        <v>-2.566</v>
      </c>
      <c r="AM110" s="40" t="n">
        <v>-2.559</v>
      </c>
      <c r="AN110" s="40" t="n">
        <v>0.092</v>
      </c>
      <c r="AO110" s="40" t="n">
        <v>-0.076</v>
      </c>
      <c r="AP110" s="31" t="n">
        <f aca="false">AN110+AO110</f>
        <v>0.016</v>
      </c>
      <c r="AQ110" s="40" t="n">
        <v>-0.047</v>
      </c>
      <c r="AR110" s="40" t="n">
        <v>0.243</v>
      </c>
      <c r="AS110" s="40" t="n">
        <v>0.212</v>
      </c>
      <c r="AT110" s="40" t="n">
        <v>-0.478</v>
      </c>
      <c r="AU110" s="40" t="n">
        <v>-0.403</v>
      </c>
      <c r="AV110" s="31" t="n">
        <f aca="false">AT110+AU110</f>
        <v>-0.881</v>
      </c>
      <c r="AW110" s="40" t="n">
        <v>-0.237</v>
      </c>
      <c r="AX110" s="40" t="n">
        <v>4.055</v>
      </c>
      <c r="AY110" s="40" t="n">
        <v>2.937</v>
      </c>
      <c r="AZ110" s="40" t="n">
        <v>-0.602</v>
      </c>
      <c r="BA110" s="40" t="n">
        <v>-0.392</v>
      </c>
      <c r="BB110" s="31" t="n">
        <f aca="false">AZ110+BA110</f>
        <v>-0.994</v>
      </c>
      <c r="BC110" s="40" t="n">
        <v>-0.336</v>
      </c>
      <c r="BD110" s="40" t="n">
        <v>-0.282</v>
      </c>
      <c r="BE110" s="40" t="n">
        <v>-1.612</v>
      </c>
      <c r="BF110" s="40" t="n">
        <v>-0.277</v>
      </c>
      <c r="BG110" s="40" t="n">
        <v>-0.151</v>
      </c>
      <c r="BH110" s="31" t="n">
        <f aca="false">BF110+BG110</f>
        <v>-0.428</v>
      </c>
      <c r="BI110" s="40" t="n">
        <v>-0.36</v>
      </c>
      <c r="BJ110" s="40" t="n">
        <v>-0.004</v>
      </c>
      <c r="BK110" s="40" t="n">
        <v>-0.792</v>
      </c>
      <c r="BL110" s="40" t="n">
        <v>0.164</v>
      </c>
      <c r="BM110" s="40" t="n">
        <v>0.158</v>
      </c>
      <c r="BN110" s="31" t="n">
        <f aca="false">BL110+BM110</f>
        <v>0.322</v>
      </c>
      <c r="BO110" s="40" t="n">
        <v>0.43</v>
      </c>
      <c r="BP110" s="40" t="n">
        <v>0.202</v>
      </c>
      <c r="BQ110" s="40" t="n">
        <v>0.954</v>
      </c>
      <c r="BR110" s="40" t="n">
        <v>-0.4</v>
      </c>
      <c r="BS110" s="40" t="n">
        <v>-0.4</v>
      </c>
      <c r="BT110" s="31" t="n">
        <f aca="false">BR110+BS110</f>
        <v>-0.8</v>
      </c>
      <c r="BU110" s="40" t="n">
        <v>-0.7</v>
      </c>
      <c r="BV110" s="40" t="n">
        <v>-0.4</v>
      </c>
      <c r="BW110" s="40" t="n">
        <v>-1.8</v>
      </c>
      <c r="BX110" s="40" t="n">
        <v>-0.9</v>
      </c>
      <c r="BY110" s="40" t="n">
        <v>-1</v>
      </c>
      <c r="BZ110" s="31" t="n">
        <f aca="false">BX110+BY110</f>
        <v>-1.9</v>
      </c>
      <c r="CA110" s="40" t="n">
        <v>0.3</v>
      </c>
      <c r="CB110" s="40" t="n">
        <v>-0.3</v>
      </c>
      <c r="CC110" s="40" t="n">
        <v>-1.9</v>
      </c>
      <c r="CD110" s="40" t="n">
        <v>-0.4</v>
      </c>
      <c r="CE110" s="40" t="n">
        <v>0.2</v>
      </c>
      <c r="CF110" s="31" t="n">
        <f aca="false">CD110+CE110</f>
        <v>-0.2</v>
      </c>
      <c r="CG110" s="40" t="n">
        <v>-0.4</v>
      </c>
      <c r="CH110" s="40" t="n">
        <v>-0.4</v>
      </c>
      <c r="CI110" s="40" t="n">
        <v>-1</v>
      </c>
      <c r="CJ110" s="40" t="n">
        <v>-0.6</v>
      </c>
      <c r="CK110" s="40" t="n">
        <v>-0.5</v>
      </c>
      <c r="CL110" s="31" t="n">
        <f aca="false">CJ110+CK110</f>
        <v>-1.1</v>
      </c>
      <c r="CM110" s="49" t="n">
        <v>0</v>
      </c>
      <c r="CN110" s="49" t="n">
        <v>0</v>
      </c>
      <c r="CO110" s="32" t="n">
        <f aca="false">SUM(CJ110,CK110,CM110,CN110)</f>
        <v>-1.1</v>
      </c>
      <c r="CP110" s="49" t="n">
        <v>0</v>
      </c>
      <c r="CQ110" s="49" t="n">
        <v>0</v>
      </c>
      <c r="CR110" s="49" t="n">
        <v>0</v>
      </c>
      <c r="CS110" s="49" t="n">
        <v>0</v>
      </c>
      <c r="CT110" s="23"/>
      <c r="CV110" s="7"/>
      <c r="CW110" s="7"/>
      <c r="CX110" s="7"/>
      <c r="CY110" s="7"/>
    </row>
    <row r="111" customFormat="false" ht="15" hidden="false" customHeight="true" outlineLevel="0" collapsed="false">
      <c r="B111" s="13" t="s">
        <v>238</v>
      </c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40" t="n">
        <v>0</v>
      </c>
      <c r="AB111" s="31"/>
      <c r="AC111" s="31"/>
      <c r="AD111" s="31"/>
      <c r="AE111" s="31"/>
      <c r="AF111" s="40" t="n">
        <v>-6.787</v>
      </c>
      <c r="AG111" s="40" t="n">
        <v>-6.787</v>
      </c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40" t="n">
        <v>0</v>
      </c>
      <c r="BE111" s="40" t="n">
        <v>0</v>
      </c>
      <c r="BF111" s="40" t="n">
        <v>0</v>
      </c>
      <c r="BG111" s="40" t="n">
        <v>0</v>
      </c>
      <c r="BH111" s="31" t="n">
        <f aca="false">BF111+BG111</f>
        <v>0</v>
      </c>
      <c r="BI111" s="40" t="n">
        <v>0</v>
      </c>
      <c r="BJ111" s="40" t="n">
        <v>-1.248</v>
      </c>
      <c r="BK111" s="40" t="n">
        <v>-1.248</v>
      </c>
      <c r="BL111" s="40" t="n">
        <v>1.263</v>
      </c>
      <c r="BM111" s="40" t="n">
        <v>0</v>
      </c>
      <c r="BN111" s="31" t="n">
        <f aca="false">BL111+BM111</f>
        <v>1.263</v>
      </c>
      <c r="BO111" s="40" t="n">
        <v>0</v>
      </c>
      <c r="BP111" s="40" t="n">
        <v>0</v>
      </c>
      <c r="BQ111" s="40" t="n">
        <v>1.263</v>
      </c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49" t="n">
        <v>0</v>
      </c>
      <c r="CN111" s="49" t="n">
        <v>0</v>
      </c>
      <c r="CO111" s="32" t="n">
        <f aca="false">SUM(CJ111,CK111,CM111,CN111)</f>
        <v>0</v>
      </c>
      <c r="CP111" s="49" t="n">
        <v>0</v>
      </c>
      <c r="CQ111" s="49" t="n">
        <v>0</v>
      </c>
      <c r="CR111" s="49" t="n">
        <v>0</v>
      </c>
      <c r="CS111" s="49" t="n">
        <v>0</v>
      </c>
      <c r="CT111" s="23"/>
      <c r="CV111" s="7"/>
      <c r="CW111" s="7"/>
      <c r="CX111" s="7"/>
      <c r="CY111" s="7"/>
    </row>
    <row r="112" customFormat="false" ht="15" hidden="false" customHeight="true" outlineLevel="0" collapsed="false">
      <c r="B112" s="41" t="s">
        <v>239</v>
      </c>
      <c r="C112" s="43" t="n">
        <f aca="false">C106-C107+N(C108)+N(C109)+N(C110)+N(C111)</f>
        <v>92.0660000000001</v>
      </c>
      <c r="D112" s="43" t="n">
        <f aca="false">D106-D107+N(D108)+N(D109)+N(D110)+N(D111)</f>
        <v>111.895</v>
      </c>
      <c r="E112" s="43" t="n">
        <f aca="false">E106-E107+N(E108)+N(E109)+N(E110)+N(E111)</f>
        <v>139.284</v>
      </c>
      <c r="F112" s="43" t="n">
        <f aca="false">F106-F107+N(F108)+N(F109)+N(F110)+N(F111)</f>
        <v>131.523</v>
      </c>
      <c r="G112" s="43" t="n">
        <f aca="false">G106-G107+N(G108)+N(G109)+N(G110)+N(G111)</f>
        <v>90.358</v>
      </c>
      <c r="H112" s="43" t="n">
        <f aca="false">H106-H107+N(H108)+N(H109)+N(H110)+N(H111)</f>
        <v>108.015</v>
      </c>
      <c r="I112" s="43" t="n">
        <f aca="false">I106-I107+N(I108)+N(I109)+N(I110)+N(I111)</f>
        <v>112.015</v>
      </c>
      <c r="J112" s="20" t="n">
        <f aca="false">J106-J107+N(J108)+N(J109)+N(J110)+N(J111)</f>
        <v>20.461</v>
      </c>
      <c r="K112" s="20" t="n">
        <f aca="false">K106-K107+N(K108)+N(K109)+N(K110)+N(K111)</f>
        <v>41.248</v>
      </c>
      <c r="L112" s="20" t="n">
        <f aca="false">L106-L107+N(L108)+N(L109)+N(L110)+N(L111)</f>
        <v>61.709</v>
      </c>
      <c r="M112" s="20" t="n">
        <f aca="false">M106-M107+N(M108)+N(M109)+N(M110)+N(M111)</f>
        <v>25.633</v>
      </c>
      <c r="N112" s="20" t="n">
        <f aca="false">N106-N107+N(N108)+N(N109)+N(N110)+N(N111)</f>
        <v>47.413</v>
      </c>
      <c r="O112" s="43" t="n">
        <f aca="false">O106-O107+N(O108)+N(O109)+N(O110)+N(O111)</f>
        <v>134.755</v>
      </c>
      <c r="P112" s="20" t="n">
        <f aca="false">P106-P107+N(P108)+N(P109)+N(P110)+N(P111)</f>
        <v>18.977</v>
      </c>
      <c r="Q112" s="20" t="n">
        <f aca="false">Q106-Q107+N(Q108)+N(Q109)+N(Q110)+N(Q111)</f>
        <v>51.733</v>
      </c>
      <c r="R112" s="20" t="n">
        <f aca="false">R106-R107+N(R108)+N(R109)+N(R110)+N(R111)</f>
        <v>70.71</v>
      </c>
      <c r="S112" s="20" t="n">
        <f aca="false">S106-S107+N(S108)+N(S109)+N(S110)+N(S111)</f>
        <v>15.891</v>
      </c>
      <c r="T112" s="20" t="n">
        <f aca="false">T106-T107+N(T108)+N(T109)+N(T110)+N(T111)</f>
        <v>42.437</v>
      </c>
      <c r="U112" s="43" t="n">
        <f aca="false">U106-U107+N(U108)+N(U109)+N(U110)+N(U111)</f>
        <v>129.038</v>
      </c>
      <c r="V112" s="20" t="n">
        <f aca="false">V106-V107+N(V108)+N(V109)+N(V110)+N(V111)</f>
        <v>33.543</v>
      </c>
      <c r="W112" s="20" t="n">
        <f aca="false">W106-W107+N(W108)+N(W109)+N(W110)+N(W111)</f>
        <v>63.258</v>
      </c>
      <c r="X112" s="20" t="n">
        <f aca="false">X106-X107+N(X108)+N(X109)+N(X110)+N(X111)</f>
        <v>96.801</v>
      </c>
      <c r="Y112" s="20" t="n">
        <f aca="false">Y106-Y107+N(Y108)+N(Y109)+N(Y110)+N(Y111)</f>
        <v>29.013</v>
      </c>
      <c r="Z112" s="20" t="n">
        <f aca="false">Z106-Z107+N(Z108)+N(Z109)+N(Z110)+N(Z111)</f>
        <v>50.622</v>
      </c>
      <c r="AA112" s="43" t="n">
        <f aca="false">AA106-AA107+N(AA108)+N(AA109)+N(AA110)+N(AA111)</f>
        <v>176.436</v>
      </c>
      <c r="AB112" s="20" t="n">
        <f aca="false">AB106-AB107+N(AB108)+N(AB109)+N(AB110)+N(AB111)</f>
        <v>39.526</v>
      </c>
      <c r="AC112" s="20" t="n">
        <f aca="false">AC106-AC107+N(AC108)+N(AC109)+N(AC110)+N(AC111)</f>
        <v>53.808</v>
      </c>
      <c r="AD112" s="20" t="n">
        <f aca="false">AD106-AD107+N(AD108)+N(AD109)+N(AD110)+N(AD111)</f>
        <v>93.334</v>
      </c>
      <c r="AE112" s="20" t="n">
        <f aca="false">AE106-AE107+N(AE108)+N(AE109)+N(AE110)+N(AE111)</f>
        <v>2.18000000000001</v>
      </c>
      <c r="AF112" s="20" t="n">
        <f aca="false">AF106-AF107+N(AF108)+N(AF109)+N(AF110)+N(AF111)</f>
        <v>34.98</v>
      </c>
      <c r="AG112" s="43" t="n">
        <f aca="false">AG106-AG107+N(AG108)+N(AG109)+N(AG110)+N(AG111)</f>
        <v>130.494</v>
      </c>
      <c r="AH112" s="20" t="n">
        <f aca="false">AH106-AH107+N(AH108)+N(AH109)+N(AH110)+N(AH111)</f>
        <v>17.748</v>
      </c>
      <c r="AI112" s="20" t="n">
        <f aca="false">AI106-AI107+N(AI108)+N(AI109)+N(AI110)+N(AI111)</f>
        <v>21.738</v>
      </c>
      <c r="AJ112" s="20" t="n">
        <f aca="false">AJ106-AJ107+N(AJ108)+N(AJ109)+N(AJ110)+N(AJ111)</f>
        <v>39.486</v>
      </c>
      <c r="AK112" s="20" t="n">
        <f aca="false">AK106-AK107+N(AK108)+N(AK109)+N(AK110)+N(AK111)</f>
        <v>6.96500000000002</v>
      </c>
      <c r="AL112" s="20" t="n">
        <f aca="false">AL106-AL107+N(AL108)+N(AL109)+N(AL110)+N(AL111)</f>
        <v>30.943</v>
      </c>
      <c r="AM112" s="43" t="n">
        <f aca="false">AM106-AM107+N(AM108)+N(AM109)+N(AM110)+N(AM111)</f>
        <v>77.3940000000001</v>
      </c>
      <c r="AN112" s="20" t="n">
        <f aca="false">AN106-AN107+N(AN108)+N(AN109)+N(AN110)+N(AN111)</f>
        <v>22.476</v>
      </c>
      <c r="AO112" s="20" t="n">
        <f aca="false">AO106-AO107+N(AO108)+N(AO109)+N(AO110)+N(AO111)</f>
        <v>54.758</v>
      </c>
      <c r="AP112" s="20" t="n">
        <f aca="false">AP106-AP107+N(AP108)+N(AP109)+N(AP110)+N(AP111)</f>
        <v>77.234</v>
      </c>
      <c r="AQ112" s="20" t="n">
        <f aca="false">AQ106-AQ107+N(AQ108)+N(AQ109)+N(AQ110)+N(AQ111)</f>
        <v>27.903</v>
      </c>
      <c r="AR112" s="20" t="n">
        <f aca="false">AR106-AR107+N(AR108)+N(AR109)+N(AR110)+N(AR111)</f>
        <v>47.375</v>
      </c>
      <c r="AS112" s="43" t="n">
        <f aca="false">AS106-AS107+N(AS108)+N(AS109)+N(AS110)+N(AS111)</f>
        <v>152.512</v>
      </c>
      <c r="AT112" s="20" t="n">
        <f aca="false">AT106-AT107+N(AT108)+N(AT109)+N(AT110)+N(AT111)</f>
        <v>24.811</v>
      </c>
      <c r="AU112" s="20" t="n">
        <f aca="false">AU106-AU107+N(AU108)+N(AU109)+N(AU110)+N(AU111)</f>
        <v>69.5319999999999</v>
      </c>
      <c r="AV112" s="20" t="n">
        <f aca="false">AV106-AV107+N(AV108)+N(AV109)+N(AV110)+N(AV111)</f>
        <v>94.3430000000001</v>
      </c>
      <c r="AW112" s="20" t="n">
        <f aca="false">AW106-AW107+N(AW108)+N(AW109)+N(AW110)+N(AW111)</f>
        <v>32.032</v>
      </c>
      <c r="AX112" s="20" t="n">
        <f aca="false">AX106-AX107+N(AX108)+N(AX109)+N(AX110)+N(AX111)</f>
        <v>64.3879999999999</v>
      </c>
      <c r="AY112" s="43" t="n">
        <f aca="false">AY106-AY107+N(AY108)+N(AY109)+N(AY110)+N(AY111)</f>
        <v>190.763</v>
      </c>
      <c r="AZ112" s="20" t="n">
        <f aca="false">AZ106-AZ107+N(AZ108)+N(AZ109)+N(AZ110)+N(AZ111)</f>
        <v>28.477</v>
      </c>
      <c r="BA112" s="20" t="n">
        <f aca="false">BA106-BA107+N(BA108)+N(BA109)+N(BA110)+N(BA111)</f>
        <v>80.775</v>
      </c>
      <c r="BB112" s="20" t="n">
        <f aca="false">BB106-BB107+N(BB108)+N(BB109)+N(BB110)+N(BB111)</f>
        <v>109.252</v>
      </c>
      <c r="BC112" s="20" t="n">
        <f aca="false">BC106-BC107+N(BC108)+N(BC109)+N(BC110)+N(BC111)</f>
        <v>60.927</v>
      </c>
      <c r="BD112" s="20" t="n">
        <f aca="false">BD106-BD107+N(BD108)+N(BD109)+N(BD110)+N(BD111)</f>
        <v>65.708</v>
      </c>
      <c r="BE112" s="43" t="n">
        <f aca="false">BE106-BE107+N(BE108)+N(BE109)+N(BE110)+N(BE111)</f>
        <v>235.888</v>
      </c>
      <c r="BF112" s="20" t="n">
        <f aca="false">BF106-BF107+N(BF108)+N(BF109)+N(BF110)+N(BF111)</f>
        <v>36.558</v>
      </c>
      <c r="BG112" s="20" t="n">
        <f aca="false">BG106-BG107+N(BG108)+N(BG109)+N(BG110)+N(BG111)</f>
        <v>81.846</v>
      </c>
      <c r="BH112" s="20" t="n">
        <f aca="false">BH106-BH107+N(BH108)+N(BH109)+N(BH110)+N(BH111)</f>
        <v>118.404</v>
      </c>
      <c r="BI112" s="20" t="n">
        <f aca="false">BI106-BI107+N(BI108)+N(BI109)+N(BI110)+N(BI111)</f>
        <v>45.4140000000001</v>
      </c>
      <c r="BJ112" s="20" t="n">
        <f aca="false">BJ106-BJ107+N(BJ108)+N(BJ109)+N(BJ110)+N(BJ111)</f>
        <v>41.413</v>
      </c>
      <c r="BK112" s="43" t="n">
        <f aca="false">BK106-BK107+N(BK108)+N(BK109)+N(BK110)+N(BK111)</f>
        <v>205.232</v>
      </c>
      <c r="BL112" s="20" t="n">
        <f aca="false">BL106-BL107+N(BL108)+N(BL109)+N(BL110)+N(BL111)</f>
        <v>214.337</v>
      </c>
      <c r="BM112" s="20" t="n">
        <f aca="false">BM106-BM107+N(BM108)+N(BM109)+N(BM110)+N(BM111)</f>
        <v>75.0430000000001</v>
      </c>
      <c r="BN112" s="20" t="n">
        <f aca="false">BN106-BN107+N(BN108)+N(BN109)+N(BN110)+N(BN111)</f>
        <v>289.38</v>
      </c>
      <c r="BO112" s="20" t="n">
        <f aca="false">BO106-BO107+N(BO108)+N(BO109)+N(BO110)+N(BO111)</f>
        <v>57.621</v>
      </c>
      <c r="BP112" s="20" t="n">
        <f aca="false">BP106-BP107+N(BP108)+N(BP109)+N(BP110)+N(BP111)</f>
        <v>58.988</v>
      </c>
      <c r="BQ112" s="43" t="n">
        <f aca="false">BQ106-BQ107+N(BQ108)+N(BQ109)+N(BQ110)+N(BQ111)</f>
        <v>405.988</v>
      </c>
      <c r="BR112" s="20" t="n">
        <f aca="false">BR106-BR107+N(BR108)+N(BR109)+N(BR110)+N(BR111)</f>
        <v>-37.4999999999999</v>
      </c>
      <c r="BS112" s="20" t="n">
        <f aca="false">BS106-BS107+N(BS108)+N(BS109)+N(BS110)+N(BS111)</f>
        <v>119.4</v>
      </c>
      <c r="BT112" s="20" t="n">
        <f aca="false">BT106-BT107+N(BT108)+N(BT109)+N(BT110)+N(BT111)</f>
        <v>81.9000000000002</v>
      </c>
      <c r="BU112" s="20" t="n">
        <f aca="false">BU106-BU107+N(BU108)+N(BU109)+N(BU110)+N(BU111)</f>
        <v>86.3</v>
      </c>
      <c r="BV112" s="20" t="n">
        <f aca="false">BV106-BV107+N(BV108)+N(BV109)+N(BV110)+N(BV111)</f>
        <v>114.1</v>
      </c>
      <c r="BW112" s="43" t="n">
        <f aca="false">BW106-BW107+N(BW108)+N(BW109)+N(BW110)+N(BW111)</f>
        <v>282.4</v>
      </c>
      <c r="BX112" s="20" t="n">
        <f aca="false">BX106-BX107+N(BX108)+N(BX109)+N(BX110)+N(BX111)</f>
        <v>139.9</v>
      </c>
      <c r="BY112" s="20" t="n">
        <f aca="false">BY106-BY107+N(BY108)+N(BY109)+N(BY110)+N(BY111)</f>
        <v>147.6</v>
      </c>
      <c r="BZ112" s="20" t="n">
        <f aca="false">BZ106-BZ107+N(BZ108)+N(BZ109)+N(BZ110)+N(BZ111)</f>
        <v>287.5</v>
      </c>
      <c r="CA112" s="20" t="n">
        <f aca="false">CA106-CA107+N(CA108)+N(CA109)+N(CA110)+N(CA111)</f>
        <v>102.2</v>
      </c>
      <c r="CB112" s="20" t="n">
        <f aca="false">CB106-CB107+N(CB108)+N(CB109)+N(CB110)+N(CB111)</f>
        <v>160.4</v>
      </c>
      <c r="CC112" s="43" t="n">
        <f aca="false">CC106-CC107+N(CC108)+N(CC109)+N(CC110)+N(CC111)</f>
        <v>550.1</v>
      </c>
      <c r="CD112" s="20" t="n">
        <f aca="false">CD106-CD107+N(CD108)+N(CD109)+N(CD110)+N(CD111)</f>
        <v>142.9</v>
      </c>
      <c r="CE112" s="20" t="n">
        <f aca="false">CE106-CE107+N(CE108)+N(CE109)+N(CE110)+N(CE111)</f>
        <v>145.5</v>
      </c>
      <c r="CF112" s="20" t="n">
        <f aca="false">CF106-CF107+N(CF108)+N(CF109)+N(CF110)+N(CF111)</f>
        <v>288.400000000001</v>
      </c>
      <c r="CG112" s="20" t="n">
        <f aca="false">CG106-CG107+N(CG108)+N(CG109)+N(CG110)+N(CG111)</f>
        <v>111.7</v>
      </c>
      <c r="CH112" s="20" t="n">
        <f aca="false">CH106-CH107+N(CH108)+N(CH109)+N(CH110)+N(CH111)</f>
        <v>135.5</v>
      </c>
      <c r="CI112" s="43" t="n">
        <f aca="false">CI106-CI107+N(CI108)+N(CI109)+N(CI110)+N(CI111)</f>
        <v>535.6</v>
      </c>
      <c r="CJ112" s="20" t="n">
        <f aca="false">CJ106-CJ107+N(CJ108)+N(CJ109)+N(CJ110)+N(CJ111)</f>
        <v>173.2</v>
      </c>
      <c r="CK112" s="20" t="n">
        <f aca="false">CK106-CK107+N(CK108)+N(CK109)+N(CK110)+N(CK111)</f>
        <v>186</v>
      </c>
      <c r="CL112" s="20" t="n">
        <f aca="false">CL106-CL107+N(CL108)+N(CL109)+N(CL110)+N(CL111)</f>
        <v>359.2</v>
      </c>
      <c r="CM112" s="43" t="n">
        <f aca="false">CM106-CM107+CM108+CM109+CM110+CM111</f>
        <v>170.246936631368</v>
      </c>
      <c r="CN112" s="43" t="n">
        <f aca="false">CN106-CN107+CN108+CN109+CN110+CN111</f>
        <v>206.061030693166</v>
      </c>
      <c r="CO112" s="43" t="n">
        <f aca="false">SUM(CJ112,CK112,CM112,CN112)</f>
        <v>735.507967324534</v>
      </c>
      <c r="CP112" s="43" t="n">
        <f aca="false">CP106-CP107+CP108+CP109+CP110+CP111</f>
        <v>896.476908723332</v>
      </c>
      <c r="CQ112" s="43" t="n">
        <f aca="false">CQ106-CQ107+CQ108+CQ109+CQ110+CQ111</f>
        <v>1048.72981354579</v>
      </c>
      <c r="CR112" s="43" t="n">
        <f aca="false">CR106-CR107+CR108+CR109+CR110+CR111</f>
        <v>1169.15733718811</v>
      </c>
      <c r="CS112" s="43" t="n">
        <f aca="false">CS106-CS107+CS108+CS109+CS110+CS111</f>
        <v>1277.79729152189</v>
      </c>
      <c r="CT112" s="23"/>
      <c r="CV112" s="24" t="n">
        <f aca="false">IFERROR((CS112/CI112)^(1/5)-1,"n/m")</f>
        <v>0.189937850086454</v>
      </c>
      <c r="CW112" s="24" t="n">
        <f aca="false">IFERROR((CI112/BE112)^(1/5)-1,"n/m")</f>
        <v>0.178221501682234</v>
      </c>
      <c r="CX112" s="24" t="n">
        <f aca="false">IFERROR((CI112/AA112)^(1/10)-1,"n/m")</f>
        <v>0.117442889876064</v>
      </c>
      <c r="CY112" s="24" t="n">
        <f aca="false">IFERROR((CI112/C112)^(1/19)-1,"n/m")</f>
        <v>0.0971084038575043</v>
      </c>
    </row>
    <row r="113" customFormat="false" ht="15" hidden="false" customHeight="true" outlineLevel="0" collapsed="false">
      <c r="B113" s="13" t="s">
        <v>240</v>
      </c>
      <c r="C113" s="40" t="n">
        <v>34.848</v>
      </c>
      <c r="D113" s="40" t="n">
        <v>35.912</v>
      </c>
      <c r="E113" s="40" t="n">
        <v>37.884</v>
      </c>
      <c r="F113" s="40" t="n">
        <v>38.071</v>
      </c>
      <c r="G113" s="40" t="n">
        <v>24.683</v>
      </c>
      <c r="H113" s="40" t="n">
        <v>31.382</v>
      </c>
      <c r="I113" s="40" t="n">
        <v>32.469</v>
      </c>
      <c r="J113" s="40" t="n">
        <v>6.415</v>
      </c>
      <c r="K113" s="40" t="n">
        <v>11.22</v>
      </c>
      <c r="L113" s="31" t="n">
        <f aca="false">J113+K113</f>
        <v>17.635</v>
      </c>
      <c r="M113" s="40" t="n">
        <v>9.207</v>
      </c>
      <c r="N113" s="40" t="n">
        <v>13.287</v>
      </c>
      <c r="O113" s="40" t="n">
        <v>40.31</v>
      </c>
      <c r="P113" s="40" t="n">
        <v>4.459</v>
      </c>
      <c r="Q113" s="40" t="n">
        <v>12.598</v>
      </c>
      <c r="R113" s="31" t="n">
        <f aca="false">P113+Q113</f>
        <v>17.057</v>
      </c>
      <c r="S113" s="40" t="n">
        <v>6.288</v>
      </c>
      <c r="T113" s="40" t="n">
        <v>12.621</v>
      </c>
      <c r="U113" s="40" t="n">
        <v>36.475</v>
      </c>
      <c r="V113" s="40" t="n">
        <v>9.433</v>
      </c>
      <c r="W113" s="40" t="n">
        <v>17.412</v>
      </c>
      <c r="X113" s="31" t="n">
        <f aca="false">V113+W113</f>
        <v>26.845</v>
      </c>
      <c r="Y113" s="40" t="n">
        <v>7.766</v>
      </c>
      <c r="Z113" s="40" t="n">
        <v>3.25</v>
      </c>
      <c r="AA113" s="40" t="n">
        <v>37.861</v>
      </c>
      <c r="AB113" s="40" t="n">
        <v>9.532</v>
      </c>
      <c r="AC113" s="40" t="n">
        <v>13.217</v>
      </c>
      <c r="AD113" s="31" t="n">
        <f aca="false">AB113+AC113</f>
        <v>22.749</v>
      </c>
      <c r="AE113" s="40" t="n">
        <v>7.18</v>
      </c>
      <c r="AF113" s="40" t="n">
        <v>7.053</v>
      </c>
      <c r="AG113" s="40" t="n">
        <v>36.982</v>
      </c>
      <c r="AH113" s="40" t="n">
        <v>7.315</v>
      </c>
      <c r="AI113" s="40" t="n">
        <v>4.025</v>
      </c>
      <c r="AJ113" s="31" t="n">
        <f aca="false">AH113+AI113</f>
        <v>11.34</v>
      </c>
      <c r="AK113" s="40" t="n">
        <v>-3.358</v>
      </c>
      <c r="AL113" s="40" t="n">
        <v>-5.894</v>
      </c>
      <c r="AM113" s="40" t="n">
        <v>2.088</v>
      </c>
      <c r="AN113" s="40" t="n">
        <v>5.269</v>
      </c>
      <c r="AO113" s="40" t="n">
        <v>9.031</v>
      </c>
      <c r="AP113" s="31" t="n">
        <f aca="false">AN113+AO113</f>
        <v>14.3</v>
      </c>
      <c r="AQ113" s="40" t="n">
        <v>4.791</v>
      </c>
      <c r="AR113" s="40" t="n">
        <v>11.915</v>
      </c>
      <c r="AS113" s="40" t="n">
        <v>31.006</v>
      </c>
      <c r="AT113" s="40" t="n">
        <v>6.639</v>
      </c>
      <c r="AU113" s="40" t="n">
        <v>15.401</v>
      </c>
      <c r="AV113" s="31" t="n">
        <f aca="false">AT113+AU113</f>
        <v>22.04</v>
      </c>
      <c r="AW113" s="40" t="n">
        <v>6.76</v>
      </c>
      <c r="AX113" s="40" t="n">
        <v>12.823</v>
      </c>
      <c r="AY113" s="40" t="n">
        <v>41.623</v>
      </c>
      <c r="AZ113" s="40" t="n">
        <v>5.648</v>
      </c>
      <c r="BA113" s="40" t="n">
        <v>27.656</v>
      </c>
      <c r="BB113" s="31" t="n">
        <f aca="false">AZ113+BA113</f>
        <v>33.304</v>
      </c>
      <c r="BC113" s="40" t="n">
        <v>15.437</v>
      </c>
      <c r="BD113" s="40" t="n">
        <v>16.789</v>
      </c>
      <c r="BE113" s="40" t="n">
        <v>65.53</v>
      </c>
      <c r="BF113" s="40" t="n">
        <v>8.419</v>
      </c>
      <c r="BG113" s="40" t="n">
        <v>21.065</v>
      </c>
      <c r="BH113" s="31" t="n">
        <f aca="false">BF113+BG113</f>
        <v>29.484</v>
      </c>
      <c r="BI113" s="40" t="n">
        <v>13.057</v>
      </c>
      <c r="BJ113" s="40" t="n">
        <v>10.837</v>
      </c>
      <c r="BK113" s="40" t="n">
        <v>53.378</v>
      </c>
      <c r="BL113" s="40" t="n">
        <v>36.236</v>
      </c>
      <c r="BM113" s="40" t="n">
        <v>21.632</v>
      </c>
      <c r="BN113" s="31" t="n">
        <f aca="false">BL113+BM113</f>
        <v>57.868</v>
      </c>
      <c r="BO113" s="40" t="n">
        <v>14.697</v>
      </c>
      <c r="BP113" s="40" t="n">
        <v>13.666</v>
      </c>
      <c r="BQ113" s="40" t="n">
        <v>86.23</v>
      </c>
      <c r="BR113" s="40" t="n">
        <v>-9.3</v>
      </c>
      <c r="BS113" s="40" t="n">
        <v>32.6</v>
      </c>
      <c r="BT113" s="31" t="n">
        <f aca="false">BR113+BS113</f>
        <v>23.3</v>
      </c>
      <c r="BU113" s="40" t="n">
        <v>23.1</v>
      </c>
      <c r="BV113" s="40" t="n">
        <v>29.9</v>
      </c>
      <c r="BW113" s="40" t="n">
        <v>76.4</v>
      </c>
      <c r="BX113" s="40" t="n">
        <v>32.5</v>
      </c>
      <c r="BY113" s="40" t="n">
        <v>36.6</v>
      </c>
      <c r="BZ113" s="31" t="n">
        <f aca="false">BX113+BY113</f>
        <v>69.1</v>
      </c>
      <c r="CA113" s="40" t="n">
        <v>26.2</v>
      </c>
      <c r="CB113" s="40" t="n">
        <v>42</v>
      </c>
      <c r="CC113" s="40" t="n">
        <v>137.3</v>
      </c>
      <c r="CD113" s="40" t="n">
        <v>29.6</v>
      </c>
      <c r="CE113" s="40" t="n">
        <v>35.8</v>
      </c>
      <c r="CF113" s="31" t="n">
        <f aca="false">CD113+CE113</f>
        <v>65.4</v>
      </c>
      <c r="CG113" s="40" t="n">
        <v>16.5</v>
      </c>
      <c r="CH113" s="40" t="n">
        <v>26.1</v>
      </c>
      <c r="CI113" s="40" t="n">
        <v>108</v>
      </c>
      <c r="CJ113" s="40" t="n">
        <v>37.6</v>
      </c>
      <c r="CK113" s="40" t="n">
        <v>42.4</v>
      </c>
      <c r="CL113" s="31" t="n">
        <f aca="false">CJ113+CK113</f>
        <v>80</v>
      </c>
      <c r="CM113" s="32" t="n">
        <f aca="false">($DD$16*(CL112+CM112+CN112)-CL113)/2</f>
        <v>48.260956078944</v>
      </c>
      <c r="CN113" s="32" t="n">
        <f aca="false">($DD$16*(CL112+CM112+CN112)-CL113)/2</f>
        <v>48.260956078944</v>
      </c>
      <c r="CO113" s="32" t="n">
        <f aca="false">SUM(CJ113,CK113,CM113,CN113)</f>
        <v>176.521912157888</v>
      </c>
      <c r="CP113" s="32" t="n">
        <f aca="false">CP112*CP114</f>
        <v>215.1544580936</v>
      </c>
      <c r="CQ113" s="32" t="n">
        <f aca="false">CQ112*CQ114</f>
        <v>251.69515525099</v>
      </c>
      <c r="CR113" s="32" t="n">
        <f aca="false">CR112*CR114</f>
        <v>280.597760925147</v>
      </c>
      <c r="CS113" s="32" t="n">
        <f aca="false">CS112*CS114</f>
        <v>306.671349965254</v>
      </c>
      <c r="CT113" s="23" t="s">
        <v>241</v>
      </c>
      <c r="CV113" s="7"/>
      <c r="CW113" s="7"/>
      <c r="CX113" s="7"/>
      <c r="CY113" s="7"/>
    </row>
    <row r="114" customFormat="false" ht="15" hidden="false" customHeight="true" outlineLevel="0" collapsed="false">
      <c r="B114" s="30" t="s">
        <v>242</v>
      </c>
      <c r="C114" s="44" t="n">
        <f aca="false">IFERROR(C113/C112,"")</f>
        <v>0.378511068146764</v>
      </c>
      <c r="D114" s="44" t="n">
        <f aca="false">IFERROR(D113/D112,"")</f>
        <v>0.320943741900889</v>
      </c>
      <c r="E114" s="44" t="n">
        <f aca="false">IFERROR(E113/E112,"")</f>
        <v>0.271991039889722</v>
      </c>
      <c r="F114" s="44" t="n">
        <f aca="false">IFERROR(F113/F112,"")</f>
        <v>0.289462679531337</v>
      </c>
      <c r="G114" s="44" t="n">
        <f aca="false">IFERROR(G113/G112,"")</f>
        <v>0.273168950175967</v>
      </c>
      <c r="H114" s="44" t="n">
        <f aca="false">IFERROR(H113/H112,"")</f>
        <v>0.290533722168217</v>
      </c>
      <c r="I114" s="44" t="n">
        <f aca="false">IFERROR(I113/I112,"")</f>
        <v>0.289862964781503</v>
      </c>
      <c r="J114" s="44" t="n">
        <f aca="false">IFERROR(J113/J112,"")</f>
        <v>0.313523288206832</v>
      </c>
      <c r="K114" s="44" t="n">
        <f aca="false">IFERROR(K113/K112,"")</f>
        <v>0.272013188518231</v>
      </c>
      <c r="L114" s="44" t="n">
        <f aca="false">IFERROR(L113/L112,"")</f>
        <v>0.285776791067754</v>
      </c>
      <c r="M114" s="44" t="n">
        <f aca="false">IFERROR(M113/M112,"")</f>
        <v>0.359185425038037</v>
      </c>
      <c r="N114" s="44" t="n">
        <f aca="false">IFERROR(N113/N112,"")</f>
        <v>0.280239596735073</v>
      </c>
      <c r="O114" s="44" t="n">
        <f aca="false">IFERROR(O113/O112,"")</f>
        <v>0.299135468071686</v>
      </c>
      <c r="P114" s="44" t="n">
        <f aca="false">IFERROR(P113/P112,"")</f>
        <v>0.234968646255994</v>
      </c>
      <c r="Q114" s="44" t="n">
        <f aca="false">IFERROR(Q113/Q112,"")</f>
        <v>0.243519610306767</v>
      </c>
      <c r="R114" s="44" t="n">
        <f aca="false">IFERROR(R113/R112,"")</f>
        <v>0.241224720690143</v>
      </c>
      <c r="S114" s="44" t="n">
        <f aca="false">IFERROR(S113/S112,"")</f>
        <v>0.395695676798188</v>
      </c>
      <c r="T114" s="44" t="n">
        <f aca="false">IFERROR(T113/T112,"")</f>
        <v>0.297405565897684</v>
      </c>
      <c r="U114" s="44" t="n">
        <f aca="false">IFERROR(U113/U112,"")</f>
        <v>0.28266867124413</v>
      </c>
      <c r="V114" s="44" t="n">
        <f aca="false">IFERROR(V113/V112,"")</f>
        <v>0.281221119160481</v>
      </c>
      <c r="W114" s="44" t="n">
        <f aca="false">IFERROR(W113/W112,"")</f>
        <v>0.275253722849284</v>
      </c>
      <c r="X114" s="44" t="n">
        <f aca="false">IFERROR(X113/X112,"")</f>
        <v>0.277321515273602</v>
      </c>
      <c r="Y114" s="44" t="n">
        <f aca="false">IFERROR(Y113/Y112,"")</f>
        <v>0.267673112053218</v>
      </c>
      <c r="Z114" s="44" t="n">
        <f aca="false">IFERROR(Z113/Z112,"")</f>
        <v>0.0642013353877761</v>
      </c>
      <c r="AA114" s="44" t="n">
        <f aca="false">IFERROR(AA113/AA112,"")</f>
        <v>0.214587725860935</v>
      </c>
      <c r="AB114" s="44" t="n">
        <f aca="false">IFERROR(AB113/AB112,"")</f>
        <v>0.241157718969792</v>
      </c>
      <c r="AC114" s="44" t="n">
        <f aca="false">IFERROR(AC113/AC112,"")</f>
        <v>0.245632619684805</v>
      </c>
      <c r="AD114" s="44" t="n">
        <f aca="false">IFERROR(AD113/AD112,"")</f>
        <v>0.243737544731823</v>
      </c>
      <c r="AE114" s="44" t="n">
        <f aca="false">IFERROR(AE113/AE112,"")</f>
        <v>3.29357798165136</v>
      </c>
      <c r="AF114" s="44" t="n">
        <f aca="false">IFERROR(AF113/AF112,"")</f>
        <v>0.201629502572899</v>
      </c>
      <c r="AG114" s="44" t="n">
        <f aca="false">IFERROR(AG113/AG112,"")</f>
        <v>0.283400003065275</v>
      </c>
      <c r="AH114" s="44" t="n">
        <f aca="false">IFERROR(AH113/AH112,"")</f>
        <v>0.412159116520171</v>
      </c>
      <c r="AI114" s="44" t="n">
        <f aca="false">IFERROR(AI113/AI112,"")</f>
        <v>0.185159628300671</v>
      </c>
      <c r="AJ114" s="44" t="n">
        <f aca="false">IFERROR(AJ113/AJ112,"")</f>
        <v>0.287190396596262</v>
      </c>
      <c r="AK114" s="44" t="n">
        <f aca="false">IFERROR(AK113/AK112,"")</f>
        <v>-0.482124910265613</v>
      </c>
      <c r="AL114" s="44" t="n">
        <f aca="false">IFERROR(AL113/AL112,"")</f>
        <v>-0.190479268332094</v>
      </c>
      <c r="AM114" s="44" t="n">
        <f aca="false">IFERROR(AM113/AM112,"")</f>
        <v>0.0269788355686487</v>
      </c>
      <c r="AN114" s="44" t="n">
        <f aca="false">IFERROR(AN113/AN112,"")</f>
        <v>0.234427834134188</v>
      </c>
      <c r="AO114" s="44" t="n">
        <f aca="false">IFERROR(AO113/AO112,"")</f>
        <v>0.164925672961029</v>
      </c>
      <c r="AP114" s="44" t="n">
        <f aca="false">IFERROR(AP113/AP112,"")</f>
        <v>0.185151617163425</v>
      </c>
      <c r="AQ114" s="44" t="n">
        <f aca="false">IFERROR(AQ113/AQ112,"")</f>
        <v>0.171701967530373</v>
      </c>
      <c r="AR114" s="44" t="n">
        <f aca="false">IFERROR(AR113/AR112,"")</f>
        <v>0.251503957783641</v>
      </c>
      <c r="AS114" s="44" t="n">
        <f aca="false">IFERROR(AS113/AS112,"")</f>
        <v>0.203302035249685</v>
      </c>
      <c r="AT114" s="44" t="n">
        <f aca="false">IFERROR(AT113/AT112,"")</f>
        <v>0.267582926927573</v>
      </c>
      <c r="AU114" s="44" t="n">
        <f aca="false">IFERROR(AU113/AU112,"")</f>
        <v>0.221495138928839</v>
      </c>
      <c r="AV114" s="44" t="n">
        <f aca="false">IFERROR(AV113/AV112,"")</f>
        <v>0.233615636560211</v>
      </c>
      <c r="AW114" s="44" t="n">
        <f aca="false">IFERROR(AW113/AW112,"")</f>
        <v>0.211038961038961</v>
      </c>
      <c r="AX114" s="44" t="n">
        <f aca="false">IFERROR(AX113/AX112,"")</f>
        <v>0.199152015903585</v>
      </c>
      <c r="AY114" s="44" t="n">
        <f aca="false">IFERROR(AY113/AY112,"")</f>
        <v>0.218192207084183</v>
      </c>
      <c r="AZ114" s="44" t="n">
        <f aca="false">IFERROR(AZ113/AZ112,"")</f>
        <v>0.198335498823612</v>
      </c>
      <c r="BA114" s="44" t="n">
        <f aca="false">IFERROR(BA113/BA112,"")</f>
        <v>0.342383163107397</v>
      </c>
      <c r="BB114" s="44" t="n">
        <f aca="false">IFERROR(BB113/BB112,"")</f>
        <v>0.304836524731812</v>
      </c>
      <c r="BC114" s="44" t="n">
        <f aca="false">IFERROR(BC113/BC112,"")</f>
        <v>0.253368785595877</v>
      </c>
      <c r="BD114" s="44" t="n">
        <f aca="false">IFERROR(BD113/BD112,"")</f>
        <v>0.255509222621294</v>
      </c>
      <c r="BE114" s="44" t="n">
        <f aca="false">IFERROR(BE113/BE112,"")</f>
        <v>0.277801329444482</v>
      </c>
      <c r="BF114" s="44" t="n">
        <f aca="false">IFERROR(BF113/BF112,"")</f>
        <v>0.230291591443733</v>
      </c>
      <c r="BG114" s="44" t="n">
        <f aca="false">IFERROR(BG113/BG112,"")</f>
        <v>0.257373604085722</v>
      </c>
      <c r="BH114" s="44" t="n">
        <f aca="false">IFERROR(BH113/BH112,"")</f>
        <v>0.24901185770751</v>
      </c>
      <c r="BI114" s="44" t="n">
        <f aca="false">IFERROR(BI113/BI112,"")</f>
        <v>0.287510459329722</v>
      </c>
      <c r="BJ114" s="44" t="n">
        <f aca="false">IFERROR(BJ113/BJ112,"")</f>
        <v>0.261681114625842</v>
      </c>
      <c r="BK114" s="44" t="n">
        <f aca="false">IFERROR(BK113/BK112,"")</f>
        <v>0.260086146409916</v>
      </c>
      <c r="BL114" s="44" t="n">
        <f aca="false">IFERROR(BL113/BL112,"")</f>
        <v>0.169060871431437</v>
      </c>
      <c r="BM114" s="44" t="n">
        <f aca="false">IFERROR(BM113/BM112,"")</f>
        <v>0.288261396799168</v>
      </c>
      <c r="BN114" s="44" t="n">
        <f aca="false">IFERROR(BN113/BN112,"")</f>
        <v>0.199972354689336</v>
      </c>
      <c r="BO114" s="44" t="n">
        <f aca="false">IFERROR(BO113/BO112,"")</f>
        <v>0.255063258187119</v>
      </c>
      <c r="BP114" s="44" t="n">
        <f aca="false">IFERROR(BP113/BP112,"")</f>
        <v>0.231674238828236</v>
      </c>
      <c r="BQ114" s="44" t="n">
        <f aca="false">IFERROR(BQ113/BQ112,"")</f>
        <v>0.212395440259318</v>
      </c>
      <c r="BR114" s="44" t="n">
        <f aca="false">IFERROR(BR113/BR112,"")</f>
        <v>0.248000000000001</v>
      </c>
      <c r="BS114" s="44" t="n">
        <f aca="false">IFERROR(BS113/BS112,"")</f>
        <v>0.273031825795645</v>
      </c>
      <c r="BT114" s="44" t="n">
        <f aca="false">IFERROR(BT113/BT112,"")</f>
        <v>0.284493284493284</v>
      </c>
      <c r="BU114" s="44" t="n">
        <f aca="false">IFERROR(BU113/BU112,"")</f>
        <v>0.267670915411356</v>
      </c>
      <c r="BV114" s="44" t="n">
        <f aca="false">IFERROR(BV113/BV112,"")</f>
        <v>0.262050832602979</v>
      </c>
      <c r="BW114" s="44" t="n">
        <f aca="false">IFERROR(BW113/BW112,"")</f>
        <v>0.270538243626062</v>
      </c>
      <c r="BX114" s="44" t="n">
        <f aca="false">IFERROR(BX113/BX112,"")</f>
        <v>0.232308791994282</v>
      </c>
      <c r="BY114" s="44" t="n">
        <f aca="false">IFERROR(BY113/BY112,"")</f>
        <v>0.247967479674797</v>
      </c>
      <c r="BZ114" s="44" t="n">
        <f aca="false">IFERROR(BZ113/BZ112,"")</f>
        <v>0.240347826086956</v>
      </c>
      <c r="CA114" s="44" t="n">
        <f aca="false">IFERROR(CA113/CA112,"")</f>
        <v>0.256360078277887</v>
      </c>
      <c r="CB114" s="44" t="n">
        <f aca="false">IFERROR(CB113/CB112,"")</f>
        <v>0.261845386533666</v>
      </c>
      <c r="CC114" s="44" t="n">
        <f aca="false">IFERROR(CC113/CC112,"")</f>
        <v>0.249590983457553</v>
      </c>
      <c r="CD114" s="44" t="n">
        <f aca="false">IFERROR(CD113/CD112,"")</f>
        <v>0.207137858642407</v>
      </c>
      <c r="CE114" s="44" t="n">
        <f aca="false">IFERROR(CE113/CE112,"")</f>
        <v>0.246048109965636</v>
      </c>
      <c r="CF114" s="44" t="n">
        <f aca="false">IFERROR(CF113/CF112,"")</f>
        <v>0.226768377253814</v>
      </c>
      <c r="CG114" s="44" t="n">
        <f aca="false">IFERROR(CG113/CG112,"")</f>
        <v>0.147717099373322</v>
      </c>
      <c r="CH114" s="44" t="n">
        <f aca="false">IFERROR(CH113/CH112,"")</f>
        <v>0.192619926199262</v>
      </c>
      <c r="CI114" s="44" t="n">
        <f aca="false">IFERROR(CI113/CI112,"")</f>
        <v>0.201643017176998</v>
      </c>
      <c r="CJ114" s="44" t="n">
        <f aca="false">IFERROR(CJ113/CJ112,"")</f>
        <v>0.217090069284065</v>
      </c>
      <c r="CK114" s="44" t="n">
        <f aca="false">IFERROR(CK113/CK112,"")</f>
        <v>0.227956989247312</v>
      </c>
      <c r="CL114" s="44" t="n">
        <f aca="false">IFERROR(CL113/CL112,"")</f>
        <v>0.22271714922049</v>
      </c>
      <c r="CM114" s="35" t="n">
        <f aca="false">IFERROR(CM113/CM112,"")</f>
        <v>0.283476208346952</v>
      </c>
      <c r="CN114" s="35" t="n">
        <f aca="false">IFERROR(CN113/CN112,"")</f>
        <v>0.234207098336836</v>
      </c>
      <c r="CO114" s="35" t="n">
        <f aca="false">IFERROR(CO113/CO112,"")</f>
        <v>0.24</v>
      </c>
      <c r="CP114" s="36" t="n">
        <v>0.24</v>
      </c>
      <c r="CQ114" s="36" t="n">
        <v>0.24</v>
      </c>
      <c r="CR114" s="36" t="n">
        <v>0.24</v>
      </c>
      <c r="CS114" s="36" t="n">
        <v>0.24</v>
      </c>
      <c r="CT114" s="23"/>
      <c r="CV114" s="48" t="n">
        <f aca="false">IFERROR(AVERAGE(CO114,CP114,CQ114,CR114,CS114),"n/m")</f>
        <v>0.24</v>
      </c>
      <c r="CW114" s="48" t="n">
        <f aca="false">IFERROR(AVERAGE(BK114,BQ114,BW114,CC114,CI114),"n/m")</f>
        <v>0.23885076618597</v>
      </c>
      <c r="CX114" s="48" t="n">
        <f aca="false">IFERROR(AVERAGE(AG114,AM114,AS114,AY114,BE114,BK114,BQ114,BW114,CC114,CI114),"n/m")</f>
        <v>0.220392824134212</v>
      </c>
      <c r="CY114" s="48" t="n">
        <f aca="false">IFERROR(AVERAGE(C114,D114,E114,F114,G114,H114,I114,O114,U114,AA114,AG114,AM114,AS114,AY114,BE114,BK114,BQ114,BW114,CC114,CI114),"n/m")</f>
        <v>0.255739713655664</v>
      </c>
    </row>
    <row r="115" customFormat="false" ht="15" hidden="false" customHeight="true" outlineLevel="0" collapsed="false">
      <c r="B115" s="41" t="s">
        <v>243</v>
      </c>
      <c r="C115" s="43" t="n">
        <f aca="false">C112-C113</f>
        <v>57.218</v>
      </c>
      <c r="D115" s="43" t="n">
        <f aca="false">D112-D113</f>
        <v>75.983</v>
      </c>
      <c r="E115" s="43" t="n">
        <f aca="false">E112-E113</f>
        <v>101.4</v>
      </c>
      <c r="F115" s="43" t="n">
        <f aca="false">F112-F113</f>
        <v>93.452</v>
      </c>
      <c r="G115" s="43" t="n">
        <f aca="false">G112-G113</f>
        <v>65.675</v>
      </c>
      <c r="H115" s="43" t="n">
        <f aca="false">H112-H113</f>
        <v>76.633</v>
      </c>
      <c r="I115" s="43" t="n">
        <f aca="false">I112-I113</f>
        <v>79.546</v>
      </c>
      <c r="J115" s="20" t="n">
        <f aca="false">J112-J113</f>
        <v>14.046</v>
      </c>
      <c r="K115" s="20" t="n">
        <f aca="false">K112-K113</f>
        <v>30.028</v>
      </c>
      <c r="L115" s="20" t="n">
        <f aca="false">L112-L113</f>
        <v>44.074</v>
      </c>
      <c r="M115" s="20" t="n">
        <f aca="false">M112-M113</f>
        <v>16.426</v>
      </c>
      <c r="N115" s="20" t="n">
        <f aca="false">N112-N113</f>
        <v>34.126</v>
      </c>
      <c r="O115" s="43" t="n">
        <f aca="false">O112-O113</f>
        <v>94.445</v>
      </c>
      <c r="P115" s="20" t="n">
        <f aca="false">P112-P113</f>
        <v>14.518</v>
      </c>
      <c r="Q115" s="20" t="n">
        <f aca="false">Q112-Q113</f>
        <v>39.135</v>
      </c>
      <c r="R115" s="20" t="n">
        <f aca="false">R112-R113</f>
        <v>53.653</v>
      </c>
      <c r="S115" s="20" t="n">
        <f aca="false">S112-S113</f>
        <v>9.60299999999999</v>
      </c>
      <c r="T115" s="20" t="n">
        <f aca="false">T112-T113</f>
        <v>29.816</v>
      </c>
      <c r="U115" s="43" t="n">
        <f aca="false">U112-U113</f>
        <v>92.563</v>
      </c>
      <c r="V115" s="20" t="n">
        <f aca="false">V112-V113</f>
        <v>24.11</v>
      </c>
      <c r="W115" s="20" t="n">
        <f aca="false">W112-W113</f>
        <v>45.846</v>
      </c>
      <c r="X115" s="20" t="n">
        <f aca="false">X112-X113</f>
        <v>69.9560000000001</v>
      </c>
      <c r="Y115" s="20" t="n">
        <f aca="false">Y112-Y113</f>
        <v>21.247</v>
      </c>
      <c r="Z115" s="20" t="n">
        <f aca="false">Z112-Z113</f>
        <v>47.372</v>
      </c>
      <c r="AA115" s="43" t="n">
        <f aca="false">AA112-AA113</f>
        <v>138.575</v>
      </c>
      <c r="AB115" s="20" t="n">
        <f aca="false">AB112-AB113</f>
        <v>29.994</v>
      </c>
      <c r="AC115" s="20" t="n">
        <f aca="false">AC112-AC113</f>
        <v>40.591</v>
      </c>
      <c r="AD115" s="20" t="n">
        <f aca="false">AD112-AD113</f>
        <v>70.585</v>
      </c>
      <c r="AE115" s="20" t="n">
        <f aca="false">AE112-AE113</f>
        <v>-4.99999999999999</v>
      </c>
      <c r="AF115" s="20" t="n">
        <f aca="false">AF112-AF113</f>
        <v>27.927</v>
      </c>
      <c r="AG115" s="43" t="n">
        <f aca="false">AG112-AG113</f>
        <v>93.512</v>
      </c>
      <c r="AH115" s="20" t="n">
        <f aca="false">AH112-AH113</f>
        <v>10.433</v>
      </c>
      <c r="AI115" s="20" t="n">
        <f aca="false">AI112-AI113</f>
        <v>17.713</v>
      </c>
      <c r="AJ115" s="20" t="n">
        <f aca="false">AJ112-AJ113</f>
        <v>28.146</v>
      </c>
      <c r="AK115" s="20" t="n">
        <f aca="false">AK112-AK113</f>
        <v>10.323</v>
      </c>
      <c r="AL115" s="20" t="n">
        <f aca="false">AL112-AL113</f>
        <v>36.837</v>
      </c>
      <c r="AM115" s="43" t="n">
        <f aca="false">AM112-AM113</f>
        <v>75.3060000000001</v>
      </c>
      <c r="AN115" s="20" t="n">
        <f aca="false">AN112-AN113</f>
        <v>17.207</v>
      </c>
      <c r="AO115" s="20" t="n">
        <f aca="false">AO112-AO113</f>
        <v>45.727</v>
      </c>
      <c r="AP115" s="20" t="n">
        <f aca="false">AP112-AP113</f>
        <v>62.934</v>
      </c>
      <c r="AQ115" s="20" t="n">
        <f aca="false">AQ112-AQ113</f>
        <v>23.112</v>
      </c>
      <c r="AR115" s="20" t="n">
        <f aca="false">AR112-AR113</f>
        <v>35.46</v>
      </c>
      <c r="AS115" s="43" t="n">
        <f aca="false">AS112-AS113</f>
        <v>121.506</v>
      </c>
      <c r="AT115" s="20" t="n">
        <f aca="false">AT112-AT113</f>
        <v>18.172</v>
      </c>
      <c r="AU115" s="20" t="n">
        <f aca="false">AU112-AU113</f>
        <v>54.1309999999999</v>
      </c>
      <c r="AV115" s="20" t="n">
        <f aca="false">AV112-AV113</f>
        <v>72.3030000000001</v>
      </c>
      <c r="AW115" s="20" t="n">
        <f aca="false">AW112-AW113</f>
        <v>25.272</v>
      </c>
      <c r="AX115" s="20" t="n">
        <f aca="false">AX112-AX113</f>
        <v>51.5649999999999</v>
      </c>
      <c r="AY115" s="43" t="n">
        <f aca="false">AY112-AY113</f>
        <v>149.14</v>
      </c>
      <c r="AZ115" s="20" t="n">
        <f aca="false">AZ112-AZ113</f>
        <v>22.829</v>
      </c>
      <c r="BA115" s="20" t="n">
        <f aca="false">BA112-BA113</f>
        <v>53.119</v>
      </c>
      <c r="BB115" s="20" t="n">
        <f aca="false">BB112-BB113</f>
        <v>75.9480000000001</v>
      </c>
      <c r="BC115" s="20" t="n">
        <f aca="false">BC112-BC113</f>
        <v>45.49</v>
      </c>
      <c r="BD115" s="20" t="n">
        <f aca="false">BD112-BD113</f>
        <v>48.919</v>
      </c>
      <c r="BE115" s="43" t="n">
        <f aca="false">BE112-BE113</f>
        <v>170.358</v>
      </c>
      <c r="BF115" s="20" t="n">
        <f aca="false">BF112-BF113</f>
        <v>28.139</v>
      </c>
      <c r="BG115" s="20" t="n">
        <f aca="false">BG112-BG113</f>
        <v>60.781</v>
      </c>
      <c r="BH115" s="20" t="n">
        <f aca="false">BH112-BH113</f>
        <v>88.9200000000001</v>
      </c>
      <c r="BI115" s="20" t="n">
        <f aca="false">BI112-BI113</f>
        <v>32.3570000000001</v>
      </c>
      <c r="BJ115" s="20" t="n">
        <f aca="false">BJ112-BJ113</f>
        <v>30.576</v>
      </c>
      <c r="BK115" s="43" t="n">
        <f aca="false">BK112-BK113</f>
        <v>151.854</v>
      </c>
      <c r="BL115" s="20" t="n">
        <f aca="false">BL112-BL113</f>
        <v>178.101</v>
      </c>
      <c r="BM115" s="20" t="n">
        <f aca="false">BM112-BM113</f>
        <v>53.4110000000001</v>
      </c>
      <c r="BN115" s="20" t="n">
        <f aca="false">BN112-BN113</f>
        <v>231.512</v>
      </c>
      <c r="BO115" s="20" t="n">
        <f aca="false">BO112-BO113</f>
        <v>42.924</v>
      </c>
      <c r="BP115" s="20" t="n">
        <f aca="false">BP112-BP113</f>
        <v>45.322</v>
      </c>
      <c r="BQ115" s="43" t="n">
        <f aca="false">BQ112-BQ113</f>
        <v>319.758</v>
      </c>
      <c r="BR115" s="20" t="n">
        <f aca="false">BR112-BR113</f>
        <v>-28.1999999999999</v>
      </c>
      <c r="BS115" s="20" t="n">
        <f aca="false">BS112-BS113</f>
        <v>86.8</v>
      </c>
      <c r="BT115" s="20" t="n">
        <f aca="false">BT112-BT113</f>
        <v>58.6000000000002</v>
      </c>
      <c r="BU115" s="20" t="n">
        <f aca="false">BU112-BU113</f>
        <v>63.2</v>
      </c>
      <c r="BV115" s="20" t="n">
        <f aca="false">BV112-BV113</f>
        <v>84.2000000000002</v>
      </c>
      <c r="BW115" s="43" t="n">
        <f aca="false">BW112-BW113</f>
        <v>206</v>
      </c>
      <c r="BX115" s="20" t="n">
        <f aca="false">BX112-BX113</f>
        <v>107.4</v>
      </c>
      <c r="BY115" s="20" t="n">
        <f aca="false">BY112-BY113</f>
        <v>111</v>
      </c>
      <c r="BZ115" s="20" t="n">
        <f aca="false">BZ112-BZ113</f>
        <v>218.4</v>
      </c>
      <c r="CA115" s="20" t="n">
        <f aca="false">CA112-CA113</f>
        <v>76</v>
      </c>
      <c r="CB115" s="20" t="n">
        <f aca="false">CB112-CB113</f>
        <v>118.4</v>
      </c>
      <c r="CC115" s="43" t="n">
        <f aca="false">CC112-CC113</f>
        <v>412.8</v>
      </c>
      <c r="CD115" s="20" t="n">
        <f aca="false">CD112-CD113</f>
        <v>113.3</v>
      </c>
      <c r="CE115" s="20" t="n">
        <f aca="false">CE112-CE113</f>
        <v>109.7</v>
      </c>
      <c r="CF115" s="20" t="n">
        <f aca="false">CF112-CF113</f>
        <v>223</v>
      </c>
      <c r="CG115" s="20" t="n">
        <f aca="false">CG112-CG113</f>
        <v>95.1999999999999</v>
      </c>
      <c r="CH115" s="20" t="n">
        <f aca="false">CH112-CH113</f>
        <v>109.4</v>
      </c>
      <c r="CI115" s="43" t="n">
        <f aca="false">CI112-CI113</f>
        <v>427.6</v>
      </c>
      <c r="CJ115" s="20" t="n">
        <f aca="false">CJ112-CJ113</f>
        <v>135.6</v>
      </c>
      <c r="CK115" s="20" t="n">
        <f aca="false">CK112-CK113</f>
        <v>143.6</v>
      </c>
      <c r="CL115" s="20" t="n">
        <f aca="false">CL112-CL113</f>
        <v>279.2</v>
      </c>
      <c r="CM115" s="43" t="n">
        <f aca="false">CM112-CM113</f>
        <v>121.985980552424</v>
      </c>
      <c r="CN115" s="43" t="n">
        <f aca="false">CN112-CN113</f>
        <v>157.800074614222</v>
      </c>
      <c r="CO115" s="43" t="n">
        <f aca="false">SUM(CJ115,CK115,CM115,CN115)</f>
        <v>558.986055166646</v>
      </c>
      <c r="CP115" s="43" t="n">
        <f aca="false">CP112-CP113</f>
        <v>681.322450629733</v>
      </c>
      <c r="CQ115" s="43" t="n">
        <f aca="false">CQ112-CQ113</f>
        <v>797.034658294803</v>
      </c>
      <c r="CR115" s="43" t="n">
        <f aca="false">CR112-CR113</f>
        <v>888.559576262965</v>
      </c>
      <c r="CS115" s="43" t="n">
        <f aca="false">CS112-CS113</f>
        <v>971.125941556637</v>
      </c>
      <c r="CT115" s="23"/>
      <c r="CV115" s="24" t="n">
        <f aca="false">IFERROR((CS115/CI115)^(1/5)-1,"n/m")</f>
        <v>0.178277465224666</v>
      </c>
      <c r="CW115" s="24" t="n">
        <f aca="false">IFERROR((CI115/BE115)^(1/5)-1,"n/m")</f>
        <v>0.202084598161036</v>
      </c>
      <c r="CX115" s="24" t="n">
        <f aca="false">IFERROR((CI115/AA115)^(1/10)-1,"n/m")</f>
        <v>0.11927107595078</v>
      </c>
      <c r="CY115" s="24" t="n">
        <f aca="false">IFERROR((CI115/C115)^(1/19)-1,"n/m")</f>
        <v>0.111665041391495</v>
      </c>
    </row>
    <row r="116" customFormat="false" ht="15" hidden="false" customHeight="true" outlineLevel="0" collapsed="false">
      <c r="B116" s="13" t="s">
        <v>244</v>
      </c>
      <c r="C116" s="31"/>
      <c r="D116" s="31"/>
      <c r="E116" s="31"/>
      <c r="F116" s="31"/>
      <c r="G116" s="31"/>
      <c r="H116" s="31"/>
      <c r="I116" s="40" t="n">
        <v>-0.005</v>
      </c>
      <c r="J116" s="40" t="n">
        <v>0.057</v>
      </c>
      <c r="K116" s="40" t="n">
        <v>0.233</v>
      </c>
      <c r="L116" s="31" t="n">
        <f aca="false">J116+K116</f>
        <v>0.29</v>
      </c>
      <c r="M116" s="40" t="n">
        <v>0.13</v>
      </c>
      <c r="N116" s="40" t="n">
        <v>0.381</v>
      </c>
      <c r="O116" s="40" t="n">
        <v>0.801</v>
      </c>
      <c r="P116" s="40" t="n">
        <v>0.261</v>
      </c>
      <c r="Q116" s="40" t="n">
        <v>0.528</v>
      </c>
      <c r="R116" s="31" t="n">
        <f aca="false">P116+Q116</f>
        <v>0.789</v>
      </c>
      <c r="S116" s="40" t="n">
        <v>0.261</v>
      </c>
      <c r="T116" s="40" t="n">
        <v>0.532</v>
      </c>
      <c r="U116" s="40" t="n">
        <v>1.582</v>
      </c>
      <c r="V116" s="40" t="n">
        <v>0.333</v>
      </c>
      <c r="W116" s="40" t="n">
        <v>0.763</v>
      </c>
      <c r="X116" s="31" t="n">
        <f aca="false">V116+W116</f>
        <v>1.096</v>
      </c>
      <c r="Y116" s="40" t="n">
        <v>0.422</v>
      </c>
      <c r="Z116" s="40" t="n">
        <v>0.843</v>
      </c>
      <c r="AA116" s="40" t="n">
        <v>2.361</v>
      </c>
      <c r="AB116" s="40" t="n">
        <v>0.588</v>
      </c>
      <c r="AC116" s="40" t="n">
        <v>0.881</v>
      </c>
      <c r="AD116" s="31" t="n">
        <f aca="false">AB116+AC116</f>
        <v>1.469</v>
      </c>
      <c r="AE116" s="40" t="n">
        <v>0.137</v>
      </c>
      <c r="AF116" s="40" t="n">
        <v>0.074</v>
      </c>
      <c r="AG116" s="40" t="n">
        <v>1.68</v>
      </c>
      <c r="AH116" s="40" t="n">
        <v>0.056</v>
      </c>
      <c r="AI116" s="40" t="n">
        <v>0.078</v>
      </c>
      <c r="AJ116" s="31" t="n">
        <f aca="false">AH116+AI116</f>
        <v>0.134</v>
      </c>
      <c r="AK116" s="40" t="n">
        <v>0.062</v>
      </c>
      <c r="AL116" s="40" t="n">
        <v>0.083</v>
      </c>
      <c r="AM116" s="40" t="n">
        <v>0.279</v>
      </c>
      <c r="AN116" s="40" t="n">
        <v>0.069</v>
      </c>
      <c r="AO116" s="40" t="n">
        <v>0.01</v>
      </c>
      <c r="AP116" s="31" t="n">
        <f aca="false">AN116+AO116</f>
        <v>0.079</v>
      </c>
      <c r="AQ116" s="40" t="n">
        <v>-0.026</v>
      </c>
      <c r="AR116" s="40" t="n">
        <v>-0.026</v>
      </c>
      <c r="AS116" s="40" t="n">
        <v>0.027</v>
      </c>
      <c r="AT116" s="40" t="n">
        <v>0.008</v>
      </c>
      <c r="AU116" s="40" t="n">
        <v>0.095</v>
      </c>
      <c r="AV116" s="31" t="n">
        <f aca="false">AT116+AU116</f>
        <v>0.103</v>
      </c>
      <c r="AW116" s="40" t="n">
        <v>0.006</v>
      </c>
      <c r="AX116" s="40" t="n">
        <v>-0.008</v>
      </c>
      <c r="AY116" s="40" t="n">
        <v>0.101</v>
      </c>
      <c r="AZ116" s="40" t="n">
        <v>0.02</v>
      </c>
      <c r="BA116" s="40" t="n">
        <v>0.076</v>
      </c>
      <c r="BB116" s="31" t="n">
        <f aca="false">AZ116+BA116</f>
        <v>0.096</v>
      </c>
      <c r="BC116" s="40" t="n">
        <v>0.103</v>
      </c>
      <c r="BD116" s="40" t="n">
        <v>0.063</v>
      </c>
      <c r="BE116" s="40" t="n">
        <v>0.263</v>
      </c>
      <c r="BF116" s="40" t="n">
        <v>-0.049</v>
      </c>
      <c r="BG116" s="40" t="n">
        <v>0.032</v>
      </c>
      <c r="BH116" s="31" t="n">
        <f aca="false">BF116+BG116</f>
        <v>-0.017</v>
      </c>
      <c r="BI116" s="40" t="n">
        <v>0.021</v>
      </c>
      <c r="BJ116" s="40" t="n">
        <v>-0.019</v>
      </c>
      <c r="BK116" s="40" t="n">
        <v>-0.014</v>
      </c>
      <c r="BL116" s="40" t="n">
        <v>0.007</v>
      </c>
      <c r="BM116" s="40" t="n">
        <v>0.046</v>
      </c>
      <c r="BN116" s="31" t="n">
        <f aca="false">BL116+BM116</f>
        <v>0.053</v>
      </c>
      <c r="BO116" s="40" t="n">
        <v>0.015</v>
      </c>
      <c r="BP116" s="40" t="n">
        <v>0.032</v>
      </c>
      <c r="BQ116" s="40" t="n">
        <v>0.101</v>
      </c>
      <c r="BR116" s="40" t="n">
        <v>-0.1</v>
      </c>
      <c r="BS116" s="40" t="n">
        <v>-0.1</v>
      </c>
      <c r="BT116" s="31" t="n">
        <f aca="false">BR116+BS116</f>
        <v>-0.2</v>
      </c>
      <c r="BU116" s="40" t="n">
        <v>-0.2</v>
      </c>
      <c r="BV116" s="40" t="n">
        <v>-0.1</v>
      </c>
      <c r="BW116" s="40" t="n">
        <v>-0.5</v>
      </c>
      <c r="BX116" s="40" t="n">
        <v>0</v>
      </c>
      <c r="BY116" s="40" t="n">
        <v>-0.1</v>
      </c>
      <c r="BZ116" s="31" t="n">
        <f aca="false">BX116+BY116</f>
        <v>-0.1</v>
      </c>
      <c r="CA116" s="40" t="n">
        <v>-0.1</v>
      </c>
      <c r="CB116" s="40" t="n">
        <v>-0.1</v>
      </c>
      <c r="CC116" s="40" t="n">
        <v>-0.3</v>
      </c>
      <c r="CD116" s="40" t="n">
        <v>-0.1</v>
      </c>
      <c r="CE116" s="40" t="n">
        <v>-0.1</v>
      </c>
      <c r="CF116" s="31" t="n">
        <f aca="false">CD116+CE116</f>
        <v>-0.2</v>
      </c>
      <c r="CG116" s="40" t="n">
        <v>-0.3</v>
      </c>
      <c r="CH116" s="40" t="n">
        <v>-0.3</v>
      </c>
      <c r="CI116" s="40" t="n">
        <v>-0.8</v>
      </c>
      <c r="CJ116" s="40" t="n">
        <v>0.1</v>
      </c>
      <c r="CK116" s="40" t="n">
        <v>0.1</v>
      </c>
      <c r="CL116" s="31" t="n">
        <f aca="false">CJ116+CK116</f>
        <v>0.2</v>
      </c>
      <c r="CM116" s="49" t="n">
        <v>0</v>
      </c>
      <c r="CN116" s="49" t="n">
        <v>0</v>
      </c>
      <c r="CO116" s="32" t="n">
        <f aca="false">SUM(CJ116,CK116,CM116,CN116)</f>
        <v>0.2</v>
      </c>
      <c r="CP116" s="49" t="n">
        <v>0</v>
      </c>
      <c r="CQ116" s="49" t="n">
        <v>0</v>
      </c>
      <c r="CR116" s="49" t="n">
        <v>0</v>
      </c>
      <c r="CS116" s="49" t="n">
        <v>0</v>
      </c>
      <c r="CT116" s="23"/>
      <c r="CV116" s="7"/>
      <c r="CW116" s="7"/>
      <c r="CX116" s="7"/>
      <c r="CY116" s="7"/>
    </row>
    <row r="117" customFormat="false" ht="15" hidden="false" customHeight="true" outlineLevel="0" collapsed="false">
      <c r="B117" s="19" t="s">
        <v>245</v>
      </c>
      <c r="C117" s="20" t="n">
        <f aca="false">C115-N(C116)</f>
        <v>57.218</v>
      </c>
      <c r="D117" s="20" t="n">
        <f aca="false">D115-N(D116)</f>
        <v>75.983</v>
      </c>
      <c r="E117" s="20" t="n">
        <f aca="false">E115-N(E116)</f>
        <v>101.4</v>
      </c>
      <c r="F117" s="20" t="n">
        <f aca="false">F115-N(F116)</f>
        <v>93.452</v>
      </c>
      <c r="G117" s="20" t="n">
        <f aca="false">G115-N(G116)</f>
        <v>65.675</v>
      </c>
      <c r="H117" s="20" t="n">
        <f aca="false">H115-N(H116)</f>
        <v>76.633</v>
      </c>
      <c r="I117" s="20" t="n">
        <f aca="false">I115-N(I116)</f>
        <v>79.551</v>
      </c>
      <c r="J117" s="20" t="n">
        <f aca="false">J115-N(J116)</f>
        <v>13.989</v>
      </c>
      <c r="K117" s="20" t="n">
        <f aca="false">K115-N(K116)</f>
        <v>29.795</v>
      </c>
      <c r="L117" s="20" t="n">
        <f aca="false">L115-N(L116)</f>
        <v>43.784</v>
      </c>
      <c r="M117" s="20" t="n">
        <f aca="false">M115-N(M116)</f>
        <v>16.296</v>
      </c>
      <c r="N117" s="20" t="n">
        <f aca="false">N115-N(N116)</f>
        <v>33.745</v>
      </c>
      <c r="O117" s="20" t="n">
        <f aca="false">O115-N(O116)</f>
        <v>93.644</v>
      </c>
      <c r="P117" s="20" t="n">
        <f aca="false">P115-N(P116)</f>
        <v>14.257</v>
      </c>
      <c r="Q117" s="20" t="n">
        <f aca="false">Q115-N(Q116)</f>
        <v>38.607</v>
      </c>
      <c r="R117" s="20" t="n">
        <f aca="false">R115-N(R116)</f>
        <v>52.864</v>
      </c>
      <c r="S117" s="20" t="n">
        <f aca="false">S115-N(S116)</f>
        <v>9.34199999999999</v>
      </c>
      <c r="T117" s="20" t="n">
        <f aca="false">T115-N(T116)</f>
        <v>29.284</v>
      </c>
      <c r="U117" s="20" t="n">
        <f aca="false">U115-N(U116)</f>
        <v>90.981</v>
      </c>
      <c r="V117" s="20" t="n">
        <f aca="false">V115-N(V116)</f>
        <v>23.777</v>
      </c>
      <c r="W117" s="20" t="n">
        <f aca="false">W115-N(W116)</f>
        <v>45.083</v>
      </c>
      <c r="X117" s="20" t="n">
        <f aca="false">X115-N(X116)</f>
        <v>68.86</v>
      </c>
      <c r="Y117" s="20" t="n">
        <f aca="false">Y115-N(Y116)</f>
        <v>20.825</v>
      </c>
      <c r="Z117" s="20" t="n">
        <f aca="false">Z115-N(Z116)</f>
        <v>46.529</v>
      </c>
      <c r="AA117" s="20" t="n">
        <f aca="false">AA115-N(AA116)</f>
        <v>136.214</v>
      </c>
      <c r="AB117" s="20" t="n">
        <f aca="false">AB115-N(AB116)</f>
        <v>29.406</v>
      </c>
      <c r="AC117" s="20" t="n">
        <f aca="false">AC115-N(AC116)</f>
        <v>39.71</v>
      </c>
      <c r="AD117" s="20" t="n">
        <f aca="false">AD115-N(AD116)</f>
        <v>69.116</v>
      </c>
      <c r="AE117" s="20" t="n">
        <f aca="false">AE115-N(AE116)</f>
        <v>-5.13699999999999</v>
      </c>
      <c r="AF117" s="20" t="n">
        <f aca="false">AF115-N(AF116)</f>
        <v>27.853</v>
      </c>
      <c r="AG117" s="20" t="n">
        <f aca="false">AG115-N(AG116)</f>
        <v>91.832</v>
      </c>
      <c r="AH117" s="20" t="n">
        <f aca="false">AH115-N(AH116)</f>
        <v>10.377</v>
      </c>
      <c r="AI117" s="20" t="n">
        <f aca="false">AI115-N(AI116)</f>
        <v>17.635</v>
      </c>
      <c r="AJ117" s="20" t="n">
        <f aca="false">AJ115-N(AJ116)</f>
        <v>28.012</v>
      </c>
      <c r="AK117" s="20" t="n">
        <f aca="false">AK115-N(AK116)</f>
        <v>10.261</v>
      </c>
      <c r="AL117" s="20" t="n">
        <f aca="false">AL115-N(AL116)</f>
        <v>36.754</v>
      </c>
      <c r="AM117" s="20" t="n">
        <f aca="false">AM115-N(AM116)</f>
        <v>75.0270000000001</v>
      </c>
      <c r="AN117" s="20" t="n">
        <f aca="false">AN115-N(AN116)</f>
        <v>17.138</v>
      </c>
      <c r="AO117" s="20" t="n">
        <f aca="false">AO115-N(AO116)</f>
        <v>45.717</v>
      </c>
      <c r="AP117" s="20" t="n">
        <f aca="false">AP115-N(AP116)</f>
        <v>62.855</v>
      </c>
      <c r="AQ117" s="20" t="n">
        <f aca="false">AQ115-N(AQ116)</f>
        <v>23.138</v>
      </c>
      <c r="AR117" s="20" t="n">
        <f aca="false">AR115-N(AR116)</f>
        <v>35.486</v>
      </c>
      <c r="AS117" s="20" t="n">
        <f aca="false">AS115-N(AS116)</f>
        <v>121.479</v>
      </c>
      <c r="AT117" s="20" t="n">
        <f aca="false">AT115-N(AT116)</f>
        <v>18.164</v>
      </c>
      <c r="AU117" s="20" t="n">
        <f aca="false">AU115-N(AU116)</f>
        <v>54.0359999999999</v>
      </c>
      <c r="AV117" s="20" t="n">
        <f aca="false">AV115-N(AV116)</f>
        <v>72.2000000000001</v>
      </c>
      <c r="AW117" s="20" t="n">
        <f aca="false">AW115-N(AW116)</f>
        <v>25.266</v>
      </c>
      <c r="AX117" s="20" t="n">
        <f aca="false">AX115-N(AX116)</f>
        <v>51.5729999999999</v>
      </c>
      <c r="AY117" s="20" t="n">
        <f aca="false">AY115-N(AY116)</f>
        <v>149.039</v>
      </c>
      <c r="AZ117" s="20" t="n">
        <f aca="false">AZ115-N(AZ116)</f>
        <v>22.809</v>
      </c>
      <c r="BA117" s="20" t="n">
        <f aca="false">BA115-N(BA116)</f>
        <v>53.043</v>
      </c>
      <c r="BB117" s="20" t="n">
        <f aca="false">BB115-N(BB116)</f>
        <v>75.8520000000001</v>
      </c>
      <c r="BC117" s="20" t="n">
        <f aca="false">BC115-N(BC116)</f>
        <v>45.387</v>
      </c>
      <c r="BD117" s="20" t="n">
        <f aca="false">BD115-N(BD116)</f>
        <v>48.856</v>
      </c>
      <c r="BE117" s="20" t="n">
        <f aca="false">BE115-N(BE116)</f>
        <v>170.095</v>
      </c>
      <c r="BF117" s="20" t="n">
        <f aca="false">BF115-N(BF116)</f>
        <v>28.188</v>
      </c>
      <c r="BG117" s="20" t="n">
        <f aca="false">BG115-N(BG116)</f>
        <v>60.749</v>
      </c>
      <c r="BH117" s="20" t="n">
        <f aca="false">BH115-N(BH116)</f>
        <v>88.9370000000001</v>
      </c>
      <c r="BI117" s="20" t="n">
        <f aca="false">BI115-N(BI116)</f>
        <v>32.3360000000001</v>
      </c>
      <c r="BJ117" s="20" t="n">
        <f aca="false">BJ115-N(BJ116)</f>
        <v>30.595</v>
      </c>
      <c r="BK117" s="20" t="n">
        <f aca="false">BK115-N(BK116)</f>
        <v>151.868</v>
      </c>
      <c r="BL117" s="20" t="n">
        <f aca="false">BL115-N(BL116)</f>
        <v>178.094</v>
      </c>
      <c r="BM117" s="20" t="n">
        <f aca="false">BM115-N(BM116)</f>
        <v>53.3650000000001</v>
      </c>
      <c r="BN117" s="20" t="n">
        <f aca="false">BN115-N(BN116)</f>
        <v>231.459</v>
      </c>
      <c r="BO117" s="20" t="n">
        <f aca="false">BO115-N(BO116)</f>
        <v>42.909</v>
      </c>
      <c r="BP117" s="20" t="n">
        <f aca="false">BP115-N(BP116)</f>
        <v>45.29</v>
      </c>
      <c r="BQ117" s="20" t="n">
        <f aca="false">BQ115-N(BQ116)</f>
        <v>319.657</v>
      </c>
      <c r="BR117" s="20" t="n">
        <f aca="false">BR115-N(BR116)</f>
        <v>-28.0999999999999</v>
      </c>
      <c r="BS117" s="20" t="n">
        <f aca="false">BS115-N(BS116)</f>
        <v>86.9</v>
      </c>
      <c r="BT117" s="20" t="n">
        <f aca="false">BT115-N(BT116)</f>
        <v>58.8000000000002</v>
      </c>
      <c r="BU117" s="20" t="n">
        <f aca="false">BU115-N(BU116)</f>
        <v>63.4</v>
      </c>
      <c r="BV117" s="20" t="n">
        <f aca="false">BV115-N(BV116)</f>
        <v>84.3000000000002</v>
      </c>
      <c r="BW117" s="20" t="n">
        <f aca="false">BW115-N(BW116)</f>
        <v>206.5</v>
      </c>
      <c r="BX117" s="20" t="n">
        <f aca="false">BX115-N(BX116)</f>
        <v>107.4</v>
      </c>
      <c r="BY117" s="20" t="n">
        <f aca="false">BY115-N(BY116)</f>
        <v>111.1</v>
      </c>
      <c r="BZ117" s="20" t="n">
        <f aca="false">BZ115-N(BZ116)</f>
        <v>218.5</v>
      </c>
      <c r="CA117" s="20" t="n">
        <f aca="false">CA115-N(CA116)</f>
        <v>76.1</v>
      </c>
      <c r="CB117" s="20" t="n">
        <f aca="false">CB115-N(CB116)</f>
        <v>118.5</v>
      </c>
      <c r="CC117" s="20" t="n">
        <f aca="false">CC115-N(CC116)</f>
        <v>413.1</v>
      </c>
      <c r="CD117" s="20" t="n">
        <f aca="false">CD115-N(CD116)</f>
        <v>113.4</v>
      </c>
      <c r="CE117" s="20" t="n">
        <f aca="false">CE115-N(CE116)</f>
        <v>109.8</v>
      </c>
      <c r="CF117" s="20" t="n">
        <f aca="false">CF115-N(CF116)</f>
        <v>223.2</v>
      </c>
      <c r="CG117" s="20" t="n">
        <f aca="false">CG115-N(CG116)</f>
        <v>95.4999999999999</v>
      </c>
      <c r="CH117" s="20" t="n">
        <f aca="false">CH115-N(CH116)</f>
        <v>109.7</v>
      </c>
      <c r="CI117" s="20" t="n">
        <f aca="false">CI115-N(CI116)</f>
        <v>428.4</v>
      </c>
      <c r="CJ117" s="20" t="n">
        <f aca="false">CJ115-N(CJ116)</f>
        <v>135.5</v>
      </c>
      <c r="CK117" s="20" t="n">
        <f aca="false">CK115-N(CK116)</f>
        <v>143.5</v>
      </c>
      <c r="CL117" s="20" t="n">
        <f aca="false">CL115-N(CL116)</f>
        <v>279</v>
      </c>
      <c r="CM117" s="22" t="n">
        <f aca="false">CM115-CM116</f>
        <v>121.985980552424</v>
      </c>
      <c r="CN117" s="22" t="n">
        <f aca="false">CN115-CN116</f>
        <v>157.800074614222</v>
      </c>
      <c r="CO117" s="22" t="n">
        <f aca="false">SUM(CJ117,CK117,CM117,CN117)</f>
        <v>558.786055166646</v>
      </c>
      <c r="CP117" s="22" t="n">
        <f aca="false">CP115-CP116</f>
        <v>681.322450629733</v>
      </c>
      <c r="CQ117" s="22" t="n">
        <f aca="false">CQ115-CQ116</f>
        <v>797.034658294803</v>
      </c>
      <c r="CR117" s="22" t="n">
        <f aca="false">CR115-CR116</f>
        <v>888.559576262965</v>
      </c>
      <c r="CS117" s="22" t="n">
        <f aca="false">CS115-CS116</f>
        <v>971.125941556637</v>
      </c>
      <c r="CT117" s="23"/>
      <c r="CV117" s="7"/>
      <c r="CW117" s="7"/>
      <c r="CX117" s="7"/>
      <c r="CY117" s="7"/>
    </row>
    <row r="118" customFormat="false" ht="15" hidden="false" customHeight="true" outlineLevel="0" collapsed="false">
      <c r="B118" s="13" t="s">
        <v>246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40" t="n">
        <v>4.3</v>
      </c>
      <c r="BS118" s="40" t="n">
        <v>6.7</v>
      </c>
      <c r="BT118" s="31" t="n">
        <f aca="false">BR118+BS118</f>
        <v>11</v>
      </c>
      <c r="BU118" s="40" t="n">
        <v>6.7</v>
      </c>
      <c r="BV118" s="40" t="n">
        <v>6.7</v>
      </c>
      <c r="BW118" s="40" t="n">
        <v>24.3</v>
      </c>
      <c r="BX118" s="40" t="n">
        <v>6.7</v>
      </c>
      <c r="BY118" s="40" t="n">
        <v>6.7</v>
      </c>
      <c r="BZ118" s="31" t="n">
        <f aca="false">BX118+BY118</f>
        <v>13.4</v>
      </c>
      <c r="CA118" s="40" t="n">
        <v>6.7</v>
      </c>
      <c r="CB118" s="40" t="n">
        <v>6.7</v>
      </c>
      <c r="CC118" s="40" t="n">
        <v>26.7</v>
      </c>
      <c r="CD118" s="40" t="n">
        <v>6.7</v>
      </c>
      <c r="CE118" s="40" t="n">
        <v>6.7</v>
      </c>
      <c r="CF118" s="31" t="n">
        <f aca="false">CD118+CE118</f>
        <v>13.4</v>
      </c>
      <c r="CG118" s="40" t="n">
        <v>6.7</v>
      </c>
      <c r="CH118" s="40" t="n">
        <v>6.6</v>
      </c>
      <c r="CI118" s="40" t="n">
        <v>26.7</v>
      </c>
      <c r="CJ118" s="40" t="n">
        <v>6.7</v>
      </c>
      <c r="CK118" s="40" t="n">
        <v>6.7</v>
      </c>
      <c r="CL118" s="31" t="n">
        <f aca="false">CJ118+CK118</f>
        <v>13.4</v>
      </c>
      <c r="CM118" s="49" t="n">
        <v>6.7</v>
      </c>
      <c r="CN118" s="49" t="n">
        <v>6.7</v>
      </c>
      <c r="CO118" s="32" t="n">
        <f aca="false">SUM(CJ118,CK118,CM118,CN118)</f>
        <v>26.8</v>
      </c>
      <c r="CP118" s="49" t="n">
        <v>26.7</v>
      </c>
      <c r="CQ118" s="49" t="n">
        <v>26.7</v>
      </c>
      <c r="CR118" s="49" t="n">
        <v>26.7</v>
      </c>
      <c r="CS118" s="49" t="n">
        <v>26.7</v>
      </c>
      <c r="CT118" s="23" t="s">
        <v>247</v>
      </c>
      <c r="CV118" s="7"/>
      <c r="CW118" s="7"/>
      <c r="CX118" s="7"/>
      <c r="CY118" s="7"/>
    </row>
    <row r="119" customFormat="false" ht="15" hidden="false" customHeight="true" outlineLevel="0" collapsed="false">
      <c r="B119" s="13" t="s">
        <v>248</v>
      </c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40" t="n">
        <v>1.8</v>
      </c>
      <c r="BS119" s="40" t="n">
        <v>2.8</v>
      </c>
      <c r="BT119" s="31" t="n">
        <f aca="false">BR119+BS119</f>
        <v>4.6</v>
      </c>
      <c r="BU119" s="40" t="n">
        <v>2</v>
      </c>
      <c r="BV119" s="40" t="n">
        <v>2.8</v>
      </c>
      <c r="BW119" s="40" t="n">
        <v>7.3</v>
      </c>
      <c r="BX119" s="40" t="n">
        <v>3.6</v>
      </c>
      <c r="BY119" s="40" t="n">
        <v>3.7</v>
      </c>
      <c r="BZ119" s="31" t="n">
        <f aca="false">BX119+BY119</f>
        <v>7.3</v>
      </c>
      <c r="CA119" s="40" t="n">
        <v>2.5</v>
      </c>
      <c r="CB119" s="40" t="n">
        <v>4</v>
      </c>
      <c r="CC119" s="40" t="n">
        <v>13.7</v>
      </c>
      <c r="CD119" s="40" t="n">
        <v>3.8</v>
      </c>
      <c r="CE119" s="40" t="n">
        <v>3.6</v>
      </c>
      <c r="CF119" s="31" t="n">
        <f aca="false">CD119+CE119</f>
        <v>7.4</v>
      </c>
      <c r="CG119" s="40" t="n">
        <v>3.1</v>
      </c>
      <c r="CH119" s="40" t="n">
        <v>3.7</v>
      </c>
      <c r="CI119" s="40" t="n">
        <v>14.2</v>
      </c>
      <c r="CJ119" s="40" t="n">
        <v>4.6</v>
      </c>
      <c r="CK119" s="40" t="n">
        <v>4.8</v>
      </c>
      <c r="CL119" s="31" t="n">
        <f aca="false">CJ119+CK119</f>
        <v>9.4</v>
      </c>
      <c r="CM119" s="32" t="n">
        <f aca="false">(CM117-CM118)*CM338</f>
        <v>0</v>
      </c>
      <c r="CN119" s="32" t="n">
        <f aca="false">(CN117-CN118)*CN338</f>
        <v>0</v>
      </c>
      <c r="CO119" s="32" t="n">
        <f aca="false">SUM(CJ119,CK119,CM119,CN119)</f>
        <v>9.4</v>
      </c>
      <c r="CP119" s="32" t="n">
        <f aca="false">(CP117-CP118)*CP338</f>
        <v>22.9117857720406</v>
      </c>
      <c r="CQ119" s="32" t="n">
        <f aca="false">(CQ117-CQ118)*CQ338</f>
        <v>26.9617130403181</v>
      </c>
      <c r="CR119" s="32" t="n">
        <f aca="false">(CR117-CR118)*CR338</f>
        <v>30.1650851692038</v>
      </c>
      <c r="CS119" s="32" t="n">
        <f aca="false">(CS117-CS118)*CS338</f>
        <v>33.0549079544823</v>
      </c>
      <c r="CT119" s="23" t="s">
        <v>249</v>
      </c>
      <c r="CV119" s="7"/>
      <c r="CW119" s="7"/>
      <c r="CX119" s="7"/>
      <c r="CY119" s="7"/>
    </row>
    <row r="120" customFormat="false" ht="15" hidden="false" customHeight="true" outlineLevel="0" collapsed="false">
      <c r="B120" s="13" t="s">
        <v>250</v>
      </c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40" t="n">
        <v>0</v>
      </c>
      <c r="CB120" s="40" t="n">
        <v>0</v>
      </c>
      <c r="CC120" s="40" t="n">
        <v>0</v>
      </c>
      <c r="CD120" s="40" t="n">
        <v>0</v>
      </c>
      <c r="CE120" s="40" t="n">
        <v>0</v>
      </c>
      <c r="CF120" s="31" t="n">
        <f aca="false">CD120+CE120</f>
        <v>0</v>
      </c>
      <c r="CG120" s="40" t="n">
        <v>-5</v>
      </c>
      <c r="CH120" s="40" t="n">
        <v>-0.3</v>
      </c>
      <c r="CI120" s="40" t="n">
        <v>-5.3</v>
      </c>
      <c r="CJ120" s="40" t="n">
        <v>0.4</v>
      </c>
      <c r="CK120" s="40" t="n">
        <v>0</v>
      </c>
      <c r="CL120" s="31" t="n">
        <f aca="false">CJ120+CK120</f>
        <v>0.4</v>
      </c>
      <c r="CM120" s="49" t="n">
        <v>0</v>
      </c>
      <c r="CN120" s="49" t="n">
        <v>0</v>
      </c>
      <c r="CO120" s="32" t="n">
        <f aca="false">SUM(CJ120,CK120,CM120,CN120)</f>
        <v>0.4</v>
      </c>
      <c r="CP120" s="49" t="n">
        <v>0</v>
      </c>
      <c r="CQ120" s="49" t="n">
        <v>0</v>
      </c>
      <c r="CR120" s="49" t="n">
        <v>0</v>
      </c>
      <c r="CS120" s="49" t="n">
        <v>0</v>
      </c>
      <c r="CT120" s="23"/>
      <c r="CV120" s="7"/>
      <c r="CW120" s="7"/>
      <c r="CX120" s="7"/>
      <c r="CY120" s="7"/>
    </row>
    <row r="121" customFormat="false" ht="15" hidden="false" customHeight="true" outlineLevel="0" collapsed="false">
      <c r="B121" s="41" t="s">
        <v>251</v>
      </c>
      <c r="C121" s="43" t="n">
        <f aca="false">C117-N(C118)-N(C119)+N(C120)</f>
        <v>57.218</v>
      </c>
      <c r="D121" s="43" t="n">
        <f aca="false">D117-N(D118)-N(D119)+N(D120)</f>
        <v>75.983</v>
      </c>
      <c r="E121" s="43" t="n">
        <f aca="false">E117-N(E118)-N(E119)+N(E120)</f>
        <v>101.4</v>
      </c>
      <c r="F121" s="43" t="n">
        <f aca="false">F117-N(F118)-N(F119)+N(F120)</f>
        <v>93.452</v>
      </c>
      <c r="G121" s="43" t="n">
        <f aca="false">G117-N(G118)-N(G119)+N(G120)</f>
        <v>65.675</v>
      </c>
      <c r="H121" s="43" t="n">
        <f aca="false">H117-N(H118)-N(H119)+N(H120)</f>
        <v>76.633</v>
      </c>
      <c r="I121" s="43" t="n">
        <f aca="false">I117-N(I118)-N(I119)+N(I120)</f>
        <v>79.551</v>
      </c>
      <c r="J121" s="20" t="n">
        <f aca="false">J117-N(J118)-N(J119)+N(J120)</f>
        <v>13.989</v>
      </c>
      <c r="K121" s="20" t="n">
        <f aca="false">K117-N(K118)-N(K119)+N(K120)</f>
        <v>29.795</v>
      </c>
      <c r="L121" s="20" t="n">
        <f aca="false">L117-N(L118)-N(L119)+N(L120)</f>
        <v>43.784</v>
      </c>
      <c r="M121" s="20" t="n">
        <f aca="false">M117-N(M118)-N(M119)+N(M120)</f>
        <v>16.296</v>
      </c>
      <c r="N121" s="20" t="n">
        <f aca="false">N117-N(N118)-N(N119)+N(N120)</f>
        <v>33.745</v>
      </c>
      <c r="O121" s="43" t="n">
        <f aca="false">O117-N(O118)-N(O119)+N(O120)</f>
        <v>93.644</v>
      </c>
      <c r="P121" s="20" t="n">
        <f aca="false">P117-N(P118)-N(P119)+N(P120)</f>
        <v>14.257</v>
      </c>
      <c r="Q121" s="20" t="n">
        <f aca="false">Q117-N(Q118)-N(Q119)+N(Q120)</f>
        <v>38.607</v>
      </c>
      <c r="R121" s="20" t="n">
        <f aca="false">R117-N(R118)-N(R119)+N(R120)</f>
        <v>52.864</v>
      </c>
      <c r="S121" s="20" t="n">
        <f aca="false">S117-N(S118)-N(S119)+N(S120)</f>
        <v>9.34199999999999</v>
      </c>
      <c r="T121" s="20" t="n">
        <f aca="false">T117-N(T118)-N(T119)+N(T120)</f>
        <v>29.284</v>
      </c>
      <c r="U121" s="43" t="n">
        <f aca="false">U117-N(U118)-N(U119)+N(U120)</f>
        <v>90.981</v>
      </c>
      <c r="V121" s="20" t="n">
        <f aca="false">V117-N(V118)-N(V119)+N(V120)</f>
        <v>23.777</v>
      </c>
      <c r="W121" s="20" t="n">
        <f aca="false">W117-N(W118)-N(W119)+N(W120)</f>
        <v>45.083</v>
      </c>
      <c r="X121" s="20" t="n">
        <f aca="false">X117-N(X118)-N(X119)+N(X120)</f>
        <v>68.86</v>
      </c>
      <c r="Y121" s="20" t="n">
        <f aca="false">Y117-N(Y118)-N(Y119)+N(Y120)</f>
        <v>20.825</v>
      </c>
      <c r="Z121" s="20" t="n">
        <f aca="false">Z117-N(Z118)-N(Z119)+N(Z120)</f>
        <v>46.529</v>
      </c>
      <c r="AA121" s="43" t="n">
        <f aca="false">AA117-N(AA118)-N(AA119)+N(AA120)</f>
        <v>136.214</v>
      </c>
      <c r="AB121" s="20" t="n">
        <f aca="false">AB117-N(AB118)-N(AB119)+N(AB120)</f>
        <v>29.406</v>
      </c>
      <c r="AC121" s="20" t="n">
        <f aca="false">AC117-N(AC118)-N(AC119)+N(AC120)</f>
        <v>39.71</v>
      </c>
      <c r="AD121" s="20" t="n">
        <f aca="false">AD117-N(AD118)-N(AD119)+N(AD120)</f>
        <v>69.116</v>
      </c>
      <c r="AE121" s="20" t="n">
        <f aca="false">AE117-N(AE118)-N(AE119)+N(AE120)</f>
        <v>-5.13699999999999</v>
      </c>
      <c r="AF121" s="20" t="n">
        <f aca="false">AF117-N(AF118)-N(AF119)+N(AF120)</f>
        <v>27.853</v>
      </c>
      <c r="AG121" s="43" t="n">
        <f aca="false">AG117-N(AG118)-N(AG119)+N(AG120)</f>
        <v>91.832</v>
      </c>
      <c r="AH121" s="20" t="n">
        <f aca="false">AH117-N(AH118)-N(AH119)+N(AH120)</f>
        <v>10.377</v>
      </c>
      <c r="AI121" s="20" t="n">
        <f aca="false">AI117-N(AI118)-N(AI119)+N(AI120)</f>
        <v>17.635</v>
      </c>
      <c r="AJ121" s="20" t="n">
        <f aca="false">AJ117-N(AJ118)-N(AJ119)+N(AJ120)</f>
        <v>28.012</v>
      </c>
      <c r="AK121" s="20" t="n">
        <f aca="false">AK117-N(AK118)-N(AK119)+N(AK120)</f>
        <v>10.261</v>
      </c>
      <c r="AL121" s="20" t="n">
        <f aca="false">AL117-N(AL118)-N(AL119)+N(AL120)</f>
        <v>36.754</v>
      </c>
      <c r="AM121" s="43" t="n">
        <f aca="false">AM117-N(AM118)-N(AM119)+N(AM120)</f>
        <v>75.0270000000001</v>
      </c>
      <c r="AN121" s="20" t="n">
        <f aca="false">AN117-N(AN118)-N(AN119)+N(AN120)</f>
        <v>17.138</v>
      </c>
      <c r="AO121" s="20" t="n">
        <f aca="false">AO117-N(AO118)-N(AO119)+N(AO120)</f>
        <v>45.717</v>
      </c>
      <c r="AP121" s="20" t="n">
        <f aca="false">AP117-N(AP118)-N(AP119)+N(AP120)</f>
        <v>62.855</v>
      </c>
      <c r="AQ121" s="20" t="n">
        <f aca="false">AQ117-N(AQ118)-N(AQ119)+N(AQ120)</f>
        <v>23.138</v>
      </c>
      <c r="AR121" s="20" t="n">
        <f aca="false">AR117-N(AR118)-N(AR119)+N(AR120)</f>
        <v>35.486</v>
      </c>
      <c r="AS121" s="43" t="n">
        <f aca="false">AS117-N(AS118)-N(AS119)+N(AS120)</f>
        <v>121.479</v>
      </c>
      <c r="AT121" s="20" t="n">
        <f aca="false">AT117-N(AT118)-N(AT119)+N(AT120)</f>
        <v>18.164</v>
      </c>
      <c r="AU121" s="20" t="n">
        <f aca="false">AU117-N(AU118)-N(AU119)+N(AU120)</f>
        <v>54.0359999999999</v>
      </c>
      <c r="AV121" s="20" t="n">
        <f aca="false">AV117-N(AV118)-N(AV119)+N(AV120)</f>
        <v>72.2000000000001</v>
      </c>
      <c r="AW121" s="20" t="n">
        <f aca="false">AW117-N(AW118)-N(AW119)+N(AW120)</f>
        <v>25.266</v>
      </c>
      <c r="AX121" s="20" t="n">
        <f aca="false">AX117-N(AX118)-N(AX119)+N(AX120)</f>
        <v>51.5729999999999</v>
      </c>
      <c r="AY121" s="43" t="n">
        <f aca="false">AY117-N(AY118)-N(AY119)+N(AY120)</f>
        <v>149.039</v>
      </c>
      <c r="AZ121" s="20" t="n">
        <f aca="false">AZ117-N(AZ118)-N(AZ119)+N(AZ120)</f>
        <v>22.809</v>
      </c>
      <c r="BA121" s="20" t="n">
        <f aca="false">BA117-N(BA118)-N(BA119)+N(BA120)</f>
        <v>53.043</v>
      </c>
      <c r="BB121" s="20" t="n">
        <f aca="false">BB117-N(BB118)-N(BB119)+N(BB120)</f>
        <v>75.8520000000001</v>
      </c>
      <c r="BC121" s="20" t="n">
        <f aca="false">BC117-N(BC118)-N(BC119)+N(BC120)</f>
        <v>45.387</v>
      </c>
      <c r="BD121" s="20" t="n">
        <f aca="false">BD117-N(BD118)-N(BD119)+N(BD120)</f>
        <v>48.856</v>
      </c>
      <c r="BE121" s="43" t="n">
        <f aca="false">BE117-N(BE118)-N(BE119)+N(BE120)</f>
        <v>170.095</v>
      </c>
      <c r="BF121" s="20" t="n">
        <f aca="false">BF117-N(BF118)-N(BF119)+N(BF120)</f>
        <v>28.188</v>
      </c>
      <c r="BG121" s="20" t="n">
        <f aca="false">BG117-N(BG118)-N(BG119)+N(BG120)</f>
        <v>60.749</v>
      </c>
      <c r="BH121" s="20" t="n">
        <f aca="false">BH117-N(BH118)-N(BH119)+N(BH120)</f>
        <v>88.9370000000001</v>
      </c>
      <c r="BI121" s="20" t="n">
        <f aca="false">BI117-N(BI118)-N(BI119)+N(BI120)</f>
        <v>32.3360000000001</v>
      </c>
      <c r="BJ121" s="20" t="n">
        <f aca="false">BJ117-N(BJ118)-N(BJ119)+N(BJ120)</f>
        <v>30.595</v>
      </c>
      <c r="BK121" s="43" t="n">
        <f aca="false">BK117-N(BK118)-N(BK119)+N(BK120)</f>
        <v>151.868</v>
      </c>
      <c r="BL121" s="20" t="n">
        <f aca="false">BL117-N(BL118)-N(BL119)+N(BL120)</f>
        <v>178.094</v>
      </c>
      <c r="BM121" s="20" t="n">
        <f aca="false">BM117-N(BM118)-N(BM119)+N(BM120)</f>
        <v>53.3650000000001</v>
      </c>
      <c r="BN121" s="20" t="n">
        <f aca="false">BN117-N(BN118)-N(BN119)+N(BN120)</f>
        <v>231.459</v>
      </c>
      <c r="BO121" s="20" t="n">
        <f aca="false">BO117-N(BO118)-N(BO119)+N(BO120)</f>
        <v>42.909</v>
      </c>
      <c r="BP121" s="20" t="n">
        <f aca="false">BP117-N(BP118)-N(BP119)+N(BP120)</f>
        <v>45.29</v>
      </c>
      <c r="BQ121" s="43" t="n">
        <f aca="false">BQ117-N(BQ118)-N(BQ119)+N(BQ120)</f>
        <v>319.657</v>
      </c>
      <c r="BR121" s="20" t="n">
        <f aca="false">BR117-N(BR118)-N(BR119)+N(BR120)</f>
        <v>-34.1999999999999</v>
      </c>
      <c r="BS121" s="20" t="n">
        <f aca="false">BS117-N(BS118)-N(BS119)+N(BS120)</f>
        <v>77.4</v>
      </c>
      <c r="BT121" s="20" t="n">
        <f aca="false">BT117-N(BT118)-N(BT119)+N(BT120)</f>
        <v>43.2000000000002</v>
      </c>
      <c r="BU121" s="20" t="n">
        <f aca="false">BU117-N(BU118)-N(BU119)+N(BU120)</f>
        <v>54.7</v>
      </c>
      <c r="BV121" s="20" t="n">
        <f aca="false">BV117-N(BV118)-N(BV119)+N(BV120)</f>
        <v>74.8000000000002</v>
      </c>
      <c r="BW121" s="43" t="n">
        <f aca="false">BW117-N(BW118)-N(BW119)+N(BW120)</f>
        <v>174.9</v>
      </c>
      <c r="BX121" s="20" t="n">
        <f aca="false">BX117-N(BX118)-N(BX119)+N(BX120)</f>
        <v>97.1</v>
      </c>
      <c r="BY121" s="20" t="n">
        <f aca="false">BY117-N(BY118)-N(BY119)+N(BY120)</f>
        <v>100.7</v>
      </c>
      <c r="BZ121" s="20" t="n">
        <f aca="false">BZ117-N(BZ118)-N(BZ119)+N(BZ120)</f>
        <v>197.8</v>
      </c>
      <c r="CA121" s="20" t="n">
        <f aca="false">CA117-N(CA118)-N(CA119)+N(CA120)</f>
        <v>66.9</v>
      </c>
      <c r="CB121" s="20" t="n">
        <f aca="false">CB117-N(CB118)-N(CB119)+N(CB120)</f>
        <v>107.8</v>
      </c>
      <c r="CC121" s="43" t="n">
        <f aca="false">CC117-N(CC118)-N(CC119)+N(CC120)</f>
        <v>372.7</v>
      </c>
      <c r="CD121" s="20" t="n">
        <f aca="false">CD117-N(CD118)-N(CD119)+N(CD120)</f>
        <v>102.9</v>
      </c>
      <c r="CE121" s="20" t="n">
        <f aca="false">CE117-N(CE118)-N(CE119)+N(CE120)</f>
        <v>99.4999999999999</v>
      </c>
      <c r="CF121" s="20" t="n">
        <f aca="false">CF117-N(CF118)-N(CF119)+N(CF120)</f>
        <v>202.4</v>
      </c>
      <c r="CG121" s="20" t="n">
        <f aca="false">CG117-N(CG118)-N(CG119)+N(CG120)</f>
        <v>80.6999999999999</v>
      </c>
      <c r="CH121" s="20" t="n">
        <f aca="false">CH117-N(CH118)-N(CH119)+N(CH120)</f>
        <v>99.1</v>
      </c>
      <c r="CI121" s="43" t="n">
        <f aca="false">CI117-N(CI118)-N(CI119)+N(CI120)</f>
        <v>382.2</v>
      </c>
      <c r="CJ121" s="20" t="n">
        <f aca="false">CJ117-N(CJ118)-N(CJ119)+N(CJ120)</f>
        <v>124.6</v>
      </c>
      <c r="CK121" s="20" t="n">
        <f aca="false">CK117-N(CK118)-N(CK119)+N(CK120)</f>
        <v>132</v>
      </c>
      <c r="CL121" s="20" t="n">
        <f aca="false">CL117-N(CL118)-N(CL119)+N(CL120)</f>
        <v>256.6</v>
      </c>
      <c r="CM121" s="43" t="n">
        <f aca="false">CM117-CM118-CM119+CM120</f>
        <v>115.285980552424</v>
      </c>
      <c r="CN121" s="43" t="n">
        <f aca="false">CN117-CN118-CN119+CN120</f>
        <v>151.100074614222</v>
      </c>
      <c r="CO121" s="43" t="n">
        <f aca="false">SUM(CJ121,CK121,CM121,CN121)</f>
        <v>522.986055166646</v>
      </c>
      <c r="CP121" s="43" t="n">
        <f aca="false">CP117-CP118-CP119+CP120</f>
        <v>631.710664857692</v>
      </c>
      <c r="CQ121" s="43" t="n">
        <f aca="false">CQ117-CQ118-CQ119+CQ120</f>
        <v>743.372945254485</v>
      </c>
      <c r="CR121" s="43" t="n">
        <f aca="false">CR117-CR118-CR119+CR120</f>
        <v>831.694491093761</v>
      </c>
      <c r="CS121" s="43" t="n">
        <f aca="false">CS117-CS118-CS119+CS120</f>
        <v>911.371033602155</v>
      </c>
      <c r="CT121" s="23" t="s">
        <v>252</v>
      </c>
      <c r="CV121" s="24" t="n">
        <f aca="false">IFERROR((CS121/CI121)^(1/5)-1,"n/m")</f>
        <v>0.189819021567849</v>
      </c>
      <c r="CW121" s="24" t="n">
        <f aca="false">IFERROR((CI121/BE121)^(1/5)-1,"n/m")</f>
        <v>0.17576310218307</v>
      </c>
      <c r="CX121" s="24" t="n">
        <f aca="false">IFERROR((CI121/AA121)^(1/10)-1,"n/m")</f>
        <v>0.108681737133674</v>
      </c>
      <c r="CY121" s="24" t="n">
        <f aca="false">IFERROR((CI121/C121)^(1/19)-1,"n/m")</f>
        <v>0.105117143954641</v>
      </c>
    </row>
    <row r="122" customFormat="false" ht="15" hidden="false" customHeight="true" outlineLevel="0" collapsed="false">
      <c r="B122" s="46" t="s">
        <v>253</v>
      </c>
      <c r="C122" s="31" t="n">
        <f aca="false">IF(ISNUMBER(C123),ROUND(C115-C123,1),"")</f>
        <v>0</v>
      </c>
      <c r="D122" s="31" t="n">
        <f aca="false">IF(ISNUMBER(D123),ROUND(D115-D123,1),"")</f>
        <v>0</v>
      </c>
      <c r="E122" s="31" t="n">
        <f aca="false">IF(ISNUMBER(E123),ROUND(E115-E123,1),"")</f>
        <v>0</v>
      </c>
      <c r="F122" s="31" t="n">
        <f aca="false">IF(ISNUMBER(F123),ROUND(F115-F123,1),"")</f>
        <v>0</v>
      </c>
      <c r="G122" s="31" t="n">
        <f aca="false">IF(ISNUMBER(G123),ROUND(G115-G123,1),"")</f>
        <v>0</v>
      </c>
      <c r="H122" s="31" t="n">
        <f aca="false">IF(ISNUMBER(H123),ROUND(H115-H123,1),"")</f>
        <v>0</v>
      </c>
      <c r="I122" s="31" t="n">
        <f aca="false">IF(ISNUMBER(I123),ROUND(I115-I123,1),"")</f>
        <v>0</v>
      </c>
      <c r="J122" s="31" t="n">
        <f aca="false">IF(ISNUMBER(J123),ROUND(J115-J123,1),"")</f>
        <v>0</v>
      </c>
      <c r="K122" s="31" t="n">
        <f aca="false">IF(ISNUMBER(K123),ROUND(K115-K123,1),"")</f>
        <v>0</v>
      </c>
      <c r="L122" s="31" t="n">
        <f aca="false">IF(ISNUMBER(L123),ROUND(L115-L123,1),"")</f>
        <v>0</v>
      </c>
      <c r="M122" s="31" t="n">
        <f aca="false">IF(ISNUMBER(M123),ROUND(M115-M123,1),"")</f>
        <v>0</v>
      </c>
      <c r="N122" s="31" t="n">
        <f aca="false">IF(ISNUMBER(N123),ROUND(N115-N123,1),"")</f>
        <v>0</v>
      </c>
      <c r="O122" s="31" t="n">
        <f aca="false">IF(ISNUMBER(O123),ROUND(O115-O123,1),"")</f>
        <v>0</v>
      </c>
      <c r="P122" s="31" t="n">
        <f aca="false">IF(ISNUMBER(P123),ROUND(P115-P123,1),"")</f>
        <v>0</v>
      </c>
      <c r="Q122" s="31" t="n">
        <f aca="false">IF(ISNUMBER(Q123),ROUND(Q115-Q123,1),"")</f>
        <v>0</v>
      </c>
      <c r="R122" s="31" t="n">
        <f aca="false">IF(ISNUMBER(R123),ROUND(R115-R123,1),"")</f>
        <v>0</v>
      </c>
      <c r="S122" s="31" t="n">
        <f aca="false">IF(ISNUMBER(S123),ROUND(S115-S123,1),"")</f>
        <v>0</v>
      </c>
      <c r="T122" s="31" t="n">
        <f aca="false">IF(ISNUMBER(T123),ROUND(T115-T123,1),"")</f>
        <v>0</v>
      </c>
      <c r="U122" s="31" t="n">
        <f aca="false">IF(ISNUMBER(U123),ROUND(U115-U123,1),"")</f>
        <v>0</v>
      </c>
      <c r="V122" s="31" t="n">
        <f aca="false">IF(ISNUMBER(V123),ROUND(V115-V123,1),"")</f>
        <v>0</v>
      </c>
      <c r="W122" s="31" t="n">
        <f aca="false">IF(ISNUMBER(W123),ROUND(W115-W123,1),"")</f>
        <v>0</v>
      </c>
      <c r="X122" s="31" t="n">
        <f aca="false">IF(ISNUMBER(X123),ROUND(X115-X123,1),"")</f>
        <v>0</v>
      </c>
      <c r="Y122" s="31" t="n">
        <f aca="false">IF(ISNUMBER(Y123),ROUND(Y115-Y123,1),"")</f>
        <v>0</v>
      </c>
      <c r="Z122" s="31" t="n">
        <f aca="false">IF(ISNUMBER(Z123),ROUND(Z115-Z123,1),"")</f>
        <v>0</v>
      </c>
      <c r="AA122" s="31" t="n">
        <f aca="false">IF(ISNUMBER(AA123),ROUND(AA115-AA123,1),"")</f>
        <v>0</v>
      </c>
      <c r="AB122" s="31" t="n">
        <f aca="false">IF(ISNUMBER(AB123),ROUND(AB115-AB123,1),"")</f>
        <v>0</v>
      </c>
      <c r="AC122" s="31" t="n">
        <f aca="false">IF(ISNUMBER(AC123),ROUND(AC115-AC123,1),"")</f>
        <v>0</v>
      </c>
      <c r="AD122" s="31" t="n">
        <f aca="false">IF(ISNUMBER(AD123),ROUND(AD115-AD123,1),"")</f>
        <v>0</v>
      </c>
      <c r="AE122" s="31" t="n">
        <f aca="false">IF(ISNUMBER(AE123),ROUND(AE115-AE123,1),"")</f>
        <v>0</v>
      </c>
      <c r="AF122" s="31" t="n">
        <f aca="false">IF(ISNUMBER(AF123),ROUND(AF115-AF123,1),"")</f>
        <v>0</v>
      </c>
      <c r="AG122" s="31" t="n">
        <f aca="false">IF(ISNUMBER(AG123),ROUND(AG115-AG123,1),"")</f>
        <v>0</v>
      </c>
      <c r="AH122" s="31" t="n">
        <f aca="false">IF(ISNUMBER(AH123),ROUND(AH115-AH123,1),"")</f>
        <v>0</v>
      </c>
      <c r="AI122" s="31" t="n">
        <f aca="false">IF(ISNUMBER(AI123),ROUND(AI115-AI123,1),"")</f>
        <v>0</v>
      </c>
      <c r="AJ122" s="31" t="n">
        <f aca="false">IF(ISNUMBER(AJ123),ROUND(AJ115-AJ123,1),"")</f>
        <v>0</v>
      </c>
      <c r="AK122" s="31" t="n">
        <f aca="false">IF(ISNUMBER(AK123),ROUND(AK115-AK123,1),"")</f>
        <v>0</v>
      </c>
      <c r="AL122" s="31" t="n">
        <f aca="false">IF(ISNUMBER(AL123),ROUND(AL115-AL123,1),"")</f>
        <v>0</v>
      </c>
      <c r="AM122" s="31" t="n">
        <f aca="false">IF(ISNUMBER(AM123),ROUND(AM115-AM123,1),"")</f>
        <v>0</v>
      </c>
      <c r="AN122" s="31" t="n">
        <f aca="false">IF(ISNUMBER(AN123),ROUND(AN115-AN123,1),"")</f>
        <v>0</v>
      </c>
      <c r="AO122" s="31" t="n">
        <f aca="false">IF(ISNUMBER(AO123),ROUND(AO115-AO123,1),"")</f>
        <v>0</v>
      </c>
      <c r="AP122" s="31" t="n">
        <f aca="false">IF(ISNUMBER(AP123),ROUND(AP115-AP123,1),"")</f>
        <v>0</v>
      </c>
      <c r="AQ122" s="31" t="n">
        <f aca="false">IF(ISNUMBER(AQ123),ROUND(AQ115-AQ123,1),"")</f>
        <v>0</v>
      </c>
      <c r="AR122" s="31" t="n">
        <f aca="false">IF(ISNUMBER(AR123),ROUND(AR115-AR123,1),"")</f>
        <v>0</v>
      </c>
      <c r="AS122" s="31" t="n">
        <f aca="false">IF(ISNUMBER(AS123),ROUND(AS115-AS123,1),"")</f>
        <v>0</v>
      </c>
      <c r="AT122" s="31" t="n">
        <f aca="false">IF(ISNUMBER(AT123),ROUND(AT115-AT123,1),"")</f>
        <v>0</v>
      </c>
      <c r="AU122" s="31" t="n">
        <f aca="false">IF(ISNUMBER(AU123),ROUND(AU115-AU123,1),"")</f>
        <v>0</v>
      </c>
      <c r="AV122" s="31" t="n">
        <f aca="false">IF(ISNUMBER(AV123),ROUND(AV115-AV123,1),"")</f>
        <v>0</v>
      </c>
      <c r="AW122" s="31" t="n">
        <f aca="false">IF(ISNUMBER(AW123),ROUND(AW115-AW123,1),"")</f>
        <v>0</v>
      </c>
      <c r="AX122" s="31" t="n">
        <f aca="false">IF(ISNUMBER(AX123),ROUND(AX115-AX123,1),"")</f>
        <v>0</v>
      </c>
      <c r="AY122" s="31" t="n">
        <f aca="false">IF(ISNUMBER(AY123),ROUND(AY115-AY123,1),"")</f>
        <v>0</v>
      </c>
      <c r="AZ122" s="31" t="n">
        <f aca="false">IF(ISNUMBER(AZ123),ROUND(AZ115-AZ123,1),"")</f>
        <v>0</v>
      </c>
      <c r="BA122" s="31" t="n">
        <f aca="false">IF(ISNUMBER(BA123),ROUND(BA115-BA123,1),"")</f>
        <v>0</v>
      </c>
      <c r="BB122" s="31" t="n">
        <f aca="false">IF(ISNUMBER(BB123),ROUND(BB115-BB123,1),"")</f>
        <v>0</v>
      </c>
      <c r="BC122" s="31" t="n">
        <f aca="false">IF(ISNUMBER(BC123),ROUND(BC115-BC123,1),"")</f>
        <v>0</v>
      </c>
      <c r="BD122" s="31" t="n">
        <f aca="false">IF(ISNUMBER(BD123),ROUND(BD115-BD123,1),"")</f>
        <v>0</v>
      </c>
      <c r="BE122" s="31" t="n">
        <f aca="false">IF(ISNUMBER(BE123),ROUND(BE115-BE123,1),"")</f>
        <v>0</v>
      </c>
      <c r="BF122" s="31" t="n">
        <f aca="false">IF(ISNUMBER(BF123),ROUND(BF115-BF123,1),"")</f>
        <v>0</v>
      </c>
      <c r="BG122" s="31" t="n">
        <f aca="false">IF(ISNUMBER(BG123),ROUND(BG115-BG123,1),"")</f>
        <v>0</v>
      </c>
      <c r="BH122" s="31" t="n">
        <f aca="false">IF(ISNUMBER(BH123),ROUND(BH115-BH123,1),"")</f>
        <v>0</v>
      </c>
      <c r="BI122" s="31" t="n">
        <f aca="false">IF(ISNUMBER(BI123),ROUND(BI115-BI123,1),"")</f>
        <v>0</v>
      </c>
      <c r="BJ122" s="31" t="n">
        <f aca="false">IF(ISNUMBER(BJ123),ROUND(BJ115-BJ123,1),"")</f>
        <v>0</v>
      </c>
      <c r="BK122" s="31" t="n">
        <f aca="false">IF(ISNUMBER(BK123),ROUND(BK115-BK123,1),"")</f>
        <v>0</v>
      </c>
      <c r="BL122" s="31" t="n">
        <f aca="false">IF(ISNUMBER(BL123),ROUND(BL115-BL123,1),"")</f>
        <v>0</v>
      </c>
      <c r="BM122" s="31" t="n">
        <f aca="false">IF(ISNUMBER(BM123),ROUND(BM115-BM123,1),"")</f>
        <v>0</v>
      </c>
      <c r="BN122" s="31" t="n">
        <f aca="false">IF(ISNUMBER(BN123),ROUND(BN115-BN123,1),"")</f>
        <v>0</v>
      </c>
      <c r="BO122" s="31" t="n">
        <f aca="false">IF(ISNUMBER(BO123),ROUND(BO115-BO123,1),"")</f>
        <v>0</v>
      </c>
      <c r="BP122" s="31" t="n">
        <f aca="false">IF(ISNUMBER(BP123),ROUND(BP115-BP123,1),"")</f>
        <v>0</v>
      </c>
      <c r="BQ122" s="31" t="n">
        <f aca="false">IF(ISNUMBER(BQ123),ROUND(BQ115-BQ123,1),"")</f>
        <v>0</v>
      </c>
      <c r="BR122" s="31" t="n">
        <f aca="false">IF(ISNUMBER(BR123),ROUND(BR115-BR123,1),"")</f>
        <v>0</v>
      </c>
      <c r="BS122" s="31" t="n">
        <f aca="false">IF(ISNUMBER(BS123),ROUND(BS115-BS123,1),"")</f>
        <v>0</v>
      </c>
      <c r="BT122" s="31" t="n">
        <f aca="false">IF(ISNUMBER(BT123),ROUND(BT115-BT123,1),"")</f>
        <v>0</v>
      </c>
      <c r="BU122" s="31" t="n">
        <f aca="false">IF(ISNUMBER(BU123),ROUND(BU115-BU123,1),"")</f>
        <v>0</v>
      </c>
      <c r="BV122" s="31" t="n">
        <f aca="false">IF(ISNUMBER(BV123),ROUND(BV115-BV123,1),"")</f>
        <v>0</v>
      </c>
      <c r="BW122" s="31" t="n">
        <f aca="false">IF(ISNUMBER(BW123),ROUND(BW115-BW123,1),"")</f>
        <v>0</v>
      </c>
      <c r="BX122" s="31" t="n">
        <f aca="false">IF(ISNUMBER(BX123),ROUND(BX115-BX123,1),"")</f>
        <v>0</v>
      </c>
      <c r="BY122" s="31" t="n">
        <f aca="false">IF(ISNUMBER(BY123),ROUND(BY115-BY123,1),"")</f>
        <v>0</v>
      </c>
      <c r="BZ122" s="31" t="n">
        <f aca="false">IF(ISNUMBER(BZ123),ROUND(BZ115-BZ123,1),"")</f>
        <v>0</v>
      </c>
      <c r="CA122" s="31" t="n">
        <f aca="false">IF(ISNUMBER(CA123),ROUND(CA115-CA123,1),"")</f>
        <v>0</v>
      </c>
      <c r="CB122" s="31" t="n">
        <f aca="false">IF(ISNUMBER(CB123),ROUND(CB115-CB123,1),"")</f>
        <v>0</v>
      </c>
      <c r="CC122" s="31" t="n">
        <f aca="false">IF(ISNUMBER(CC123),ROUND(CC115-CC123,1),"")</f>
        <v>0</v>
      </c>
      <c r="CD122" s="31" t="n">
        <f aca="false">IF(ISNUMBER(CD123),ROUND(CD115-CD123,1),"")</f>
        <v>0</v>
      </c>
      <c r="CE122" s="31" t="n">
        <f aca="false">IF(ISNUMBER(CE123),ROUND(CE115-CE123,1),"")</f>
        <v>0</v>
      </c>
      <c r="CF122" s="31" t="n">
        <f aca="false">IF(ISNUMBER(CF123),ROUND(CF115-CF123,1),"")</f>
        <v>0</v>
      </c>
      <c r="CG122" s="31" t="n">
        <f aca="false">IF(ISNUMBER(CG123),ROUND(CG115-CG123,1),"")</f>
        <v>0</v>
      </c>
      <c r="CH122" s="31" t="n">
        <f aca="false">IF(ISNUMBER(CH123),ROUND(CH115-CH123,1),"")</f>
        <v>0</v>
      </c>
      <c r="CI122" s="31" t="n">
        <f aca="false">IF(ISNUMBER(CI123),ROUND(CI115-CI123,1),"")</f>
        <v>0</v>
      </c>
      <c r="CJ122" s="31" t="n">
        <f aca="false">IF(ISNUMBER(CJ123),ROUND(CJ115-CJ123,1),"")</f>
        <v>0</v>
      </c>
      <c r="CK122" s="31" t="n">
        <f aca="false">IF(ISNUMBER(CK123),ROUND(CK115-CK123,1),"")</f>
        <v>0</v>
      </c>
      <c r="CL122" s="31" t="n">
        <f aca="false">IF(ISNUMBER(CL123),ROUND(CL115-CL123,1),"")</f>
        <v>0</v>
      </c>
      <c r="CM122" s="32"/>
      <c r="CN122" s="32"/>
      <c r="CO122" s="32"/>
      <c r="CP122" s="32"/>
      <c r="CQ122" s="32"/>
      <c r="CR122" s="32"/>
      <c r="CS122" s="32"/>
      <c r="CT122" s="23"/>
      <c r="CV122" s="7"/>
      <c r="CW122" s="7"/>
      <c r="CX122" s="7"/>
      <c r="CY122" s="7"/>
    </row>
    <row r="123" customFormat="false" ht="15" hidden="false" customHeight="true" outlineLevel="0" collapsed="false">
      <c r="B123" s="39" t="s">
        <v>254</v>
      </c>
      <c r="C123" s="40" t="n">
        <v>57.218</v>
      </c>
      <c r="D123" s="40" t="n">
        <v>75.983</v>
      </c>
      <c r="E123" s="40" t="n">
        <v>101.4</v>
      </c>
      <c r="F123" s="40" t="n">
        <v>93.452</v>
      </c>
      <c r="G123" s="40" t="n">
        <v>65.675</v>
      </c>
      <c r="H123" s="40" t="n">
        <v>76.633</v>
      </c>
      <c r="I123" s="40" t="n">
        <v>79.546</v>
      </c>
      <c r="J123" s="40" t="n">
        <v>14.046</v>
      </c>
      <c r="K123" s="40" t="n">
        <v>30.028</v>
      </c>
      <c r="L123" s="31" t="n">
        <f aca="false">J123+K123</f>
        <v>44.074</v>
      </c>
      <c r="M123" s="40" t="n">
        <v>16.426</v>
      </c>
      <c r="N123" s="40" t="n">
        <v>34.126</v>
      </c>
      <c r="O123" s="40" t="n">
        <v>94.445</v>
      </c>
      <c r="P123" s="40" t="n">
        <v>14.518</v>
      </c>
      <c r="Q123" s="40" t="n">
        <v>39.135</v>
      </c>
      <c r="R123" s="31" t="n">
        <f aca="false">P123+Q123</f>
        <v>53.653</v>
      </c>
      <c r="S123" s="40" t="n">
        <v>9.603</v>
      </c>
      <c r="T123" s="40" t="n">
        <v>29.816</v>
      </c>
      <c r="U123" s="40" t="n">
        <v>92.563</v>
      </c>
      <c r="V123" s="40" t="n">
        <v>24.11</v>
      </c>
      <c r="W123" s="40" t="n">
        <v>45.846</v>
      </c>
      <c r="X123" s="31" t="n">
        <f aca="false">V123+W123</f>
        <v>69.956</v>
      </c>
      <c r="Y123" s="40" t="n">
        <v>21.247</v>
      </c>
      <c r="Z123" s="40" t="n">
        <v>47.372</v>
      </c>
      <c r="AA123" s="40" t="n">
        <v>138.575</v>
      </c>
      <c r="AB123" s="40" t="n">
        <v>29.994</v>
      </c>
      <c r="AC123" s="40" t="n">
        <v>40.591</v>
      </c>
      <c r="AD123" s="31" t="n">
        <f aca="false">AB123+AC123</f>
        <v>70.585</v>
      </c>
      <c r="AE123" s="40" t="n">
        <v>-5</v>
      </c>
      <c r="AF123" s="40" t="n">
        <v>27.927</v>
      </c>
      <c r="AG123" s="40" t="n">
        <v>93.512</v>
      </c>
      <c r="AH123" s="40" t="n">
        <v>10.433</v>
      </c>
      <c r="AI123" s="40" t="n">
        <v>17.713</v>
      </c>
      <c r="AJ123" s="31" t="n">
        <f aca="false">AH123+AI123</f>
        <v>28.146</v>
      </c>
      <c r="AK123" s="40" t="n">
        <v>10.323</v>
      </c>
      <c r="AL123" s="40" t="n">
        <v>36.837</v>
      </c>
      <c r="AM123" s="40" t="n">
        <v>75.306</v>
      </c>
      <c r="AN123" s="40" t="n">
        <v>17.207</v>
      </c>
      <c r="AO123" s="40" t="n">
        <v>45.727</v>
      </c>
      <c r="AP123" s="31" t="n">
        <f aca="false">AN123+AO123</f>
        <v>62.934</v>
      </c>
      <c r="AQ123" s="40" t="n">
        <v>23.112</v>
      </c>
      <c r="AR123" s="40" t="n">
        <v>35.46</v>
      </c>
      <c r="AS123" s="40" t="n">
        <v>121.506</v>
      </c>
      <c r="AT123" s="40" t="n">
        <v>18.172</v>
      </c>
      <c r="AU123" s="40" t="n">
        <v>54.131</v>
      </c>
      <c r="AV123" s="31" t="n">
        <f aca="false">AT123+AU123</f>
        <v>72.303</v>
      </c>
      <c r="AW123" s="40" t="n">
        <v>25.272</v>
      </c>
      <c r="AX123" s="40" t="n">
        <v>51.565</v>
      </c>
      <c r="AY123" s="40" t="n">
        <v>149.14</v>
      </c>
      <c r="AZ123" s="40" t="n">
        <v>22.829</v>
      </c>
      <c r="BA123" s="40" t="n">
        <v>53.119</v>
      </c>
      <c r="BB123" s="31" t="n">
        <f aca="false">AZ123+BA123</f>
        <v>75.948</v>
      </c>
      <c r="BC123" s="40" t="n">
        <v>45.49</v>
      </c>
      <c r="BD123" s="40" t="n">
        <v>48.919</v>
      </c>
      <c r="BE123" s="40" t="n">
        <v>170.358</v>
      </c>
      <c r="BF123" s="40" t="n">
        <v>28.139</v>
      </c>
      <c r="BG123" s="40" t="n">
        <v>60.781</v>
      </c>
      <c r="BH123" s="31" t="n">
        <f aca="false">BF123+BG123</f>
        <v>88.92</v>
      </c>
      <c r="BI123" s="40" t="n">
        <v>32.357</v>
      </c>
      <c r="BJ123" s="40" t="n">
        <v>30.576</v>
      </c>
      <c r="BK123" s="40" t="n">
        <v>151.854</v>
      </c>
      <c r="BL123" s="40" t="n">
        <v>178.101</v>
      </c>
      <c r="BM123" s="40" t="n">
        <v>53.411</v>
      </c>
      <c r="BN123" s="31" t="n">
        <f aca="false">BL123+BM123</f>
        <v>231.512</v>
      </c>
      <c r="BO123" s="40" t="n">
        <v>42.924</v>
      </c>
      <c r="BP123" s="40" t="n">
        <v>45.322</v>
      </c>
      <c r="BQ123" s="40" t="n">
        <v>319.758</v>
      </c>
      <c r="BR123" s="40" t="n">
        <v>-28.2</v>
      </c>
      <c r="BS123" s="40" t="n">
        <v>86.8</v>
      </c>
      <c r="BT123" s="31" t="n">
        <f aca="false">BR123+BS123</f>
        <v>58.6</v>
      </c>
      <c r="BU123" s="40" t="n">
        <v>63.2</v>
      </c>
      <c r="BV123" s="40" t="n">
        <v>84.2</v>
      </c>
      <c r="BW123" s="40" t="n">
        <v>206</v>
      </c>
      <c r="BX123" s="40" t="n">
        <v>107.4</v>
      </c>
      <c r="BY123" s="40" t="n">
        <v>111</v>
      </c>
      <c r="BZ123" s="31" t="n">
        <f aca="false">BX123+BY123</f>
        <v>218.4</v>
      </c>
      <c r="CA123" s="40" t="n">
        <v>76</v>
      </c>
      <c r="CB123" s="40" t="n">
        <v>118.4</v>
      </c>
      <c r="CC123" s="40" t="n">
        <v>412.8</v>
      </c>
      <c r="CD123" s="40" t="n">
        <v>113.3</v>
      </c>
      <c r="CE123" s="40" t="n">
        <v>109.7</v>
      </c>
      <c r="CF123" s="31" t="n">
        <f aca="false">CD123+CE123</f>
        <v>223</v>
      </c>
      <c r="CG123" s="40" t="n">
        <v>95.2</v>
      </c>
      <c r="CH123" s="40" t="n">
        <v>109.4</v>
      </c>
      <c r="CI123" s="40" t="n">
        <v>427.6</v>
      </c>
      <c r="CJ123" s="40" t="n">
        <v>135.6</v>
      </c>
      <c r="CK123" s="40" t="n">
        <v>143.6</v>
      </c>
      <c r="CL123" s="31" t="n">
        <f aca="false">CJ123+CK123</f>
        <v>279.2</v>
      </c>
      <c r="CM123" s="32"/>
      <c r="CN123" s="32"/>
      <c r="CO123" s="32"/>
      <c r="CP123" s="32"/>
      <c r="CQ123" s="32"/>
      <c r="CR123" s="32"/>
      <c r="CS123" s="32"/>
      <c r="CT123" s="23"/>
      <c r="CV123" s="7"/>
      <c r="CW123" s="7"/>
      <c r="CX123" s="7"/>
      <c r="CY123" s="7"/>
    </row>
    <row r="124" customFormat="false" ht="15" hidden="false" customHeight="true" outlineLevel="0" collapsed="false">
      <c r="B124" s="39" t="s">
        <v>255</v>
      </c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40" t="n">
        <v>6.787</v>
      </c>
      <c r="AG124" s="40" t="n">
        <v>6.787</v>
      </c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40" t="n">
        <v>5.464</v>
      </c>
      <c r="BN124" s="31" t="n">
        <f aca="false">N(BL124)+N(BM124)</f>
        <v>5.464</v>
      </c>
      <c r="BO124" s="31"/>
      <c r="BP124" s="31"/>
      <c r="BQ124" s="40" t="n">
        <v>5.464</v>
      </c>
      <c r="BR124" s="40" t="n">
        <v>3.3</v>
      </c>
      <c r="BS124" s="31"/>
      <c r="BT124" s="31" t="n">
        <f aca="false">N(BR124)+N(BS124)</f>
        <v>3.3</v>
      </c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49" t="n">
        <v>0</v>
      </c>
      <c r="CN124" s="49" t="n">
        <v>0</v>
      </c>
      <c r="CO124" s="32" t="n">
        <f aca="false">SUM(CJ124,CK124,CM124,CN124)</f>
        <v>0</v>
      </c>
      <c r="CP124" s="49" t="n">
        <v>0</v>
      </c>
      <c r="CQ124" s="49" t="n">
        <v>0</v>
      </c>
      <c r="CR124" s="49" t="n">
        <v>0</v>
      </c>
      <c r="CS124" s="49" t="n">
        <v>0</v>
      </c>
      <c r="CT124" s="23"/>
      <c r="CV124" s="7"/>
      <c r="CW124" s="7"/>
      <c r="CX124" s="7"/>
      <c r="CY124" s="7"/>
    </row>
    <row r="125" customFormat="false" ht="15" hidden="false" customHeight="true" outlineLevel="0" collapsed="false">
      <c r="B125" s="13" t="s">
        <v>256</v>
      </c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2"/>
      <c r="CN125" s="32"/>
      <c r="CO125" s="32"/>
      <c r="CP125" s="32"/>
      <c r="CQ125" s="32"/>
      <c r="CR125" s="32"/>
      <c r="CS125" s="32"/>
      <c r="CT125" s="23"/>
      <c r="CV125" s="7"/>
      <c r="CW125" s="7"/>
      <c r="CX125" s="7"/>
      <c r="CY125" s="7"/>
    </row>
    <row r="126" customFormat="false" ht="15" hidden="false" customHeight="true" outlineLevel="0" collapsed="false">
      <c r="B126" s="13" t="s">
        <v>257</v>
      </c>
      <c r="C126" s="27" t="n">
        <v>103.63938</v>
      </c>
      <c r="D126" s="27" t="n">
        <v>104.266113</v>
      </c>
      <c r="E126" s="27" t="n">
        <v>104.713375</v>
      </c>
      <c r="F126" s="27" t="n">
        <v>105.141368</v>
      </c>
      <c r="G126" s="27" t="n">
        <v>105.52196</v>
      </c>
      <c r="H126" s="27" t="n">
        <v>106.164237</v>
      </c>
      <c r="I126" s="27" t="n">
        <v>106.469665</v>
      </c>
      <c r="J126" s="27" t="n">
        <v>106.641063</v>
      </c>
      <c r="K126" s="27" t="n">
        <v>106.713312</v>
      </c>
      <c r="L126" s="26" t="n">
        <f aca="false">AVERAGE(J126,K126)</f>
        <v>106.6771875</v>
      </c>
      <c r="M126" s="27" t="n">
        <v>106.823223</v>
      </c>
      <c r="N126" s="27" t="n">
        <v>106.894444</v>
      </c>
      <c r="O126" s="27" t="n">
        <v>106.768856</v>
      </c>
      <c r="P126" s="27" t="n">
        <v>107.047253</v>
      </c>
      <c r="Q126" s="27" t="n">
        <v>107.225226</v>
      </c>
      <c r="R126" s="26" t="n">
        <f aca="false">AVERAGE(P126,Q126)</f>
        <v>107.1362395</v>
      </c>
      <c r="S126" s="27" t="n">
        <v>107.338795</v>
      </c>
      <c r="T126" s="27" t="n">
        <v>107.457122</v>
      </c>
      <c r="U126" s="27" t="n">
        <v>107.268425</v>
      </c>
      <c r="V126" s="27" t="n">
        <v>107.484944</v>
      </c>
      <c r="W126" s="27" t="n">
        <v>106.506916</v>
      </c>
      <c r="X126" s="26" t="n">
        <f aca="false">AVERAGE(V126,W126)</f>
        <v>106.99593</v>
      </c>
      <c r="Y126" s="27" t="n">
        <v>107.137417</v>
      </c>
      <c r="Z126" s="27" t="n">
        <v>107.176813</v>
      </c>
      <c r="AA126" s="27" t="n">
        <v>107.075845</v>
      </c>
      <c r="AB126" s="27" t="n">
        <v>106.91728</v>
      </c>
      <c r="AC126" s="27" t="n">
        <v>106.245307</v>
      </c>
      <c r="AD126" s="26" t="n">
        <f aca="false">AVERAGE(AB126,AC126)</f>
        <v>106.5812935</v>
      </c>
      <c r="AE126" s="27" t="n">
        <v>106.622376</v>
      </c>
      <c r="AF126" s="27" t="n">
        <v>106.735262</v>
      </c>
      <c r="AG126" s="27" t="n">
        <v>106.630323</v>
      </c>
      <c r="AH126" s="27" t="n">
        <v>106.851595</v>
      </c>
      <c r="AI126" s="27" t="n">
        <v>107.004902</v>
      </c>
      <c r="AJ126" s="26" t="n">
        <f aca="false">AVERAGE(AH126,AI126)</f>
        <v>106.9282485</v>
      </c>
      <c r="AK126" s="27" t="n">
        <v>107.120618</v>
      </c>
      <c r="AL126" s="27" t="n">
        <v>107.198875</v>
      </c>
      <c r="AM126" s="27" t="n">
        <v>107.044348</v>
      </c>
      <c r="AN126" s="27" t="n">
        <v>107.355381</v>
      </c>
      <c r="AO126" s="27" t="n">
        <v>107.86403</v>
      </c>
      <c r="AP126" s="26" t="n">
        <f aca="false">AVERAGE(AN126,AO126)</f>
        <v>107.6097055</v>
      </c>
      <c r="AQ126" s="27" t="n">
        <v>108.365427</v>
      </c>
      <c r="AR126" s="27" t="n">
        <v>108.649637</v>
      </c>
      <c r="AS126" s="27" t="n">
        <v>108.063349</v>
      </c>
      <c r="AT126" s="27" t="n">
        <v>108.7655</v>
      </c>
      <c r="AU126" s="27" t="n">
        <v>108.7077</v>
      </c>
      <c r="AV126" s="26" t="n">
        <f aca="false">AVERAGE(AT126,AU126)</f>
        <v>108.7366</v>
      </c>
      <c r="AW126" s="27" t="n">
        <v>108.0034</v>
      </c>
      <c r="AX126" s="27" t="n">
        <v>108.6095</v>
      </c>
      <c r="AY126" s="27" t="n">
        <v>108.5197</v>
      </c>
      <c r="AZ126" s="27" t="n">
        <v>109.2489</v>
      </c>
      <c r="BA126" s="27" t="n">
        <v>108.3875</v>
      </c>
      <c r="BB126" s="26" t="n">
        <f aca="false">AVERAGE(AZ126,BA126)</f>
        <v>108.8182</v>
      </c>
      <c r="BC126" s="27" t="n">
        <v>109.0185</v>
      </c>
      <c r="BD126" s="27" t="n">
        <v>109.5533</v>
      </c>
      <c r="BE126" s="27" t="n">
        <v>109.0545</v>
      </c>
      <c r="BF126" s="27" t="n">
        <v>109.973</v>
      </c>
      <c r="BG126" s="27" t="n">
        <v>110.3116</v>
      </c>
      <c r="BH126" s="26" t="n">
        <f aca="false">AVERAGE(BF126,BG126)</f>
        <v>110.1423</v>
      </c>
      <c r="BI126" s="27" t="n">
        <v>110.4102</v>
      </c>
      <c r="BJ126" s="27" t="n">
        <v>110.5589</v>
      </c>
      <c r="BK126" s="27" t="n">
        <v>110.3158</v>
      </c>
      <c r="BL126" s="27" t="n">
        <v>110.6477</v>
      </c>
      <c r="BM126" s="27" t="n">
        <v>110.7603</v>
      </c>
      <c r="BN126" s="26" t="n">
        <f aca="false">AVERAGE(BL126,BM126)</f>
        <v>110.704</v>
      </c>
      <c r="BO126" s="27" t="n">
        <v>110.8382</v>
      </c>
      <c r="BP126" s="27" t="n">
        <v>110.874</v>
      </c>
      <c r="BQ126" s="27" t="n">
        <v>110.7813</v>
      </c>
      <c r="BR126" s="27" t="n">
        <v>120.4873</v>
      </c>
      <c r="BS126" s="27" t="n">
        <v>181.86</v>
      </c>
      <c r="BT126" s="26" t="n">
        <f aca="false">AVERAGE(BR126,BS126)</f>
        <v>151.17365</v>
      </c>
      <c r="BU126" s="27" t="n">
        <v>182.1487</v>
      </c>
      <c r="BV126" s="27" t="n">
        <v>182.5094</v>
      </c>
      <c r="BW126" s="27" t="n">
        <v>166.9636</v>
      </c>
      <c r="BX126" s="27" t="n">
        <v>183.0593</v>
      </c>
      <c r="BY126" s="27" t="n">
        <v>183.8871</v>
      </c>
      <c r="BZ126" s="26" t="n">
        <f aca="false">AVERAGE(BX126,BY126)</f>
        <v>183.4732</v>
      </c>
      <c r="CA126" s="27" t="n">
        <v>184.3</v>
      </c>
      <c r="CB126" s="27" t="n">
        <v>184.6</v>
      </c>
      <c r="CC126" s="27" t="n">
        <v>184</v>
      </c>
      <c r="CD126" s="27" t="n">
        <v>184.8</v>
      </c>
      <c r="CE126" s="27" t="n">
        <v>185.4</v>
      </c>
      <c r="CF126" s="26" t="n">
        <f aca="false">AVERAGE(CD126,CE126)</f>
        <v>185.1</v>
      </c>
      <c r="CG126" s="27" t="n">
        <v>185.6</v>
      </c>
      <c r="CH126" s="27" t="n">
        <v>185.8</v>
      </c>
      <c r="CI126" s="27" t="n">
        <v>185.4</v>
      </c>
      <c r="CJ126" s="27" t="n">
        <v>186</v>
      </c>
      <c r="CK126" s="27" t="n">
        <v>185.8</v>
      </c>
      <c r="CL126" s="26" t="n">
        <f aca="false">AVERAGE(CJ126,CK126)</f>
        <v>185.9</v>
      </c>
      <c r="CM126" s="28" t="n">
        <f aca="false">CK126-CO263*(3-2)/2</f>
        <v>184.55</v>
      </c>
      <c r="CN126" s="28" t="n">
        <f aca="false">CK126-CO263*(4-2)/2</f>
        <v>183.3</v>
      </c>
      <c r="CO126" s="28" t="n">
        <f aca="false">AVERAGE(CJ126,CK126,CM126,CN126)</f>
        <v>184.9125</v>
      </c>
      <c r="CP126" s="28" t="n">
        <f aca="false">AVERAGE(CP265,CP266)</f>
        <v>181.163551401869</v>
      </c>
      <c r="CQ126" s="28" t="n">
        <f aca="false">AVERAGE(CQ265,CQ266)</f>
        <v>177.243505983055</v>
      </c>
      <c r="CR126" s="28" t="n">
        <f aca="false">AVERAGE(CR265,CR266)</f>
        <v>173.364071383617</v>
      </c>
      <c r="CS126" s="28" t="n">
        <f aca="false">AVERAGE(CS265,CS266)</f>
        <v>169.284186067213</v>
      </c>
      <c r="CT126" s="23" t="s">
        <v>258</v>
      </c>
      <c r="CV126" s="7"/>
      <c r="CW126" s="7"/>
      <c r="CX126" s="7"/>
      <c r="CY126" s="7"/>
    </row>
    <row r="127" customFormat="false" ht="15" hidden="false" customHeight="true" outlineLevel="0" collapsed="false">
      <c r="B127" s="13" t="s">
        <v>259</v>
      </c>
      <c r="C127" s="27" t="n">
        <v>104.556</v>
      </c>
      <c r="D127" s="27" t="n">
        <v>105.262296</v>
      </c>
      <c r="E127" s="27" t="n">
        <v>105.773944</v>
      </c>
      <c r="F127" s="27" t="n">
        <v>105.773806</v>
      </c>
      <c r="G127" s="27" t="n">
        <v>106.169199</v>
      </c>
      <c r="H127" s="27" t="n">
        <v>106.983757</v>
      </c>
      <c r="I127" s="27" t="n">
        <v>106.923852</v>
      </c>
      <c r="J127" s="27" t="n">
        <v>107.024808</v>
      </c>
      <c r="K127" s="27" t="n">
        <v>107.002439</v>
      </c>
      <c r="L127" s="26" t="n">
        <f aca="false">AVERAGE(J127,K127)</f>
        <v>107.0136235</v>
      </c>
      <c r="M127" s="27" t="n">
        <v>107.04237</v>
      </c>
      <c r="N127" s="27" t="n">
        <v>107.13873</v>
      </c>
      <c r="O127" s="27" t="n">
        <v>107.155173</v>
      </c>
      <c r="P127" s="27" t="n">
        <v>107.302176</v>
      </c>
      <c r="Q127" s="27" t="n">
        <v>107.54772</v>
      </c>
      <c r="R127" s="26" t="n">
        <f aca="false">AVERAGE(P127,Q127)</f>
        <v>107.424948</v>
      </c>
      <c r="S127" s="27" t="n">
        <v>107.662663</v>
      </c>
      <c r="T127" s="27" t="n">
        <v>107.823951</v>
      </c>
      <c r="U127" s="27" t="n">
        <v>107.654828</v>
      </c>
      <c r="V127" s="27" t="n">
        <v>107.807948</v>
      </c>
      <c r="W127" s="27" t="n">
        <v>106.978061</v>
      </c>
      <c r="X127" s="26" t="n">
        <f aca="false">AVERAGE(V127,W127)</f>
        <v>107.3930045</v>
      </c>
      <c r="Y127" s="27" t="n">
        <v>107.517888</v>
      </c>
      <c r="Z127" s="27" t="n">
        <v>107.428709</v>
      </c>
      <c r="AA127" s="27" t="n">
        <v>107.432474</v>
      </c>
      <c r="AB127" s="27" t="n">
        <v>107.15901</v>
      </c>
      <c r="AC127" s="27" t="n">
        <v>106.97981</v>
      </c>
      <c r="AD127" s="26" t="n">
        <f aca="false">AVERAGE(AB127,AC127)</f>
        <v>107.06941</v>
      </c>
      <c r="AE127" s="27" t="n">
        <v>107.525051</v>
      </c>
      <c r="AF127" s="27" t="n">
        <v>108.166241</v>
      </c>
      <c r="AG127" s="27" t="n">
        <v>107.457794</v>
      </c>
      <c r="AH127" s="27" t="n">
        <v>107.788949</v>
      </c>
      <c r="AI127" s="27" t="n">
        <v>108.23866</v>
      </c>
      <c r="AJ127" s="26" t="n">
        <f aca="false">AVERAGE(AH127,AI127)</f>
        <v>108.0138045</v>
      </c>
      <c r="AK127" s="27" t="n">
        <v>108.178303</v>
      </c>
      <c r="AL127" s="27" t="n">
        <v>108.245291</v>
      </c>
      <c r="AM127" s="27" t="n">
        <v>108.113151</v>
      </c>
      <c r="AN127" s="27" t="n">
        <v>108.643897</v>
      </c>
      <c r="AO127" s="27" t="n">
        <v>109.019708</v>
      </c>
      <c r="AP127" s="26" t="n">
        <f aca="false">AVERAGE(AN127,AO127)</f>
        <v>108.8318025</v>
      </c>
      <c r="AQ127" s="27" t="n">
        <v>109.887194</v>
      </c>
      <c r="AR127" s="27" t="n">
        <v>109.983224</v>
      </c>
      <c r="AS127" s="27" t="n">
        <v>109.388236</v>
      </c>
      <c r="AT127" s="27" t="n">
        <v>110.0442</v>
      </c>
      <c r="AU127" s="27" t="n">
        <v>109.9428</v>
      </c>
      <c r="AV127" s="26" t="n">
        <f aca="false">AVERAGE(AT127,AU127)</f>
        <v>109.9935</v>
      </c>
      <c r="AW127" s="27" t="n">
        <v>109.3812</v>
      </c>
      <c r="AX127" s="27" t="n">
        <v>110.1946</v>
      </c>
      <c r="AY127" s="27" t="n">
        <v>109.7591</v>
      </c>
      <c r="AZ127" s="27" t="n">
        <v>110.4828</v>
      </c>
      <c r="BA127" s="27" t="n">
        <v>109.3233</v>
      </c>
      <c r="BB127" s="26" t="n">
        <f aca="false">AVERAGE(AZ127,BA127)</f>
        <v>109.90305</v>
      </c>
      <c r="BC127" s="27" t="n">
        <v>110.3697</v>
      </c>
      <c r="BD127" s="27" t="n">
        <v>111.0582</v>
      </c>
      <c r="BE127" s="27" t="n">
        <v>110.311</v>
      </c>
      <c r="BF127" s="27" t="n">
        <v>111.2674</v>
      </c>
      <c r="BG127" s="27" t="n">
        <v>111.3342</v>
      </c>
      <c r="BH127" s="26" t="n">
        <f aca="false">AVERAGE(BF127,BG127)</f>
        <v>111.3008</v>
      </c>
      <c r="BI127" s="27" t="n">
        <v>111.3914</v>
      </c>
      <c r="BJ127" s="27" t="n">
        <v>111.6203</v>
      </c>
      <c r="BK127" s="27" t="n">
        <v>111.4068</v>
      </c>
      <c r="BL127" s="27" t="n">
        <v>111.6559</v>
      </c>
      <c r="BM127" s="27" t="n">
        <v>111.7051</v>
      </c>
      <c r="BN127" s="26" t="n">
        <f aca="false">AVERAGE(BL127,BM127)</f>
        <v>111.6805</v>
      </c>
      <c r="BO127" s="27" t="n">
        <v>112.2095</v>
      </c>
      <c r="BP127" s="27" t="n">
        <v>111.9688</v>
      </c>
      <c r="BQ127" s="27" t="n">
        <v>111.886</v>
      </c>
      <c r="BR127" s="27" t="n">
        <v>120.4873</v>
      </c>
      <c r="BS127" s="27" t="n">
        <v>182.8104</v>
      </c>
      <c r="BT127" s="26" t="n">
        <f aca="false">AVERAGE(BR127,BS127)</f>
        <v>151.64885</v>
      </c>
      <c r="BU127" s="27" t="n">
        <v>183.6016</v>
      </c>
      <c r="BV127" s="27" t="n">
        <v>183.8953</v>
      </c>
      <c r="BW127" s="27" t="n">
        <v>168.204</v>
      </c>
      <c r="BX127" s="27" t="n">
        <v>184.5811</v>
      </c>
      <c r="BY127" s="27" t="n">
        <v>184.9126</v>
      </c>
      <c r="BZ127" s="26" t="n">
        <f aca="false">AVERAGE(BX127,BY127)</f>
        <v>184.74685</v>
      </c>
      <c r="CA127" s="27" t="n">
        <v>185.5</v>
      </c>
      <c r="CB127" s="27" t="n">
        <v>186</v>
      </c>
      <c r="CC127" s="27" t="n">
        <v>185.3</v>
      </c>
      <c r="CD127" s="27" t="n">
        <v>186.4</v>
      </c>
      <c r="CE127" s="27" t="n">
        <v>186.6</v>
      </c>
      <c r="CF127" s="26" t="n">
        <f aca="false">AVERAGE(CD127,CE127)</f>
        <v>186.5</v>
      </c>
      <c r="CG127" s="27" t="n">
        <v>187.1</v>
      </c>
      <c r="CH127" s="27" t="n">
        <v>187.3</v>
      </c>
      <c r="CI127" s="27" t="n">
        <v>186.9</v>
      </c>
      <c r="CJ127" s="27" t="n">
        <v>187.5</v>
      </c>
      <c r="CK127" s="27" t="n">
        <v>186.9</v>
      </c>
      <c r="CL127" s="26" t="n">
        <f aca="false">AVERAGE(CJ127,CK127)</f>
        <v>187.2</v>
      </c>
      <c r="CM127" s="28" t="n">
        <f aca="false">CM126+(CK127-CK126)</f>
        <v>185.65</v>
      </c>
      <c r="CN127" s="28" t="n">
        <f aca="false">CN126+(CK127-CK126)</f>
        <v>184.4</v>
      </c>
      <c r="CO127" s="28" t="n">
        <f aca="false">AVERAGE(CJ127,CK127,CM127,CN127)</f>
        <v>186.1125</v>
      </c>
      <c r="CP127" s="28" t="n">
        <f aca="false">CP126+CP335</f>
        <v>182.363551401869</v>
      </c>
      <c r="CQ127" s="28" t="n">
        <f aca="false">CQ126+CQ335</f>
        <v>178.443505983055</v>
      </c>
      <c r="CR127" s="28" t="n">
        <f aca="false">CR126+CR335</f>
        <v>174.564071383617</v>
      </c>
      <c r="CS127" s="28" t="n">
        <f aca="false">CS126+CS335</f>
        <v>170.484186067213</v>
      </c>
      <c r="CT127" s="23" t="s">
        <v>260</v>
      </c>
      <c r="CV127" s="7"/>
      <c r="CW127" s="7"/>
      <c r="CX127" s="7"/>
      <c r="CY127" s="7"/>
    </row>
    <row r="128" customFormat="false" ht="15" hidden="false" customHeight="true" outlineLevel="0" collapsed="false">
      <c r="B128" s="41" t="s">
        <v>261</v>
      </c>
      <c r="C128" s="50" t="n">
        <f aca="false">IFERROR(C121/C126,"")</f>
        <v>0.552087440121699</v>
      </c>
      <c r="D128" s="50" t="n">
        <f aca="false">IFERROR(D121/D126,"")</f>
        <v>0.728741081965912</v>
      </c>
      <c r="E128" s="50" t="n">
        <f aca="false">IFERROR(E121/E126,"")</f>
        <v>0.968357671596393</v>
      </c>
      <c r="F128" s="50" t="n">
        <f aca="false">IFERROR(F121/F126,"")</f>
        <v>0.888822371038581</v>
      </c>
      <c r="G128" s="50" t="n">
        <f aca="false">IFERROR(G121/G126,"")</f>
        <v>0.622382298433426</v>
      </c>
      <c r="H128" s="50" t="n">
        <f aca="false">IFERROR(H121/H126,"")</f>
        <v>0.721834415858892</v>
      </c>
      <c r="I128" s="50" t="n">
        <f aca="false">IFERROR(I121/I126,"")</f>
        <v>0.747170567316052</v>
      </c>
      <c r="J128" s="51" t="n">
        <f aca="false">IFERROR(J121/J126,"")</f>
        <v>0.131178362316212</v>
      </c>
      <c r="K128" s="51" t="n">
        <f aca="false">IFERROR(K121/K126,"")</f>
        <v>0.279206028203867</v>
      </c>
      <c r="L128" s="51" t="n">
        <f aca="false">IFERROR(L121/L126,"")</f>
        <v>0.410434517689173</v>
      </c>
      <c r="M128" s="51" t="n">
        <f aca="false">IFERROR(M121/M126,"")</f>
        <v>0.152551098369312</v>
      </c>
      <c r="N128" s="51" t="n">
        <f aca="false">IFERROR(N121/N126,"")</f>
        <v>0.315685256756656</v>
      </c>
      <c r="O128" s="50" t="n">
        <f aca="false">IFERROR(O121/O126,"")</f>
        <v>0.87707224286453</v>
      </c>
      <c r="P128" s="51" t="n">
        <f aca="false">IFERROR(P121/P126,"")</f>
        <v>0.133184174282361</v>
      </c>
      <c r="Q128" s="51" t="n">
        <f aca="false">IFERROR(Q121/Q126,"")</f>
        <v>0.360055198204945</v>
      </c>
      <c r="R128" s="51" t="n">
        <f aca="false">IFERROR(R121/R126,"")</f>
        <v>0.493427809737526</v>
      </c>
      <c r="S128" s="51" t="n">
        <f aca="false">IFERROR(S121/S126,"")</f>
        <v>0.0870328384066543</v>
      </c>
      <c r="T128" s="51" t="n">
        <f aca="false">IFERROR(T121/T126,"")</f>
        <v>0.272518000249439</v>
      </c>
      <c r="U128" s="50" t="n">
        <f aca="false">IFERROR(U121/U126,"")</f>
        <v>0.84816198242866</v>
      </c>
      <c r="V128" s="51" t="n">
        <f aca="false">IFERROR(V121/V126,"")</f>
        <v>0.221212377428415</v>
      </c>
      <c r="W128" s="51" t="n">
        <f aca="false">IFERROR(W121/W126,"")</f>
        <v>0.423287066165731</v>
      </c>
      <c r="X128" s="51" t="n">
        <f aca="false">IFERROR(X121/X126,"")</f>
        <v>0.64357588181158</v>
      </c>
      <c r="Y128" s="51" t="n">
        <f aca="false">IFERROR(Y121/Y126,"")</f>
        <v>0.194376536070493</v>
      </c>
      <c r="Z128" s="51" t="n">
        <f aca="false">IFERROR(Z121/Z126,"")</f>
        <v>0.434133080631909</v>
      </c>
      <c r="AA128" s="50" t="n">
        <f aca="false">IFERROR(AA121/AA126,"")</f>
        <v>1.27212631382923</v>
      </c>
      <c r="AB128" s="51" t="n">
        <f aca="false">IFERROR(AB121/AB126,"")</f>
        <v>0.275035055137953</v>
      </c>
      <c r="AC128" s="51" t="n">
        <f aca="false">IFERROR(AC121/AC126,"")</f>
        <v>0.373757685127683</v>
      </c>
      <c r="AD128" s="51" t="n">
        <f aca="false">IFERROR(AD121/AD126,"")</f>
        <v>0.648481527389232</v>
      </c>
      <c r="AE128" s="51" t="n">
        <f aca="false">IFERROR(AE121/AE126,"")</f>
        <v>-0.048179380283178</v>
      </c>
      <c r="AF128" s="51" t="n">
        <f aca="false">IFERROR(AF121/AF126,"")</f>
        <v>0.260954060336686</v>
      </c>
      <c r="AG128" s="50" t="n">
        <f aca="false">IFERROR(AG121/AG126,"")</f>
        <v>0.861218435960285</v>
      </c>
      <c r="AH128" s="51" t="n">
        <f aca="false">IFERROR(AH121/AH126,"")</f>
        <v>0.0971160046792003</v>
      </c>
      <c r="AI128" s="51" t="n">
        <f aca="false">IFERROR(AI121/AI126,"")</f>
        <v>0.164805533862365</v>
      </c>
      <c r="AJ128" s="51" t="n">
        <f aca="false">IFERROR(AJ121/AJ126,"")</f>
        <v>0.261970063037177</v>
      </c>
      <c r="AK128" s="51" t="n">
        <f aca="false">IFERROR(AK121/AK126,"")</f>
        <v>0.0957892158538519</v>
      </c>
      <c r="AL128" s="51" t="n">
        <f aca="false">IFERROR(AL121/AL126,"")</f>
        <v>0.342858075702754</v>
      </c>
      <c r="AM128" s="50" t="n">
        <f aca="false">IFERROR(AM121/AM126,"")</f>
        <v>0.70089641724942</v>
      </c>
      <c r="AN128" s="51" t="n">
        <f aca="false">IFERROR(AN121/AN126,"")</f>
        <v>0.159638015722751</v>
      </c>
      <c r="AO128" s="51" t="n">
        <f aca="false">IFERROR(AO121/AO126,"")</f>
        <v>0.423839161210646</v>
      </c>
      <c r="AP128" s="51" t="n">
        <f aca="false">IFERROR(AP121/AP126,"")</f>
        <v>0.584101589238157</v>
      </c>
      <c r="AQ128" s="51" t="n">
        <f aca="false">IFERROR(AQ121/AQ126,"")</f>
        <v>0.213518283834197</v>
      </c>
      <c r="AR128" s="51" t="n">
        <f aca="false">IFERROR(AR121/AR126,"")</f>
        <v>0.326609466720998</v>
      </c>
      <c r="AS128" s="50" t="n">
        <f aca="false">IFERROR(AS121/AS126,"")</f>
        <v>1.12414617096496</v>
      </c>
      <c r="AT128" s="51" t="n">
        <f aca="false">IFERROR(AT121/AT126,"")</f>
        <v>0.167001484845838</v>
      </c>
      <c r="AU128" s="51" t="n">
        <f aca="false">IFERROR(AU121/AU126,"")</f>
        <v>0.497076104084623</v>
      </c>
      <c r="AV128" s="51" t="n">
        <f aca="false">IFERROR(AV121/AV126,"")</f>
        <v>0.663989861739286</v>
      </c>
      <c r="AW128" s="51" t="n">
        <f aca="false">IFERROR(AW121/AW126,"")</f>
        <v>0.2339370797586</v>
      </c>
      <c r="AX128" s="51" t="n">
        <f aca="false">IFERROR(AX121/AX126,"")</f>
        <v>0.474847964496659</v>
      </c>
      <c r="AY128" s="50" t="n">
        <f aca="false">IFERROR(AY121/AY126,"")</f>
        <v>1.37338197580716</v>
      </c>
      <c r="AZ128" s="51" t="n">
        <f aca="false">IFERROR(AZ121/AZ126,"")</f>
        <v>0.208780134170687</v>
      </c>
      <c r="BA128" s="51" t="n">
        <f aca="false">IFERROR(BA121/BA126,"")</f>
        <v>0.489383000807288</v>
      </c>
      <c r="BB128" s="51" t="n">
        <f aca="false">IFERROR(BB121/BB126,"")</f>
        <v>0.697052515112363</v>
      </c>
      <c r="BC128" s="51" t="n">
        <f aca="false">IFERROR(BC121/BC126,"")</f>
        <v>0.416323834945445</v>
      </c>
      <c r="BD128" s="51" t="n">
        <f aca="false">IFERROR(BD121/BD126,"")</f>
        <v>0.445956443119468</v>
      </c>
      <c r="BE128" s="50" t="n">
        <f aca="false">IFERROR(BE121/BE126,"")</f>
        <v>1.55972472479357</v>
      </c>
      <c r="BF128" s="51" t="n">
        <f aca="false">IFERROR(BF121/BF126,"")</f>
        <v>0.256317459740118</v>
      </c>
      <c r="BG128" s="51" t="n">
        <f aca="false">IFERROR(BG121/BG126,"")</f>
        <v>0.550703643134539</v>
      </c>
      <c r="BH128" s="51" t="n">
        <f aca="false">IFERROR(BH121/BH126,"")</f>
        <v>0.807473604600595</v>
      </c>
      <c r="BI128" s="51" t="n">
        <f aca="false">IFERROR(BI121/BI126,"")</f>
        <v>0.292871491945491</v>
      </c>
      <c r="BJ128" s="51" t="n">
        <f aca="false">IFERROR(BJ121/BJ126,"")</f>
        <v>0.276730322027444</v>
      </c>
      <c r="BK128" s="50" t="n">
        <f aca="false">IFERROR(BK121/BK126,"")</f>
        <v>1.3766658991731</v>
      </c>
      <c r="BL128" s="51" t="n">
        <f aca="false">IFERROR(BL121/BL126,"")</f>
        <v>1.60955898766987</v>
      </c>
      <c r="BM128" s="51" t="n">
        <f aca="false">IFERROR(BM121/BM126,"")</f>
        <v>0.48180620673653</v>
      </c>
      <c r="BN128" s="51" t="n">
        <f aca="false">IFERROR(BN121/BN126,"")</f>
        <v>2.0907916606446</v>
      </c>
      <c r="BO128" s="51" t="n">
        <f aca="false">IFERROR(BO121/BO126,"")</f>
        <v>0.387131873307217</v>
      </c>
      <c r="BP128" s="51" t="n">
        <f aca="false">IFERROR(BP121/BP126,"")</f>
        <v>0.408481699947688</v>
      </c>
      <c r="BQ128" s="50" t="n">
        <f aca="false">IFERROR(BQ121/BQ126,"")</f>
        <v>2.88547796424126</v>
      </c>
      <c r="BR128" s="51" t="n">
        <f aca="false">IFERROR(BR121/BR126,"")</f>
        <v>-0.283847343246964</v>
      </c>
      <c r="BS128" s="51" t="n">
        <f aca="false">IFERROR(BS121/BS126,"")</f>
        <v>0.425602111514351</v>
      </c>
      <c r="BT128" s="51" t="n">
        <f aca="false">IFERROR(BT121/BT126,"")</f>
        <v>0.285764086532277</v>
      </c>
      <c r="BU128" s="51" t="n">
        <f aca="false">IFERROR(BU121/BU126,"")</f>
        <v>0.300304092205983</v>
      </c>
      <c r="BV128" s="51" t="n">
        <f aca="false">IFERROR(BV121/BV126,"")</f>
        <v>0.409841904033437</v>
      </c>
      <c r="BW128" s="50" t="n">
        <f aca="false">IFERROR(BW121/BW126,"")</f>
        <v>1.04753371393525</v>
      </c>
      <c r="BX128" s="51" t="n">
        <f aca="false">IFERROR(BX121/BX126,"")</f>
        <v>0.530429210643764</v>
      </c>
      <c r="BY128" s="51" t="n">
        <f aca="false">IFERROR(BY121/BY126,"")</f>
        <v>0.54761862033824</v>
      </c>
      <c r="BZ128" s="51" t="n">
        <f aca="false">IFERROR(BZ121/BZ126,"")</f>
        <v>1.07808660883442</v>
      </c>
      <c r="CA128" s="51" t="n">
        <f aca="false">IFERROR(CA121/CA126,"")</f>
        <v>0.362995116657623</v>
      </c>
      <c r="CB128" s="51" t="n">
        <f aca="false">IFERROR(CB121/CB126,"")</f>
        <v>0.583965330444203</v>
      </c>
      <c r="CC128" s="50" t="n">
        <f aca="false">IFERROR(CC121/CC126,"")</f>
        <v>2.02554347826087</v>
      </c>
      <c r="CD128" s="51" t="n">
        <f aca="false">IFERROR(CD121/CD126,"")</f>
        <v>0.556818181818181</v>
      </c>
      <c r="CE128" s="51" t="n">
        <f aca="false">IFERROR(CE121/CE126,"")</f>
        <v>0.536677454153182</v>
      </c>
      <c r="CF128" s="51" t="n">
        <f aca="false">IFERROR(CF121/CF126,"")</f>
        <v>1.09346299297677</v>
      </c>
      <c r="CG128" s="51" t="n">
        <f aca="false">IFERROR(CG121/CG126,"")</f>
        <v>0.434806034482758</v>
      </c>
      <c r="CH128" s="51" t="n">
        <f aca="false">IFERROR(CH121/CH126,"")</f>
        <v>0.533369214208827</v>
      </c>
      <c r="CI128" s="50" t="n">
        <f aca="false">IFERROR(CI121/CI126,"")</f>
        <v>2.06148867313916</v>
      </c>
      <c r="CJ128" s="51" t="n">
        <f aca="false">IFERROR(CJ121/CJ126,"")</f>
        <v>0.669892473118279</v>
      </c>
      <c r="CK128" s="51" t="n">
        <f aca="false">IFERROR(CK121/CK126,"")</f>
        <v>0.710441334768567</v>
      </c>
      <c r="CL128" s="51" t="n">
        <f aca="false">IFERROR(CL121/CL126,"")</f>
        <v>1.38031199569661</v>
      </c>
      <c r="CM128" s="50" t="n">
        <f aca="false">IFERROR(CM121/CM126,"")</f>
        <v>0.62468697129463</v>
      </c>
      <c r="CN128" s="50" t="n">
        <f aca="false">IFERROR(CN121/CN126,"")</f>
        <v>0.824332103732799</v>
      </c>
      <c r="CO128" s="50" t="n">
        <f aca="false">IFERROR(CO121/CO126,"")</f>
        <v>2.82828935397361</v>
      </c>
      <c r="CP128" s="50" t="n">
        <f aca="false">IFERROR(CP121/CP126,"")</f>
        <v>3.48696335421461</v>
      </c>
      <c r="CQ128" s="50" t="n">
        <f aca="false">IFERROR(CQ121/CQ126,"")</f>
        <v>4.19407718850671</v>
      </c>
      <c r="CR128" s="50" t="n">
        <f aca="false">IFERROR(CR121/CR126,"")</f>
        <v>4.79738670450006</v>
      </c>
      <c r="CS128" s="50" t="n">
        <f aca="false">IFERROR(CS121/CS126,"")</f>
        <v>5.38367495969354</v>
      </c>
      <c r="CT128" s="23"/>
      <c r="CV128" s="24" t="n">
        <f aca="false">IFERROR((CS128/CI128)^(1/5)-1,"n/m")</f>
        <v>0.211656665303699</v>
      </c>
      <c r="CW128" s="24" t="n">
        <f aca="false">IFERROR((CI128/BE128)^(1/5)-1,"n/m")</f>
        <v>0.0573690624836496</v>
      </c>
      <c r="CX128" s="24" t="n">
        <f aca="false">IFERROR((CI128/AA128)^(1/10)-1,"n/m")</f>
        <v>0.0494580221594254</v>
      </c>
      <c r="CY128" s="24" t="n">
        <f aca="false">IFERROR((CI128/C128)^(1/19)-1,"n/m")</f>
        <v>0.0718015306676203</v>
      </c>
    </row>
    <row r="129" customFormat="false" ht="15" hidden="false" customHeight="true" outlineLevel="0" collapsed="false">
      <c r="B129" s="41" t="s">
        <v>262</v>
      </c>
      <c r="C129" s="50" t="n">
        <f aca="false">IFERROR(C121/C127,"")</f>
        <v>0.547247408087533</v>
      </c>
      <c r="D129" s="50" t="n">
        <f aca="false">IFERROR(D121/D127,"")</f>
        <v>0.721844410462033</v>
      </c>
      <c r="E129" s="50" t="n">
        <f aca="false">IFERROR(E121/E127,"")</f>
        <v>0.95864819033315</v>
      </c>
      <c r="F129" s="50" t="n">
        <f aca="false">IFERROR(F121/F127,"")</f>
        <v>0.883507964155133</v>
      </c>
      <c r="G129" s="50" t="n">
        <f aca="false">IFERROR(G121/G127,"")</f>
        <v>0.618588070914993</v>
      </c>
      <c r="H129" s="50" t="n">
        <f aca="false">IFERROR(H121/H127,"")</f>
        <v>0.716304999458937</v>
      </c>
      <c r="I129" s="50" t="n">
        <f aca="false">IFERROR(I121/I127,"")</f>
        <v>0.743996765099709</v>
      </c>
      <c r="J129" s="51" t="n">
        <f aca="false">IFERROR(J121/J127,"")</f>
        <v>0.130708013043107</v>
      </c>
      <c r="K129" s="51" t="n">
        <f aca="false">IFERROR(K121/K127,"")</f>
        <v>0.278451596790238</v>
      </c>
      <c r="L129" s="51" t="n">
        <f aca="false">IFERROR(L121/L127,"")</f>
        <v>0.409144168452534</v>
      </c>
      <c r="M129" s="51" t="n">
        <f aca="false">IFERROR(M121/M127,"")</f>
        <v>0.152238781708589</v>
      </c>
      <c r="N129" s="51" t="n">
        <f aca="false">IFERROR(N121/N127,"")</f>
        <v>0.314965465803076</v>
      </c>
      <c r="O129" s="50" t="n">
        <f aca="false">IFERROR(O121/O127,"")</f>
        <v>0.873910212435568</v>
      </c>
      <c r="P129" s="51" t="n">
        <f aca="false">IFERROR(P121/P127,"")</f>
        <v>0.132867762159828</v>
      </c>
      <c r="Q129" s="51" t="n">
        <f aca="false">IFERROR(Q121/Q127,"")</f>
        <v>0.358975531977805</v>
      </c>
      <c r="R129" s="51" t="n">
        <f aca="false">IFERROR(R121/R127,"")</f>
        <v>0.492101704345251</v>
      </c>
      <c r="S129" s="51" t="n">
        <f aca="false">IFERROR(S121/S127,"")</f>
        <v>0.086771028504097</v>
      </c>
      <c r="T129" s="51" t="n">
        <f aca="false">IFERROR(T121/T127,"")</f>
        <v>0.271590863888859</v>
      </c>
      <c r="U129" s="50" t="n">
        <f aca="false">IFERROR(U121/U127,"")</f>
        <v>0.845117694117722</v>
      </c>
      <c r="V129" s="51" t="n">
        <f aca="false">IFERROR(V121/V127,"")</f>
        <v>0.220549601778897</v>
      </c>
      <c r="W129" s="51" t="n">
        <f aca="false">IFERROR(W121/W127,"")</f>
        <v>0.421422856037744</v>
      </c>
      <c r="X129" s="51" t="n">
        <f aca="false">IFERROR(X121/X127,"")</f>
        <v>0.641196326712324</v>
      </c>
      <c r="Y129" s="51" t="n">
        <f aca="false">IFERROR(Y121/Y127,"")</f>
        <v>0.193688700432806</v>
      </c>
      <c r="Z129" s="51" t="n">
        <f aca="false">IFERROR(Z121/Z127,"")</f>
        <v>0.433115136848568</v>
      </c>
      <c r="AA129" s="50" t="n">
        <f aca="false">IFERROR(AA121/AA127,"")</f>
        <v>1.26790340879612</v>
      </c>
      <c r="AB129" s="51" t="n">
        <f aca="false">IFERROR(AB121/AB127,"")</f>
        <v>0.274414629250494</v>
      </c>
      <c r="AC129" s="51" t="n">
        <f aca="false">IFERROR(AC121/AC127,"")</f>
        <v>0.371191536047783</v>
      </c>
      <c r="AD129" s="51" t="n">
        <f aca="false">IFERROR(AD121/AD127,"")</f>
        <v>0.645525178480016</v>
      </c>
      <c r="AE129" s="51" t="n">
        <f aca="false">IFERROR(AE121/AE127,"")</f>
        <v>-0.047774913401343</v>
      </c>
      <c r="AF129" s="51" t="n">
        <f aca="false">IFERROR(AF121/AF127,"")</f>
        <v>0.257501783758946</v>
      </c>
      <c r="AG129" s="50" t="n">
        <f aca="false">IFERROR(AG121/AG127,"")</f>
        <v>0.85458668544787</v>
      </c>
      <c r="AH129" s="51" t="n">
        <f aca="false">IFERROR(AH121/AH127,"")</f>
        <v>0.0962714647120273</v>
      </c>
      <c r="AI129" s="51" t="n">
        <f aca="false">IFERROR(AI121/AI127,"")</f>
        <v>0.162926998541926</v>
      </c>
      <c r="AJ129" s="51" t="n">
        <f aca="false">IFERROR(AJ121/AJ127,"")</f>
        <v>0.259337222030726</v>
      </c>
      <c r="AK129" s="51" t="n">
        <f aca="false">IFERROR(AK121/AK127,"")</f>
        <v>0.0948526619057799</v>
      </c>
      <c r="AL129" s="51" t="n">
        <f aca="false">IFERROR(AL121/AL127,"")</f>
        <v>0.339543638900652</v>
      </c>
      <c r="AM129" s="50" t="n">
        <f aca="false">IFERROR(AM121/AM127,"")</f>
        <v>0.69396737867718</v>
      </c>
      <c r="AN129" s="51" t="n">
        <f aca="false">IFERROR(AN121/AN127,"")</f>
        <v>0.157744709764967</v>
      </c>
      <c r="AO129" s="51" t="n">
        <f aca="false">IFERROR(AO121/AO127,"")</f>
        <v>0.419346197478349</v>
      </c>
      <c r="AP129" s="51" t="n">
        <f aca="false">IFERROR(AP121/AP127,"")</f>
        <v>0.577542579982538</v>
      </c>
      <c r="AQ129" s="51" t="n">
        <f aca="false">IFERROR(AQ121/AQ127,"")</f>
        <v>0.210561387162184</v>
      </c>
      <c r="AR129" s="51" t="n">
        <f aca="false">IFERROR(AR121/AR127,"")</f>
        <v>0.322649206937233</v>
      </c>
      <c r="AS129" s="50" t="n">
        <f aca="false">IFERROR(AS121/AS127,"")</f>
        <v>1.11053075213682</v>
      </c>
      <c r="AT129" s="51" t="n">
        <f aca="false">IFERROR(AT121/AT127,"")</f>
        <v>0.165060948237163</v>
      </c>
      <c r="AU129" s="51" t="n">
        <f aca="false">IFERROR(AU121/AU127,"")</f>
        <v>0.491491939444874</v>
      </c>
      <c r="AV129" s="51" t="n">
        <f aca="false">IFERROR(AV121/AV127,"")</f>
        <v>0.656402423779588</v>
      </c>
      <c r="AW129" s="51" t="n">
        <f aca="false">IFERROR(AW121/AW127,"")</f>
        <v>0.230990334719312</v>
      </c>
      <c r="AX129" s="51" t="n">
        <f aca="false">IFERROR(AX121/AX127,"")</f>
        <v>0.468017489060262</v>
      </c>
      <c r="AY129" s="50" t="n">
        <f aca="false">IFERROR(AY121/AY127,"")</f>
        <v>1.35787374349826</v>
      </c>
      <c r="AZ129" s="51" t="n">
        <f aca="false">IFERROR(AZ121/AZ127,"")</f>
        <v>0.206448424551152</v>
      </c>
      <c r="BA129" s="51" t="n">
        <f aca="false">IFERROR(BA121/BA127,"")</f>
        <v>0.485193915661163</v>
      </c>
      <c r="BB129" s="51" t="n">
        <f aca="false">IFERROR(BB121/BB127,"")</f>
        <v>0.690171928804524</v>
      </c>
      <c r="BC129" s="51" t="n">
        <f aca="false">IFERROR(BC121/BC127,"")</f>
        <v>0.411226994365302</v>
      </c>
      <c r="BD129" s="51" t="n">
        <f aca="false">IFERROR(BD121/BD127,"")</f>
        <v>0.439913486802415</v>
      </c>
      <c r="BE129" s="50" t="n">
        <f aca="false">IFERROR(BE121/BE127,"")</f>
        <v>1.54195864419686</v>
      </c>
      <c r="BF129" s="51" t="n">
        <f aca="false">IFERROR(BF121/BF127,"")</f>
        <v>0.253335658063368</v>
      </c>
      <c r="BG129" s="51" t="n">
        <f aca="false">IFERROR(BG121/BG127,"")</f>
        <v>0.545645453059347</v>
      </c>
      <c r="BH129" s="51" t="n">
        <f aca="false">IFERROR(BH121/BH127,"")</f>
        <v>0.799068829693947</v>
      </c>
      <c r="BI129" s="51" t="n">
        <f aca="false">IFERROR(BI121/BI127,"")</f>
        <v>0.290291710132021</v>
      </c>
      <c r="BJ129" s="51" t="n">
        <f aca="false">IFERROR(BJ121/BJ127,"")</f>
        <v>0.274098887030406</v>
      </c>
      <c r="BK129" s="50" t="n">
        <f aca="false">IFERROR(BK121/BK127,"")</f>
        <v>1.36318429395692</v>
      </c>
      <c r="BL129" s="51" t="n">
        <f aca="false">IFERROR(BL121/BL127,"")</f>
        <v>1.59502543081019</v>
      </c>
      <c r="BM129" s="51" t="n">
        <f aca="false">IFERROR(BM121/BM127,"")</f>
        <v>0.477731097326801</v>
      </c>
      <c r="BN129" s="51" t="n">
        <f aca="false">IFERROR(BN121/BN127,"")</f>
        <v>2.07251042035091</v>
      </c>
      <c r="BO129" s="51" t="n">
        <f aca="false">IFERROR(BO121/BO127,"")</f>
        <v>0.382400777117802</v>
      </c>
      <c r="BP129" s="51" t="n">
        <f aca="false">IFERROR(BP121/BP127,"")</f>
        <v>0.404487678710498</v>
      </c>
      <c r="BQ129" s="50" t="n">
        <f aca="false">IFERROR(BQ121/BQ127,"")</f>
        <v>2.85698836315535</v>
      </c>
      <c r="BR129" s="51" t="n">
        <f aca="false">IFERROR(BR121/BR127,"")</f>
        <v>-0.283847343246964</v>
      </c>
      <c r="BS129" s="51" t="n">
        <f aca="false">IFERROR(BS121/BS127,"")</f>
        <v>0.423389478935553</v>
      </c>
      <c r="BT129" s="51" t="n">
        <f aca="false">IFERROR(BT121/BT127,"")</f>
        <v>0.284868629073021</v>
      </c>
      <c r="BU129" s="51" t="n">
        <f aca="false">IFERROR(BU121/BU127,"")</f>
        <v>0.297927686904689</v>
      </c>
      <c r="BV129" s="51" t="n">
        <f aca="false">IFERROR(BV121/BV127,"")</f>
        <v>0.406753190538313</v>
      </c>
      <c r="BW129" s="50" t="n">
        <f aca="false">IFERROR(BW121/BW127,"")</f>
        <v>1.03980880359563</v>
      </c>
      <c r="BX129" s="51" t="n">
        <f aca="false">IFERROR(BX121/BX127,"")</f>
        <v>0.526056026321221</v>
      </c>
      <c r="BY129" s="51" t="n">
        <f aca="false">IFERROR(BY121/BY127,"")</f>
        <v>0.544581602335373</v>
      </c>
      <c r="BZ129" s="51" t="n">
        <f aca="false">IFERROR(BZ121/BZ127,"")</f>
        <v>1.07065424931467</v>
      </c>
      <c r="CA129" s="51" t="n">
        <f aca="false">IFERROR(CA121/CA127,"")</f>
        <v>0.360646900269542</v>
      </c>
      <c r="CB129" s="51" t="n">
        <f aca="false">IFERROR(CB121/CB127,"")</f>
        <v>0.579569892473117</v>
      </c>
      <c r="CC129" s="50" t="n">
        <f aca="false">IFERROR(CC121/CC127,"")</f>
        <v>2.01133297355639</v>
      </c>
      <c r="CD129" s="51" t="n">
        <f aca="false">IFERROR(CD121/CD127,"")</f>
        <v>0.552038626609442</v>
      </c>
      <c r="CE129" s="51" t="n">
        <f aca="false">IFERROR(CE121/CE127,"")</f>
        <v>0.533226152197213</v>
      </c>
      <c r="CF129" s="51" t="n">
        <f aca="false">IFERROR(CF121/CF127,"")</f>
        <v>1.08525469168901</v>
      </c>
      <c r="CG129" s="51" t="n">
        <f aca="false">IFERROR(CG121/CG127,"")</f>
        <v>0.431320149652592</v>
      </c>
      <c r="CH129" s="51" t="n">
        <f aca="false">IFERROR(CH121/CH127,"")</f>
        <v>0.529097704217832</v>
      </c>
      <c r="CI129" s="50" t="n">
        <f aca="false">IFERROR(CI121/CI127,"")</f>
        <v>2.04494382022472</v>
      </c>
      <c r="CJ129" s="51" t="n">
        <f aca="false">IFERROR(CJ121/CJ127,"")</f>
        <v>0.664533333333333</v>
      </c>
      <c r="CK129" s="51" t="n">
        <f aca="false">IFERROR(CK121/CK127,"")</f>
        <v>0.706260032102728</v>
      </c>
      <c r="CL129" s="51" t="n">
        <f aca="false">IFERROR(CL121/CL127,"")</f>
        <v>1.37072649572649</v>
      </c>
      <c r="CM129" s="50" t="n">
        <f aca="false">IFERROR(CM121/CM127,"")</f>
        <v>0.620985621074193</v>
      </c>
      <c r="CN129" s="50" t="n">
        <f aca="false">IFERROR(CN121/CN127,"")</f>
        <v>0.81941472133526</v>
      </c>
      <c r="CO129" s="50" t="n">
        <f aca="false">IFERROR(CO121/CO127,"")</f>
        <v>2.81005335572111</v>
      </c>
      <c r="CP129" s="50" t="n">
        <f aca="false">IFERROR(CP121/CP127,"")</f>
        <v>3.46401822075514</v>
      </c>
      <c r="CQ129" s="50" t="n">
        <f aca="false">IFERROR(CQ121/CQ127,"")</f>
        <v>4.16587278511034</v>
      </c>
      <c r="CR129" s="50" t="n">
        <f aca="false">IFERROR(CR121/CR127,"")</f>
        <v>4.76440818836114</v>
      </c>
      <c r="CS129" s="50" t="n">
        <f aca="false">IFERROR(CS121/CS127,"")</f>
        <v>5.34578047750922</v>
      </c>
      <c r="CT129" s="23" t="s">
        <v>263</v>
      </c>
      <c r="CV129" s="24" t="n">
        <f aca="false">IFERROR((CS129/CI129)^(1/5)-1,"n/m")</f>
        <v>0.211897662641</v>
      </c>
      <c r="CW129" s="24" t="n">
        <f aca="false">IFERROR((CI129/BE129)^(1/5)-1,"n/m")</f>
        <v>0.0580878589033789</v>
      </c>
      <c r="CX129" s="24" t="n">
        <f aca="false">IFERROR((CI129/AA129)^(1/10)-1,"n/m")</f>
        <v>0.0489614338167184</v>
      </c>
      <c r="CY129" s="24" t="n">
        <f aca="false">IFERROR((CI129/C129)^(1/19)-1,"n/m")</f>
        <v>0.0718436915590357</v>
      </c>
    </row>
    <row r="130" customFormat="false" ht="15" hidden="false" customHeight="true" outlineLevel="0" collapsed="false">
      <c r="B130" s="39" t="s">
        <v>264</v>
      </c>
      <c r="C130" s="52" t="n">
        <v>0.55</v>
      </c>
      <c r="D130" s="52" t="n">
        <v>0.72</v>
      </c>
      <c r="E130" s="52" t="n">
        <v>0.96</v>
      </c>
      <c r="F130" s="52" t="n">
        <v>0.88</v>
      </c>
      <c r="G130" s="52" t="n">
        <v>0.62</v>
      </c>
      <c r="H130" s="52" t="n">
        <v>0.72</v>
      </c>
      <c r="I130" s="52" t="n">
        <v>0.74</v>
      </c>
      <c r="J130" s="52" t="n">
        <v>0.13</v>
      </c>
      <c r="K130" s="52" t="n">
        <v>0.28</v>
      </c>
      <c r="L130" s="53"/>
      <c r="M130" s="52" t="n">
        <v>0.15</v>
      </c>
      <c r="N130" s="52" t="n">
        <v>0.31</v>
      </c>
      <c r="O130" s="52" t="n">
        <v>0.87</v>
      </c>
      <c r="P130" s="52" t="n">
        <v>0.13</v>
      </c>
      <c r="Q130" s="52" t="n">
        <v>0.36</v>
      </c>
      <c r="R130" s="53"/>
      <c r="S130" s="52" t="n">
        <v>0.09</v>
      </c>
      <c r="T130" s="52" t="n">
        <v>0.27</v>
      </c>
      <c r="U130" s="52" t="n">
        <v>0.85</v>
      </c>
      <c r="V130" s="52" t="n">
        <v>0.22</v>
      </c>
      <c r="W130" s="52" t="n">
        <v>0.42</v>
      </c>
      <c r="X130" s="53"/>
      <c r="Y130" s="52" t="n">
        <v>0.19</v>
      </c>
      <c r="Z130" s="52" t="n">
        <v>0.43</v>
      </c>
      <c r="AA130" s="52" t="n">
        <v>1.27</v>
      </c>
      <c r="AB130" s="52" t="n">
        <v>0.27</v>
      </c>
      <c r="AC130" s="52" t="n">
        <v>0.37</v>
      </c>
      <c r="AD130" s="53"/>
      <c r="AE130" s="52" t="n">
        <v>-0.05</v>
      </c>
      <c r="AF130" s="52" t="n">
        <v>0.26</v>
      </c>
      <c r="AG130" s="52" t="n">
        <v>0.85</v>
      </c>
      <c r="AH130" s="52" t="n">
        <v>0.1</v>
      </c>
      <c r="AI130" s="52" t="n">
        <v>0.16</v>
      </c>
      <c r="AJ130" s="53"/>
      <c r="AK130" s="52" t="n">
        <v>0.09</v>
      </c>
      <c r="AL130" s="52" t="n">
        <v>0.34</v>
      </c>
      <c r="AM130" s="52" t="n">
        <v>0.69</v>
      </c>
      <c r="AN130" s="52" t="n">
        <v>0.16</v>
      </c>
      <c r="AO130" s="52" t="n">
        <v>0.42</v>
      </c>
      <c r="AP130" s="53"/>
      <c r="AQ130" s="52" t="n">
        <v>0.21</v>
      </c>
      <c r="AR130" s="52" t="n">
        <v>0.32</v>
      </c>
      <c r="AS130" s="52" t="n">
        <v>1.11</v>
      </c>
      <c r="AT130" s="52" t="n">
        <v>0.17</v>
      </c>
      <c r="AU130" s="52" t="n">
        <v>0.49</v>
      </c>
      <c r="AV130" s="53"/>
      <c r="AW130" s="52" t="n">
        <v>0.23</v>
      </c>
      <c r="AX130" s="52" t="n">
        <v>0.47</v>
      </c>
      <c r="AY130" s="52" t="n">
        <v>1.36</v>
      </c>
      <c r="AZ130" s="52" t="n">
        <v>0.21</v>
      </c>
      <c r="BA130" s="52" t="n">
        <v>0.49</v>
      </c>
      <c r="BB130" s="53"/>
      <c r="BC130" s="52" t="n">
        <v>0.41</v>
      </c>
      <c r="BD130" s="52" t="n">
        <v>0.44</v>
      </c>
      <c r="BE130" s="52" t="n">
        <v>1.54</v>
      </c>
      <c r="BF130" s="52" t="n">
        <v>0.25</v>
      </c>
      <c r="BG130" s="52" t="n">
        <v>0.55</v>
      </c>
      <c r="BH130" s="53"/>
      <c r="BI130" s="52" t="n">
        <v>0.29</v>
      </c>
      <c r="BJ130" s="52" t="n">
        <v>0.27</v>
      </c>
      <c r="BK130" s="52" t="n">
        <v>1.36</v>
      </c>
      <c r="BL130" s="52" t="n">
        <v>1.6</v>
      </c>
      <c r="BM130" s="52" t="n">
        <v>0.48</v>
      </c>
      <c r="BN130" s="53"/>
      <c r="BO130" s="52" t="n">
        <v>0.38</v>
      </c>
      <c r="BP130" s="52" t="n">
        <v>0.4</v>
      </c>
      <c r="BQ130" s="52" t="n">
        <v>2.86</v>
      </c>
      <c r="BR130" s="52" t="n">
        <v>-0.28</v>
      </c>
      <c r="BS130" s="52" t="n">
        <v>0.42</v>
      </c>
      <c r="BT130" s="53"/>
      <c r="BU130" s="52" t="n">
        <v>0.3</v>
      </c>
      <c r="BV130" s="52" t="n">
        <v>0.41</v>
      </c>
      <c r="BW130" s="52" t="n">
        <v>1.04</v>
      </c>
      <c r="BX130" s="52" t="n">
        <v>0.53</v>
      </c>
      <c r="BY130" s="52" t="n">
        <v>0.54</v>
      </c>
      <c r="BZ130" s="53"/>
      <c r="CA130" s="52" t="n">
        <v>0.36</v>
      </c>
      <c r="CB130" s="52" t="n">
        <v>0.58</v>
      </c>
      <c r="CC130" s="52" t="n">
        <v>2.01</v>
      </c>
      <c r="CD130" s="52" t="n">
        <v>0.55</v>
      </c>
      <c r="CE130" s="52" t="n">
        <v>0.53</v>
      </c>
      <c r="CF130" s="53"/>
      <c r="CG130" s="52" t="n">
        <v>0.43</v>
      </c>
      <c r="CH130" s="52" t="n">
        <v>0.53</v>
      </c>
      <c r="CI130" s="52" t="n">
        <v>2.04</v>
      </c>
      <c r="CJ130" s="52" t="n">
        <v>0.66</v>
      </c>
      <c r="CK130" s="52" t="n">
        <v>0.71</v>
      </c>
      <c r="CL130" s="53"/>
      <c r="CM130" s="54"/>
      <c r="CN130" s="54"/>
      <c r="CO130" s="54"/>
      <c r="CP130" s="54"/>
      <c r="CQ130" s="54"/>
      <c r="CR130" s="54"/>
      <c r="CS130" s="54"/>
      <c r="CT130" s="23"/>
      <c r="CV130" s="7"/>
      <c r="CW130" s="7"/>
      <c r="CX130" s="7"/>
      <c r="CY130" s="7"/>
    </row>
    <row r="131" customFormat="false" ht="15" hidden="false" customHeight="true" outlineLevel="0" collapsed="false">
      <c r="B131" s="13" t="s">
        <v>265</v>
      </c>
      <c r="C131" s="52" t="n">
        <v>0.26</v>
      </c>
      <c r="D131" s="52" t="n">
        <v>0.3</v>
      </c>
      <c r="E131" s="52" t="n">
        <v>0.34</v>
      </c>
      <c r="F131" s="52" t="n">
        <v>0.38</v>
      </c>
      <c r="G131" s="52" t="n">
        <v>0.41</v>
      </c>
      <c r="H131" s="52" t="n">
        <v>0.44</v>
      </c>
      <c r="I131" s="52" t="n">
        <v>0.47</v>
      </c>
      <c r="J131" s="52" t="n">
        <v>0.1225</v>
      </c>
      <c r="K131" s="52" t="n">
        <v>0.1225</v>
      </c>
      <c r="L131" s="53" t="n">
        <f aca="false">J131+K131</f>
        <v>0.245</v>
      </c>
      <c r="M131" s="52" t="n">
        <v>0.13</v>
      </c>
      <c r="N131" s="52" t="n">
        <v>0.13</v>
      </c>
      <c r="O131" s="52" t="n">
        <v>0.505</v>
      </c>
      <c r="P131" s="52" t="n">
        <v>0.13</v>
      </c>
      <c r="Q131" s="52" t="n">
        <v>0.13</v>
      </c>
      <c r="R131" s="53" t="n">
        <f aca="false">P131+Q131</f>
        <v>0.26</v>
      </c>
      <c r="S131" s="52" t="n">
        <v>0.14</v>
      </c>
      <c r="T131" s="52" t="n">
        <v>0.14</v>
      </c>
      <c r="U131" s="52" t="n">
        <v>0.54</v>
      </c>
      <c r="V131" s="52" t="n">
        <v>0.14</v>
      </c>
      <c r="W131" s="52" t="n">
        <v>0.14</v>
      </c>
      <c r="X131" s="53" t="n">
        <f aca="false">V131+W131</f>
        <v>0.28</v>
      </c>
      <c r="Y131" s="52" t="n">
        <v>0.16</v>
      </c>
      <c r="Z131" s="52" t="n">
        <v>0.16</v>
      </c>
      <c r="AA131" s="52" t="n">
        <v>0.6</v>
      </c>
      <c r="AB131" s="52" t="n">
        <v>0.16</v>
      </c>
      <c r="AC131" s="52" t="n">
        <v>0.16</v>
      </c>
      <c r="AD131" s="53" t="n">
        <f aca="false">AB131+AC131</f>
        <v>0.32</v>
      </c>
      <c r="AE131" s="52" t="n">
        <v>0.17</v>
      </c>
      <c r="AF131" s="52" t="n">
        <v>0.17</v>
      </c>
      <c r="AG131" s="52" t="n">
        <v>0.66</v>
      </c>
      <c r="AH131" s="53"/>
      <c r="AI131" s="53"/>
      <c r="AJ131" s="53"/>
      <c r="AK131" s="53"/>
      <c r="AL131" s="53"/>
      <c r="AM131" s="53"/>
      <c r="AN131" s="52" t="n">
        <v>0.17</v>
      </c>
      <c r="AO131" s="52" t="n">
        <v>0.17</v>
      </c>
      <c r="AP131" s="53" t="n">
        <f aca="false">AN131+AO131</f>
        <v>0.34</v>
      </c>
      <c r="AQ131" s="52" t="n">
        <v>0.18</v>
      </c>
      <c r="AR131" s="52" t="n">
        <v>0.18</v>
      </c>
      <c r="AS131" s="52" t="n">
        <v>0.7</v>
      </c>
      <c r="AT131" s="52" t="n">
        <v>0.18</v>
      </c>
      <c r="AU131" s="52" t="n">
        <v>0.18</v>
      </c>
      <c r="AV131" s="53" t="n">
        <f aca="false">AT131+AU131</f>
        <v>0.36</v>
      </c>
      <c r="AW131" s="52" t="n">
        <v>0.2</v>
      </c>
      <c r="AX131" s="52" t="n">
        <v>0.2</v>
      </c>
      <c r="AY131" s="52" t="n">
        <v>0.76</v>
      </c>
      <c r="AZ131" s="52" t="n">
        <v>0.2</v>
      </c>
      <c r="BA131" s="52" t="n">
        <v>0.2</v>
      </c>
      <c r="BB131" s="53" t="n">
        <f aca="false">AZ131+BA131</f>
        <v>0.4</v>
      </c>
      <c r="BC131" s="52" t="n">
        <v>0.22</v>
      </c>
      <c r="BD131" s="52" t="n">
        <v>0.22</v>
      </c>
      <c r="BE131" s="52" t="n">
        <v>0.84</v>
      </c>
      <c r="BF131" s="52" t="n">
        <v>0.22</v>
      </c>
      <c r="BG131" s="52" t="n">
        <v>0.22</v>
      </c>
      <c r="BH131" s="53" t="n">
        <f aca="false">BF131+BG131</f>
        <v>0.44</v>
      </c>
      <c r="BI131" s="52" t="n">
        <v>0.25</v>
      </c>
      <c r="BJ131" s="52" t="n">
        <v>0.25</v>
      </c>
      <c r="BK131" s="52" t="n">
        <v>0.94</v>
      </c>
      <c r="BL131" s="52" t="n">
        <v>0.25</v>
      </c>
      <c r="BM131" s="52" t="n">
        <v>0.25</v>
      </c>
      <c r="BN131" s="53" t="n">
        <f aca="false">BL131+BM131</f>
        <v>0.5</v>
      </c>
      <c r="BO131" s="52" t="n">
        <v>0.27</v>
      </c>
      <c r="BP131" s="52" t="n">
        <v>0.27</v>
      </c>
      <c r="BQ131" s="52" t="n">
        <v>1.04</v>
      </c>
      <c r="BR131" s="52" t="n">
        <v>1.35</v>
      </c>
      <c r="BS131" s="52" t="n">
        <v>0.27</v>
      </c>
      <c r="BT131" s="53" t="n">
        <f aca="false">BR131+BS131</f>
        <v>1.62</v>
      </c>
      <c r="BU131" s="52" t="n">
        <v>0.27</v>
      </c>
      <c r="BV131" s="52" t="n">
        <v>0.27</v>
      </c>
      <c r="BW131" s="52" t="n">
        <v>2.16</v>
      </c>
      <c r="BX131" s="52" t="n">
        <v>0.27</v>
      </c>
      <c r="BY131" s="52" t="n">
        <v>0.27</v>
      </c>
      <c r="BZ131" s="53" t="n">
        <f aca="false">BX131+BY131</f>
        <v>0.54</v>
      </c>
      <c r="CA131" s="52" t="n">
        <v>0.29</v>
      </c>
      <c r="CB131" s="52" t="n">
        <v>0.29</v>
      </c>
      <c r="CC131" s="52" t="n">
        <v>1.12</v>
      </c>
      <c r="CD131" s="52" t="n">
        <v>0.29</v>
      </c>
      <c r="CE131" s="52" t="n">
        <v>0.29</v>
      </c>
      <c r="CF131" s="53" t="n">
        <f aca="false">CD131+CE131</f>
        <v>0.58</v>
      </c>
      <c r="CG131" s="52" t="n">
        <v>0.31</v>
      </c>
      <c r="CH131" s="52" t="n">
        <v>0.31</v>
      </c>
      <c r="CI131" s="52" t="n">
        <v>1.2</v>
      </c>
      <c r="CJ131" s="52" t="n">
        <v>0.31</v>
      </c>
      <c r="CK131" s="52" t="n">
        <v>0.31</v>
      </c>
      <c r="CL131" s="53" t="n">
        <f aca="false">CJ131+CK131</f>
        <v>0.62</v>
      </c>
      <c r="CM131" s="55" t="n">
        <v>0.33</v>
      </c>
      <c r="CN131" s="55" t="n">
        <v>0.33</v>
      </c>
      <c r="CO131" s="54" t="n">
        <f aca="false">SUM(CJ131,CK131,CM131,CN131)</f>
        <v>1.28</v>
      </c>
      <c r="CP131" s="54" t="n">
        <f aca="false">CO131*(1+CP336)</f>
        <v>1.3568</v>
      </c>
      <c r="CQ131" s="54" t="n">
        <f aca="false">CP131*(1+CQ336)</f>
        <v>1.438208</v>
      </c>
      <c r="CR131" s="54" t="n">
        <f aca="false">CQ131*(1+CR336)</f>
        <v>1.52450048</v>
      </c>
      <c r="CS131" s="54" t="n">
        <f aca="false">CR131*(1+CS336)</f>
        <v>1.6159705088</v>
      </c>
      <c r="CT131" s="23" t="s">
        <v>266</v>
      </c>
      <c r="CV131" s="24" t="n">
        <f aca="false">IFERROR((CS131/CI131)^(1/5)-1,"n/m")</f>
        <v>0.0613299916379058</v>
      </c>
      <c r="CW131" s="24" t="n">
        <f aca="false">IFERROR((CI131/BE131)^(1/5)-1,"n/m")</f>
        <v>0.0739409237857793</v>
      </c>
      <c r="CX131" s="24" t="n">
        <f aca="false">IFERROR((CI131/AA131)^(1/10)-1,"n/m")</f>
        <v>0.0717734625362931</v>
      </c>
      <c r="CY131" s="24" t="n">
        <f aca="false">IFERROR((CI131/C131)^(1/19)-1,"n/m")</f>
        <v>0.0838228687585527</v>
      </c>
    </row>
    <row r="132" customFormat="false" ht="15" hidden="false" customHeight="true" outlineLevel="0" collapsed="false">
      <c r="B132" s="13"/>
      <c r="CM132" s="7"/>
      <c r="CN132" s="7"/>
      <c r="CO132" s="7"/>
      <c r="CP132" s="7"/>
      <c r="CQ132" s="7"/>
      <c r="CR132" s="7"/>
      <c r="CS132" s="7"/>
      <c r="CT132" s="7"/>
    </row>
    <row r="133" customFormat="false" ht="15" hidden="false" customHeight="true" outlineLevel="0" collapsed="false">
      <c r="B133" s="12" t="s">
        <v>267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 t="s">
        <v>268</v>
      </c>
    </row>
    <row r="134" customFormat="false" ht="15" hidden="false" customHeight="true" outlineLevel="0" collapsed="false">
      <c r="B134" s="19" t="s">
        <v>269</v>
      </c>
      <c r="C134" s="20" t="n">
        <f aca="false">C115</f>
        <v>57.218</v>
      </c>
      <c r="D134" s="20" t="n">
        <f aca="false">D115</f>
        <v>75.983</v>
      </c>
      <c r="E134" s="20" t="n">
        <f aca="false">E115</f>
        <v>101.4</v>
      </c>
      <c r="F134" s="20" t="n">
        <f aca="false">F115</f>
        <v>93.452</v>
      </c>
      <c r="G134" s="20" t="n">
        <f aca="false">G115</f>
        <v>65.675</v>
      </c>
      <c r="H134" s="20" t="n">
        <f aca="false">H115</f>
        <v>76.633</v>
      </c>
      <c r="I134" s="20" t="n">
        <f aca="false">I115</f>
        <v>79.546</v>
      </c>
      <c r="J134" s="20" t="n">
        <f aca="false">J115</f>
        <v>14.046</v>
      </c>
      <c r="K134" s="20" t="n">
        <f aca="false">K115</f>
        <v>30.028</v>
      </c>
      <c r="L134" s="20" t="n">
        <f aca="false">L115</f>
        <v>44.074</v>
      </c>
      <c r="M134" s="20" t="n">
        <f aca="false">M115</f>
        <v>16.426</v>
      </c>
      <c r="N134" s="20" t="n">
        <f aca="false">N115</f>
        <v>34.126</v>
      </c>
      <c r="O134" s="20" t="n">
        <f aca="false">O115</f>
        <v>94.445</v>
      </c>
      <c r="P134" s="20" t="n">
        <f aca="false">P115</f>
        <v>14.518</v>
      </c>
      <c r="Q134" s="20" t="n">
        <f aca="false">Q115</f>
        <v>39.135</v>
      </c>
      <c r="R134" s="20" t="n">
        <f aca="false">R115</f>
        <v>53.653</v>
      </c>
      <c r="S134" s="20" t="n">
        <f aca="false">S115</f>
        <v>9.60299999999999</v>
      </c>
      <c r="T134" s="20" t="n">
        <f aca="false">T115</f>
        <v>29.816</v>
      </c>
      <c r="U134" s="20" t="n">
        <f aca="false">U115</f>
        <v>92.563</v>
      </c>
      <c r="V134" s="20" t="n">
        <f aca="false">V115</f>
        <v>24.11</v>
      </c>
      <c r="W134" s="20" t="n">
        <f aca="false">W115</f>
        <v>45.846</v>
      </c>
      <c r="X134" s="20" t="n">
        <f aca="false">X115</f>
        <v>69.9560000000001</v>
      </c>
      <c r="Y134" s="20" t="n">
        <f aca="false">Y115</f>
        <v>21.247</v>
      </c>
      <c r="Z134" s="20" t="n">
        <f aca="false">Z115</f>
        <v>47.372</v>
      </c>
      <c r="AA134" s="20" t="n">
        <f aca="false">AA115</f>
        <v>138.575</v>
      </c>
      <c r="AB134" s="20" t="n">
        <f aca="false">AB115</f>
        <v>29.994</v>
      </c>
      <c r="AC134" s="20" t="n">
        <f aca="false">AC115</f>
        <v>40.591</v>
      </c>
      <c r="AD134" s="20" t="n">
        <f aca="false">AD115</f>
        <v>70.585</v>
      </c>
      <c r="AE134" s="20" t="n">
        <f aca="false">AE115</f>
        <v>-4.99999999999999</v>
      </c>
      <c r="AF134" s="20" t="n">
        <f aca="false">AF115</f>
        <v>27.927</v>
      </c>
      <c r="AG134" s="20" t="n">
        <f aca="false">AG115</f>
        <v>93.512</v>
      </c>
      <c r="AH134" s="20" t="n">
        <f aca="false">AH115</f>
        <v>10.433</v>
      </c>
      <c r="AI134" s="20" t="n">
        <f aca="false">AI115</f>
        <v>17.713</v>
      </c>
      <c r="AJ134" s="20" t="n">
        <f aca="false">AJ115</f>
        <v>28.146</v>
      </c>
      <c r="AK134" s="20" t="n">
        <f aca="false">AK115</f>
        <v>10.323</v>
      </c>
      <c r="AL134" s="20" t="n">
        <f aca="false">AL115</f>
        <v>36.837</v>
      </c>
      <c r="AM134" s="20" t="n">
        <f aca="false">AM115</f>
        <v>75.3060000000001</v>
      </c>
      <c r="AN134" s="20" t="n">
        <f aca="false">AN115</f>
        <v>17.207</v>
      </c>
      <c r="AO134" s="20" t="n">
        <f aca="false">AO115</f>
        <v>45.727</v>
      </c>
      <c r="AP134" s="20" t="n">
        <f aca="false">AP115</f>
        <v>62.934</v>
      </c>
      <c r="AQ134" s="20" t="n">
        <f aca="false">AQ115</f>
        <v>23.112</v>
      </c>
      <c r="AR134" s="20" t="n">
        <f aca="false">AR115</f>
        <v>35.46</v>
      </c>
      <c r="AS134" s="20" t="n">
        <f aca="false">AS115</f>
        <v>121.506</v>
      </c>
      <c r="AT134" s="20" t="n">
        <f aca="false">AT115</f>
        <v>18.172</v>
      </c>
      <c r="AU134" s="20" t="n">
        <f aca="false">AU115</f>
        <v>54.1309999999999</v>
      </c>
      <c r="AV134" s="20" t="n">
        <f aca="false">AV115</f>
        <v>72.3030000000001</v>
      </c>
      <c r="AW134" s="20" t="n">
        <f aca="false">AW115</f>
        <v>25.272</v>
      </c>
      <c r="AX134" s="20" t="n">
        <f aca="false">AX115</f>
        <v>51.5649999999999</v>
      </c>
      <c r="AY134" s="20" t="n">
        <f aca="false">AY115</f>
        <v>149.14</v>
      </c>
      <c r="AZ134" s="20" t="n">
        <f aca="false">AZ115</f>
        <v>22.829</v>
      </c>
      <c r="BA134" s="20" t="n">
        <f aca="false">BA115</f>
        <v>53.119</v>
      </c>
      <c r="BB134" s="20" t="n">
        <f aca="false">BB115</f>
        <v>75.9480000000001</v>
      </c>
      <c r="BC134" s="20" t="n">
        <f aca="false">BC115</f>
        <v>45.49</v>
      </c>
      <c r="BD134" s="20" t="n">
        <f aca="false">BD115</f>
        <v>48.919</v>
      </c>
      <c r="BE134" s="20" t="n">
        <f aca="false">BE115</f>
        <v>170.358</v>
      </c>
      <c r="BF134" s="20" t="n">
        <f aca="false">BF115</f>
        <v>28.139</v>
      </c>
      <c r="BG134" s="20" t="n">
        <f aca="false">BG115</f>
        <v>60.781</v>
      </c>
      <c r="BH134" s="20" t="n">
        <f aca="false">BH115</f>
        <v>88.9200000000001</v>
      </c>
      <c r="BI134" s="20" t="n">
        <f aca="false">BI115</f>
        <v>32.3570000000001</v>
      </c>
      <c r="BJ134" s="20" t="n">
        <f aca="false">BJ115</f>
        <v>30.576</v>
      </c>
      <c r="BK134" s="20" t="n">
        <f aca="false">BK115</f>
        <v>151.854</v>
      </c>
      <c r="BL134" s="20" t="n">
        <f aca="false">BL115</f>
        <v>178.101</v>
      </c>
      <c r="BM134" s="20" t="n">
        <f aca="false">BM115</f>
        <v>53.4110000000001</v>
      </c>
      <c r="BN134" s="20" t="n">
        <f aca="false">BN115</f>
        <v>231.512</v>
      </c>
      <c r="BO134" s="20" t="n">
        <f aca="false">BO115</f>
        <v>42.924</v>
      </c>
      <c r="BP134" s="20" t="n">
        <f aca="false">BP115</f>
        <v>45.322</v>
      </c>
      <c r="BQ134" s="20" t="n">
        <f aca="false">BQ115</f>
        <v>319.758</v>
      </c>
      <c r="BR134" s="20" t="n">
        <f aca="false">BR115</f>
        <v>-28.1999999999999</v>
      </c>
      <c r="BS134" s="20" t="n">
        <f aca="false">BS115</f>
        <v>86.8</v>
      </c>
      <c r="BT134" s="20" t="n">
        <f aca="false">BT115</f>
        <v>58.6000000000002</v>
      </c>
      <c r="BU134" s="20" t="n">
        <f aca="false">BU115</f>
        <v>63.2</v>
      </c>
      <c r="BV134" s="20" t="n">
        <f aca="false">BV115</f>
        <v>84.2000000000002</v>
      </c>
      <c r="BW134" s="20" t="n">
        <f aca="false">BW115</f>
        <v>206</v>
      </c>
      <c r="BX134" s="20" t="n">
        <f aca="false">BX115</f>
        <v>107.4</v>
      </c>
      <c r="BY134" s="20" t="n">
        <f aca="false">BY115</f>
        <v>111</v>
      </c>
      <c r="BZ134" s="20" t="n">
        <f aca="false">BZ115</f>
        <v>218.4</v>
      </c>
      <c r="CA134" s="20" t="n">
        <f aca="false">CA115</f>
        <v>76</v>
      </c>
      <c r="CB134" s="20" t="n">
        <f aca="false">CB115</f>
        <v>118.4</v>
      </c>
      <c r="CC134" s="20" t="n">
        <f aca="false">CC115</f>
        <v>412.8</v>
      </c>
      <c r="CD134" s="20" t="n">
        <f aca="false">CD115</f>
        <v>113.3</v>
      </c>
      <c r="CE134" s="20" t="n">
        <f aca="false">CE115</f>
        <v>109.7</v>
      </c>
      <c r="CF134" s="20" t="n">
        <f aca="false">CF115</f>
        <v>223</v>
      </c>
      <c r="CG134" s="20" t="n">
        <f aca="false">CG115</f>
        <v>95.1999999999999</v>
      </c>
      <c r="CH134" s="20" t="n">
        <f aca="false">CH115</f>
        <v>109.4</v>
      </c>
      <c r="CI134" s="20" t="n">
        <f aca="false">CI115</f>
        <v>427.6</v>
      </c>
      <c r="CJ134" s="20" t="n">
        <f aca="false">CJ115</f>
        <v>135.6</v>
      </c>
      <c r="CK134" s="20" t="n">
        <f aca="false">CK115</f>
        <v>143.6</v>
      </c>
      <c r="CL134" s="20" t="n">
        <f aca="false">CL115</f>
        <v>279.2</v>
      </c>
      <c r="CM134" s="22" t="n">
        <f aca="false">CM115</f>
        <v>121.985980552424</v>
      </c>
      <c r="CN134" s="22" t="n">
        <f aca="false">CN115</f>
        <v>157.800074614222</v>
      </c>
      <c r="CO134" s="22" t="n">
        <f aca="false">SUM(CJ134,CK134,CM134,CN134)</f>
        <v>558.986055166646</v>
      </c>
      <c r="CP134" s="22" t="n">
        <f aca="false">CP115</f>
        <v>681.322450629733</v>
      </c>
      <c r="CQ134" s="22" t="n">
        <f aca="false">CQ115</f>
        <v>797.034658294803</v>
      </c>
      <c r="CR134" s="22" t="n">
        <f aca="false">CR115</f>
        <v>888.559576262965</v>
      </c>
      <c r="CS134" s="22" t="n">
        <f aca="false">CS115</f>
        <v>971.125941556637</v>
      </c>
      <c r="CT134" s="23"/>
      <c r="CV134" s="7"/>
      <c r="CW134" s="7"/>
      <c r="CX134" s="7"/>
      <c r="CY134" s="7"/>
    </row>
    <row r="135" customFormat="false" ht="15" hidden="false" customHeight="true" outlineLevel="0" collapsed="false">
      <c r="B135" s="13" t="s">
        <v>270</v>
      </c>
      <c r="C135" s="31" t="n">
        <f aca="false">C101</f>
        <v>15.017</v>
      </c>
      <c r="D135" s="31" t="n">
        <f aca="false">D101</f>
        <v>19.417</v>
      </c>
      <c r="E135" s="31" t="n">
        <f aca="false">E101</f>
        <v>24.764</v>
      </c>
      <c r="F135" s="31" t="n">
        <f aca="false">F101</f>
        <v>31.761</v>
      </c>
      <c r="G135" s="31" t="n">
        <f aca="false">G101</f>
        <v>37.813</v>
      </c>
      <c r="H135" s="31" t="n">
        <f aca="false">H101</f>
        <v>42.408</v>
      </c>
      <c r="I135" s="31" t="n">
        <f aca="false">I101</f>
        <v>41.138</v>
      </c>
      <c r="J135" s="31" t="n">
        <f aca="false">J101</f>
        <v>10.32</v>
      </c>
      <c r="K135" s="31" t="n">
        <f aca="false">K101</f>
        <v>10.719</v>
      </c>
      <c r="L135" s="31" t="n">
        <f aca="false">L101</f>
        <v>21.039</v>
      </c>
      <c r="M135" s="31" t="n">
        <f aca="false">M101</f>
        <v>10.815</v>
      </c>
      <c r="N135" s="31" t="n">
        <f aca="false">N101</f>
        <v>11.426</v>
      </c>
      <c r="O135" s="31" t="n">
        <f aca="false">O101</f>
        <v>43.28</v>
      </c>
      <c r="P135" s="31" t="n">
        <f aca="false">P101</f>
        <v>10.597</v>
      </c>
      <c r="Q135" s="31" t="n">
        <f aca="false">Q101</f>
        <v>10.979</v>
      </c>
      <c r="R135" s="31" t="n">
        <f aca="false">R101</f>
        <v>21.576</v>
      </c>
      <c r="S135" s="31" t="n">
        <f aca="false">S101</f>
        <v>11.406</v>
      </c>
      <c r="T135" s="31" t="n">
        <f aca="false">T101</f>
        <v>11.554</v>
      </c>
      <c r="U135" s="31" t="n">
        <f aca="false">U101</f>
        <v>44.536</v>
      </c>
      <c r="V135" s="31" t="n">
        <f aca="false">V101</f>
        <v>10.616</v>
      </c>
      <c r="W135" s="31" t="n">
        <f aca="false">W101</f>
        <v>10.769</v>
      </c>
      <c r="X135" s="31" t="n">
        <f aca="false">X101</f>
        <v>21.385</v>
      </c>
      <c r="Y135" s="31" t="n">
        <f aca="false">Y101</f>
        <v>10.017</v>
      </c>
      <c r="Z135" s="31" t="n">
        <f aca="false">Z101</f>
        <v>10.63</v>
      </c>
      <c r="AA135" s="31" t="n">
        <f aca="false">AA101</f>
        <v>42.032</v>
      </c>
      <c r="AB135" s="31" t="n">
        <f aca="false">AB101</f>
        <v>10.08</v>
      </c>
      <c r="AC135" s="31" t="n">
        <f aca="false">AC101</f>
        <v>10.284</v>
      </c>
      <c r="AD135" s="31" t="n">
        <f aca="false">AD101</f>
        <v>20.364</v>
      </c>
      <c r="AE135" s="31" t="n">
        <f aca="false">AE101</f>
        <v>10.196</v>
      </c>
      <c r="AF135" s="31" t="n">
        <f aca="false">AF101</f>
        <v>10.301</v>
      </c>
      <c r="AG135" s="31" t="n">
        <f aca="false">AG101</f>
        <v>40.861</v>
      </c>
      <c r="AH135" s="31" t="n">
        <f aca="false">AH101</f>
        <v>10.338</v>
      </c>
      <c r="AI135" s="31" t="n">
        <f aca="false">AI101</f>
        <v>11.872</v>
      </c>
      <c r="AJ135" s="31" t="n">
        <f aca="false">AJ101</f>
        <v>22.21</v>
      </c>
      <c r="AK135" s="31" t="n">
        <f aca="false">AK101</f>
        <v>14.837</v>
      </c>
      <c r="AL135" s="31" t="n">
        <f aca="false">AL101</f>
        <v>15.647</v>
      </c>
      <c r="AM135" s="31" t="n">
        <f aca="false">AM101</f>
        <v>52.694</v>
      </c>
      <c r="AN135" s="31" t="n">
        <f aca="false">AN101</f>
        <v>16.191</v>
      </c>
      <c r="AO135" s="31" t="n">
        <f aca="false">AO101</f>
        <v>16.537</v>
      </c>
      <c r="AP135" s="31" t="n">
        <f aca="false">AP101</f>
        <v>32.728</v>
      </c>
      <c r="AQ135" s="31" t="n">
        <f aca="false">AQ101</f>
        <v>16.723</v>
      </c>
      <c r="AR135" s="31" t="n">
        <f aca="false">AR101</f>
        <v>17.163</v>
      </c>
      <c r="AS135" s="31" t="n">
        <f aca="false">AS101</f>
        <v>66.614</v>
      </c>
      <c r="AT135" s="31" t="n">
        <f aca="false">AT101</f>
        <v>17.115</v>
      </c>
      <c r="AU135" s="31" t="n">
        <f aca="false">AU101</f>
        <v>17.112</v>
      </c>
      <c r="AV135" s="31" t="n">
        <f aca="false">AV101</f>
        <v>34.227</v>
      </c>
      <c r="AW135" s="31" t="n">
        <f aca="false">AW101</f>
        <v>17.692</v>
      </c>
      <c r="AX135" s="31" t="n">
        <f aca="false">AX101</f>
        <v>18.582</v>
      </c>
      <c r="AY135" s="31" t="n">
        <f aca="false">AY101</f>
        <v>70.501</v>
      </c>
      <c r="AZ135" s="31" t="n">
        <f aca="false">AZ101</f>
        <v>19.293</v>
      </c>
      <c r="BA135" s="31" t="n">
        <f aca="false">BA101</f>
        <v>17.857</v>
      </c>
      <c r="BB135" s="31" t="n">
        <f aca="false">BB101</f>
        <v>37.15</v>
      </c>
      <c r="BC135" s="31" t="n">
        <f aca="false">BC101</f>
        <v>18.436</v>
      </c>
      <c r="BD135" s="31" t="n">
        <f aca="false">BD101</f>
        <v>19.337</v>
      </c>
      <c r="BE135" s="31" t="n">
        <f aca="false">BE101</f>
        <v>74.921</v>
      </c>
      <c r="BF135" s="31" t="n">
        <f aca="false">BF101</f>
        <v>21.07</v>
      </c>
      <c r="BG135" s="31" t="n">
        <f aca="false">BG101</f>
        <v>21.935</v>
      </c>
      <c r="BH135" s="31" t="n">
        <f aca="false">BH101</f>
        <v>43.005</v>
      </c>
      <c r="BI135" s="31" t="n">
        <f aca="false">BI101</f>
        <v>21.907</v>
      </c>
      <c r="BJ135" s="31" t="n">
        <f aca="false">BJ101</f>
        <v>22.977</v>
      </c>
      <c r="BK135" s="31" t="n">
        <f aca="false">BK101</f>
        <v>87.889</v>
      </c>
      <c r="BL135" s="31" t="n">
        <f aca="false">BL101</f>
        <v>24.225</v>
      </c>
      <c r="BM135" s="31" t="n">
        <f aca="false">BM101</f>
        <v>24.298</v>
      </c>
      <c r="BN135" s="31" t="n">
        <f aca="false">BN101</f>
        <v>48.523</v>
      </c>
      <c r="BO135" s="31" t="n">
        <f aca="false">BO101</f>
        <v>24.29</v>
      </c>
      <c r="BP135" s="31" t="n">
        <f aca="false">BP101</f>
        <v>24.342</v>
      </c>
      <c r="BQ135" s="31" t="n">
        <f aca="false">BQ101</f>
        <v>97.155</v>
      </c>
      <c r="BR135" s="31" t="n">
        <f aca="false">BR101</f>
        <v>36.2</v>
      </c>
      <c r="BS135" s="31" t="n">
        <f aca="false">BS101</f>
        <v>109.6</v>
      </c>
      <c r="BT135" s="31" t="n">
        <f aca="false">BT101</f>
        <v>145.8</v>
      </c>
      <c r="BU135" s="31" t="n">
        <f aca="false">BU101</f>
        <v>101.1</v>
      </c>
      <c r="BV135" s="31" t="n">
        <f aca="false">BV101</f>
        <v>105.3</v>
      </c>
      <c r="BW135" s="31" t="n">
        <f aca="false">BW101</f>
        <v>352.2</v>
      </c>
      <c r="BX135" s="31" t="n">
        <f aca="false">BX101</f>
        <v>107.7</v>
      </c>
      <c r="BY135" s="31" t="n">
        <f aca="false">BY101</f>
        <v>110.3</v>
      </c>
      <c r="BZ135" s="31" t="n">
        <f aca="false">BZ101</f>
        <v>218</v>
      </c>
      <c r="CA135" s="31" t="n">
        <f aca="false">CA101</f>
        <v>111.9</v>
      </c>
      <c r="CB135" s="31" t="n">
        <f aca="false">CB101</f>
        <v>114.5</v>
      </c>
      <c r="CC135" s="31" t="n">
        <f aca="false">CC101</f>
        <v>444.4</v>
      </c>
      <c r="CD135" s="31" t="n">
        <f aca="false">CD101</f>
        <v>114.5</v>
      </c>
      <c r="CE135" s="31" t="n">
        <f aca="false">CE101</f>
        <v>116.7</v>
      </c>
      <c r="CF135" s="31" t="n">
        <f aca="false">CF101</f>
        <v>231.2</v>
      </c>
      <c r="CG135" s="31" t="n">
        <f aca="false">CG101</f>
        <v>124.7</v>
      </c>
      <c r="CH135" s="31" t="n">
        <f aca="false">CH101</f>
        <v>127.5</v>
      </c>
      <c r="CI135" s="31" t="n">
        <f aca="false">CI101</f>
        <v>483.4</v>
      </c>
      <c r="CJ135" s="31" t="n">
        <f aca="false">CJ101</f>
        <v>126.7</v>
      </c>
      <c r="CK135" s="31" t="n">
        <f aca="false">CK101</f>
        <v>130.4</v>
      </c>
      <c r="CL135" s="31" t="n">
        <f aca="false">CL101</f>
        <v>257.1</v>
      </c>
      <c r="CM135" s="32" t="n">
        <f aca="false">CM101</f>
        <v>125.284913591665</v>
      </c>
      <c r="CN135" s="32" t="n">
        <f aca="false">CN101</f>
        <v>131.007119083801</v>
      </c>
      <c r="CO135" s="32" t="n">
        <f aca="false">SUM(CJ135,CK135,CM135,CN135)</f>
        <v>513.392032675466</v>
      </c>
      <c r="CP135" s="32" t="n">
        <f aca="false">CP101</f>
        <v>463.267757191828</v>
      </c>
      <c r="CQ135" s="32" t="n">
        <f aca="false">CQ101</f>
        <v>420.071870483151</v>
      </c>
      <c r="CR135" s="32" t="n">
        <f aca="false">CR101</f>
        <v>408.241654994046</v>
      </c>
      <c r="CS135" s="32" t="n">
        <f aca="false">CS101</f>
        <v>411.849479244129</v>
      </c>
      <c r="CT135" s="23"/>
      <c r="CV135" s="7"/>
      <c r="CW135" s="7"/>
      <c r="CX135" s="7"/>
      <c r="CY135" s="7"/>
    </row>
    <row r="136" customFormat="false" ht="15" hidden="false" customHeight="true" outlineLevel="0" collapsed="false">
      <c r="B136" s="13" t="s">
        <v>271</v>
      </c>
      <c r="C136" s="31" t="n">
        <f aca="false">C107</f>
        <v>1.172</v>
      </c>
      <c r="D136" s="31" t="n">
        <f aca="false">D107</f>
        <v>1.206</v>
      </c>
      <c r="E136" s="31" t="n">
        <f aca="false">E107</f>
        <v>0.859</v>
      </c>
      <c r="F136" s="31" t="n">
        <f aca="false">F107</f>
        <v>0.544</v>
      </c>
      <c r="G136" s="31" t="n">
        <f aca="false">G107</f>
        <v>5.216</v>
      </c>
      <c r="H136" s="31" t="n">
        <f aca="false">H107</f>
        <v>5.541</v>
      </c>
      <c r="I136" s="31" t="n">
        <f aca="false">I107</f>
        <v>6.86</v>
      </c>
      <c r="J136" s="31" t="n">
        <f aca="false">J107</f>
        <v>1.764</v>
      </c>
      <c r="K136" s="31" t="n">
        <f aca="false">K107</f>
        <v>2.097</v>
      </c>
      <c r="L136" s="31" t="n">
        <f aca="false">L107</f>
        <v>3.861</v>
      </c>
      <c r="M136" s="31" t="n">
        <f aca="false">M107</f>
        <v>1.915</v>
      </c>
      <c r="N136" s="31" t="n">
        <f aca="false">N107</f>
        <v>1.658</v>
      </c>
      <c r="O136" s="31" t="n">
        <f aca="false">O107</f>
        <v>7.434</v>
      </c>
      <c r="P136" s="31" t="n">
        <f aca="false">P107</f>
        <v>1.419</v>
      </c>
      <c r="Q136" s="31" t="n">
        <f aca="false">Q107</f>
        <v>1.345</v>
      </c>
      <c r="R136" s="31" t="n">
        <f aca="false">R107</f>
        <v>2.764</v>
      </c>
      <c r="S136" s="31" t="n">
        <f aca="false">S107</f>
        <v>1.278</v>
      </c>
      <c r="T136" s="31" t="n">
        <f aca="false">T107</f>
        <v>1.235</v>
      </c>
      <c r="U136" s="31" t="n">
        <f aca="false">U107</f>
        <v>5.277</v>
      </c>
      <c r="V136" s="31" t="n">
        <f aca="false">V107</f>
        <v>1.269</v>
      </c>
      <c r="W136" s="31" t="n">
        <f aca="false">W107</f>
        <v>1.308</v>
      </c>
      <c r="X136" s="31" t="n">
        <f aca="false">X107</f>
        <v>2.577</v>
      </c>
      <c r="Y136" s="31" t="n">
        <f aca="false">Y107</f>
        <v>1.239</v>
      </c>
      <c r="Z136" s="31" t="n">
        <f aca="false">Z107</f>
        <v>1.146</v>
      </c>
      <c r="AA136" s="31" t="n">
        <f aca="false">AA107</f>
        <v>4.962</v>
      </c>
      <c r="AB136" s="31" t="n">
        <f aca="false">AB107</f>
        <v>1.363</v>
      </c>
      <c r="AC136" s="31" t="n">
        <f aca="false">AC107</f>
        <v>1.06</v>
      </c>
      <c r="AD136" s="31" t="n">
        <f aca="false">AD107</f>
        <v>2.423</v>
      </c>
      <c r="AE136" s="31" t="n">
        <f aca="false">AE107</f>
        <v>0.934</v>
      </c>
      <c r="AF136" s="31" t="n">
        <f aca="false">AF107</f>
        <v>2.207</v>
      </c>
      <c r="AG136" s="31" t="n">
        <f aca="false">AG107</f>
        <v>5.564</v>
      </c>
      <c r="AH136" s="31" t="n">
        <f aca="false">AH107</f>
        <v>8.133</v>
      </c>
      <c r="AI136" s="31" t="n">
        <f aca="false">AI107</f>
        <v>8.62</v>
      </c>
      <c r="AJ136" s="31" t="n">
        <f aca="false">AJ107</f>
        <v>16.753</v>
      </c>
      <c r="AK136" s="31" t="n">
        <f aca="false">AK107</f>
        <v>10.558</v>
      </c>
      <c r="AL136" s="31" t="n">
        <f aca="false">AL107</f>
        <v>10.98</v>
      </c>
      <c r="AM136" s="31" t="n">
        <f aca="false">AM107</f>
        <v>38.291</v>
      </c>
      <c r="AN136" s="31" t="n">
        <f aca="false">AN107</f>
        <v>11.31</v>
      </c>
      <c r="AO136" s="31" t="n">
        <f aca="false">AO107</f>
        <v>10.937</v>
      </c>
      <c r="AP136" s="31" t="n">
        <f aca="false">AP107</f>
        <v>22.247</v>
      </c>
      <c r="AQ136" s="31" t="n">
        <f aca="false">AQ107</f>
        <v>10.473</v>
      </c>
      <c r="AR136" s="31" t="n">
        <f aca="false">AR107</f>
        <v>11.807</v>
      </c>
      <c r="AS136" s="31" t="n">
        <f aca="false">AS107</f>
        <v>44.527</v>
      </c>
      <c r="AT136" s="31" t="n">
        <f aca="false">AT107</f>
        <v>10.816</v>
      </c>
      <c r="AU136" s="31" t="n">
        <f aca="false">AU107</f>
        <v>10.117</v>
      </c>
      <c r="AV136" s="31" t="n">
        <f aca="false">AV107</f>
        <v>20.933</v>
      </c>
      <c r="AW136" s="31" t="n">
        <f aca="false">AW107</f>
        <v>10.09</v>
      </c>
      <c r="AX136" s="31" t="n">
        <f aca="false">AX107</f>
        <v>10.254</v>
      </c>
      <c r="AY136" s="31" t="n">
        <f aca="false">AY107</f>
        <v>41.277</v>
      </c>
      <c r="AZ136" s="31" t="n">
        <f aca="false">AZ107</f>
        <v>9.182</v>
      </c>
      <c r="BA136" s="31" t="n">
        <f aca="false">BA107</f>
        <v>8.882</v>
      </c>
      <c r="BB136" s="31" t="n">
        <f aca="false">BB107</f>
        <v>18.064</v>
      </c>
      <c r="BC136" s="31" t="n">
        <f aca="false">BC107</f>
        <v>8.737</v>
      </c>
      <c r="BD136" s="31" t="n">
        <f aca="false">BD107</f>
        <v>8.767</v>
      </c>
      <c r="BE136" s="31" t="n">
        <f aca="false">BE107</f>
        <v>35.568</v>
      </c>
      <c r="BF136" s="31" t="n">
        <f aca="false">BF107</f>
        <v>8.946</v>
      </c>
      <c r="BG136" s="31" t="n">
        <f aca="false">BG107</f>
        <v>8.867</v>
      </c>
      <c r="BH136" s="31" t="n">
        <f aca="false">BH107</f>
        <v>17.813</v>
      </c>
      <c r="BI136" s="31" t="n">
        <f aca="false">BI107</f>
        <v>8.807</v>
      </c>
      <c r="BJ136" s="31" t="n">
        <f aca="false">BJ107</f>
        <v>10.373</v>
      </c>
      <c r="BK136" s="31" t="n">
        <f aca="false">BK107</f>
        <v>36.993</v>
      </c>
      <c r="BL136" s="31" t="n">
        <f aca="false">BL107</f>
        <v>20.686</v>
      </c>
      <c r="BM136" s="31" t="n">
        <f aca="false">BM107</f>
        <v>18.463</v>
      </c>
      <c r="BN136" s="31" t="n">
        <f aca="false">BN107</f>
        <v>39.149</v>
      </c>
      <c r="BO136" s="31" t="n">
        <f aca="false">BO107</f>
        <v>9.199</v>
      </c>
      <c r="BP136" s="31" t="n">
        <f aca="false">BP107</f>
        <v>9.532</v>
      </c>
      <c r="BQ136" s="31" t="n">
        <f aca="false">BQ107</f>
        <v>57.88</v>
      </c>
      <c r="BR136" s="31" t="n">
        <f aca="false">BR107</f>
        <v>20.9</v>
      </c>
      <c r="BS136" s="31" t="n">
        <f aca="false">BS107</f>
        <v>65</v>
      </c>
      <c r="BT136" s="31" t="n">
        <f aca="false">BT107</f>
        <v>85.9</v>
      </c>
      <c r="BU136" s="31" t="n">
        <f aca="false">BU107</f>
        <v>63.7</v>
      </c>
      <c r="BV136" s="31" t="n">
        <f aca="false">BV107</f>
        <v>64.2</v>
      </c>
      <c r="BW136" s="31" t="n">
        <f aca="false">BW107</f>
        <v>213.8</v>
      </c>
      <c r="BX136" s="31" t="n">
        <f aca="false">BX107</f>
        <v>63.9</v>
      </c>
      <c r="BY136" s="31" t="n">
        <f aca="false">BY107</f>
        <v>59.9</v>
      </c>
      <c r="BZ136" s="31" t="n">
        <f aca="false">BZ107</f>
        <v>123.8</v>
      </c>
      <c r="CA136" s="31" t="n">
        <f aca="false">CA107</f>
        <v>57.2</v>
      </c>
      <c r="CB136" s="31" t="n">
        <f aca="false">CB107</f>
        <v>52.7</v>
      </c>
      <c r="CC136" s="31" t="n">
        <f aca="false">CC107</f>
        <v>233.7</v>
      </c>
      <c r="CD136" s="31" t="n">
        <f aca="false">CD107</f>
        <v>49.9</v>
      </c>
      <c r="CE136" s="31" t="n">
        <f aca="false">CE107</f>
        <v>47.5</v>
      </c>
      <c r="CF136" s="31" t="n">
        <f aca="false">CF107</f>
        <v>97.4</v>
      </c>
      <c r="CG136" s="31" t="n">
        <f aca="false">CG107</f>
        <v>48.2</v>
      </c>
      <c r="CH136" s="31" t="n">
        <f aca="false">CH107</f>
        <v>46</v>
      </c>
      <c r="CI136" s="31" t="n">
        <f aca="false">CI107</f>
        <v>191.6</v>
      </c>
      <c r="CJ136" s="31" t="n">
        <f aca="false">CJ107</f>
        <v>44</v>
      </c>
      <c r="CK136" s="31" t="n">
        <f aca="false">CK107</f>
        <v>42.4</v>
      </c>
      <c r="CL136" s="31" t="n">
        <f aca="false">CL107</f>
        <v>86.4</v>
      </c>
      <c r="CM136" s="32" t="n">
        <f aca="false">CM107</f>
        <v>43.2</v>
      </c>
      <c r="CN136" s="32" t="n">
        <f aca="false">CN107</f>
        <v>43.2</v>
      </c>
      <c r="CO136" s="32" t="n">
        <f aca="false">SUM(CJ136,CK136,CM136,CN136)</f>
        <v>172.8</v>
      </c>
      <c r="CP136" s="32" t="n">
        <f aca="false">CP107</f>
        <v>165</v>
      </c>
      <c r="CQ136" s="32" t="n">
        <f aca="false">CQ107</f>
        <v>156.35</v>
      </c>
      <c r="CR136" s="32" t="n">
        <f aca="false">CR107</f>
        <v>147.9</v>
      </c>
      <c r="CS136" s="32" t="n">
        <f aca="false">CS107</f>
        <v>142.1</v>
      </c>
      <c r="CT136" s="23"/>
      <c r="CV136" s="7"/>
      <c r="CW136" s="7"/>
      <c r="CX136" s="7"/>
      <c r="CY136" s="7"/>
    </row>
    <row r="137" customFormat="false" ht="15" hidden="false" customHeight="true" outlineLevel="0" collapsed="false">
      <c r="B137" s="13" t="s">
        <v>272</v>
      </c>
      <c r="C137" s="31" t="n">
        <f aca="false">-N(C108)</f>
        <v>-6.664</v>
      </c>
      <c r="D137" s="31" t="n">
        <f aca="false">-N(D108)</f>
        <v>-7.393</v>
      </c>
      <c r="E137" s="31" t="n">
        <f aca="false">-N(E108)</f>
        <v>-4.994</v>
      </c>
      <c r="F137" s="31" t="n">
        <f aca="false">-N(F108)</f>
        <v>-2.4</v>
      </c>
      <c r="G137" s="31" t="n">
        <f aca="false">-N(G108)</f>
        <v>-2.035</v>
      </c>
      <c r="H137" s="31" t="n">
        <f aca="false">-N(H108)</f>
        <v>-2.326</v>
      </c>
      <c r="I137" s="31" t="n">
        <f aca="false">-N(I108)</f>
        <v>-2.42</v>
      </c>
      <c r="J137" s="31" t="n">
        <f aca="false">-N(J108)</f>
        <v>-0.547</v>
      </c>
      <c r="K137" s="31" t="n">
        <f aca="false">-N(K108)</f>
        <v>-0.785</v>
      </c>
      <c r="L137" s="31" t="n">
        <f aca="false">-N(L108)</f>
        <v>-1.332</v>
      </c>
      <c r="M137" s="31" t="n">
        <f aca="false">-N(M108)</f>
        <v>-0.73</v>
      </c>
      <c r="N137" s="31" t="n">
        <f aca="false">-N(N108)</f>
        <v>-0.646</v>
      </c>
      <c r="O137" s="31" t="n">
        <f aca="false">-N(O108)</f>
        <v>-2.708</v>
      </c>
      <c r="P137" s="31" t="n">
        <f aca="false">-N(P108)</f>
        <v>-0.508</v>
      </c>
      <c r="Q137" s="31" t="n">
        <f aca="false">-N(Q108)</f>
        <v>-0.617</v>
      </c>
      <c r="R137" s="31" t="n">
        <f aca="false">-N(R108)</f>
        <v>-1.125</v>
      </c>
      <c r="S137" s="31" t="n">
        <f aca="false">-N(S108)</f>
        <v>-0.523</v>
      </c>
      <c r="T137" s="31" t="n">
        <f aca="false">-N(T108)</f>
        <v>-0.574</v>
      </c>
      <c r="U137" s="31" t="n">
        <f aca="false">-N(U108)</f>
        <v>-2.222</v>
      </c>
      <c r="V137" s="31" t="n">
        <f aca="false">-N(V108)</f>
        <v>-0.847</v>
      </c>
      <c r="W137" s="31" t="n">
        <f aca="false">-N(W108)</f>
        <v>-0.68</v>
      </c>
      <c r="X137" s="31" t="n">
        <f aca="false">-N(X108)</f>
        <v>-1.527</v>
      </c>
      <c r="Y137" s="31" t="n">
        <f aca="false">-N(Y108)</f>
        <v>-0.548</v>
      </c>
      <c r="Z137" s="31" t="n">
        <f aca="false">-N(Z108)</f>
        <v>-0.585</v>
      </c>
      <c r="AA137" s="31" t="n">
        <f aca="false">-N(AA108)</f>
        <v>-2.66</v>
      </c>
      <c r="AB137" s="31" t="n">
        <f aca="false">-N(AB108)</f>
        <v>-0.498</v>
      </c>
      <c r="AC137" s="31" t="n">
        <f aca="false">-N(AC108)</f>
        <v>-0.487</v>
      </c>
      <c r="AD137" s="31" t="n">
        <f aca="false">-N(AD108)</f>
        <v>-0.985</v>
      </c>
      <c r="AE137" s="31" t="n">
        <f aca="false">-N(AE108)</f>
        <v>-0.369</v>
      </c>
      <c r="AF137" s="31" t="n">
        <f aca="false">-N(AF108)</f>
        <v>-0.509</v>
      </c>
      <c r="AG137" s="31" t="n">
        <f aca="false">-N(AG108)</f>
        <v>-1.863</v>
      </c>
      <c r="AH137" s="31" t="n">
        <f aca="false">-N(AH108)</f>
        <v>-0.955</v>
      </c>
      <c r="AI137" s="31" t="n">
        <f aca="false">-N(AI108)</f>
        <v>-0.987</v>
      </c>
      <c r="AJ137" s="31" t="n">
        <f aca="false">-N(AJ108)</f>
        <v>-1.942</v>
      </c>
      <c r="AK137" s="31" t="n">
        <f aca="false">-N(AK108)</f>
        <v>-0.517</v>
      </c>
      <c r="AL137" s="31" t="n">
        <f aca="false">-N(AL108)</f>
        <v>-0.735</v>
      </c>
      <c r="AM137" s="31" t="n">
        <f aca="false">-N(AM108)</f>
        <v>-3.194</v>
      </c>
      <c r="AN137" s="31" t="n">
        <f aca="false">-N(AN108)</f>
        <v>-0.392</v>
      </c>
      <c r="AO137" s="31" t="n">
        <f aca="false">-N(AO108)</f>
        <v>-0.837</v>
      </c>
      <c r="AP137" s="31" t="n">
        <f aca="false">-N(AP108)</f>
        <v>-1.229</v>
      </c>
      <c r="AQ137" s="31" t="n">
        <f aca="false">-N(AQ108)</f>
        <v>-0.78</v>
      </c>
      <c r="AR137" s="31" t="n">
        <f aca="false">-N(AR108)</f>
        <v>-0.879</v>
      </c>
      <c r="AS137" s="31" t="n">
        <f aca="false">-N(AS108)</f>
        <v>-2.888</v>
      </c>
      <c r="AT137" s="31" t="n">
        <f aca="false">-N(AT108)</f>
        <v>-0.855</v>
      </c>
      <c r="AU137" s="31" t="n">
        <f aca="false">-N(AU108)</f>
        <v>-1.063</v>
      </c>
      <c r="AV137" s="31" t="n">
        <f aca="false">-N(AV108)</f>
        <v>-1.918</v>
      </c>
      <c r="AW137" s="31" t="n">
        <f aca="false">-N(AW108)</f>
        <v>-0.517</v>
      </c>
      <c r="AX137" s="31" t="n">
        <f aca="false">-N(AX108)</f>
        <v>-1.367</v>
      </c>
      <c r="AY137" s="31" t="n">
        <f aca="false">-N(AY108)</f>
        <v>-3.802</v>
      </c>
      <c r="AZ137" s="31" t="n">
        <f aca="false">-N(AZ108)</f>
        <v>-0.872</v>
      </c>
      <c r="BA137" s="31" t="n">
        <f aca="false">-N(BA108)</f>
        <v>-0.393</v>
      </c>
      <c r="BB137" s="31" t="n">
        <f aca="false">-N(BB108)</f>
        <v>-1.265</v>
      </c>
      <c r="BC137" s="31" t="n">
        <f aca="false">-N(BC108)</f>
        <v>-0.51</v>
      </c>
      <c r="BD137" s="31" t="n">
        <f aca="false">-N(BD108)</f>
        <v>-0.563</v>
      </c>
      <c r="BE137" s="31" t="n">
        <f aca="false">-N(BE108)</f>
        <v>-2.337</v>
      </c>
      <c r="BF137" s="31" t="n">
        <f aca="false">-N(BF108)</f>
        <v>-0.303</v>
      </c>
      <c r="BG137" s="31" t="n">
        <f aca="false">-N(BG108)</f>
        <v>-0.332</v>
      </c>
      <c r="BH137" s="31" t="n">
        <f aca="false">-N(BH108)</f>
        <v>-0.635</v>
      </c>
      <c r="BI137" s="31" t="n">
        <f aca="false">-N(BI108)</f>
        <v>-0.375</v>
      </c>
      <c r="BJ137" s="31" t="n">
        <f aca="false">-N(BJ108)</f>
        <v>-0.393</v>
      </c>
      <c r="BK137" s="31" t="n">
        <f aca="false">-N(BK108)</f>
        <v>-1.402</v>
      </c>
      <c r="BL137" s="31" t="n">
        <f aca="false">-N(BL108)</f>
        <v>-0.544</v>
      </c>
      <c r="BM137" s="31" t="n">
        <f aca="false">-N(BM108)</f>
        <v>-0.871</v>
      </c>
      <c r="BN137" s="31" t="n">
        <f aca="false">-N(BN108)</f>
        <v>-1.415</v>
      </c>
      <c r="BO137" s="31" t="n">
        <f aca="false">-N(BO108)</f>
        <v>-1.827</v>
      </c>
      <c r="BP137" s="31" t="n">
        <f aca="false">-N(BP108)</f>
        <v>-3.73</v>
      </c>
      <c r="BQ137" s="31" t="n">
        <f aca="false">-N(BQ108)</f>
        <v>-6.971</v>
      </c>
      <c r="BR137" s="31" t="n">
        <f aca="false">-N(BR108)</f>
        <v>-6.3</v>
      </c>
      <c r="BS137" s="31" t="n">
        <f aca="false">-N(BS108)</f>
        <v>-5</v>
      </c>
      <c r="BT137" s="31" t="n">
        <f aca="false">-N(BT108)</f>
        <v>-11.3</v>
      </c>
      <c r="BU137" s="31" t="n">
        <f aca="false">-N(BU108)</f>
        <v>-4.5</v>
      </c>
      <c r="BV137" s="31" t="n">
        <f aca="false">-N(BV108)</f>
        <v>-6.2</v>
      </c>
      <c r="BW137" s="31" t="n">
        <f aca="false">-N(BW108)</f>
        <v>-22</v>
      </c>
      <c r="BX137" s="31" t="n">
        <f aca="false">-N(BX108)</f>
        <v>-6.6</v>
      </c>
      <c r="BY137" s="31" t="n">
        <f aca="false">-N(BY108)</f>
        <v>-6.8</v>
      </c>
      <c r="BZ137" s="31" t="n">
        <f aca="false">-N(BZ108)</f>
        <v>-13.4</v>
      </c>
      <c r="CA137" s="31" t="n">
        <f aca="false">-N(CA108)</f>
        <v>-6.9</v>
      </c>
      <c r="CB137" s="31" t="n">
        <f aca="false">-N(CB108)</f>
        <v>-5.9</v>
      </c>
      <c r="CC137" s="31" t="n">
        <f aca="false">-N(CC108)</f>
        <v>-26.2</v>
      </c>
      <c r="CD137" s="31" t="n">
        <f aca="false">-N(CD108)</f>
        <v>-3</v>
      </c>
      <c r="CE137" s="31" t="n">
        <f aca="false">-N(CE108)</f>
        <v>-4</v>
      </c>
      <c r="CF137" s="31" t="n">
        <f aca="false">-N(CF108)</f>
        <v>-7</v>
      </c>
      <c r="CG137" s="31" t="n">
        <f aca="false">-N(CG108)</f>
        <v>-3.6</v>
      </c>
      <c r="CH137" s="31" t="n">
        <f aca="false">-N(CH108)</f>
        <v>-4.3</v>
      </c>
      <c r="CI137" s="31" t="n">
        <f aca="false">-N(CI108)</f>
        <v>-14.9</v>
      </c>
      <c r="CJ137" s="31" t="n">
        <f aca="false">-N(CJ108)</f>
        <v>-2.6</v>
      </c>
      <c r="CK137" s="31" t="n">
        <f aca="false">-N(CK108)</f>
        <v>-3.3</v>
      </c>
      <c r="CL137" s="31" t="n">
        <f aca="false">-N(CL108)</f>
        <v>-5.9</v>
      </c>
      <c r="CM137" s="32" t="n">
        <f aca="false">-CM108</f>
        <v>-2.95</v>
      </c>
      <c r="CN137" s="32" t="n">
        <f aca="false">-CN108</f>
        <v>-2.95</v>
      </c>
      <c r="CO137" s="32" t="n">
        <f aca="false">SUM(CJ137,CK137,CM137,CN137)</f>
        <v>-11.8</v>
      </c>
      <c r="CP137" s="32" t="n">
        <f aca="false">-CP108</f>
        <v>-15.8222021126591</v>
      </c>
      <c r="CQ137" s="32" t="n">
        <f aca="false">-CQ108</f>
        <v>-17.0288968248338</v>
      </c>
      <c r="CR137" s="32" t="n">
        <f aca="false">-CR108</f>
        <v>-20.1101242025153</v>
      </c>
      <c r="CS137" s="32" t="n">
        <f aca="false">-CS108</f>
        <v>-23.8669252283195</v>
      </c>
      <c r="CT137" s="23"/>
      <c r="CV137" s="7"/>
      <c r="CW137" s="7"/>
      <c r="CX137" s="7"/>
      <c r="CY137" s="7"/>
    </row>
    <row r="138" customFormat="false" ht="15" hidden="false" customHeight="true" outlineLevel="0" collapsed="false">
      <c r="B138" s="13" t="s">
        <v>273</v>
      </c>
      <c r="C138" s="31" t="n">
        <f aca="false">C113</f>
        <v>34.848</v>
      </c>
      <c r="D138" s="31" t="n">
        <f aca="false">D113</f>
        <v>35.912</v>
      </c>
      <c r="E138" s="31" t="n">
        <f aca="false">E113</f>
        <v>37.884</v>
      </c>
      <c r="F138" s="31" t="n">
        <f aca="false">F113</f>
        <v>38.071</v>
      </c>
      <c r="G138" s="31" t="n">
        <f aca="false">G113</f>
        <v>24.683</v>
      </c>
      <c r="H138" s="31" t="n">
        <f aca="false">H113</f>
        <v>31.382</v>
      </c>
      <c r="I138" s="31" t="n">
        <f aca="false">I113</f>
        <v>32.469</v>
      </c>
      <c r="J138" s="31" t="n">
        <f aca="false">J113</f>
        <v>6.415</v>
      </c>
      <c r="K138" s="31" t="n">
        <f aca="false">K113</f>
        <v>11.22</v>
      </c>
      <c r="L138" s="31" t="n">
        <f aca="false">L113</f>
        <v>17.635</v>
      </c>
      <c r="M138" s="31" t="n">
        <f aca="false">M113</f>
        <v>9.207</v>
      </c>
      <c r="N138" s="31" t="n">
        <f aca="false">N113</f>
        <v>13.287</v>
      </c>
      <c r="O138" s="31" t="n">
        <f aca="false">O113</f>
        <v>40.31</v>
      </c>
      <c r="P138" s="31" t="n">
        <f aca="false">P113</f>
        <v>4.459</v>
      </c>
      <c r="Q138" s="31" t="n">
        <f aca="false">Q113</f>
        <v>12.598</v>
      </c>
      <c r="R138" s="31" t="n">
        <f aca="false">R113</f>
        <v>17.057</v>
      </c>
      <c r="S138" s="31" t="n">
        <f aca="false">S113</f>
        <v>6.288</v>
      </c>
      <c r="T138" s="31" t="n">
        <f aca="false">T113</f>
        <v>12.621</v>
      </c>
      <c r="U138" s="31" t="n">
        <f aca="false">U113</f>
        <v>36.475</v>
      </c>
      <c r="V138" s="31" t="n">
        <f aca="false">V113</f>
        <v>9.433</v>
      </c>
      <c r="W138" s="31" t="n">
        <f aca="false">W113</f>
        <v>17.412</v>
      </c>
      <c r="X138" s="31" t="n">
        <f aca="false">X113</f>
        <v>26.845</v>
      </c>
      <c r="Y138" s="31" t="n">
        <f aca="false">Y113</f>
        <v>7.766</v>
      </c>
      <c r="Z138" s="31" t="n">
        <f aca="false">Z113</f>
        <v>3.25</v>
      </c>
      <c r="AA138" s="31" t="n">
        <f aca="false">AA113</f>
        <v>37.861</v>
      </c>
      <c r="AB138" s="31" t="n">
        <f aca="false">AB113</f>
        <v>9.532</v>
      </c>
      <c r="AC138" s="31" t="n">
        <f aca="false">AC113</f>
        <v>13.217</v>
      </c>
      <c r="AD138" s="31" t="n">
        <f aca="false">AD113</f>
        <v>22.749</v>
      </c>
      <c r="AE138" s="31" t="n">
        <f aca="false">AE113</f>
        <v>7.18</v>
      </c>
      <c r="AF138" s="31" t="n">
        <f aca="false">AF113</f>
        <v>7.053</v>
      </c>
      <c r="AG138" s="31" t="n">
        <f aca="false">AG113</f>
        <v>36.982</v>
      </c>
      <c r="AH138" s="31" t="n">
        <f aca="false">AH113</f>
        <v>7.315</v>
      </c>
      <c r="AI138" s="31" t="n">
        <f aca="false">AI113</f>
        <v>4.025</v>
      </c>
      <c r="AJ138" s="31" t="n">
        <f aca="false">AJ113</f>
        <v>11.34</v>
      </c>
      <c r="AK138" s="31" t="n">
        <f aca="false">AK113</f>
        <v>-3.358</v>
      </c>
      <c r="AL138" s="31" t="n">
        <f aca="false">AL113</f>
        <v>-5.894</v>
      </c>
      <c r="AM138" s="31" t="n">
        <f aca="false">AM113</f>
        <v>2.088</v>
      </c>
      <c r="AN138" s="31" t="n">
        <f aca="false">AN113</f>
        <v>5.269</v>
      </c>
      <c r="AO138" s="31" t="n">
        <f aca="false">AO113</f>
        <v>9.031</v>
      </c>
      <c r="AP138" s="31" t="n">
        <f aca="false">AP113</f>
        <v>14.3</v>
      </c>
      <c r="AQ138" s="31" t="n">
        <f aca="false">AQ113</f>
        <v>4.791</v>
      </c>
      <c r="AR138" s="31" t="n">
        <f aca="false">AR113</f>
        <v>11.915</v>
      </c>
      <c r="AS138" s="31" t="n">
        <f aca="false">AS113</f>
        <v>31.006</v>
      </c>
      <c r="AT138" s="31" t="n">
        <f aca="false">AT113</f>
        <v>6.639</v>
      </c>
      <c r="AU138" s="31" t="n">
        <f aca="false">AU113</f>
        <v>15.401</v>
      </c>
      <c r="AV138" s="31" t="n">
        <f aca="false">AV113</f>
        <v>22.04</v>
      </c>
      <c r="AW138" s="31" t="n">
        <f aca="false">AW113</f>
        <v>6.76</v>
      </c>
      <c r="AX138" s="31" t="n">
        <f aca="false">AX113</f>
        <v>12.823</v>
      </c>
      <c r="AY138" s="31" t="n">
        <f aca="false">AY113</f>
        <v>41.623</v>
      </c>
      <c r="AZ138" s="31" t="n">
        <f aca="false">AZ113</f>
        <v>5.648</v>
      </c>
      <c r="BA138" s="31" t="n">
        <f aca="false">BA113</f>
        <v>27.656</v>
      </c>
      <c r="BB138" s="31" t="n">
        <f aca="false">BB113</f>
        <v>33.304</v>
      </c>
      <c r="BC138" s="31" t="n">
        <f aca="false">BC113</f>
        <v>15.437</v>
      </c>
      <c r="BD138" s="31" t="n">
        <f aca="false">BD113</f>
        <v>16.789</v>
      </c>
      <c r="BE138" s="31" t="n">
        <f aca="false">BE113</f>
        <v>65.53</v>
      </c>
      <c r="BF138" s="31" t="n">
        <f aca="false">BF113</f>
        <v>8.419</v>
      </c>
      <c r="BG138" s="31" t="n">
        <f aca="false">BG113</f>
        <v>21.065</v>
      </c>
      <c r="BH138" s="31" t="n">
        <f aca="false">BH113</f>
        <v>29.484</v>
      </c>
      <c r="BI138" s="31" t="n">
        <f aca="false">BI113</f>
        <v>13.057</v>
      </c>
      <c r="BJ138" s="31" t="n">
        <f aca="false">BJ113</f>
        <v>10.837</v>
      </c>
      <c r="BK138" s="31" t="n">
        <f aca="false">BK113</f>
        <v>53.378</v>
      </c>
      <c r="BL138" s="31" t="n">
        <f aca="false">BL113</f>
        <v>36.236</v>
      </c>
      <c r="BM138" s="31" t="n">
        <f aca="false">BM113</f>
        <v>21.632</v>
      </c>
      <c r="BN138" s="31" t="n">
        <f aca="false">BN113</f>
        <v>57.868</v>
      </c>
      <c r="BO138" s="31" t="n">
        <f aca="false">BO113</f>
        <v>14.697</v>
      </c>
      <c r="BP138" s="31" t="n">
        <f aca="false">BP113</f>
        <v>13.666</v>
      </c>
      <c r="BQ138" s="31" t="n">
        <f aca="false">BQ113</f>
        <v>86.23</v>
      </c>
      <c r="BR138" s="31" t="n">
        <f aca="false">BR113</f>
        <v>-9.3</v>
      </c>
      <c r="BS138" s="31" t="n">
        <f aca="false">BS113</f>
        <v>32.6</v>
      </c>
      <c r="BT138" s="31" t="n">
        <f aca="false">BT113</f>
        <v>23.3</v>
      </c>
      <c r="BU138" s="31" t="n">
        <f aca="false">BU113</f>
        <v>23.1</v>
      </c>
      <c r="BV138" s="31" t="n">
        <f aca="false">BV113</f>
        <v>29.9</v>
      </c>
      <c r="BW138" s="31" t="n">
        <f aca="false">BW113</f>
        <v>76.4</v>
      </c>
      <c r="BX138" s="31" t="n">
        <f aca="false">BX113</f>
        <v>32.5</v>
      </c>
      <c r="BY138" s="31" t="n">
        <f aca="false">BY113</f>
        <v>36.6</v>
      </c>
      <c r="BZ138" s="31" t="n">
        <f aca="false">BZ113</f>
        <v>69.1</v>
      </c>
      <c r="CA138" s="31" t="n">
        <f aca="false">CA113</f>
        <v>26.2</v>
      </c>
      <c r="CB138" s="31" t="n">
        <f aca="false">CB113</f>
        <v>42</v>
      </c>
      <c r="CC138" s="31" t="n">
        <f aca="false">CC113</f>
        <v>137.3</v>
      </c>
      <c r="CD138" s="31" t="n">
        <f aca="false">CD113</f>
        <v>29.6</v>
      </c>
      <c r="CE138" s="31" t="n">
        <f aca="false">CE113</f>
        <v>35.8</v>
      </c>
      <c r="CF138" s="31" t="n">
        <f aca="false">CF113</f>
        <v>65.4</v>
      </c>
      <c r="CG138" s="31" t="n">
        <f aca="false">CG113</f>
        <v>16.5</v>
      </c>
      <c r="CH138" s="31" t="n">
        <f aca="false">CH113</f>
        <v>26.1</v>
      </c>
      <c r="CI138" s="31" t="n">
        <f aca="false">CI113</f>
        <v>108</v>
      </c>
      <c r="CJ138" s="31" t="n">
        <f aca="false">CJ113</f>
        <v>37.6</v>
      </c>
      <c r="CK138" s="31" t="n">
        <f aca="false">CK113</f>
        <v>42.4</v>
      </c>
      <c r="CL138" s="31" t="n">
        <f aca="false">CL113</f>
        <v>80</v>
      </c>
      <c r="CM138" s="32" t="n">
        <f aca="false">CM113</f>
        <v>48.260956078944</v>
      </c>
      <c r="CN138" s="32" t="n">
        <f aca="false">CN113</f>
        <v>48.260956078944</v>
      </c>
      <c r="CO138" s="32" t="n">
        <f aca="false">SUM(CJ138,CK138,CM138,CN138)</f>
        <v>176.521912157888</v>
      </c>
      <c r="CP138" s="32" t="n">
        <f aca="false">CP113</f>
        <v>215.1544580936</v>
      </c>
      <c r="CQ138" s="32" t="n">
        <f aca="false">CQ113</f>
        <v>251.69515525099</v>
      </c>
      <c r="CR138" s="32" t="n">
        <f aca="false">CR113</f>
        <v>280.597760925147</v>
      </c>
      <c r="CS138" s="32" t="n">
        <f aca="false">CS113</f>
        <v>306.671349965254</v>
      </c>
      <c r="CT138" s="23"/>
      <c r="CV138" s="7"/>
      <c r="CW138" s="7"/>
      <c r="CX138" s="7"/>
      <c r="CY138" s="7"/>
    </row>
    <row r="139" customFormat="false" ht="15" hidden="false" customHeight="true" outlineLevel="0" collapsed="false">
      <c r="B139" s="41" t="s">
        <v>274</v>
      </c>
      <c r="C139" s="43" t="n">
        <f aca="false">SUM(C134:C138)</f>
        <v>101.591</v>
      </c>
      <c r="D139" s="43" t="n">
        <f aca="false">SUM(D134:D138)</f>
        <v>125.125</v>
      </c>
      <c r="E139" s="43" t="n">
        <f aca="false">SUM(E134:E138)</f>
        <v>159.913</v>
      </c>
      <c r="F139" s="43" t="n">
        <f aca="false">SUM(F134:F138)</f>
        <v>161.428</v>
      </c>
      <c r="G139" s="43" t="n">
        <f aca="false">SUM(G134:G138)</f>
        <v>131.352</v>
      </c>
      <c r="H139" s="43" t="n">
        <f aca="false">SUM(H134:H138)</f>
        <v>153.638</v>
      </c>
      <c r="I139" s="43" t="n">
        <f aca="false">SUM(I134:I138)</f>
        <v>157.593</v>
      </c>
      <c r="J139" s="20" t="n">
        <f aca="false">SUM(J134:J138)</f>
        <v>31.998</v>
      </c>
      <c r="K139" s="20" t="n">
        <f aca="false">SUM(K134:K138)</f>
        <v>53.279</v>
      </c>
      <c r="L139" s="20" t="n">
        <f aca="false">SUM(L134:L138)</f>
        <v>85.277</v>
      </c>
      <c r="M139" s="20" t="n">
        <f aca="false">SUM(M134:M138)</f>
        <v>37.633</v>
      </c>
      <c r="N139" s="20" t="n">
        <f aca="false">SUM(N134:N138)</f>
        <v>59.851</v>
      </c>
      <c r="O139" s="43" t="n">
        <f aca="false">SUM(O134:O138)</f>
        <v>182.761</v>
      </c>
      <c r="P139" s="20" t="n">
        <f aca="false">SUM(P134:P138)</f>
        <v>30.485</v>
      </c>
      <c r="Q139" s="20" t="n">
        <f aca="false">SUM(Q134:Q138)</f>
        <v>63.44</v>
      </c>
      <c r="R139" s="20" t="n">
        <f aca="false">SUM(R134:R138)</f>
        <v>93.925</v>
      </c>
      <c r="S139" s="20" t="n">
        <f aca="false">SUM(S134:S138)</f>
        <v>28.052</v>
      </c>
      <c r="T139" s="20" t="n">
        <f aca="false">SUM(T134:T138)</f>
        <v>54.652</v>
      </c>
      <c r="U139" s="43" t="n">
        <f aca="false">SUM(U134:U138)</f>
        <v>176.629</v>
      </c>
      <c r="V139" s="20" t="n">
        <f aca="false">SUM(V134:V138)</f>
        <v>44.581</v>
      </c>
      <c r="W139" s="20" t="n">
        <f aca="false">SUM(W134:W138)</f>
        <v>74.655</v>
      </c>
      <c r="X139" s="20" t="n">
        <f aca="false">SUM(X134:X138)</f>
        <v>119.236</v>
      </c>
      <c r="Y139" s="20" t="n">
        <f aca="false">SUM(Y134:Y138)</f>
        <v>39.721</v>
      </c>
      <c r="Z139" s="20" t="n">
        <f aca="false">SUM(Z134:Z138)</f>
        <v>61.813</v>
      </c>
      <c r="AA139" s="43" t="n">
        <f aca="false">SUM(AA134:AA138)</f>
        <v>220.77</v>
      </c>
      <c r="AB139" s="20" t="n">
        <f aca="false">SUM(AB134:AB138)</f>
        <v>50.471</v>
      </c>
      <c r="AC139" s="20" t="n">
        <f aca="false">SUM(AC134:AC138)</f>
        <v>64.665</v>
      </c>
      <c r="AD139" s="20" t="n">
        <f aca="false">SUM(AD134:AD138)</f>
        <v>115.136</v>
      </c>
      <c r="AE139" s="20" t="n">
        <f aca="false">SUM(AE134:AE138)</f>
        <v>12.941</v>
      </c>
      <c r="AF139" s="20" t="n">
        <f aca="false">SUM(AF134:AF138)</f>
        <v>46.979</v>
      </c>
      <c r="AG139" s="43" t="n">
        <f aca="false">SUM(AG134:AG138)</f>
        <v>175.056</v>
      </c>
      <c r="AH139" s="20" t="n">
        <f aca="false">SUM(AH134:AH138)</f>
        <v>35.264</v>
      </c>
      <c r="AI139" s="20" t="n">
        <f aca="false">SUM(AI134:AI138)</f>
        <v>41.243</v>
      </c>
      <c r="AJ139" s="20" t="n">
        <f aca="false">SUM(AJ134:AJ138)</f>
        <v>76.507</v>
      </c>
      <c r="AK139" s="20" t="n">
        <f aca="false">SUM(AK134:AK138)</f>
        <v>31.843</v>
      </c>
      <c r="AL139" s="20" t="n">
        <f aca="false">SUM(AL134:AL138)</f>
        <v>56.835</v>
      </c>
      <c r="AM139" s="43" t="n">
        <f aca="false">SUM(AM134:AM138)</f>
        <v>165.185</v>
      </c>
      <c r="AN139" s="20" t="n">
        <f aca="false">SUM(AN134:AN138)</f>
        <v>49.585</v>
      </c>
      <c r="AO139" s="20" t="n">
        <f aca="false">SUM(AO134:AO138)</f>
        <v>81.395</v>
      </c>
      <c r="AP139" s="20" t="n">
        <f aca="false">SUM(AP134:AP138)</f>
        <v>130.98</v>
      </c>
      <c r="AQ139" s="20" t="n">
        <f aca="false">SUM(AQ134:AQ138)</f>
        <v>54.319</v>
      </c>
      <c r="AR139" s="20" t="n">
        <f aca="false">SUM(AR134:AR138)</f>
        <v>75.466</v>
      </c>
      <c r="AS139" s="43" t="n">
        <f aca="false">SUM(AS134:AS138)</f>
        <v>260.765</v>
      </c>
      <c r="AT139" s="20" t="n">
        <f aca="false">SUM(AT134:AT138)</f>
        <v>51.887</v>
      </c>
      <c r="AU139" s="20" t="n">
        <f aca="false">SUM(AU134:AU138)</f>
        <v>95.6979999999999</v>
      </c>
      <c r="AV139" s="20" t="n">
        <f aca="false">SUM(AV134:AV138)</f>
        <v>147.585</v>
      </c>
      <c r="AW139" s="20" t="n">
        <f aca="false">SUM(AW134:AW138)</f>
        <v>59.297</v>
      </c>
      <c r="AX139" s="20" t="n">
        <f aca="false">SUM(AX134:AX138)</f>
        <v>91.8569999999999</v>
      </c>
      <c r="AY139" s="43" t="n">
        <f aca="false">SUM(AY134:AY138)</f>
        <v>298.739</v>
      </c>
      <c r="AZ139" s="20" t="n">
        <f aca="false">SUM(AZ134:AZ138)</f>
        <v>56.08</v>
      </c>
      <c r="BA139" s="20" t="n">
        <f aca="false">SUM(BA134:BA138)</f>
        <v>107.121</v>
      </c>
      <c r="BB139" s="20" t="n">
        <f aca="false">SUM(BB134:BB138)</f>
        <v>163.201</v>
      </c>
      <c r="BC139" s="20" t="n">
        <f aca="false">SUM(BC134:BC138)</f>
        <v>87.59</v>
      </c>
      <c r="BD139" s="20" t="n">
        <f aca="false">SUM(BD134:BD138)</f>
        <v>93.249</v>
      </c>
      <c r="BE139" s="43" t="n">
        <f aca="false">SUM(BE134:BE138)</f>
        <v>344.04</v>
      </c>
      <c r="BF139" s="20" t="n">
        <f aca="false">SUM(BF134:BF138)</f>
        <v>66.271</v>
      </c>
      <c r="BG139" s="20" t="n">
        <f aca="false">SUM(BG134:BG138)</f>
        <v>112.316</v>
      </c>
      <c r="BH139" s="20" t="n">
        <f aca="false">SUM(BH134:BH138)</f>
        <v>178.587</v>
      </c>
      <c r="BI139" s="20" t="n">
        <f aca="false">SUM(BI134:BI138)</f>
        <v>75.753</v>
      </c>
      <c r="BJ139" s="20" t="n">
        <f aca="false">SUM(BJ134:BJ138)</f>
        <v>74.37</v>
      </c>
      <c r="BK139" s="43" t="n">
        <f aca="false">SUM(BK134:BK138)</f>
        <v>328.712</v>
      </c>
      <c r="BL139" s="20" t="n">
        <f aca="false">SUM(BL134:BL138)</f>
        <v>258.704</v>
      </c>
      <c r="BM139" s="20" t="n">
        <f aca="false">SUM(BM134:BM138)</f>
        <v>116.933</v>
      </c>
      <c r="BN139" s="20" t="n">
        <f aca="false">SUM(BN134:BN138)</f>
        <v>375.637</v>
      </c>
      <c r="BO139" s="20" t="n">
        <f aca="false">SUM(BO134:BO138)</f>
        <v>89.283</v>
      </c>
      <c r="BP139" s="20" t="n">
        <f aca="false">SUM(BP134:BP138)</f>
        <v>89.132</v>
      </c>
      <c r="BQ139" s="43" t="n">
        <f aca="false">SUM(BQ134:BQ138)</f>
        <v>554.052</v>
      </c>
      <c r="BR139" s="20" t="n">
        <f aca="false">SUM(BR134:BR138)</f>
        <v>13.3000000000001</v>
      </c>
      <c r="BS139" s="20" t="n">
        <f aca="false">SUM(BS134:BS138)</f>
        <v>289</v>
      </c>
      <c r="BT139" s="20" t="n">
        <f aca="false">SUM(BT134:BT138)</f>
        <v>302.3</v>
      </c>
      <c r="BU139" s="20" t="n">
        <f aca="false">SUM(BU134:BU138)</f>
        <v>246.6</v>
      </c>
      <c r="BV139" s="20" t="n">
        <f aca="false">SUM(BV134:BV138)</f>
        <v>277.4</v>
      </c>
      <c r="BW139" s="43" t="n">
        <f aca="false">SUM(BW134:BW138)</f>
        <v>826.4</v>
      </c>
      <c r="BX139" s="20" t="n">
        <f aca="false">SUM(BX134:BX138)</f>
        <v>304.9</v>
      </c>
      <c r="BY139" s="20" t="n">
        <f aca="false">SUM(BY134:BY138)</f>
        <v>311</v>
      </c>
      <c r="BZ139" s="20" t="n">
        <f aca="false">SUM(BZ134:BZ138)</f>
        <v>615.9</v>
      </c>
      <c r="CA139" s="20" t="n">
        <f aca="false">SUM(CA134:CA138)</f>
        <v>264.4</v>
      </c>
      <c r="CB139" s="20" t="n">
        <f aca="false">SUM(CB134:CB138)</f>
        <v>321.7</v>
      </c>
      <c r="CC139" s="43" t="n">
        <f aca="false">SUM(CC134:CC138)</f>
        <v>1202</v>
      </c>
      <c r="CD139" s="20" t="n">
        <f aca="false">SUM(CD134:CD138)</f>
        <v>304.3</v>
      </c>
      <c r="CE139" s="20" t="n">
        <f aca="false">SUM(CE134:CE138)</f>
        <v>305.7</v>
      </c>
      <c r="CF139" s="20" t="n">
        <f aca="false">SUM(CF134:CF138)</f>
        <v>610.000000000001</v>
      </c>
      <c r="CG139" s="20" t="n">
        <f aca="false">SUM(CG134:CG138)</f>
        <v>281</v>
      </c>
      <c r="CH139" s="20" t="n">
        <f aca="false">SUM(CH134:CH138)</f>
        <v>304.7</v>
      </c>
      <c r="CI139" s="43" t="n">
        <f aca="false">SUM(CI134:CI138)</f>
        <v>1195.7</v>
      </c>
      <c r="CJ139" s="20" t="n">
        <f aca="false">SUM(CJ134:CJ138)</f>
        <v>341.3</v>
      </c>
      <c r="CK139" s="20" t="n">
        <f aca="false">SUM(CK134:CK138)</f>
        <v>355.5</v>
      </c>
      <c r="CL139" s="20" t="n">
        <f aca="false">SUM(CL134:CL138)</f>
        <v>696.8</v>
      </c>
      <c r="CM139" s="43" t="n">
        <f aca="false">SUM(CM134:CM138)</f>
        <v>335.781850223033</v>
      </c>
      <c r="CN139" s="43" t="n">
        <f aca="false">SUM(CN134:CN138)</f>
        <v>377.318149776967</v>
      </c>
      <c r="CO139" s="43" t="n">
        <f aca="false">SUM(CJ139,CK139,CM139,CN139)</f>
        <v>1409.9</v>
      </c>
      <c r="CP139" s="43" t="n">
        <f aca="false">SUM(CP134:CP138)</f>
        <v>1508.9224638025</v>
      </c>
      <c r="CQ139" s="43" t="n">
        <f aca="false">SUM(CQ134:CQ138)</f>
        <v>1608.12278720411</v>
      </c>
      <c r="CR139" s="43" t="n">
        <f aca="false">SUM(CR134:CR138)</f>
        <v>1705.18886797964</v>
      </c>
      <c r="CS139" s="43" t="n">
        <f aca="false">SUM(CS134:CS138)</f>
        <v>1807.8798455377</v>
      </c>
      <c r="CT139" s="23"/>
      <c r="CV139" s="24" t="n">
        <f aca="false">IFERROR((CS139/CI139)^(1/5)-1,"n/m")</f>
        <v>0.0861991704935061</v>
      </c>
      <c r="CW139" s="24" t="n">
        <f aca="false">IFERROR((CI139/BE139)^(1/5)-1,"n/m")</f>
        <v>0.282929105707346</v>
      </c>
      <c r="CX139" s="24" t="n">
        <f aca="false">IFERROR((CI139/AA139)^(1/10)-1,"n/m")</f>
        <v>0.184045024433431</v>
      </c>
      <c r="CY139" s="24" t="n">
        <f aca="false">IFERROR((CI139/C139)^(1/19)-1,"n/m")</f>
        <v>0.138560617419185</v>
      </c>
    </row>
    <row r="140" customFormat="false" ht="15" hidden="false" customHeight="true" outlineLevel="0" collapsed="false">
      <c r="B140" s="46" t="s">
        <v>275</v>
      </c>
      <c r="C140" s="31" t="str">
        <f aca="false">IF(ISNUMBER(C141),ROUND(C139-C141,1),"n/p")</f>
        <v>n/p</v>
      </c>
      <c r="D140" s="31" t="str">
        <f aca="false">IF(ISNUMBER(D141),ROUND(D139-D141,1),"n/p")</f>
        <v>n/p</v>
      </c>
      <c r="E140" s="31" t="str">
        <f aca="false">IF(ISNUMBER(E141),ROUND(E139-E141,1),"n/p")</f>
        <v>n/p</v>
      </c>
      <c r="F140" s="31" t="str">
        <f aca="false">IF(ISNUMBER(F141),ROUND(F139-F141,1),"n/p")</f>
        <v>n/p</v>
      </c>
      <c r="G140" s="31" t="str">
        <f aca="false">IF(ISNUMBER(G141),ROUND(G139-G141,1),"n/p")</f>
        <v>n/p</v>
      </c>
      <c r="H140" s="31" t="str">
        <f aca="false">IF(ISNUMBER(H141),ROUND(H139-H141,1),"n/p")</f>
        <v>n/p</v>
      </c>
      <c r="I140" s="31" t="str">
        <f aca="false">IF(ISNUMBER(I141),ROUND(I139-I141,1),"n/p")</f>
        <v>n/p</v>
      </c>
      <c r="J140" s="31" t="n">
        <f aca="false">IF(ISNUMBER(J141),ROUND(J139-J141,1),"n/p")</f>
        <v>0.1</v>
      </c>
      <c r="K140" s="31" t="n">
        <f aca="false">IF(ISNUMBER(K141),ROUND(K139-K141,1),"n/p")</f>
        <v>0.9</v>
      </c>
      <c r="L140" s="31" t="n">
        <f aca="false">IF(ISNUMBER(L141),ROUND(L139-L141,1),"n/p")</f>
        <v>1</v>
      </c>
      <c r="M140" s="31" t="n">
        <f aca="false">IF(ISNUMBER(M141),ROUND(M139-M141,1),"n/p")</f>
        <v>1.4</v>
      </c>
      <c r="N140" s="31" t="n">
        <f aca="false">IF(ISNUMBER(N141),ROUND(N139-N141,1),"n/p")</f>
        <v>10.7</v>
      </c>
      <c r="O140" s="31" t="n">
        <f aca="false">IF(ISNUMBER(O141),ROUND(O139-O141,1),"n/p")</f>
        <v>2.5</v>
      </c>
      <c r="P140" s="31" t="n">
        <f aca="false">IF(ISNUMBER(P141),ROUND(P139-P141,1),"n/p")</f>
        <v>2.2</v>
      </c>
      <c r="Q140" s="31" t="n">
        <f aca="false">IF(ISNUMBER(Q141),ROUND(Q139-Q141,1),"n/p")</f>
        <v>0.7</v>
      </c>
      <c r="R140" s="31" t="n">
        <f aca="false">IF(ISNUMBER(R141),ROUND(R139-R141,1),"n/p")</f>
        <v>2.9</v>
      </c>
      <c r="S140" s="31" t="n">
        <f aca="false">IF(ISNUMBER(S141),ROUND(S139-S141,1),"n/p")</f>
        <v>-3.2</v>
      </c>
      <c r="T140" s="31" t="n">
        <f aca="false">IF(ISNUMBER(T141),ROUND(T139-T141,1),"n/p")</f>
        <v>1.9</v>
      </c>
      <c r="U140" s="31" t="n">
        <f aca="false">IF(ISNUMBER(U141),ROUND(U139-U141,1),"n/p")</f>
        <v>4.2</v>
      </c>
      <c r="V140" s="31" t="str">
        <f aca="false">IF(ISNUMBER(V141),ROUND(V139-V141,1),"n/p")</f>
        <v>n/p</v>
      </c>
      <c r="W140" s="31" t="str">
        <f aca="false">IF(ISNUMBER(W141),ROUND(W139-W141,1),"n/p")</f>
        <v>n/p</v>
      </c>
      <c r="X140" s="31" t="str">
        <f aca="false">IF(ISNUMBER(X141),ROUND(X139-X141,1),"n/p")</f>
        <v>n/p</v>
      </c>
      <c r="Y140" s="31" t="str">
        <f aca="false">IF(ISNUMBER(Y141),ROUND(Y139-Y141,1),"n/p")</f>
        <v>n/p</v>
      </c>
      <c r="Z140" s="31" t="str">
        <f aca="false">IF(ISNUMBER(Z141),ROUND(Z139-Z141,1),"n/p")</f>
        <v>n/p</v>
      </c>
      <c r="AA140" s="31" t="str">
        <f aca="false">IF(ISNUMBER(AA141),ROUND(AA139-AA141,1),"n/p")</f>
        <v>n/p</v>
      </c>
      <c r="AB140" s="31" t="str">
        <f aca="false">IF(ISNUMBER(AB141),ROUND(AB139-AB141,1),"n/p")</f>
        <v>n/p</v>
      </c>
      <c r="AC140" s="31" t="str">
        <f aca="false">IF(ISNUMBER(AC141),ROUND(AC139-AC141,1),"n/p")</f>
        <v>n/p</v>
      </c>
      <c r="AD140" s="31" t="str">
        <f aca="false">IF(ISNUMBER(AD141),ROUND(AD139-AD141,1),"n/p")</f>
        <v>n/p</v>
      </c>
      <c r="AE140" s="31" t="str">
        <f aca="false">IF(ISNUMBER(AE141),ROUND(AE139-AE141,1),"n/p")</f>
        <v>n/p</v>
      </c>
      <c r="AF140" s="31" t="str">
        <f aca="false">IF(ISNUMBER(AF141),ROUND(AF139-AF141,1),"n/p")</f>
        <v>n/p</v>
      </c>
      <c r="AG140" s="31" t="str">
        <f aca="false">IF(ISNUMBER(AG141),ROUND(AG139-AG141,1),"n/p")</f>
        <v>n/p</v>
      </c>
      <c r="AH140" s="31" t="str">
        <f aca="false">IF(ISNUMBER(AH141),ROUND(AH139-AH141,1),"n/p")</f>
        <v>n/p</v>
      </c>
      <c r="AI140" s="31" t="str">
        <f aca="false">IF(ISNUMBER(AI141),ROUND(AI139-AI141,1),"n/p")</f>
        <v>n/p</v>
      </c>
      <c r="AJ140" s="31" t="str">
        <f aca="false">IF(ISNUMBER(AJ141),ROUND(AJ139-AJ141,1),"n/p")</f>
        <v>n/p</v>
      </c>
      <c r="AK140" s="31" t="str">
        <f aca="false">IF(ISNUMBER(AK141),ROUND(AK139-AK141,1),"n/p")</f>
        <v>n/p</v>
      </c>
      <c r="AL140" s="31" t="str">
        <f aca="false">IF(ISNUMBER(AL141),ROUND(AL139-AL141,1),"n/p")</f>
        <v>n/p</v>
      </c>
      <c r="AM140" s="31" t="str">
        <f aca="false">IF(ISNUMBER(AM141),ROUND(AM139-AM141,1),"n/p")</f>
        <v>n/p</v>
      </c>
      <c r="AN140" s="31" t="str">
        <f aca="false">IF(ISNUMBER(AN141),ROUND(AN139-AN141,1),"n/p")</f>
        <v>n/p</v>
      </c>
      <c r="AO140" s="31" t="str">
        <f aca="false">IF(ISNUMBER(AO141),ROUND(AO139-AO141,1),"n/p")</f>
        <v>n/p</v>
      </c>
      <c r="AP140" s="31" t="str">
        <f aca="false">IF(ISNUMBER(AP141),ROUND(AP139-AP141,1),"n/p")</f>
        <v>n/p</v>
      </c>
      <c r="AQ140" s="31" t="str">
        <f aca="false">IF(ISNUMBER(AQ141),ROUND(AQ139-AQ141,1),"n/p")</f>
        <v>n/p</v>
      </c>
      <c r="AR140" s="31" t="str">
        <f aca="false">IF(ISNUMBER(AR141),ROUND(AR139-AR141,1),"n/p")</f>
        <v>n/p</v>
      </c>
      <c r="AS140" s="31" t="str">
        <f aca="false">IF(ISNUMBER(AS141),ROUND(AS139-AS141,1),"n/p")</f>
        <v>n/p</v>
      </c>
      <c r="AT140" s="31" t="str">
        <f aca="false">IF(ISNUMBER(AT141),ROUND(AT139-AT141,1),"n/p")</f>
        <v>n/p</v>
      </c>
      <c r="AU140" s="31" t="str">
        <f aca="false">IF(ISNUMBER(AU141),ROUND(AU139-AU141,1),"n/p")</f>
        <v>n/p</v>
      </c>
      <c r="AV140" s="31" t="str">
        <f aca="false">IF(ISNUMBER(AV141),ROUND(AV139-AV141,1),"n/p")</f>
        <v>n/p</v>
      </c>
      <c r="AW140" s="31" t="n">
        <f aca="false">IF(ISNUMBER(AW141),ROUND(AW139-AW141,1),"n/p")</f>
        <v>0</v>
      </c>
      <c r="AX140" s="31" t="n">
        <f aca="false">IF(ISNUMBER(AX141),ROUND(AX139-AX141,1),"n/p")</f>
        <v>0</v>
      </c>
      <c r="AY140" s="31" t="n">
        <f aca="false">IF(ISNUMBER(AY141),ROUND(AY139-AY141,1),"n/p")</f>
        <v>0</v>
      </c>
      <c r="AZ140" s="31" t="n">
        <f aca="false">IF(ISNUMBER(AZ141),ROUND(AZ139-AZ141,1),"n/p")</f>
        <v>0</v>
      </c>
      <c r="BA140" s="31" t="n">
        <f aca="false">IF(ISNUMBER(BA141),ROUND(BA139-BA141,1),"n/p")</f>
        <v>0</v>
      </c>
      <c r="BB140" s="31" t="n">
        <f aca="false">IF(ISNUMBER(BB141),ROUND(BB139-BB141,1),"n/p")</f>
        <v>0</v>
      </c>
      <c r="BC140" s="31" t="n">
        <f aca="false">IF(ISNUMBER(BC141),ROUND(BC139-BC141,1),"n/p")</f>
        <v>0</v>
      </c>
      <c r="BD140" s="31" t="n">
        <f aca="false">IF(ISNUMBER(BD141),ROUND(BD139-BD141,1),"n/p")</f>
        <v>0</v>
      </c>
      <c r="BE140" s="31" t="n">
        <f aca="false">IF(ISNUMBER(BE141),ROUND(BE139-BE141,1),"n/p")</f>
        <v>0</v>
      </c>
      <c r="BF140" s="31" t="n">
        <f aca="false">IF(ISNUMBER(BF141),ROUND(BF139-BF141,1),"n/p")</f>
        <v>0</v>
      </c>
      <c r="BG140" s="31" t="n">
        <f aca="false">IF(ISNUMBER(BG141),ROUND(BG139-BG141,1),"n/p")</f>
        <v>0</v>
      </c>
      <c r="BH140" s="31" t="n">
        <f aca="false">IF(ISNUMBER(BH141),ROUND(BH139-BH141,1),"n/p")</f>
        <v>0</v>
      </c>
      <c r="BI140" s="31" t="n">
        <f aca="false">IF(ISNUMBER(BI141),ROUND(BI139-BI141,1),"n/p")</f>
        <v>0</v>
      </c>
      <c r="BJ140" s="31" t="n">
        <f aca="false">IF(ISNUMBER(BJ141),ROUND(BJ139-BJ141,1),"n/p")</f>
        <v>-0</v>
      </c>
      <c r="BK140" s="31" t="n">
        <f aca="false">IF(ISNUMBER(BK141),ROUND(BK139-BK141,1),"n/p")</f>
        <v>0</v>
      </c>
      <c r="BL140" s="31" t="n">
        <f aca="false">IF(ISNUMBER(BL141),ROUND(BL139-BL141,1),"n/p")</f>
        <v>0</v>
      </c>
      <c r="BM140" s="31" t="n">
        <f aca="false">IF(ISNUMBER(BM141),ROUND(BM139-BM141,1),"n/p")</f>
        <v>0</v>
      </c>
      <c r="BN140" s="31" t="n">
        <f aca="false">IF(ISNUMBER(BN141),ROUND(BN139-BN141,1),"n/p")</f>
        <v>0</v>
      </c>
      <c r="BO140" s="31" t="n">
        <f aca="false">IF(ISNUMBER(BO141),ROUND(BO139-BO141,1),"n/p")</f>
        <v>0</v>
      </c>
      <c r="BP140" s="31" t="n">
        <f aca="false">IF(ISNUMBER(BP141),ROUND(BP139-BP141,1),"n/p")</f>
        <v>0</v>
      </c>
      <c r="BQ140" s="31" t="n">
        <f aca="false">IF(ISNUMBER(BQ141),ROUND(BQ139-BQ141,1),"n/p")</f>
        <v>0</v>
      </c>
      <c r="BR140" s="31" t="n">
        <f aca="false">IF(ISNUMBER(BR141),ROUND(BR139-BR141,1),"n/p")</f>
        <v>0</v>
      </c>
      <c r="BS140" s="31" t="n">
        <f aca="false">IF(ISNUMBER(BS141),ROUND(BS139-BS141,1),"n/p")</f>
        <v>0</v>
      </c>
      <c r="BT140" s="31" t="n">
        <f aca="false">IF(ISNUMBER(BT141),ROUND(BT139-BT141,1),"n/p")</f>
        <v>0</v>
      </c>
      <c r="BU140" s="31" t="n">
        <f aca="false">IF(ISNUMBER(BU141),ROUND(BU139-BU141,1),"n/p")</f>
        <v>0</v>
      </c>
      <c r="BV140" s="31" t="n">
        <f aca="false">IF(ISNUMBER(BV141),ROUND(BV139-BV141,1),"n/p")</f>
        <v>0</v>
      </c>
      <c r="BW140" s="31" t="n">
        <f aca="false">IF(ISNUMBER(BW141),ROUND(BW139-BW141,1),"n/p")</f>
        <v>0</v>
      </c>
      <c r="BX140" s="31" t="n">
        <f aca="false">IF(ISNUMBER(BX141),ROUND(BX139-BX141,1),"n/p")</f>
        <v>0</v>
      </c>
      <c r="BY140" s="31" t="n">
        <f aca="false">IF(ISNUMBER(BY141),ROUND(BY139-BY141,1),"n/p")</f>
        <v>0</v>
      </c>
      <c r="BZ140" s="31" t="n">
        <f aca="false">IF(ISNUMBER(BZ141),ROUND(BZ139-BZ141,1),"n/p")</f>
        <v>0</v>
      </c>
      <c r="CA140" s="31" t="n">
        <f aca="false">IF(ISNUMBER(CA141),ROUND(CA139-CA141,1),"n/p")</f>
        <v>0</v>
      </c>
      <c r="CB140" s="31" t="n">
        <f aca="false">IF(ISNUMBER(CB141),ROUND(CB139-CB141,1),"n/p")</f>
        <v>0</v>
      </c>
      <c r="CC140" s="31" t="n">
        <f aca="false">IF(ISNUMBER(CC141),ROUND(CC139-CC141,1),"n/p")</f>
        <v>0</v>
      </c>
      <c r="CD140" s="31" t="n">
        <f aca="false">IF(ISNUMBER(CD141),ROUND(CD139-CD141,1),"n/p")</f>
        <v>0</v>
      </c>
      <c r="CE140" s="31" t="n">
        <f aca="false">IF(ISNUMBER(CE141),ROUND(CE139-CE141,1),"n/p")</f>
        <v>0</v>
      </c>
      <c r="CF140" s="31" t="n">
        <f aca="false">IF(ISNUMBER(CF141),ROUND(CF139-CF141,1),"n/p")</f>
        <v>0</v>
      </c>
      <c r="CG140" s="31" t="n">
        <f aca="false">IF(ISNUMBER(CG141),ROUND(CG139-CG141,1),"n/p")</f>
        <v>0</v>
      </c>
      <c r="CH140" s="31" t="n">
        <f aca="false">IF(ISNUMBER(CH141),ROUND(CH139-CH141,1),"n/p")</f>
        <v>0</v>
      </c>
      <c r="CI140" s="31" t="n">
        <f aca="false">IF(ISNUMBER(CI141),ROUND(CI139-CI141,1),"n/p")</f>
        <v>0</v>
      </c>
      <c r="CJ140" s="31" t="n">
        <f aca="false">IF(ISNUMBER(CJ141),ROUND(CJ139-CJ141,1),"n/p")</f>
        <v>0</v>
      </c>
      <c r="CK140" s="31" t="n">
        <f aca="false">IF(ISNUMBER(CK141),ROUND(CK139-CK141,1),"n/p")</f>
        <v>0</v>
      </c>
      <c r="CL140" s="31" t="n">
        <f aca="false">IF(ISNUMBER(CL141),ROUND(CL139-CL141,1),"n/p")</f>
        <v>0</v>
      </c>
      <c r="CM140" s="32"/>
      <c r="CN140" s="32"/>
      <c r="CO140" s="32"/>
      <c r="CP140" s="32"/>
      <c r="CQ140" s="32"/>
      <c r="CR140" s="32"/>
      <c r="CS140" s="32"/>
      <c r="CT140" s="23"/>
      <c r="CV140" s="7"/>
      <c r="CW140" s="7"/>
      <c r="CX140" s="7"/>
      <c r="CY140" s="7"/>
    </row>
    <row r="141" customFormat="false" ht="15" hidden="false" customHeight="true" outlineLevel="0" collapsed="false">
      <c r="B141" s="39" t="s">
        <v>276</v>
      </c>
      <c r="C141" s="31"/>
      <c r="D141" s="31"/>
      <c r="E141" s="31"/>
      <c r="F141" s="31"/>
      <c r="G141" s="31"/>
      <c r="H141" s="31"/>
      <c r="I141" s="31"/>
      <c r="J141" s="40" t="n">
        <v>31.928</v>
      </c>
      <c r="K141" s="40" t="n">
        <v>52.354</v>
      </c>
      <c r="L141" s="31" t="n">
        <f aca="false">J141+K141</f>
        <v>84.282</v>
      </c>
      <c r="M141" s="40" t="n">
        <v>36.213</v>
      </c>
      <c r="N141" s="40" t="n">
        <v>49.164</v>
      </c>
      <c r="O141" s="40" t="n">
        <v>180.239</v>
      </c>
      <c r="P141" s="40" t="n">
        <v>28.316</v>
      </c>
      <c r="Q141" s="40" t="n">
        <v>62.706</v>
      </c>
      <c r="R141" s="31" t="n">
        <f aca="false">P141+Q141</f>
        <v>91.022</v>
      </c>
      <c r="S141" s="40" t="n">
        <v>31.211</v>
      </c>
      <c r="T141" s="40" t="n">
        <v>52.76</v>
      </c>
      <c r="U141" s="40" t="n">
        <v>172.463</v>
      </c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40" t="n">
        <v>59.297</v>
      </c>
      <c r="AX141" s="40" t="n">
        <v>91.857</v>
      </c>
      <c r="AY141" s="40" t="n">
        <v>298.739</v>
      </c>
      <c r="AZ141" s="40" t="n">
        <v>56.08</v>
      </c>
      <c r="BA141" s="40" t="n">
        <v>107.121</v>
      </c>
      <c r="BB141" s="31" t="n">
        <f aca="false">AZ141+BA141</f>
        <v>163.201</v>
      </c>
      <c r="BC141" s="40" t="n">
        <v>87.59</v>
      </c>
      <c r="BD141" s="40" t="n">
        <v>93.248</v>
      </c>
      <c r="BE141" s="40" t="n">
        <v>344.039</v>
      </c>
      <c r="BF141" s="40" t="n">
        <v>66.271</v>
      </c>
      <c r="BG141" s="40" t="n">
        <v>112.316</v>
      </c>
      <c r="BH141" s="31" t="n">
        <f aca="false">BF141+BG141</f>
        <v>178.587</v>
      </c>
      <c r="BI141" s="40" t="n">
        <v>75.753</v>
      </c>
      <c r="BJ141" s="40" t="n">
        <v>74.371</v>
      </c>
      <c r="BK141" s="40" t="n">
        <v>328.712</v>
      </c>
      <c r="BL141" s="40" t="n">
        <v>258.704</v>
      </c>
      <c r="BM141" s="40" t="n">
        <v>116.933</v>
      </c>
      <c r="BN141" s="31" t="n">
        <f aca="false">BL141+BM141</f>
        <v>375.637</v>
      </c>
      <c r="BO141" s="40" t="n">
        <v>89.283</v>
      </c>
      <c r="BP141" s="40" t="n">
        <v>89.132</v>
      </c>
      <c r="BQ141" s="40" t="n">
        <v>554.052</v>
      </c>
      <c r="BR141" s="40" t="n">
        <v>13.3</v>
      </c>
      <c r="BS141" s="40" t="n">
        <v>289</v>
      </c>
      <c r="BT141" s="31" t="n">
        <f aca="false">BR141+BS141</f>
        <v>302.3</v>
      </c>
      <c r="BU141" s="40" t="n">
        <v>246.6</v>
      </c>
      <c r="BV141" s="40" t="n">
        <v>277.4</v>
      </c>
      <c r="BW141" s="40" t="n">
        <v>826.4</v>
      </c>
      <c r="BX141" s="40" t="n">
        <v>304.9</v>
      </c>
      <c r="BY141" s="40" t="n">
        <v>311</v>
      </c>
      <c r="BZ141" s="31" t="n">
        <f aca="false">BX141+BY141</f>
        <v>615.9</v>
      </c>
      <c r="CA141" s="40" t="n">
        <v>264.4</v>
      </c>
      <c r="CB141" s="40" t="n">
        <v>321.7</v>
      </c>
      <c r="CC141" s="40" t="n">
        <v>1202</v>
      </c>
      <c r="CD141" s="40" t="n">
        <v>304.3</v>
      </c>
      <c r="CE141" s="40" t="n">
        <v>305.7</v>
      </c>
      <c r="CF141" s="31" t="n">
        <f aca="false">CD141+CE141</f>
        <v>610</v>
      </c>
      <c r="CG141" s="40" t="n">
        <v>281</v>
      </c>
      <c r="CH141" s="40" t="n">
        <v>304.7</v>
      </c>
      <c r="CI141" s="40" t="n">
        <v>1195.7</v>
      </c>
      <c r="CJ141" s="40" t="n">
        <v>341.3</v>
      </c>
      <c r="CK141" s="40" t="n">
        <v>355.5</v>
      </c>
      <c r="CL141" s="31" t="n">
        <f aca="false">CJ141+CK141</f>
        <v>696.8</v>
      </c>
      <c r="CM141" s="32"/>
      <c r="CN141" s="32"/>
      <c r="CO141" s="32"/>
      <c r="CP141" s="32"/>
      <c r="CQ141" s="32"/>
      <c r="CR141" s="32"/>
      <c r="CS141" s="32"/>
      <c r="CT141" s="23"/>
      <c r="CV141" s="7"/>
      <c r="CW141" s="7"/>
      <c r="CX141" s="7"/>
      <c r="CY141" s="7"/>
    </row>
    <row r="142" customFormat="false" ht="15" hidden="false" customHeight="true" outlineLevel="0" collapsed="false">
      <c r="B142" s="39" t="s">
        <v>277</v>
      </c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2"/>
      <c r="CN142" s="32"/>
      <c r="CO142" s="32"/>
      <c r="CP142" s="32"/>
      <c r="CQ142" s="32"/>
      <c r="CR142" s="32"/>
      <c r="CS142" s="32"/>
      <c r="CT142" s="23"/>
      <c r="CV142" s="7"/>
      <c r="CW142" s="7"/>
      <c r="CX142" s="7"/>
      <c r="CY142" s="7"/>
    </row>
    <row r="143" customFormat="false" ht="15" hidden="false" customHeight="true" outlineLevel="0" collapsed="false">
      <c r="B143" s="13" t="s">
        <v>278</v>
      </c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40" t="n">
        <v>5.66</v>
      </c>
      <c r="AX143" s="40" t="n">
        <v>0.277</v>
      </c>
      <c r="AY143" s="40" t="n">
        <v>16.405</v>
      </c>
      <c r="AZ143" s="40" t="n">
        <v>2.406</v>
      </c>
      <c r="BA143" s="40" t="n">
        <v>6.355</v>
      </c>
      <c r="BB143" s="31" t="n">
        <f aca="false">AZ143+BA143</f>
        <v>8.761</v>
      </c>
      <c r="BC143" s="40" t="n">
        <v>8.568</v>
      </c>
      <c r="BD143" s="40" t="n">
        <v>4.553</v>
      </c>
      <c r="BE143" s="40" t="n">
        <v>21.882</v>
      </c>
      <c r="BF143" s="40" t="n">
        <v>3.778</v>
      </c>
      <c r="BG143" s="40" t="n">
        <v>7.54</v>
      </c>
      <c r="BH143" s="31" t="n">
        <f aca="false">BF143+BG143</f>
        <v>11.318</v>
      </c>
      <c r="BI143" s="40" t="n">
        <v>5.627</v>
      </c>
      <c r="BJ143" s="40" t="n">
        <v>6.16</v>
      </c>
      <c r="BK143" s="40" t="n">
        <v>23.106</v>
      </c>
      <c r="BL143" s="40" t="n">
        <v>5.386</v>
      </c>
      <c r="BM143" s="40" t="n">
        <v>13.64</v>
      </c>
      <c r="BN143" s="31" t="n">
        <f aca="false">BL143+BM143</f>
        <v>19.026</v>
      </c>
      <c r="BO143" s="40" t="n">
        <v>8.806</v>
      </c>
      <c r="BP143" s="40" t="n">
        <v>9.128</v>
      </c>
      <c r="BQ143" s="40" t="n">
        <v>36.961</v>
      </c>
      <c r="BR143" s="40" t="n">
        <v>6.7</v>
      </c>
      <c r="BS143" s="40" t="n">
        <v>12.3</v>
      </c>
      <c r="BT143" s="31" t="n">
        <f aca="false">BR143+BS143</f>
        <v>19</v>
      </c>
      <c r="BU143" s="40" t="n">
        <v>12.7</v>
      </c>
      <c r="BV143" s="40" t="n">
        <v>13.8</v>
      </c>
      <c r="BW143" s="40" t="n">
        <v>45.5</v>
      </c>
      <c r="BX143" s="40" t="n">
        <v>13.3</v>
      </c>
      <c r="BY143" s="40" t="n">
        <v>18.1</v>
      </c>
      <c r="BZ143" s="31" t="n">
        <f aca="false">BX143+BY143</f>
        <v>31.4</v>
      </c>
      <c r="CA143" s="40" t="n">
        <v>9.7</v>
      </c>
      <c r="CB143" s="40" t="n">
        <v>15.2</v>
      </c>
      <c r="CC143" s="40" t="n">
        <v>56.3</v>
      </c>
      <c r="CD143" s="40" t="n">
        <v>14.4</v>
      </c>
      <c r="CE143" s="40" t="n">
        <v>25.2</v>
      </c>
      <c r="CF143" s="31" t="n">
        <f aca="false">CD143+CE143</f>
        <v>39.6</v>
      </c>
      <c r="CG143" s="40" t="n">
        <v>21.6</v>
      </c>
      <c r="CH143" s="40" t="n">
        <v>15.5</v>
      </c>
      <c r="CI143" s="40" t="n">
        <v>76.7</v>
      </c>
      <c r="CJ143" s="40" t="n">
        <v>15.3</v>
      </c>
      <c r="CK143" s="40" t="n">
        <v>17.9</v>
      </c>
      <c r="CL143" s="31" t="n">
        <f aca="false">CJ143+CK143</f>
        <v>33.2</v>
      </c>
      <c r="CM143" s="49" t="n">
        <v>18</v>
      </c>
      <c r="CN143" s="49" t="n">
        <v>18</v>
      </c>
      <c r="CO143" s="32" t="n">
        <f aca="false">SUM(CJ143,CK143,CM143,CN143)</f>
        <v>69.2</v>
      </c>
      <c r="CP143" s="49" t="n">
        <v>75</v>
      </c>
      <c r="CQ143" s="49" t="n">
        <v>80</v>
      </c>
      <c r="CR143" s="49" t="n">
        <v>85</v>
      </c>
      <c r="CS143" s="49" t="n">
        <v>90</v>
      </c>
      <c r="CT143" s="23" t="s">
        <v>279</v>
      </c>
      <c r="CV143" s="7"/>
      <c r="CW143" s="7"/>
      <c r="CX143" s="7"/>
      <c r="CY143" s="7"/>
    </row>
    <row r="144" customFormat="false" ht="15" hidden="false" customHeight="true" outlineLevel="0" collapsed="false">
      <c r="B144" s="13" t="s">
        <v>280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40" t="n">
        <v>13.815</v>
      </c>
      <c r="AJ144" s="31" t="n">
        <f aca="false">N(AH144)+N(AI144)</f>
        <v>13.815</v>
      </c>
      <c r="AK144" s="31"/>
      <c r="AL144" s="31"/>
      <c r="AM144" s="40" t="n">
        <v>13.815</v>
      </c>
      <c r="AN144" s="31"/>
      <c r="AO144" s="31"/>
      <c r="AP144" s="31"/>
      <c r="AQ144" s="31"/>
      <c r="AR144" s="31"/>
      <c r="AS144" s="31"/>
      <c r="AT144" s="31"/>
      <c r="AU144" s="31"/>
      <c r="AV144" s="31"/>
      <c r="AW144" s="40" t="n">
        <v>0.045</v>
      </c>
      <c r="AX144" s="40" t="n">
        <v>0.025</v>
      </c>
      <c r="AY144" s="40" t="n">
        <v>0.777</v>
      </c>
      <c r="AZ144" s="40" t="n">
        <v>0</v>
      </c>
      <c r="BA144" s="40" t="n">
        <v>0</v>
      </c>
      <c r="BB144" s="31" t="n">
        <f aca="false">AZ144+BA144</f>
        <v>0</v>
      </c>
      <c r="BC144" s="40" t="n">
        <v>0</v>
      </c>
      <c r="BD144" s="40" t="n">
        <v>6.014</v>
      </c>
      <c r="BE144" s="40" t="n">
        <v>6.014</v>
      </c>
      <c r="BF144" s="40" t="n">
        <v>2.922</v>
      </c>
      <c r="BG144" s="40" t="n">
        <v>3.049</v>
      </c>
      <c r="BH144" s="31" t="n">
        <f aca="false">BF144+BG144</f>
        <v>5.971</v>
      </c>
      <c r="BI144" s="40" t="n">
        <v>10.255</v>
      </c>
      <c r="BJ144" s="40" t="n">
        <v>13.971</v>
      </c>
      <c r="BK144" s="40" t="n">
        <v>30.197</v>
      </c>
      <c r="BL144" s="40" t="n">
        <v>9.637</v>
      </c>
      <c r="BM144" s="40" t="n">
        <v>3.399</v>
      </c>
      <c r="BN144" s="31" t="n">
        <f aca="false">BL144+BM144</f>
        <v>13.036</v>
      </c>
      <c r="BO144" s="40" t="n">
        <v>2.031</v>
      </c>
      <c r="BP144" s="40" t="n">
        <v>22.194</v>
      </c>
      <c r="BQ144" s="40" t="n">
        <v>37.261</v>
      </c>
      <c r="BR144" s="40" t="n">
        <v>126.2</v>
      </c>
      <c r="BS144" s="40" t="n">
        <v>46.3</v>
      </c>
      <c r="BT144" s="31" t="n">
        <f aca="false">BR144+BS144</f>
        <v>172.5</v>
      </c>
      <c r="BU144" s="40" t="n">
        <v>23.1</v>
      </c>
      <c r="BV144" s="40" t="n">
        <v>20.5</v>
      </c>
      <c r="BW144" s="40" t="n">
        <v>216.1</v>
      </c>
      <c r="BX144" s="40" t="n">
        <v>12.8</v>
      </c>
      <c r="BY144" s="40" t="n">
        <v>4.1</v>
      </c>
      <c r="BZ144" s="31" t="n">
        <f aca="false">BX144+BY144</f>
        <v>16.9</v>
      </c>
      <c r="CA144" s="40" t="n">
        <v>6</v>
      </c>
      <c r="CB144" s="40" t="n">
        <v>6.1</v>
      </c>
      <c r="CC144" s="40" t="n">
        <v>29</v>
      </c>
      <c r="CD144" s="40" t="n">
        <v>3.1</v>
      </c>
      <c r="CE144" s="40" t="n">
        <v>2.7</v>
      </c>
      <c r="CF144" s="31" t="n">
        <f aca="false">CD144+CE144</f>
        <v>5.8</v>
      </c>
      <c r="CG144" s="40" t="n">
        <v>4</v>
      </c>
      <c r="CH144" s="40" t="n">
        <v>9.6</v>
      </c>
      <c r="CI144" s="40" t="n">
        <v>19.4</v>
      </c>
      <c r="CJ144" s="40" t="n">
        <v>6.2</v>
      </c>
      <c r="CK144" s="40" t="n">
        <v>7.7</v>
      </c>
      <c r="CL144" s="31" t="n">
        <f aca="false">CJ144+CK144</f>
        <v>13.9</v>
      </c>
      <c r="CM144" s="49" t="n">
        <v>6</v>
      </c>
      <c r="CN144" s="49" t="n">
        <v>6</v>
      </c>
      <c r="CO144" s="32" t="n">
        <f aca="false">SUM(CJ144,CK144,CM144,CN144)</f>
        <v>25.9</v>
      </c>
      <c r="CP144" s="49" t="n">
        <v>10</v>
      </c>
      <c r="CQ144" s="49" t="n">
        <v>10</v>
      </c>
      <c r="CR144" s="49" t="n">
        <v>10</v>
      </c>
      <c r="CS144" s="49" t="n">
        <v>10</v>
      </c>
      <c r="CT144" s="23" t="s">
        <v>281</v>
      </c>
      <c r="CV144" s="7"/>
      <c r="CW144" s="7"/>
      <c r="CX144" s="7"/>
      <c r="CY144" s="7"/>
    </row>
    <row r="145" customFormat="false" ht="15" hidden="false" customHeight="true" outlineLevel="0" collapsed="false">
      <c r="B145" s="13" t="s">
        <v>282</v>
      </c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40" t="n">
        <v>5.5</v>
      </c>
      <c r="U145" s="40" t="n">
        <v>5.5</v>
      </c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40" t="n">
        <v>1.447</v>
      </c>
      <c r="AJ145" s="31" t="n">
        <f aca="false">N(AH145)+N(AI145)</f>
        <v>1.447</v>
      </c>
      <c r="AK145" s="31"/>
      <c r="AL145" s="40" t="n">
        <v>2.166</v>
      </c>
      <c r="AM145" s="40" t="n">
        <v>3.613</v>
      </c>
      <c r="AN145" s="31"/>
      <c r="AO145" s="31"/>
      <c r="AP145" s="31"/>
      <c r="AQ145" s="40" t="n">
        <v>1.501</v>
      </c>
      <c r="AR145" s="31"/>
      <c r="AS145" s="40" t="n">
        <v>1.501</v>
      </c>
      <c r="AT145" s="31"/>
      <c r="AU145" s="31"/>
      <c r="AV145" s="31"/>
      <c r="AW145" s="31"/>
      <c r="AX145" s="31"/>
      <c r="AY145" s="31"/>
      <c r="AZ145" s="40" t="n">
        <v>0</v>
      </c>
      <c r="BA145" s="40" t="n">
        <v>0</v>
      </c>
      <c r="BB145" s="31" t="n">
        <f aca="false">AZ145+BA145</f>
        <v>0</v>
      </c>
      <c r="BC145" s="40" t="n">
        <v>3.919</v>
      </c>
      <c r="BD145" s="31"/>
      <c r="BE145" s="40" t="n">
        <v>3.919</v>
      </c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40" t="n">
        <v>1.8</v>
      </c>
      <c r="CE145" s="40" t="n">
        <v>1.1</v>
      </c>
      <c r="CF145" s="31" t="n">
        <f aca="false">CD145+CE145</f>
        <v>2.9</v>
      </c>
      <c r="CG145" s="40" t="n">
        <v>10.2</v>
      </c>
      <c r="CH145" s="40" t="n">
        <v>4.1</v>
      </c>
      <c r="CI145" s="40" t="n">
        <v>17.2</v>
      </c>
      <c r="CJ145" s="40" t="n">
        <v>2.4</v>
      </c>
      <c r="CK145" s="40" t="n">
        <v>2.4</v>
      </c>
      <c r="CL145" s="31" t="n">
        <f aca="false">CJ145+CK145</f>
        <v>4.8</v>
      </c>
      <c r="CM145" s="49" t="n">
        <v>2.5</v>
      </c>
      <c r="CN145" s="49" t="n">
        <v>2.5</v>
      </c>
      <c r="CO145" s="32" t="n">
        <f aca="false">SUM(CJ145,CK145,CM145,CN145)</f>
        <v>9.8</v>
      </c>
      <c r="CP145" s="49" t="n">
        <v>5</v>
      </c>
      <c r="CQ145" s="49" t="n">
        <v>5</v>
      </c>
      <c r="CR145" s="49" t="n">
        <v>5</v>
      </c>
      <c r="CS145" s="49" t="n">
        <v>5</v>
      </c>
      <c r="CT145" s="23" t="s">
        <v>283</v>
      </c>
      <c r="CV145" s="7"/>
      <c r="CW145" s="7"/>
      <c r="CX145" s="7"/>
      <c r="CY145" s="7"/>
    </row>
    <row r="146" customFormat="false" ht="15" hidden="false" customHeight="true" outlineLevel="0" collapsed="false">
      <c r="B146" s="13" t="s">
        <v>284</v>
      </c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40" t="n">
        <v>-9.9</v>
      </c>
      <c r="P146" s="31"/>
      <c r="Q146" s="31"/>
      <c r="R146" s="31"/>
      <c r="S146" s="31"/>
      <c r="T146" s="31"/>
      <c r="U146" s="40" t="n">
        <v>-3.4</v>
      </c>
      <c r="V146" s="31"/>
      <c r="W146" s="31"/>
      <c r="X146" s="31"/>
      <c r="Y146" s="31"/>
      <c r="Z146" s="40" t="n">
        <v>-8.384</v>
      </c>
      <c r="AA146" s="40" t="n">
        <v>-8.384</v>
      </c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40" t="n">
        <v>-0.821</v>
      </c>
      <c r="AX146" s="40" t="n">
        <v>-0.036</v>
      </c>
      <c r="AY146" s="40" t="n">
        <v>-1.107</v>
      </c>
      <c r="AZ146" s="40" t="n">
        <v>-0.047</v>
      </c>
      <c r="BA146" s="40" t="n">
        <v>-1.213</v>
      </c>
      <c r="BB146" s="31" t="n">
        <f aca="false">AZ146+BA146</f>
        <v>-1.26</v>
      </c>
      <c r="BC146" s="40" t="n">
        <v>-0.276</v>
      </c>
      <c r="BD146" s="40" t="n">
        <v>-0.023</v>
      </c>
      <c r="BE146" s="40" t="n">
        <v>-1.559</v>
      </c>
      <c r="BF146" s="40" t="n">
        <v>-0.068</v>
      </c>
      <c r="BG146" s="40" t="n">
        <v>-0.175</v>
      </c>
      <c r="BH146" s="31" t="n">
        <f aca="false">BF146+BG146</f>
        <v>-0.243</v>
      </c>
      <c r="BI146" s="40" t="n">
        <v>-1.068</v>
      </c>
      <c r="BJ146" s="40" t="n">
        <v>-0.125</v>
      </c>
      <c r="BK146" s="40" t="n">
        <v>-1.436</v>
      </c>
      <c r="BL146" s="40" t="n">
        <v>-169.82</v>
      </c>
      <c r="BM146" s="40" t="n">
        <v>1.153</v>
      </c>
      <c r="BN146" s="31" t="n">
        <f aca="false">BL146+BM146</f>
        <v>-168.667</v>
      </c>
      <c r="BO146" s="40" t="n">
        <v>0.93</v>
      </c>
      <c r="BP146" s="40" t="n">
        <v>0.88</v>
      </c>
      <c r="BQ146" s="40" t="n">
        <v>-166.857</v>
      </c>
      <c r="BR146" s="31"/>
      <c r="BS146" s="40" t="n">
        <v>-1.5</v>
      </c>
      <c r="BT146" s="31" t="n">
        <f aca="false">N(BR146)+N(BS146)</f>
        <v>-1.5</v>
      </c>
      <c r="BU146" s="40" t="n">
        <v>0.6</v>
      </c>
      <c r="BV146" s="40" t="n">
        <v>0.2</v>
      </c>
      <c r="BW146" s="40" t="n">
        <v>-0.8</v>
      </c>
      <c r="BX146" s="40" t="n">
        <v>-1.8</v>
      </c>
      <c r="BY146" s="40" t="n">
        <v>0.4</v>
      </c>
      <c r="BZ146" s="31" t="n">
        <f aca="false">BX146+BY146</f>
        <v>-1.4</v>
      </c>
      <c r="CA146" s="40" t="n">
        <v>0.2</v>
      </c>
      <c r="CB146" s="31"/>
      <c r="CC146" s="40" t="n">
        <v>-1.2</v>
      </c>
      <c r="CD146" s="40" t="n">
        <v>-0.2</v>
      </c>
      <c r="CE146" s="31"/>
      <c r="CF146" s="31" t="n">
        <f aca="false">N(CD146)+N(CE146)</f>
        <v>-0.2</v>
      </c>
      <c r="CG146" s="40" t="n">
        <v>-1.2</v>
      </c>
      <c r="CH146" s="40" t="n">
        <v>-0.6</v>
      </c>
      <c r="CI146" s="40" t="n">
        <v>-2</v>
      </c>
      <c r="CJ146" s="40" t="n">
        <v>-1.8</v>
      </c>
      <c r="CK146" s="40" t="n">
        <v>0.9</v>
      </c>
      <c r="CL146" s="31" t="n">
        <f aca="false">CJ146+CK146</f>
        <v>-0.9</v>
      </c>
      <c r="CM146" s="49" t="n">
        <v>0</v>
      </c>
      <c r="CN146" s="49" t="n">
        <v>0</v>
      </c>
      <c r="CO146" s="32" t="n">
        <f aca="false">SUM(CJ146,CK146,CM146,CN146)</f>
        <v>-0.9</v>
      </c>
      <c r="CP146" s="49" t="n">
        <v>0</v>
      </c>
      <c r="CQ146" s="49" t="n">
        <v>0</v>
      </c>
      <c r="CR146" s="49" t="n">
        <v>0</v>
      </c>
      <c r="CS146" s="49" t="n">
        <v>0</v>
      </c>
      <c r="CT146" s="23"/>
      <c r="CV146" s="7"/>
      <c r="CW146" s="7"/>
      <c r="CX146" s="7"/>
      <c r="CY146" s="7"/>
    </row>
    <row r="147" customFormat="false" ht="15" hidden="false" customHeight="true" outlineLevel="0" collapsed="false">
      <c r="B147" s="13" t="s">
        <v>285</v>
      </c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40" t="n">
        <v>8.1</v>
      </c>
      <c r="V147" s="31"/>
      <c r="W147" s="31"/>
      <c r="X147" s="31"/>
      <c r="Y147" s="31"/>
      <c r="Z147" s="31"/>
      <c r="AA147" s="31"/>
      <c r="AB147" s="31"/>
      <c r="AC147" s="31"/>
      <c r="AD147" s="31"/>
      <c r="AE147" s="40" t="n">
        <v>28.243</v>
      </c>
      <c r="AF147" s="31"/>
      <c r="AG147" s="40" t="n">
        <v>28.243</v>
      </c>
      <c r="AH147" s="31"/>
      <c r="AI147" s="40" t="n">
        <v>8.911</v>
      </c>
      <c r="AJ147" s="31" t="n">
        <f aca="false">N(AH147)+N(AI147)</f>
        <v>8.911</v>
      </c>
      <c r="AK147" s="31"/>
      <c r="AL147" s="31"/>
      <c r="AM147" s="40" t="n">
        <v>8.911</v>
      </c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49" t="n">
        <v>0</v>
      </c>
      <c r="CN147" s="49" t="n">
        <v>0</v>
      </c>
      <c r="CO147" s="32" t="n">
        <f aca="false">SUM(CJ147,CK147,CM147,CN147)</f>
        <v>0</v>
      </c>
      <c r="CP147" s="49" t="n">
        <v>0</v>
      </c>
      <c r="CQ147" s="49" t="n">
        <v>0</v>
      </c>
      <c r="CR147" s="49" t="n">
        <v>0</v>
      </c>
      <c r="CS147" s="49" t="n">
        <v>0</v>
      </c>
      <c r="CT147" s="23"/>
      <c r="CV147" s="7"/>
      <c r="CW147" s="7"/>
      <c r="CX147" s="7"/>
      <c r="CY147" s="7"/>
    </row>
    <row r="148" customFormat="false" ht="15" hidden="false" customHeight="true" outlineLevel="0" collapsed="false">
      <c r="B148" s="13" t="s">
        <v>286</v>
      </c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40" t="n">
        <v>4.6</v>
      </c>
      <c r="O148" s="40" t="n">
        <v>4.6</v>
      </c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40" t="n">
        <v>9.8</v>
      </c>
      <c r="BV148" s="40" t="n">
        <v>2.2</v>
      </c>
      <c r="BW148" s="40" t="n">
        <v>12</v>
      </c>
      <c r="BX148" s="40" t="n">
        <v>1.7</v>
      </c>
      <c r="BY148" s="40" t="n">
        <v>2</v>
      </c>
      <c r="BZ148" s="31" t="n">
        <f aca="false">BX148+BY148</f>
        <v>3.7</v>
      </c>
      <c r="CA148" s="40" t="n">
        <v>0.6</v>
      </c>
      <c r="CB148" s="40" t="n">
        <v>2.4</v>
      </c>
      <c r="CC148" s="40" t="n">
        <v>6.7</v>
      </c>
      <c r="CD148" s="40" t="n">
        <v>2.7</v>
      </c>
      <c r="CE148" s="40" t="n">
        <v>3.1</v>
      </c>
      <c r="CF148" s="31" t="n">
        <f aca="false">CD148+CE148</f>
        <v>5.8</v>
      </c>
      <c r="CG148" s="40" t="n">
        <v>4.7</v>
      </c>
      <c r="CH148" s="40" t="n">
        <v>43.2</v>
      </c>
      <c r="CI148" s="40" t="n">
        <v>53.7</v>
      </c>
      <c r="CJ148" s="31"/>
      <c r="CK148" s="31"/>
      <c r="CL148" s="31"/>
      <c r="CM148" s="49" t="n">
        <v>0</v>
      </c>
      <c r="CN148" s="49" t="n">
        <v>0</v>
      </c>
      <c r="CO148" s="32" t="n">
        <f aca="false">SUM(CJ148,CK148,CM148,CN148)</f>
        <v>0</v>
      </c>
      <c r="CP148" s="49" t="n">
        <v>0</v>
      </c>
      <c r="CQ148" s="49" t="n">
        <v>0</v>
      </c>
      <c r="CR148" s="49" t="n">
        <v>0</v>
      </c>
      <c r="CS148" s="49" t="n">
        <v>0</v>
      </c>
      <c r="CT148" s="23"/>
      <c r="CV148" s="7"/>
      <c r="CW148" s="7"/>
      <c r="CX148" s="7"/>
      <c r="CY148" s="7"/>
    </row>
    <row r="149" customFormat="false" ht="15" hidden="false" customHeight="true" outlineLevel="0" collapsed="false">
      <c r="B149" s="13" t="s">
        <v>287</v>
      </c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40" t="n">
        <v>-4.935</v>
      </c>
      <c r="AR149" s="31"/>
      <c r="AS149" s="40" t="n">
        <v>-4.935</v>
      </c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40" t="n">
        <v>19.7</v>
      </c>
      <c r="CF149" s="31" t="n">
        <f aca="false">N(CD149)+N(CE149)</f>
        <v>19.7</v>
      </c>
      <c r="CG149" s="31"/>
      <c r="CH149" s="40" t="n">
        <v>-3.9</v>
      </c>
      <c r="CI149" s="40" t="n">
        <v>15.8</v>
      </c>
      <c r="CJ149" s="31"/>
      <c r="CK149" s="31"/>
      <c r="CL149" s="31"/>
      <c r="CM149" s="49" t="n">
        <v>0</v>
      </c>
      <c r="CN149" s="49" t="n">
        <v>0</v>
      </c>
      <c r="CO149" s="32" t="n">
        <f aca="false">SUM(CJ149,CK149,CM149,CN149)</f>
        <v>0</v>
      </c>
      <c r="CP149" s="49" t="n">
        <v>0</v>
      </c>
      <c r="CQ149" s="49" t="n">
        <v>0</v>
      </c>
      <c r="CR149" s="49" t="n">
        <v>0</v>
      </c>
      <c r="CS149" s="49" t="n">
        <v>0</v>
      </c>
      <c r="CT149" s="23"/>
      <c r="CV149" s="7"/>
      <c r="CW149" s="7"/>
      <c r="CX149" s="7"/>
      <c r="CY149" s="7"/>
    </row>
    <row r="150" customFormat="false" ht="15" hidden="false" customHeight="true" outlineLevel="0" collapsed="false">
      <c r="B150" s="13" t="s">
        <v>288</v>
      </c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40" t="n">
        <v>6.787</v>
      </c>
      <c r="AG150" s="40" t="n">
        <v>6.787</v>
      </c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40" t="n">
        <v>3.9</v>
      </c>
      <c r="CF150" s="31" t="n">
        <f aca="false">N(CD150)+N(CE150)</f>
        <v>3.9</v>
      </c>
      <c r="CG150" s="31"/>
      <c r="CH150" s="31"/>
      <c r="CI150" s="40" t="n">
        <v>3.9</v>
      </c>
      <c r="CJ150" s="31"/>
      <c r="CK150" s="31"/>
      <c r="CL150" s="31"/>
      <c r="CM150" s="49" t="n">
        <v>0</v>
      </c>
      <c r="CN150" s="49" t="n">
        <v>0</v>
      </c>
      <c r="CO150" s="32" t="n">
        <f aca="false">SUM(CJ150,CK150,CM150,CN150)</f>
        <v>0</v>
      </c>
      <c r="CP150" s="49" t="n">
        <v>0</v>
      </c>
      <c r="CQ150" s="49" t="n">
        <v>0</v>
      </c>
      <c r="CR150" s="49" t="n">
        <v>0</v>
      </c>
      <c r="CS150" s="49" t="n">
        <v>0</v>
      </c>
      <c r="CT150" s="23"/>
      <c r="CV150" s="7"/>
      <c r="CW150" s="7"/>
      <c r="CX150" s="7"/>
      <c r="CY150" s="7"/>
    </row>
    <row r="151" customFormat="false" ht="15" hidden="false" customHeight="true" outlineLevel="0" collapsed="false">
      <c r="B151" s="13" t="s">
        <v>289</v>
      </c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40" t="n">
        <v>0</v>
      </c>
      <c r="AZ151" s="31"/>
      <c r="BA151" s="31"/>
      <c r="BB151" s="31"/>
      <c r="BC151" s="31"/>
      <c r="BD151" s="40" t="n">
        <v>0</v>
      </c>
      <c r="BE151" s="31"/>
      <c r="BF151" s="40" t="n">
        <v>0</v>
      </c>
      <c r="BG151" s="40" t="n">
        <v>0.24</v>
      </c>
      <c r="BH151" s="31" t="n">
        <f aca="false">BF151+BG151</f>
        <v>0.24</v>
      </c>
      <c r="BI151" s="40" t="n">
        <v>0.68</v>
      </c>
      <c r="BJ151" s="40" t="n">
        <v>2.577</v>
      </c>
      <c r="BK151" s="40" t="n">
        <v>3.497</v>
      </c>
      <c r="BL151" s="40" t="n">
        <v>2.285</v>
      </c>
      <c r="BM151" s="40" t="n">
        <v>1.094</v>
      </c>
      <c r="BN151" s="31" t="n">
        <f aca="false">BL151+BM151</f>
        <v>3.379</v>
      </c>
      <c r="BO151" s="40" t="n">
        <v>1.494</v>
      </c>
      <c r="BP151" s="40" t="n">
        <v>0.188</v>
      </c>
      <c r="BQ151" s="40" t="n">
        <v>5.061</v>
      </c>
      <c r="BR151" s="40" t="n">
        <v>0.2</v>
      </c>
      <c r="BS151" s="40" t="n">
        <v>0.5</v>
      </c>
      <c r="BT151" s="31" t="n">
        <f aca="false">BR151+BS151</f>
        <v>0.7</v>
      </c>
      <c r="BU151" s="40" t="n">
        <v>0.6</v>
      </c>
      <c r="BV151" s="40" t="n">
        <v>0.7</v>
      </c>
      <c r="BW151" s="40" t="n">
        <v>2</v>
      </c>
      <c r="BX151" s="40" t="n">
        <v>2.2</v>
      </c>
      <c r="BY151" s="40" t="n">
        <v>7.7</v>
      </c>
      <c r="BZ151" s="31" t="n">
        <f aca="false">BX151+BY151</f>
        <v>9.9</v>
      </c>
      <c r="CA151" s="40" t="n">
        <v>2.2</v>
      </c>
      <c r="CB151" s="40" t="n">
        <v>1.3</v>
      </c>
      <c r="CC151" s="40" t="n">
        <v>13.4</v>
      </c>
      <c r="CD151" s="40" t="n">
        <v>1.8</v>
      </c>
      <c r="CE151" s="40" t="n">
        <v>3.1</v>
      </c>
      <c r="CF151" s="31" t="n">
        <f aca="false">CD151+CE151</f>
        <v>4.9</v>
      </c>
      <c r="CG151" s="40" t="n">
        <v>7.4</v>
      </c>
      <c r="CH151" s="40" t="n">
        <v>7</v>
      </c>
      <c r="CI151" s="40" t="n">
        <v>19.7</v>
      </c>
      <c r="CJ151" s="40" t="n">
        <v>-0.7</v>
      </c>
      <c r="CK151" s="40" t="n">
        <v>2.8</v>
      </c>
      <c r="CL151" s="31" t="n">
        <f aca="false">CJ151+CK151</f>
        <v>2.1</v>
      </c>
      <c r="CM151" s="49" t="n">
        <v>2</v>
      </c>
      <c r="CN151" s="49" t="n">
        <v>2</v>
      </c>
      <c r="CO151" s="32" t="n">
        <f aca="false">SUM(CJ151,CK151,CM151,CN151)</f>
        <v>6.1</v>
      </c>
      <c r="CP151" s="49" t="n">
        <v>6</v>
      </c>
      <c r="CQ151" s="49" t="n">
        <v>6</v>
      </c>
      <c r="CR151" s="49" t="n">
        <v>6</v>
      </c>
      <c r="CS151" s="49" t="n">
        <v>6</v>
      </c>
      <c r="CT151" s="23" t="s">
        <v>290</v>
      </c>
      <c r="CV151" s="7"/>
      <c r="CW151" s="7"/>
      <c r="CX151" s="7"/>
      <c r="CY151" s="7"/>
    </row>
    <row r="152" customFormat="false" ht="15" hidden="false" customHeight="true" outlineLevel="0" collapsed="false">
      <c r="B152" s="13" t="s">
        <v>291</v>
      </c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40" t="n">
        <v>0</v>
      </c>
      <c r="BE152" s="40" t="n">
        <v>0</v>
      </c>
      <c r="BF152" s="40" t="n">
        <v>0</v>
      </c>
      <c r="BG152" s="40" t="n">
        <v>0</v>
      </c>
      <c r="BH152" s="31" t="n">
        <f aca="false">BF152+BG152</f>
        <v>0</v>
      </c>
      <c r="BI152" s="31"/>
      <c r="BJ152" s="40" t="n">
        <v>1.248</v>
      </c>
      <c r="BK152" s="40" t="n">
        <v>1.248</v>
      </c>
      <c r="BL152" s="40" t="n">
        <v>-1.263</v>
      </c>
      <c r="BM152" s="40" t="n">
        <v>0</v>
      </c>
      <c r="BN152" s="31" t="n">
        <f aca="false">BL152+BM152</f>
        <v>-1.263</v>
      </c>
      <c r="BO152" s="31"/>
      <c r="BP152" s="40" t="n">
        <v>0</v>
      </c>
      <c r="BQ152" s="40" t="n">
        <v>-1.263</v>
      </c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49" t="n">
        <v>0</v>
      </c>
      <c r="CN152" s="49" t="n">
        <v>0</v>
      </c>
      <c r="CO152" s="32" t="n">
        <f aca="false">SUM(CJ152,CK152,CM152,CN152)</f>
        <v>0</v>
      </c>
      <c r="CP152" s="49" t="n">
        <v>0</v>
      </c>
      <c r="CQ152" s="49" t="n">
        <v>0</v>
      </c>
      <c r="CR152" s="49" t="n">
        <v>0</v>
      </c>
      <c r="CS152" s="49" t="n">
        <v>0</v>
      </c>
      <c r="CT152" s="23"/>
      <c r="CV152" s="7"/>
      <c r="CW152" s="7"/>
      <c r="CX152" s="7"/>
      <c r="CY152" s="7"/>
    </row>
    <row r="153" customFormat="false" ht="15" hidden="false" customHeight="true" outlineLevel="0" collapsed="false">
      <c r="B153" s="13" t="s">
        <v>292</v>
      </c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40" t="n">
        <v>-12.4</v>
      </c>
      <c r="BS153" s="40" t="n">
        <v>-39.7</v>
      </c>
      <c r="BT153" s="31" t="n">
        <f aca="false">BR153+BS153</f>
        <v>-52.1</v>
      </c>
      <c r="BU153" s="40" t="n">
        <v>-7.6</v>
      </c>
      <c r="BV153" s="40" t="n">
        <v>-7.3</v>
      </c>
      <c r="BW153" s="40" t="n">
        <v>-67</v>
      </c>
      <c r="BX153" s="40" t="n">
        <v>-2.1</v>
      </c>
      <c r="BY153" s="40" t="n">
        <v>-1.3</v>
      </c>
      <c r="BZ153" s="31" t="n">
        <f aca="false">BX153+BY153</f>
        <v>-3.4</v>
      </c>
      <c r="CA153" s="40" t="n">
        <v>-0.6</v>
      </c>
      <c r="CB153" s="40" t="n">
        <v>-0.7</v>
      </c>
      <c r="CC153" s="40" t="n">
        <v>-4.7</v>
      </c>
      <c r="CD153" s="31"/>
      <c r="CE153" s="31"/>
      <c r="CF153" s="31"/>
      <c r="CG153" s="31"/>
      <c r="CH153" s="31"/>
      <c r="CI153" s="40" t="n">
        <v>-0.5</v>
      </c>
      <c r="CJ153" s="31"/>
      <c r="CK153" s="31"/>
      <c r="CL153" s="31"/>
      <c r="CM153" s="49" t="n">
        <v>0</v>
      </c>
      <c r="CN153" s="49" t="n">
        <v>0</v>
      </c>
      <c r="CO153" s="32" t="n">
        <f aca="false">SUM(CJ153,CK153,CM153,CN153)</f>
        <v>0</v>
      </c>
      <c r="CP153" s="49" t="n">
        <v>0</v>
      </c>
      <c r="CQ153" s="49" t="n">
        <v>0</v>
      </c>
      <c r="CR153" s="49" t="n">
        <v>0</v>
      </c>
      <c r="CS153" s="49" t="n">
        <v>0</v>
      </c>
      <c r="CT153" s="23"/>
      <c r="CV153" s="7"/>
      <c r="CW153" s="7"/>
      <c r="CX153" s="7"/>
      <c r="CY153" s="7"/>
    </row>
    <row r="154" customFormat="false" ht="15" hidden="false" customHeight="true" outlineLevel="0" collapsed="false">
      <c r="B154" s="13" t="s">
        <v>293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40" t="n">
        <v>-1.4</v>
      </c>
      <c r="BS154" s="31"/>
      <c r="BT154" s="31" t="n">
        <f aca="false">N(BR154)+N(BS154)</f>
        <v>-1.4</v>
      </c>
      <c r="BU154" s="31"/>
      <c r="BV154" s="31"/>
      <c r="BW154" s="40" t="n">
        <v>-1.4</v>
      </c>
      <c r="BX154" s="31"/>
      <c r="BY154" s="31"/>
      <c r="BZ154" s="31"/>
      <c r="CA154" s="40" t="n">
        <v>1.2</v>
      </c>
      <c r="CB154" s="31"/>
      <c r="CC154" s="40" t="n">
        <v>1.2</v>
      </c>
      <c r="CD154" s="31"/>
      <c r="CE154" s="31"/>
      <c r="CF154" s="31"/>
      <c r="CG154" s="31"/>
      <c r="CH154" s="31"/>
      <c r="CI154" s="40" t="n">
        <v>0.1</v>
      </c>
      <c r="CJ154" s="31"/>
      <c r="CK154" s="31"/>
      <c r="CL154" s="31"/>
      <c r="CM154" s="49" t="n">
        <v>0</v>
      </c>
      <c r="CN154" s="49" t="n">
        <v>0</v>
      </c>
      <c r="CO154" s="32" t="n">
        <f aca="false">SUM(CJ154,CK154,CM154,CN154)</f>
        <v>0</v>
      </c>
      <c r="CP154" s="49" t="n">
        <v>0</v>
      </c>
      <c r="CQ154" s="49" t="n">
        <v>0</v>
      </c>
      <c r="CR154" s="49" t="n">
        <v>0</v>
      </c>
      <c r="CS154" s="49" t="n">
        <v>0</v>
      </c>
      <c r="CT154" s="23"/>
      <c r="CV154" s="7"/>
      <c r="CW154" s="7"/>
      <c r="CX154" s="7"/>
      <c r="CY154" s="7"/>
    </row>
    <row r="155" customFormat="false" ht="15" hidden="false" customHeight="true" outlineLevel="0" collapsed="false">
      <c r="B155" s="19" t="s">
        <v>294</v>
      </c>
      <c r="C155" s="20" t="n">
        <f aca="false">SUM(C143:C154)</f>
        <v>0</v>
      </c>
      <c r="D155" s="20" t="n">
        <f aca="false">SUM(D143:D154)</f>
        <v>0</v>
      </c>
      <c r="E155" s="20" t="n">
        <f aca="false">SUM(E143:E154)</f>
        <v>0</v>
      </c>
      <c r="F155" s="20" t="n">
        <f aca="false">SUM(F143:F154)</f>
        <v>0</v>
      </c>
      <c r="G155" s="20" t="n">
        <f aca="false">SUM(G143:G154)</f>
        <v>0</v>
      </c>
      <c r="H155" s="20" t="n">
        <f aca="false">SUM(H143:H154)</f>
        <v>0</v>
      </c>
      <c r="I155" s="20" t="n">
        <f aca="false">SUM(I143:I154)</f>
        <v>0</v>
      </c>
      <c r="J155" s="20" t="n">
        <f aca="false">SUM(J143:J154)</f>
        <v>0</v>
      </c>
      <c r="K155" s="20" t="n">
        <f aca="false">SUM(K143:K154)</f>
        <v>0</v>
      </c>
      <c r="L155" s="20" t="n">
        <f aca="false">SUM(L143:L154)</f>
        <v>0</v>
      </c>
      <c r="M155" s="20" t="n">
        <f aca="false">SUM(M143:M154)</f>
        <v>0</v>
      </c>
      <c r="N155" s="20" t="n">
        <f aca="false">SUM(N143:N154)</f>
        <v>4.6</v>
      </c>
      <c r="O155" s="20" t="n">
        <f aca="false">SUM(O143:O154)</f>
        <v>-5.3</v>
      </c>
      <c r="P155" s="20" t="n">
        <f aca="false">SUM(P143:P154)</f>
        <v>0</v>
      </c>
      <c r="Q155" s="20" t="n">
        <f aca="false">SUM(Q143:Q154)</f>
        <v>0</v>
      </c>
      <c r="R155" s="20" t="n">
        <f aca="false">SUM(R143:R154)</f>
        <v>0</v>
      </c>
      <c r="S155" s="20" t="n">
        <f aca="false">SUM(S143:S154)</f>
        <v>0</v>
      </c>
      <c r="T155" s="20" t="n">
        <f aca="false">SUM(T143:T154)</f>
        <v>5.5</v>
      </c>
      <c r="U155" s="20" t="n">
        <f aca="false">SUM(U143:U154)</f>
        <v>10.2</v>
      </c>
      <c r="V155" s="20" t="n">
        <f aca="false">SUM(V143:V154)</f>
        <v>0</v>
      </c>
      <c r="W155" s="20" t="n">
        <f aca="false">SUM(W143:W154)</f>
        <v>0</v>
      </c>
      <c r="X155" s="20" t="n">
        <f aca="false">SUM(X143:X154)</f>
        <v>0</v>
      </c>
      <c r="Y155" s="20" t="n">
        <f aca="false">SUM(Y143:Y154)</f>
        <v>0</v>
      </c>
      <c r="Z155" s="20" t="n">
        <f aca="false">SUM(Z143:Z154)</f>
        <v>-8.384</v>
      </c>
      <c r="AA155" s="20" t="n">
        <f aca="false">SUM(AA143:AA154)</f>
        <v>-8.384</v>
      </c>
      <c r="AB155" s="20" t="n">
        <f aca="false">SUM(AB143:AB154)</f>
        <v>0</v>
      </c>
      <c r="AC155" s="20" t="n">
        <f aca="false">SUM(AC143:AC154)</f>
        <v>0</v>
      </c>
      <c r="AD155" s="20" t="n">
        <f aca="false">SUM(AD143:AD154)</f>
        <v>0</v>
      </c>
      <c r="AE155" s="20" t="n">
        <f aca="false">SUM(AE143:AE154)</f>
        <v>28.243</v>
      </c>
      <c r="AF155" s="20" t="n">
        <f aca="false">SUM(AF143:AF154)</f>
        <v>6.787</v>
      </c>
      <c r="AG155" s="20" t="n">
        <f aca="false">SUM(AG143:AG154)</f>
        <v>35.03</v>
      </c>
      <c r="AH155" s="20" t="n">
        <f aca="false">SUM(AH143:AH154)</f>
        <v>0</v>
      </c>
      <c r="AI155" s="20" t="n">
        <f aca="false">SUM(AI143:AI154)</f>
        <v>24.173</v>
      </c>
      <c r="AJ155" s="20" t="n">
        <f aca="false">SUM(AJ143:AJ154)</f>
        <v>24.173</v>
      </c>
      <c r="AK155" s="20" t="n">
        <f aca="false">SUM(AK143:AK154)</f>
        <v>0</v>
      </c>
      <c r="AL155" s="20" t="n">
        <f aca="false">SUM(AL143:AL154)</f>
        <v>2.166</v>
      </c>
      <c r="AM155" s="20" t="n">
        <f aca="false">SUM(AM143:AM154)</f>
        <v>26.339</v>
      </c>
      <c r="AN155" s="20" t="n">
        <f aca="false">SUM(AN143:AN154)</f>
        <v>0</v>
      </c>
      <c r="AO155" s="20" t="n">
        <f aca="false">SUM(AO143:AO154)</f>
        <v>0</v>
      </c>
      <c r="AP155" s="20" t="n">
        <f aca="false">SUM(AP143:AP154)</f>
        <v>0</v>
      </c>
      <c r="AQ155" s="20" t="n">
        <f aca="false">SUM(AQ143:AQ154)</f>
        <v>-3.434</v>
      </c>
      <c r="AR155" s="20" t="n">
        <f aca="false">SUM(AR143:AR154)</f>
        <v>0</v>
      </c>
      <c r="AS155" s="20" t="n">
        <f aca="false">SUM(AS143:AS154)</f>
        <v>-3.434</v>
      </c>
      <c r="AT155" s="20" t="n">
        <f aca="false">SUM(AT143:AT154)</f>
        <v>0</v>
      </c>
      <c r="AU155" s="20" t="n">
        <f aca="false">SUM(AU143:AU154)</f>
        <v>0</v>
      </c>
      <c r="AV155" s="20" t="n">
        <f aca="false">SUM(AV143:AV154)</f>
        <v>0</v>
      </c>
      <c r="AW155" s="20" t="n">
        <f aca="false">SUM(AW143:AW154)</f>
        <v>4.884</v>
      </c>
      <c r="AX155" s="20" t="n">
        <f aca="false">SUM(AX143:AX154)</f>
        <v>0.266</v>
      </c>
      <c r="AY155" s="20" t="n">
        <f aca="false">SUM(AY143:AY154)</f>
        <v>16.075</v>
      </c>
      <c r="AZ155" s="20" t="n">
        <f aca="false">SUM(AZ143:AZ154)</f>
        <v>2.359</v>
      </c>
      <c r="BA155" s="20" t="n">
        <f aca="false">SUM(BA143:BA154)</f>
        <v>5.142</v>
      </c>
      <c r="BB155" s="20" t="n">
        <f aca="false">SUM(BB143:BB154)</f>
        <v>7.501</v>
      </c>
      <c r="BC155" s="20" t="n">
        <f aca="false">SUM(BC143:BC154)</f>
        <v>12.211</v>
      </c>
      <c r="BD155" s="20" t="n">
        <f aca="false">SUM(BD143:BD154)</f>
        <v>10.544</v>
      </c>
      <c r="BE155" s="20" t="n">
        <f aca="false">SUM(BE143:BE154)</f>
        <v>30.256</v>
      </c>
      <c r="BF155" s="20" t="n">
        <f aca="false">SUM(BF143:BF154)</f>
        <v>6.632</v>
      </c>
      <c r="BG155" s="20" t="n">
        <f aca="false">SUM(BG143:BG154)</f>
        <v>10.654</v>
      </c>
      <c r="BH155" s="20" t="n">
        <f aca="false">SUM(BH143:BH154)</f>
        <v>17.286</v>
      </c>
      <c r="BI155" s="20" t="n">
        <f aca="false">SUM(BI143:BI154)</f>
        <v>15.494</v>
      </c>
      <c r="BJ155" s="20" t="n">
        <f aca="false">SUM(BJ143:BJ154)</f>
        <v>23.831</v>
      </c>
      <c r="BK155" s="20" t="n">
        <f aca="false">SUM(BK143:BK154)</f>
        <v>56.612</v>
      </c>
      <c r="BL155" s="20" t="n">
        <f aca="false">SUM(BL143:BL154)</f>
        <v>-153.775</v>
      </c>
      <c r="BM155" s="20" t="n">
        <f aca="false">SUM(BM143:BM154)</f>
        <v>19.286</v>
      </c>
      <c r="BN155" s="20" t="n">
        <f aca="false">SUM(BN143:BN154)</f>
        <v>-134.489</v>
      </c>
      <c r="BO155" s="20" t="n">
        <f aca="false">SUM(BO143:BO154)</f>
        <v>13.261</v>
      </c>
      <c r="BP155" s="20" t="n">
        <f aca="false">SUM(BP143:BP154)</f>
        <v>32.39</v>
      </c>
      <c r="BQ155" s="20" t="n">
        <f aca="false">SUM(BQ143:BQ154)</f>
        <v>-88.837</v>
      </c>
      <c r="BR155" s="20" t="n">
        <f aca="false">SUM(BR143:BR154)</f>
        <v>119.3</v>
      </c>
      <c r="BS155" s="20" t="n">
        <f aca="false">SUM(BS143:BS154)</f>
        <v>17.9</v>
      </c>
      <c r="BT155" s="20" t="n">
        <f aca="false">SUM(BT143:BT154)</f>
        <v>137.2</v>
      </c>
      <c r="BU155" s="20" t="n">
        <f aca="false">SUM(BU143:BU154)</f>
        <v>39.2</v>
      </c>
      <c r="BV155" s="20" t="n">
        <f aca="false">SUM(BV143:BV154)</f>
        <v>30.1</v>
      </c>
      <c r="BW155" s="20" t="n">
        <f aca="false">SUM(BW143:BW154)</f>
        <v>206.4</v>
      </c>
      <c r="BX155" s="20" t="n">
        <f aca="false">SUM(BX143:BX154)</f>
        <v>26.1</v>
      </c>
      <c r="BY155" s="20" t="n">
        <f aca="false">SUM(BY143:BY154)</f>
        <v>31</v>
      </c>
      <c r="BZ155" s="20" t="n">
        <f aca="false">SUM(BZ143:BZ154)</f>
        <v>57.1</v>
      </c>
      <c r="CA155" s="20" t="n">
        <f aca="false">SUM(CA143:CA154)</f>
        <v>19.3</v>
      </c>
      <c r="CB155" s="20" t="n">
        <f aca="false">SUM(CB143:CB154)</f>
        <v>24.3</v>
      </c>
      <c r="CC155" s="20" t="n">
        <f aca="false">SUM(CC143:CC154)</f>
        <v>100.7</v>
      </c>
      <c r="CD155" s="20" t="n">
        <f aca="false">SUM(CD143:CD154)</f>
        <v>23.6</v>
      </c>
      <c r="CE155" s="20" t="n">
        <f aca="false">SUM(CE143:CE154)</f>
        <v>58.8</v>
      </c>
      <c r="CF155" s="20" t="n">
        <f aca="false">SUM(CF143:CF154)</f>
        <v>82.4</v>
      </c>
      <c r="CG155" s="20" t="n">
        <f aca="false">SUM(CG143:CG154)</f>
        <v>46.7</v>
      </c>
      <c r="CH155" s="20" t="n">
        <f aca="false">SUM(CH143:CH154)</f>
        <v>74.9</v>
      </c>
      <c r="CI155" s="20" t="n">
        <f aca="false">SUM(CI143:CI154)</f>
        <v>204</v>
      </c>
      <c r="CJ155" s="20" t="n">
        <f aca="false">SUM(CJ143:CJ154)</f>
        <v>21.4</v>
      </c>
      <c r="CK155" s="20" t="n">
        <f aca="false">SUM(CK143:CK154)</f>
        <v>31.7</v>
      </c>
      <c r="CL155" s="20" t="n">
        <f aca="false">SUM(CL143:CL154)</f>
        <v>53.1</v>
      </c>
      <c r="CM155" s="22" t="n">
        <f aca="false">SUM(CM143:CM154)</f>
        <v>28.5</v>
      </c>
      <c r="CN155" s="22" t="n">
        <f aca="false">SUM(CN143:CN154)</f>
        <v>28.5</v>
      </c>
      <c r="CO155" s="22" t="n">
        <f aca="false">SUM(CJ155,CK155,CM155,CN155)</f>
        <v>110.1</v>
      </c>
      <c r="CP155" s="22" t="n">
        <f aca="false">SUM(CP143:CP154)</f>
        <v>96</v>
      </c>
      <c r="CQ155" s="22" t="n">
        <f aca="false">SUM(CQ143:CQ154)</f>
        <v>101</v>
      </c>
      <c r="CR155" s="22" t="n">
        <f aca="false">SUM(CR143:CR154)</f>
        <v>106</v>
      </c>
      <c r="CS155" s="22" t="n">
        <f aca="false">SUM(CS143:CS154)</f>
        <v>111</v>
      </c>
      <c r="CT155" s="23"/>
      <c r="CV155" s="7"/>
      <c r="CW155" s="7"/>
      <c r="CX155" s="7"/>
      <c r="CY155" s="7"/>
    </row>
    <row r="156" customFormat="false" ht="15" hidden="false" customHeight="true" outlineLevel="0" collapsed="false">
      <c r="B156" s="41" t="s">
        <v>295</v>
      </c>
      <c r="C156" s="43" t="n">
        <f aca="false">C139+C155</f>
        <v>101.591</v>
      </c>
      <c r="D156" s="43" t="n">
        <f aca="false">D139+D155</f>
        <v>125.125</v>
      </c>
      <c r="E156" s="43" t="n">
        <f aca="false">E139+E155</f>
        <v>159.913</v>
      </c>
      <c r="F156" s="43" t="n">
        <f aca="false">F139+F155</f>
        <v>161.428</v>
      </c>
      <c r="G156" s="43" t="n">
        <f aca="false">G139+G155</f>
        <v>131.352</v>
      </c>
      <c r="H156" s="43" t="n">
        <f aca="false">H139+H155</f>
        <v>153.638</v>
      </c>
      <c r="I156" s="43" t="n">
        <f aca="false">I139+I155</f>
        <v>157.593</v>
      </c>
      <c r="J156" s="20" t="n">
        <f aca="false">J139+J155</f>
        <v>31.998</v>
      </c>
      <c r="K156" s="20" t="n">
        <f aca="false">K139+K155</f>
        <v>53.279</v>
      </c>
      <c r="L156" s="20" t="n">
        <f aca="false">L139+L155</f>
        <v>85.277</v>
      </c>
      <c r="M156" s="20" t="n">
        <f aca="false">M139+M155</f>
        <v>37.633</v>
      </c>
      <c r="N156" s="20" t="n">
        <f aca="false">N139+N155</f>
        <v>64.451</v>
      </c>
      <c r="O156" s="43" t="n">
        <f aca="false">O139+O155</f>
        <v>177.461</v>
      </c>
      <c r="P156" s="20" t="n">
        <f aca="false">P139+P155</f>
        <v>30.485</v>
      </c>
      <c r="Q156" s="20" t="n">
        <f aca="false">Q139+Q155</f>
        <v>63.44</v>
      </c>
      <c r="R156" s="20" t="n">
        <f aca="false">R139+R155</f>
        <v>93.925</v>
      </c>
      <c r="S156" s="20" t="n">
        <f aca="false">S139+S155</f>
        <v>28.052</v>
      </c>
      <c r="T156" s="20" t="n">
        <f aca="false">T139+T155</f>
        <v>60.152</v>
      </c>
      <c r="U156" s="43" t="n">
        <f aca="false">U139+U155</f>
        <v>186.829</v>
      </c>
      <c r="V156" s="20" t="n">
        <f aca="false">V139+V155</f>
        <v>44.581</v>
      </c>
      <c r="W156" s="20" t="n">
        <f aca="false">W139+W155</f>
        <v>74.655</v>
      </c>
      <c r="X156" s="20" t="n">
        <f aca="false">X139+X155</f>
        <v>119.236</v>
      </c>
      <c r="Y156" s="20" t="n">
        <f aca="false">Y139+Y155</f>
        <v>39.721</v>
      </c>
      <c r="Z156" s="20" t="n">
        <f aca="false">Z139+Z155</f>
        <v>53.429</v>
      </c>
      <c r="AA156" s="43" t="n">
        <f aca="false">AA139+AA155</f>
        <v>212.386</v>
      </c>
      <c r="AB156" s="20" t="n">
        <f aca="false">AB139+AB155</f>
        <v>50.471</v>
      </c>
      <c r="AC156" s="20" t="n">
        <f aca="false">AC139+AC155</f>
        <v>64.665</v>
      </c>
      <c r="AD156" s="20" t="n">
        <f aca="false">AD139+AD155</f>
        <v>115.136</v>
      </c>
      <c r="AE156" s="20" t="n">
        <f aca="false">AE139+AE155</f>
        <v>41.184</v>
      </c>
      <c r="AF156" s="20" t="n">
        <f aca="false">AF139+AF155</f>
        <v>53.766</v>
      </c>
      <c r="AG156" s="43" t="n">
        <f aca="false">AG139+AG155</f>
        <v>210.086</v>
      </c>
      <c r="AH156" s="20" t="n">
        <f aca="false">AH139+AH155</f>
        <v>35.264</v>
      </c>
      <c r="AI156" s="20" t="n">
        <f aca="false">AI139+AI155</f>
        <v>65.416</v>
      </c>
      <c r="AJ156" s="20" t="n">
        <f aca="false">AJ139+AJ155</f>
        <v>100.68</v>
      </c>
      <c r="AK156" s="20" t="n">
        <f aca="false">AK139+AK155</f>
        <v>31.843</v>
      </c>
      <c r="AL156" s="20" t="n">
        <f aca="false">AL139+AL155</f>
        <v>59.001</v>
      </c>
      <c r="AM156" s="43" t="n">
        <f aca="false">AM139+AM155</f>
        <v>191.524</v>
      </c>
      <c r="AN156" s="20" t="n">
        <f aca="false">AN139+AN155</f>
        <v>49.585</v>
      </c>
      <c r="AO156" s="20" t="n">
        <f aca="false">AO139+AO155</f>
        <v>81.395</v>
      </c>
      <c r="AP156" s="20" t="n">
        <f aca="false">AP139+AP155</f>
        <v>130.98</v>
      </c>
      <c r="AQ156" s="20" t="n">
        <f aca="false">AQ139+AQ155</f>
        <v>50.885</v>
      </c>
      <c r="AR156" s="20" t="n">
        <f aca="false">AR139+AR155</f>
        <v>75.466</v>
      </c>
      <c r="AS156" s="43" t="n">
        <f aca="false">AS139+AS155</f>
        <v>257.331</v>
      </c>
      <c r="AT156" s="20" t="n">
        <f aca="false">AT139+AT155</f>
        <v>51.887</v>
      </c>
      <c r="AU156" s="20" t="n">
        <f aca="false">AU139+AU155</f>
        <v>95.6979999999999</v>
      </c>
      <c r="AV156" s="20" t="n">
        <f aca="false">AV139+AV155</f>
        <v>147.585</v>
      </c>
      <c r="AW156" s="20" t="n">
        <f aca="false">AW139+AW155</f>
        <v>64.181</v>
      </c>
      <c r="AX156" s="20" t="n">
        <f aca="false">AX139+AX155</f>
        <v>92.1229999999999</v>
      </c>
      <c r="AY156" s="43" t="n">
        <f aca="false">AY139+AY155</f>
        <v>314.814</v>
      </c>
      <c r="AZ156" s="20" t="n">
        <f aca="false">AZ139+AZ155</f>
        <v>58.439</v>
      </c>
      <c r="BA156" s="20" t="n">
        <f aca="false">BA139+BA155</f>
        <v>112.263</v>
      </c>
      <c r="BB156" s="20" t="n">
        <f aca="false">BB139+BB155</f>
        <v>170.702</v>
      </c>
      <c r="BC156" s="20" t="n">
        <f aca="false">BC139+BC155</f>
        <v>99.801</v>
      </c>
      <c r="BD156" s="20" t="n">
        <f aca="false">BD139+BD155</f>
        <v>103.793</v>
      </c>
      <c r="BE156" s="43" t="n">
        <f aca="false">BE139+BE155</f>
        <v>374.296</v>
      </c>
      <c r="BF156" s="20" t="n">
        <f aca="false">BF139+BF155</f>
        <v>72.903</v>
      </c>
      <c r="BG156" s="20" t="n">
        <f aca="false">BG139+BG155</f>
        <v>122.97</v>
      </c>
      <c r="BH156" s="20" t="n">
        <f aca="false">BH139+BH155</f>
        <v>195.873</v>
      </c>
      <c r="BI156" s="20" t="n">
        <f aca="false">BI139+BI155</f>
        <v>91.247</v>
      </c>
      <c r="BJ156" s="20" t="n">
        <f aca="false">BJ139+BJ155</f>
        <v>98.201</v>
      </c>
      <c r="BK156" s="43" t="n">
        <f aca="false">BK139+BK155</f>
        <v>385.324</v>
      </c>
      <c r="BL156" s="20" t="n">
        <f aca="false">BL139+BL155</f>
        <v>104.929</v>
      </c>
      <c r="BM156" s="20" t="n">
        <f aca="false">BM139+BM155</f>
        <v>136.219</v>
      </c>
      <c r="BN156" s="20" t="n">
        <f aca="false">BN139+BN155</f>
        <v>241.148</v>
      </c>
      <c r="BO156" s="20" t="n">
        <f aca="false">BO139+BO155</f>
        <v>102.544</v>
      </c>
      <c r="BP156" s="20" t="n">
        <f aca="false">BP139+BP155</f>
        <v>121.522</v>
      </c>
      <c r="BQ156" s="43" t="n">
        <f aca="false">BQ139+BQ155</f>
        <v>465.215</v>
      </c>
      <c r="BR156" s="20" t="n">
        <f aca="false">BR139+BR155</f>
        <v>132.6</v>
      </c>
      <c r="BS156" s="20" t="n">
        <f aca="false">BS139+BS155</f>
        <v>306.9</v>
      </c>
      <c r="BT156" s="20" t="n">
        <f aca="false">BT139+BT155</f>
        <v>439.5</v>
      </c>
      <c r="BU156" s="20" t="n">
        <f aca="false">BU139+BU155</f>
        <v>285.8</v>
      </c>
      <c r="BV156" s="20" t="n">
        <f aca="false">BV139+BV155</f>
        <v>307.5</v>
      </c>
      <c r="BW156" s="43" t="n">
        <f aca="false">BW139+BW155</f>
        <v>1032.8</v>
      </c>
      <c r="BX156" s="20" t="n">
        <f aca="false">BX139+BX155</f>
        <v>331</v>
      </c>
      <c r="BY156" s="20" t="n">
        <f aca="false">BY139+BY155</f>
        <v>342</v>
      </c>
      <c r="BZ156" s="20" t="n">
        <f aca="false">BZ139+BZ155</f>
        <v>673</v>
      </c>
      <c r="CA156" s="20" t="n">
        <f aca="false">CA139+CA155</f>
        <v>283.7</v>
      </c>
      <c r="CB156" s="20" t="n">
        <f aca="false">CB139+CB155</f>
        <v>346</v>
      </c>
      <c r="CC156" s="43" t="n">
        <f aca="false">CC139+CC155</f>
        <v>1302.7</v>
      </c>
      <c r="CD156" s="20" t="n">
        <f aca="false">CD139+CD155</f>
        <v>327.9</v>
      </c>
      <c r="CE156" s="20" t="n">
        <f aca="false">CE139+CE155</f>
        <v>364.5</v>
      </c>
      <c r="CF156" s="20" t="n">
        <f aca="false">CF139+CF155</f>
        <v>692.4</v>
      </c>
      <c r="CG156" s="20" t="n">
        <f aca="false">CG139+CG155</f>
        <v>327.7</v>
      </c>
      <c r="CH156" s="20" t="n">
        <f aca="false">CH139+CH155</f>
        <v>379.6</v>
      </c>
      <c r="CI156" s="43" t="n">
        <f aca="false">CI139+CI155</f>
        <v>1399.7</v>
      </c>
      <c r="CJ156" s="20" t="n">
        <f aca="false">CJ139+CJ155</f>
        <v>362.7</v>
      </c>
      <c r="CK156" s="20" t="n">
        <f aca="false">CK139+CK155</f>
        <v>387.2</v>
      </c>
      <c r="CL156" s="20" t="n">
        <f aca="false">CL139+CL155</f>
        <v>749.9</v>
      </c>
      <c r="CM156" s="43" t="n">
        <f aca="false">CM139+CM155</f>
        <v>364.281850223033</v>
      </c>
      <c r="CN156" s="43" t="n">
        <f aca="false">CN139+CN155</f>
        <v>405.818149776967</v>
      </c>
      <c r="CO156" s="43" t="n">
        <f aca="false">SUM(CJ156,CK156,CM156,CN156)</f>
        <v>1520</v>
      </c>
      <c r="CP156" s="43" t="n">
        <f aca="false">CP139+CP155</f>
        <v>1604.9224638025</v>
      </c>
      <c r="CQ156" s="43" t="n">
        <f aca="false">CQ139+CQ155</f>
        <v>1709.12278720411</v>
      </c>
      <c r="CR156" s="43" t="n">
        <f aca="false">CR139+CR155</f>
        <v>1811.18886797964</v>
      </c>
      <c r="CS156" s="43" t="n">
        <f aca="false">CS139+CS155</f>
        <v>1918.8798455377</v>
      </c>
      <c r="CT156" s="23"/>
      <c r="CV156" s="24" t="n">
        <f aca="false">IFERROR((CS156/CI156)^(1/5)-1,"n/m")</f>
        <v>0.0651298693857514</v>
      </c>
      <c r="CW156" s="24" t="n">
        <f aca="false">IFERROR((CI156/BE156)^(1/5)-1,"n/m")</f>
        <v>0.301859016594126</v>
      </c>
      <c r="CX156" s="24" t="n">
        <f aca="false">IFERROR((CI156/AA156)^(1/10)-1,"n/m")</f>
        <v>0.207510477239951</v>
      </c>
      <c r="CY156" s="24" t="n">
        <f aca="false">IFERROR((CI156/C156)^(1/19)-1,"n/m")</f>
        <v>0.148039491778528</v>
      </c>
    </row>
    <row r="157" customFormat="false" ht="15" hidden="false" customHeight="true" outlineLevel="0" collapsed="false">
      <c r="B157" s="30" t="s">
        <v>296</v>
      </c>
      <c r="C157" s="44" t="n">
        <f aca="false">IFERROR(C156/C95,"")</f>
        <v>0.393981935724064</v>
      </c>
      <c r="D157" s="44" t="n">
        <f aca="false">IFERROR(D156/D95,"")</f>
        <v>0.401162529736523</v>
      </c>
      <c r="E157" s="44" t="n">
        <f aca="false">IFERROR(E156/E95,"")</f>
        <v>0.450690213010614</v>
      </c>
      <c r="F157" s="44" t="n">
        <f aca="false">IFERROR(F156/F95,"")</f>
        <v>0.427951464830029</v>
      </c>
      <c r="G157" s="44" t="n">
        <f aca="false">IFERROR(G156/G95,"")</f>
        <v>0.367552865525549</v>
      </c>
      <c r="H157" s="44" t="n">
        <f aca="false">IFERROR(H156/H95,"")</f>
        <v>0.38787777803024</v>
      </c>
      <c r="I157" s="44" t="n">
        <f aca="false">IFERROR(I156/I95,"")</f>
        <v>0.359838339555434</v>
      </c>
      <c r="J157" s="44" t="n">
        <f aca="false">IFERROR(J156/J95,"")</f>
        <v>0.313527601951832</v>
      </c>
      <c r="K157" s="44" t="n">
        <f aca="false">IFERROR(K156/K95,"")</f>
        <v>0.415197705771419</v>
      </c>
      <c r="L157" s="44" t="n">
        <f aca="false">IFERROR(L156/L95,"")</f>
        <v>0.370157999826374</v>
      </c>
      <c r="M157" s="44" t="n">
        <f aca="false">IFERROR(M156/M95,"")</f>
        <v>0.35569943289225</v>
      </c>
      <c r="N157" s="44" t="n">
        <f aca="false">IFERROR(N156/N95,"")</f>
        <v>0.491156275957721</v>
      </c>
      <c r="O157" s="44" t="n">
        <f aca="false">IFERROR(O156/O95,"")</f>
        <v>0.379674499307878</v>
      </c>
      <c r="P157" s="44" t="n">
        <f aca="false">IFERROR(P156/P95,"")</f>
        <v>0.309216131780744</v>
      </c>
      <c r="Q157" s="44" t="n">
        <f aca="false">IFERROR(Q156/Q95,"")</f>
        <v>0.447280290478373</v>
      </c>
      <c r="R157" s="44" t="n">
        <f aca="false">IFERROR(R156/R95,"")</f>
        <v>0.390665618514036</v>
      </c>
      <c r="S157" s="44" t="n">
        <f aca="false">IFERROR(S156/S95,"")</f>
        <v>0.274435759218134</v>
      </c>
      <c r="T157" s="44" t="n">
        <f aca="false">IFERROR(T156/T95,"")</f>
        <v>0.434445351264291</v>
      </c>
      <c r="U157" s="44" t="n">
        <f aca="false">IFERROR(U156/U95,"")</f>
        <v>0.388339565617744</v>
      </c>
      <c r="V157" s="44" t="n">
        <f aca="false">IFERROR(V156/V95,"")</f>
        <v>0.385588749156706</v>
      </c>
      <c r="W157" s="44" t="n">
        <f aca="false">IFERROR(W156/W95,"")</f>
        <v>0.480167484579713</v>
      </c>
      <c r="X157" s="44" t="n">
        <f aca="false">IFERROR(X156/X95,"")</f>
        <v>0.439831055534038</v>
      </c>
      <c r="Y157" s="44" t="n">
        <f aca="false">IFERROR(Y156/Y95,"")</f>
        <v>0.363352787281143</v>
      </c>
      <c r="Z157" s="44" t="n">
        <f aca="false">IFERROR(Z156/Z95,"")</f>
        <v>0.394420575511952</v>
      </c>
      <c r="AA157" s="44" t="n">
        <f aca="false">IFERROR(AA156/AA95,"")</f>
        <v>0.411700508844197</v>
      </c>
      <c r="AB157" s="44" t="n">
        <f aca="false">IFERROR(AB156/AB95,"")</f>
        <v>0.382515442040244</v>
      </c>
      <c r="AC157" s="44" t="n">
        <f aca="false">IFERROR(AC156/AC95,"")</f>
        <v>0.407197506375744</v>
      </c>
      <c r="AD157" s="44" t="n">
        <f aca="false">IFERROR(AD156/AD95,"")</f>
        <v>0.395996560619089</v>
      </c>
      <c r="AE157" s="44" t="n">
        <f aca="false">IFERROR(AE156/AE95,"")</f>
        <v>0.319562990781837</v>
      </c>
      <c r="AF157" s="44" t="n">
        <f aca="false">IFERROR(AF156/AF95,"")</f>
        <v>0.366330764671014</v>
      </c>
      <c r="AG157" s="44" t="n">
        <f aca="false">IFERROR(AG156/AG95,"")</f>
        <v>0.370917822367782</v>
      </c>
      <c r="AH157" s="44" t="n">
        <f aca="false">IFERROR(AH156/AH95,"")</f>
        <v>0.176826608232586</v>
      </c>
      <c r="AI157" s="44" t="n">
        <f aca="false">IFERROR(AI156/AI95,"")</f>
        <v>0.25895737749047</v>
      </c>
      <c r="AJ157" s="44" t="n">
        <f aca="false">IFERROR(AJ156/AJ95,"")</f>
        <v>0.222723652774091</v>
      </c>
      <c r="AK157" s="44" t="n">
        <f aca="false">IFERROR(AK156/AK95,"")</f>
        <v>0.14003016697376</v>
      </c>
      <c r="AL157" s="44" t="n">
        <f aca="false">IFERROR(AL156/AL95,"")</f>
        <v>0.202231362467866</v>
      </c>
      <c r="AM157" s="44" t="n">
        <f aca="false">IFERROR(AM156/AM95,"")</f>
        <v>0.197205287116541</v>
      </c>
      <c r="AN157" s="44" t="n">
        <f aca="false">IFERROR(AN156/AN95,"")</f>
        <v>0.19058106373329</v>
      </c>
      <c r="AO157" s="44" t="n">
        <f aca="false">IFERROR(AO156/AO95,"")</f>
        <v>0.263815512267851</v>
      </c>
      <c r="AP157" s="44" t="n">
        <f aca="false">IFERROR(AP156/AP95,"")</f>
        <v>0.230311513113936</v>
      </c>
      <c r="AQ157" s="44" t="n">
        <f aca="false">IFERROR(AQ156/AQ95,"")</f>
        <v>0.207400976580014</v>
      </c>
      <c r="AR157" s="44" t="n">
        <f aca="false">IFERROR(AR156/AR95,"")</f>
        <v>0.211999820210578</v>
      </c>
      <c r="AS157" s="44" t="n">
        <f aca="false">IFERROR(AS156/AS95,"")</f>
        <v>0.219936138171289</v>
      </c>
      <c r="AT157" s="44" t="n">
        <f aca="false">IFERROR(AT156/AT95,"")</f>
        <v>0.171002112520557</v>
      </c>
      <c r="AU157" s="44" t="n">
        <f aca="false">IFERROR(AU156/AU95,"")</f>
        <v>0.243368885769362</v>
      </c>
      <c r="AV157" s="44" t="n">
        <f aca="false">IFERROR(AV156/AV95,"")</f>
        <v>0.211849261681961</v>
      </c>
      <c r="AW157" s="44" t="n">
        <f aca="false">IFERROR(AW156/AW95,"")</f>
        <v>0.221469585501525</v>
      </c>
      <c r="AX157" s="44" t="n">
        <f aca="false">IFERROR(AX156/AX95,"")</f>
        <v>0.277316869058442</v>
      </c>
      <c r="AY157" s="44" t="n">
        <f aca="false">IFERROR(AY156/AY95,"")</f>
        <v>0.238741249513704</v>
      </c>
      <c r="AZ157" s="44" t="n">
        <f aca="false">IFERROR(AZ156/AZ95,"")</f>
        <v>0.213862509377688</v>
      </c>
      <c r="BA157" s="44" t="n">
        <f aca="false">IFERROR(BA156/BA95,"")</f>
        <v>0.28855674077882</v>
      </c>
      <c r="BB157" s="44" t="n">
        <f aca="false">IFERROR(BB156/BB95,"")</f>
        <v>0.257739259102679</v>
      </c>
      <c r="BC157" s="44" t="n">
        <f aca="false">IFERROR(BC156/BC95,"")</f>
        <v>0.301020685162061</v>
      </c>
      <c r="BD157" s="44" t="n">
        <f aca="false">IFERROR(BD156/BD95,"")</f>
        <v>0.270708087623529</v>
      </c>
      <c r="BE157" s="44" t="n">
        <f aca="false">IFERROR(BE156/BE95,"")</f>
        <v>0.271768584000116</v>
      </c>
      <c r="BF157" s="44" t="n">
        <f aca="false">IFERROR(BF156/BF95,"")</f>
        <v>0.219882070847974</v>
      </c>
      <c r="BG157" s="44" t="n">
        <f aca="false">IFERROR(BG156/BG95,"")</f>
        <v>0.310247476416701</v>
      </c>
      <c r="BH157" s="44" t="n">
        <f aca="false">IFERROR(BH156/BH95,"")</f>
        <v>0.269087367223691</v>
      </c>
      <c r="BI157" s="44" t="n">
        <f aca="false">IFERROR(BI156/BI95,"")</f>
        <v>0.276772768910647</v>
      </c>
      <c r="BJ157" s="44" t="n">
        <f aca="false">IFERROR(BJ156/BJ95,"")</f>
        <v>0.273256477253439</v>
      </c>
      <c r="BK157" s="44" t="n">
        <f aca="false">IFERROR(BK156/BK95,"")</f>
        <v>0.271934993729582</v>
      </c>
      <c r="BL157" s="44" t="n">
        <f aca="false">IFERROR(BL156/BL95,"")</f>
        <v>0.266370668230432</v>
      </c>
      <c r="BM157" s="44" t="n">
        <f aca="false">IFERROR(BM156/BM95,"")</f>
        <v>0.281127075654324</v>
      </c>
      <c r="BN157" s="44" t="n">
        <f aca="false">IFERROR(BN156/BN95,"")</f>
        <v>0.274510027126802</v>
      </c>
      <c r="BO157" s="44" t="n">
        <f aca="false">IFERROR(BO156/BO95,"")</f>
        <v>0.249208343560668</v>
      </c>
      <c r="BP157" s="44" t="n">
        <f aca="false">IFERROR(BP156/BP95,"")</f>
        <v>0.273783909827626</v>
      </c>
      <c r="BQ157" s="44" t="n">
        <f aca="false">IFERROR(BQ156/BQ95,"")</f>
        <v>0.268319790888034</v>
      </c>
      <c r="BR157" s="44" t="n">
        <f aca="false">IFERROR(BR156/BR95,"")</f>
        <v>0.258782201405152</v>
      </c>
      <c r="BS157" s="44" t="n">
        <f aca="false">IFERROR(BS156/BS95,"")</f>
        <v>0.277361048350655</v>
      </c>
      <c r="BT157" s="44" t="n">
        <f aca="false">IFERROR(BT156/BT95,"")</f>
        <v>0.271480634999074</v>
      </c>
      <c r="BU157" s="44" t="n">
        <f aca="false">IFERROR(BU156/BU95,"")</f>
        <v>0.28025102961365</v>
      </c>
      <c r="BV157" s="44" t="n">
        <f aca="false">IFERROR(BV156/BV95,"")</f>
        <v>0.295417427226439</v>
      </c>
      <c r="BW157" s="44" t="n">
        <f aca="false">IFERROR(BW156/BW95,"")</f>
        <v>0.280682682900315</v>
      </c>
      <c r="BX157" s="44" t="n">
        <f aca="false">IFERROR(BX156/BX95,"")</f>
        <v>0.31088569550108</v>
      </c>
      <c r="BY157" s="44" t="n">
        <f aca="false">IFERROR(BY156/BY95,"")</f>
        <v>0.312015327068698</v>
      </c>
      <c r="BZ157" s="44" t="n">
        <f aca="false">IFERROR(BZ156/BZ95,"")</f>
        <v>0.311458718992966</v>
      </c>
      <c r="CA157" s="44" t="n">
        <f aca="false">IFERROR(CA156/CA95,"")</f>
        <v>0.288959054797311</v>
      </c>
      <c r="CB157" s="44" t="n">
        <f aca="false">IFERROR(CB156/CB95,"")</f>
        <v>0.303083391730904</v>
      </c>
      <c r="CC157" s="44" t="n">
        <f aca="false">IFERROR(CC156/CC95,"")</f>
        <v>0.304070771672658</v>
      </c>
      <c r="CD157" s="44" t="n">
        <f aca="false">IFERROR(CD156/CD95,"")</f>
        <v>0.295778459318059</v>
      </c>
      <c r="CE157" s="44" t="n">
        <f aca="false">IFERROR(CE156/CE95,"")</f>
        <v>0.307335581787521</v>
      </c>
      <c r="CF157" s="44" t="n">
        <f aca="false">IFERROR(CF156/CF95,"")</f>
        <v>0.301751939335832</v>
      </c>
      <c r="CG157" s="44" t="n">
        <f aca="false">IFERROR(CG156/CG95,"")</f>
        <v>0.299899331930081</v>
      </c>
      <c r="CH157" s="44" t="n">
        <f aca="false">IFERROR(CH156/CH95,"")</f>
        <v>0.315439587834469</v>
      </c>
      <c r="CI157" s="44" t="n">
        <f aca="false">IFERROR(CI156/CI95,"")</f>
        <v>0.304899035005555</v>
      </c>
      <c r="CJ157" s="44" t="n">
        <f aca="false">IFERROR(CJ156/CJ95,"")</f>
        <v>0.293779361736595</v>
      </c>
      <c r="CK157" s="44" t="n">
        <f aca="false">IFERROR(CK156/CK95,"")</f>
        <v>0.293979196720067</v>
      </c>
      <c r="CL157" s="44" t="n">
        <f aca="false">IFERROR(CL156/CL95,"")</f>
        <v>0.293882509699416</v>
      </c>
      <c r="CM157" s="35" t="n">
        <f aca="false">IFERROR(CM156/CM95,"")</f>
        <v>0.313769157670962</v>
      </c>
      <c r="CN157" s="35" t="n">
        <f aca="false">IFERROR(CN156/CN95,"")</f>
        <v>0.313769157670962</v>
      </c>
      <c r="CO157" s="35" t="n">
        <f aca="false">IFERROR(CO156/CO95,"")</f>
        <v>0.303632475445923</v>
      </c>
      <c r="CP157" s="35" t="n">
        <f aca="false">IFERROR(CP156/CP95,"")</f>
        <v>0.305</v>
      </c>
      <c r="CQ157" s="35" t="n">
        <f aca="false">IFERROR(CQ156/CQ95,"")</f>
        <v>0.31</v>
      </c>
      <c r="CR157" s="35" t="n">
        <f aca="false">IFERROR(CR156/CR95,"")</f>
        <v>0.315</v>
      </c>
      <c r="CS157" s="35" t="n">
        <f aca="false">IFERROR(CS156/CS95,"")</f>
        <v>0.32</v>
      </c>
      <c r="CT157" s="23"/>
      <c r="CV157" s="48" t="n">
        <f aca="false">IFERROR(AVERAGE(CO157,CP157,CQ157,CR157,CS157),"n/m")</f>
        <v>0.310726495089185</v>
      </c>
      <c r="CW157" s="48" t="n">
        <f aca="false">IFERROR(AVERAGE(BK157,BQ157,BW157,CC157,CI157),"n/m")</f>
        <v>0.285981454839229</v>
      </c>
      <c r="CX157" s="48" t="n">
        <f aca="false">IFERROR(AVERAGE(AG157,AM157,AS157,AY157,BE157,BK157,BQ157,BW157,CC157,CI157),"n/m")</f>
        <v>0.272847635536558</v>
      </c>
      <c r="CY157" s="48" t="n">
        <f aca="false">IFERROR(AVERAGE(C157,D157,E157,F157,G157,H157,I157,O157,U157,AA157,AG157,AM157,AS157,AY157,BE157,BK157,BQ157,BW157,CC157,CI157),"n/m")</f>
        <v>0.334862302777392</v>
      </c>
    </row>
    <row r="158" customFormat="false" ht="15" hidden="false" customHeight="true" outlineLevel="0" collapsed="false">
      <c r="B158" s="39" t="s">
        <v>297</v>
      </c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40" t="n">
        <v>175</v>
      </c>
      <c r="P158" s="31"/>
      <c r="Q158" s="31"/>
      <c r="R158" s="31"/>
      <c r="S158" s="31"/>
      <c r="T158" s="31"/>
      <c r="U158" s="40" t="n">
        <v>182.8</v>
      </c>
      <c r="V158" s="31"/>
      <c r="W158" s="40" t="n">
        <v>74.655</v>
      </c>
      <c r="X158" s="31"/>
      <c r="Y158" s="40" t="n">
        <v>39.721</v>
      </c>
      <c r="Z158" s="31"/>
      <c r="AA158" s="40" t="n">
        <v>212.386</v>
      </c>
      <c r="AB158" s="40" t="n">
        <v>50.471</v>
      </c>
      <c r="AC158" s="40" t="n">
        <v>64.665</v>
      </c>
      <c r="AD158" s="31" t="n">
        <f aca="false">AB158+AC158</f>
        <v>115.136</v>
      </c>
      <c r="AE158" s="40" t="n">
        <v>41.184</v>
      </c>
      <c r="AF158" s="31"/>
      <c r="AG158" s="40" t="n">
        <v>210.086</v>
      </c>
      <c r="AH158" s="40" t="n">
        <v>35.264</v>
      </c>
      <c r="AI158" s="40" t="n">
        <v>65.416</v>
      </c>
      <c r="AJ158" s="31" t="n">
        <f aca="false">AH158+AI158</f>
        <v>100.68</v>
      </c>
      <c r="AK158" s="40" t="n">
        <v>31.843</v>
      </c>
      <c r="AL158" s="31"/>
      <c r="AM158" s="40" t="n">
        <v>191.524</v>
      </c>
      <c r="AN158" s="40" t="n">
        <v>49.585</v>
      </c>
      <c r="AO158" s="40" t="n">
        <v>81.395</v>
      </c>
      <c r="AP158" s="31" t="n">
        <f aca="false">AN158+AO158</f>
        <v>130.98</v>
      </c>
      <c r="AQ158" s="40" t="n">
        <v>50.885</v>
      </c>
      <c r="AR158" s="31"/>
      <c r="AS158" s="40" t="n">
        <v>257.331</v>
      </c>
      <c r="AT158" s="31"/>
      <c r="AU158" s="40" t="n">
        <v>95.698</v>
      </c>
      <c r="AV158" s="31"/>
      <c r="AW158" s="40" t="n">
        <v>64.181</v>
      </c>
      <c r="AX158" s="40" t="n">
        <v>92.123</v>
      </c>
      <c r="AY158" s="40" t="n">
        <v>314.814</v>
      </c>
      <c r="AZ158" s="40" t="n">
        <v>58.439</v>
      </c>
      <c r="BA158" s="40" t="n">
        <v>112.263</v>
      </c>
      <c r="BB158" s="31" t="n">
        <f aca="false">AZ158+BA158</f>
        <v>170.702</v>
      </c>
      <c r="BC158" s="40" t="n">
        <v>99.801</v>
      </c>
      <c r="BD158" s="40" t="n">
        <v>103.792</v>
      </c>
      <c r="BE158" s="40" t="n">
        <v>374.295</v>
      </c>
      <c r="BF158" s="40" t="n">
        <v>72.903</v>
      </c>
      <c r="BG158" s="40" t="n">
        <v>122.97</v>
      </c>
      <c r="BH158" s="31" t="n">
        <f aca="false">BF158+BG158</f>
        <v>195.873</v>
      </c>
      <c r="BI158" s="40" t="n">
        <v>91.247</v>
      </c>
      <c r="BJ158" s="40" t="n">
        <v>98.202</v>
      </c>
      <c r="BK158" s="40" t="n">
        <v>385.324</v>
      </c>
      <c r="BL158" s="40" t="n">
        <v>104.929</v>
      </c>
      <c r="BM158" s="40" t="n">
        <v>136.219</v>
      </c>
      <c r="BN158" s="31" t="n">
        <f aca="false">BL158+BM158</f>
        <v>241.148</v>
      </c>
      <c r="BO158" s="40" t="n">
        <v>102.544</v>
      </c>
      <c r="BP158" s="40" t="n">
        <v>121.522</v>
      </c>
      <c r="BQ158" s="40" t="n">
        <v>465.215</v>
      </c>
      <c r="BR158" s="40" t="n">
        <v>132.6</v>
      </c>
      <c r="BS158" s="40" t="n">
        <v>306.9</v>
      </c>
      <c r="BT158" s="31" t="n">
        <f aca="false">BR158+BS158</f>
        <v>439.5</v>
      </c>
      <c r="BU158" s="40" t="n">
        <v>285.8</v>
      </c>
      <c r="BV158" s="40" t="n">
        <v>307.5</v>
      </c>
      <c r="BW158" s="40" t="n">
        <v>1032.8</v>
      </c>
      <c r="BX158" s="40" t="n">
        <v>331</v>
      </c>
      <c r="BY158" s="40" t="n">
        <v>342</v>
      </c>
      <c r="BZ158" s="31" t="n">
        <f aca="false">BX158+BY158</f>
        <v>673</v>
      </c>
      <c r="CA158" s="40" t="n">
        <v>283.7</v>
      </c>
      <c r="CB158" s="40" t="n">
        <v>346</v>
      </c>
      <c r="CC158" s="40" t="n">
        <v>1302.7</v>
      </c>
      <c r="CD158" s="40" t="n">
        <v>327.9</v>
      </c>
      <c r="CE158" s="40" t="n">
        <v>364.5</v>
      </c>
      <c r="CF158" s="31" t="n">
        <f aca="false">CD158+CE158</f>
        <v>692.4</v>
      </c>
      <c r="CG158" s="40" t="n">
        <v>327.7</v>
      </c>
      <c r="CH158" s="40" t="n">
        <v>379.6</v>
      </c>
      <c r="CI158" s="40" t="n">
        <v>1399.7</v>
      </c>
      <c r="CJ158" s="40" t="n">
        <v>362.7</v>
      </c>
      <c r="CK158" s="40" t="n">
        <v>387.2</v>
      </c>
      <c r="CL158" s="31" t="n">
        <f aca="false">CJ158+CK158</f>
        <v>749.9</v>
      </c>
      <c r="CM158" s="32"/>
      <c r="CN158" s="32"/>
      <c r="CO158" s="32"/>
      <c r="CP158" s="32"/>
      <c r="CQ158" s="32"/>
      <c r="CR158" s="32"/>
      <c r="CS158" s="32"/>
      <c r="CT158" s="23"/>
      <c r="CV158" s="7"/>
      <c r="CW158" s="7"/>
      <c r="CX158" s="7"/>
      <c r="CY158" s="7"/>
    </row>
    <row r="159" customFormat="false" ht="15" hidden="false" customHeight="true" outlineLevel="0" collapsed="false">
      <c r="B159" s="46" t="s">
        <v>298</v>
      </c>
      <c r="C159" s="31" t="str">
        <f aca="false">IF(ISNUMBER(C158),ROUND(C156-C158,1),"n/p")</f>
        <v>n/p</v>
      </c>
      <c r="D159" s="31" t="str">
        <f aca="false">IF(ISNUMBER(D158),ROUND(D156-D158,1),"n/p")</f>
        <v>n/p</v>
      </c>
      <c r="E159" s="31" t="str">
        <f aca="false">IF(ISNUMBER(E158),ROUND(E156-E158,1),"n/p")</f>
        <v>n/p</v>
      </c>
      <c r="F159" s="31" t="str">
        <f aca="false">IF(ISNUMBER(F158),ROUND(F156-F158,1),"n/p")</f>
        <v>n/p</v>
      </c>
      <c r="G159" s="31" t="str">
        <f aca="false">IF(ISNUMBER(G158),ROUND(G156-G158,1),"n/p")</f>
        <v>n/p</v>
      </c>
      <c r="H159" s="31" t="str">
        <f aca="false">IF(ISNUMBER(H158),ROUND(H156-H158,1),"n/p")</f>
        <v>n/p</v>
      </c>
      <c r="I159" s="31" t="str">
        <f aca="false">IF(ISNUMBER(I158),ROUND(I156-I158,1),"n/p")</f>
        <v>n/p</v>
      </c>
      <c r="J159" s="31" t="str">
        <f aca="false">IF(ISNUMBER(J158),ROUND(J156-J158,1),"n/p")</f>
        <v>n/p</v>
      </c>
      <c r="K159" s="31" t="str">
        <f aca="false">IF(ISNUMBER(K158),ROUND(K156-K158,1),"n/p")</f>
        <v>n/p</v>
      </c>
      <c r="L159" s="31" t="str">
        <f aca="false">IF(ISNUMBER(L158),ROUND(L156-L158,1),"n/p")</f>
        <v>n/p</v>
      </c>
      <c r="M159" s="31" t="str">
        <f aca="false">IF(ISNUMBER(M158),ROUND(M156-M158,1),"n/p")</f>
        <v>n/p</v>
      </c>
      <c r="N159" s="31" t="str">
        <f aca="false">IF(ISNUMBER(N158),ROUND(N156-N158,1),"n/p")</f>
        <v>n/p</v>
      </c>
      <c r="O159" s="31" t="n">
        <f aca="false">IF(ISNUMBER(O158),ROUND(O156-O158,1),"n/p")</f>
        <v>2.5</v>
      </c>
      <c r="P159" s="31" t="str">
        <f aca="false">IF(ISNUMBER(P158),ROUND(P156-P158,1),"n/p")</f>
        <v>n/p</v>
      </c>
      <c r="Q159" s="31" t="str">
        <f aca="false">IF(ISNUMBER(Q158),ROUND(Q156-Q158,1),"n/p")</f>
        <v>n/p</v>
      </c>
      <c r="R159" s="31" t="str">
        <f aca="false">IF(ISNUMBER(R158),ROUND(R156-R158,1),"n/p")</f>
        <v>n/p</v>
      </c>
      <c r="S159" s="31" t="str">
        <f aca="false">IF(ISNUMBER(S158),ROUND(S156-S158,1),"n/p")</f>
        <v>n/p</v>
      </c>
      <c r="T159" s="31" t="str">
        <f aca="false">IF(ISNUMBER(T158),ROUND(T156-T158,1),"n/p")</f>
        <v>n/p</v>
      </c>
      <c r="U159" s="31" t="n">
        <f aca="false">IF(ISNUMBER(U158),ROUND(U156-U158,1),"n/p")</f>
        <v>4</v>
      </c>
      <c r="V159" s="31" t="str">
        <f aca="false">IF(ISNUMBER(V158),ROUND(V156-V158,1),"n/p")</f>
        <v>n/p</v>
      </c>
      <c r="W159" s="31" t="n">
        <f aca="false">IF(ISNUMBER(W158),ROUND(W156-W158,1),"n/p")</f>
        <v>0</v>
      </c>
      <c r="X159" s="31" t="str">
        <f aca="false">IF(ISNUMBER(X158),ROUND(X156-X158,1),"n/p")</f>
        <v>n/p</v>
      </c>
      <c r="Y159" s="31" t="n">
        <f aca="false">IF(ISNUMBER(Y158),ROUND(Y156-Y158,1),"n/p")</f>
        <v>0</v>
      </c>
      <c r="Z159" s="31" t="str">
        <f aca="false">IF(ISNUMBER(Z158),ROUND(Z156-Z158,1),"n/p")</f>
        <v>n/p</v>
      </c>
      <c r="AA159" s="31" t="n">
        <f aca="false">IF(ISNUMBER(AA158),ROUND(AA156-AA158,1),"n/p")</f>
        <v>0</v>
      </c>
      <c r="AB159" s="31" t="n">
        <f aca="false">IF(ISNUMBER(AB158),ROUND(AB156-AB158,1),"n/p")</f>
        <v>0</v>
      </c>
      <c r="AC159" s="31" t="n">
        <f aca="false">IF(ISNUMBER(AC158),ROUND(AC156-AC158,1),"n/p")</f>
        <v>0</v>
      </c>
      <c r="AD159" s="31" t="n">
        <f aca="false">IF(ISNUMBER(AD158),ROUND(AD156-AD158,1),"n/p")</f>
        <v>0</v>
      </c>
      <c r="AE159" s="31" t="n">
        <f aca="false">IF(ISNUMBER(AE158),ROUND(AE156-AE158,1),"n/p")</f>
        <v>0</v>
      </c>
      <c r="AF159" s="31" t="str">
        <f aca="false">IF(ISNUMBER(AF158),ROUND(AF156-AF158,1),"n/p")</f>
        <v>n/p</v>
      </c>
      <c r="AG159" s="31" t="n">
        <f aca="false">IF(ISNUMBER(AG158),ROUND(AG156-AG158,1),"n/p")</f>
        <v>0</v>
      </c>
      <c r="AH159" s="31" t="n">
        <f aca="false">IF(ISNUMBER(AH158),ROUND(AH156-AH158,1),"n/p")</f>
        <v>0</v>
      </c>
      <c r="AI159" s="31" t="n">
        <f aca="false">IF(ISNUMBER(AI158),ROUND(AI156-AI158,1),"n/p")</f>
        <v>0</v>
      </c>
      <c r="AJ159" s="31" t="n">
        <f aca="false">IF(ISNUMBER(AJ158),ROUND(AJ156-AJ158,1),"n/p")</f>
        <v>0</v>
      </c>
      <c r="AK159" s="31" t="n">
        <f aca="false">IF(ISNUMBER(AK158),ROUND(AK156-AK158,1),"n/p")</f>
        <v>0</v>
      </c>
      <c r="AL159" s="31" t="str">
        <f aca="false">IF(ISNUMBER(AL158),ROUND(AL156-AL158,1),"n/p")</f>
        <v>n/p</v>
      </c>
      <c r="AM159" s="31" t="n">
        <f aca="false">IF(ISNUMBER(AM158),ROUND(AM156-AM158,1),"n/p")</f>
        <v>0</v>
      </c>
      <c r="AN159" s="31" t="n">
        <f aca="false">IF(ISNUMBER(AN158),ROUND(AN156-AN158,1),"n/p")</f>
        <v>0</v>
      </c>
      <c r="AO159" s="31" t="n">
        <f aca="false">IF(ISNUMBER(AO158),ROUND(AO156-AO158,1),"n/p")</f>
        <v>0</v>
      </c>
      <c r="AP159" s="31" t="n">
        <f aca="false">IF(ISNUMBER(AP158),ROUND(AP156-AP158,1),"n/p")</f>
        <v>0</v>
      </c>
      <c r="AQ159" s="31" t="n">
        <f aca="false">IF(ISNUMBER(AQ158),ROUND(AQ156-AQ158,1),"n/p")</f>
        <v>0</v>
      </c>
      <c r="AR159" s="31" t="str">
        <f aca="false">IF(ISNUMBER(AR158),ROUND(AR156-AR158,1),"n/p")</f>
        <v>n/p</v>
      </c>
      <c r="AS159" s="31" t="n">
        <f aca="false">IF(ISNUMBER(AS158),ROUND(AS156-AS158,1),"n/p")</f>
        <v>0</v>
      </c>
      <c r="AT159" s="31" t="str">
        <f aca="false">IF(ISNUMBER(AT158),ROUND(AT156-AT158,1),"n/p")</f>
        <v>n/p</v>
      </c>
      <c r="AU159" s="31" t="n">
        <f aca="false">IF(ISNUMBER(AU158),ROUND(AU156-AU158,1),"n/p")</f>
        <v>0</v>
      </c>
      <c r="AV159" s="31" t="str">
        <f aca="false">IF(ISNUMBER(AV158),ROUND(AV156-AV158,1),"n/p")</f>
        <v>n/p</v>
      </c>
      <c r="AW159" s="31" t="n">
        <f aca="false">IF(ISNUMBER(AW158),ROUND(AW156-AW158,1),"n/p")</f>
        <v>0</v>
      </c>
      <c r="AX159" s="31" t="n">
        <f aca="false">IF(ISNUMBER(AX158),ROUND(AX156-AX158,1),"n/p")</f>
        <v>0</v>
      </c>
      <c r="AY159" s="31" t="n">
        <f aca="false">IF(ISNUMBER(AY158),ROUND(AY156-AY158,1),"n/p")</f>
        <v>0</v>
      </c>
      <c r="AZ159" s="31" t="n">
        <f aca="false">IF(ISNUMBER(AZ158),ROUND(AZ156-AZ158,1),"n/p")</f>
        <v>0</v>
      </c>
      <c r="BA159" s="31" t="n">
        <f aca="false">IF(ISNUMBER(BA158),ROUND(BA156-BA158,1),"n/p")</f>
        <v>0</v>
      </c>
      <c r="BB159" s="31" t="n">
        <f aca="false">IF(ISNUMBER(BB158),ROUND(BB156-BB158,1),"n/p")</f>
        <v>0</v>
      </c>
      <c r="BC159" s="31" t="n">
        <f aca="false">IF(ISNUMBER(BC158),ROUND(BC156-BC158,1),"n/p")</f>
        <v>0</v>
      </c>
      <c r="BD159" s="31" t="n">
        <f aca="false">IF(ISNUMBER(BD158),ROUND(BD156-BD158,1),"n/p")</f>
        <v>0</v>
      </c>
      <c r="BE159" s="31" t="n">
        <f aca="false">IF(ISNUMBER(BE158),ROUND(BE156-BE158,1),"n/p")</f>
        <v>0</v>
      </c>
      <c r="BF159" s="31" t="n">
        <f aca="false">IF(ISNUMBER(BF158),ROUND(BF156-BF158,1),"n/p")</f>
        <v>0</v>
      </c>
      <c r="BG159" s="31" t="n">
        <f aca="false">IF(ISNUMBER(BG158),ROUND(BG156-BG158,1),"n/p")</f>
        <v>0</v>
      </c>
      <c r="BH159" s="31" t="n">
        <f aca="false">IF(ISNUMBER(BH158),ROUND(BH156-BH158,1),"n/p")</f>
        <v>0</v>
      </c>
      <c r="BI159" s="31" t="n">
        <f aca="false">IF(ISNUMBER(BI158),ROUND(BI156-BI158,1),"n/p")</f>
        <v>0</v>
      </c>
      <c r="BJ159" s="31" t="n">
        <f aca="false">IF(ISNUMBER(BJ158),ROUND(BJ156-BJ158,1),"n/p")</f>
        <v>-0</v>
      </c>
      <c r="BK159" s="31" t="n">
        <f aca="false">IF(ISNUMBER(BK158),ROUND(BK156-BK158,1),"n/p")</f>
        <v>0</v>
      </c>
      <c r="BL159" s="31" t="n">
        <f aca="false">IF(ISNUMBER(BL158),ROUND(BL156-BL158,1),"n/p")</f>
        <v>0</v>
      </c>
      <c r="BM159" s="31" t="n">
        <f aca="false">IF(ISNUMBER(BM158),ROUND(BM156-BM158,1),"n/p")</f>
        <v>0</v>
      </c>
      <c r="BN159" s="31" t="n">
        <f aca="false">IF(ISNUMBER(BN158),ROUND(BN156-BN158,1),"n/p")</f>
        <v>0</v>
      </c>
      <c r="BO159" s="31" t="n">
        <f aca="false">IF(ISNUMBER(BO158),ROUND(BO156-BO158,1),"n/p")</f>
        <v>0</v>
      </c>
      <c r="BP159" s="31" t="n">
        <f aca="false">IF(ISNUMBER(BP158),ROUND(BP156-BP158,1),"n/p")</f>
        <v>0</v>
      </c>
      <c r="BQ159" s="31" t="n">
        <f aca="false">IF(ISNUMBER(BQ158),ROUND(BQ156-BQ158,1),"n/p")</f>
        <v>0</v>
      </c>
      <c r="BR159" s="31" t="n">
        <f aca="false">IF(ISNUMBER(BR158),ROUND(BR156-BR158,1),"n/p")</f>
        <v>0</v>
      </c>
      <c r="BS159" s="31" t="n">
        <f aca="false">IF(ISNUMBER(BS158),ROUND(BS156-BS158,1),"n/p")</f>
        <v>0</v>
      </c>
      <c r="BT159" s="31" t="n">
        <f aca="false">IF(ISNUMBER(BT158),ROUND(BT156-BT158,1),"n/p")</f>
        <v>0</v>
      </c>
      <c r="BU159" s="31" t="n">
        <f aca="false">IF(ISNUMBER(BU158),ROUND(BU156-BU158,1),"n/p")</f>
        <v>0</v>
      </c>
      <c r="BV159" s="31" t="n">
        <f aca="false">IF(ISNUMBER(BV158),ROUND(BV156-BV158,1),"n/p")</f>
        <v>0</v>
      </c>
      <c r="BW159" s="31" t="n">
        <f aca="false">IF(ISNUMBER(BW158),ROUND(BW156-BW158,1),"n/p")</f>
        <v>0</v>
      </c>
      <c r="BX159" s="31" t="n">
        <f aca="false">IF(ISNUMBER(BX158),ROUND(BX156-BX158,1),"n/p")</f>
        <v>0</v>
      </c>
      <c r="BY159" s="31" t="n">
        <f aca="false">IF(ISNUMBER(BY158),ROUND(BY156-BY158,1),"n/p")</f>
        <v>0</v>
      </c>
      <c r="BZ159" s="31" t="n">
        <f aca="false">IF(ISNUMBER(BZ158),ROUND(BZ156-BZ158,1),"n/p")</f>
        <v>0</v>
      </c>
      <c r="CA159" s="31" t="n">
        <f aca="false">IF(ISNUMBER(CA158),ROUND(CA156-CA158,1),"n/p")</f>
        <v>0</v>
      </c>
      <c r="CB159" s="31" t="n">
        <f aca="false">IF(ISNUMBER(CB158),ROUND(CB156-CB158,1),"n/p")</f>
        <v>0</v>
      </c>
      <c r="CC159" s="31" t="n">
        <f aca="false">IF(ISNUMBER(CC158),ROUND(CC156-CC158,1),"n/p")</f>
        <v>0</v>
      </c>
      <c r="CD159" s="31" t="n">
        <f aca="false">IF(ISNUMBER(CD158),ROUND(CD156-CD158,1),"n/p")</f>
        <v>0</v>
      </c>
      <c r="CE159" s="31" t="n">
        <f aca="false">IF(ISNUMBER(CE158),ROUND(CE156-CE158,1),"n/p")</f>
        <v>0</v>
      </c>
      <c r="CF159" s="31" t="n">
        <f aca="false">IF(ISNUMBER(CF158),ROUND(CF156-CF158,1),"n/p")</f>
        <v>0</v>
      </c>
      <c r="CG159" s="31" t="n">
        <f aca="false">IF(ISNUMBER(CG158),ROUND(CG156-CG158,1),"n/p")</f>
        <v>0</v>
      </c>
      <c r="CH159" s="31" t="n">
        <f aca="false">IF(ISNUMBER(CH158),ROUND(CH156-CH158,1),"n/p")</f>
        <v>0</v>
      </c>
      <c r="CI159" s="31" t="n">
        <f aca="false">IF(ISNUMBER(CI158),ROUND(CI156-CI158,1),"n/p")</f>
        <v>0</v>
      </c>
      <c r="CJ159" s="31" t="n">
        <f aca="false">IF(ISNUMBER(CJ158),ROUND(CJ156-CJ158,1),"n/p")</f>
        <v>0</v>
      </c>
      <c r="CK159" s="31" t="n">
        <f aca="false">IF(ISNUMBER(CK158),ROUND(CK156-CK158,1),"n/p")</f>
        <v>0</v>
      </c>
      <c r="CL159" s="31" t="n">
        <f aca="false">IF(ISNUMBER(CL158),ROUND(CL156-CL158,1),"n/p")</f>
        <v>0</v>
      </c>
      <c r="CM159" s="32"/>
      <c r="CN159" s="32"/>
      <c r="CO159" s="32"/>
      <c r="CP159" s="32"/>
      <c r="CQ159" s="32"/>
      <c r="CR159" s="32"/>
      <c r="CS159" s="32"/>
      <c r="CT159" s="23"/>
      <c r="CV159" s="7"/>
      <c r="CW159" s="7"/>
      <c r="CX159" s="7"/>
      <c r="CY159" s="7"/>
    </row>
    <row r="160" customFormat="false" ht="15" hidden="false" customHeight="true" outlineLevel="0" collapsed="false">
      <c r="B160" s="56" t="s">
        <v>299</v>
      </c>
      <c r="C160" s="57" t="s">
        <v>300</v>
      </c>
      <c r="H160" s="57" t="s">
        <v>301</v>
      </c>
      <c r="J160" s="57" t="s">
        <v>302</v>
      </c>
      <c r="O160" s="57" t="s">
        <v>303</v>
      </c>
      <c r="T160" s="57" t="s">
        <v>304</v>
      </c>
      <c r="U160" s="57" t="s">
        <v>305</v>
      </c>
      <c r="V160" s="57" t="s">
        <v>306</v>
      </c>
      <c r="AC160" s="57" t="s">
        <v>307</v>
      </c>
      <c r="AI160" s="57" t="s">
        <v>308</v>
      </c>
      <c r="AT160" s="57" t="s">
        <v>309</v>
      </c>
      <c r="AW160" s="57" t="s">
        <v>310</v>
      </c>
      <c r="BG160" s="57" t="s">
        <v>311</v>
      </c>
      <c r="BM160" s="57" t="s">
        <v>312</v>
      </c>
      <c r="BR160" s="57" t="s">
        <v>313</v>
      </c>
      <c r="BU160" s="57" t="s">
        <v>314</v>
      </c>
      <c r="CE160" s="57" t="s">
        <v>315</v>
      </c>
      <c r="CG160" s="57" t="s">
        <v>316</v>
      </c>
      <c r="CJ160" s="57" t="s">
        <v>317</v>
      </c>
      <c r="CM160" s="7"/>
      <c r="CN160" s="7"/>
      <c r="CO160" s="7"/>
      <c r="CP160" s="7"/>
      <c r="CQ160" s="7"/>
      <c r="CR160" s="7"/>
      <c r="CS160" s="7"/>
      <c r="CT160" s="23" t="s">
        <v>318</v>
      </c>
      <c r="CV160" s="7"/>
      <c r="CW160" s="7"/>
      <c r="CX160" s="7"/>
      <c r="CY160" s="7"/>
    </row>
    <row r="161" customFormat="false" ht="15" hidden="false" customHeight="true" outlineLevel="0" collapsed="false">
      <c r="B161" s="39" t="s">
        <v>319</v>
      </c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2"/>
      <c r="CN161" s="32"/>
      <c r="CO161" s="32"/>
      <c r="CP161" s="32"/>
      <c r="CQ161" s="32"/>
      <c r="CR161" s="32"/>
      <c r="CS161" s="32"/>
      <c r="CT161" s="23"/>
      <c r="CV161" s="7"/>
      <c r="CW161" s="7"/>
      <c r="CX161" s="7"/>
      <c r="CY161" s="7"/>
    </row>
    <row r="162" customFormat="false" ht="15" hidden="false" customHeight="true" outlineLevel="0" collapsed="false">
      <c r="B162" s="13" t="s">
        <v>320</v>
      </c>
      <c r="C162" s="31" t="n">
        <f aca="false">-C101</f>
        <v>-15.017</v>
      </c>
      <c r="D162" s="31" t="n">
        <f aca="false">-D101</f>
        <v>-19.417</v>
      </c>
      <c r="E162" s="31" t="n">
        <f aca="false">-E101</f>
        <v>-24.764</v>
      </c>
      <c r="F162" s="31" t="n">
        <f aca="false">-F101</f>
        <v>-31.761</v>
      </c>
      <c r="G162" s="31" t="n">
        <f aca="false">-G101</f>
        <v>-37.813</v>
      </c>
      <c r="H162" s="31" t="n">
        <f aca="false">-H101</f>
        <v>-42.408</v>
      </c>
      <c r="I162" s="31" t="n">
        <f aca="false">-I101</f>
        <v>-41.138</v>
      </c>
      <c r="J162" s="31" t="n">
        <f aca="false">-J101</f>
        <v>-10.32</v>
      </c>
      <c r="K162" s="31" t="n">
        <f aca="false">-K101</f>
        <v>-10.719</v>
      </c>
      <c r="L162" s="31" t="n">
        <f aca="false">-L101</f>
        <v>-21.039</v>
      </c>
      <c r="M162" s="31" t="n">
        <f aca="false">-M101</f>
        <v>-10.815</v>
      </c>
      <c r="N162" s="31" t="n">
        <f aca="false">-N101</f>
        <v>-11.426</v>
      </c>
      <c r="O162" s="31" t="n">
        <f aca="false">-O101</f>
        <v>-43.28</v>
      </c>
      <c r="P162" s="31" t="n">
        <f aca="false">-P101</f>
        <v>-10.597</v>
      </c>
      <c r="Q162" s="31" t="n">
        <f aca="false">-Q101</f>
        <v>-10.979</v>
      </c>
      <c r="R162" s="31" t="n">
        <f aca="false">-R101</f>
        <v>-21.576</v>
      </c>
      <c r="S162" s="31" t="n">
        <f aca="false">-S101</f>
        <v>-11.406</v>
      </c>
      <c r="T162" s="31" t="n">
        <f aca="false">-T101</f>
        <v>-11.554</v>
      </c>
      <c r="U162" s="31" t="n">
        <f aca="false">-U101</f>
        <v>-44.536</v>
      </c>
      <c r="V162" s="31" t="n">
        <f aca="false">-V101</f>
        <v>-10.616</v>
      </c>
      <c r="W162" s="31" t="n">
        <f aca="false">-W101</f>
        <v>-10.769</v>
      </c>
      <c r="X162" s="31" t="n">
        <f aca="false">-X101</f>
        <v>-21.385</v>
      </c>
      <c r="Y162" s="31" t="n">
        <f aca="false">-Y101</f>
        <v>-10.017</v>
      </c>
      <c r="Z162" s="31" t="n">
        <f aca="false">-Z101</f>
        <v>-10.63</v>
      </c>
      <c r="AA162" s="31" t="n">
        <f aca="false">-AA101</f>
        <v>-42.032</v>
      </c>
      <c r="AB162" s="31" t="n">
        <f aca="false">-AB101</f>
        <v>-10.08</v>
      </c>
      <c r="AC162" s="31" t="n">
        <f aca="false">-AC101</f>
        <v>-10.284</v>
      </c>
      <c r="AD162" s="31" t="n">
        <f aca="false">-AD101</f>
        <v>-20.364</v>
      </c>
      <c r="AE162" s="31" t="n">
        <f aca="false">-AE101</f>
        <v>-10.196</v>
      </c>
      <c r="AF162" s="31" t="n">
        <f aca="false">-AF101</f>
        <v>-10.301</v>
      </c>
      <c r="AG162" s="31" t="n">
        <f aca="false">-AG101</f>
        <v>-40.861</v>
      </c>
      <c r="AH162" s="31" t="n">
        <f aca="false">-AH101</f>
        <v>-10.338</v>
      </c>
      <c r="AI162" s="31" t="n">
        <f aca="false">-AI101</f>
        <v>-11.872</v>
      </c>
      <c r="AJ162" s="31" t="n">
        <f aca="false">-AJ101</f>
        <v>-22.21</v>
      </c>
      <c r="AK162" s="31" t="n">
        <f aca="false">-AK101</f>
        <v>-14.837</v>
      </c>
      <c r="AL162" s="31" t="n">
        <f aca="false">-AL101</f>
        <v>-15.647</v>
      </c>
      <c r="AM162" s="31" t="n">
        <f aca="false">-AM101</f>
        <v>-52.694</v>
      </c>
      <c r="AN162" s="31" t="n">
        <f aca="false">-AN101</f>
        <v>-16.191</v>
      </c>
      <c r="AO162" s="31" t="n">
        <f aca="false">-AO101</f>
        <v>-16.537</v>
      </c>
      <c r="AP162" s="31" t="n">
        <f aca="false">-AP101</f>
        <v>-32.728</v>
      </c>
      <c r="AQ162" s="31" t="n">
        <f aca="false">-AQ101</f>
        <v>-16.723</v>
      </c>
      <c r="AR162" s="31" t="n">
        <f aca="false">-AR101</f>
        <v>-17.163</v>
      </c>
      <c r="AS162" s="31" t="n">
        <f aca="false">-AS101</f>
        <v>-66.614</v>
      </c>
      <c r="AT162" s="31" t="n">
        <f aca="false">-AT101</f>
        <v>-17.115</v>
      </c>
      <c r="AU162" s="31" t="n">
        <f aca="false">-AU101</f>
        <v>-17.112</v>
      </c>
      <c r="AV162" s="31" t="n">
        <f aca="false">-AV101</f>
        <v>-34.227</v>
      </c>
      <c r="AW162" s="31" t="n">
        <f aca="false">-AW101</f>
        <v>-17.692</v>
      </c>
      <c r="AX162" s="31" t="n">
        <f aca="false">-AX101</f>
        <v>-18.582</v>
      </c>
      <c r="AY162" s="31" t="n">
        <f aca="false">-AY101</f>
        <v>-70.501</v>
      </c>
      <c r="AZ162" s="31" t="n">
        <f aca="false">-AZ101</f>
        <v>-19.293</v>
      </c>
      <c r="BA162" s="31" t="n">
        <f aca="false">-BA101</f>
        <v>-17.857</v>
      </c>
      <c r="BB162" s="31" t="n">
        <f aca="false">-BB101</f>
        <v>-37.15</v>
      </c>
      <c r="BC162" s="31" t="n">
        <f aca="false">-BC101</f>
        <v>-18.436</v>
      </c>
      <c r="BD162" s="31" t="n">
        <f aca="false">-BD101</f>
        <v>-19.337</v>
      </c>
      <c r="BE162" s="31" t="n">
        <f aca="false">-BE101</f>
        <v>-74.921</v>
      </c>
      <c r="BF162" s="31" t="n">
        <f aca="false">-BF101</f>
        <v>-21.07</v>
      </c>
      <c r="BG162" s="31" t="n">
        <f aca="false">-BG101</f>
        <v>-21.935</v>
      </c>
      <c r="BH162" s="31" t="n">
        <f aca="false">-BH101</f>
        <v>-43.005</v>
      </c>
      <c r="BI162" s="31" t="n">
        <f aca="false">-BI101</f>
        <v>-21.907</v>
      </c>
      <c r="BJ162" s="31" t="n">
        <f aca="false">-BJ101</f>
        <v>-22.977</v>
      </c>
      <c r="BK162" s="31" t="n">
        <f aca="false">-BK101</f>
        <v>-87.889</v>
      </c>
      <c r="BL162" s="31" t="n">
        <f aca="false">-BL101</f>
        <v>-24.225</v>
      </c>
      <c r="BM162" s="31" t="n">
        <f aca="false">-BM101</f>
        <v>-24.298</v>
      </c>
      <c r="BN162" s="31" t="n">
        <f aca="false">-BN101</f>
        <v>-48.523</v>
      </c>
      <c r="BO162" s="31" t="n">
        <f aca="false">-BO101</f>
        <v>-24.29</v>
      </c>
      <c r="BP162" s="31" t="n">
        <f aca="false">-BP101</f>
        <v>-24.342</v>
      </c>
      <c r="BQ162" s="31" t="n">
        <f aca="false">-BQ101</f>
        <v>-97.155</v>
      </c>
      <c r="BR162" s="31" t="n">
        <f aca="false">-BR101</f>
        <v>-36.2</v>
      </c>
      <c r="BS162" s="31" t="n">
        <f aca="false">-BS101</f>
        <v>-109.6</v>
      </c>
      <c r="BT162" s="31" t="n">
        <f aca="false">-BT101</f>
        <v>-145.8</v>
      </c>
      <c r="BU162" s="31" t="n">
        <f aca="false">-BU101</f>
        <v>-101.1</v>
      </c>
      <c r="BV162" s="31" t="n">
        <f aca="false">-BV101</f>
        <v>-105.3</v>
      </c>
      <c r="BW162" s="31" t="n">
        <f aca="false">-BW101</f>
        <v>-352.2</v>
      </c>
      <c r="BX162" s="31" t="n">
        <f aca="false">-BX101</f>
        <v>-107.7</v>
      </c>
      <c r="BY162" s="31" t="n">
        <f aca="false">-BY101</f>
        <v>-110.3</v>
      </c>
      <c r="BZ162" s="31" t="n">
        <f aca="false">-BZ101</f>
        <v>-218</v>
      </c>
      <c r="CA162" s="31" t="n">
        <f aca="false">-CA101</f>
        <v>-111.9</v>
      </c>
      <c r="CB162" s="31" t="n">
        <f aca="false">-CB101</f>
        <v>-114.5</v>
      </c>
      <c r="CC162" s="31" t="n">
        <f aca="false">-CC101</f>
        <v>-444.4</v>
      </c>
      <c r="CD162" s="31" t="n">
        <f aca="false">-CD101</f>
        <v>-114.5</v>
      </c>
      <c r="CE162" s="31" t="n">
        <f aca="false">-CE101</f>
        <v>-116.7</v>
      </c>
      <c r="CF162" s="31" t="n">
        <f aca="false">-CF101</f>
        <v>-231.2</v>
      </c>
      <c r="CG162" s="31" t="n">
        <f aca="false">-CG101</f>
        <v>-124.7</v>
      </c>
      <c r="CH162" s="31" t="n">
        <f aca="false">-CH101</f>
        <v>-127.5</v>
      </c>
      <c r="CI162" s="31" t="n">
        <f aca="false">-CI101</f>
        <v>-483.4</v>
      </c>
      <c r="CJ162" s="31" t="n">
        <f aca="false">-CJ101</f>
        <v>-126.7</v>
      </c>
      <c r="CK162" s="31" t="n">
        <f aca="false">-CK101</f>
        <v>-130.4</v>
      </c>
      <c r="CL162" s="31" t="n">
        <f aca="false">-CL101</f>
        <v>-257.1</v>
      </c>
      <c r="CM162" s="32" t="n">
        <f aca="false">-CM101</f>
        <v>-125.284913591665</v>
      </c>
      <c r="CN162" s="32" t="n">
        <f aca="false">-CN101</f>
        <v>-131.007119083801</v>
      </c>
      <c r="CO162" s="32" t="n">
        <f aca="false">SUM(CJ162,CK162,CM162,CN162)</f>
        <v>-513.392032675466</v>
      </c>
      <c r="CP162" s="32" t="n">
        <f aca="false">-CP101</f>
        <v>-463.267757191828</v>
      </c>
      <c r="CQ162" s="32" t="n">
        <f aca="false">-CQ101</f>
        <v>-420.071870483151</v>
      </c>
      <c r="CR162" s="32" t="n">
        <f aca="false">-CR101</f>
        <v>-408.241654994046</v>
      </c>
      <c r="CS162" s="32" t="n">
        <f aca="false">-CS101</f>
        <v>-411.849479244129</v>
      </c>
      <c r="CT162" s="23"/>
      <c r="CV162" s="7"/>
      <c r="CW162" s="7"/>
      <c r="CX162" s="7"/>
      <c r="CY162" s="7"/>
    </row>
    <row r="163" customFormat="false" ht="15" hidden="false" customHeight="true" outlineLevel="0" collapsed="false">
      <c r="B163" s="13" t="s">
        <v>321</v>
      </c>
      <c r="C163" s="31" t="n">
        <f aca="false">N(C172)</f>
        <v>0</v>
      </c>
      <c r="D163" s="31" t="n">
        <f aca="false">N(D172)</f>
        <v>0</v>
      </c>
      <c r="E163" s="31" t="n">
        <f aca="false">N(E172)</f>
        <v>0</v>
      </c>
      <c r="F163" s="31" t="n">
        <f aca="false">N(F172)</f>
        <v>0</v>
      </c>
      <c r="G163" s="31" t="n">
        <f aca="false">N(G172)</f>
        <v>0</v>
      </c>
      <c r="H163" s="31" t="n">
        <f aca="false">N(H172)</f>
        <v>0</v>
      </c>
      <c r="I163" s="31" t="n">
        <f aca="false">N(I172)</f>
        <v>0</v>
      </c>
      <c r="J163" s="31" t="n">
        <f aca="false">N(J172)</f>
        <v>0</v>
      </c>
      <c r="K163" s="31" t="n">
        <f aca="false">N(K172)</f>
        <v>0</v>
      </c>
      <c r="L163" s="31" t="n">
        <f aca="false">N(L172)</f>
        <v>0</v>
      </c>
      <c r="M163" s="31" t="n">
        <f aca="false">N(M172)</f>
        <v>0</v>
      </c>
      <c r="N163" s="31" t="n">
        <f aca="false">N(N172)</f>
        <v>0</v>
      </c>
      <c r="O163" s="31" t="n">
        <f aca="false">N(O172)</f>
        <v>0</v>
      </c>
      <c r="P163" s="31" t="n">
        <f aca="false">N(P172)</f>
        <v>0</v>
      </c>
      <c r="Q163" s="31" t="n">
        <f aca="false">N(Q172)</f>
        <v>0</v>
      </c>
      <c r="R163" s="31" t="n">
        <f aca="false">N(R172)</f>
        <v>0</v>
      </c>
      <c r="S163" s="31" t="n">
        <f aca="false">N(S172)</f>
        <v>0</v>
      </c>
      <c r="T163" s="31" t="n">
        <f aca="false">N(T172)</f>
        <v>0</v>
      </c>
      <c r="U163" s="31" t="n">
        <f aca="false">N(U172)</f>
        <v>0</v>
      </c>
      <c r="V163" s="31" t="n">
        <f aca="false">N(V172)</f>
        <v>0</v>
      </c>
      <c r="W163" s="31" t="n">
        <f aca="false">N(W172)</f>
        <v>0</v>
      </c>
      <c r="X163" s="31" t="n">
        <f aca="false">N(X172)</f>
        <v>0</v>
      </c>
      <c r="Y163" s="31" t="n">
        <f aca="false">N(Y172)</f>
        <v>0</v>
      </c>
      <c r="Z163" s="31" t="n">
        <f aca="false">N(Z172)</f>
        <v>0</v>
      </c>
      <c r="AA163" s="31" t="n">
        <f aca="false">N(AA172)</f>
        <v>0</v>
      </c>
      <c r="AB163" s="31" t="n">
        <f aca="false">N(AB172)</f>
        <v>0</v>
      </c>
      <c r="AC163" s="31" t="n">
        <f aca="false">N(AC172)</f>
        <v>0</v>
      </c>
      <c r="AD163" s="31" t="n">
        <f aca="false">N(AD172)</f>
        <v>0</v>
      </c>
      <c r="AE163" s="31" t="n">
        <f aca="false">N(AE172)</f>
        <v>0</v>
      </c>
      <c r="AF163" s="31" t="n">
        <f aca="false">N(AF172)</f>
        <v>0</v>
      </c>
      <c r="AG163" s="31" t="n">
        <f aca="false">N(AG172)</f>
        <v>0</v>
      </c>
      <c r="AH163" s="31" t="n">
        <f aca="false">N(AH172)</f>
        <v>0</v>
      </c>
      <c r="AI163" s="31" t="n">
        <f aca="false">N(AI172)</f>
        <v>0</v>
      </c>
      <c r="AJ163" s="31" t="n">
        <f aca="false">N(AJ172)</f>
        <v>0</v>
      </c>
      <c r="AK163" s="31" t="n">
        <f aca="false">N(AK172)</f>
        <v>0</v>
      </c>
      <c r="AL163" s="31" t="n">
        <f aca="false">N(AL172)</f>
        <v>0</v>
      </c>
      <c r="AM163" s="31" t="n">
        <f aca="false">N(AM172)</f>
        <v>0</v>
      </c>
      <c r="AN163" s="31" t="n">
        <f aca="false">N(AN172)</f>
        <v>0</v>
      </c>
      <c r="AO163" s="31" t="n">
        <f aca="false">N(AO172)</f>
        <v>0</v>
      </c>
      <c r="AP163" s="31" t="n">
        <f aca="false">N(AP172)</f>
        <v>0</v>
      </c>
      <c r="AQ163" s="31" t="n">
        <f aca="false">N(AQ172)</f>
        <v>0</v>
      </c>
      <c r="AR163" s="31" t="n">
        <f aca="false">N(AR172)</f>
        <v>0</v>
      </c>
      <c r="AS163" s="31" t="n">
        <f aca="false">N(AS172)</f>
        <v>0</v>
      </c>
      <c r="AT163" s="31" t="n">
        <f aca="false">N(AT172)</f>
        <v>0</v>
      </c>
      <c r="AU163" s="31" t="n">
        <f aca="false">N(AU172)</f>
        <v>0</v>
      </c>
      <c r="AV163" s="31" t="n">
        <f aca="false">N(AV172)</f>
        <v>0</v>
      </c>
      <c r="AW163" s="31" t="n">
        <f aca="false">N(AW172)</f>
        <v>5.548</v>
      </c>
      <c r="AX163" s="31" t="n">
        <f aca="false">N(AX172)</f>
        <v>5.548</v>
      </c>
      <c r="AY163" s="31" t="n">
        <f aca="false">N(AY172)</f>
        <v>20.638</v>
      </c>
      <c r="AZ163" s="31" t="n">
        <f aca="false">N(AZ172)</f>
        <v>5.548</v>
      </c>
      <c r="BA163" s="31" t="n">
        <f aca="false">N(BA172)</f>
        <v>4.935</v>
      </c>
      <c r="BB163" s="31" t="n">
        <f aca="false">N(BB172)</f>
        <v>10.483</v>
      </c>
      <c r="BC163" s="31" t="n">
        <f aca="false">N(BC172)</f>
        <v>4.993</v>
      </c>
      <c r="BD163" s="31" t="n">
        <f aca="false">N(BD172)</f>
        <v>5.622</v>
      </c>
      <c r="BE163" s="31" t="n">
        <f aca="false">N(BE172)</f>
        <v>21.098</v>
      </c>
      <c r="BF163" s="31" t="n">
        <f aca="false">N(BF172)</f>
        <v>6.641</v>
      </c>
      <c r="BG163" s="31" t="n">
        <f aca="false">N(BG172)</f>
        <v>6.802</v>
      </c>
      <c r="BH163" s="31" t="n">
        <f aca="false">N(BH172)</f>
        <v>13.443</v>
      </c>
      <c r="BI163" s="31" t="n">
        <f aca="false">N(BI172)</f>
        <v>6.622</v>
      </c>
      <c r="BJ163" s="31" t="n">
        <f aca="false">N(BJ172)</f>
        <v>7.895</v>
      </c>
      <c r="BK163" s="31" t="n">
        <f aca="false">N(BK172)</f>
        <v>27.96</v>
      </c>
      <c r="BL163" s="31" t="n">
        <f aca="false">N(BL172)</f>
        <v>8.532</v>
      </c>
      <c r="BM163" s="31" t="n">
        <f aca="false">N(BM172)</f>
        <v>8.426</v>
      </c>
      <c r="BN163" s="31" t="n">
        <f aca="false">N(BN172)</f>
        <v>16.958</v>
      </c>
      <c r="BO163" s="31" t="n">
        <f aca="false">N(BO172)</f>
        <v>8.227</v>
      </c>
      <c r="BP163" s="31" t="n">
        <f aca="false">N(BP172)</f>
        <v>8.202</v>
      </c>
      <c r="BQ163" s="31" t="n">
        <f aca="false">N(BQ172)</f>
        <v>33.387</v>
      </c>
      <c r="BR163" s="31" t="n">
        <f aca="false">N(BR172)</f>
        <v>16.6</v>
      </c>
      <c r="BS163" s="31" t="n">
        <f aca="false">N(BS172)</f>
        <v>76</v>
      </c>
      <c r="BT163" s="31" t="n">
        <f aca="false">N(BT172)</f>
        <v>92.6</v>
      </c>
      <c r="BU163" s="31" t="n">
        <f aca="false">N(BU172)</f>
        <v>63.9</v>
      </c>
      <c r="BV163" s="31" t="n">
        <f aca="false">N(BV172)</f>
        <v>69.6</v>
      </c>
      <c r="BW163" s="31" t="n">
        <f aca="false">N(BW172)</f>
        <v>226.2</v>
      </c>
      <c r="BX163" s="31" t="n">
        <f aca="false">N(BX172)</f>
        <v>69.6</v>
      </c>
      <c r="BY163" s="31" t="n">
        <f aca="false">N(BY172)</f>
        <v>69</v>
      </c>
      <c r="BZ163" s="31" t="n">
        <f aca="false">N(BZ172)</f>
        <v>138.6</v>
      </c>
      <c r="CA163" s="31" t="n">
        <f aca="false">N(CA172)</f>
        <v>67.9</v>
      </c>
      <c r="CB163" s="31" t="n">
        <f aca="false">N(CB172)</f>
        <v>68.5</v>
      </c>
      <c r="CC163" s="31" t="n">
        <f aca="false">N(CC172)</f>
        <v>274.9</v>
      </c>
      <c r="CD163" s="31" t="n">
        <f aca="false">N(CD172)</f>
        <v>68.3</v>
      </c>
      <c r="CE163" s="31" t="n">
        <f aca="false">N(CE172)</f>
        <v>68.3</v>
      </c>
      <c r="CF163" s="31" t="n">
        <f aca="false">N(CF172)</f>
        <v>136.6</v>
      </c>
      <c r="CG163" s="31" t="n">
        <f aca="false">N(CG172)</f>
        <v>72.7</v>
      </c>
      <c r="CH163" s="31" t="n">
        <f aca="false">N(CH172)</f>
        <v>73.1</v>
      </c>
      <c r="CI163" s="31" t="n">
        <f aca="false">N(CI172)</f>
        <v>282.4</v>
      </c>
      <c r="CJ163" s="31" t="n">
        <f aca="false">N(CJ172)</f>
        <v>72.6</v>
      </c>
      <c r="CK163" s="31" t="n">
        <f aca="false">N(CK172)</f>
        <v>74.2</v>
      </c>
      <c r="CL163" s="31" t="n">
        <f aca="false">N(CL172)</f>
        <v>146.8</v>
      </c>
      <c r="CM163" s="32" t="n">
        <f aca="false">CM172</f>
        <v>75.1</v>
      </c>
      <c r="CN163" s="32" t="n">
        <f aca="false">CN172</f>
        <v>75.1</v>
      </c>
      <c r="CO163" s="32" t="n">
        <f aca="false">SUM(CJ163,CK163,CM163,CN163)</f>
        <v>297</v>
      </c>
      <c r="CP163" s="32" t="n">
        <f aca="false">CP172</f>
        <v>237</v>
      </c>
      <c r="CQ163" s="32" t="n">
        <f aca="false">CQ172</f>
        <v>183</v>
      </c>
      <c r="CR163" s="32" t="n">
        <f aca="false">CR172</f>
        <v>161</v>
      </c>
      <c r="CS163" s="32" t="n">
        <f aca="false">CS172</f>
        <v>154</v>
      </c>
      <c r="CT163" s="23"/>
      <c r="CV163" s="7"/>
      <c r="CW163" s="7"/>
      <c r="CX163" s="7"/>
      <c r="CY163" s="7"/>
    </row>
    <row r="164" customFormat="false" ht="15" hidden="false" customHeight="true" outlineLevel="0" collapsed="false">
      <c r="B164" s="41" t="s">
        <v>322</v>
      </c>
      <c r="C164" s="43" t="n">
        <f aca="false">C156+C162+C163</f>
        <v>86.5740000000001</v>
      </c>
      <c r="D164" s="43" t="n">
        <f aca="false">D156+D162+D163</f>
        <v>105.708</v>
      </c>
      <c r="E164" s="43" t="n">
        <f aca="false">E156+E162+E163</f>
        <v>135.149</v>
      </c>
      <c r="F164" s="43" t="n">
        <f aca="false">F156+F162+F163</f>
        <v>129.667</v>
      </c>
      <c r="G164" s="43" t="n">
        <f aca="false">G156+G162+G163</f>
        <v>93.539</v>
      </c>
      <c r="H164" s="43" t="n">
        <f aca="false">H156+H162+H163</f>
        <v>111.23</v>
      </c>
      <c r="I164" s="43" t="n">
        <f aca="false">I156+I162+I163</f>
        <v>116.455</v>
      </c>
      <c r="J164" s="20" t="n">
        <f aca="false">J156+J162+J163</f>
        <v>21.678</v>
      </c>
      <c r="K164" s="20" t="n">
        <f aca="false">K156+K162+K163</f>
        <v>42.56</v>
      </c>
      <c r="L164" s="20" t="n">
        <f aca="false">L156+L162+L163</f>
        <v>64.238</v>
      </c>
      <c r="M164" s="20" t="n">
        <f aca="false">M156+M162+M163</f>
        <v>26.818</v>
      </c>
      <c r="N164" s="20" t="n">
        <f aca="false">N156+N162+N163</f>
        <v>53.025</v>
      </c>
      <c r="O164" s="43" t="n">
        <f aca="false">O156+O162+O163</f>
        <v>134.181</v>
      </c>
      <c r="P164" s="20" t="n">
        <f aca="false">P156+P162+P163</f>
        <v>19.888</v>
      </c>
      <c r="Q164" s="20" t="n">
        <f aca="false">Q156+Q162+Q163</f>
        <v>52.461</v>
      </c>
      <c r="R164" s="20" t="n">
        <f aca="false">R156+R162+R163</f>
        <v>72.349</v>
      </c>
      <c r="S164" s="20" t="n">
        <f aca="false">S156+S162+S163</f>
        <v>16.646</v>
      </c>
      <c r="T164" s="20" t="n">
        <f aca="false">T156+T162+T163</f>
        <v>48.598</v>
      </c>
      <c r="U164" s="43" t="n">
        <f aca="false">U156+U162+U163</f>
        <v>142.293</v>
      </c>
      <c r="V164" s="20" t="n">
        <f aca="false">V156+V162+V163</f>
        <v>33.965</v>
      </c>
      <c r="W164" s="20" t="n">
        <f aca="false">W156+W162+W163</f>
        <v>63.886</v>
      </c>
      <c r="X164" s="20" t="n">
        <f aca="false">X156+X162+X163</f>
        <v>97.8510000000001</v>
      </c>
      <c r="Y164" s="20" t="n">
        <f aca="false">Y156+Y162+Y163</f>
        <v>29.704</v>
      </c>
      <c r="Z164" s="20" t="n">
        <f aca="false">Z156+Z162+Z163</f>
        <v>42.799</v>
      </c>
      <c r="AA164" s="43" t="n">
        <f aca="false">AA156+AA162+AA163</f>
        <v>170.354</v>
      </c>
      <c r="AB164" s="20" t="n">
        <f aca="false">AB156+AB162+AB163</f>
        <v>40.391</v>
      </c>
      <c r="AC164" s="20" t="n">
        <f aca="false">AC156+AC162+AC163</f>
        <v>54.381</v>
      </c>
      <c r="AD164" s="20" t="n">
        <f aca="false">AD156+AD162+AD163</f>
        <v>94.772</v>
      </c>
      <c r="AE164" s="20" t="n">
        <f aca="false">AE156+AE162+AE163</f>
        <v>30.988</v>
      </c>
      <c r="AF164" s="20" t="n">
        <f aca="false">AF156+AF162+AF163</f>
        <v>43.465</v>
      </c>
      <c r="AG164" s="43" t="n">
        <f aca="false">AG156+AG162+AG163</f>
        <v>169.225</v>
      </c>
      <c r="AH164" s="20" t="n">
        <f aca="false">AH156+AH162+AH163</f>
        <v>24.926</v>
      </c>
      <c r="AI164" s="20" t="n">
        <f aca="false">AI156+AI162+AI163</f>
        <v>53.544</v>
      </c>
      <c r="AJ164" s="20" t="n">
        <f aca="false">AJ156+AJ162+AJ163</f>
        <v>78.47</v>
      </c>
      <c r="AK164" s="20" t="n">
        <f aca="false">AK156+AK162+AK163</f>
        <v>17.006</v>
      </c>
      <c r="AL164" s="20" t="n">
        <f aca="false">AL156+AL162+AL163</f>
        <v>43.354</v>
      </c>
      <c r="AM164" s="43" t="n">
        <f aca="false">AM156+AM162+AM163</f>
        <v>138.83</v>
      </c>
      <c r="AN164" s="20" t="n">
        <f aca="false">AN156+AN162+AN163</f>
        <v>33.394</v>
      </c>
      <c r="AO164" s="20" t="n">
        <f aca="false">AO156+AO162+AO163</f>
        <v>64.858</v>
      </c>
      <c r="AP164" s="20" t="n">
        <f aca="false">AP156+AP162+AP163</f>
        <v>98.252</v>
      </c>
      <c r="AQ164" s="20" t="n">
        <f aca="false">AQ156+AQ162+AQ163</f>
        <v>34.162</v>
      </c>
      <c r="AR164" s="20" t="n">
        <f aca="false">AR156+AR162+AR163</f>
        <v>58.303</v>
      </c>
      <c r="AS164" s="43" t="n">
        <f aca="false">AS156+AS162+AS163</f>
        <v>190.717</v>
      </c>
      <c r="AT164" s="20" t="n">
        <f aca="false">AT156+AT162+AT163</f>
        <v>34.772</v>
      </c>
      <c r="AU164" s="20" t="n">
        <f aca="false">AU156+AU162+AU163</f>
        <v>78.5859999999999</v>
      </c>
      <c r="AV164" s="20" t="n">
        <f aca="false">AV156+AV162+AV163</f>
        <v>113.358</v>
      </c>
      <c r="AW164" s="20" t="n">
        <f aca="false">AW156+AW162+AW163</f>
        <v>52.037</v>
      </c>
      <c r="AX164" s="20" t="n">
        <f aca="false">AX156+AX162+AX163</f>
        <v>79.0889999999999</v>
      </c>
      <c r="AY164" s="43" t="n">
        <f aca="false">AY156+AY162+AY163</f>
        <v>264.951</v>
      </c>
      <c r="AZ164" s="20" t="n">
        <f aca="false">AZ156+AZ162+AZ163</f>
        <v>44.694</v>
      </c>
      <c r="BA164" s="20" t="n">
        <f aca="false">BA156+BA162+BA163</f>
        <v>99.341</v>
      </c>
      <c r="BB164" s="20" t="n">
        <f aca="false">BB156+BB162+BB163</f>
        <v>144.035</v>
      </c>
      <c r="BC164" s="20" t="n">
        <f aca="false">BC156+BC162+BC163</f>
        <v>86.358</v>
      </c>
      <c r="BD164" s="20" t="n">
        <f aca="false">BD156+BD162+BD163</f>
        <v>90.078</v>
      </c>
      <c r="BE164" s="43" t="n">
        <f aca="false">BE156+BE162+BE163</f>
        <v>320.473</v>
      </c>
      <c r="BF164" s="20" t="n">
        <f aca="false">BF156+BF162+BF163</f>
        <v>58.474</v>
      </c>
      <c r="BG164" s="20" t="n">
        <f aca="false">BG156+BG162+BG163</f>
        <v>107.837</v>
      </c>
      <c r="BH164" s="20" t="n">
        <f aca="false">BH156+BH162+BH163</f>
        <v>166.311</v>
      </c>
      <c r="BI164" s="20" t="n">
        <f aca="false">BI156+BI162+BI163</f>
        <v>75.9620000000001</v>
      </c>
      <c r="BJ164" s="20" t="n">
        <f aca="false">BJ156+BJ162+BJ163</f>
        <v>83.119</v>
      </c>
      <c r="BK164" s="43" t="n">
        <f aca="false">BK156+BK162+BK163</f>
        <v>325.395</v>
      </c>
      <c r="BL164" s="20" t="n">
        <f aca="false">BL156+BL162+BL163</f>
        <v>89.236</v>
      </c>
      <c r="BM164" s="20" t="n">
        <f aca="false">BM156+BM162+BM163</f>
        <v>120.347</v>
      </c>
      <c r="BN164" s="20" t="n">
        <f aca="false">BN156+BN162+BN163</f>
        <v>209.583</v>
      </c>
      <c r="BO164" s="20" t="n">
        <f aca="false">BO156+BO162+BO163</f>
        <v>86.481</v>
      </c>
      <c r="BP164" s="20" t="n">
        <f aca="false">BP156+BP162+BP163</f>
        <v>105.382</v>
      </c>
      <c r="BQ164" s="43" t="n">
        <f aca="false">BQ156+BQ162+BQ163</f>
        <v>401.447</v>
      </c>
      <c r="BR164" s="20" t="n">
        <f aca="false">BR156+BR162+BR163</f>
        <v>113</v>
      </c>
      <c r="BS164" s="20" t="n">
        <f aca="false">BS156+BS162+BS163</f>
        <v>273.3</v>
      </c>
      <c r="BT164" s="20" t="n">
        <f aca="false">BT156+BT162+BT163</f>
        <v>386.3</v>
      </c>
      <c r="BU164" s="20" t="n">
        <f aca="false">BU156+BU162+BU163</f>
        <v>248.6</v>
      </c>
      <c r="BV164" s="20" t="n">
        <f aca="false">BV156+BV162+BV163</f>
        <v>271.8</v>
      </c>
      <c r="BW164" s="43" t="n">
        <f aca="false">BW156+BW162+BW163</f>
        <v>906.8</v>
      </c>
      <c r="BX164" s="20" t="n">
        <f aca="false">BX156+BX162+BX163</f>
        <v>292.9</v>
      </c>
      <c r="BY164" s="20" t="n">
        <f aca="false">BY156+BY162+BY163</f>
        <v>300.7</v>
      </c>
      <c r="BZ164" s="20" t="n">
        <f aca="false">BZ156+BZ162+BZ163</f>
        <v>593.6</v>
      </c>
      <c r="CA164" s="20" t="n">
        <f aca="false">CA156+CA162+CA163</f>
        <v>239.7</v>
      </c>
      <c r="CB164" s="20" t="n">
        <f aca="false">CB156+CB162+CB163</f>
        <v>300</v>
      </c>
      <c r="CC164" s="43" t="n">
        <f aca="false">CC156+CC162+CC163</f>
        <v>1133.2</v>
      </c>
      <c r="CD164" s="20" t="n">
        <f aca="false">CD156+CD162+CD163</f>
        <v>281.7</v>
      </c>
      <c r="CE164" s="20" t="n">
        <f aca="false">CE156+CE162+CE163</f>
        <v>316.1</v>
      </c>
      <c r="CF164" s="20" t="n">
        <f aca="false">CF156+CF162+CF163</f>
        <v>597.8</v>
      </c>
      <c r="CG164" s="20" t="n">
        <f aca="false">CG156+CG162+CG163</f>
        <v>275.7</v>
      </c>
      <c r="CH164" s="20" t="n">
        <f aca="false">CH156+CH162+CH163</f>
        <v>325.2</v>
      </c>
      <c r="CI164" s="43" t="n">
        <f aca="false">CI156+CI162+CI163</f>
        <v>1198.7</v>
      </c>
      <c r="CJ164" s="20" t="n">
        <f aca="false">CJ156+CJ162+CJ163</f>
        <v>308.6</v>
      </c>
      <c r="CK164" s="20" t="n">
        <f aca="false">CK156+CK162+CK163</f>
        <v>331</v>
      </c>
      <c r="CL164" s="20" t="n">
        <f aca="false">CL156+CL162+CL163</f>
        <v>639.6</v>
      </c>
      <c r="CM164" s="43" t="n">
        <f aca="false">CM156+CM162+CM163</f>
        <v>314.096936631368</v>
      </c>
      <c r="CN164" s="43" t="n">
        <f aca="false">CN156+CN162+CN163</f>
        <v>349.911030693166</v>
      </c>
      <c r="CO164" s="43" t="n">
        <f aca="false">SUM(CJ164,CK164,CM164,CN164)</f>
        <v>1303.60796732453</v>
      </c>
      <c r="CP164" s="43" t="n">
        <f aca="false">CP156+CP162+CP163</f>
        <v>1378.65470661067</v>
      </c>
      <c r="CQ164" s="43" t="n">
        <f aca="false">CQ156+CQ162+CQ163</f>
        <v>1472.05091672096</v>
      </c>
      <c r="CR164" s="43" t="n">
        <f aca="false">CR156+CR162+CR163</f>
        <v>1563.9472129856</v>
      </c>
      <c r="CS164" s="43" t="n">
        <f aca="false">CS156+CS162+CS163</f>
        <v>1661.03036629357</v>
      </c>
      <c r="CT164" s="23"/>
      <c r="CV164" s="24" t="n">
        <f aca="false">IFERROR((CS164/CI164)^(1/5)-1,"n/m")</f>
        <v>0.067415274940446</v>
      </c>
      <c r="CW164" s="24" t="n">
        <f aca="false">IFERROR((CI164/BE164)^(1/5)-1,"n/m")</f>
        <v>0.301918540793177</v>
      </c>
      <c r="CX164" s="24" t="n">
        <f aca="false">IFERROR((CI164/AA164)^(1/10)-1,"n/m")</f>
        <v>0.21544641496092</v>
      </c>
      <c r="CY164" s="24" t="n">
        <f aca="false">IFERROR((CI164/C164)^(1/19)-1,"n/m")</f>
        <v>0.14833772574799</v>
      </c>
    </row>
    <row r="165" customFormat="false" ht="15" hidden="false" customHeight="true" outlineLevel="0" collapsed="false">
      <c r="B165" s="46" t="s">
        <v>323</v>
      </c>
      <c r="C165" s="31" t="n">
        <f aca="false">ROUND(C106+C101+N(C109)+N(C110)+N(C111)-C139,1)</f>
        <v>0</v>
      </c>
      <c r="D165" s="31" t="n">
        <f aca="false">ROUND(D106+D101+N(D109)+N(D110)+N(D111)-D139,1)</f>
        <v>0</v>
      </c>
      <c r="E165" s="31" t="n">
        <f aca="false">ROUND(E106+E101+N(E109)+N(E110)+N(E111)-E139,1)</f>
        <v>0</v>
      </c>
      <c r="F165" s="31" t="n">
        <f aca="false">ROUND(F106+F101+N(F109)+N(F110)+N(F111)-F139,1)</f>
        <v>0</v>
      </c>
      <c r="G165" s="31" t="n">
        <f aca="false">ROUND(G106+G101+N(G109)+N(G110)+N(G111)-G139,1)</f>
        <v>0</v>
      </c>
      <c r="H165" s="31" t="n">
        <f aca="false">ROUND(H106+H101+N(H109)+N(H110)+N(H111)-H139,1)</f>
        <v>0</v>
      </c>
      <c r="I165" s="31" t="n">
        <f aca="false">ROUND(I106+I101+N(I109)+N(I110)+N(I111)-I139,1)</f>
        <v>0</v>
      </c>
      <c r="J165" s="31" t="n">
        <f aca="false">ROUND(J106+J101+N(J109)+N(J110)+N(J111)-J139,1)</f>
        <v>0</v>
      </c>
      <c r="K165" s="31" t="n">
        <f aca="false">ROUND(K106+K101+N(K109)+N(K110)+N(K111)-K139,1)</f>
        <v>0</v>
      </c>
      <c r="L165" s="31" t="n">
        <f aca="false">ROUND(L106+L101+N(L109)+N(L110)+N(L111)-L139,1)</f>
        <v>0</v>
      </c>
      <c r="M165" s="31" t="n">
        <f aca="false">ROUND(M106+M101+N(M109)+N(M110)+N(M111)-M139,1)</f>
        <v>0</v>
      </c>
      <c r="N165" s="31" t="n">
        <f aca="false">ROUND(N106+N101+N(N109)+N(N110)+N(N111)-N139,1)</f>
        <v>0</v>
      </c>
      <c r="O165" s="31" t="n">
        <f aca="false">ROUND(O106+O101+N(O109)+N(O110)+N(O111)-O139,1)</f>
        <v>0</v>
      </c>
      <c r="P165" s="31" t="n">
        <f aca="false">ROUND(P106+P101+N(P109)+N(P110)+N(P111)-P139,1)</f>
        <v>0</v>
      </c>
      <c r="Q165" s="31" t="n">
        <f aca="false">ROUND(Q106+Q101+N(Q109)+N(Q110)+N(Q111)-Q139,1)</f>
        <v>0</v>
      </c>
      <c r="R165" s="31" t="n">
        <f aca="false">ROUND(R106+R101+N(R109)+N(R110)+N(R111)-R139,1)</f>
        <v>0</v>
      </c>
      <c r="S165" s="31" t="n">
        <f aca="false">ROUND(S106+S101+N(S109)+N(S110)+N(S111)-S139,1)</f>
        <v>0</v>
      </c>
      <c r="T165" s="31" t="n">
        <f aca="false">ROUND(T106+T101+N(T109)+N(T110)+N(T111)-T139,1)</f>
        <v>0</v>
      </c>
      <c r="U165" s="31" t="n">
        <f aca="false">ROUND(U106+U101+N(U109)+N(U110)+N(U111)-U139,1)</f>
        <v>0</v>
      </c>
      <c r="V165" s="31" t="n">
        <f aca="false">ROUND(V106+V101+N(V109)+N(V110)+N(V111)-V139,1)</f>
        <v>0</v>
      </c>
      <c r="W165" s="31" t="n">
        <f aca="false">ROUND(W106+W101+N(W109)+N(W110)+N(W111)-W139,1)</f>
        <v>0</v>
      </c>
      <c r="X165" s="31" t="n">
        <f aca="false">ROUND(X106+X101+N(X109)+N(X110)+N(X111)-X139,1)</f>
        <v>0</v>
      </c>
      <c r="Y165" s="31" t="n">
        <f aca="false">ROUND(Y106+Y101+N(Y109)+N(Y110)+N(Y111)-Y139,1)</f>
        <v>0</v>
      </c>
      <c r="Z165" s="31" t="n">
        <f aca="false">ROUND(Z106+Z101+N(Z109)+N(Z110)+N(Z111)-Z139,1)</f>
        <v>0</v>
      </c>
      <c r="AA165" s="31" t="n">
        <f aca="false">ROUND(AA106+AA101+N(AA109)+N(AA110)+N(AA111)-AA139,1)</f>
        <v>0</v>
      </c>
      <c r="AB165" s="31" t="n">
        <f aca="false">ROUND(AB106+AB101+N(AB109)+N(AB110)+N(AB111)-AB139,1)</f>
        <v>0</v>
      </c>
      <c r="AC165" s="31" t="n">
        <f aca="false">ROUND(AC106+AC101+N(AC109)+N(AC110)+N(AC111)-AC139,1)</f>
        <v>0</v>
      </c>
      <c r="AD165" s="31" t="n">
        <f aca="false">ROUND(AD106+AD101+N(AD109)+N(AD110)+N(AD111)-AD139,1)</f>
        <v>0</v>
      </c>
      <c r="AE165" s="31" t="n">
        <f aca="false">ROUND(AE106+AE101+N(AE109)+N(AE110)+N(AE111)-AE139,1)</f>
        <v>0</v>
      </c>
      <c r="AF165" s="31" t="n">
        <f aca="false">ROUND(AF106+AF101+N(AF109)+N(AF110)+N(AF111)-AF139,1)</f>
        <v>0</v>
      </c>
      <c r="AG165" s="31" t="n">
        <f aca="false">ROUND(AG106+AG101+N(AG109)+N(AG110)+N(AG111)-AG139,1)</f>
        <v>0</v>
      </c>
      <c r="AH165" s="31" t="n">
        <f aca="false">ROUND(AH106+AH101+N(AH109)+N(AH110)+N(AH111)-AH139,1)</f>
        <v>0</v>
      </c>
      <c r="AI165" s="31" t="n">
        <f aca="false">ROUND(AI106+AI101+N(AI109)+N(AI110)+N(AI111)-AI139,1)</f>
        <v>0</v>
      </c>
      <c r="AJ165" s="31" t="n">
        <f aca="false">ROUND(AJ106+AJ101+N(AJ109)+N(AJ110)+N(AJ111)-AJ139,1)</f>
        <v>0</v>
      </c>
      <c r="AK165" s="31" t="n">
        <f aca="false">ROUND(AK106+AK101+N(AK109)+N(AK110)+N(AK111)-AK139,1)</f>
        <v>0</v>
      </c>
      <c r="AL165" s="31" t="n">
        <f aca="false">ROUND(AL106+AL101+N(AL109)+N(AL110)+N(AL111)-AL139,1)</f>
        <v>0</v>
      </c>
      <c r="AM165" s="31" t="n">
        <f aca="false">ROUND(AM106+AM101+N(AM109)+N(AM110)+N(AM111)-AM139,1)</f>
        <v>0</v>
      </c>
      <c r="AN165" s="31" t="n">
        <f aca="false">ROUND(AN106+AN101+N(AN109)+N(AN110)+N(AN111)-AN139,1)</f>
        <v>0</v>
      </c>
      <c r="AO165" s="31" t="n">
        <f aca="false">ROUND(AO106+AO101+N(AO109)+N(AO110)+N(AO111)-AO139,1)</f>
        <v>0</v>
      </c>
      <c r="AP165" s="31" t="n">
        <f aca="false">ROUND(AP106+AP101+N(AP109)+N(AP110)+N(AP111)-AP139,1)</f>
        <v>0</v>
      </c>
      <c r="AQ165" s="31" t="n">
        <f aca="false">ROUND(AQ106+AQ101+N(AQ109)+N(AQ110)+N(AQ111)-AQ139,1)</f>
        <v>0</v>
      </c>
      <c r="AR165" s="31" t="n">
        <f aca="false">ROUND(AR106+AR101+N(AR109)+N(AR110)+N(AR111)-AR139,1)</f>
        <v>0</v>
      </c>
      <c r="AS165" s="31" t="n">
        <f aca="false">ROUND(AS106+AS101+N(AS109)+N(AS110)+N(AS111)-AS139,1)</f>
        <v>0</v>
      </c>
      <c r="AT165" s="31" t="n">
        <f aca="false">ROUND(AT106+AT101+N(AT109)+N(AT110)+N(AT111)-AT139,1)</f>
        <v>0</v>
      </c>
      <c r="AU165" s="31" t="n">
        <f aca="false">ROUND(AU106+AU101+N(AU109)+N(AU110)+N(AU111)-AU139,1)</f>
        <v>0</v>
      </c>
      <c r="AV165" s="31" t="n">
        <f aca="false">ROUND(AV106+AV101+N(AV109)+N(AV110)+N(AV111)-AV139,1)</f>
        <v>0</v>
      </c>
      <c r="AW165" s="31" t="n">
        <f aca="false">ROUND(AW106+AW101+N(AW109)+N(AW110)+N(AW111)-AW139,1)</f>
        <v>0</v>
      </c>
      <c r="AX165" s="31" t="n">
        <f aca="false">ROUND(AX106+AX101+N(AX109)+N(AX110)+N(AX111)-AX139,1)</f>
        <v>0</v>
      </c>
      <c r="AY165" s="31" t="n">
        <f aca="false">ROUND(AY106+AY101+N(AY109)+N(AY110)+N(AY111)-AY139,1)</f>
        <v>0</v>
      </c>
      <c r="AZ165" s="31" t="n">
        <f aca="false">ROUND(AZ106+AZ101+N(AZ109)+N(AZ110)+N(AZ111)-AZ139,1)</f>
        <v>0</v>
      </c>
      <c r="BA165" s="31" t="n">
        <f aca="false">ROUND(BA106+BA101+N(BA109)+N(BA110)+N(BA111)-BA139,1)</f>
        <v>0</v>
      </c>
      <c r="BB165" s="31" t="n">
        <f aca="false">ROUND(BB106+BB101+N(BB109)+N(BB110)+N(BB111)-BB139,1)</f>
        <v>0</v>
      </c>
      <c r="BC165" s="31" t="n">
        <f aca="false">ROUND(BC106+BC101+N(BC109)+N(BC110)+N(BC111)-BC139,1)</f>
        <v>0</v>
      </c>
      <c r="BD165" s="31" t="n">
        <f aca="false">ROUND(BD106+BD101+N(BD109)+N(BD110)+N(BD111)-BD139,1)</f>
        <v>0</v>
      </c>
      <c r="BE165" s="31" t="n">
        <f aca="false">ROUND(BE106+BE101+N(BE109)+N(BE110)+N(BE111)-BE139,1)</f>
        <v>0</v>
      </c>
      <c r="BF165" s="31" t="n">
        <f aca="false">ROUND(BF106+BF101+N(BF109)+N(BF110)+N(BF111)-BF139,1)</f>
        <v>0</v>
      </c>
      <c r="BG165" s="31" t="n">
        <f aca="false">ROUND(BG106+BG101+N(BG109)+N(BG110)+N(BG111)-BG139,1)</f>
        <v>0</v>
      </c>
      <c r="BH165" s="31" t="n">
        <f aca="false">ROUND(BH106+BH101+N(BH109)+N(BH110)+N(BH111)-BH139,1)</f>
        <v>0</v>
      </c>
      <c r="BI165" s="31" t="n">
        <f aca="false">ROUND(BI106+BI101+N(BI109)+N(BI110)+N(BI111)-BI139,1)</f>
        <v>0</v>
      </c>
      <c r="BJ165" s="31" t="n">
        <f aca="false">ROUND(BJ106+BJ101+N(BJ109)+N(BJ110)+N(BJ111)-BJ139,1)</f>
        <v>0</v>
      </c>
      <c r="BK165" s="31" t="n">
        <f aca="false">ROUND(BK106+BK101+N(BK109)+N(BK110)+N(BK111)-BK139,1)</f>
        <v>0</v>
      </c>
      <c r="BL165" s="31" t="n">
        <f aca="false">ROUND(BL106+BL101+N(BL109)+N(BL110)+N(BL111)-BL139,1)</f>
        <v>0</v>
      </c>
      <c r="BM165" s="31" t="n">
        <f aca="false">ROUND(BM106+BM101+N(BM109)+N(BM110)+N(BM111)-BM139,1)</f>
        <v>0</v>
      </c>
      <c r="BN165" s="31" t="n">
        <f aca="false">ROUND(BN106+BN101+N(BN109)+N(BN110)+N(BN111)-BN139,1)</f>
        <v>0</v>
      </c>
      <c r="BO165" s="31" t="n">
        <f aca="false">ROUND(BO106+BO101+N(BO109)+N(BO110)+N(BO111)-BO139,1)</f>
        <v>0</v>
      </c>
      <c r="BP165" s="31" t="n">
        <f aca="false">ROUND(BP106+BP101+N(BP109)+N(BP110)+N(BP111)-BP139,1)</f>
        <v>0</v>
      </c>
      <c r="BQ165" s="31" t="n">
        <f aca="false">ROUND(BQ106+BQ101+N(BQ109)+N(BQ110)+N(BQ111)-BQ139,1)</f>
        <v>0</v>
      </c>
      <c r="BR165" s="31" t="n">
        <f aca="false">ROUND(BR106+BR101+N(BR109)+N(BR110)+N(BR111)-BR139,1)</f>
        <v>0</v>
      </c>
      <c r="BS165" s="31" t="n">
        <f aca="false">ROUND(BS106+BS101+N(BS109)+N(BS110)+N(BS111)-BS139,1)</f>
        <v>0</v>
      </c>
      <c r="BT165" s="31" t="n">
        <f aca="false">ROUND(BT106+BT101+N(BT109)+N(BT110)+N(BT111)-BT139,1)</f>
        <v>0</v>
      </c>
      <c r="BU165" s="31" t="n">
        <f aca="false">ROUND(BU106+BU101+N(BU109)+N(BU110)+N(BU111)-BU139,1)</f>
        <v>0</v>
      </c>
      <c r="BV165" s="31" t="n">
        <f aca="false">ROUND(BV106+BV101+N(BV109)+N(BV110)+N(BV111)-BV139,1)</f>
        <v>0</v>
      </c>
      <c r="BW165" s="31" t="n">
        <f aca="false">ROUND(BW106+BW101+N(BW109)+N(BW110)+N(BW111)-BW139,1)</f>
        <v>0</v>
      </c>
      <c r="BX165" s="31" t="n">
        <f aca="false">ROUND(BX106+BX101+N(BX109)+N(BX110)+N(BX111)-BX139,1)</f>
        <v>0</v>
      </c>
      <c r="BY165" s="31" t="n">
        <f aca="false">ROUND(BY106+BY101+N(BY109)+N(BY110)+N(BY111)-BY139,1)</f>
        <v>0</v>
      </c>
      <c r="BZ165" s="31" t="n">
        <f aca="false">ROUND(BZ106+BZ101+N(BZ109)+N(BZ110)+N(BZ111)-BZ139,1)</f>
        <v>0</v>
      </c>
      <c r="CA165" s="31" t="n">
        <f aca="false">ROUND(CA106+CA101+N(CA109)+N(CA110)+N(CA111)-CA139,1)</f>
        <v>0</v>
      </c>
      <c r="CB165" s="31" t="n">
        <f aca="false">ROUND(CB106+CB101+N(CB109)+N(CB110)+N(CB111)-CB139,1)</f>
        <v>0</v>
      </c>
      <c r="CC165" s="31" t="n">
        <f aca="false">ROUND(CC106+CC101+N(CC109)+N(CC110)+N(CC111)-CC139,1)</f>
        <v>0</v>
      </c>
      <c r="CD165" s="31" t="n">
        <f aca="false">ROUND(CD106+CD101+N(CD109)+N(CD110)+N(CD111)-CD139,1)</f>
        <v>0</v>
      </c>
      <c r="CE165" s="31" t="n">
        <f aca="false">ROUND(CE106+CE101+N(CE109)+N(CE110)+N(CE111)-CE139,1)</f>
        <v>0</v>
      </c>
      <c r="CF165" s="31" t="n">
        <f aca="false">ROUND(CF106+CF101+N(CF109)+N(CF110)+N(CF111)-CF139,1)</f>
        <v>0</v>
      </c>
      <c r="CG165" s="31" t="n">
        <f aca="false">ROUND(CG106+CG101+N(CG109)+N(CG110)+N(CG111)-CG139,1)</f>
        <v>0</v>
      </c>
      <c r="CH165" s="31" t="n">
        <f aca="false">ROUND(CH106+CH101+N(CH109)+N(CH110)+N(CH111)-CH139,1)</f>
        <v>0</v>
      </c>
      <c r="CI165" s="31" t="n">
        <f aca="false">ROUND(CI106+CI101+N(CI109)+N(CI110)+N(CI111)-CI139,1)</f>
        <v>0</v>
      </c>
      <c r="CJ165" s="31" t="n">
        <f aca="false">ROUND(CJ106+CJ101+N(CJ109)+N(CJ110)+N(CJ111)-CJ139,1)</f>
        <v>0</v>
      </c>
      <c r="CK165" s="31" t="n">
        <f aca="false">ROUND(CK106+CK101+N(CK109)+N(CK110)+N(CK111)-CK139,1)</f>
        <v>0</v>
      </c>
      <c r="CL165" s="31" t="n">
        <f aca="false">ROUND(CL106+CL101+N(CL109)+N(CL110)+N(CL111)-CL139,1)</f>
        <v>0</v>
      </c>
      <c r="CM165" s="32" t="n">
        <f aca="false">ROUND(CM106+CM101+CM109+CM110+CM111-CM139,1)</f>
        <v>0</v>
      </c>
      <c r="CN165" s="32" t="n">
        <f aca="false">ROUND(CN106+CN101+CN109+CN110+CN111-CN139,1)</f>
        <v>0</v>
      </c>
      <c r="CO165" s="32" t="n">
        <f aca="false">ROUND(CO106+CO101+CO109+CO110+CO111-CO139,1)</f>
        <v>0</v>
      </c>
      <c r="CP165" s="32" t="n">
        <f aca="false">ROUND(CP106+CP101+CP109+CP110+CP111-CP139,1)</f>
        <v>0</v>
      </c>
      <c r="CQ165" s="32" t="n">
        <f aca="false">ROUND(CQ106+CQ101+CQ109+CQ110+CQ111-CQ139,1)</f>
        <v>0</v>
      </c>
      <c r="CR165" s="32" t="n">
        <f aca="false">ROUND(CR106+CR101+CR109+CR110+CR111-CR139,1)</f>
        <v>0</v>
      </c>
      <c r="CS165" s="32" t="n">
        <f aca="false">ROUND(CS106+CS101+CS109+CS110+CS111-CS139,1)</f>
        <v>0</v>
      </c>
      <c r="CT165" s="23"/>
      <c r="CV165" s="7"/>
      <c r="CW165" s="7"/>
      <c r="CX165" s="7"/>
      <c r="CY165" s="7"/>
    </row>
    <row r="166" customFormat="false" ht="15" hidden="false" customHeight="true" outlineLevel="0" collapsed="false">
      <c r="B166" s="13"/>
      <c r="CM166" s="7"/>
      <c r="CN166" s="7"/>
      <c r="CO166" s="7"/>
      <c r="CP166" s="7"/>
      <c r="CQ166" s="7"/>
      <c r="CR166" s="7"/>
      <c r="CS166" s="7"/>
      <c r="CT166" s="7"/>
    </row>
    <row r="167" customFormat="false" ht="15" hidden="false" customHeight="true" outlineLevel="0" collapsed="false">
      <c r="B167" s="12" t="s">
        <v>324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 t="s">
        <v>325</v>
      </c>
    </row>
    <row r="168" customFormat="false" ht="15" hidden="false" customHeight="true" outlineLevel="0" collapsed="false">
      <c r="B168" s="19" t="s">
        <v>326</v>
      </c>
      <c r="C168" s="20" t="n">
        <f aca="false">C121</f>
        <v>57.218</v>
      </c>
      <c r="D168" s="20" t="n">
        <f aca="false">D121</f>
        <v>75.983</v>
      </c>
      <c r="E168" s="20" t="n">
        <f aca="false">E121</f>
        <v>101.4</v>
      </c>
      <c r="F168" s="20" t="n">
        <f aca="false">F121</f>
        <v>93.452</v>
      </c>
      <c r="G168" s="20" t="n">
        <f aca="false">G121</f>
        <v>65.675</v>
      </c>
      <c r="H168" s="20" t="n">
        <f aca="false">H121</f>
        <v>76.633</v>
      </c>
      <c r="I168" s="20" t="n">
        <f aca="false">I121</f>
        <v>79.551</v>
      </c>
      <c r="J168" s="20" t="n">
        <f aca="false">J121</f>
        <v>13.989</v>
      </c>
      <c r="K168" s="20" t="n">
        <f aca="false">K121</f>
        <v>29.795</v>
      </c>
      <c r="L168" s="20" t="n">
        <f aca="false">L121</f>
        <v>43.784</v>
      </c>
      <c r="M168" s="20" t="n">
        <f aca="false">M121</f>
        <v>16.296</v>
      </c>
      <c r="N168" s="20" t="n">
        <f aca="false">N121</f>
        <v>33.745</v>
      </c>
      <c r="O168" s="20" t="n">
        <f aca="false">O121</f>
        <v>93.644</v>
      </c>
      <c r="P168" s="20" t="n">
        <f aca="false">P121</f>
        <v>14.257</v>
      </c>
      <c r="Q168" s="20" t="n">
        <f aca="false">Q121</f>
        <v>38.607</v>
      </c>
      <c r="R168" s="20" t="n">
        <f aca="false">R121</f>
        <v>52.864</v>
      </c>
      <c r="S168" s="20" t="n">
        <f aca="false">S121</f>
        <v>9.34199999999999</v>
      </c>
      <c r="T168" s="20" t="n">
        <f aca="false">T121</f>
        <v>29.284</v>
      </c>
      <c r="U168" s="20" t="n">
        <f aca="false">U121</f>
        <v>90.981</v>
      </c>
      <c r="V168" s="20" t="n">
        <f aca="false">V121</f>
        <v>23.777</v>
      </c>
      <c r="W168" s="20" t="n">
        <f aca="false">W121</f>
        <v>45.083</v>
      </c>
      <c r="X168" s="20" t="n">
        <f aca="false">X121</f>
        <v>68.86</v>
      </c>
      <c r="Y168" s="20" t="n">
        <f aca="false">Y121</f>
        <v>20.825</v>
      </c>
      <c r="Z168" s="20" t="n">
        <f aca="false">Z121</f>
        <v>46.529</v>
      </c>
      <c r="AA168" s="20" t="n">
        <f aca="false">AA121</f>
        <v>136.214</v>
      </c>
      <c r="AB168" s="20" t="n">
        <f aca="false">AB121</f>
        <v>29.406</v>
      </c>
      <c r="AC168" s="20" t="n">
        <f aca="false">AC121</f>
        <v>39.71</v>
      </c>
      <c r="AD168" s="20" t="n">
        <f aca="false">AD121</f>
        <v>69.116</v>
      </c>
      <c r="AE168" s="20" t="n">
        <f aca="false">AE121</f>
        <v>-5.13699999999999</v>
      </c>
      <c r="AF168" s="20" t="n">
        <f aca="false">AF121</f>
        <v>27.853</v>
      </c>
      <c r="AG168" s="20" t="n">
        <f aca="false">AG121</f>
        <v>91.832</v>
      </c>
      <c r="AH168" s="20" t="n">
        <f aca="false">AH121</f>
        <v>10.377</v>
      </c>
      <c r="AI168" s="20" t="n">
        <f aca="false">AI121</f>
        <v>17.635</v>
      </c>
      <c r="AJ168" s="20" t="n">
        <f aca="false">AJ121</f>
        <v>28.012</v>
      </c>
      <c r="AK168" s="20" t="n">
        <f aca="false">AK121</f>
        <v>10.261</v>
      </c>
      <c r="AL168" s="20" t="n">
        <f aca="false">AL121</f>
        <v>36.754</v>
      </c>
      <c r="AM168" s="20" t="n">
        <f aca="false">AM121</f>
        <v>75.0270000000001</v>
      </c>
      <c r="AN168" s="20" t="n">
        <f aca="false">AN121</f>
        <v>17.138</v>
      </c>
      <c r="AO168" s="20" t="n">
        <f aca="false">AO121</f>
        <v>45.717</v>
      </c>
      <c r="AP168" s="20" t="n">
        <f aca="false">AP121</f>
        <v>62.855</v>
      </c>
      <c r="AQ168" s="20" t="n">
        <f aca="false">AQ121</f>
        <v>23.138</v>
      </c>
      <c r="AR168" s="20" t="n">
        <f aca="false">AR121</f>
        <v>35.486</v>
      </c>
      <c r="AS168" s="20" t="n">
        <f aca="false">AS121</f>
        <v>121.479</v>
      </c>
      <c r="AT168" s="20" t="n">
        <f aca="false">AT121</f>
        <v>18.164</v>
      </c>
      <c r="AU168" s="20" t="n">
        <f aca="false">AU121</f>
        <v>54.0359999999999</v>
      </c>
      <c r="AV168" s="20" t="n">
        <f aca="false">AV121</f>
        <v>72.2000000000001</v>
      </c>
      <c r="AW168" s="20" t="n">
        <f aca="false">AW121</f>
        <v>25.266</v>
      </c>
      <c r="AX168" s="20" t="n">
        <f aca="false">AX121</f>
        <v>51.5729999999999</v>
      </c>
      <c r="AY168" s="20" t="n">
        <f aca="false">AY121</f>
        <v>149.039</v>
      </c>
      <c r="AZ168" s="20" t="n">
        <f aca="false">AZ121</f>
        <v>22.809</v>
      </c>
      <c r="BA168" s="20" t="n">
        <f aca="false">BA121</f>
        <v>53.043</v>
      </c>
      <c r="BB168" s="20" t="n">
        <f aca="false">BB121</f>
        <v>75.8520000000001</v>
      </c>
      <c r="BC168" s="20" t="n">
        <f aca="false">BC121</f>
        <v>45.387</v>
      </c>
      <c r="BD168" s="20" t="n">
        <f aca="false">BD121</f>
        <v>48.856</v>
      </c>
      <c r="BE168" s="20" t="n">
        <f aca="false">BE121</f>
        <v>170.095</v>
      </c>
      <c r="BF168" s="20" t="n">
        <f aca="false">BF121</f>
        <v>28.188</v>
      </c>
      <c r="BG168" s="20" t="n">
        <f aca="false">BG121</f>
        <v>60.749</v>
      </c>
      <c r="BH168" s="20" t="n">
        <f aca="false">BH121</f>
        <v>88.9370000000001</v>
      </c>
      <c r="BI168" s="20" t="n">
        <f aca="false">BI121</f>
        <v>32.3360000000001</v>
      </c>
      <c r="BJ168" s="20" t="n">
        <f aca="false">BJ121</f>
        <v>30.595</v>
      </c>
      <c r="BK168" s="20" t="n">
        <f aca="false">BK121</f>
        <v>151.868</v>
      </c>
      <c r="BL168" s="20" t="n">
        <f aca="false">BL121</f>
        <v>178.094</v>
      </c>
      <c r="BM168" s="20" t="n">
        <f aca="false">BM121</f>
        <v>53.3650000000001</v>
      </c>
      <c r="BN168" s="20" t="n">
        <f aca="false">BN121</f>
        <v>231.459</v>
      </c>
      <c r="BO168" s="20" t="n">
        <f aca="false">BO121</f>
        <v>42.909</v>
      </c>
      <c r="BP168" s="20" t="n">
        <f aca="false">BP121</f>
        <v>45.29</v>
      </c>
      <c r="BQ168" s="20" t="n">
        <f aca="false">BQ121</f>
        <v>319.657</v>
      </c>
      <c r="BR168" s="20" t="n">
        <f aca="false">BR121</f>
        <v>-34.1999999999999</v>
      </c>
      <c r="BS168" s="20" t="n">
        <f aca="false">BS121</f>
        <v>77.4</v>
      </c>
      <c r="BT168" s="20" t="n">
        <f aca="false">BT121</f>
        <v>43.2000000000002</v>
      </c>
      <c r="BU168" s="20" t="n">
        <f aca="false">BU121</f>
        <v>54.7</v>
      </c>
      <c r="BV168" s="20" t="n">
        <f aca="false">BV121</f>
        <v>74.8000000000002</v>
      </c>
      <c r="BW168" s="20" t="n">
        <f aca="false">BW121</f>
        <v>174.9</v>
      </c>
      <c r="BX168" s="20" t="n">
        <f aca="false">BX121</f>
        <v>97.1</v>
      </c>
      <c r="BY168" s="20" t="n">
        <f aca="false">BY121</f>
        <v>100.7</v>
      </c>
      <c r="BZ168" s="20" t="n">
        <f aca="false">BZ121</f>
        <v>197.8</v>
      </c>
      <c r="CA168" s="20" t="n">
        <f aca="false">CA121</f>
        <v>66.9</v>
      </c>
      <c r="CB168" s="20" t="n">
        <f aca="false">CB121</f>
        <v>107.8</v>
      </c>
      <c r="CC168" s="20" t="n">
        <f aca="false">CC121</f>
        <v>372.7</v>
      </c>
      <c r="CD168" s="20" t="n">
        <f aca="false">CD121</f>
        <v>102.9</v>
      </c>
      <c r="CE168" s="20" t="n">
        <f aca="false">CE121</f>
        <v>99.4999999999999</v>
      </c>
      <c r="CF168" s="20" t="n">
        <f aca="false">CF121</f>
        <v>202.4</v>
      </c>
      <c r="CG168" s="20" t="n">
        <f aca="false">CG121</f>
        <v>80.6999999999999</v>
      </c>
      <c r="CH168" s="20" t="n">
        <f aca="false">CH121</f>
        <v>99.1</v>
      </c>
      <c r="CI168" s="20" t="n">
        <f aca="false">CI121</f>
        <v>382.2</v>
      </c>
      <c r="CJ168" s="20" t="n">
        <f aca="false">CJ121</f>
        <v>124.6</v>
      </c>
      <c r="CK168" s="20" t="n">
        <f aca="false">CK121</f>
        <v>132</v>
      </c>
      <c r="CL168" s="20" t="n">
        <f aca="false">CL121</f>
        <v>256.6</v>
      </c>
      <c r="CM168" s="22" t="n">
        <f aca="false">CM121</f>
        <v>115.285980552424</v>
      </c>
      <c r="CN168" s="22" t="n">
        <f aca="false">CN121</f>
        <v>151.100074614222</v>
      </c>
      <c r="CO168" s="22" t="n">
        <f aca="false">SUM(CJ168,CK168,CM168,CN168)</f>
        <v>522.986055166646</v>
      </c>
      <c r="CP168" s="22" t="n">
        <f aca="false">CP121</f>
        <v>631.710664857692</v>
      </c>
      <c r="CQ168" s="22" t="n">
        <f aca="false">CQ121</f>
        <v>743.372945254485</v>
      </c>
      <c r="CR168" s="22" t="n">
        <f aca="false">CR121</f>
        <v>831.694491093761</v>
      </c>
      <c r="CS168" s="22" t="n">
        <f aca="false">CS121</f>
        <v>911.371033602155</v>
      </c>
      <c r="CT168" s="23"/>
      <c r="CV168" s="7"/>
      <c r="CW168" s="7"/>
      <c r="CX168" s="7"/>
      <c r="CY168" s="7"/>
    </row>
    <row r="169" customFormat="false" ht="15" hidden="false" customHeight="true" outlineLevel="0" collapsed="false">
      <c r="B169" s="13" t="s">
        <v>278</v>
      </c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40" t="n">
        <v>5.66</v>
      </c>
      <c r="AX169" s="40" t="n">
        <v>0.277</v>
      </c>
      <c r="AY169" s="40" t="n">
        <v>16.405</v>
      </c>
      <c r="AZ169" s="40" t="n">
        <v>2.406</v>
      </c>
      <c r="BA169" s="40" t="n">
        <v>6.355</v>
      </c>
      <c r="BB169" s="31" t="n">
        <f aca="false">AZ169+BA169</f>
        <v>8.761</v>
      </c>
      <c r="BC169" s="40" t="n">
        <v>8.568</v>
      </c>
      <c r="BD169" s="40" t="n">
        <v>4.553</v>
      </c>
      <c r="BE169" s="40" t="n">
        <v>21.882</v>
      </c>
      <c r="BF169" s="40" t="n">
        <v>3.778</v>
      </c>
      <c r="BG169" s="40" t="n">
        <v>7.54</v>
      </c>
      <c r="BH169" s="31" t="n">
        <f aca="false">BF169+BG169</f>
        <v>11.318</v>
      </c>
      <c r="BI169" s="40" t="n">
        <v>5.627</v>
      </c>
      <c r="BJ169" s="40" t="n">
        <v>6.16</v>
      </c>
      <c r="BK169" s="40" t="n">
        <v>23.106</v>
      </c>
      <c r="BL169" s="40" t="n">
        <v>5.386</v>
      </c>
      <c r="BM169" s="40" t="n">
        <v>13.64</v>
      </c>
      <c r="BN169" s="31" t="n">
        <f aca="false">BL169+BM169</f>
        <v>19.026</v>
      </c>
      <c r="BO169" s="40" t="n">
        <v>8.806</v>
      </c>
      <c r="BP169" s="40" t="n">
        <v>9.128</v>
      </c>
      <c r="BQ169" s="40" t="n">
        <v>36.961</v>
      </c>
      <c r="BR169" s="40" t="n">
        <v>6.7</v>
      </c>
      <c r="BS169" s="40" t="n">
        <v>12.3</v>
      </c>
      <c r="BT169" s="31" t="n">
        <f aca="false">BR169+BS169</f>
        <v>19</v>
      </c>
      <c r="BU169" s="40" t="n">
        <v>12.7</v>
      </c>
      <c r="BV169" s="40" t="n">
        <v>13.8</v>
      </c>
      <c r="BW169" s="40" t="n">
        <v>45.5</v>
      </c>
      <c r="BX169" s="40" t="n">
        <v>13.3</v>
      </c>
      <c r="BY169" s="40" t="n">
        <v>18.1</v>
      </c>
      <c r="BZ169" s="31" t="n">
        <f aca="false">BX169+BY169</f>
        <v>31.4</v>
      </c>
      <c r="CA169" s="40" t="n">
        <v>9.7</v>
      </c>
      <c r="CB169" s="40" t="n">
        <v>15.2</v>
      </c>
      <c r="CC169" s="40" t="n">
        <v>56.3</v>
      </c>
      <c r="CD169" s="40" t="n">
        <v>14.4</v>
      </c>
      <c r="CE169" s="40" t="n">
        <v>25.2</v>
      </c>
      <c r="CF169" s="31" t="n">
        <f aca="false">CD169+CE169</f>
        <v>39.6</v>
      </c>
      <c r="CG169" s="40" t="n">
        <v>21.6</v>
      </c>
      <c r="CH169" s="40" t="n">
        <v>15.5</v>
      </c>
      <c r="CI169" s="40" t="n">
        <v>76.7</v>
      </c>
      <c r="CJ169" s="40" t="n">
        <v>15.3</v>
      </c>
      <c r="CK169" s="40" t="n">
        <v>17.9</v>
      </c>
      <c r="CL169" s="31" t="n">
        <f aca="false">CJ169+CK169</f>
        <v>33.2</v>
      </c>
      <c r="CM169" s="32" t="n">
        <f aca="false">CM143</f>
        <v>18</v>
      </c>
      <c r="CN169" s="32" t="n">
        <f aca="false">CN143</f>
        <v>18</v>
      </c>
      <c r="CO169" s="32" t="n">
        <f aca="false">SUM(CJ169,CK169,CM169,CN169)</f>
        <v>69.2</v>
      </c>
      <c r="CP169" s="32" t="n">
        <f aca="false">CP143</f>
        <v>75</v>
      </c>
      <c r="CQ169" s="32" t="n">
        <f aca="false">CQ143</f>
        <v>80</v>
      </c>
      <c r="CR169" s="32" t="n">
        <f aca="false">CR143</f>
        <v>85</v>
      </c>
      <c r="CS169" s="32" t="n">
        <f aca="false">CS143</f>
        <v>90</v>
      </c>
      <c r="CT169" s="23"/>
      <c r="CV169" s="7"/>
      <c r="CW169" s="7"/>
      <c r="CX169" s="7"/>
      <c r="CY169" s="7"/>
    </row>
    <row r="170" customFormat="false" ht="15" hidden="false" customHeight="true" outlineLevel="0" collapsed="false">
      <c r="B170" s="13" t="s">
        <v>280</v>
      </c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40" t="n">
        <v>13.815</v>
      </c>
      <c r="AJ170" s="31" t="n">
        <f aca="false">N(AH170)+N(AI170)</f>
        <v>13.815</v>
      </c>
      <c r="AK170" s="31"/>
      <c r="AL170" s="31"/>
      <c r="AM170" s="40" t="n">
        <v>13.815</v>
      </c>
      <c r="AN170" s="31"/>
      <c r="AO170" s="31"/>
      <c r="AP170" s="31"/>
      <c r="AQ170" s="31"/>
      <c r="AR170" s="31"/>
      <c r="AS170" s="31"/>
      <c r="AT170" s="31"/>
      <c r="AU170" s="31"/>
      <c r="AV170" s="31"/>
      <c r="AW170" s="40" t="n">
        <v>0.045</v>
      </c>
      <c r="AX170" s="40" t="n">
        <v>0.025</v>
      </c>
      <c r="AY170" s="40" t="n">
        <v>0.777</v>
      </c>
      <c r="AZ170" s="40" t="n">
        <v>0</v>
      </c>
      <c r="BA170" s="40" t="n">
        <v>0</v>
      </c>
      <c r="BB170" s="31" t="n">
        <f aca="false">AZ170+BA170</f>
        <v>0</v>
      </c>
      <c r="BC170" s="40" t="n">
        <v>0</v>
      </c>
      <c r="BD170" s="40" t="n">
        <v>6.014</v>
      </c>
      <c r="BE170" s="40" t="n">
        <v>6.014</v>
      </c>
      <c r="BF170" s="40" t="n">
        <v>2.922</v>
      </c>
      <c r="BG170" s="40" t="n">
        <v>3.049</v>
      </c>
      <c r="BH170" s="31" t="n">
        <f aca="false">BF170+BG170</f>
        <v>5.971</v>
      </c>
      <c r="BI170" s="40" t="n">
        <v>10.255</v>
      </c>
      <c r="BJ170" s="40" t="n">
        <v>13.971</v>
      </c>
      <c r="BK170" s="40" t="n">
        <v>30.197</v>
      </c>
      <c r="BL170" s="40" t="n">
        <v>9.637</v>
      </c>
      <c r="BM170" s="40" t="n">
        <v>3.399</v>
      </c>
      <c r="BN170" s="31" t="n">
        <f aca="false">BL170+BM170</f>
        <v>13.036</v>
      </c>
      <c r="BO170" s="40" t="n">
        <v>2.031</v>
      </c>
      <c r="BP170" s="40" t="n">
        <v>22.194</v>
      </c>
      <c r="BQ170" s="40" t="n">
        <v>37.261</v>
      </c>
      <c r="BR170" s="40" t="n">
        <v>126.2</v>
      </c>
      <c r="BS170" s="40" t="n">
        <v>46.3</v>
      </c>
      <c r="BT170" s="31" t="n">
        <f aca="false">BR170+BS170</f>
        <v>172.5</v>
      </c>
      <c r="BU170" s="40" t="n">
        <v>23.1</v>
      </c>
      <c r="BV170" s="40" t="n">
        <v>20.5</v>
      </c>
      <c r="BW170" s="40" t="n">
        <v>216.1</v>
      </c>
      <c r="BX170" s="40" t="n">
        <v>12.8</v>
      </c>
      <c r="BY170" s="40" t="n">
        <v>4.1</v>
      </c>
      <c r="BZ170" s="31" t="n">
        <f aca="false">BX170+BY170</f>
        <v>16.9</v>
      </c>
      <c r="CA170" s="40" t="n">
        <v>6</v>
      </c>
      <c r="CB170" s="40" t="n">
        <v>6.1</v>
      </c>
      <c r="CC170" s="40" t="n">
        <v>29</v>
      </c>
      <c r="CD170" s="40" t="n">
        <v>3.1</v>
      </c>
      <c r="CE170" s="40" t="n">
        <v>2.7</v>
      </c>
      <c r="CF170" s="31" t="n">
        <f aca="false">CD170+CE170</f>
        <v>5.8</v>
      </c>
      <c r="CG170" s="40" t="n">
        <v>4</v>
      </c>
      <c r="CH170" s="40" t="n">
        <v>9.6</v>
      </c>
      <c r="CI170" s="40" t="n">
        <v>19.4</v>
      </c>
      <c r="CJ170" s="40" t="n">
        <v>6.2</v>
      </c>
      <c r="CK170" s="40" t="n">
        <v>7.7</v>
      </c>
      <c r="CL170" s="31" t="n">
        <f aca="false">CJ170+CK170</f>
        <v>13.9</v>
      </c>
      <c r="CM170" s="32" t="n">
        <f aca="false">CM144</f>
        <v>6</v>
      </c>
      <c r="CN170" s="32" t="n">
        <f aca="false">CN144</f>
        <v>6</v>
      </c>
      <c r="CO170" s="32" t="n">
        <f aca="false">SUM(CJ170,CK170,CM170,CN170)</f>
        <v>25.9</v>
      </c>
      <c r="CP170" s="32" t="n">
        <f aca="false">CP144</f>
        <v>10</v>
      </c>
      <c r="CQ170" s="32" t="n">
        <f aca="false">CQ144</f>
        <v>10</v>
      </c>
      <c r="CR170" s="32" t="n">
        <f aca="false">CR144</f>
        <v>10</v>
      </c>
      <c r="CS170" s="32" t="n">
        <f aca="false">CS144</f>
        <v>10</v>
      </c>
      <c r="CT170" s="23"/>
      <c r="CV170" s="7"/>
      <c r="CW170" s="7"/>
      <c r="CX170" s="7"/>
      <c r="CY170" s="7"/>
    </row>
    <row r="171" customFormat="false" ht="15" hidden="false" customHeight="true" outlineLevel="0" collapsed="false">
      <c r="B171" s="13" t="s">
        <v>282</v>
      </c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40" t="n">
        <v>5.533</v>
      </c>
      <c r="U171" s="40" t="n">
        <v>5.533</v>
      </c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40" t="n">
        <v>1.447</v>
      </c>
      <c r="AJ171" s="31" t="n">
        <f aca="false">N(AH171)+N(AI171)</f>
        <v>1.447</v>
      </c>
      <c r="AK171" s="31"/>
      <c r="AL171" s="40" t="n">
        <v>2.166</v>
      </c>
      <c r="AM171" s="40" t="n">
        <v>3.613</v>
      </c>
      <c r="AN171" s="31"/>
      <c r="AO171" s="31"/>
      <c r="AP171" s="31"/>
      <c r="AQ171" s="40" t="n">
        <v>1.501</v>
      </c>
      <c r="AR171" s="31"/>
      <c r="AS171" s="40" t="n">
        <v>1.501</v>
      </c>
      <c r="AT171" s="31"/>
      <c r="AU171" s="31"/>
      <c r="AV171" s="31"/>
      <c r="AW171" s="40" t="n">
        <v>0</v>
      </c>
      <c r="AX171" s="40" t="n">
        <v>0</v>
      </c>
      <c r="AY171" s="31"/>
      <c r="AZ171" s="40" t="n">
        <v>0</v>
      </c>
      <c r="BA171" s="40" t="n">
        <v>0</v>
      </c>
      <c r="BB171" s="31" t="n">
        <f aca="false">AZ171+BA171</f>
        <v>0</v>
      </c>
      <c r="BC171" s="40" t="n">
        <v>3.919</v>
      </c>
      <c r="BD171" s="31"/>
      <c r="BE171" s="40" t="n">
        <v>3.919</v>
      </c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40" t="n">
        <v>1.8</v>
      </c>
      <c r="CE171" s="40" t="n">
        <v>1.1</v>
      </c>
      <c r="CF171" s="31" t="n">
        <f aca="false">CD171+CE171</f>
        <v>2.9</v>
      </c>
      <c r="CG171" s="40" t="n">
        <v>10.2</v>
      </c>
      <c r="CH171" s="40" t="n">
        <v>4.1</v>
      </c>
      <c r="CI171" s="40" t="n">
        <v>17.2</v>
      </c>
      <c r="CJ171" s="40" t="n">
        <v>2.4</v>
      </c>
      <c r="CK171" s="40" t="n">
        <v>2.4</v>
      </c>
      <c r="CL171" s="31" t="n">
        <f aca="false">CJ171+CK171</f>
        <v>4.8</v>
      </c>
      <c r="CM171" s="32" t="n">
        <f aca="false">CM145</f>
        <v>2.5</v>
      </c>
      <c r="CN171" s="32" t="n">
        <f aca="false">CN145</f>
        <v>2.5</v>
      </c>
      <c r="CO171" s="32" t="n">
        <f aca="false">SUM(CJ171,CK171,CM171,CN171)</f>
        <v>9.8</v>
      </c>
      <c r="CP171" s="32" t="n">
        <f aca="false">CP145</f>
        <v>5</v>
      </c>
      <c r="CQ171" s="32" t="n">
        <f aca="false">CQ145</f>
        <v>5</v>
      </c>
      <c r="CR171" s="32" t="n">
        <f aca="false">CR145</f>
        <v>5</v>
      </c>
      <c r="CS171" s="32" t="n">
        <f aca="false">CS145</f>
        <v>5</v>
      </c>
      <c r="CT171" s="23"/>
      <c r="CV171" s="7"/>
      <c r="CW171" s="7"/>
      <c r="CX171" s="7"/>
      <c r="CY171" s="7"/>
    </row>
    <row r="172" customFormat="false" ht="15" hidden="false" customHeight="true" outlineLevel="0" collapsed="false">
      <c r="B172" s="13" t="s">
        <v>327</v>
      </c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40" t="n">
        <v>5.548</v>
      </c>
      <c r="AX172" s="40" t="n">
        <v>5.548</v>
      </c>
      <c r="AY172" s="40" t="n">
        <v>20.638</v>
      </c>
      <c r="AZ172" s="40" t="n">
        <v>5.548</v>
      </c>
      <c r="BA172" s="40" t="n">
        <v>4.935</v>
      </c>
      <c r="BB172" s="31" t="n">
        <f aca="false">AZ172+BA172</f>
        <v>10.483</v>
      </c>
      <c r="BC172" s="40" t="n">
        <v>4.993</v>
      </c>
      <c r="BD172" s="40" t="n">
        <v>5.622</v>
      </c>
      <c r="BE172" s="40" t="n">
        <v>21.098</v>
      </c>
      <c r="BF172" s="40" t="n">
        <v>6.641</v>
      </c>
      <c r="BG172" s="40" t="n">
        <v>6.802</v>
      </c>
      <c r="BH172" s="31" t="n">
        <f aca="false">BF172+BG172</f>
        <v>13.443</v>
      </c>
      <c r="BI172" s="40" t="n">
        <v>6.622</v>
      </c>
      <c r="BJ172" s="40" t="n">
        <v>7.895</v>
      </c>
      <c r="BK172" s="40" t="n">
        <v>27.96</v>
      </c>
      <c r="BL172" s="40" t="n">
        <v>8.532</v>
      </c>
      <c r="BM172" s="40" t="n">
        <v>8.426</v>
      </c>
      <c r="BN172" s="31" t="n">
        <f aca="false">BL172+BM172</f>
        <v>16.958</v>
      </c>
      <c r="BO172" s="40" t="n">
        <v>8.227</v>
      </c>
      <c r="BP172" s="40" t="n">
        <v>8.202</v>
      </c>
      <c r="BQ172" s="40" t="n">
        <v>33.387</v>
      </c>
      <c r="BR172" s="40" t="n">
        <v>16.6</v>
      </c>
      <c r="BS172" s="40" t="n">
        <v>76</v>
      </c>
      <c r="BT172" s="31" t="n">
        <f aca="false">BR172+BS172</f>
        <v>92.6</v>
      </c>
      <c r="BU172" s="40" t="n">
        <v>63.9</v>
      </c>
      <c r="BV172" s="40" t="n">
        <v>69.6</v>
      </c>
      <c r="BW172" s="40" t="n">
        <v>226.2</v>
      </c>
      <c r="BX172" s="40" t="n">
        <v>69.6</v>
      </c>
      <c r="BY172" s="40" t="n">
        <v>69</v>
      </c>
      <c r="BZ172" s="31" t="n">
        <f aca="false">BX172+BY172</f>
        <v>138.6</v>
      </c>
      <c r="CA172" s="40" t="n">
        <v>67.9</v>
      </c>
      <c r="CB172" s="40" t="n">
        <v>68.5</v>
      </c>
      <c r="CC172" s="40" t="n">
        <v>274.9</v>
      </c>
      <c r="CD172" s="40" t="n">
        <v>68.3</v>
      </c>
      <c r="CE172" s="40" t="n">
        <v>68.3</v>
      </c>
      <c r="CF172" s="31" t="n">
        <f aca="false">CD172+CE172</f>
        <v>136.6</v>
      </c>
      <c r="CG172" s="40" t="n">
        <v>72.7</v>
      </c>
      <c r="CH172" s="40" t="n">
        <v>73.1</v>
      </c>
      <c r="CI172" s="40" t="n">
        <v>282.4</v>
      </c>
      <c r="CJ172" s="40" t="n">
        <v>72.6</v>
      </c>
      <c r="CK172" s="40" t="n">
        <v>74.2</v>
      </c>
      <c r="CL172" s="31" t="n">
        <f aca="false">CJ172+CK172</f>
        <v>146.8</v>
      </c>
      <c r="CM172" s="32" t="n">
        <f aca="false">($CO$332-CL172)/2</f>
        <v>75.1</v>
      </c>
      <c r="CN172" s="32" t="n">
        <f aca="false">($CO$332-CL172)/2</f>
        <v>75.1</v>
      </c>
      <c r="CO172" s="32" t="n">
        <f aca="false">SUM(CJ172,CK172,CM172,CN172)</f>
        <v>297</v>
      </c>
      <c r="CP172" s="32" t="n">
        <f aca="false">CP332</f>
        <v>237</v>
      </c>
      <c r="CQ172" s="32" t="n">
        <f aca="false">CQ332</f>
        <v>183</v>
      </c>
      <c r="CR172" s="32" t="n">
        <f aca="false">CR332</f>
        <v>161</v>
      </c>
      <c r="CS172" s="32" t="n">
        <f aca="false">CS332</f>
        <v>154</v>
      </c>
      <c r="CT172" s="23" t="s">
        <v>328</v>
      </c>
      <c r="CV172" s="7"/>
      <c r="CW172" s="7"/>
      <c r="CX172" s="7"/>
      <c r="CY172" s="7"/>
    </row>
    <row r="173" customFormat="false" ht="15" hidden="false" customHeight="true" outlineLevel="0" collapsed="false">
      <c r="B173" s="13" t="s">
        <v>284</v>
      </c>
      <c r="C173" s="40" t="n">
        <v>-1.812</v>
      </c>
      <c r="D173" s="31"/>
      <c r="E173" s="40" t="n">
        <v>-8.304</v>
      </c>
      <c r="F173" s="40" t="n">
        <v>-1.097</v>
      </c>
      <c r="G173" s="40" t="n">
        <v>-1.23</v>
      </c>
      <c r="H173" s="40" t="n">
        <v>-3.482</v>
      </c>
      <c r="I173" s="40" t="n">
        <v>1.946</v>
      </c>
      <c r="J173" s="31"/>
      <c r="K173" s="31"/>
      <c r="L173" s="31"/>
      <c r="M173" s="40" t="n">
        <v>-0.68</v>
      </c>
      <c r="N173" s="40" t="n">
        <v>-9.203</v>
      </c>
      <c r="O173" s="40" t="n">
        <v>-9.88</v>
      </c>
      <c r="P173" s="31"/>
      <c r="Q173" s="31"/>
      <c r="R173" s="31"/>
      <c r="S173" s="40" t="n">
        <v>-3.39</v>
      </c>
      <c r="T173" s="31"/>
      <c r="U173" s="40" t="n">
        <v>-3.39</v>
      </c>
      <c r="V173" s="31"/>
      <c r="W173" s="31"/>
      <c r="X173" s="31"/>
      <c r="Y173" s="31"/>
      <c r="Z173" s="40" t="n">
        <v>-8.384</v>
      </c>
      <c r="AA173" s="40" t="n">
        <v>-8.384</v>
      </c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40" t="n">
        <v>-0.821</v>
      </c>
      <c r="AX173" s="40" t="n">
        <v>-0.036</v>
      </c>
      <c r="AY173" s="40" t="n">
        <v>-1.107</v>
      </c>
      <c r="AZ173" s="40" t="n">
        <v>-0.047</v>
      </c>
      <c r="BA173" s="40" t="n">
        <v>-1.213</v>
      </c>
      <c r="BB173" s="31" t="n">
        <f aca="false">AZ173+BA173</f>
        <v>-1.26</v>
      </c>
      <c r="BC173" s="40" t="n">
        <v>-0.276</v>
      </c>
      <c r="BD173" s="40" t="n">
        <v>-0.022</v>
      </c>
      <c r="BE173" s="40" t="n">
        <v>-1.559</v>
      </c>
      <c r="BF173" s="40" t="n">
        <v>-0.068</v>
      </c>
      <c r="BG173" s="40" t="n">
        <v>-0.175</v>
      </c>
      <c r="BH173" s="31" t="n">
        <f aca="false">BF173+BG173</f>
        <v>-0.243</v>
      </c>
      <c r="BI173" s="40" t="n">
        <v>-1.068</v>
      </c>
      <c r="BJ173" s="40" t="n">
        <v>-0.125</v>
      </c>
      <c r="BK173" s="40" t="n">
        <v>-1.436</v>
      </c>
      <c r="BL173" s="40" t="n">
        <v>-169.82</v>
      </c>
      <c r="BM173" s="40" t="n">
        <v>1.153</v>
      </c>
      <c r="BN173" s="31" t="n">
        <f aca="false">BL173+BM173</f>
        <v>-168.667</v>
      </c>
      <c r="BO173" s="40" t="n">
        <v>0.93</v>
      </c>
      <c r="BP173" s="40" t="n">
        <v>0.88</v>
      </c>
      <c r="BQ173" s="40" t="n">
        <v>-166.857</v>
      </c>
      <c r="BR173" s="31"/>
      <c r="BS173" s="40" t="n">
        <v>-1.5</v>
      </c>
      <c r="BT173" s="31" t="n">
        <f aca="false">N(BR173)+N(BS173)</f>
        <v>-1.5</v>
      </c>
      <c r="BU173" s="40" t="n">
        <v>0.6</v>
      </c>
      <c r="BV173" s="40" t="n">
        <v>0.2</v>
      </c>
      <c r="BW173" s="40" t="n">
        <v>-0.8</v>
      </c>
      <c r="BX173" s="40" t="n">
        <v>-1.8</v>
      </c>
      <c r="BY173" s="40" t="n">
        <v>0.4</v>
      </c>
      <c r="BZ173" s="31" t="n">
        <f aca="false">BX173+BY173</f>
        <v>-1.4</v>
      </c>
      <c r="CA173" s="40" t="n">
        <v>0.2</v>
      </c>
      <c r="CB173" s="31"/>
      <c r="CC173" s="40" t="n">
        <v>-1.2</v>
      </c>
      <c r="CD173" s="40" t="n">
        <v>-0.2</v>
      </c>
      <c r="CE173" s="31"/>
      <c r="CF173" s="31" t="n">
        <f aca="false">N(CD173)+N(CE173)</f>
        <v>-0.2</v>
      </c>
      <c r="CG173" s="40" t="n">
        <v>-1.2</v>
      </c>
      <c r="CH173" s="40" t="n">
        <v>-0.6</v>
      </c>
      <c r="CI173" s="40" t="n">
        <v>-2</v>
      </c>
      <c r="CJ173" s="40" t="n">
        <v>-1.8</v>
      </c>
      <c r="CK173" s="40" t="n">
        <v>0.9</v>
      </c>
      <c r="CL173" s="31" t="n">
        <f aca="false">CJ173+CK173</f>
        <v>-0.9</v>
      </c>
      <c r="CM173" s="49" t="n">
        <v>0</v>
      </c>
      <c r="CN173" s="49" t="n">
        <v>0</v>
      </c>
      <c r="CO173" s="32" t="n">
        <f aca="false">SUM(CJ173,CK173,CM173,CN173)</f>
        <v>-0.9</v>
      </c>
      <c r="CP173" s="49" t="n">
        <v>0</v>
      </c>
      <c r="CQ173" s="49" t="n">
        <v>0</v>
      </c>
      <c r="CR173" s="49" t="n">
        <v>0</v>
      </c>
      <c r="CS173" s="49" t="n">
        <v>0</v>
      </c>
      <c r="CT173" s="23"/>
      <c r="CV173" s="7"/>
      <c r="CW173" s="7"/>
      <c r="CX173" s="7"/>
      <c r="CY173" s="7"/>
    </row>
    <row r="174" customFormat="false" ht="15" hidden="false" customHeight="true" outlineLevel="0" collapsed="false">
      <c r="B174" s="13" t="s">
        <v>285</v>
      </c>
      <c r="C174" s="40" t="n">
        <v>0.223</v>
      </c>
      <c r="D174" s="31"/>
      <c r="E174" s="31"/>
      <c r="F174" s="31"/>
      <c r="G174" s="31"/>
      <c r="H174" s="31"/>
      <c r="I174" s="40" t="n">
        <v>2.804</v>
      </c>
      <c r="J174" s="31"/>
      <c r="K174" s="31"/>
      <c r="L174" s="31"/>
      <c r="M174" s="31"/>
      <c r="N174" s="31"/>
      <c r="O174" s="31"/>
      <c r="P174" s="31"/>
      <c r="Q174" s="31"/>
      <c r="R174" s="31"/>
      <c r="S174" s="40" t="n">
        <v>8.084</v>
      </c>
      <c r="T174" s="31"/>
      <c r="U174" s="40" t="n">
        <v>8.084</v>
      </c>
      <c r="V174" s="31"/>
      <c r="W174" s="31"/>
      <c r="X174" s="31"/>
      <c r="Y174" s="31"/>
      <c r="Z174" s="31"/>
      <c r="AA174" s="31"/>
      <c r="AB174" s="31"/>
      <c r="AC174" s="31"/>
      <c r="AD174" s="31"/>
      <c r="AE174" s="40" t="n">
        <v>28.243</v>
      </c>
      <c r="AF174" s="31"/>
      <c r="AG174" s="40" t="n">
        <v>28.243</v>
      </c>
      <c r="AH174" s="31"/>
      <c r="AI174" s="40" t="n">
        <v>8.911</v>
      </c>
      <c r="AJ174" s="31" t="n">
        <f aca="false">N(AH174)+N(AI174)</f>
        <v>8.911</v>
      </c>
      <c r="AK174" s="31"/>
      <c r="AL174" s="31"/>
      <c r="AM174" s="40" t="n">
        <v>8.911</v>
      </c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49" t="n">
        <v>0</v>
      </c>
      <c r="CN174" s="49" t="n">
        <v>0</v>
      </c>
      <c r="CO174" s="32" t="n">
        <f aca="false">SUM(CJ174,CK174,CM174,CN174)</f>
        <v>0</v>
      </c>
      <c r="CP174" s="49" t="n">
        <v>0</v>
      </c>
      <c r="CQ174" s="49" t="n">
        <v>0</v>
      </c>
      <c r="CR174" s="49" t="n">
        <v>0</v>
      </c>
      <c r="CS174" s="49" t="n">
        <v>0</v>
      </c>
      <c r="CT174" s="23"/>
      <c r="CV174" s="7"/>
      <c r="CW174" s="7"/>
      <c r="CX174" s="7"/>
      <c r="CY174" s="7"/>
    </row>
    <row r="175" customFormat="false" ht="15" hidden="false" customHeight="true" outlineLevel="0" collapsed="false">
      <c r="B175" s="13" t="s">
        <v>286</v>
      </c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40" t="n">
        <v>4.58</v>
      </c>
      <c r="O175" s="40" t="n">
        <v>4.58</v>
      </c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40" t="n">
        <v>9.8</v>
      </c>
      <c r="BV175" s="40" t="n">
        <v>2.2</v>
      </c>
      <c r="BW175" s="40" t="n">
        <v>12</v>
      </c>
      <c r="BX175" s="40" t="n">
        <v>1.7</v>
      </c>
      <c r="BY175" s="40" t="n">
        <v>2</v>
      </c>
      <c r="BZ175" s="31" t="n">
        <f aca="false">BX175+BY175</f>
        <v>3.7</v>
      </c>
      <c r="CA175" s="40" t="n">
        <v>0.6</v>
      </c>
      <c r="CB175" s="40" t="n">
        <v>2.4</v>
      </c>
      <c r="CC175" s="40" t="n">
        <v>6.7</v>
      </c>
      <c r="CD175" s="40" t="n">
        <v>2.7</v>
      </c>
      <c r="CE175" s="40" t="n">
        <v>3.1</v>
      </c>
      <c r="CF175" s="31" t="n">
        <f aca="false">CD175+CE175</f>
        <v>5.8</v>
      </c>
      <c r="CG175" s="40" t="n">
        <v>4.7</v>
      </c>
      <c r="CH175" s="40" t="n">
        <v>43.2</v>
      </c>
      <c r="CI175" s="40" t="n">
        <v>53.7</v>
      </c>
      <c r="CJ175" s="31"/>
      <c r="CK175" s="31"/>
      <c r="CL175" s="31"/>
      <c r="CM175" s="49" t="n">
        <v>0</v>
      </c>
      <c r="CN175" s="49" t="n">
        <v>0</v>
      </c>
      <c r="CO175" s="32" t="n">
        <f aca="false">SUM(CJ175,CK175,CM175,CN175)</f>
        <v>0</v>
      </c>
      <c r="CP175" s="49" t="n">
        <v>0</v>
      </c>
      <c r="CQ175" s="49" t="n">
        <v>0</v>
      </c>
      <c r="CR175" s="49" t="n">
        <v>0</v>
      </c>
      <c r="CS175" s="49" t="n">
        <v>0</v>
      </c>
      <c r="CT175" s="23"/>
      <c r="CV175" s="7"/>
      <c r="CW175" s="7"/>
      <c r="CX175" s="7"/>
      <c r="CY175" s="7"/>
    </row>
    <row r="176" customFormat="false" ht="15" hidden="false" customHeight="true" outlineLevel="0" collapsed="false">
      <c r="B176" s="13" t="s">
        <v>287</v>
      </c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40" t="n">
        <v>-4.935</v>
      </c>
      <c r="AR176" s="31"/>
      <c r="AS176" s="40" t="n">
        <v>-4.935</v>
      </c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40" t="n">
        <v>19.7</v>
      </c>
      <c r="CF176" s="31" t="n">
        <f aca="false">N(CD176)+N(CE176)</f>
        <v>19.7</v>
      </c>
      <c r="CG176" s="31"/>
      <c r="CH176" s="40" t="n">
        <v>-3.9</v>
      </c>
      <c r="CI176" s="40" t="n">
        <v>15.8</v>
      </c>
      <c r="CJ176" s="31"/>
      <c r="CK176" s="31"/>
      <c r="CL176" s="31"/>
      <c r="CM176" s="49" t="n">
        <v>0</v>
      </c>
      <c r="CN176" s="49" t="n">
        <v>0</v>
      </c>
      <c r="CO176" s="32" t="n">
        <f aca="false">SUM(CJ176,CK176,CM176,CN176)</f>
        <v>0</v>
      </c>
      <c r="CP176" s="49" t="n">
        <v>0</v>
      </c>
      <c r="CQ176" s="49" t="n">
        <v>0</v>
      </c>
      <c r="CR176" s="49" t="n">
        <v>0</v>
      </c>
      <c r="CS176" s="49" t="n">
        <v>0</v>
      </c>
      <c r="CT176" s="23"/>
      <c r="CV176" s="7"/>
      <c r="CW176" s="7"/>
      <c r="CX176" s="7"/>
      <c r="CY176" s="7"/>
    </row>
    <row r="177" customFormat="false" ht="15" hidden="false" customHeight="true" outlineLevel="0" collapsed="false">
      <c r="B177" s="13" t="s">
        <v>288</v>
      </c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40" t="n">
        <v>6.787</v>
      </c>
      <c r="AG177" s="40" t="n">
        <v>6.787</v>
      </c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40" t="n">
        <v>0</v>
      </c>
      <c r="BF177" s="31"/>
      <c r="BG177" s="40" t="n">
        <v>0</v>
      </c>
      <c r="BH177" s="31" t="n">
        <f aca="false">N(BF177)+N(BG177)</f>
        <v>0</v>
      </c>
      <c r="BI177" s="31"/>
      <c r="BJ177" s="40" t="n">
        <v>0</v>
      </c>
      <c r="BK177" s="40" t="n">
        <v>0</v>
      </c>
      <c r="BL177" s="31"/>
      <c r="BM177" s="40" t="n">
        <v>9.664</v>
      </c>
      <c r="BN177" s="31" t="n">
        <f aca="false">N(BL177)+N(BM177)</f>
        <v>9.664</v>
      </c>
      <c r="BO177" s="31"/>
      <c r="BP177" s="40" t="n">
        <v>0</v>
      </c>
      <c r="BQ177" s="40" t="n">
        <v>9.664</v>
      </c>
      <c r="BR177" s="40" t="n">
        <v>3.3</v>
      </c>
      <c r="BS177" s="31"/>
      <c r="BT177" s="31" t="n">
        <f aca="false">N(BR177)+N(BS177)</f>
        <v>3.3</v>
      </c>
      <c r="BU177" s="31"/>
      <c r="BV177" s="31"/>
      <c r="BW177" s="40" t="n">
        <v>3.3</v>
      </c>
      <c r="BX177" s="31"/>
      <c r="BY177" s="31"/>
      <c r="BZ177" s="31"/>
      <c r="CA177" s="31"/>
      <c r="CB177" s="31"/>
      <c r="CC177" s="31"/>
      <c r="CD177" s="31"/>
      <c r="CE177" s="40" t="n">
        <v>3.9</v>
      </c>
      <c r="CF177" s="31" t="n">
        <f aca="false">N(CD177)+N(CE177)</f>
        <v>3.9</v>
      </c>
      <c r="CG177" s="31"/>
      <c r="CH177" s="31"/>
      <c r="CI177" s="40" t="n">
        <v>3.9</v>
      </c>
      <c r="CJ177" s="31"/>
      <c r="CK177" s="31"/>
      <c r="CL177" s="31"/>
      <c r="CM177" s="49" t="n">
        <v>0</v>
      </c>
      <c r="CN177" s="49" t="n">
        <v>0</v>
      </c>
      <c r="CO177" s="32" t="n">
        <f aca="false">SUM(CJ177,CK177,CM177,CN177)</f>
        <v>0</v>
      </c>
      <c r="CP177" s="49" t="n">
        <v>0</v>
      </c>
      <c r="CQ177" s="49" t="n">
        <v>0</v>
      </c>
      <c r="CR177" s="49" t="n">
        <v>0</v>
      </c>
      <c r="CS177" s="49" t="n">
        <v>0</v>
      </c>
      <c r="CT177" s="23"/>
      <c r="CV177" s="7"/>
      <c r="CW177" s="7"/>
      <c r="CX177" s="7"/>
      <c r="CY177" s="7"/>
    </row>
    <row r="178" customFormat="false" ht="15" hidden="false" customHeight="true" outlineLevel="0" collapsed="false">
      <c r="B178" s="13" t="s">
        <v>289</v>
      </c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40" t="n">
        <v>0</v>
      </c>
      <c r="AZ178" s="31"/>
      <c r="BA178" s="31"/>
      <c r="BB178" s="31"/>
      <c r="BC178" s="31"/>
      <c r="BD178" s="40" t="n">
        <v>0</v>
      </c>
      <c r="BE178" s="31"/>
      <c r="BF178" s="40" t="n">
        <v>0</v>
      </c>
      <c r="BG178" s="40" t="n">
        <v>0.24</v>
      </c>
      <c r="BH178" s="31" t="n">
        <f aca="false">BF178+BG178</f>
        <v>0.24</v>
      </c>
      <c r="BI178" s="40" t="n">
        <v>0.68</v>
      </c>
      <c r="BJ178" s="40" t="n">
        <v>2.577</v>
      </c>
      <c r="BK178" s="40" t="n">
        <v>3.497</v>
      </c>
      <c r="BL178" s="40" t="n">
        <v>2.285</v>
      </c>
      <c r="BM178" s="40" t="n">
        <v>1.094</v>
      </c>
      <c r="BN178" s="31" t="n">
        <f aca="false">BL178+BM178</f>
        <v>3.379</v>
      </c>
      <c r="BO178" s="40" t="n">
        <v>1.494</v>
      </c>
      <c r="BP178" s="40" t="n">
        <v>0.188</v>
      </c>
      <c r="BQ178" s="40" t="n">
        <v>5.061</v>
      </c>
      <c r="BR178" s="40" t="n">
        <v>0.2</v>
      </c>
      <c r="BS178" s="40" t="n">
        <v>0.5</v>
      </c>
      <c r="BT178" s="31" t="n">
        <f aca="false">BR178+BS178</f>
        <v>0.7</v>
      </c>
      <c r="BU178" s="40" t="n">
        <v>0.6</v>
      </c>
      <c r="BV178" s="40" t="n">
        <v>0.7</v>
      </c>
      <c r="BW178" s="40" t="n">
        <v>2</v>
      </c>
      <c r="BX178" s="40" t="n">
        <v>2.2</v>
      </c>
      <c r="BY178" s="40" t="n">
        <v>7.7</v>
      </c>
      <c r="BZ178" s="31" t="n">
        <f aca="false">BX178+BY178</f>
        <v>9.9</v>
      </c>
      <c r="CA178" s="40" t="n">
        <v>2.2</v>
      </c>
      <c r="CB178" s="40" t="n">
        <v>1.3</v>
      </c>
      <c r="CC178" s="40" t="n">
        <v>13.4</v>
      </c>
      <c r="CD178" s="40" t="n">
        <v>1.8</v>
      </c>
      <c r="CE178" s="40" t="n">
        <v>3.1</v>
      </c>
      <c r="CF178" s="31" t="n">
        <f aca="false">CD178+CE178</f>
        <v>4.9</v>
      </c>
      <c r="CG178" s="40" t="n">
        <v>7.4</v>
      </c>
      <c r="CH178" s="40" t="n">
        <v>7</v>
      </c>
      <c r="CI178" s="40" t="n">
        <v>19.7</v>
      </c>
      <c r="CJ178" s="40" t="n">
        <v>0.1</v>
      </c>
      <c r="CK178" s="40" t="n">
        <v>3.3</v>
      </c>
      <c r="CL178" s="31" t="n">
        <f aca="false">CJ178+CK178</f>
        <v>3.4</v>
      </c>
      <c r="CM178" s="32" t="n">
        <f aca="false">CM151</f>
        <v>2</v>
      </c>
      <c r="CN178" s="32" t="n">
        <f aca="false">CN151</f>
        <v>2</v>
      </c>
      <c r="CO178" s="32" t="n">
        <f aca="false">SUM(CJ178,CK178,CM178,CN178)</f>
        <v>7.4</v>
      </c>
      <c r="CP178" s="32" t="n">
        <f aca="false">CP151</f>
        <v>6</v>
      </c>
      <c r="CQ178" s="32" t="n">
        <f aca="false">CQ151</f>
        <v>6</v>
      </c>
      <c r="CR178" s="32" t="n">
        <f aca="false">CR151</f>
        <v>6</v>
      </c>
      <c r="CS178" s="32" t="n">
        <f aca="false">CS151</f>
        <v>6</v>
      </c>
      <c r="CT178" s="23"/>
      <c r="CV178" s="7"/>
      <c r="CW178" s="7"/>
      <c r="CX178" s="7"/>
      <c r="CY178" s="7"/>
    </row>
    <row r="179" customFormat="false" ht="15" hidden="false" customHeight="true" outlineLevel="0" collapsed="false">
      <c r="B179" s="13" t="s">
        <v>291</v>
      </c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40" t="n">
        <v>0</v>
      </c>
      <c r="AZ179" s="31"/>
      <c r="BA179" s="31"/>
      <c r="BB179" s="31"/>
      <c r="BC179" s="31"/>
      <c r="BD179" s="40" t="n">
        <v>0</v>
      </c>
      <c r="BE179" s="40" t="n">
        <v>0</v>
      </c>
      <c r="BF179" s="40" t="n">
        <v>0</v>
      </c>
      <c r="BG179" s="40" t="n">
        <v>0</v>
      </c>
      <c r="BH179" s="31" t="n">
        <f aca="false">BF179+BG179</f>
        <v>0</v>
      </c>
      <c r="BI179" s="31"/>
      <c r="BJ179" s="40" t="n">
        <v>1.248</v>
      </c>
      <c r="BK179" s="40" t="n">
        <v>1.248</v>
      </c>
      <c r="BL179" s="40" t="n">
        <v>-1.263</v>
      </c>
      <c r="BM179" s="40" t="n">
        <v>0</v>
      </c>
      <c r="BN179" s="31" t="n">
        <f aca="false">BL179+BM179</f>
        <v>-1.263</v>
      </c>
      <c r="BO179" s="31"/>
      <c r="BP179" s="40" t="n">
        <v>0</v>
      </c>
      <c r="BQ179" s="40" t="n">
        <v>-1.263</v>
      </c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49" t="n">
        <v>0</v>
      </c>
      <c r="CN179" s="49" t="n">
        <v>0</v>
      </c>
      <c r="CO179" s="32" t="n">
        <f aca="false">SUM(CJ179,CK179,CM179,CN179)</f>
        <v>0</v>
      </c>
      <c r="CP179" s="49" t="n">
        <v>0</v>
      </c>
      <c r="CQ179" s="49" t="n">
        <v>0</v>
      </c>
      <c r="CR179" s="49" t="n">
        <v>0</v>
      </c>
      <c r="CS179" s="49" t="n">
        <v>0</v>
      </c>
      <c r="CT179" s="23"/>
      <c r="CV179" s="7"/>
      <c r="CW179" s="7"/>
      <c r="CX179" s="7"/>
      <c r="CY179" s="7"/>
    </row>
    <row r="180" customFormat="false" ht="15" hidden="false" customHeight="true" outlineLevel="0" collapsed="false">
      <c r="B180" s="13" t="s">
        <v>292</v>
      </c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40" t="n">
        <v>-12.4</v>
      </c>
      <c r="BS180" s="40" t="n">
        <v>-39.7</v>
      </c>
      <c r="BT180" s="31" t="n">
        <f aca="false">BR180+BS180</f>
        <v>-52.1</v>
      </c>
      <c r="BU180" s="40" t="n">
        <v>-7.6</v>
      </c>
      <c r="BV180" s="40" t="n">
        <v>-7.3</v>
      </c>
      <c r="BW180" s="40" t="n">
        <v>-67</v>
      </c>
      <c r="BX180" s="40" t="n">
        <v>-2.1</v>
      </c>
      <c r="BY180" s="40" t="n">
        <v>-1.3</v>
      </c>
      <c r="BZ180" s="31" t="n">
        <f aca="false">BX180+BY180</f>
        <v>-3.4</v>
      </c>
      <c r="CA180" s="40" t="n">
        <v>-0.6</v>
      </c>
      <c r="CB180" s="40" t="n">
        <v>-0.7</v>
      </c>
      <c r="CC180" s="40" t="n">
        <v>-4.7</v>
      </c>
      <c r="CD180" s="31"/>
      <c r="CE180" s="31"/>
      <c r="CF180" s="31"/>
      <c r="CG180" s="31"/>
      <c r="CH180" s="31"/>
      <c r="CI180" s="40" t="n">
        <v>-0.5</v>
      </c>
      <c r="CJ180" s="31"/>
      <c r="CK180" s="31"/>
      <c r="CL180" s="31"/>
      <c r="CM180" s="49" t="n">
        <v>0</v>
      </c>
      <c r="CN180" s="49" t="n">
        <v>0</v>
      </c>
      <c r="CO180" s="32" t="n">
        <f aca="false">SUM(CJ180,CK180,CM180,CN180)</f>
        <v>0</v>
      </c>
      <c r="CP180" s="49" t="n">
        <v>0</v>
      </c>
      <c r="CQ180" s="49" t="n">
        <v>0</v>
      </c>
      <c r="CR180" s="49" t="n">
        <v>0</v>
      </c>
      <c r="CS180" s="49" t="n">
        <v>0</v>
      </c>
      <c r="CT180" s="23"/>
      <c r="CV180" s="7"/>
      <c r="CW180" s="7"/>
      <c r="CX180" s="7"/>
      <c r="CY180" s="7"/>
    </row>
    <row r="181" customFormat="false" ht="15" hidden="false" customHeight="true" outlineLevel="0" collapsed="false">
      <c r="B181" s="13" t="s">
        <v>293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40" t="n">
        <v>-2.9</v>
      </c>
      <c r="BS181" s="31"/>
      <c r="BT181" s="31" t="n">
        <f aca="false">N(BR181)+N(BS181)</f>
        <v>-2.9</v>
      </c>
      <c r="BU181" s="31"/>
      <c r="BV181" s="40" t="n">
        <v>0.1</v>
      </c>
      <c r="BW181" s="40" t="n">
        <v>-2.9</v>
      </c>
      <c r="BX181" s="31"/>
      <c r="BY181" s="31"/>
      <c r="BZ181" s="31"/>
      <c r="CA181" s="40" t="n">
        <v>1.2</v>
      </c>
      <c r="CB181" s="31"/>
      <c r="CC181" s="40" t="n">
        <v>1.2</v>
      </c>
      <c r="CD181" s="31"/>
      <c r="CE181" s="31"/>
      <c r="CF181" s="31"/>
      <c r="CG181" s="31"/>
      <c r="CH181" s="31"/>
      <c r="CI181" s="40" t="n">
        <v>0.1</v>
      </c>
      <c r="CJ181" s="31"/>
      <c r="CK181" s="31"/>
      <c r="CL181" s="31"/>
      <c r="CM181" s="49" t="n">
        <v>0</v>
      </c>
      <c r="CN181" s="49" t="n">
        <v>0</v>
      </c>
      <c r="CO181" s="32" t="n">
        <f aca="false">SUM(CJ181,CK181,CM181,CN181)</f>
        <v>0</v>
      </c>
      <c r="CP181" s="49" t="n">
        <v>0</v>
      </c>
      <c r="CQ181" s="49" t="n">
        <v>0</v>
      </c>
      <c r="CR181" s="49" t="n">
        <v>0</v>
      </c>
      <c r="CS181" s="49" t="n">
        <v>0</v>
      </c>
      <c r="CT181" s="23"/>
      <c r="CV181" s="7"/>
      <c r="CW181" s="7"/>
      <c r="CX181" s="7"/>
      <c r="CY181" s="7"/>
    </row>
    <row r="182" customFormat="false" ht="15" hidden="false" customHeight="true" outlineLevel="0" collapsed="false">
      <c r="B182" s="13" t="s">
        <v>329</v>
      </c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40" t="n">
        <v>0.7</v>
      </c>
      <c r="CH182" s="31"/>
      <c r="CI182" s="40" t="n">
        <v>0.7</v>
      </c>
      <c r="CJ182" s="31"/>
      <c r="CK182" s="31"/>
      <c r="CL182" s="31"/>
      <c r="CM182" s="49" t="n">
        <v>0</v>
      </c>
      <c r="CN182" s="49" t="n">
        <v>0</v>
      </c>
      <c r="CO182" s="32" t="n">
        <f aca="false">SUM(CJ182,CK182,CM182,CN182)</f>
        <v>0</v>
      </c>
      <c r="CP182" s="49" t="n">
        <v>0</v>
      </c>
      <c r="CQ182" s="49" t="n">
        <v>0</v>
      </c>
      <c r="CR182" s="49" t="n">
        <v>0</v>
      </c>
      <c r="CS182" s="49" t="n">
        <v>0</v>
      </c>
      <c r="CT182" s="23"/>
      <c r="CV182" s="7"/>
      <c r="CW182" s="7"/>
      <c r="CX182" s="7"/>
      <c r="CY182" s="7"/>
    </row>
    <row r="183" customFormat="false" ht="15" hidden="false" customHeight="true" outlineLevel="0" collapsed="false">
      <c r="B183" s="13" t="s">
        <v>330</v>
      </c>
      <c r="C183" s="31"/>
      <c r="D183" s="40" t="n">
        <v>-4.789</v>
      </c>
      <c r="E183" s="40" t="n">
        <v>-9.188</v>
      </c>
      <c r="F183" s="40" t="n">
        <v>-0.759</v>
      </c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49" t="n">
        <v>0</v>
      </c>
      <c r="CN183" s="49" t="n">
        <v>0</v>
      </c>
      <c r="CO183" s="32" t="n">
        <f aca="false">SUM(CJ183,CK183,CM183,CN183)</f>
        <v>0</v>
      </c>
      <c r="CP183" s="49" t="n">
        <v>0</v>
      </c>
      <c r="CQ183" s="49" t="n">
        <v>0</v>
      </c>
      <c r="CR183" s="49" t="n">
        <v>0</v>
      </c>
      <c r="CS183" s="49" t="n">
        <v>0</v>
      </c>
      <c r="CT183" s="23"/>
      <c r="CV183" s="7"/>
      <c r="CW183" s="7"/>
      <c r="CX183" s="7"/>
      <c r="CY183" s="7"/>
    </row>
    <row r="184" customFormat="false" ht="15" hidden="false" customHeight="true" outlineLevel="0" collapsed="false">
      <c r="B184" s="13" t="s">
        <v>331</v>
      </c>
      <c r="C184" s="40" t="n">
        <v>0.636</v>
      </c>
      <c r="D184" s="40" t="n">
        <v>0.696</v>
      </c>
      <c r="E184" s="40" t="n">
        <v>1.571</v>
      </c>
      <c r="F184" s="40" t="n">
        <v>0.446</v>
      </c>
      <c r="G184" s="40" t="n">
        <v>0.474</v>
      </c>
      <c r="H184" s="40" t="n">
        <v>0.487</v>
      </c>
      <c r="I184" s="40" t="n">
        <v>-1.746</v>
      </c>
      <c r="J184" s="31"/>
      <c r="K184" s="31"/>
      <c r="L184" s="31"/>
      <c r="M184" s="40" t="n">
        <v>0.265</v>
      </c>
      <c r="N184" s="40" t="n">
        <v>1.202</v>
      </c>
      <c r="O184" s="40" t="n">
        <v>1.464</v>
      </c>
      <c r="P184" s="31"/>
      <c r="Q184" s="31"/>
      <c r="R184" s="31"/>
      <c r="S184" s="40" t="n">
        <v>0.444</v>
      </c>
      <c r="T184" s="40" t="n">
        <v>-1.321</v>
      </c>
      <c r="U184" s="40" t="n">
        <v>-0.877</v>
      </c>
      <c r="V184" s="31"/>
      <c r="W184" s="31"/>
      <c r="X184" s="31"/>
      <c r="Y184" s="31"/>
      <c r="Z184" s="40" t="n">
        <v>1.09</v>
      </c>
      <c r="AA184" s="40" t="n">
        <v>1.09</v>
      </c>
      <c r="AB184" s="31"/>
      <c r="AC184" s="31"/>
      <c r="AD184" s="31"/>
      <c r="AE184" s="40" t="n">
        <v>-1.798</v>
      </c>
      <c r="AF184" s="40" t="n">
        <v>-1.787</v>
      </c>
      <c r="AG184" s="40" t="n">
        <v>-3.585</v>
      </c>
      <c r="AH184" s="31"/>
      <c r="AI184" s="40" t="n">
        <v>-5.372</v>
      </c>
      <c r="AJ184" s="31" t="n">
        <f aca="false">N(AH184)+N(AI184)</f>
        <v>-5.372</v>
      </c>
      <c r="AK184" s="31"/>
      <c r="AL184" s="40" t="n">
        <v>-0.552</v>
      </c>
      <c r="AM184" s="40" t="n">
        <v>-5.924</v>
      </c>
      <c r="AN184" s="31"/>
      <c r="AO184" s="31"/>
      <c r="AP184" s="31"/>
      <c r="AQ184" s="40" t="n">
        <v>-0.376</v>
      </c>
      <c r="AR184" s="31"/>
      <c r="AS184" s="40" t="n">
        <v>-0.376</v>
      </c>
      <c r="AT184" s="31"/>
      <c r="AU184" s="31"/>
      <c r="AV184" s="31"/>
      <c r="AW184" s="40" t="n">
        <v>-3.299</v>
      </c>
      <c r="AX184" s="40" t="n">
        <v>-2.846</v>
      </c>
      <c r="AY184" s="40" t="n">
        <v>-11.783</v>
      </c>
      <c r="AZ184" s="40" t="n">
        <v>-2.322</v>
      </c>
      <c r="BA184" s="40" t="n">
        <v>-4.068</v>
      </c>
      <c r="BB184" s="31" t="n">
        <f aca="false">AZ184+BA184</f>
        <v>-6.39</v>
      </c>
      <c r="BC184" s="40" t="n">
        <v>-7.999</v>
      </c>
      <c r="BD184" s="40" t="n">
        <v>-6.155</v>
      </c>
      <c r="BE184" s="40" t="n">
        <v>-20.544</v>
      </c>
      <c r="BF184" s="40" t="n">
        <v>-5.466</v>
      </c>
      <c r="BG184" s="40" t="n">
        <v>-3.66</v>
      </c>
      <c r="BH184" s="31" t="n">
        <f aca="false">BF184+BG184</f>
        <v>-9.126</v>
      </c>
      <c r="BI184" s="40" t="n">
        <v>-4.672</v>
      </c>
      <c r="BJ184" s="40" t="n">
        <v>-6.536</v>
      </c>
      <c r="BK184" s="40" t="n">
        <v>-20.334</v>
      </c>
      <c r="BL184" s="40" t="n">
        <v>18.112</v>
      </c>
      <c r="BM184" s="40" t="n">
        <v>-7.669</v>
      </c>
      <c r="BN184" s="31" t="n">
        <f aca="false">BL184+BM184</f>
        <v>10.443</v>
      </c>
      <c r="BO184" s="40" t="n">
        <v>-4.544</v>
      </c>
      <c r="BP184" s="40" t="n">
        <v>-9.851</v>
      </c>
      <c r="BQ184" s="40" t="n">
        <v>-3.952</v>
      </c>
      <c r="BR184" s="40" t="n">
        <v>-33.6</v>
      </c>
      <c r="BS184" s="40" t="n">
        <v>-18.8</v>
      </c>
      <c r="BT184" s="31" t="n">
        <f aca="false">BR184+BS184</f>
        <v>-52.4</v>
      </c>
      <c r="BU184" s="40" t="n">
        <v>-22.2</v>
      </c>
      <c r="BV184" s="40" t="n">
        <v>-21.2</v>
      </c>
      <c r="BW184" s="40" t="n">
        <v>-95.8</v>
      </c>
      <c r="BX184" s="40" t="n">
        <v>-24.8</v>
      </c>
      <c r="BY184" s="40" t="n">
        <v>-24</v>
      </c>
      <c r="BZ184" s="31" t="n">
        <f aca="false">BX184+BY184</f>
        <v>-48.8</v>
      </c>
      <c r="CA184" s="40" t="n">
        <v>-21</v>
      </c>
      <c r="CB184" s="40" t="n">
        <v>-21.5</v>
      </c>
      <c r="CC184" s="40" t="n">
        <v>-91.4</v>
      </c>
      <c r="CD184" s="40" t="n">
        <v>-27.3</v>
      </c>
      <c r="CE184" s="40" t="n">
        <v>-22.4</v>
      </c>
      <c r="CF184" s="31" t="n">
        <f aca="false">CD184+CE184</f>
        <v>-49.7</v>
      </c>
      <c r="CG184" s="40" t="n">
        <v>-28.6</v>
      </c>
      <c r="CH184" s="40" t="n">
        <v>-36.2</v>
      </c>
      <c r="CI184" s="40" t="n">
        <v>-114.5</v>
      </c>
      <c r="CJ184" s="40" t="n">
        <v>-27.2</v>
      </c>
      <c r="CK184" s="40" t="n">
        <v>-24.8</v>
      </c>
      <c r="CL184" s="31" t="n">
        <f aca="false">CJ184+CK184</f>
        <v>-52</v>
      </c>
      <c r="CM184" s="32" t="n">
        <f aca="false">-SUM(CM169:CM183)*CM189</f>
        <v>-25.9</v>
      </c>
      <c r="CN184" s="32" t="n">
        <f aca="false">-SUM(CN169:CN183)*CN189</f>
        <v>-25.9</v>
      </c>
      <c r="CO184" s="32" t="n">
        <f aca="false">SUM(CJ184,CK184,CM184,CN184)</f>
        <v>-103.8</v>
      </c>
      <c r="CP184" s="32" t="n">
        <f aca="false">-SUM(CP169:CP183)*CP189</f>
        <v>-83.25</v>
      </c>
      <c r="CQ184" s="32" t="n">
        <f aca="false">-SUM(CQ169:CQ183)*CQ189</f>
        <v>-71</v>
      </c>
      <c r="CR184" s="32" t="n">
        <f aca="false">-SUM(CR169:CR183)*CR189</f>
        <v>-66.75</v>
      </c>
      <c r="CS184" s="32" t="n">
        <f aca="false">-SUM(CS169:CS183)*CS189</f>
        <v>-66.25</v>
      </c>
      <c r="CT184" s="23"/>
      <c r="CV184" s="7"/>
      <c r="CW184" s="7"/>
      <c r="CX184" s="7"/>
      <c r="CY184" s="7"/>
    </row>
    <row r="185" customFormat="false" ht="15" hidden="false" customHeight="true" outlineLevel="0" collapsed="false">
      <c r="B185" s="13" t="s">
        <v>332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40" t="n">
        <v>-7.862</v>
      </c>
      <c r="AA185" s="40" t="n">
        <v>-7.862</v>
      </c>
      <c r="AB185" s="31"/>
      <c r="AC185" s="31"/>
      <c r="AD185" s="31"/>
      <c r="AE185" s="31"/>
      <c r="AF185" s="31"/>
      <c r="AG185" s="31"/>
      <c r="AH185" s="40" t="n">
        <v>2.29</v>
      </c>
      <c r="AI185" s="31"/>
      <c r="AJ185" s="31" t="n">
        <f aca="false">N(AH185)+N(AI185)</f>
        <v>2.29</v>
      </c>
      <c r="AK185" s="31"/>
      <c r="AL185" s="40" t="n">
        <v>-10.07</v>
      </c>
      <c r="AM185" s="40" t="n">
        <v>-7.78</v>
      </c>
      <c r="AN185" s="31"/>
      <c r="AO185" s="31"/>
      <c r="AP185" s="31"/>
      <c r="AQ185" s="31"/>
      <c r="AR185" s="31"/>
      <c r="AS185" s="31"/>
      <c r="AT185" s="31"/>
      <c r="AU185" s="31"/>
      <c r="AV185" s="31"/>
      <c r="AW185" s="40" t="n">
        <v>0</v>
      </c>
      <c r="AX185" s="40" t="n">
        <v>0</v>
      </c>
      <c r="AY185" s="40" t="n">
        <v>0</v>
      </c>
      <c r="AZ185" s="40" t="n">
        <v>0</v>
      </c>
      <c r="BA185" s="40" t="n">
        <v>6.228</v>
      </c>
      <c r="BB185" s="31" t="n">
        <f aca="false">AZ185+BA185</f>
        <v>6.228</v>
      </c>
      <c r="BC185" s="40" t="n">
        <v>0</v>
      </c>
      <c r="BD185" s="40" t="n">
        <v>1.527</v>
      </c>
      <c r="BE185" s="40" t="n">
        <v>7.755</v>
      </c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40" t="n">
        <v>0</v>
      </c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49" t="n">
        <v>0</v>
      </c>
      <c r="CN185" s="49" t="n">
        <v>0</v>
      </c>
      <c r="CO185" s="32" t="n">
        <f aca="false">SUM(CJ185,CK185,CM185,CN185)</f>
        <v>0</v>
      </c>
      <c r="CP185" s="49" t="n">
        <v>0</v>
      </c>
      <c r="CQ185" s="49" t="n">
        <v>0</v>
      </c>
      <c r="CR185" s="49" t="n">
        <v>0</v>
      </c>
      <c r="CS185" s="49" t="n">
        <v>0</v>
      </c>
      <c r="CT185" s="23"/>
      <c r="CV185" s="7"/>
      <c r="CW185" s="7"/>
      <c r="CX185" s="7"/>
      <c r="CY185" s="7"/>
    </row>
    <row r="186" customFormat="false" ht="15" hidden="false" customHeight="true" outlineLevel="0" collapsed="false">
      <c r="B186" s="13" t="s">
        <v>333</v>
      </c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40" t="n">
        <v>-0.7</v>
      </c>
      <c r="BS186" s="40" t="n">
        <v>-2.9</v>
      </c>
      <c r="BT186" s="31" t="n">
        <f aca="false">BR186+BS186</f>
        <v>-3.6</v>
      </c>
      <c r="BU186" s="40" t="n">
        <v>-2.9</v>
      </c>
      <c r="BV186" s="40" t="n">
        <v>-2.8</v>
      </c>
      <c r="BW186" s="40" t="n">
        <v>-11.3</v>
      </c>
      <c r="BX186" s="40" t="n">
        <v>-2.5</v>
      </c>
      <c r="BY186" s="40" t="n">
        <v>-2.6</v>
      </c>
      <c r="BZ186" s="31" t="n">
        <f aca="false">BX186+BY186</f>
        <v>-5.1</v>
      </c>
      <c r="CA186" s="40" t="n">
        <v>-2.3</v>
      </c>
      <c r="CB186" s="40" t="n">
        <v>-2.5</v>
      </c>
      <c r="CC186" s="40" t="n">
        <v>-10.1</v>
      </c>
      <c r="CD186" s="40" t="n">
        <v>-2.3</v>
      </c>
      <c r="CE186" s="40" t="n">
        <v>-3.7</v>
      </c>
      <c r="CF186" s="31" t="n">
        <f aca="false">CD186+CE186</f>
        <v>-6</v>
      </c>
      <c r="CG186" s="40" t="n">
        <v>-3.2</v>
      </c>
      <c r="CH186" s="40" t="n">
        <v>-3.9</v>
      </c>
      <c r="CI186" s="40" t="n">
        <v>-13.1</v>
      </c>
      <c r="CJ186" s="40" t="n">
        <v>-2.4</v>
      </c>
      <c r="CK186" s="40" t="n">
        <v>-2.9</v>
      </c>
      <c r="CL186" s="31" t="n">
        <f aca="false">CJ186+CK186</f>
        <v>-5.3</v>
      </c>
      <c r="CM186" s="32" t="n">
        <f aca="false">-SUM(CM169:CM185)*CM338</f>
        <v>-0</v>
      </c>
      <c r="CN186" s="32" t="n">
        <f aca="false">-SUM(CN169:CN185)*CN338</f>
        <v>-0</v>
      </c>
      <c r="CO186" s="32" t="n">
        <f aca="false">SUM(CJ186,CK186,CM186,CN186)</f>
        <v>-5.3</v>
      </c>
      <c r="CP186" s="32" t="n">
        <f aca="false">-SUM(CP169:CP185)*CP338</f>
        <v>-8.74125</v>
      </c>
      <c r="CQ186" s="32" t="n">
        <f aca="false">-SUM(CQ169:CQ185)*CQ338</f>
        <v>-7.455</v>
      </c>
      <c r="CR186" s="32" t="n">
        <f aca="false">-SUM(CR169:CR185)*CR338</f>
        <v>-7.00875</v>
      </c>
      <c r="CS186" s="32" t="n">
        <f aca="false">-SUM(CS169:CS185)*CS338</f>
        <v>-6.95625</v>
      </c>
      <c r="CT186" s="23"/>
      <c r="CV186" s="7"/>
      <c r="CW186" s="7"/>
      <c r="CX186" s="7"/>
      <c r="CY186" s="7"/>
    </row>
    <row r="187" customFormat="false" ht="15" hidden="false" customHeight="true" outlineLevel="0" collapsed="false">
      <c r="B187" s="13" t="s">
        <v>334</v>
      </c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40" t="n">
        <v>5</v>
      </c>
      <c r="CH187" s="40" t="n">
        <v>0.3</v>
      </c>
      <c r="CI187" s="40" t="n">
        <v>5.3</v>
      </c>
      <c r="CJ187" s="40" t="n">
        <v>-0.4</v>
      </c>
      <c r="CK187" s="31"/>
      <c r="CL187" s="31" t="n">
        <f aca="false">N(CJ187)+N(CK187)</f>
        <v>-0.4</v>
      </c>
      <c r="CM187" s="49" t="n">
        <v>0</v>
      </c>
      <c r="CN187" s="49" t="n">
        <v>0</v>
      </c>
      <c r="CO187" s="32" t="n">
        <f aca="false">SUM(CJ187,CK187,CM187,CN187)</f>
        <v>-0.4</v>
      </c>
      <c r="CP187" s="49" t="n">
        <v>0</v>
      </c>
      <c r="CQ187" s="49" t="n">
        <v>0</v>
      </c>
      <c r="CR187" s="49" t="n">
        <v>0</v>
      </c>
      <c r="CS187" s="49" t="n">
        <v>0</v>
      </c>
      <c r="CT187" s="23"/>
      <c r="CV187" s="7"/>
      <c r="CW187" s="7"/>
      <c r="CX187" s="7"/>
      <c r="CY187" s="7"/>
    </row>
    <row r="188" customFormat="false" ht="15" hidden="false" customHeight="true" outlineLevel="0" collapsed="false">
      <c r="B188" s="41" t="s">
        <v>335</v>
      </c>
      <c r="C188" s="43" t="n">
        <f aca="false">SUM(C168:C187)</f>
        <v>56.2650000000001</v>
      </c>
      <c r="D188" s="43" t="n">
        <f aca="false">SUM(D168:D187)</f>
        <v>71.89</v>
      </c>
      <c r="E188" s="43" t="n">
        <f aca="false">SUM(E168:E187)</f>
        <v>85.479</v>
      </c>
      <c r="F188" s="43" t="n">
        <f aca="false">SUM(F168:F187)</f>
        <v>92.042</v>
      </c>
      <c r="G188" s="43" t="n">
        <f aca="false">SUM(G168:G187)</f>
        <v>64.919</v>
      </c>
      <c r="H188" s="43" t="n">
        <f aca="false">SUM(H168:H187)</f>
        <v>73.638</v>
      </c>
      <c r="I188" s="43" t="n">
        <f aca="false">SUM(I168:I187)</f>
        <v>82.555</v>
      </c>
      <c r="J188" s="20" t="n">
        <f aca="false">SUM(J168:J187)</f>
        <v>13.989</v>
      </c>
      <c r="K188" s="20" t="n">
        <f aca="false">SUM(K168:K187)</f>
        <v>29.795</v>
      </c>
      <c r="L188" s="20" t="n">
        <f aca="false">SUM(L168:L187)</f>
        <v>43.784</v>
      </c>
      <c r="M188" s="20" t="n">
        <f aca="false">SUM(M168:M187)</f>
        <v>15.881</v>
      </c>
      <c r="N188" s="20" t="n">
        <f aca="false">SUM(N168:N187)</f>
        <v>30.324</v>
      </c>
      <c r="O188" s="43" t="n">
        <f aca="false">SUM(O168:O187)</f>
        <v>89.808</v>
      </c>
      <c r="P188" s="20" t="n">
        <f aca="false">SUM(P168:P187)</f>
        <v>14.257</v>
      </c>
      <c r="Q188" s="20" t="n">
        <f aca="false">SUM(Q168:Q187)</f>
        <v>38.607</v>
      </c>
      <c r="R188" s="20" t="n">
        <f aca="false">SUM(R168:R187)</f>
        <v>52.864</v>
      </c>
      <c r="S188" s="20" t="n">
        <f aca="false">SUM(S168:S187)</f>
        <v>14.48</v>
      </c>
      <c r="T188" s="20" t="n">
        <f aca="false">SUM(T168:T187)</f>
        <v>33.496</v>
      </c>
      <c r="U188" s="43" t="n">
        <f aca="false">SUM(U168:U187)</f>
        <v>100.331</v>
      </c>
      <c r="V188" s="20" t="n">
        <f aca="false">SUM(V168:V187)</f>
        <v>23.777</v>
      </c>
      <c r="W188" s="20" t="n">
        <f aca="false">SUM(W168:W187)</f>
        <v>45.083</v>
      </c>
      <c r="X188" s="20" t="n">
        <f aca="false">SUM(X168:X187)</f>
        <v>68.86</v>
      </c>
      <c r="Y188" s="20" t="n">
        <f aca="false">SUM(Y168:Y187)</f>
        <v>20.825</v>
      </c>
      <c r="Z188" s="20" t="n">
        <f aca="false">SUM(Z168:Z187)</f>
        <v>31.373</v>
      </c>
      <c r="AA188" s="43" t="n">
        <f aca="false">SUM(AA168:AA187)</f>
        <v>121.058</v>
      </c>
      <c r="AB188" s="20" t="n">
        <f aca="false">SUM(AB168:AB187)</f>
        <v>29.406</v>
      </c>
      <c r="AC188" s="20" t="n">
        <f aca="false">SUM(AC168:AC187)</f>
        <v>39.71</v>
      </c>
      <c r="AD188" s="20" t="n">
        <f aca="false">SUM(AD168:AD187)</f>
        <v>69.116</v>
      </c>
      <c r="AE188" s="20" t="n">
        <f aca="false">SUM(AE168:AE187)</f>
        <v>21.308</v>
      </c>
      <c r="AF188" s="20" t="n">
        <f aca="false">SUM(AF168:AF187)</f>
        <v>32.853</v>
      </c>
      <c r="AG188" s="43" t="n">
        <f aca="false">SUM(AG168:AG187)</f>
        <v>123.277</v>
      </c>
      <c r="AH188" s="20" t="n">
        <f aca="false">SUM(AH168:AH187)</f>
        <v>12.667</v>
      </c>
      <c r="AI188" s="20" t="n">
        <f aca="false">SUM(AI168:AI187)</f>
        <v>36.436</v>
      </c>
      <c r="AJ188" s="20" t="n">
        <f aca="false">SUM(AJ168:AJ187)</f>
        <v>49.103</v>
      </c>
      <c r="AK188" s="20" t="n">
        <f aca="false">SUM(AK168:AK187)</f>
        <v>10.261</v>
      </c>
      <c r="AL188" s="20" t="n">
        <f aca="false">SUM(AL168:AL187)</f>
        <v>28.298</v>
      </c>
      <c r="AM188" s="43" t="n">
        <f aca="false">SUM(AM168:AM187)</f>
        <v>87.6620000000001</v>
      </c>
      <c r="AN188" s="20" t="n">
        <f aca="false">SUM(AN168:AN187)</f>
        <v>17.138</v>
      </c>
      <c r="AO188" s="20" t="n">
        <f aca="false">SUM(AO168:AO187)</f>
        <v>45.717</v>
      </c>
      <c r="AP188" s="20" t="n">
        <f aca="false">SUM(AP168:AP187)</f>
        <v>62.855</v>
      </c>
      <c r="AQ188" s="20" t="n">
        <f aca="false">SUM(AQ168:AQ187)</f>
        <v>19.328</v>
      </c>
      <c r="AR188" s="20" t="n">
        <f aca="false">SUM(AR168:AR187)</f>
        <v>35.486</v>
      </c>
      <c r="AS188" s="43" t="n">
        <f aca="false">SUM(AS168:AS187)</f>
        <v>117.669</v>
      </c>
      <c r="AT188" s="20" t="n">
        <f aca="false">SUM(AT168:AT187)</f>
        <v>18.164</v>
      </c>
      <c r="AU188" s="20" t="n">
        <f aca="false">SUM(AU168:AU187)</f>
        <v>54.0359999999999</v>
      </c>
      <c r="AV188" s="20" t="n">
        <f aca="false">SUM(AV168:AV187)</f>
        <v>72.2000000000001</v>
      </c>
      <c r="AW188" s="20" t="n">
        <f aca="false">SUM(AW168:AW187)</f>
        <v>32.399</v>
      </c>
      <c r="AX188" s="20" t="n">
        <f aca="false">SUM(AX168:AX187)</f>
        <v>54.5409999999999</v>
      </c>
      <c r="AY188" s="43" t="n">
        <f aca="false">SUM(AY168:AY187)</f>
        <v>173.969</v>
      </c>
      <c r="AZ188" s="20" t="n">
        <f aca="false">SUM(AZ168:AZ187)</f>
        <v>28.394</v>
      </c>
      <c r="BA188" s="20" t="n">
        <f aca="false">SUM(BA168:BA187)</f>
        <v>65.28</v>
      </c>
      <c r="BB188" s="20" t="n">
        <f aca="false">SUM(BB168:BB187)</f>
        <v>93.6740000000001</v>
      </c>
      <c r="BC188" s="20" t="n">
        <f aca="false">SUM(BC168:BC187)</f>
        <v>54.592</v>
      </c>
      <c r="BD188" s="20" t="n">
        <f aca="false">SUM(BD168:BD187)</f>
        <v>60.395</v>
      </c>
      <c r="BE188" s="43" t="n">
        <f aca="false">SUM(BE168:BE187)</f>
        <v>208.66</v>
      </c>
      <c r="BF188" s="20" t="n">
        <f aca="false">SUM(BF168:BF187)</f>
        <v>35.995</v>
      </c>
      <c r="BG188" s="20" t="n">
        <f aca="false">SUM(BG168:BG187)</f>
        <v>74.545</v>
      </c>
      <c r="BH188" s="20" t="n">
        <f aca="false">SUM(BH168:BH187)</f>
        <v>110.54</v>
      </c>
      <c r="BI188" s="20" t="n">
        <f aca="false">SUM(BI168:BI187)</f>
        <v>49.7800000000001</v>
      </c>
      <c r="BJ188" s="20" t="n">
        <f aca="false">SUM(BJ168:BJ187)</f>
        <v>55.785</v>
      </c>
      <c r="BK188" s="43" t="n">
        <f aca="false">SUM(BK168:BK187)</f>
        <v>216.106</v>
      </c>
      <c r="BL188" s="20" t="n">
        <f aca="false">SUM(BL168:BL187)</f>
        <v>50.963</v>
      </c>
      <c r="BM188" s="20" t="n">
        <f aca="false">SUM(BM168:BM187)</f>
        <v>83.0720000000001</v>
      </c>
      <c r="BN188" s="20" t="n">
        <f aca="false">SUM(BN168:BN187)</f>
        <v>134.035</v>
      </c>
      <c r="BO188" s="20" t="n">
        <f aca="false">SUM(BO168:BO187)</f>
        <v>59.853</v>
      </c>
      <c r="BP188" s="20" t="n">
        <f aca="false">SUM(BP168:BP187)</f>
        <v>76.031</v>
      </c>
      <c r="BQ188" s="43" t="n">
        <f aca="false">SUM(BQ168:BQ187)</f>
        <v>269.919</v>
      </c>
      <c r="BR188" s="20" t="n">
        <f aca="false">SUM(BR168:BR187)</f>
        <v>69.2000000000001</v>
      </c>
      <c r="BS188" s="20" t="n">
        <f aca="false">SUM(BS168:BS187)</f>
        <v>149.6</v>
      </c>
      <c r="BT188" s="20" t="n">
        <f aca="false">SUM(BT168:BT187)</f>
        <v>218.8</v>
      </c>
      <c r="BU188" s="20" t="n">
        <f aca="false">SUM(BU168:BU187)</f>
        <v>132.7</v>
      </c>
      <c r="BV188" s="20" t="n">
        <f aca="false">SUM(BV168:BV187)</f>
        <v>150.6</v>
      </c>
      <c r="BW188" s="43" t="n">
        <f aca="false">SUM(BW168:BW187)</f>
        <v>502.2</v>
      </c>
      <c r="BX188" s="20" t="n">
        <f aca="false">SUM(BX168:BX187)</f>
        <v>165.5</v>
      </c>
      <c r="BY188" s="20" t="n">
        <f aca="false">SUM(BY168:BY187)</f>
        <v>174.1</v>
      </c>
      <c r="BZ188" s="20" t="n">
        <f aca="false">SUM(BZ168:BZ187)</f>
        <v>339.6</v>
      </c>
      <c r="CA188" s="20" t="n">
        <f aca="false">SUM(CA168:CA187)</f>
        <v>130.8</v>
      </c>
      <c r="CB188" s="20" t="n">
        <f aca="false">SUM(CB168:CB187)</f>
        <v>176.6</v>
      </c>
      <c r="CC188" s="43" t="n">
        <f aca="false">SUM(CC168:CC187)</f>
        <v>646.8</v>
      </c>
      <c r="CD188" s="20" t="n">
        <f aca="false">SUM(CD168:CD187)</f>
        <v>165.2</v>
      </c>
      <c r="CE188" s="20" t="n">
        <f aca="false">SUM(CE168:CE187)</f>
        <v>200.5</v>
      </c>
      <c r="CF188" s="20" t="n">
        <f aca="false">SUM(CF168:CF187)</f>
        <v>365.7</v>
      </c>
      <c r="CG188" s="20" t="n">
        <f aca="false">SUM(CG168:CG187)</f>
        <v>174</v>
      </c>
      <c r="CH188" s="20" t="n">
        <f aca="false">SUM(CH168:CH187)</f>
        <v>207.3</v>
      </c>
      <c r="CI188" s="43" t="n">
        <f aca="false">SUM(CI168:CI187)</f>
        <v>747</v>
      </c>
      <c r="CJ188" s="20" t="n">
        <f aca="false">SUM(CJ168:CJ187)</f>
        <v>189.4</v>
      </c>
      <c r="CK188" s="20" t="n">
        <f aca="false">SUM(CK168:CK187)</f>
        <v>210.7</v>
      </c>
      <c r="CL188" s="20" t="n">
        <f aca="false">SUM(CL168:CL187)</f>
        <v>400.1</v>
      </c>
      <c r="CM188" s="43" t="n">
        <f aca="false">SUM(CM168:CM187)</f>
        <v>192.985980552424</v>
      </c>
      <c r="CN188" s="43" t="n">
        <f aca="false">SUM(CN168:CN187)</f>
        <v>228.800074614222</v>
      </c>
      <c r="CO188" s="43" t="n">
        <f aca="false">SUM(CJ188,CK188,CM188,CN188)</f>
        <v>821.886055166646</v>
      </c>
      <c r="CP188" s="43" t="n">
        <f aca="false">SUM(CP168:CP187)</f>
        <v>872.719414857692</v>
      </c>
      <c r="CQ188" s="43" t="n">
        <f aca="false">SUM(CQ168:CQ187)</f>
        <v>948.917945254485</v>
      </c>
      <c r="CR188" s="43" t="n">
        <f aca="false">SUM(CR168:CR187)</f>
        <v>1024.93574109376</v>
      </c>
      <c r="CS188" s="43" t="n">
        <f aca="false">SUM(CS168:CS187)</f>
        <v>1103.16478360215</v>
      </c>
      <c r="CT188" s="23"/>
      <c r="CV188" s="24" t="n">
        <f aca="false">IFERROR((CS188/CI188)^(1/5)-1,"n/m")</f>
        <v>0.0810952458106737</v>
      </c>
      <c r="CW188" s="24" t="n">
        <f aca="false">IFERROR((CI188/BE188)^(1/5)-1,"n/m")</f>
        <v>0.290554292789435</v>
      </c>
      <c r="CX188" s="24" t="n">
        <f aca="false">IFERROR((CI188/AA188)^(1/10)-1,"n/m")</f>
        <v>0.19958965188862</v>
      </c>
      <c r="CY188" s="24" t="n">
        <f aca="false">IFERROR((CI188/C188)^(1/19)-1,"n/m")</f>
        <v>0.145802046525845</v>
      </c>
    </row>
    <row r="189" customFormat="false" ht="15" hidden="false" customHeight="true" outlineLevel="0" collapsed="false">
      <c r="B189" s="30" t="s">
        <v>336</v>
      </c>
      <c r="C189" s="44" t="n">
        <f aca="false">IFERROR(-C184/SUM(C169:C183),"")</f>
        <v>0.400251730648206</v>
      </c>
      <c r="D189" s="44" t="n">
        <f aca="false">IFERROR(-D184/SUM(D169:D183),"")</f>
        <v>0.145333054917519</v>
      </c>
      <c r="E189" s="44" t="n">
        <f aca="false">IFERROR(-E184/SUM(E169:E183),"")</f>
        <v>0.0898124857077521</v>
      </c>
      <c r="F189" s="44" t="n">
        <f aca="false">IFERROR(-F184/SUM(F169:F183),"")</f>
        <v>0.240301724137931</v>
      </c>
      <c r="G189" s="44" t="n">
        <f aca="false">IFERROR(-G184/SUM(G169:G183),"")</f>
        <v>0.385365853658537</v>
      </c>
      <c r="H189" s="44" t="n">
        <f aca="false">IFERROR(-H184/SUM(H169:H183),"")</f>
        <v>0.139862148190695</v>
      </c>
      <c r="I189" s="44" t="n">
        <f aca="false">IFERROR(-I184/SUM(I169:I183),"")</f>
        <v>0.367578947368421</v>
      </c>
      <c r="J189" s="44" t="str">
        <f aca="false">IFERROR(-J184/SUM(J169:J183),"")</f>
        <v/>
      </c>
      <c r="K189" s="44" t="str">
        <f aca="false">IFERROR(-K184/SUM(K169:K183),"")</f>
        <v/>
      </c>
      <c r="L189" s="44" t="str">
        <f aca="false">IFERROR(-L184/SUM(L169:L183),"")</f>
        <v/>
      </c>
      <c r="M189" s="44" t="n">
        <f aca="false">IFERROR(-M184/SUM(M169:M183),"")</f>
        <v>0.389705882352941</v>
      </c>
      <c r="N189" s="44" t="n">
        <f aca="false">IFERROR(-N184/SUM(N169:N183),"")</f>
        <v>0.260004326195111</v>
      </c>
      <c r="O189" s="44" t="n">
        <f aca="false">IFERROR(-O184/SUM(O169:O183),"")</f>
        <v>0.27622641509434</v>
      </c>
      <c r="P189" s="44" t="str">
        <f aca="false">IFERROR(-P184/SUM(P169:P183),"")</f>
        <v/>
      </c>
      <c r="Q189" s="44" t="str">
        <f aca="false">IFERROR(-Q184/SUM(Q169:Q183),"")</f>
        <v/>
      </c>
      <c r="R189" s="44" t="str">
        <f aca="false">IFERROR(-R184/SUM(R169:R183),"")</f>
        <v/>
      </c>
      <c r="S189" s="44" t="n">
        <f aca="false">IFERROR(-S184/SUM(S169:S183),"")</f>
        <v>-0.0945888368129527</v>
      </c>
      <c r="T189" s="44" t="n">
        <f aca="false">IFERROR(-T184/SUM(T169:T183),"")</f>
        <v>0.238749322248328</v>
      </c>
      <c r="U189" s="44" t="n">
        <f aca="false">IFERROR(-U184/SUM(U169:U183),"")</f>
        <v>0.0857533978683876</v>
      </c>
      <c r="V189" s="44" t="str">
        <f aca="false">IFERROR(-V184/SUM(V169:V183),"")</f>
        <v/>
      </c>
      <c r="W189" s="44" t="str">
        <f aca="false">IFERROR(-W184/SUM(W169:W183),"")</f>
        <v/>
      </c>
      <c r="X189" s="44" t="str">
        <f aca="false">IFERROR(-X184/SUM(X169:X183),"")</f>
        <v/>
      </c>
      <c r="Y189" s="44" t="str">
        <f aca="false">IFERROR(-Y184/SUM(Y169:Y183),"")</f>
        <v/>
      </c>
      <c r="Z189" s="44" t="n">
        <f aca="false">IFERROR(-Z184/SUM(Z169:Z183),"")</f>
        <v>0.130009541984733</v>
      </c>
      <c r="AA189" s="44" t="n">
        <f aca="false">IFERROR(-AA184/SUM(AA169:AA183),"")</f>
        <v>0.130009541984733</v>
      </c>
      <c r="AB189" s="44" t="str">
        <f aca="false">IFERROR(-AB184/SUM(AB169:AB183),"")</f>
        <v/>
      </c>
      <c r="AC189" s="44" t="str">
        <f aca="false">IFERROR(-AC184/SUM(AC169:AC183),"")</f>
        <v/>
      </c>
      <c r="AD189" s="44" t="str">
        <f aca="false">IFERROR(-AD184/SUM(AD169:AD183),"")</f>
        <v/>
      </c>
      <c r="AE189" s="44" t="n">
        <f aca="false">IFERROR(-AE184/SUM(AE169:AE183),"")</f>
        <v>0.0636617923025174</v>
      </c>
      <c r="AF189" s="44" t="n">
        <f aca="false">IFERROR(-AF184/SUM(AF169:AF183),"")</f>
        <v>0.263297480477383</v>
      </c>
      <c r="AG189" s="44" t="n">
        <f aca="false">IFERROR(-AG184/SUM(AG169:AG183),"")</f>
        <v>0.102340850699401</v>
      </c>
      <c r="AH189" s="44" t="str">
        <f aca="false">IFERROR(-AH184/SUM(AH169:AH183),"")</f>
        <v/>
      </c>
      <c r="AI189" s="44" t="n">
        <f aca="false">IFERROR(-AI184/SUM(AI169:AI183),"")</f>
        <v>0.222231415215323</v>
      </c>
      <c r="AJ189" s="44" t="n">
        <f aca="false">IFERROR(-AJ184/SUM(AJ169:AJ183),"")</f>
        <v>0.222231415215323</v>
      </c>
      <c r="AK189" s="44" t="str">
        <f aca="false">IFERROR(-AK184/SUM(AK169:AK183),"")</f>
        <v/>
      </c>
      <c r="AL189" s="44" t="n">
        <f aca="false">IFERROR(-AL184/SUM(AL169:AL183),"")</f>
        <v>0.254847645429363</v>
      </c>
      <c r="AM189" s="44" t="n">
        <f aca="false">IFERROR(-AM184/SUM(AM169:AM183),"")</f>
        <v>0.224913626181708</v>
      </c>
      <c r="AN189" s="44" t="str">
        <f aca="false">IFERROR(-AN184/SUM(AN169:AN183),"")</f>
        <v/>
      </c>
      <c r="AO189" s="44" t="str">
        <f aca="false">IFERROR(-AO184/SUM(AO169:AO183),"")</f>
        <v/>
      </c>
      <c r="AP189" s="44" t="str">
        <f aca="false">IFERROR(-AP184/SUM(AP169:AP183),"")</f>
        <v/>
      </c>
      <c r="AQ189" s="44" t="n">
        <f aca="false">IFERROR(-AQ184/SUM(AQ169:AQ183),"")</f>
        <v>-0.109493302271404</v>
      </c>
      <c r="AR189" s="44" t="str">
        <f aca="false">IFERROR(-AR184/SUM(AR169:AR183),"")</f>
        <v/>
      </c>
      <c r="AS189" s="44" t="n">
        <f aca="false">IFERROR(-AS184/SUM(AS169:AS183),"")</f>
        <v>-0.109493302271404</v>
      </c>
      <c r="AT189" s="44" t="str">
        <f aca="false">IFERROR(-AT184/SUM(AT169:AT183),"")</f>
        <v/>
      </c>
      <c r="AU189" s="44" t="str">
        <f aca="false">IFERROR(-AU184/SUM(AU169:AU183),"")</f>
        <v/>
      </c>
      <c r="AV189" s="44" t="str">
        <f aca="false">IFERROR(-AV184/SUM(AV169:AV183),"")</f>
        <v/>
      </c>
      <c r="AW189" s="44" t="n">
        <f aca="false">IFERROR(-AW184/SUM(AW169:AW183),"")</f>
        <v>0.316238496932515</v>
      </c>
      <c r="AX189" s="44" t="n">
        <f aca="false">IFERROR(-AX184/SUM(AX169:AX183),"")</f>
        <v>0.489508083935329</v>
      </c>
      <c r="AY189" s="44" t="n">
        <f aca="false">IFERROR(-AY184/SUM(AY169:AY183),"")</f>
        <v>0.320948982649198</v>
      </c>
      <c r="AZ189" s="44" t="n">
        <f aca="false">IFERROR(-AZ184/SUM(AZ169:AZ183),"")</f>
        <v>0.29366384216517</v>
      </c>
      <c r="BA189" s="44" t="n">
        <f aca="false">IFERROR(-BA184/SUM(BA169:BA183),"")</f>
        <v>0.403691574873474</v>
      </c>
      <c r="BB189" s="44" t="n">
        <f aca="false">IFERROR(-BB184/SUM(BB169:BB183),"")</f>
        <v>0.355315836298932</v>
      </c>
      <c r="BC189" s="44" t="n">
        <f aca="false">IFERROR(-BC184/SUM(BC169:BC183),"")</f>
        <v>0.464950011625203</v>
      </c>
      <c r="BD189" s="44" t="n">
        <f aca="false">IFERROR(-BD184/SUM(BD169:BD183),"")</f>
        <v>0.38071379971547</v>
      </c>
      <c r="BE189" s="44" t="n">
        <f aca="false">IFERROR(-BE184/SUM(BE169:BE183),"")</f>
        <v>0.400046734431593</v>
      </c>
      <c r="BF189" s="44" t="n">
        <f aca="false">IFERROR(-BF184/SUM(BF169:BF183),"")</f>
        <v>0.411813455887893</v>
      </c>
      <c r="BG189" s="44" t="n">
        <f aca="false">IFERROR(-BG184/SUM(BG169:BG183),"")</f>
        <v>0.209670027497709</v>
      </c>
      <c r="BH189" s="44" t="n">
        <f aca="false">IFERROR(-BH184/SUM(BH169:BH183),"")</f>
        <v>0.296983305672166</v>
      </c>
      <c r="BI189" s="44" t="n">
        <f aca="false">IFERROR(-BI184/SUM(BI169:BI183),"")</f>
        <v>0.211249773919334</v>
      </c>
      <c r="BJ189" s="44" t="n">
        <f aca="false">IFERROR(-BJ184/SUM(BJ169:BJ183),"")</f>
        <v>0.206013994830738</v>
      </c>
      <c r="BK189" s="44" t="n">
        <f aca="false">IFERROR(-BK184/SUM(BK169:BK183),"")</f>
        <v>0.240434186255498</v>
      </c>
      <c r="BL189" s="44" t="n">
        <f aca="false">IFERROR(-BL184/SUM(BL169:BL183),"")</f>
        <v>0.12470136254415</v>
      </c>
      <c r="BM189" s="44" t="n">
        <f aca="false">IFERROR(-BM184/SUM(BM169:BM183),"")</f>
        <v>0.205185145547945</v>
      </c>
      <c r="BN189" s="44" t="n">
        <f aca="false">IFERROR(-BN184/SUM(BN169:BN183),"")</f>
        <v>0.0968136686845838</v>
      </c>
      <c r="BO189" s="44" t="n">
        <f aca="false">IFERROR(-BO184/SUM(BO169:BO183),"")</f>
        <v>0.211466865227103</v>
      </c>
      <c r="BP189" s="44" t="n">
        <f aca="false">IFERROR(-BP184/SUM(BP169:BP183),"")</f>
        <v>0.242683287347261</v>
      </c>
      <c r="BQ189" s="44" t="n">
        <f aca="false">IFERROR(-BQ184/SUM(BQ169:BQ183),"")</f>
        <v>-0.0863145939806928</v>
      </c>
      <c r="BR189" s="44" t="n">
        <f aca="false">IFERROR(-BR184/SUM(BR169:BR183),"")</f>
        <v>0.24400871459695</v>
      </c>
      <c r="BS189" s="44" t="n">
        <f aca="false">IFERROR(-BS184/SUM(BS169:BS183),"")</f>
        <v>0.200212992545261</v>
      </c>
      <c r="BT189" s="44" t="n">
        <f aca="false">IFERROR(-BT184/SUM(BT169:BT183),"")</f>
        <v>0.226252158894646</v>
      </c>
      <c r="BU189" s="44" t="n">
        <f aca="false">IFERROR(-BU184/SUM(BU169:BU183),"")</f>
        <v>0.215324927255092</v>
      </c>
      <c r="BV189" s="44" t="n">
        <f aca="false">IFERROR(-BV184/SUM(BV169:BV183),"")</f>
        <v>0.212424849699399</v>
      </c>
      <c r="BW189" s="44" t="n">
        <f aca="false">IFERROR(-BW184/SUM(BW169:BW183),"")</f>
        <v>0.220534069981584</v>
      </c>
      <c r="BX189" s="44" t="n">
        <f aca="false">IFERROR(-BX184/SUM(BX169:BX183),"")</f>
        <v>0.25914315569488</v>
      </c>
      <c r="BY189" s="44" t="n">
        <f aca="false">IFERROR(-BY184/SUM(BY169:BY183),"")</f>
        <v>0.24</v>
      </c>
      <c r="BZ189" s="44" t="n">
        <f aca="false">IFERROR(-BZ184/SUM(BZ169:BZ183),"")</f>
        <v>0.249361267245784</v>
      </c>
      <c r="CA189" s="44" t="n">
        <f aca="false">IFERROR(-CA184/SUM(CA169:CA183),"")</f>
        <v>0.240825688073395</v>
      </c>
      <c r="CB189" s="44" t="n">
        <f aca="false">IFERROR(-CB184/SUM(CB169:CB183),"")</f>
        <v>0.231681034482759</v>
      </c>
      <c r="CC189" s="44" t="n">
        <f aca="false">IFERROR(-CC184/SUM(CC169:CC183),"")</f>
        <v>0.243343982960596</v>
      </c>
      <c r="CD189" s="44" t="n">
        <f aca="false">IFERROR(-CD184/SUM(CD169:CD183),"")</f>
        <v>0.297062023939064</v>
      </c>
      <c r="CE189" s="44" t="n">
        <f aca="false">IFERROR(-CE184/SUM(CE169:CE183),"")</f>
        <v>0.176239181746656</v>
      </c>
      <c r="CF189" s="44" t="n">
        <f aca="false">IFERROR(-CF184/SUM(CF169:CF183),"")</f>
        <v>0.226940639269406</v>
      </c>
      <c r="CG189" s="44" t="n">
        <f aca="false">IFERROR(-CG184/SUM(CG169:CG183),"")</f>
        <v>0.238134887593672</v>
      </c>
      <c r="CH189" s="44" t="n">
        <f aca="false">IFERROR(-CH184/SUM(CH169:CH183),"")</f>
        <v>0.244594594594595</v>
      </c>
      <c r="CI189" s="44" t="n">
        <f aca="false">IFERROR(-CI184/SUM(CI169:CI183),"")</f>
        <v>0.235064668445904</v>
      </c>
      <c r="CJ189" s="44" t="n">
        <f aca="false">IFERROR(-CJ184/SUM(CJ169:CJ183),"")</f>
        <v>0.286919831223629</v>
      </c>
      <c r="CK189" s="44" t="n">
        <f aca="false">IFERROR(-CK184/SUM(CK169:CK183),"")</f>
        <v>0.233082706766917</v>
      </c>
      <c r="CL189" s="44" t="n">
        <f aca="false">IFERROR(-CL184/SUM(CL169:CL183),"")</f>
        <v>0.25844930417495</v>
      </c>
      <c r="CM189" s="36" t="n">
        <v>0.25</v>
      </c>
      <c r="CN189" s="36" t="n">
        <v>0.25</v>
      </c>
      <c r="CO189" s="36" t="n">
        <v>0.25</v>
      </c>
      <c r="CP189" s="36" t="n">
        <v>0.25</v>
      </c>
      <c r="CQ189" s="36" t="n">
        <v>0.25</v>
      </c>
      <c r="CR189" s="36" t="n">
        <v>0.25</v>
      </c>
      <c r="CS189" s="36" t="n">
        <v>0.25</v>
      </c>
      <c r="CT189" s="23"/>
      <c r="CV189" s="7"/>
      <c r="CW189" s="7"/>
      <c r="CX189" s="7"/>
      <c r="CY189" s="7"/>
    </row>
    <row r="190" customFormat="false" ht="15" hidden="false" customHeight="true" outlineLevel="0" collapsed="false">
      <c r="B190" s="13" t="s">
        <v>259</v>
      </c>
      <c r="C190" s="26" t="n">
        <f aca="false">C127</f>
        <v>104.556</v>
      </c>
      <c r="D190" s="26" t="n">
        <f aca="false">D127</f>
        <v>105.262296</v>
      </c>
      <c r="E190" s="26" t="n">
        <f aca="false">E127</f>
        <v>105.773944</v>
      </c>
      <c r="F190" s="26" t="n">
        <f aca="false">F127</f>
        <v>105.773806</v>
      </c>
      <c r="G190" s="26" t="n">
        <f aca="false">G127</f>
        <v>106.169199</v>
      </c>
      <c r="H190" s="26" t="n">
        <f aca="false">H127</f>
        <v>106.983757</v>
      </c>
      <c r="I190" s="26" t="n">
        <f aca="false">I127</f>
        <v>106.923852</v>
      </c>
      <c r="J190" s="26" t="n">
        <f aca="false">J127</f>
        <v>107.024808</v>
      </c>
      <c r="K190" s="26" t="n">
        <f aca="false">K127</f>
        <v>107.002439</v>
      </c>
      <c r="L190" s="26" t="n">
        <f aca="false">L127</f>
        <v>107.0136235</v>
      </c>
      <c r="M190" s="26" t="n">
        <f aca="false">M127</f>
        <v>107.04237</v>
      </c>
      <c r="N190" s="26" t="n">
        <f aca="false">N127</f>
        <v>107.13873</v>
      </c>
      <c r="O190" s="26" t="n">
        <f aca="false">O127</f>
        <v>107.155173</v>
      </c>
      <c r="P190" s="26" t="n">
        <f aca="false">P127</f>
        <v>107.302176</v>
      </c>
      <c r="Q190" s="26" t="n">
        <f aca="false">Q127</f>
        <v>107.54772</v>
      </c>
      <c r="R190" s="26" t="n">
        <f aca="false">R127</f>
        <v>107.424948</v>
      </c>
      <c r="S190" s="26" t="n">
        <f aca="false">S127</f>
        <v>107.662663</v>
      </c>
      <c r="T190" s="26" t="n">
        <f aca="false">T127</f>
        <v>107.823951</v>
      </c>
      <c r="U190" s="26" t="n">
        <f aca="false">U127</f>
        <v>107.654828</v>
      </c>
      <c r="V190" s="26" t="n">
        <f aca="false">V127</f>
        <v>107.807948</v>
      </c>
      <c r="W190" s="26" t="n">
        <f aca="false">W127</f>
        <v>106.978061</v>
      </c>
      <c r="X190" s="26" t="n">
        <f aca="false">X127</f>
        <v>107.3930045</v>
      </c>
      <c r="Y190" s="26" t="n">
        <f aca="false">Y127</f>
        <v>107.517888</v>
      </c>
      <c r="Z190" s="26" t="n">
        <f aca="false">Z127</f>
        <v>107.428709</v>
      </c>
      <c r="AA190" s="26" t="n">
        <f aca="false">AA127</f>
        <v>107.432474</v>
      </c>
      <c r="AB190" s="26" t="n">
        <f aca="false">AB127</f>
        <v>107.15901</v>
      </c>
      <c r="AC190" s="26" t="n">
        <f aca="false">AC127</f>
        <v>106.97981</v>
      </c>
      <c r="AD190" s="26" t="n">
        <f aca="false">AD127</f>
        <v>107.06941</v>
      </c>
      <c r="AE190" s="26" t="n">
        <f aca="false">AE127</f>
        <v>107.525051</v>
      </c>
      <c r="AF190" s="26" t="n">
        <f aca="false">AF127</f>
        <v>108.166241</v>
      </c>
      <c r="AG190" s="26" t="n">
        <f aca="false">AG127</f>
        <v>107.457794</v>
      </c>
      <c r="AH190" s="26" t="n">
        <f aca="false">AH127</f>
        <v>107.788949</v>
      </c>
      <c r="AI190" s="26" t="n">
        <f aca="false">AI127</f>
        <v>108.23866</v>
      </c>
      <c r="AJ190" s="26" t="n">
        <f aca="false">AJ127</f>
        <v>108.0138045</v>
      </c>
      <c r="AK190" s="26" t="n">
        <f aca="false">AK127</f>
        <v>108.178303</v>
      </c>
      <c r="AL190" s="26" t="n">
        <f aca="false">AL127</f>
        <v>108.245291</v>
      </c>
      <c r="AM190" s="26" t="n">
        <f aca="false">AM127</f>
        <v>108.113151</v>
      </c>
      <c r="AN190" s="26" t="n">
        <f aca="false">AN127</f>
        <v>108.643897</v>
      </c>
      <c r="AO190" s="26" t="n">
        <f aca="false">AO127</f>
        <v>109.019708</v>
      </c>
      <c r="AP190" s="26" t="n">
        <f aca="false">AP127</f>
        <v>108.8318025</v>
      </c>
      <c r="AQ190" s="26" t="n">
        <f aca="false">AQ127</f>
        <v>109.887194</v>
      </c>
      <c r="AR190" s="26" t="n">
        <f aca="false">AR127</f>
        <v>109.983224</v>
      </c>
      <c r="AS190" s="26" t="n">
        <f aca="false">AS127</f>
        <v>109.388236</v>
      </c>
      <c r="AT190" s="26" t="n">
        <f aca="false">AT127</f>
        <v>110.0442</v>
      </c>
      <c r="AU190" s="26" t="n">
        <f aca="false">AU127</f>
        <v>109.9428</v>
      </c>
      <c r="AV190" s="26" t="n">
        <f aca="false">AV127</f>
        <v>109.9935</v>
      </c>
      <c r="AW190" s="26" t="n">
        <f aca="false">AW127</f>
        <v>109.3812</v>
      </c>
      <c r="AX190" s="26" t="n">
        <f aca="false">AX127</f>
        <v>110.1946</v>
      </c>
      <c r="AY190" s="26" t="n">
        <f aca="false">AY127</f>
        <v>109.7591</v>
      </c>
      <c r="AZ190" s="26" t="n">
        <f aca="false">AZ127</f>
        <v>110.4828</v>
      </c>
      <c r="BA190" s="26" t="n">
        <f aca="false">BA127</f>
        <v>109.3233</v>
      </c>
      <c r="BB190" s="26" t="n">
        <f aca="false">BB127</f>
        <v>109.90305</v>
      </c>
      <c r="BC190" s="26" t="n">
        <f aca="false">BC127</f>
        <v>110.3697</v>
      </c>
      <c r="BD190" s="26" t="n">
        <f aca="false">BD127</f>
        <v>111.0582</v>
      </c>
      <c r="BE190" s="26" t="n">
        <f aca="false">BE127</f>
        <v>110.311</v>
      </c>
      <c r="BF190" s="26" t="n">
        <f aca="false">BF127</f>
        <v>111.2674</v>
      </c>
      <c r="BG190" s="26" t="n">
        <f aca="false">BG127</f>
        <v>111.3342</v>
      </c>
      <c r="BH190" s="26" t="n">
        <f aca="false">BH127</f>
        <v>111.3008</v>
      </c>
      <c r="BI190" s="26" t="n">
        <f aca="false">BI127</f>
        <v>111.3914</v>
      </c>
      <c r="BJ190" s="26" t="n">
        <f aca="false">BJ127</f>
        <v>111.6203</v>
      </c>
      <c r="BK190" s="26" t="n">
        <f aca="false">BK127</f>
        <v>111.4068</v>
      </c>
      <c r="BL190" s="26" t="n">
        <f aca="false">BL127</f>
        <v>111.6559</v>
      </c>
      <c r="BM190" s="26" t="n">
        <f aca="false">BM127</f>
        <v>111.7051</v>
      </c>
      <c r="BN190" s="26" t="n">
        <f aca="false">BN127</f>
        <v>111.6805</v>
      </c>
      <c r="BO190" s="26" t="n">
        <f aca="false">BO127</f>
        <v>112.2095</v>
      </c>
      <c r="BP190" s="26" t="n">
        <f aca="false">BP127</f>
        <v>111.9688</v>
      </c>
      <c r="BQ190" s="26" t="n">
        <f aca="false">BQ127</f>
        <v>111.886</v>
      </c>
      <c r="BR190" s="26" t="n">
        <f aca="false">BR127</f>
        <v>120.4873</v>
      </c>
      <c r="BS190" s="26" t="n">
        <f aca="false">BS127</f>
        <v>182.8104</v>
      </c>
      <c r="BT190" s="26" t="n">
        <f aca="false">BT127</f>
        <v>151.64885</v>
      </c>
      <c r="BU190" s="26" t="n">
        <f aca="false">BU127</f>
        <v>183.6016</v>
      </c>
      <c r="BV190" s="26" t="n">
        <f aca="false">BV127</f>
        <v>183.8953</v>
      </c>
      <c r="BW190" s="26" t="n">
        <f aca="false">BW127</f>
        <v>168.204</v>
      </c>
      <c r="BX190" s="26" t="n">
        <f aca="false">BX127</f>
        <v>184.5811</v>
      </c>
      <c r="BY190" s="26" t="n">
        <f aca="false">BY127</f>
        <v>184.9126</v>
      </c>
      <c r="BZ190" s="26" t="n">
        <f aca="false">BZ127</f>
        <v>184.74685</v>
      </c>
      <c r="CA190" s="26" t="n">
        <f aca="false">CA127</f>
        <v>185.5</v>
      </c>
      <c r="CB190" s="26" t="n">
        <f aca="false">CB127</f>
        <v>186</v>
      </c>
      <c r="CC190" s="26" t="n">
        <f aca="false">CC127</f>
        <v>185.3</v>
      </c>
      <c r="CD190" s="26" t="n">
        <f aca="false">CD127</f>
        <v>186.4</v>
      </c>
      <c r="CE190" s="26" t="n">
        <f aca="false">CE127</f>
        <v>186.6</v>
      </c>
      <c r="CF190" s="26" t="n">
        <f aca="false">CF127</f>
        <v>186.5</v>
      </c>
      <c r="CG190" s="26" t="n">
        <f aca="false">CG127</f>
        <v>187.1</v>
      </c>
      <c r="CH190" s="26" t="n">
        <f aca="false">CH127</f>
        <v>187.3</v>
      </c>
      <c r="CI190" s="26" t="n">
        <f aca="false">CI127</f>
        <v>186.9</v>
      </c>
      <c r="CJ190" s="26" t="n">
        <f aca="false">CJ127</f>
        <v>187.5</v>
      </c>
      <c r="CK190" s="26" t="n">
        <f aca="false">CK127</f>
        <v>186.9</v>
      </c>
      <c r="CL190" s="26" t="n">
        <f aca="false">CL127</f>
        <v>187.2</v>
      </c>
      <c r="CM190" s="28" t="n">
        <f aca="false">CM127</f>
        <v>185.65</v>
      </c>
      <c r="CN190" s="28" t="n">
        <f aca="false">CN127</f>
        <v>184.4</v>
      </c>
      <c r="CO190" s="28" t="n">
        <f aca="false">CO127</f>
        <v>186.1125</v>
      </c>
      <c r="CP190" s="28" t="n">
        <f aca="false">CP127</f>
        <v>182.363551401869</v>
      </c>
      <c r="CQ190" s="28" t="n">
        <f aca="false">CQ127</f>
        <v>178.443505983055</v>
      </c>
      <c r="CR190" s="28" t="n">
        <f aca="false">CR127</f>
        <v>174.564071383617</v>
      </c>
      <c r="CS190" s="28" t="n">
        <f aca="false">CS127</f>
        <v>170.484186067213</v>
      </c>
      <c r="CT190" s="23"/>
      <c r="CV190" s="7"/>
      <c r="CW190" s="7"/>
      <c r="CX190" s="7"/>
      <c r="CY190" s="7"/>
    </row>
    <row r="191" customFormat="false" ht="15" hidden="false" customHeight="true" outlineLevel="0" collapsed="false">
      <c r="B191" s="41" t="s">
        <v>337</v>
      </c>
      <c r="C191" s="50" t="n">
        <f aca="false">IFERROR(C188/C190,"")</f>
        <v>0.538132675312752</v>
      </c>
      <c r="D191" s="50" t="n">
        <f aca="false">IFERROR(D188/D190,"")</f>
        <v>0.682960592081328</v>
      </c>
      <c r="E191" s="50" t="n">
        <f aca="false">IFERROR(E188/E190,"")</f>
        <v>0.808129079501847</v>
      </c>
      <c r="F191" s="50" t="n">
        <f aca="false">IFERROR(F188/F190,"")</f>
        <v>0.87017763169078</v>
      </c>
      <c r="G191" s="50" t="n">
        <f aca="false">IFERROR(G188/G190,"")</f>
        <v>0.611467361640357</v>
      </c>
      <c r="H191" s="50" t="n">
        <f aca="false">IFERROR(H188/H190,"")</f>
        <v>0.688310095522258</v>
      </c>
      <c r="I191" s="50" t="n">
        <f aca="false">IFERROR(I188/I190,"")</f>
        <v>0.772091525471791</v>
      </c>
      <c r="J191" s="51" t="n">
        <f aca="false">IFERROR(J188/J190,"")</f>
        <v>0.130708013043107</v>
      </c>
      <c r="K191" s="51" t="n">
        <f aca="false">IFERROR(K188/K190,"")</f>
        <v>0.278451596790238</v>
      </c>
      <c r="L191" s="51" t="n">
        <f aca="false">IFERROR(L188/L190,"")</f>
        <v>0.409144168452534</v>
      </c>
      <c r="M191" s="51" t="n">
        <f aca="false">IFERROR(M188/M190,"")</f>
        <v>0.148361812243133</v>
      </c>
      <c r="N191" s="51" t="n">
        <f aca="false">IFERROR(N188/N190,"")</f>
        <v>0.283034902504445</v>
      </c>
      <c r="O191" s="50" t="n">
        <f aca="false">IFERROR(O188/O190,"")</f>
        <v>0.838111660740821</v>
      </c>
      <c r="P191" s="51" t="n">
        <f aca="false">IFERROR(P188/P190,"")</f>
        <v>0.132867762159828</v>
      </c>
      <c r="Q191" s="51" t="n">
        <f aca="false">IFERROR(Q188/Q190,"")</f>
        <v>0.358975531977805</v>
      </c>
      <c r="R191" s="51" t="n">
        <f aca="false">IFERROR(R188/R190,"")</f>
        <v>0.492101704345251</v>
      </c>
      <c r="S191" s="51" t="n">
        <f aca="false">IFERROR(S188/S190,"")</f>
        <v>0.134494165354242</v>
      </c>
      <c r="T191" s="51" t="n">
        <f aca="false">IFERROR(T188/T190,"")</f>
        <v>0.310654540937755</v>
      </c>
      <c r="U191" s="50" t="n">
        <f aca="false">IFERROR(U188/U190,"")</f>
        <v>0.931969349298482</v>
      </c>
      <c r="V191" s="51" t="n">
        <f aca="false">IFERROR(V188/V190,"")</f>
        <v>0.220549601778897</v>
      </c>
      <c r="W191" s="51" t="n">
        <f aca="false">IFERROR(W188/W190,"")</f>
        <v>0.421422856037744</v>
      </c>
      <c r="X191" s="51" t="n">
        <f aca="false">IFERROR(X188/X190,"")</f>
        <v>0.641196326712324</v>
      </c>
      <c r="Y191" s="51" t="n">
        <f aca="false">IFERROR(Y188/Y190,"")</f>
        <v>0.193688700432806</v>
      </c>
      <c r="Z191" s="51" t="n">
        <f aca="false">IFERROR(Z188/Z190,"")</f>
        <v>0.292035530278969</v>
      </c>
      <c r="AA191" s="50" t="n">
        <f aca="false">IFERROR(AA188/AA190,"")</f>
        <v>1.12682874639934</v>
      </c>
      <c r="AB191" s="51" t="n">
        <f aca="false">IFERROR(AB188/AB190,"")</f>
        <v>0.274414629250494</v>
      </c>
      <c r="AC191" s="51" t="n">
        <f aca="false">IFERROR(AC188/AC190,"")</f>
        <v>0.371191536047783</v>
      </c>
      <c r="AD191" s="51" t="n">
        <f aca="false">IFERROR(AD188/AD190,"")</f>
        <v>0.645525178480016</v>
      </c>
      <c r="AE191" s="51" t="n">
        <f aca="false">IFERROR(AE188/AE190,"")</f>
        <v>0.198167773945069</v>
      </c>
      <c r="AF191" s="51" t="n">
        <f aca="false">IFERROR(AF188/AF190,"")</f>
        <v>0.30372692714726</v>
      </c>
      <c r="AG191" s="50" t="n">
        <f aca="false">IFERROR(AG188/AG190,"")</f>
        <v>1.14721320260864</v>
      </c>
      <c r="AH191" s="51" t="n">
        <f aca="false">IFERROR(AH188/AH190,"")</f>
        <v>0.117516685314373</v>
      </c>
      <c r="AI191" s="51" t="n">
        <f aca="false">IFERROR(AI188/AI190,"")</f>
        <v>0.336626488169754</v>
      </c>
      <c r="AJ191" s="51" t="n">
        <f aca="false">IFERROR(AJ188/AJ190,"")</f>
        <v>0.454599300777337</v>
      </c>
      <c r="AK191" s="51" t="n">
        <f aca="false">IFERROR(AK188/AK190,"")</f>
        <v>0.0948526619057799</v>
      </c>
      <c r="AL191" s="51" t="n">
        <f aca="false">IFERROR(AL188/AL190,"")</f>
        <v>0.261424767198418</v>
      </c>
      <c r="AM191" s="50" t="n">
        <f aca="false">IFERROR(AM188/AM190,"")</f>
        <v>0.810835677150878</v>
      </c>
      <c r="AN191" s="51" t="n">
        <f aca="false">IFERROR(AN188/AN190,"")</f>
        <v>0.157744709764967</v>
      </c>
      <c r="AO191" s="51" t="n">
        <f aca="false">IFERROR(AO188/AO190,"")</f>
        <v>0.419346197478349</v>
      </c>
      <c r="AP191" s="51" t="n">
        <f aca="false">IFERROR(AP188/AP190,"")</f>
        <v>0.577542579982538</v>
      </c>
      <c r="AQ191" s="51" t="n">
        <f aca="false">IFERROR(AQ188/AQ190,"")</f>
        <v>0.175889467156655</v>
      </c>
      <c r="AR191" s="51" t="n">
        <f aca="false">IFERROR(AR188/AR190,"")</f>
        <v>0.322649206937233</v>
      </c>
      <c r="AS191" s="50" t="n">
        <f aca="false">IFERROR(AS188/AS190,"")</f>
        <v>1.07570068137857</v>
      </c>
      <c r="AT191" s="51" t="n">
        <f aca="false">IFERROR(AT188/AT190,"")</f>
        <v>0.165060948237163</v>
      </c>
      <c r="AU191" s="51" t="n">
        <f aca="false">IFERROR(AU188/AU190,"")</f>
        <v>0.491491939444874</v>
      </c>
      <c r="AV191" s="51" t="n">
        <f aca="false">IFERROR(AV188/AV190,"")</f>
        <v>0.656402423779588</v>
      </c>
      <c r="AW191" s="51" t="n">
        <f aca="false">IFERROR(AW188/AW190,"")</f>
        <v>0.296202638113314</v>
      </c>
      <c r="AX191" s="51" t="n">
        <f aca="false">IFERROR(AX188/AX190,"")</f>
        <v>0.494951658248226</v>
      </c>
      <c r="AY191" s="50" t="n">
        <f aca="false">IFERROR(AY188/AY190,"")</f>
        <v>1.58500753012734</v>
      </c>
      <c r="AZ191" s="51" t="n">
        <f aca="false">IFERROR(AZ188/AZ190,"")</f>
        <v>0.256999279525863</v>
      </c>
      <c r="BA191" s="51" t="n">
        <f aca="false">IFERROR(BA188/BA190,"")</f>
        <v>0.597127968145857</v>
      </c>
      <c r="BB191" s="51" t="n">
        <f aca="false">IFERROR(BB188/BB190,"")</f>
        <v>0.852333033523638</v>
      </c>
      <c r="BC191" s="51" t="n">
        <f aca="false">IFERROR(BC188/BC190,"")</f>
        <v>0.494628507642949</v>
      </c>
      <c r="BD191" s="51" t="n">
        <f aca="false">IFERROR(BD188/BD190,"")</f>
        <v>0.543813964209757</v>
      </c>
      <c r="BE191" s="50" t="n">
        <f aca="false">IFERROR(BE188/BE190,"")</f>
        <v>1.89156113170944</v>
      </c>
      <c r="BF191" s="51" t="n">
        <f aca="false">IFERROR(BF188/BF190,"")</f>
        <v>0.323499964949302</v>
      </c>
      <c r="BG191" s="51" t="n">
        <f aca="false">IFERROR(BG188/BG190,"")</f>
        <v>0.669560656114653</v>
      </c>
      <c r="BH191" s="51" t="n">
        <f aca="false">IFERROR(BH188/BH190,"")</f>
        <v>0.99316446961747</v>
      </c>
      <c r="BI191" s="51" t="n">
        <f aca="false">IFERROR(BI188/BI190,"")</f>
        <v>0.446892668554305</v>
      </c>
      <c r="BJ191" s="51" t="n">
        <f aca="false">IFERROR(BJ188/BJ190,"")</f>
        <v>0.499774682562222</v>
      </c>
      <c r="BK191" s="50" t="n">
        <f aca="false">IFERROR(BK188/BK190,"")</f>
        <v>1.93979182599267</v>
      </c>
      <c r="BL191" s="51" t="n">
        <f aca="false">IFERROR(BL188/BL190,"")</f>
        <v>0.456429082565274</v>
      </c>
      <c r="BM191" s="51" t="n">
        <f aca="false">IFERROR(BM188/BM190,"")</f>
        <v>0.743672401707711</v>
      </c>
      <c r="BN191" s="51" t="n">
        <f aca="false">IFERROR(BN188/BN190,"")</f>
        <v>1.20016475570937</v>
      </c>
      <c r="BO191" s="51" t="n">
        <f aca="false">IFERROR(BO188/BO190,"")</f>
        <v>0.533404034417763</v>
      </c>
      <c r="BP191" s="51" t="n">
        <f aca="false">IFERROR(BP188/BP190,"")</f>
        <v>0.679037374697237</v>
      </c>
      <c r="BQ191" s="50" t="n">
        <f aca="false">IFERROR(BQ188/BQ190,"")</f>
        <v>2.41244659742953</v>
      </c>
      <c r="BR191" s="51" t="n">
        <f aca="false">IFERROR(BR188/BR190,"")</f>
        <v>0.574334390429532</v>
      </c>
      <c r="BS191" s="51" t="n">
        <f aca="false">IFERROR(BS188/BS190,"")</f>
        <v>0.818334186676469</v>
      </c>
      <c r="BT191" s="51" t="n">
        <f aca="false">IFERROR(BT188/BT190,"")</f>
        <v>1.44280685280502</v>
      </c>
      <c r="BU191" s="51" t="n">
        <f aca="false">IFERROR(BU188/BU190,"")</f>
        <v>0.722760585964392</v>
      </c>
      <c r="BV191" s="51" t="n">
        <f aca="false">IFERROR(BV188/BV190,"")</f>
        <v>0.818944257955479</v>
      </c>
      <c r="BW191" s="50" t="n">
        <f aca="false">IFERROR(BW188/BW190,"")</f>
        <v>2.98566026967254</v>
      </c>
      <c r="BX191" s="51" t="n">
        <f aca="false">IFERROR(BX188/BX190,"")</f>
        <v>0.896624844038745</v>
      </c>
      <c r="BY191" s="51" t="n">
        <f aca="false">IFERROR(BY188/BY190,"")</f>
        <v>0.941525888446758</v>
      </c>
      <c r="BZ191" s="51" t="n">
        <f aca="false">IFERROR(BZ188/BZ190,"")</f>
        <v>1.83819101651801</v>
      </c>
      <c r="CA191" s="51" t="n">
        <f aca="false">IFERROR(CA188/CA190,"")</f>
        <v>0.705121293800539</v>
      </c>
      <c r="CB191" s="51" t="n">
        <f aca="false">IFERROR(CB188/CB190,"")</f>
        <v>0.949462365591397</v>
      </c>
      <c r="CC191" s="50" t="n">
        <f aca="false">IFERROR(CC188/CC190,"")</f>
        <v>3.49055585536967</v>
      </c>
      <c r="CD191" s="51" t="n">
        <f aca="false">IFERROR(CD188/CD190,"")</f>
        <v>0.8862660944206</v>
      </c>
      <c r="CE191" s="51" t="n">
        <f aca="false">IFERROR(CE188/CE190,"")</f>
        <v>1.07449088960343</v>
      </c>
      <c r="CF191" s="51" t="n">
        <f aca="false">IFERROR(CF188/CF190,"")</f>
        <v>1.96085790884719</v>
      </c>
      <c r="CG191" s="51" t="n">
        <f aca="false">IFERROR(CG188/CG190,"")</f>
        <v>0.929983965793693</v>
      </c>
      <c r="CH191" s="51" t="n">
        <f aca="false">IFERROR(CH188/CH190,"")</f>
        <v>1.106780565937</v>
      </c>
      <c r="CI191" s="50" t="n">
        <f aca="false">IFERROR(CI188/CI190,"")</f>
        <v>3.99678972712681</v>
      </c>
      <c r="CJ191" s="51" t="n">
        <f aca="false">IFERROR(CJ188/CJ190,"")</f>
        <v>1.01013333333333</v>
      </c>
      <c r="CK191" s="51" t="n">
        <f aca="false">IFERROR(CK188/CK190,"")</f>
        <v>1.12734082397004</v>
      </c>
      <c r="CL191" s="51" t="n">
        <f aca="false">IFERROR(CL188/CL190,"")</f>
        <v>2.13728632478632</v>
      </c>
      <c r="CM191" s="50" t="n">
        <f aca="false">IFERROR(CM188/CM190,"")</f>
        <v>1.03951511205184</v>
      </c>
      <c r="CN191" s="50" t="n">
        <f aca="false">IFERROR(CN188/CN190,"")</f>
        <v>1.24078131569535</v>
      </c>
      <c r="CO191" s="50" t="n">
        <f aca="false">IFERROR(CO188/CO190,"")</f>
        <v>4.41607122125943</v>
      </c>
      <c r="CP191" s="50" t="n">
        <f aca="false">IFERROR(CP188/CP190,"")</f>
        <v>4.78560221134598</v>
      </c>
      <c r="CQ191" s="50" t="n">
        <f aca="false">IFERROR(CQ188/CQ190,"")</f>
        <v>5.31774995131844</v>
      </c>
      <c r="CR191" s="50" t="n">
        <f aca="false">IFERROR(CR188/CR190,"")</f>
        <v>5.87140144572702</v>
      </c>
      <c r="CS191" s="50" t="n">
        <f aca="false">IFERROR(CS188/CS190,"")</f>
        <v>6.47077485044412</v>
      </c>
      <c r="CT191" s="23"/>
      <c r="CV191" s="24" t="n">
        <f aca="false">IFERROR((CS191/CI191)^(1/5)-1,"n/m")</f>
        <v>0.101156375667793</v>
      </c>
      <c r="CW191" s="24" t="n">
        <f aca="false">IFERROR((CI191/BE191)^(1/5)-1,"n/m")</f>
        <v>0.161390271493247</v>
      </c>
      <c r="CX191" s="24" t="n">
        <f aca="false">IFERROR((CI191/AA191)^(1/10)-1,"n/m")</f>
        <v>0.134972498500775</v>
      </c>
      <c r="CY191" s="24" t="n">
        <f aca="false">IFERROR((CI191/C191)^(1/19)-1,"n/m")</f>
        <v>0.111303631531181</v>
      </c>
    </row>
    <row r="192" customFormat="false" ht="15" hidden="false" customHeight="true" outlineLevel="0" collapsed="false">
      <c r="B192" s="39" t="s">
        <v>338</v>
      </c>
      <c r="C192" s="40" t="n">
        <v>56.2</v>
      </c>
      <c r="D192" s="40" t="n">
        <v>71.89</v>
      </c>
      <c r="E192" s="40" t="n">
        <v>85.479</v>
      </c>
      <c r="F192" s="40" t="n">
        <v>92.042</v>
      </c>
      <c r="G192" s="40" t="n">
        <v>64.919</v>
      </c>
      <c r="H192" s="40" t="n">
        <v>73.638</v>
      </c>
      <c r="I192" s="40" t="n">
        <v>82.555</v>
      </c>
      <c r="J192" s="40" t="n">
        <v>13.989</v>
      </c>
      <c r="K192" s="40" t="n">
        <v>29.795</v>
      </c>
      <c r="L192" s="31" t="n">
        <f aca="false">J192+K192</f>
        <v>43.784</v>
      </c>
      <c r="M192" s="40" t="n">
        <v>15.881</v>
      </c>
      <c r="N192" s="40" t="n">
        <v>30.324</v>
      </c>
      <c r="O192" s="40" t="n">
        <v>89.808</v>
      </c>
      <c r="P192" s="40" t="n">
        <v>14.257</v>
      </c>
      <c r="Q192" s="40" t="n">
        <v>38.607</v>
      </c>
      <c r="R192" s="31" t="n">
        <f aca="false">P192+Q192</f>
        <v>52.864</v>
      </c>
      <c r="S192" s="40" t="n">
        <v>14.48</v>
      </c>
      <c r="T192" s="40" t="n">
        <v>33.496</v>
      </c>
      <c r="U192" s="40" t="n">
        <v>100.331</v>
      </c>
      <c r="V192" s="40" t="n">
        <v>23.777</v>
      </c>
      <c r="W192" s="31"/>
      <c r="X192" s="31"/>
      <c r="Y192" s="40" t="n">
        <v>20.825</v>
      </c>
      <c r="Z192" s="40" t="n">
        <v>31.373</v>
      </c>
      <c r="AA192" s="40" t="n">
        <v>121.058</v>
      </c>
      <c r="AB192" s="40" t="n">
        <v>29.406</v>
      </c>
      <c r="AC192" s="40" t="n">
        <v>39.71</v>
      </c>
      <c r="AD192" s="31" t="n">
        <f aca="false">AB192+AC192</f>
        <v>69.116</v>
      </c>
      <c r="AE192" s="40" t="n">
        <v>21.308</v>
      </c>
      <c r="AF192" s="40" t="n">
        <v>32.853</v>
      </c>
      <c r="AG192" s="40" t="n">
        <v>123.277</v>
      </c>
      <c r="AH192" s="40" t="n">
        <v>12.667</v>
      </c>
      <c r="AI192" s="40" t="n">
        <v>36.436</v>
      </c>
      <c r="AJ192" s="31" t="n">
        <f aca="false">AH192+AI192</f>
        <v>49.103</v>
      </c>
      <c r="AK192" s="40" t="n">
        <v>10.261</v>
      </c>
      <c r="AL192" s="40" t="n">
        <v>28.298</v>
      </c>
      <c r="AM192" s="40" t="n">
        <v>87.662</v>
      </c>
      <c r="AN192" s="40" t="n">
        <v>17.138</v>
      </c>
      <c r="AO192" s="40" t="n">
        <v>45.717</v>
      </c>
      <c r="AP192" s="31" t="n">
        <f aca="false">AN192+AO192</f>
        <v>62.855</v>
      </c>
      <c r="AQ192" s="40" t="n">
        <v>19.328</v>
      </c>
      <c r="AR192" s="40" t="n">
        <v>35.486</v>
      </c>
      <c r="AS192" s="40" t="n">
        <v>117.669</v>
      </c>
      <c r="AT192" s="31"/>
      <c r="AU192" s="40" t="n">
        <v>54.036</v>
      </c>
      <c r="AV192" s="31"/>
      <c r="AW192" s="40" t="n">
        <v>32.399</v>
      </c>
      <c r="AX192" s="40" t="n">
        <v>54.541</v>
      </c>
      <c r="AY192" s="40" t="n">
        <v>173.969</v>
      </c>
      <c r="AZ192" s="40" t="n">
        <v>28.394</v>
      </c>
      <c r="BA192" s="40" t="n">
        <v>65.28</v>
      </c>
      <c r="BB192" s="31" t="n">
        <f aca="false">AZ192+BA192</f>
        <v>93.674</v>
      </c>
      <c r="BC192" s="40" t="n">
        <v>54.592</v>
      </c>
      <c r="BD192" s="40" t="n">
        <v>60.395</v>
      </c>
      <c r="BE192" s="40" t="n">
        <v>208.66</v>
      </c>
      <c r="BF192" s="40" t="n">
        <v>35.995</v>
      </c>
      <c r="BG192" s="40" t="n">
        <v>74.545</v>
      </c>
      <c r="BH192" s="31" t="n">
        <f aca="false">BF192+BG192</f>
        <v>110.54</v>
      </c>
      <c r="BI192" s="40" t="n">
        <v>49.78</v>
      </c>
      <c r="BJ192" s="40" t="n">
        <v>55.785</v>
      </c>
      <c r="BK192" s="40" t="n">
        <v>216.106</v>
      </c>
      <c r="BL192" s="40" t="n">
        <v>50.963</v>
      </c>
      <c r="BM192" s="40" t="n">
        <v>83.072</v>
      </c>
      <c r="BN192" s="31" t="n">
        <f aca="false">BL192+BM192</f>
        <v>134.035</v>
      </c>
      <c r="BO192" s="40" t="n">
        <v>59.853</v>
      </c>
      <c r="BP192" s="40" t="n">
        <v>76.031</v>
      </c>
      <c r="BQ192" s="40" t="n">
        <v>269.919</v>
      </c>
      <c r="BR192" s="40" t="n">
        <v>69.2</v>
      </c>
      <c r="BS192" s="40" t="n">
        <v>149.6</v>
      </c>
      <c r="BT192" s="31" t="n">
        <f aca="false">BR192+BS192</f>
        <v>218.8</v>
      </c>
      <c r="BU192" s="40" t="n">
        <v>132.7</v>
      </c>
      <c r="BV192" s="40" t="n">
        <v>150.6</v>
      </c>
      <c r="BW192" s="40" t="n">
        <v>502.2</v>
      </c>
      <c r="BX192" s="40" t="n">
        <v>165.5</v>
      </c>
      <c r="BY192" s="40" t="n">
        <v>174.1</v>
      </c>
      <c r="BZ192" s="31" t="n">
        <f aca="false">BX192+BY192</f>
        <v>339.6</v>
      </c>
      <c r="CA192" s="40" t="n">
        <v>130.8</v>
      </c>
      <c r="CB192" s="40" t="n">
        <v>176.6</v>
      </c>
      <c r="CC192" s="40" t="n">
        <v>646.8</v>
      </c>
      <c r="CD192" s="40" t="n">
        <v>165.2</v>
      </c>
      <c r="CE192" s="40" t="n">
        <v>200.5</v>
      </c>
      <c r="CF192" s="31" t="n">
        <f aca="false">CD192+CE192</f>
        <v>365.7</v>
      </c>
      <c r="CG192" s="40" t="n">
        <v>174</v>
      </c>
      <c r="CH192" s="40" t="n">
        <v>207.3</v>
      </c>
      <c r="CI192" s="40" t="n">
        <v>747</v>
      </c>
      <c r="CJ192" s="40" t="n">
        <v>189.4</v>
      </c>
      <c r="CK192" s="40" t="n">
        <v>210.7</v>
      </c>
      <c r="CL192" s="31" t="n">
        <f aca="false">CJ192+CK192</f>
        <v>400.1</v>
      </c>
      <c r="CM192" s="32"/>
      <c r="CN192" s="32"/>
      <c r="CO192" s="32"/>
      <c r="CP192" s="32"/>
      <c r="CQ192" s="32"/>
      <c r="CR192" s="32"/>
      <c r="CS192" s="32"/>
      <c r="CT192" s="23"/>
      <c r="CV192" s="7"/>
      <c r="CW192" s="7"/>
      <c r="CX192" s="7"/>
      <c r="CY192" s="7"/>
    </row>
    <row r="193" customFormat="false" ht="15" hidden="false" customHeight="true" outlineLevel="0" collapsed="false">
      <c r="B193" s="39" t="s">
        <v>339</v>
      </c>
      <c r="C193" s="52" t="n">
        <v>0.537</v>
      </c>
      <c r="D193" s="52" t="n">
        <v>0.68</v>
      </c>
      <c r="E193" s="52" t="n">
        <v>0.81</v>
      </c>
      <c r="F193" s="52" t="n">
        <v>0.87</v>
      </c>
      <c r="G193" s="52" t="n">
        <v>0.61</v>
      </c>
      <c r="H193" s="52" t="n">
        <v>0.69</v>
      </c>
      <c r="I193" s="52" t="n">
        <v>0.77</v>
      </c>
      <c r="J193" s="52" t="n">
        <v>0.13</v>
      </c>
      <c r="K193" s="52" t="n">
        <v>0.28</v>
      </c>
      <c r="L193" s="53"/>
      <c r="M193" s="52" t="n">
        <v>0.15</v>
      </c>
      <c r="N193" s="52" t="n">
        <v>0.28</v>
      </c>
      <c r="O193" s="52" t="n">
        <v>0.84</v>
      </c>
      <c r="P193" s="52" t="n">
        <v>0.13</v>
      </c>
      <c r="Q193" s="52" t="n">
        <v>0.36</v>
      </c>
      <c r="R193" s="53"/>
      <c r="S193" s="52" t="n">
        <v>0.13</v>
      </c>
      <c r="T193" s="52" t="n">
        <v>0.31</v>
      </c>
      <c r="U193" s="52" t="n">
        <v>0.93</v>
      </c>
      <c r="V193" s="52" t="n">
        <v>0.22</v>
      </c>
      <c r="W193" s="53"/>
      <c r="X193" s="53"/>
      <c r="Y193" s="52" t="n">
        <v>0.19</v>
      </c>
      <c r="Z193" s="52" t="n">
        <v>0.29</v>
      </c>
      <c r="AA193" s="52" t="n">
        <v>1.13</v>
      </c>
      <c r="AB193" s="52" t="n">
        <v>0.27</v>
      </c>
      <c r="AC193" s="52" t="n">
        <v>0.37</v>
      </c>
      <c r="AD193" s="53"/>
      <c r="AE193" s="52" t="n">
        <v>0.2</v>
      </c>
      <c r="AF193" s="52" t="n">
        <v>0.3</v>
      </c>
      <c r="AG193" s="52" t="n">
        <v>1.15</v>
      </c>
      <c r="AH193" s="52" t="n">
        <v>0.12</v>
      </c>
      <c r="AI193" s="52" t="n">
        <v>0.33</v>
      </c>
      <c r="AJ193" s="53"/>
      <c r="AK193" s="52" t="n">
        <v>0.09</v>
      </c>
      <c r="AL193" s="52" t="n">
        <v>0.26</v>
      </c>
      <c r="AM193" s="52" t="n">
        <v>0.81</v>
      </c>
      <c r="AN193" s="52" t="n">
        <v>0.16</v>
      </c>
      <c r="AO193" s="52" t="n">
        <v>0.42</v>
      </c>
      <c r="AP193" s="53"/>
      <c r="AQ193" s="52" t="n">
        <v>0.18</v>
      </c>
      <c r="AR193" s="52" t="n">
        <v>0.32</v>
      </c>
      <c r="AS193" s="52" t="n">
        <v>1.08</v>
      </c>
      <c r="AT193" s="52" t="n">
        <v>0.17</v>
      </c>
      <c r="AU193" s="52" t="n">
        <v>0.49</v>
      </c>
      <c r="AV193" s="53"/>
      <c r="AW193" s="52" t="n">
        <v>0.3</v>
      </c>
      <c r="AX193" s="52" t="n">
        <v>0.5</v>
      </c>
      <c r="AY193" s="52" t="n">
        <v>1.59</v>
      </c>
      <c r="AZ193" s="52" t="n">
        <v>0.26</v>
      </c>
      <c r="BA193" s="52" t="n">
        <v>0.6</v>
      </c>
      <c r="BB193" s="53"/>
      <c r="BC193" s="52" t="n">
        <v>0.49</v>
      </c>
      <c r="BD193" s="52" t="n">
        <v>0.54</v>
      </c>
      <c r="BE193" s="52" t="n">
        <v>1.89</v>
      </c>
      <c r="BF193" s="52" t="n">
        <v>0.32</v>
      </c>
      <c r="BG193" s="52" t="n">
        <v>0.67</v>
      </c>
      <c r="BH193" s="53"/>
      <c r="BI193" s="52" t="n">
        <v>0.45</v>
      </c>
      <c r="BJ193" s="52" t="n">
        <v>0.5</v>
      </c>
      <c r="BK193" s="52" t="n">
        <v>1.94</v>
      </c>
      <c r="BL193" s="52" t="n">
        <v>0.46</v>
      </c>
      <c r="BM193" s="52" t="n">
        <v>0.74</v>
      </c>
      <c r="BN193" s="53"/>
      <c r="BO193" s="52" t="n">
        <v>0.53</v>
      </c>
      <c r="BP193" s="52" t="n">
        <v>0.68</v>
      </c>
      <c r="BQ193" s="52" t="n">
        <v>2.41</v>
      </c>
      <c r="BR193" s="52" t="n">
        <v>0.57</v>
      </c>
      <c r="BS193" s="52" t="n">
        <v>0.82</v>
      </c>
      <c r="BT193" s="53"/>
      <c r="BU193" s="52" t="n">
        <v>0.72</v>
      </c>
      <c r="BV193" s="52" t="n">
        <v>0.82</v>
      </c>
      <c r="BW193" s="52" t="n">
        <v>2.99</v>
      </c>
      <c r="BX193" s="52" t="n">
        <v>0.9</v>
      </c>
      <c r="BY193" s="52" t="n">
        <v>0.94</v>
      </c>
      <c r="BZ193" s="53"/>
      <c r="CA193" s="52" t="n">
        <v>0.71</v>
      </c>
      <c r="CB193" s="52" t="n">
        <v>0.95</v>
      </c>
      <c r="CC193" s="52" t="n">
        <v>3.49</v>
      </c>
      <c r="CD193" s="52" t="n">
        <v>0.89</v>
      </c>
      <c r="CE193" s="52" t="n">
        <v>1.07</v>
      </c>
      <c r="CF193" s="53"/>
      <c r="CG193" s="52" t="n">
        <v>0.93</v>
      </c>
      <c r="CH193" s="52" t="n">
        <v>1.11</v>
      </c>
      <c r="CI193" s="52" t="n">
        <v>4</v>
      </c>
      <c r="CJ193" s="52" t="n">
        <v>1.01</v>
      </c>
      <c r="CK193" s="52" t="n">
        <v>1.13</v>
      </c>
      <c r="CL193" s="53"/>
      <c r="CM193" s="54"/>
      <c r="CN193" s="54"/>
      <c r="CO193" s="54"/>
      <c r="CP193" s="54"/>
      <c r="CQ193" s="54"/>
      <c r="CR193" s="54"/>
      <c r="CS193" s="54"/>
      <c r="CT193" s="23"/>
      <c r="CV193" s="7"/>
      <c r="CW193" s="7"/>
      <c r="CX193" s="7"/>
      <c r="CY193" s="7"/>
    </row>
    <row r="194" customFormat="false" ht="15" hidden="false" customHeight="true" outlineLevel="0" collapsed="false">
      <c r="B194" s="46" t="s">
        <v>340</v>
      </c>
      <c r="C194" s="31" t="n">
        <f aca="false">IF(ISNUMBER(C192),ROUND(C188-C192,1),"n/p")</f>
        <v>0.1</v>
      </c>
      <c r="D194" s="31" t="n">
        <f aca="false">IF(ISNUMBER(D192),ROUND(D188-D192,1),"n/p")</f>
        <v>0</v>
      </c>
      <c r="E194" s="31" t="n">
        <f aca="false">IF(ISNUMBER(E192),ROUND(E188-E192,1),"n/p")</f>
        <v>0</v>
      </c>
      <c r="F194" s="31" t="n">
        <f aca="false">IF(ISNUMBER(F192),ROUND(F188-F192,1),"n/p")</f>
        <v>0</v>
      </c>
      <c r="G194" s="31" t="n">
        <f aca="false">IF(ISNUMBER(G192),ROUND(G188-G192,1),"n/p")</f>
        <v>0</v>
      </c>
      <c r="H194" s="31" t="n">
        <f aca="false">IF(ISNUMBER(H192),ROUND(H188-H192,1),"n/p")</f>
        <v>0</v>
      </c>
      <c r="I194" s="31" t="n">
        <f aca="false">IF(ISNUMBER(I192),ROUND(I188-I192,1),"n/p")</f>
        <v>0</v>
      </c>
      <c r="J194" s="31" t="n">
        <f aca="false">IF(ISNUMBER(J192),ROUND(J188-J192,1),"n/p")</f>
        <v>0</v>
      </c>
      <c r="K194" s="31" t="n">
        <f aca="false">IF(ISNUMBER(K192),ROUND(K188-K192,1),"n/p")</f>
        <v>0</v>
      </c>
      <c r="L194" s="31" t="n">
        <f aca="false">IF(ISNUMBER(L192),ROUND(L188-L192,1),"n/p")</f>
        <v>0</v>
      </c>
      <c r="M194" s="31" t="n">
        <f aca="false">IF(ISNUMBER(M192),ROUND(M188-M192,1),"n/p")</f>
        <v>0</v>
      </c>
      <c r="N194" s="31" t="n">
        <f aca="false">IF(ISNUMBER(N192),ROUND(N188-N192,1),"n/p")</f>
        <v>0</v>
      </c>
      <c r="O194" s="31" t="n">
        <f aca="false">IF(ISNUMBER(O192),ROUND(O188-O192,1),"n/p")</f>
        <v>0</v>
      </c>
      <c r="P194" s="31" t="n">
        <f aca="false">IF(ISNUMBER(P192),ROUND(P188-P192,1),"n/p")</f>
        <v>0</v>
      </c>
      <c r="Q194" s="31" t="n">
        <f aca="false">IF(ISNUMBER(Q192),ROUND(Q188-Q192,1),"n/p")</f>
        <v>0</v>
      </c>
      <c r="R194" s="31" t="n">
        <f aca="false">IF(ISNUMBER(R192),ROUND(R188-R192,1),"n/p")</f>
        <v>0</v>
      </c>
      <c r="S194" s="31" t="n">
        <f aca="false">IF(ISNUMBER(S192),ROUND(S188-S192,1),"n/p")</f>
        <v>0</v>
      </c>
      <c r="T194" s="31" t="n">
        <f aca="false">IF(ISNUMBER(T192),ROUND(T188-T192,1),"n/p")</f>
        <v>0</v>
      </c>
      <c r="U194" s="31" t="n">
        <f aca="false">IF(ISNUMBER(U192),ROUND(U188-U192,1),"n/p")</f>
        <v>0</v>
      </c>
      <c r="V194" s="31" t="n">
        <f aca="false">IF(ISNUMBER(V192),ROUND(V188-V192,1),"n/p")</f>
        <v>0</v>
      </c>
      <c r="W194" s="31" t="str">
        <f aca="false">IF(ISNUMBER(W192),ROUND(W188-W192,1),"n/p")</f>
        <v>n/p</v>
      </c>
      <c r="X194" s="31" t="str">
        <f aca="false">IF(ISNUMBER(X192),ROUND(X188-X192,1),"n/p")</f>
        <v>n/p</v>
      </c>
      <c r="Y194" s="31" t="n">
        <f aca="false">IF(ISNUMBER(Y192),ROUND(Y188-Y192,1),"n/p")</f>
        <v>0</v>
      </c>
      <c r="Z194" s="31" t="n">
        <f aca="false">IF(ISNUMBER(Z192),ROUND(Z188-Z192,1),"n/p")</f>
        <v>0</v>
      </c>
      <c r="AA194" s="31" t="n">
        <f aca="false">IF(ISNUMBER(AA192),ROUND(AA188-AA192,1),"n/p")</f>
        <v>0</v>
      </c>
      <c r="AB194" s="31" t="n">
        <f aca="false">IF(ISNUMBER(AB192),ROUND(AB188-AB192,1),"n/p")</f>
        <v>0</v>
      </c>
      <c r="AC194" s="31" t="n">
        <f aca="false">IF(ISNUMBER(AC192),ROUND(AC188-AC192,1),"n/p")</f>
        <v>0</v>
      </c>
      <c r="AD194" s="31" t="n">
        <f aca="false">IF(ISNUMBER(AD192),ROUND(AD188-AD192,1),"n/p")</f>
        <v>0</v>
      </c>
      <c r="AE194" s="31" t="n">
        <f aca="false">IF(ISNUMBER(AE192),ROUND(AE188-AE192,1),"n/p")</f>
        <v>0</v>
      </c>
      <c r="AF194" s="31" t="n">
        <f aca="false">IF(ISNUMBER(AF192),ROUND(AF188-AF192,1),"n/p")</f>
        <v>0</v>
      </c>
      <c r="AG194" s="31" t="n">
        <f aca="false">IF(ISNUMBER(AG192),ROUND(AG188-AG192,1),"n/p")</f>
        <v>0</v>
      </c>
      <c r="AH194" s="31" t="n">
        <f aca="false">IF(ISNUMBER(AH192),ROUND(AH188-AH192,1),"n/p")</f>
        <v>0</v>
      </c>
      <c r="AI194" s="31" t="n">
        <f aca="false">IF(ISNUMBER(AI192),ROUND(AI188-AI192,1),"n/p")</f>
        <v>0</v>
      </c>
      <c r="AJ194" s="31" t="n">
        <f aca="false">IF(ISNUMBER(AJ192),ROUND(AJ188-AJ192,1),"n/p")</f>
        <v>0</v>
      </c>
      <c r="AK194" s="31" t="n">
        <f aca="false">IF(ISNUMBER(AK192),ROUND(AK188-AK192,1),"n/p")</f>
        <v>0</v>
      </c>
      <c r="AL194" s="31" t="n">
        <f aca="false">IF(ISNUMBER(AL192),ROUND(AL188-AL192,1),"n/p")</f>
        <v>0</v>
      </c>
      <c r="AM194" s="31" t="n">
        <f aca="false">IF(ISNUMBER(AM192),ROUND(AM188-AM192,1),"n/p")</f>
        <v>0</v>
      </c>
      <c r="AN194" s="31" t="n">
        <f aca="false">IF(ISNUMBER(AN192),ROUND(AN188-AN192,1),"n/p")</f>
        <v>0</v>
      </c>
      <c r="AO194" s="31" t="n">
        <f aca="false">IF(ISNUMBER(AO192),ROUND(AO188-AO192,1),"n/p")</f>
        <v>0</v>
      </c>
      <c r="AP194" s="31" t="n">
        <f aca="false">IF(ISNUMBER(AP192),ROUND(AP188-AP192,1),"n/p")</f>
        <v>0</v>
      </c>
      <c r="AQ194" s="31" t="n">
        <f aca="false">IF(ISNUMBER(AQ192),ROUND(AQ188-AQ192,1),"n/p")</f>
        <v>0</v>
      </c>
      <c r="AR194" s="31" t="n">
        <f aca="false">IF(ISNUMBER(AR192),ROUND(AR188-AR192,1),"n/p")</f>
        <v>0</v>
      </c>
      <c r="AS194" s="31" t="n">
        <f aca="false">IF(ISNUMBER(AS192),ROUND(AS188-AS192,1),"n/p")</f>
        <v>0</v>
      </c>
      <c r="AT194" s="31" t="str">
        <f aca="false">IF(ISNUMBER(AT192),ROUND(AT188-AT192,1),"n/p")</f>
        <v>n/p</v>
      </c>
      <c r="AU194" s="31" t="n">
        <f aca="false">IF(ISNUMBER(AU192),ROUND(AU188-AU192,1),"n/p")</f>
        <v>0</v>
      </c>
      <c r="AV194" s="31" t="str">
        <f aca="false">IF(ISNUMBER(AV192),ROUND(AV188-AV192,1),"n/p")</f>
        <v>n/p</v>
      </c>
      <c r="AW194" s="31" t="n">
        <f aca="false">IF(ISNUMBER(AW192),ROUND(AW188-AW192,1),"n/p")</f>
        <v>0</v>
      </c>
      <c r="AX194" s="31" t="n">
        <f aca="false">IF(ISNUMBER(AX192),ROUND(AX188-AX192,1),"n/p")</f>
        <v>0</v>
      </c>
      <c r="AY194" s="31" t="n">
        <f aca="false">IF(ISNUMBER(AY192),ROUND(AY188-AY192,1),"n/p")</f>
        <v>0</v>
      </c>
      <c r="AZ194" s="31" t="n">
        <f aca="false">IF(ISNUMBER(AZ192),ROUND(AZ188-AZ192,1),"n/p")</f>
        <v>0</v>
      </c>
      <c r="BA194" s="31" t="n">
        <f aca="false">IF(ISNUMBER(BA192),ROUND(BA188-BA192,1),"n/p")</f>
        <v>0</v>
      </c>
      <c r="BB194" s="31" t="n">
        <f aca="false">IF(ISNUMBER(BB192),ROUND(BB188-BB192,1),"n/p")</f>
        <v>0</v>
      </c>
      <c r="BC194" s="31" t="n">
        <f aca="false">IF(ISNUMBER(BC192),ROUND(BC188-BC192,1),"n/p")</f>
        <v>0</v>
      </c>
      <c r="BD194" s="31" t="n">
        <f aca="false">IF(ISNUMBER(BD192),ROUND(BD188-BD192,1),"n/p")</f>
        <v>0</v>
      </c>
      <c r="BE194" s="31" t="n">
        <f aca="false">IF(ISNUMBER(BE192),ROUND(BE188-BE192,1),"n/p")</f>
        <v>0</v>
      </c>
      <c r="BF194" s="31" t="n">
        <f aca="false">IF(ISNUMBER(BF192),ROUND(BF188-BF192,1),"n/p")</f>
        <v>0</v>
      </c>
      <c r="BG194" s="31" t="n">
        <f aca="false">IF(ISNUMBER(BG192),ROUND(BG188-BG192,1),"n/p")</f>
        <v>0</v>
      </c>
      <c r="BH194" s="31" t="n">
        <f aca="false">IF(ISNUMBER(BH192),ROUND(BH188-BH192,1),"n/p")</f>
        <v>0</v>
      </c>
      <c r="BI194" s="31" t="n">
        <f aca="false">IF(ISNUMBER(BI192),ROUND(BI188-BI192,1),"n/p")</f>
        <v>0</v>
      </c>
      <c r="BJ194" s="31" t="n">
        <f aca="false">IF(ISNUMBER(BJ192),ROUND(BJ188-BJ192,1),"n/p")</f>
        <v>0</v>
      </c>
      <c r="BK194" s="31" t="n">
        <f aca="false">IF(ISNUMBER(BK192),ROUND(BK188-BK192,1),"n/p")</f>
        <v>0</v>
      </c>
      <c r="BL194" s="31" t="n">
        <f aca="false">IF(ISNUMBER(BL192),ROUND(BL188-BL192,1),"n/p")</f>
        <v>0</v>
      </c>
      <c r="BM194" s="31" t="n">
        <f aca="false">IF(ISNUMBER(BM192),ROUND(BM188-BM192,1),"n/p")</f>
        <v>0</v>
      </c>
      <c r="BN194" s="31" t="n">
        <f aca="false">IF(ISNUMBER(BN192),ROUND(BN188-BN192,1),"n/p")</f>
        <v>0</v>
      </c>
      <c r="BO194" s="31" t="n">
        <f aca="false">IF(ISNUMBER(BO192),ROUND(BO188-BO192,1),"n/p")</f>
        <v>0</v>
      </c>
      <c r="BP194" s="31" t="n">
        <f aca="false">IF(ISNUMBER(BP192),ROUND(BP188-BP192,1),"n/p")</f>
        <v>0</v>
      </c>
      <c r="BQ194" s="31" t="n">
        <f aca="false">IF(ISNUMBER(BQ192),ROUND(BQ188-BQ192,1),"n/p")</f>
        <v>0</v>
      </c>
      <c r="BR194" s="31" t="n">
        <f aca="false">IF(ISNUMBER(BR192),ROUND(BR188-BR192,1),"n/p")</f>
        <v>0</v>
      </c>
      <c r="BS194" s="31" t="n">
        <f aca="false">IF(ISNUMBER(BS192),ROUND(BS188-BS192,1),"n/p")</f>
        <v>0</v>
      </c>
      <c r="BT194" s="31" t="n">
        <f aca="false">IF(ISNUMBER(BT192),ROUND(BT188-BT192,1),"n/p")</f>
        <v>0</v>
      </c>
      <c r="BU194" s="31" t="n">
        <f aca="false">IF(ISNUMBER(BU192),ROUND(BU188-BU192,1),"n/p")</f>
        <v>0</v>
      </c>
      <c r="BV194" s="31" t="n">
        <f aca="false">IF(ISNUMBER(BV192),ROUND(BV188-BV192,1),"n/p")</f>
        <v>0</v>
      </c>
      <c r="BW194" s="31" t="n">
        <f aca="false">IF(ISNUMBER(BW192),ROUND(BW188-BW192,1),"n/p")</f>
        <v>0</v>
      </c>
      <c r="BX194" s="31" t="n">
        <f aca="false">IF(ISNUMBER(BX192),ROUND(BX188-BX192,1),"n/p")</f>
        <v>0</v>
      </c>
      <c r="BY194" s="31" t="n">
        <f aca="false">IF(ISNUMBER(BY192),ROUND(BY188-BY192,1),"n/p")</f>
        <v>0</v>
      </c>
      <c r="BZ194" s="31" t="n">
        <f aca="false">IF(ISNUMBER(BZ192),ROUND(BZ188-BZ192,1),"n/p")</f>
        <v>0</v>
      </c>
      <c r="CA194" s="31" t="n">
        <f aca="false">IF(ISNUMBER(CA192),ROUND(CA188-CA192,1),"n/p")</f>
        <v>0</v>
      </c>
      <c r="CB194" s="31" t="n">
        <f aca="false">IF(ISNUMBER(CB192),ROUND(CB188-CB192,1),"n/p")</f>
        <v>0</v>
      </c>
      <c r="CC194" s="31" t="n">
        <f aca="false">IF(ISNUMBER(CC192),ROUND(CC188-CC192,1),"n/p")</f>
        <v>0</v>
      </c>
      <c r="CD194" s="31" t="n">
        <f aca="false">IF(ISNUMBER(CD192),ROUND(CD188-CD192,1),"n/p")</f>
        <v>0</v>
      </c>
      <c r="CE194" s="31" t="n">
        <f aca="false">IF(ISNUMBER(CE192),ROUND(CE188-CE192,1),"n/p")</f>
        <v>0</v>
      </c>
      <c r="CF194" s="31" t="n">
        <f aca="false">IF(ISNUMBER(CF192),ROUND(CF188-CF192,1),"n/p")</f>
        <v>0</v>
      </c>
      <c r="CG194" s="31" t="n">
        <f aca="false">IF(ISNUMBER(CG192),ROUND(CG188-CG192,1),"n/p")</f>
        <v>0</v>
      </c>
      <c r="CH194" s="31" t="n">
        <f aca="false">IF(ISNUMBER(CH192),ROUND(CH188-CH192,1),"n/p")</f>
        <v>0</v>
      </c>
      <c r="CI194" s="31" t="n">
        <f aca="false">IF(ISNUMBER(CI192),ROUND(CI188-CI192,1),"n/p")</f>
        <v>0</v>
      </c>
      <c r="CJ194" s="31" t="n">
        <f aca="false">IF(ISNUMBER(CJ192),ROUND(CJ188-CJ192,1),"n/p")</f>
        <v>0</v>
      </c>
      <c r="CK194" s="31" t="n">
        <f aca="false">IF(ISNUMBER(CK192),ROUND(CK188-CK192,1),"n/p")</f>
        <v>0</v>
      </c>
      <c r="CL194" s="31" t="n">
        <f aca="false">IF(ISNUMBER(CL192),ROUND(CL188-CL192,1),"n/p")</f>
        <v>0</v>
      </c>
      <c r="CM194" s="32"/>
      <c r="CN194" s="32"/>
      <c r="CO194" s="32"/>
      <c r="CP194" s="32"/>
      <c r="CQ194" s="32"/>
      <c r="CR194" s="32"/>
      <c r="CS194" s="32"/>
      <c r="CT194" s="23"/>
      <c r="CV194" s="7"/>
      <c r="CW194" s="7"/>
      <c r="CX194" s="7"/>
      <c r="CY194" s="7"/>
    </row>
    <row r="195" customFormat="false" ht="15" hidden="false" customHeight="true" outlineLevel="0" collapsed="false">
      <c r="B195" s="56" t="s">
        <v>341</v>
      </c>
      <c r="C195" s="57" t="s">
        <v>342</v>
      </c>
      <c r="D195" s="57" t="s">
        <v>343</v>
      </c>
      <c r="H195" s="57" t="s">
        <v>344</v>
      </c>
      <c r="J195" s="57" t="s">
        <v>345</v>
      </c>
      <c r="N195" s="57" t="s">
        <v>346</v>
      </c>
      <c r="S195" s="57" t="s">
        <v>347</v>
      </c>
      <c r="U195" s="57" t="s">
        <v>348</v>
      </c>
      <c r="Z195" s="57" t="s">
        <v>349</v>
      </c>
      <c r="AF195" s="57" t="s">
        <v>350</v>
      </c>
      <c r="AH195" s="57" t="s">
        <v>351</v>
      </c>
      <c r="AI195" s="57" t="s">
        <v>352</v>
      </c>
      <c r="AL195" s="57" t="s">
        <v>353</v>
      </c>
      <c r="AQ195" s="57" t="s">
        <v>354</v>
      </c>
      <c r="AW195" s="57" t="s">
        <v>355</v>
      </c>
      <c r="BG195" s="57" t="s">
        <v>356</v>
      </c>
      <c r="BM195" s="57" t="s">
        <v>357</v>
      </c>
      <c r="BR195" s="57" t="s">
        <v>358</v>
      </c>
      <c r="BU195" s="57" t="s">
        <v>314</v>
      </c>
      <c r="CE195" s="57" t="s">
        <v>359</v>
      </c>
      <c r="CG195" s="57" t="s">
        <v>360</v>
      </c>
      <c r="CJ195" s="57" t="s">
        <v>361</v>
      </c>
      <c r="CM195" s="7"/>
      <c r="CN195" s="7"/>
      <c r="CO195" s="7"/>
      <c r="CP195" s="7"/>
      <c r="CQ195" s="7"/>
      <c r="CR195" s="7"/>
      <c r="CS195" s="7"/>
      <c r="CT195" s="23" t="s">
        <v>318</v>
      </c>
      <c r="CV195" s="7"/>
      <c r="CW195" s="7"/>
      <c r="CX195" s="7"/>
      <c r="CY195" s="7"/>
    </row>
    <row r="196" customFormat="false" ht="15" hidden="false" customHeight="true" outlineLevel="0" collapsed="false">
      <c r="B196" s="13"/>
      <c r="CM196" s="7"/>
      <c r="CN196" s="7"/>
      <c r="CO196" s="7"/>
      <c r="CP196" s="7"/>
      <c r="CQ196" s="7"/>
      <c r="CR196" s="7"/>
      <c r="CS196" s="7"/>
      <c r="CT196" s="7"/>
    </row>
    <row r="197" customFormat="false" ht="15" hidden="false" customHeight="true" outlineLevel="0" collapsed="false">
      <c r="B197" s="12" t="s">
        <v>362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 t="s">
        <v>363</v>
      </c>
    </row>
    <row r="198" customFormat="false" ht="15" hidden="false" customHeight="true" outlineLevel="0" collapsed="false">
      <c r="B198" s="30" t="s">
        <v>364</v>
      </c>
      <c r="C198" s="34"/>
      <c r="D198" s="34" t="n">
        <f aca="false">IFERROR(D95/C95-1,"")</f>
        <v>0.209608426375859</v>
      </c>
      <c r="E198" s="34" t="n">
        <f aca="false">IFERROR(E95/D95-1,"")</f>
        <v>0.137579911896533</v>
      </c>
      <c r="F198" s="34" t="n">
        <f aca="false">IFERROR(F95/E95-1,"")</f>
        <v>0.063111228855357</v>
      </c>
      <c r="G198" s="34" t="n">
        <f aca="false">IFERROR(G95/F95-1,"")</f>
        <v>-0.0526018594367608</v>
      </c>
      <c r="H198" s="34" t="n">
        <f aca="false">IFERROR(H95/G95-1,"")</f>
        <v>0.108375376711466</v>
      </c>
      <c r="I198" s="34" t="n">
        <f aca="false">IFERROR(I95/H95-1,"")</f>
        <v>0.105670552058955</v>
      </c>
      <c r="J198" s="34"/>
      <c r="K198" s="34"/>
      <c r="L198" s="34"/>
      <c r="M198" s="34"/>
      <c r="N198" s="34"/>
      <c r="O198" s="34" t="n">
        <f aca="false">IFERROR(O95/I95-1,"")</f>
        <v>0.0672397849094086</v>
      </c>
      <c r="P198" s="34" t="n">
        <f aca="false">IFERROR(P95/J95-1,"")</f>
        <v>-0.0340002743537989</v>
      </c>
      <c r="Q198" s="34" t="n">
        <f aca="false">IFERROR(Q95/K95-1,"")</f>
        <v>0.105305403594084</v>
      </c>
      <c r="R198" s="34" t="n">
        <f aca="false">IFERROR(R95/L95-1,"")</f>
        <v>0.0435931938536331</v>
      </c>
      <c r="S198" s="34" t="n">
        <f aca="false">IFERROR(S95/M95-1,"")</f>
        <v>-0.0338657844990548</v>
      </c>
      <c r="T198" s="34" t="n">
        <f aca="false">IFERROR(T95/N95-1,"")</f>
        <v>0.0551275309968526</v>
      </c>
      <c r="U198" s="34" t="n">
        <f aca="false">IFERROR(U95/O95-1,"")</f>
        <v>0.0292980575648851</v>
      </c>
      <c r="V198" s="34" t="n">
        <f aca="false">IFERROR(V95/P95-1,"")</f>
        <v>0.172739075749584</v>
      </c>
      <c r="W198" s="34" t="n">
        <f aca="false">IFERROR(W95/Q95-1,"")</f>
        <v>0.0961821835231078</v>
      </c>
      <c r="X198" s="34" t="n">
        <f aca="false">IFERROR(X95/R95-1,"")</f>
        <v>0.12757514880024</v>
      </c>
      <c r="Y198" s="34" t="n">
        <f aca="false">IFERROR(Y95/S95-1,"")</f>
        <v>0.0694698533512037</v>
      </c>
      <c r="Z198" s="34" t="n">
        <f aca="false">IFERROR(Z95/T95-1,"")</f>
        <v>-0.021631264580339</v>
      </c>
      <c r="AA198" s="34" t="n">
        <f aca="false">IFERROR(AA95/U95-1,"")</f>
        <v>0.0722889562811657</v>
      </c>
      <c r="AB198" s="34" t="n">
        <f aca="false">IFERROR(AB95/V95-1,"")</f>
        <v>0.141215035721082</v>
      </c>
      <c r="AC198" s="34" t="n">
        <f aca="false">IFERROR(AC95/W95-1,"")</f>
        <v>0.0214050952874059</v>
      </c>
      <c r="AD198" s="34" t="n">
        <f aca="false">IFERROR(AD95/X95-1,"")</f>
        <v>0.0725022593555764</v>
      </c>
      <c r="AE198" s="34" t="n">
        <f aca="false">IFERROR(AE95/Y95-1,"")</f>
        <v>0.178909237271081</v>
      </c>
      <c r="AF198" s="34" t="n">
        <f aca="false">IFERROR(AF95/Z95-1,"")</f>
        <v>0.083469902998627</v>
      </c>
      <c r="AG198" s="34" t="n">
        <f aca="false">IFERROR(AG95/AA95-1,"")</f>
        <v>0.0979307002665375</v>
      </c>
      <c r="AH198" s="34" t="n">
        <f aca="false">IFERROR(AH95/AB95-1,"")</f>
        <v>0.511440372882641</v>
      </c>
      <c r="AI198" s="34" t="n">
        <f aca="false">IFERROR(AI95/AC95-1,"")</f>
        <v>0.590711879348887</v>
      </c>
      <c r="AJ198" s="34" t="n">
        <f aca="false">IFERROR(AJ95/AD95-1,"")</f>
        <v>0.554737747205503</v>
      </c>
      <c r="AK198" s="34" t="n">
        <f aca="false">IFERROR(AK95/AE95-1,"")</f>
        <v>0.764494552903566</v>
      </c>
      <c r="AL198" s="34" t="n">
        <f aca="false">IFERROR(AL95/AF95-1,"")</f>
        <v>0.987817590908162</v>
      </c>
      <c r="AM198" s="34" t="n">
        <f aca="false">IFERROR(AM95/AG95-1,"")</f>
        <v>0.714688512433902</v>
      </c>
      <c r="AN198" s="34" t="n">
        <f aca="false">IFERROR(AN95/AH95-1,"")</f>
        <v>0.304627758528183</v>
      </c>
      <c r="AO198" s="34" t="n">
        <f aca="false">IFERROR(AO95/AI95-1,"")</f>
        <v>0.221354403771777</v>
      </c>
      <c r="AP198" s="34" t="n">
        <f aca="false">IFERROR(AP95/AJ95-1,"")</f>
        <v>0.258092204229714</v>
      </c>
      <c r="AQ198" s="34" t="n">
        <f aca="false">IFERROR(AQ95/AK95-1,"")</f>
        <v>0.0789134612424749</v>
      </c>
      <c r="AR198" s="34" t="n">
        <f aca="false">IFERROR(AR95/AL95-1,"")</f>
        <v>0.220126820908312</v>
      </c>
      <c r="AS198" s="34" t="n">
        <f aca="false">IFERROR(AS95/AM95-1,"")</f>
        <v>0.204733157535439</v>
      </c>
      <c r="AT198" s="34" t="n">
        <f aca="false">IFERROR(AT95/AN95-1,"")</f>
        <v>0.166236192145377</v>
      </c>
      <c r="AU198" s="34" t="n">
        <f aca="false">IFERROR(AU95/AO95-1,"")</f>
        <v>0.274501669205588</v>
      </c>
      <c r="AV198" s="34" t="n">
        <f aca="false">IFERROR(AV95/AP95-1,"")</f>
        <v>0.224971338542803</v>
      </c>
      <c r="AW198" s="34" t="n">
        <f aca="false">IFERROR(AW95/AQ95-1,"")</f>
        <v>0.181172711191542</v>
      </c>
      <c r="AX198" s="34" t="n">
        <f aca="false">IFERROR(AX95/AR95-1,"")</f>
        <v>-0.0667973885586507</v>
      </c>
      <c r="AY198" s="34" t="n">
        <f aca="false">IFERROR(AY95/AS95-1,"")</f>
        <v>0.127018544887037</v>
      </c>
      <c r="AZ198" s="34" t="n">
        <f aca="false">IFERROR(AZ95/AT95-1,"")</f>
        <v>-0.0994433623681322</v>
      </c>
      <c r="BA198" s="34" t="n">
        <f aca="false">IFERROR(BA95/AU95-1,"")</f>
        <v>-0.010609782769021</v>
      </c>
      <c r="BB198" s="34" t="n">
        <f aca="false">IFERROR(BB95/AV95-1,"")</f>
        <v>-0.0493015871648789</v>
      </c>
      <c r="BC198" s="34" t="n">
        <f aca="false">IFERROR(BC95/AW95-1,"")</f>
        <v>0.144053058013223</v>
      </c>
      <c r="BD198" s="34" t="n">
        <f aca="false">IFERROR(BD95/AX95-1,"")</f>
        <v>0.154184000915128</v>
      </c>
      <c r="BE198" s="34" t="n">
        <f aca="false">IFERROR(BE95/AY95-1,"")</f>
        <v>0.0444541008508002</v>
      </c>
      <c r="BF198" s="34" t="n">
        <f aca="false">IFERROR(BF95/AZ95-1,"")</f>
        <v>0.2133538270114</v>
      </c>
      <c r="BG198" s="34" t="n">
        <f aca="false">IFERROR(BG95/BA95-1,"")</f>
        <v>0.0187919290579617</v>
      </c>
      <c r="BH198" s="34" t="n">
        <f aca="false">IFERROR(BH95/BB95-1,"")</f>
        <v>0.0990646303440257</v>
      </c>
      <c r="BI198" s="34" t="n">
        <f aca="false">IFERROR(BI95/BC95-1,"")</f>
        <v>-0.00561014894040579</v>
      </c>
      <c r="BJ198" s="34" t="n">
        <f aca="false">IFERROR(BJ95/BD95-1,"")</f>
        <v>-0.0627000127799527</v>
      </c>
      <c r="BK198" s="34" t="n">
        <f aca="false">IFERROR(BK95/BE95-1,"")</f>
        <v>0.0288333357535977</v>
      </c>
      <c r="BL198" s="34" t="n">
        <f aca="false">IFERROR(BL95/BF95-1,"")</f>
        <v>0.188101521617831</v>
      </c>
      <c r="BM198" s="34" t="n">
        <f aca="false">IFERROR(BM95/BG95-1,"")</f>
        <v>0.222486571584995</v>
      </c>
      <c r="BN198" s="34" t="n">
        <f aca="false">IFERROR(BN95/BH95-1,"")</f>
        <v>0.206824688562966</v>
      </c>
      <c r="BO198" s="34" t="n">
        <f aca="false">IFERROR(BO95/BI95-1,"")</f>
        <v>0.248108783615727</v>
      </c>
      <c r="BP198" s="34" t="n">
        <f aca="false">IFERROR(BP95/BJ95-1,"")</f>
        <v>0.235098351851697</v>
      </c>
      <c r="BQ198" s="34" t="n">
        <f aca="false">IFERROR(BQ95/BK95-1,"")</f>
        <v>0.223601612171315</v>
      </c>
      <c r="BR198" s="34" t="n">
        <f aca="false">IFERROR(BR95/BL95-1,"")</f>
        <v>0.300768428187378</v>
      </c>
      <c r="BS198" s="34" t="n">
        <f aca="false">IFERROR(BS95/BM95-1,"")</f>
        <v>1.28358091904587</v>
      </c>
      <c r="BT198" s="34" t="n">
        <f aca="false">IFERROR(BT95/BN95-1,"")</f>
        <v>0.842869453263469</v>
      </c>
      <c r="BU198" s="34" t="n">
        <f aca="false">IFERROR(BU95/BO95-1,"")</f>
        <v>1.47837678229023</v>
      </c>
      <c r="BV198" s="34" t="n">
        <f aca="false">IFERROR(BV95/BP95-1,"")</f>
        <v>1.34510353466513</v>
      </c>
      <c r="BW198" s="34" t="n">
        <f aca="false">IFERROR(BW95/BQ95-1,"")</f>
        <v>1.12226497974401</v>
      </c>
      <c r="BX198" s="34" t="n">
        <f aca="false">IFERROR(BX95/BR95-1,"")</f>
        <v>1.07786885245902</v>
      </c>
      <c r="BY198" s="34" t="n">
        <f aca="false">IFERROR(BY95/BS95-1,"")</f>
        <v>-0.00939900587437881</v>
      </c>
      <c r="BZ198" s="34" t="n">
        <f aca="false">IFERROR(BZ95/BT95-1,"")</f>
        <v>0.334733460992032</v>
      </c>
      <c r="CA198" s="34" t="n">
        <f aca="false">IFERROR(CA95/BU95-1,"")</f>
        <v>-0.0372622082761326</v>
      </c>
      <c r="CB198" s="34" t="n">
        <f aca="false">IFERROR(CB95/BV95-1,"")</f>
        <v>0.0967432029974058</v>
      </c>
      <c r="CC198" s="34" t="n">
        <f aca="false">IFERROR(CC95/BW95-1,"")</f>
        <v>0.164311338188934</v>
      </c>
      <c r="CD198" s="34" t="n">
        <f aca="false">IFERROR(CD95/BX95-1,"")</f>
        <v>0.0412322720015026</v>
      </c>
      <c r="CE198" s="34" t="n">
        <f aca="false">IFERROR(CE95/BY95-1,"")</f>
        <v>0.0820180640452515</v>
      </c>
      <c r="CF198" s="34" t="n">
        <f aca="false">IFERROR(CF95/BZ95-1,"")</f>
        <v>0.0619215105516475</v>
      </c>
      <c r="CG198" s="34" t="n">
        <f aca="false">IFERROR(CG95/CA95-1,"")</f>
        <v>0.112955795477694</v>
      </c>
      <c r="CH198" s="34" t="n">
        <f aca="false">IFERROR(CH95/CB95-1,"")</f>
        <v>0.0541345480028033</v>
      </c>
      <c r="CI198" s="34" t="n">
        <f aca="false">IFERROR(CI95/CC95-1,"")</f>
        <v>0.0715419448205032</v>
      </c>
      <c r="CJ198" s="34" t="n">
        <f aca="false">IFERROR(CJ95/CD95-1,"")</f>
        <v>0.113656864513801</v>
      </c>
      <c r="CK198" s="34" t="n">
        <f aca="false">IFERROR(CK95/CE95-1,"")</f>
        <v>0.110539629005059</v>
      </c>
      <c r="CL198" s="34" t="n">
        <f aca="false">IFERROR(CL95/CF95-1,"")</f>
        <v>0.112045672448357</v>
      </c>
      <c r="CM198" s="35" t="n">
        <f aca="false">IFERROR(CM95/CG95-1,"")</f>
        <v>0.0624936393747642</v>
      </c>
      <c r="CN198" s="35" t="n">
        <f aca="false">IFERROR(CN95/CH95-1,"")</f>
        <v>0.0747592893430487</v>
      </c>
      <c r="CO198" s="35" t="n">
        <f aca="false">IFERROR(CO95/CI95-1,"")</f>
        <v>0.090476861598499</v>
      </c>
      <c r="CP198" s="35" t="n">
        <f aca="false">IFERROR(CP95/CO95-1,"")</f>
        <v>0.0511358511283926</v>
      </c>
      <c r="CQ198" s="35" t="n">
        <f aca="false">IFERROR(CQ95/CP95-1,"")</f>
        <v>0.0477492393322432</v>
      </c>
      <c r="CR198" s="35" t="n">
        <f aca="false">IFERROR(CR95/CQ95-1,"")</f>
        <v>0.0428974744670037</v>
      </c>
      <c r="CS198" s="35" t="n">
        <f aca="false">IFERROR(CS95/CR95-1,"")</f>
        <v>0.0429046806467039</v>
      </c>
      <c r="CT198" s="23"/>
      <c r="CV198" s="7"/>
      <c r="CW198" s="7"/>
      <c r="CX198" s="7"/>
      <c r="CY198" s="7"/>
    </row>
    <row r="199" customFormat="false" ht="15" hidden="false" customHeight="true" outlineLevel="0" collapsed="false">
      <c r="B199" s="30" t="s">
        <v>365</v>
      </c>
      <c r="C199" s="34" t="n">
        <f aca="false">IFERROR(C198-C200,"")</f>
        <v>0</v>
      </c>
      <c r="D199" s="34" t="n">
        <f aca="false">IFERROR(D198-D200,"")</f>
        <v>0.209608426375859</v>
      </c>
      <c r="E199" s="34" t="n">
        <f aca="false">IFERROR(E198-E200,"")</f>
        <v>0.137579911896533</v>
      </c>
      <c r="F199" s="34" t="n">
        <f aca="false">IFERROR(F198-F200,"")</f>
        <v>0.063111228855357</v>
      </c>
      <c r="G199" s="34" t="n">
        <f aca="false">IFERROR(G198-G200,"")</f>
        <v>-0.0526018594367608</v>
      </c>
      <c r="H199" s="34" t="n">
        <f aca="false">IFERROR(H198-H200,"")</f>
        <v>0.108375376711466</v>
      </c>
      <c r="I199" s="34" t="n">
        <f aca="false">IFERROR(I198-I200,"")</f>
        <v>0.0809772304398647</v>
      </c>
      <c r="J199" s="34"/>
      <c r="K199" s="34"/>
      <c r="L199" s="34"/>
      <c r="M199" s="34"/>
      <c r="N199" s="34"/>
      <c r="O199" s="34" t="n">
        <f aca="false">IFERROR(O198-O200,"")</f>
        <v>0.0672397849094086</v>
      </c>
      <c r="P199" s="34"/>
      <c r="Q199" s="34"/>
      <c r="R199" s="34"/>
      <c r="S199" s="34"/>
      <c r="T199" s="34"/>
      <c r="U199" s="34" t="n">
        <f aca="false">IFERROR(U198-U200,"")</f>
        <v>0.0292980575648851</v>
      </c>
      <c r="V199" s="34"/>
      <c r="W199" s="34"/>
      <c r="X199" s="34"/>
      <c r="Y199" s="34"/>
      <c r="Z199" s="34"/>
      <c r="AA199" s="34" t="n">
        <f aca="false">IFERROR(AA198-AA200,"")</f>
        <v>0.0722889562811657</v>
      </c>
      <c r="AB199" s="34"/>
      <c r="AC199" s="34"/>
      <c r="AD199" s="34"/>
      <c r="AE199" s="34"/>
      <c r="AF199" s="34"/>
      <c r="AG199" s="34" t="n">
        <f aca="false">IFERROR(AG198-AG200,"")</f>
        <v>0.0979307002665375</v>
      </c>
      <c r="AH199" s="34"/>
      <c r="AI199" s="34"/>
      <c r="AJ199" s="34"/>
      <c r="AK199" s="34"/>
      <c r="AL199" s="34"/>
      <c r="AM199" s="34" t="n">
        <f aca="false">IFERROR(AM198-AM200,"")</f>
        <v>0.714688512433902</v>
      </c>
      <c r="AN199" s="34"/>
      <c r="AO199" s="34"/>
      <c r="AP199" s="34"/>
      <c r="AQ199" s="34"/>
      <c r="AR199" s="34"/>
      <c r="AS199" s="34" t="n">
        <f aca="false">IFERROR(AS198-AS200,"")</f>
        <v>0.204733157535439</v>
      </c>
      <c r="AT199" s="34"/>
      <c r="AU199" s="34"/>
      <c r="AV199" s="34"/>
      <c r="AW199" s="34"/>
      <c r="AX199" s="34"/>
      <c r="AY199" s="34" t="n">
        <f aca="false">IFERROR(AY198-AY200,"")</f>
        <v>0.127018544887037</v>
      </c>
      <c r="AZ199" s="34"/>
      <c r="BA199" s="34"/>
      <c r="BB199" s="34"/>
      <c r="BC199" s="34"/>
      <c r="BD199" s="34"/>
      <c r="BE199" s="34" t="n">
        <f aca="false">IFERROR(BE198-BE200,"")</f>
        <v>0.0444541008508002</v>
      </c>
      <c r="BF199" s="34"/>
      <c r="BG199" s="34"/>
      <c r="BH199" s="34"/>
      <c r="BI199" s="34"/>
      <c r="BJ199" s="34"/>
      <c r="BK199" s="34" t="n">
        <f aca="false">IFERROR(BK198-BK200,"")</f>
        <v>0.00755921176829354</v>
      </c>
      <c r="BL199" s="34"/>
      <c r="BM199" s="34"/>
      <c r="BN199" s="34"/>
      <c r="BO199" s="34"/>
      <c r="BP199" s="34"/>
      <c r="BQ199" s="34" t="n">
        <f aca="false">IFERROR(BQ198-BQ200,"")</f>
        <v>0.223601612171315</v>
      </c>
      <c r="BR199" s="34"/>
      <c r="BS199" s="34"/>
      <c r="BT199" s="34"/>
      <c r="BU199" s="34"/>
      <c r="BV199" s="34"/>
      <c r="BW199" s="34" t="n">
        <f aca="false">IFERROR(BW198-BW200,"")</f>
        <v>0.108946319315633</v>
      </c>
      <c r="BX199" s="34"/>
      <c r="BY199" s="34"/>
      <c r="BZ199" s="34"/>
      <c r="CA199" s="34"/>
      <c r="CB199" s="34"/>
      <c r="CC199" s="34" t="n">
        <f aca="false">IFERROR(CC198-CC200,"")</f>
        <v>0.164311338188934</v>
      </c>
      <c r="CD199" s="34"/>
      <c r="CE199" s="34"/>
      <c r="CF199" s="34"/>
      <c r="CG199" s="34"/>
      <c r="CH199" s="34"/>
      <c r="CI199" s="34" t="n">
        <f aca="false">IFERROR(CI198-CI200,"")</f>
        <v>0.0715419448205032</v>
      </c>
      <c r="CJ199" s="34"/>
      <c r="CK199" s="34"/>
      <c r="CL199" s="34"/>
      <c r="CM199" s="35"/>
      <c r="CN199" s="35"/>
      <c r="CO199" s="35" t="n">
        <f aca="false">IFERROR(CO198-CO200,"")</f>
        <v>0.0643370572113685</v>
      </c>
      <c r="CP199" s="35" t="n">
        <f aca="false">IFERROR(CP198-CP200,"")</f>
        <v>0.0511358511283926</v>
      </c>
      <c r="CQ199" s="35" t="n">
        <f aca="false">IFERROR(CQ198-CQ200,"")</f>
        <v>0.0477492393322432</v>
      </c>
      <c r="CR199" s="35" t="n">
        <f aca="false">IFERROR(CR198-CR200,"")</f>
        <v>0.0428974744670037</v>
      </c>
      <c r="CS199" s="35" t="n">
        <f aca="false">IFERROR(CS198-CS200,"")</f>
        <v>0.0429046806467039</v>
      </c>
      <c r="CT199" s="23" t="s">
        <v>366</v>
      </c>
      <c r="CV199" s="7"/>
      <c r="CW199" s="7"/>
      <c r="CX199" s="7"/>
      <c r="CY199" s="7"/>
    </row>
    <row r="200" customFormat="false" ht="15" hidden="false" customHeight="true" outlineLevel="0" collapsed="false">
      <c r="B200" s="30" t="s">
        <v>367</v>
      </c>
      <c r="C200" s="34"/>
      <c r="D200" s="34" t="n">
        <f aca="false">IFERROR(D201/C95,0)</f>
        <v>0</v>
      </c>
      <c r="E200" s="34" t="n">
        <f aca="false">IFERROR(E201/D95,0)</f>
        <v>0</v>
      </c>
      <c r="F200" s="34" t="n">
        <f aca="false">IFERROR(F201/E95,0)</f>
        <v>0</v>
      </c>
      <c r="G200" s="34" t="n">
        <f aca="false">IFERROR(G201/F95,0)</f>
        <v>0</v>
      </c>
      <c r="H200" s="34" t="n">
        <f aca="false">IFERROR(H201/G95,0)</f>
        <v>0</v>
      </c>
      <c r="I200" s="34" t="n">
        <f aca="false">IFERROR(I201/H95,0)</f>
        <v>0.0246933216190902</v>
      </c>
      <c r="J200" s="34"/>
      <c r="K200" s="34"/>
      <c r="L200" s="34"/>
      <c r="M200" s="34"/>
      <c r="N200" s="34"/>
      <c r="O200" s="34" t="n">
        <f aca="false">IFERROR(O201/I95,0)</f>
        <v>0</v>
      </c>
      <c r="P200" s="34"/>
      <c r="Q200" s="34"/>
      <c r="R200" s="34"/>
      <c r="S200" s="34"/>
      <c r="T200" s="34"/>
      <c r="U200" s="34" t="n">
        <f aca="false">IFERROR(U201/O95,0)</f>
        <v>0</v>
      </c>
      <c r="V200" s="34"/>
      <c r="W200" s="34"/>
      <c r="X200" s="34"/>
      <c r="Y200" s="34"/>
      <c r="Z200" s="34"/>
      <c r="AA200" s="34" t="n">
        <f aca="false">IFERROR(AA201/U95,0)</f>
        <v>0</v>
      </c>
      <c r="AB200" s="34"/>
      <c r="AC200" s="34"/>
      <c r="AD200" s="34"/>
      <c r="AE200" s="34"/>
      <c r="AF200" s="34"/>
      <c r="AG200" s="34" t="n">
        <f aca="false">IFERROR(AG201/AA95,0)</f>
        <v>0</v>
      </c>
      <c r="AH200" s="34"/>
      <c r="AI200" s="34"/>
      <c r="AJ200" s="34"/>
      <c r="AK200" s="34"/>
      <c r="AL200" s="34"/>
      <c r="AM200" s="34" t="n">
        <f aca="false">IFERROR(AM201/AG95,0)</f>
        <v>0</v>
      </c>
      <c r="AN200" s="34"/>
      <c r="AO200" s="34"/>
      <c r="AP200" s="34"/>
      <c r="AQ200" s="34"/>
      <c r="AR200" s="34"/>
      <c r="AS200" s="34" t="n">
        <f aca="false">IFERROR(AS201/AM95,0)</f>
        <v>0</v>
      </c>
      <c r="AT200" s="34"/>
      <c r="AU200" s="34"/>
      <c r="AV200" s="34"/>
      <c r="AW200" s="34"/>
      <c r="AX200" s="34"/>
      <c r="AY200" s="34" t="n">
        <f aca="false">IFERROR(AY201/AS95,0)</f>
        <v>0</v>
      </c>
      <c r="AZ200" s="34"/>
      <c r="BA200" s="34"/>
      <c r="BB200" s="34"/>
      <c r="BC200" s="34"/>
      <c r="BD200" s="34"/>
      <c r="BE200" s="34" t="n">
        <f aca="false">IFERROR(BE201/AY95,0)</f>
        <v>0</v>
      </c>
      <c r="BF200" s="34"/>
      <c r="BG200" s="34"/>
      <c r="BH200" s="34"/>
      <c r="BI200" s="34"/>
      <c r="BJ200" s="34"/>
      <c r="BK200" s="34" t="n">
        <f aca="false">IFERROR(BK201/BE95,0)</f>
        <v>0.0212741239853042</v>
      </c>
      <c r="BL200" s="34"/>
      <c r="BM200" s="34"/>
      <c r="BN200" s="34"/>
      <c r="BO200" s="34"/>
      <c r="BP200" s="34"/>
      <c r="BQ200" s="34" t="n">
        <f aca="false">IFERROR(BQ201/BK95,0)</f>
        <v>0</v>
      </c>
      <c r="BR200" s="34"/>
      <c r="BS200" s="34"/>
      <c r="BT200" s="34"/>
      <c r="BU200" s="34"/>
      <c r="BV200" s="34"/>
      <c r="BW200" s="34" t="n">
        <f aca="false">IFERROR(BW201/BQ95,0)</f>
        <v>1.01331866042838</v>
      </c>
      <c r="BX200" s="34"/>
      <c r="BY200" s="34"/>
      <c r="BZ200" s="34"/>
      <c r="CA200" s="34"/>
      <c r="CB200" s="34"/>
      <c r="CC200" s="34" t="n">
        <f aca="false">IFERROR(CC201/BW95,0)</f>
        <v>0</v>
      </c>
      <c r="CD200" s="34"/>
      <c r="CE200" s="34"/>
      <c r="CF200" s="34"/>
      <c r="CG200" s="34"/>
      <c r="CH200" s="34"/>
      <c r="CI200" s="34" t="n">
        <f aca="false">IFERROR(CI201/CC95,0)</f>
        <v>0</v>
      </c>
      <c r="CJ200" s="34"/>
      <c r="CK200" s="34"/>
      <c r="CL200" s="34"/>
      <c r="CM200" s="35"/>
      <c r="CN200" s="35"/>
      <c r="CO200" s="35" t="n">
        <f aca="false">IFERROR(CO201/CI95,0)</f>
        <v>0.0261398043871305</v>
      </c>
      <c r="CP200" s="35"/>
      <c r="CQ200" s="35"/>
      <c r="CR200" s="35"/>
      <c r="CS200" s="35"/>
      <c r="CT200" s="23"/>
      <c r="CV200" s="7"/>
      <c r="CW200" s="7"/>
      <c r="CX200" s="7"/>
      <c r="CY200" s="7"/>
    </row>
    <row r="201" customFormat="false" ht="15" hidden="false" customHeight="true" outlineLevel="0" collapsed="false">
      <c r="B201" s="39" t="s">
        <v>368</v>
      </c>
      <c r="C201" s="31"/>
      <c r="D201" s="31"/>
      <c r="E201" s="31"/>
      <c r="F201" s="31"/>
      <c r="G201" s="31"/>
      <c r="H201" s="31"/>
      <c r="I201" s="40" t="n">
        <v>9.781</v>
      </c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40" t="n">
        <v>29.3</v>
      </c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40" t="n">
        <v>1756.9</v>
      </c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2"/>
      <c r="CN201" s="32"/>
      <c r="CO201" s="49" t="n">
        <v>120</v>
      </c>
      <c r="CP201" s="32"/>
      <c r="CQ201" s="32"/>
      <c r="CR201" s="32"/>
      <c r="CS201" s="32"/>
      <c r="CT201" s="23" t="s">
        <v>369</v>
      </c>
      <c r="CV201" s="7"/>
      <c r="CW201" s="7"/>
      <c r="CX201" s="7"/>
      <c r="CY201" s="7"/>
    </row>
    <row r="202" customFormat="false" ht="15" hidden="false" customHeight="true" outlineLevel="0" collapsed="false">
      <c r="B202" s="30" t="s">
        <v>370</v>
      </c>
      <c r="C202" s="34"/>
      <c r="D202" s="34" t="n">
        <f aca="false">IFERROR(D93/C93-1,"")</f>
        <v>0.209608426375859</v>
      </c>
      <c r="E202" s="34" t="n">
        <f aca="false">IFERROR(E93/D93-1,"")</f>
        <v>0.137579911896533</v>
      </c>
      <c r="F202" s="34" t="n">
        <f aca="false">IFERROR(F93/E93-1,"")</f>
        <v>0.063111228855357</v>
      </c>
      <c r="G202" s="34" t="n">
        <f aca="false">IFERROR(G93/F93-1,"")</f>
        <v>-0.0526018594367608</v>
      </c>
      <c r="H202" s="34" t="n">
        <f aca="false">IFERROR(H93/G93-1,"")</f>
        <v>0.108375376711466</v>
      </c>
      <c r="I202" s="34" t="n">
        <f aca="false">IFERROR(I93/H93-1,"")</f>
        <v>0.105670552058955</v>
      </c>
      <c r="J202" s="34"/>
      <c r="K202" s="34"/>
      <c r="L202" s="34"/>
      <c r="M202" s="34"/>
      <c r="N202" s="34"/>
      <c r="O202" s="34" t="n">
        <f aca="false">IFERROR(O93/I93-1,"")</f>
        <v>0.0672397849094086</v>
      </c>
      <c r="P202" s="34" t="n">
        <f aca="false">IFERROR(P93/J93-1,"")</f>
        <v>-0.0340002743537989</v>
      </c>
      <c r="Q202" s="34" t="n">
        <f aca="false">IFERROR(Q93/K93-1,"")</f>
        <v>0.105305403594084</v>
      </c>
      <c r="R202" s="34" t="n">
        <f aca="false">IFERROR(R93/L93-1,"")</f>
        <v>0.0435931938536331</v>
      </c>
      <c r="S202" s="34" t="n">
        <f aca="false">IFERROR(S93/M93-1,"")</f>
        <v>-0.0338657844990548</v>
      </c>
      <c r="T202" s="34" t="n">
        <f aca="false">IFERROR(T93/N93-1,"")</f>
        <v>0.0551275309968526</v>
      </c>
      <c r="U202" s="34" t="n">
        <f aca="false">IFERROR(U93/O93-1,"")</f>
        <v>0.0292980575648851</v>
      </c>
      <c r="V202" s="34" t="n">
        <f aca="false">IFERROR(V93/P93-1,"")</f>
        <v>0.172739075749584</v>
      </c>
      <c r="W202" s="34" t="n">
        <f aca="false">IFERROR(W93/Q93-1,"")</f>
        <v>0.0961821835231078</v>
      </c>
      <c r="X202" s="34" t="n">
        <f aca="false">IFERROR(X93/R93-1,"")</f>
        <v>0.12757514880024</v>
      </c>
      <c r="Y202" s="34" t="n">
        <f aca="false">IFERROR(Y93/S93-1,"")</f>
        <v>0.0694698533512037</v>
      </c>
      <c r="Z202" s="34" t="n">
        <f aca="false">IFERROR(Z93/T93-1,"")</f>
        <v>-0.021631264580339</v>
      </c>
      <c r="AA202" s="34" t="n">
        <f aca="false">IFERROR(AA93/U93-1,"")</f>
        <v>0.0722889562811657</v>
      </c>
      <c r="AB202" s="34" t="n">
        <f aca="false">IFERROR(AB93/V93-1,"")</f>
        <v>0.141215035721082</v>
      </c>
      <c r="AC202" s="34" t="n">
        <f aca="false">IFERROR(AC93/W93-1,"")</f>
        <v>0.0214050952874059</v>
      </c>
      <c r="AD202" s="34" t="n">
        <f aca="false">IFERROR(AD93/X93-1,"")</f>
        <v>0.0725022593555764</v>
      </c>
      <c r="AE202" s="34" t="n">
        <f aca="false">IFERROR(AE93/Y93-1,"")</f>
        <v>0.178909237271081</v>
      </c>
      <c r="AF202" s="34" t="n">
        <f aca="false">IFERROR(AF93/Z93-1,"")</f>
        <v>0.083469902998627</v>
      </c>
      <c r="AG202" s="34" t="n">
        <f aca="false">IFERROR(AG93/AA93-1,"")</f>
        <v>0.0979307002665375</v>
      </c>
      <c r="AH202" s="34" t="n">
        <f aca="false">IFERROR(AH93/AB93-1,"")</f>
        <v>-0.0649209898063586</v>
      </c>
      <c r="AI202" s="34" t="n">
        <f aca="false">IFERROR(AI93/AC93-1,"")</f>
        <v>0.0878057995655048</v>
      </c>
      <c r="AJ202" s="34" t="n">
        <f aca="false">IFERROR(AJ93/AD93-1,"")</f>
        <v>0.0184969905417025</v>
      </c>
      <c r="AK202" s="34" t="n">
        <f aca="false">IFERROR(AK93/AE93-1,"")</f>
        <v>0.132390825289425</v>
      </c>
      <c r="AL202" s="34" t="n">
        <f aca="false">IFERROR(AL93/AF93-1,"")</f>
        <v>0.242435391669903</v>
      </c>
      <c r="AM202" s="34" t="n">
        <f aca="false">IFERROR(AM93/AG93-1,"")</f>
        <v>0.102440876067056</v>
      </c>
      <c r="AN202" s="34" t="n">
        <f aca="false">IFERROR(AN93/AH93-1,"")</f>
        <v>0.426628518629588</v>
      </c>
      <c r="AO202" s="34" t="n">
        <f aca="false">IFERROR(AO93/AI93-1,"")</f>
        <v>0.240794447435296</v>
      </c>
      <c r="AP202" s="34" t="n">
        <f aca="false">IFERROR(AP93/AJ93-1,"")</f>
        <v>0.31822049924357</v>
      </c>
      <c r="AQ202" s="34" t="n">
        <f aca="false">IFERROR(AQ93/AK93-1,"")</f>
        <v>0.10577094382546</v>
      </c>
      <c r="AR202" s="34" t="n">
        <f aca="false">IFERROR(AR93/AL93-1,"")</f>
        <v>0.084606061935498</v>
      </c>
      <c r="AS202" s="34" t="n">
        <f aca="false">IFERROR(AS93/AM93-1,"")</f>
        <v>0.20034368058525</v>
      </c>
      <c r="AT202" s="34" t="n">
        <f aca="false">IFERROR(AT93/AN93-1,"")</f>
        <v>-0.0207026633942368</v>
      </c>
      <c r="AU202" s="34" t="n">
        <f aca="false">IFERROR(AU93/AO93-1,"")</f>
        <v>0.0945200750188946</v>
      </c>
      <c r="AV202" s="34" t="n">
        <f aca="false">IFERROR(AV93/AP93-1,"")</f>
        <v>0.0425656185796774</v>
      </c>
      <c r="AW202" s="34" t="n">
        <f aca="false">IFERROR(AW93/AQ93-1,"")</f>
        <v>0.106603294210963</v>
      </c>
      <c r="AX202" s="34" t="n">
        <f aca="false">IFERROR(AX93/AR93-1,"")</f>
        <v>0.104611713073683</v>
      </c>
      <c r="AY202" s="34" t="n">
        <f aca="false">IFERROR(AY93/AS93-1,"")</f>
        <v>0.0727256959500477</v>
      </c>
      <c r="AZ202" s="34" t="n">
        <f aca="false">IFERROR(AZ93/AT93-1,"")</f>
        <v>0.0623709187106953</v>
      </c>
      <c r="BA202" s="34" t="n">
        <f aca="false">IFERROR(BA93/AU93-1,"")</f>
        <v>-0.00199057142613568</v>
      </c>
      <c r="BB202" s="34" t="n">
        <f aca="false">IFERROR(BB93/AV93-1,"")</f>
        <v>0.02526917916939</v>
      </c>
      <c r="BC202" s="34" t="n">
        <f aca="false">IFERROR(BC93/AW93-1,"")</f>
        <v>0.246963494738964</v>
      </c>
      <c r="BD202" s="34" t="n">
        <f aca="false">IFERROR(BD93/AX93-1,"")</f>
        <v>0.0603563892360015</v>
      </c>
      <c r="BE202" s="34" t="n">
        <f aca="false">IFERROR(BE93/AY93-1,"")</f>
        <v>0.0840422673950032</v>
      </c>
      <c r="BF202" s="34" t="n">
        <f aca="false">IFERROR(BF93/AZ93-1,"")</f>
        <v>0.125090785974454</v>
      </c>
      <c r="BG202" s="34" t="n">
        <f aca="false">IFERROR(BG93/BA93-1,"")</f>
        <v>0.0794784294799242</v>
      </c>
      <c r="BH202" s="34" t="n">
        <f aca="false">IFERROR(BH93/BB93-1,"")</f>
        <v>0.0994962397726129</v>
      </c>
      <c r="BI202" s="34" t="n">
        <f aca="false">IFERROR(BI93/BC93-1,"")</f>
        <v>-0.0381086676336789</v>
      </c>
      <c r="BJ202" s="34" t="n">
        <f aca="false">IFERROR(BJ93/BD93-1,"")</f>
        <v>0.0566920636291037</v>
      </c>
      <c r="BK202" s="34" t="n">
        <f aca="false">IFERROR(BK93/BE93-1,"")</f>
        <v>0.0529637584385427</v>
      </c>
      <c r="BL202" s="34" t="n">
        <f aca="false">IFERROR(BL93/BF93-1,"")</f>
        <v>0.188472552540892</v>
      </c>
      <c r="BM202" s="34" t="n">
        <f aca="false">IFERROR(BM93/BG93-1,"")</f>
        <v>0.133548039944925</v>
      </c>
      <c r="BN202" s="34" t="n">
        <f aca="false">IFERROR(BN93/BH93-1,"")</f>
        <v>0.158213776597832</v>
      </c>
      <c r="BO202" s="34" t="n">
        <f aca="false">IFERROR(BO93/BI93-1,"")</f>
        <v>0.15174632224209</v>
      </c>
      <c r="BP202" s="34" t="n">
        <f aca="false">IFERROR(BP93/BJ93-1,"")</f>
        <v>0.113302122653071</v>
      </c>
      <c r="BQ202" s="34" t="n">
        <f aca="false">IFERROR(BQ93/BK93-1,"")</f>
        <v>0.144726447792939</v>
      </c>
      <c r="BR202" s="34" t="n">
        <f aca="false">IFERROR(BR93/BL93-1,"")</f>
        <v>0.403245106407309</v>
      </c>
      <c r="BS202" s="34" t="n">
        <f aca="false">IFERROR(BS93/BM93-1,"")</f>
        <v>1.81359292430768</v>
      </c>
      <c r="BT202" s="34" t="n">
        <f aca="false">IFERROR(BT93/BN93-1,"")</f>
        <v>1.16368094880524</v>
      </c>
      <c r="BU202" s="34" t="n">
        <f aca="false">IFERROR(BU93/BO93-1,"")</f>
        <v>2.136654019522</v>
      </c>
      <c r="BV202" s="34" t="n">
        <f aca="false">IFERROR(BV93/BP93-1,"")</f>
        <v>1.96892372386918</v>
      </c>
      <c r="BW202" s="34" t="n">
        <f aca="false">IFERROR(BW93/BQ93-1,"")</f>
        <v>1.60093681317897</v>
      </c>
      <c r="BX202" s="34" t="n">
        <f aca="false">IFERROR(BX93/BR93-1,"")</f>
        <v>1.47118742724098</v>
      </c>
      <c r="BY202" s="34" t="n">
        <f aca="false">IFERROR(BY93/BS93-1,"")</f>
        <v>0.0657486664185585</v>
      </c>
      <c r="BZ202" s="34" t="n">
        <f aca="false">IFERROR(BZ93/BT93-1,"")</f>
        <v>0.485778898843176</v>
      </c>
      <c r="CA202" s="34" t="n">
        <f aca="false">IFERROR(CA93/BU93-1,"")</f>
        <v>0.0078831739467562</v>
      </c>
      <c r="CB202" s="34" t="n">
        <f aca="false">IFERROR(CB93/BV93-1,"")</f>
        <v>0.0820664936349029</v>
      </c>
      <c r="CC202" s="34" t="n">
        <f aca="false">IFERROR(CC93/BW93-1,"")</f>
        <v>0.23096065873742</v>
      </c>
      <c r="CD202" s="34" t="n">
        <f aca="false">IFERROR(CD93/BX93-1,"")</f>
        <v>0.0040042397833</v>
      </c>
      <c r="CE202" s="34" t="n">
        <f aca="false">IFERROR(CE93/BY93-1,"")</f>
        <v>0.0327086485857293</v>
      </c>
      <c r="CF202" s="34" t="n">
        <f aca="false">IFERROR(CF93/BZ93-1,"")</f>
        <v>0.0184404636459432</v>
      </c>
      <c r="CG202" s="34" t="n">
        <f aca="false">IFERROR(CG93/CA93-1,"")</f>
        <v>0.0834722400307733</v>
      </c>
      <c r="CH202" s="34" t="n">
        <f aca="false">IFERROR(CH93/CB93-1,"")</f>
        <v>0.0479725870930896</v>
      </c>
      <c r="CI202" s="34" t="n">
        <f aca="false">IFERROR(CI93/CC93-1,"")</f>
        <v>0.0412058508740636</v>
      </c>
      <c r="CJ202" s="34" t="n">
        <f aca="false">IFERROR(CJ93/CD93-1,"")</f>
        <v>0.0530205278592375</v>
      </c>
      <c r="CK202" s="34" t="n">
        <f aca="false">IFERROR(CK93/CE93-1,"")</f>
        <v>0.052073940486925</v>
      </c>
      <c r="CL202" s="34" t="n">
        <f aca="false">IFERROR(CL93/CF93-1,"")</f>
        <v>0.0525377938725067</v>
      </c>
      <c r="CM202" s="35" t="n">
        <f aca="false">IFERROR(CM93/CG93-1,"")</f>
        <v>0.00867145341870002</v>
      </c>
      <c r="CN202" s="35" t="n">
        <f aca="false">IFERROR(CN93/CH93-1,"")</f>
        <v>0.0213676485485337</v>
      </c>
      <c r="CO202" s="35" t="n">
        <f aca="false">IFERROR(CO93/CI93-1,"")</f>
        <v>0.0337879606196339</v>
      </c>
      <c r="CP202" s="35" t="n">
        <f aca="false">IFERROR(CP93/CO93-1,"")</f>
        <v>0.0381348416917922</v>
      </c>
      <c r="CQ202" s="35" t="n">
        <f aca="false">IFERROR(CQ93/CP93-1,"")</f>
        <v>0.0477492393322432</v>
      </c>
      <c r="CR202" s="35" t="n">
        <f aca="false">IFERROR(CR93/CQ93-1,"")</f>
        <v>0.0428974744670037</v>
      </c>
      <c r="CS202" s="35" t="n">
        <f aca="false">IFERROR(CS93/CR93-1,"")</f>
        <v>0.0429046806467039</v>
      </c>
      <c r="CT202" s="23"/>
      <c r="CV202" s="7"/>
      <c r="CW202" s="7"/>
      <c r="CX202" s="7"/>
      <c r="CY202" s="7"/>
    </row>
    <row r="203" customFormat="false" ht="15" hidden="false" customHeight="true" outlineLevel="0" collapsed="false">
      <c r="B203" s="30" t="s">
        <v>201</v>
      </c>
      <c r="C203" s="34"/>
      <c r="D203" s="34" t="n">
        <f aca="false">IFERROR(D80/C80-1,"")</f>
        <v>0.23165437883277</v>
      </c>
      <c r="E203" s="34" t="n">
        <f aca="false">IFERROR(E80/D80-1,"")</f>
        <v>0.278025974025974</v>
      </c>
      <c r="F203" s="34" t="n">
        <f aca="false">IFERROR(F80/E80-1,"")</f>
        <v>0.00947390143390514</v>
      </c>
      <c r="G203" s="34" t="n">
        <f aca="false">IFERROR(G80/F80-1,"")</f>
        <v>-0.186312163936863</v>
      </c>
      <c r="H203" s="34" t="n">
        <f aca="false">IFERROR(H80/G80-1,"")</f>
        <v>0.169666240331323</v>
      </c>
      <c r="I203" s="34" t="n">
        <f aca="false">IFERROR(I80/H80-1,"")</f>
        <v>0.0257423293716397</v>
      </c>
      <c r="J203" s="34"/>
      <c r="K203" s="34"/>
      <c r="L203" s="34"/>
      <c r="M203" s="34"/>
      <c r="N203" s="34"/>
      <c r="O203" s="34" t="n">
        <f aca="false">IFERROR(O80/I80-1,"")</f>
        <v>0.110455413628778</v>
      </c>
      <c r="P203" s="34" t="n">
        <f aca="false">IFERROR(P80/J80-1,"")</f>
        <v>-0.0472842052628297</v>
      </c>
      <c r="Q203" s="34" t="n">
        <f aca="false">IFERROR(Q80/K80-1,"")</f>
        <v>0.190713038908388</v>
      </c>
      <c r="R203" s="34" t="n">
        <f aca="false">IFERROR(R80/L80-1,"")</f>
        <v>0.101410696905379</v>
      </c>
      <c r="S203" s="34" t="n">
        <f aca="false">IFERROR(S80/M80-1,"")</f>
        <v>-0.254590386097308</v>
      </c>
      <c r="T203" s="34" t="n">
        <f aca="false">IFERROR(T80/N80-1,"")</f>
        <v>-0.0667018355029405</v>
      </c>
      <c r="U203" s="34" t="n">
        <f aca="false">IFERROR(U80/O80-1,"")</f>
        <v>0.0445714285714287</v>
      </c>
      <c r="V203" s="34" t="n">
        <f aca="false">IFERROR(V80/P80-1,"")</f>
        <v>0.462391340003281</v>
      </c>
      <c r="W203" s="34" t="n">
        <f aca="false">IFERROR(W80/Q80-1,"")</f>
        <v>0.176781210592686</v>
      </c>
      <c r="X203" s="34" t="n">
        <f aca="false">IFERROR(X80/R80-1,"")</f>
        <v>0.269480968858132</v>
      </c>
      <c r="Y203" s="34" t="n">
        <f aca="false">IFERROR(Y80/S80-1,"")</f>
        <v>0.415977470412092</v>
      </c>
      <c r="Z203" s="34" t="n">
        <f aca="false">IFERROR(Z80/T80-1,"")</f>
        <v>-0.111766857294853</v>
      </c>
      <c r="AA203" s="34" t="n">
        <f aca="false">IFERROR(AA80/U80-1,"")</f>
        <v>0.161849015317286</v>
      </c>
      <c r="AB203" s="34" t="n">
        <f aca="false">IFERROR(AB80/V80-1,"")</f>
        <v>0.132119064175321</v>
      </c>
      <c r="AC203" s="34" t="n">
        <f aca="false">IFERROR(AC80/W80-1,"")</f>
        <v>-0.13381555153707</v>
      </c>
      <c r="AD203" s="34" t="n">
        <f aca="false">IFERROR(AD80/X80-1,"")</f>
        <v>-0.0343855882451613</v>
      </c>
      <c r="AE203" s="34" t="n">
        <f aca="false">IFERROR(AE80/Y80-1,"")</f>
        <v>0.0368319025200776</v>
      </c>
      <c r="AF203" s="34" t="n">
        <f aca="false">IFERROR(AF80/Z80-1,"")</f>
        <v>0.00630743603660955</v>
      </c>
      <c r="AG203" s="34" t="n">
        <f aca="false">IFERROR(AG80/AA80-1,"")</f>
        <v>-0.0108293390336462</v>
      </c>
      <c r="AH203" s="34" t="n">
        <f aca="false">IFERROR(AH80/AB80-1,"")</f>
        <v>-0.301301737631511</v>
      </c>
      <c r="AI203" s="34" t="n">
        <f aca="false">IFERROR(AI80/AC80-1,"")</f>
        <v>0.011613701384056</v>
      </c>
      <c r="AJ203" s="34" t="n">
        <f aca="false">IFERROR(AJ80/AD80-1,"")</f>
        <v>-0.125555864369094</v>
      </c>
      <c r="AK203" s="34" t="n">
        <f aca="false">IFERROR(AK80/AE80-1,"")</f>
        <v>-0.226811383061383</v>
      </c>
      <c r="AL203" s="34" t="n">
        <f aca="false">IFERROR(AL80/AF80-1,"")</f>
        <v>0.0973663653610088</v>
      </c>
      <c r="AM203" s="34" t="n">
        <f aca="false">IFERROR(AM80/AG80-1,"")</f>
        <v>-0.0883542930038176</v>
      </c>
      <c r="AN203" s="34" t="n">
        <f aca="false">IFERROR(AN80/AH80-1,"")</f>
        <v>0.406108212341198</v>
      </c>
      <c r="AO203" s="34" t="n">
        <f aca="false">IFERROR(AO80/AI80-1,"")</f>
        <v>0.244267457502752</v>
      </c>
      <c r="AP203" s="34" t="n">
        <f aca="false">IFERROR(AP80/AJ80-1,"")</f>
        <v>0.300953516090584</v>
      </c>
      <c r="AQ203" s="34" t="n">
        <f aca="false">IFERROR(AQ80/AK80-1,"")</f>
        <v>0.597996419935308</v>
      </c>
      <c r="AR203" s="34" t="n">
        <f aca="false">IFERROR(AR80/AL80-1,"")</f>
        <v>0.279063066727683</v>
      </c>
      <c r="AS203" s="34" t="n">
        <f aca="false">IFERROR(AS80/AM80-1,"")</f>
        <v>0.343596624966062</v>
      </c>
      <c r="AT203" s="34" t="n">
        <f aca="false">IFERROR(AT80/AN80-1,"")</f>
        <v>0.0464253302409998</v>
      </c>
      <c r="AU203" s="34" t="n">
        <f aca="false">IFERROR(AU80/AO80-1,"")</f>
        <v>0.175723324528534</v>
      </c>
      <c r="AV203" s="34" t="n">
        <f aca="false">IFERROR(AV80/AP80-1,"")</f>
        <v>0.126775080164911</v>
      </c>
      <c r="AW203" s="34" t="n">
        <f aca="false">IFERROR(AW80/AQ80-1,"")</f>
        <v>0.261295077134716</v>
      </c>
      <c r="AX203" s="34" t="n">
        <f aca="false">IFERROR(AX80/AR80-1,"")</f>
        <v>0.220721914504544</v>
      </c>
      <c r="AY203" s="34" t="n">
        <f aca="false">IFERROR(AY80/AS80-1,"")</f>
        <v>0.223381559159215</v>
      </c>
      <c r="AZ203" s="34" t="n">
        <f aca="false">IFERROR(AZ80/AT80-1,"")</f>
        <v>0.126274403993294</v>
      </c>
      <c r="BA203" s="34" t="n">
        <f aca="false">IFERROR(BA80/AU80-1,"")</f>
        <v>0.173096616439215</v>
      </c>
      <c r="BB203" s="34" t="n">
        <f aca="false">IFERROR(BB80/AV80-1,"")</f>
        <v>0.156635159399668</v>
      </c>
      <c r="BC203" s="34" t="n">
        <f aca="false">IFERROR(BC80/AW80-1,"")</f>
        <v>0.554992910674499</v>
      </c>
      <c r="BD203" s="34" t="n">
        <f aca="false">IFERROR(BD80/AX80-1,"")</f>
        <v>0.126667607437882</v>
      </c>
      <c r="BE203" s="34" t="n">
        <f aca="false">IFERROR(BE80/AY80-1,"")</f>
        <v>0.188940136080352</v>
      </c>
      <c r="BF203" s="34" t="n">
        <f aca="false">IFERROR(BF80/AZ80-1,"")</f>
        <v>0.24750594637143</v>
      </c>
      <c r="BG203" s="34" t="n">
        <f aca="false">IFERROR(BG80/BA80-1,"")</f>
        <v>0.0953742550974051</v>
      </c>
      <c r="BH203" s="34" t="n">
        <f aca="false">IFERROR(BH80/BB80-1,"")</f>
        <v>0.147455800166372</v>
      </c>
      <c r="BI203" s="34" t="n">
        <f aca="false">IFERROR(BI80/BC80-1,"")</f>
        <v>-0.0857105640224046</v>
      </c>
      <c r="BJ203" s="34" t="n">
        <f aca="false">IFERROR(BJ80/BD80-1,"")</f>
        <v>-0.0538577154308617</v>
      </c>
      <c r="BK203" s="34" t="n">
        <f aca="false">IFERROR(BK80/BE80-1,"")</f>
        <v>0.0294660628648527</v>
      </c>
      <c r="BL203" s="34" t="n">
        <f aca="false">IFERROR(BL80/BF80-1,"")</f>
        <v>0.439296050916972</v>
      </c>
      <c r="BM203" s="34" t="n">
        <f aca="false">IFERROR(BM80/BG80-1,"")</f>
        <v>0.107741725624136</v>
      </c>
      <c r="BN203" s="34" t="n">
        <f aca="false">IFERROR(BN80/BH80-1,"")</f>
        <v>0.231144670271043</v>
      </c>
      <c r="BO203" s="34" t="n">
        <f aca="false">IFERROR(BO80/BI80-1,"")</f>
        <v>0.123806810086907</v>
      </c>
      <c r="BP203" s="34" t="n">
        <f aca="false">IFERROR(BP80/BJ80-1,"")</f>
        <v>0.237469705301318</v>
      </c>
      <c r="BQ203" s="34" t="n">
        <f aca="false">IFERROR(BQ80/BK80-1,"")</f>
        <v>0.207334606720578</v>
      </c>
      <c r="BR203" s="34" t="n">
        <f aca="false">IFERROR(BR80/BL80-1,"")</f>
        <v>0.26371165264131</v>
      </c>
      <c r="BS203" s="34" t="n">
        <f aca="false">IFERROR(BS80/BM80-1,"")</f>
        <v>1.25298967104442</v>
      </c>
      <c r="BT203" s="34" t="n">
        <f aca="false">IFERROR(BT80/BN80-1,"")</f>
        <v>0.822532220876806</v>
      </c>
      <c r="BU203" s="34" t="n">
        <f aca="false">IFERROR(BU80/BO80-1,"")</f>
        <v>1.78709627086909</v>
      </c>
      <c r="BV203" s="34" t="n">
        <f aca="false">IFERROR(BV80/BP80-1,"")</f>
        <v>1.53040601701749</v>
      </c>
      <c r="BW203" s="34" t="n">
        <f aca="false">IFERROR(BW80/BQ80-1,"")</f>
        <v>1.22004879464334</v>
      </c>
      <c r="BX203" s="34" t="n">
        <f aca="false">IFERROR(BX80/BR80-1,"")</f>
        <v>1.49622926093514</v>
      </c>
      <c r="BY203" s="34" t="n">
        <f aca="false">IFERROR(BY80/BS80-1,"")</f>
        <v>0.114369501466276</v>
      </c>
      <c r="BZ203" s="34" t="n">
        <f aca="false">IFERROR(BZ80/BT80-1,"")</f>
        <v>0.531285551763367</v>
      </c>
      <c r="CA203" s="34" t="n">
        <f aca="false">IFERROR(CA80/BU80-1,"")</f>
        <v>-0.00734779566130173</v>
      </c>
      <c r="CB203" s="34" t="n">
        <f aca="false">IFERROR(CB80/BV80-1,"")</f>
        <v>0.12520325203252</v>
      </c>
      <c r="CC203" s="34" t="n">
        <f aca="false">IFERROR(CC80/BW80-1,"")</f>
        <v>0.261328427575523</v>
      </c>
      <c r="CD203" s="34" t="n">
        <f aca="false">IFERROR(CD80/BX80-1,"")</f>
        <v>-0.00936555891238677</v>
      </c>
      <c r="CE203" s="34" t="n">
        <f aca="false">IFERROR(CE80/BY80-1,"")</f>
        <v>0.0657894736842106</v>
      </c>
      <c r="CF203" s="34" t="n">
        <f aca="false">IFERROR(CF80/BZ80-1,"")</f>
        <v>0.0288261515601782</v>
      </c>
      <c r="CG203" s="34" t="n">
        <f aca="false">IFERROR(CG80/CA80-1,"")</f>
        <v>0.155093408530137</v>
      </c>
      <c r="CH203" s="34" t="n">
        <f aca="false">IFERROR(CH80/CB80-1,"")</f>
        <v>0.0971098265895956</v>
      </c>
      <c r="CI203" s="34" t="n">
        <f aca="false">IFERROR(CI80/CC80-1,"")</f>
        <v>0.0744607353957165</v>
      </c>
      <c r="CJ203" s="34" t="n">
        <f aca="false">IFERROR(CJ80/CD80-1,"")</f>
        <v>0.106129917657823</v>
      </c>
      <c r="CK203" s="34" t="n">
        <f aca="false">IFERROR(CK80/CE80-1,"")</f>
        <v>0.0622770919067215</v>
      </c>
      <c r="CL203" s="34" t="n">
        <f aca="false">IFERROR(CL80/CF80-1,"")</f>
        <v>0.0830444829578279</v>
      </c>
      <c r="CM203" s="35" t="n">
        <f aca="false">IFERROR(CM80/CG80-1,"")</f>
        <v>0.111632133729122</v>
      </c>
      <c r="CN203" s="35" t="n">
        <f aca="false">IFERROR(CN80/CH80-1,"")</f>
        <v>0.0690678339751503</v>
      </c>
      <c r="CO203" s="35" t="n">
        <f aca="false">IFERROR(CO80/CI80-1,"")</f>
        <v>0.0859469886404229</v>
      </c>
      <c r="CP203" s="35" t="n">
        <f aca="false">IFERROR(CP80/CO80-1,"")</f>
        <v>0.0558700419753302</v>
      </c>
      <c r="CQ203" s="35" t="n">
        <f aca="false">IFERROR(CQ80/CP80-1,"")</f>
        <v>0.0649254563704769</v>
      </c>
      <c r="CR203" s="35" t="n">
        <f aca="false">IFERROR(CR80/CQ80-1,"")</f>
        <v>0.059718401474536</v>
      </c>
      <c r="CS203" s="35" t="n">
        <f aca="false">IFERROR(CS80/CR80-1,"")</f>
        <v>0.0594587231966515</v>
      </c>
      <c r="CT203" s="23"/>
      <c r="CV203" s="7"/>
      <c r="CW203" s="7"/>
      <c r="CX203" s="7"/>
      <c r="CY203" s="7"/>
    </row>
    <row r="204" customFormat="false" ht="15" hidden="false" customHeight="true" outlineLevel="0" collapsed="false">
      <c r="B204" s="30" t="s">
        <v>371</v>
      </c>
      <c r="C204" s="34"/>
      <c r="D204" s="34" t="n">
        <f aca="false">IFERROR(D106/C106-1,"")</f>
        <v>0.180217811183766</v>
      </c>
      <c r="E204" s="34" t="n">
        <f aca="false">IFERROR(E106/D106-1,"")</f>
        <v>0.203903977916892</v>
      </c>
      <c r="F204" s="34" t="n">
        <f aca="false">IFERROR(F106/E106-1,"")</f>
        <v>0.0473067033524957</v>
      </c>
      <c r="G204" s="34" t="n">
        <f aca="false">IFERROR(G106/F106-1,"")</f>
        <v>-0.282497361116541</v>
      </c>
      <c r="H204" s="34" t="n">
        <f aca="false">IFERROR(H106/G106-1,"")</f>
        <v>0.172266114531684</v>
      </c>
      <c r="I204" s="34" t="n">
        <f aca="false">IFERROR(I106/H106-1,"")</f>
        <v>0.0966041664729997</v>
      </c>
      <c r="J204" s="34"/>
      <c r="K204" s="34"/>
      <c r="L204" s="34"/>
      <c r="M204" s="34"/>
      <c r="N204" s="34"/>
      <c r="O204" s="34" t="n">
        <f aca="false">IFERROR(O106/I106-1,"")</f>
        <v>0.160776501504684</v>
      </c>
      <c r="P204" s="34" t="n">
        <f aca="false">IFERROR(P106/J106-1,"")</f>
        <v>-0.176274482567024</v>
      </c>
      <c r="Q204" s="34" t="n">
        <f aca="false">IFERROR(Q106/K106-1,"")</f>
        <v>0.244702502095056</v>
      </c>
      <c r="R204" s="34" t="n">
        <f aca="false">IFERROR(R106/L106-1,"")</f>
        <v>0.101212082951927</v>
      </c>
      <c r="S204" s="34" t="n">
        <f aca="false">IFERROR(S106/M106-1,"")</f>
        <v>-0.433792919069626</v>
      </c>
      <c r="T204" s="34" t="n">
        <f aca="false">IFERROR(T106/N106-1,"")</f>
        <v>-0.128751107922171</v>
      </c>
      <c r="U204" s="34" t="n">
        <f aca="false">IFERROR(U106/O106-1,"")</f>
        <v>-0.0806683658192814</v>
      </c>
      <c r="V204" s="34" t="n">
        <f aca="false">IFERROR(V106/P106-1,"")</f>
        <v>0.675772906127038</v>
      </c>
      <c r="W204" s="34" t="n">
        <f aca="false">IFERROR(W106/Q106-1,"")</f>
        <v>0.216370106761565</v>
      </c>
      <c r="X204" s="34" t="n">
        <f aca="false">IFERROR(X106/R106-1,"")</f>
        <v>0.333500537441778</v>
      </c>
      <c r="Y204" s="34" t="n">
        <f aca="false">IFERROR(Y106/S106-1,"")</f>
        <v>0.977740303541317</v>
      </c>
      <c r="Z204" s="34" t="n">
        <f aca="false">IFERROR(Z106/T106-1,"")</f>
        <v>0.214799564006298</v>
      </c>
      <c r="AA204" s="34" t="n">
        <f aca="false">IFERROR(AA106/U106-1,"")</f>
        <v>0.370441275767566</v>
      </c>
      <c r="AB204" s="34" t="n">
        <f aca="false">IFERROR(AB106/V106-1,"")</f>
        <v>0.291124379444519</v>
      </c>
      <c r="AC204" s="34" t="n">
        <f aca="false">IFERROR(AC106/W106-1,"")</f>
        <v>-0.140179969319817</v>
      </c>
      <c r="AD204" s="34" t="n">
        <f aca="false">IFERROR(AD106/X106-1,"")</f>
        <v>-0.00198828523832606</v>
      </c>
      <c r="AE204" s="34" t="n">
        <f aca="false">IFERROR(AE106/Y106-1,"")</f>
        <v>-0.912482946793997</v>
      </c>
      <c r="AF204" s="34" t="n">
        <f aca="false">IFERROR(AF106/Z106-1,"")</f>
        <v>-0.168005901940063</v>
      </c>
      <c r="AG204" s="34" t="n">
        <f aca="false">IFERROR(AG106/AA106-1,"")</f>
        <v>-0.204993102169049</v>
      </c>
      <c r="AH204" s="34" t="n">
        <f aca="false">IFERROR(AH106/AB106-1,"")</f>
        <v>-0.405913070587929</v>
      </c>
      <c r="AI204" s="34" t="n">
        <f aca="false">IFERROR(AI106/AC106-1,"")</f>
        <v>-0.507164008902131</v>
      </c>
      <c r="AJ204" s="34" t="n">
        <f aca="false">IFERROR(AJ106/AD106-1,"")</f>
        <v>-0.465194917079475</v>
      </c>
      <c r="AK204" s="34" t="n">
        <f aca="false">IFERROR(AK106/AE106-1,"")</f>
        <v>5.91621200311767</v>
      </c>
      <c r="AL204" s="34" t="n">
        <f aca="false">IFERROR(AL106/AF106-1,"")</f>
        <v>0.0210175665636159</v>
      </c>
      <c r="AM204" s="34" t="n">
        <f aca="false">IFERROR(AM106/AG106-1,"")</f>
        <v>-0.197881198369703</v>
      </c>
      <c r="AN204" s="34" t="n">
        <f aca="false">IFERROR(AN106/AH106-1,"")</f>
        <v>0.433550531333361</v>
      </c>
      <c r="AO204" s="34" t="n">
        <f aca="false">IFERROR(AO106/AI106-1,"")</f>
        <v>1.42101138272065</v>
      </c>
      <c r="AP204" s="34" t="n">
        <f aca="false">IFERROR(AP106/AJ106-1,"")</f>
        <v>0.966332407071806</v>
      </c>
      <c r="AQ204" s="34" t="n">
        <f aca="false">IFERROR(AQ106/AK106-1,"")</f>
        <v>0.760353862624668</v>
      </c>
      <c r="AR204" s="34" t="n">
        <f aca="false">IFERROR(AR106/AL106-1,"")</f>
        <v>0.31640221575439</v>
      </c>
      <c r="AS204" s="34" t="n">
        <f aca="false">IFERROR(AS106/AM106-1,"")</f>
        <v>0.681410378773418</v>
      </c>
      <c r="AT204" s="34" t="n">
        <f aca="false">IFERROR(AT106/AN106-1,"")</f>
        <v>0.0391995363167688</v>
      </c>
      <c r="AU204" s="34" t="n">
        <f aca="false">IFERROR(AU106/AO106-1,"")</f>
        <v>0.208136147122751</v>
      </c>
      <c r="AV204" s="34" t="n">
        <f aca="false">IFERROR(AV106/AP106-1,"")</f>
        <v>0.151425470036457</v>
      </c>
      <c r="AW204" s="34" t="n">
        <f aca="false">IFERROR(AW106/AQ106-1,"")</f>
        <v>0.293076406004929</v>
      </c>
      <c r="AX204" s="34" t="n">
        <f aca="false">IFERROR(AX106/AR106-1,"")</f>
        <v>0.20228585692889</v>
      </c>
      <c r="AY204" s="34" t="n">
        <f aca="false">IFERROR(AY106/AS106-1,"")</f>
        <v>0.190769663255431</v>
      </c>
      <c r="AZ204" s="34" t="n">
        <f aca="false">IFERROR(AZ106/AT106-1,"")</f>
        <v>0.0181412552104745</v>
      </c>
      <c r="BA204" s="34" t="n">
        <f aca="false">IFERROR(BA106/AU106-1,"")</f>
        <v>0.138044989983796</v>
      </c>
      <c r="BB204" s="34" t="n">
        <f aca="false">IFERROR(BB106/AV106-1,"")</f>
        <v>0.101717375643682</v>
      </c>
      <c r="BC204" s="34" t="n">
        <f aca="false">IFERROR(BC106/AW106-1,"")</f>
        <v>0.676362106096988</v>
      </c>
      <c r="BD204" s="34" t="n">
        <f aca="false">IFERROR(BD106/AX106-1,"")</f>
        <v>0.0852007296563806</v>
      </c>
      <c r="BE204" s="34" t="n">
        <f aca="false">IFERROR(BE106/AY106-1,"")</f>
        <v>0.202061153610423</v>
      </c>
      <c r="BF204" s="34" t="n">
        <f aca="false">IFERROR(BF106/AZ106-1,"")</f>
        <v>0.291056394879484</v>
      </c>
      <c r="BG204" s="34" t="n">
        <f aca="false">IFERROR(BG106/BA106-1,"")</f>
        <v>0.00533680150686178</v>
      </c>
      <c r="BH204" s="34" t="n">
        <f aca="false">IFERROR(BH106/BB106-1,"")</f>
        <v>0.085335335335335</v>
      </c>
      <c r="BI204" s="34" t="n">
        <f aca="false">IFERROR(BI106/BC106-1,"")</f>
        <v>-0.202909037212049</v>
      </c>
      <c r="BJ204" s="34" t="n">
        <f aca="false">IFERROR(BJ106/BD106-1,"")</f>
        <v>-0.28238172028316</v>
      </c>
      <c r="BK204" s="34" t="n">
        <f aca="false">IFERROR(BK106/BE106-1,"")</f>
        <v>-0.0900132944571171</v>
      </c>
      <c r="BL204" s="34" t="n">
        <f aca="false">IFERROR(BL106/BF106-1,"")</f>
        <v>4.19609638446593</v>
      </c>
      <c r="BM204" s="34" t="n">
        <f aca="false">IFERROR(BM106/BG106-1,"")</f>
        <v>0.0227617433198029</v>
      </c>
      <c r="BN204" s="34" t="n">
        <f aca="false">IFERROR(BN106/BH106-1,"")</f>
        <v>1.41273512982811</v>
      </c>
      <c r="BO204" s="34" t="n">
        <f aca="false">IFERROR(BO106/BI106-1,"")</f>
        <v>0.176828025713702</v>
      </c>
      <c r="BP204" s="34" t="n">
        <f aca="false">IFERROR(BP106/BJ106-1,"")</f>
        <v>0.250823636952257</v>
      </c>
      <c r="BQ204" s="34" t="n">
        <f aca="false">IFERROR(BQ106/BK106-1,"")</f>
        <v>0.882596839864031</v>
      </c>
      <c r="BR204" s="34" t="n">
        <f aca="false">IFERROR(BR106/BL106-1,"")</f>
        <v>-1.1070157644106</v>
      </c>
      <c r="BS204" s="34" t="n">
        <f aca="false">IFERROR(BS106/BM106-1,"")</f>
        <v>0.958368317177156</v>
      </c>
      <c r="BT204" s="34" t="n">
        <f aca="false">IFERROR(BT106/BN106-1,"")</f>
        <v>-0.523097553832637</v>
      </c>
      <c r="BU204" s="34" t="n">
        <f aca="false">IFERROR(BU106/BO106-1,"")</f>
        <v>1.29519551665512</v>
      </c>
      <c r="BV204" s="34" t="n">
        <f aca="false">IFERROR(BV106/BP106-1,"")</f>
        <v>1.60040802655218</v>
      </c>
      <c r="BW204" s="34" t="n">
        <f aca="false">IFERROR(BW106/BQ106-1,"")</f>
        <v>0.039041779929496</v>
      </c>
      <c r="BX204" s="34" t="n">
        <f aca="false">IFERROR(BX106/BR106-1,"")</f>
        <v>-8.98795180722895</v>
      </c>
      <c r="BY204" s="34" t="n">
        <f aca="false">IFERROR(BY106/BS106-1,"")</f>
        <v>0.124164810690423</v>
      </c>
      <c r="BZ204" s="34" t="n">
        <f aca="false">IFERROR(BZ106/BT106-1,"")</f>
        <v>1.59082094376212</v>
      </c>
      <c r="CA204" s="34" t="n">
        <f aca="false">IFERROR(CA106/BU106-1,"")</f>
        <v>0.0521262002743486</v>
      </c>
      <c r="CB204" s="34" t="n">
        <f aca="false">IFERROR(CB106/BV106-1,"")</f>
        <v>0.211943793911005</v>
      </c>
      <c r="CC204" s="34" t="n">
        <f aca="false">IFERROR(CC106/BW106-1,"")</f>
        <v>0.615107150434966</v>
      </c>
      <c r="CD204" s="34" t="n">
        <f aca="false">IFERROR(CD106/BX106-1,"")</f>
        <v>-0.0472599296128713</v>
      </c>
      <c r="CE204" s="34" t="n">
        <f aca="false">IFERROR(CE106/BY106-1,"")</f>
        <v>-0.065874195146112</v>
      </c>
      <c r="CF204" s="34" t="n">
        <f aca="false">IFERROR(CF106/BZ106-1,"")</f>
        <v>-0.0566367265469053</v>
      </c>
      <c r="CG204" s="34" t="n">
        <f aca="false">IFERROR(CG106/CA106-1,"")</f>
        <v>0.0319426336375483</v>
      </c>
      <c r="CH204" s="34" t="n">
        <f aca="false">IFERROR(CH106/CB106-1,"")</f>
        <v>-0.144927536231883</v>
      </c>
      <c r="CI204" s="34" t="n">
        <f aca="false">IFERROR(CI106/CC106-1,"")</f>
        <v>-0.0627955859169724</v>
      </c>
      <c r="CJ204" s="34" t="n">
        <f aca="false">IFERROR(CJ106/CD106-1,"")</f>
        <v>0.147757255936675</v>
      </c>
      <c r="CK204" s="34" t="n">
        <f aca="false">IFERROR(CK106/CE106-1,"")</f>
        <v>0.191940615058324</v>
      </c>
      <c r="CL204" s="34" t="n">
        <f aca="false">IFERROR(CL106/CF106-1,"")</f>
        <v>0.16979635017191</v>
      </c>
      <c r="CM204" s="35" t="n">
        <f aca="false">IFERROR(CM106/CG106-1,"")</f>
        <v>0.329734280678257</v>
      </c>
      <c r="CN204" s="35" t="n">
        <f aca="false">IFERROR(CN106/CH106-1,"")</f>
        <v>0.391587744029186</v>
      </c>
      <c r="CO204" s="35" t="n">
        <f aca="false">IFERROR(CO106/CI106-1,"")</f>
        <v>0.260313943544342</v>
      </c>
      <c r="CP204" s="35" t="n">
        <f aca="false">IFERROR(CP106/CO106-1,"")</f>
        <v>0.162991258683</v>
      </c>
      <c r="CQ204" s="35" t="n">
        <f aca="false">IFERROR(CQ106/CP106-1,"")</f>
        <v>0.136178997913988</v>
      </c>
      <c r="CR204" s="35" t="n">
        <f aca="false">IFERROR(CR106/CQ106-1,"")</f>
        <v>0.0916596205869635</v>
      </c>
      <c r="CS204" s="35" t="n">
        <f aca="false">IFERROR(CS106/CR106-1,"")</f>
        <v>0.0763972136382354</v>
      </c>
      <c r="CT204" s="23"/>
      <c r="CV204" s="7"/>
      <c r="CW204" s="7"/>
      <c r="CX204" s="7"/>
      <c r="CY204" s="7"/>
    </row>
    <row r="205" customFormat="false" ht="15" hidden="false" customHeight="true" outlineLevel="0" collapsed="false">
      <c r="B205" s="30" t="s">
        <v>372</v>
      </c>
      <c r="C205" s="34"/>
      <c r="D205" s="34" t="n">
        <f aca="false">IFERROR(D115/C115-1,"")</f>
        <v>0.327956237547624</v>
      </c>
      <c r="E205" s="34" t="n">
        <f aca="false">IFERROR(E115/D115-1,"")</f>
        <v>0.334509034915704</v>
      </c>
      <c r="F205" s="34" t="n">
        <f aca="false">IFERROR(F115/E115-1,"")</f>
        <v>-0.078382642998027</v>
      </c>
      <c r="G205" s="34" t="n">
        <f aca="false">IFERROR(G115/F115-1,"")</f>
        <v>-0.297232804006335</v>
      </c>
      <c r="H205" s="34" t="n">
        <f aca="false">IFERROR(H115/G115-1,"")</f>
        <v>0.166851922344879</v>
      </c>
      <c r="I205" s="34" t="n">
        <f aca="false">IFERROR(I115/H115-1,"")</f>
        <v>0.038012344551303</v>
      </c>
      <c r="J205" s="34"/>
      <c r="K205" s="34"/>
      <c r="L205" s="34"/>
      <c r="M205" s="34"/>
      <c r="N205" s="34"/>
      <c r="O205" s="34" t="n">
        <f aca="false">IFERROR(O115/I115-1,"")</f>
        <v>0.187300429939909</v>
      </c>
      <c r="P205" s="34" t="n">
        <f aca="false">IFERROR(P115/J115-1,"")</f>
        <v>0.0336038729887493</v>
      </c>
      <c r="Q205" s="34" t="n">
        <f aca="false">IFERROR(Q115/K115-1,"")</f>
        <v>0.303283601971494</v>
      </c>
      <c r="R205" s="34" t="n">
        <f aca="false">IFERROR(R115/L115-1,"")</f>
        <v>0.21733902073785</v>
      </c>
      <c r="S205" s="34" t="n">
        <f aca="false">IFERROR(S115/M115-1,"")</f>
        <v>-0.41537805917448</v>
      </c>
      <c r="T205" s="34" t="n">
        <f aca="false">IFERROR(T115/N115-1,"")</f>
        <v>-0.126296665299186</v>
      </c>
      <c r="U205" s="34" t="n">
        <f aca="false">IFERROR(U115/O115-1,"")</f>
        <v>-0.0199269416062259</v>
      </c>
      <c r="V205" s="34" t="n">
        <f aca="false">IFERROR(V115/P115-1,"")</f>
        <v>0.660697065711532</v>
      </c>
      <c r="W205" s="34" t="n">
        <f aca="false">IFERROR(W115/Q115-1,"")</f>
        <v>0.171483326945189</v>
      </c>
      <c r="X205" s="34" t="n">
        <f aca="false">IFERROR(X115/R115-1,"")</f>
        <v>0.303859989189795</v>
      </c>
      <c r="Y205" s="34" t="n">
        <f aca="false">IFERROR(Y115/S115-1,"")</f>
        <v>1.21253774862023</v>
      </c>
      <c r="Z205" s="34" t="n">
        <f aca="false">IFERROR(Z115/T115-1,"")</f>
        <v>0.588811376442179</v>
      </c>
      <c r="AA205" s="34" t="n">
        <f aca="false">IFERROR(AA115/U115-1,"")</f>
        <v>0.497088469474845</v>
      </c>
      <c r="AB205" s="34" t="n">
        <f aca="false">IFERROR(AB115/V115-1,"")</f>
        <v>0.244048112816258</v>
      </c>
      <c r="AC205" s="34" t="n">
        <f aca="false">IFERROR(AC115/W115-1,"")</f>
        <v>-0.114622867861972</v>
      </c>
      <c r="AD205" s="34" t="n">
        <f aca="false">IFERROR(AD115/X115-1,"")</f>
        <v>0.00899136600148576</v>
      </c>
      <c r="AE205" s="34" t="n">
        <f aca="false">IFERROR(AE115/Y115-1,"")</f>
        <v>-1.2353273403304</v>
      </c>
      <c r="AF205" s="34" t="n">
        <f aca="false">IFERROR(AF115/Z115-1,"")</f>
        <v>-0.410474541923499</v>
      </c>
      <c r="AG205" s="34" t="n">
        <f aca="false">IFERROR(AG115/AA115-1,"")</f>
        <v>-0.325188526068916</v>
      </c>
      <c r="AH205" s="34" t="n">
        <f aca="false">IFERROR(AH115/AB115-1,"")</f>
        <v>-0.65216376608655</v>
      </c>
      <c r="AI205" s="34" t="n">
        <f aca="false">IFERROR(AI115/AC115-1,"")</f>
        <v>-0.563622477889187</v>
      </c>
      <c r="AJ205" s="34" t="n">
        <f aca="false">IFERROR(AJ115/AD115-1,"")</f>
        <v>-0.601246723808175</v>
      </c>
      <c r="AK205" s="34" t="n">
        <f aca="false">IFERROR(AK115/AE115-1,"")</f>
        <v>-3.06460000000001</v>
      </c>
      <c r="AL205" s="34" t="n">
        <f aca="false">IFERROR(AL115/AF115-1,"")</f>
        <v>0.319046084434418</v>
      </c>
      <c r="AM205" s="34" t="n">
        <f aca="false">IFERROR(AM115/AG115-1,"")</f>
        <v>-0.19469159038412</v>
      </c>
      <c r="AN205" s="34" t="n">
        <f aca="false">IFERROR(AN115/AH115-1,"")</f>
        <v>0.64928591967794</v>
      </c>
      <c r="AO205" s="34" t="n">
        <f aca="false">IFERROR(AO115/AI115-1,"")</f>
        <v>1.58155027381019</v>
      </c>
      <c r="AP205" s="34" t="n">
        <f aca="false">IFERROR(AP115/AJ115-1,"")</f>
        <v>1.23598379876359</v>
      </c>
      <c r="AQ205" s="34" t="n">
        <f aca="false">IFERROR(AQ115/AK115-1,"")</f>
        <v>1.23888404533566</v>
      </c>
      <c r="AR205" s="34" t="n">
        <f aca="false">IFERROR(AR115/AL115-1,"")</f>
        <v>-0.0373808942096254</v>
      </c>
      <c r="AS205" s="34" t="n">
        <f aca="false">IFERROR(AS115/AM115-1,"")</f>
        <v>0.613496932515338</v>
      </c>
      <c r="AT205" s="34" t="n">
        <f aca="false">IFERROR(AT115/AN115-1,"")</f>
        <v>0.0560818271633639</v>
      </c>
      <c r="AU205" s="34" t="n">
        <f aca="false">IFERROR(AU115/AO115-1,"")</f>
        <v>0.183786384411835</v>
      </c>
      <c r="AV205" s="34" t="n">
        <f aca="false">IFERROR(AV115/AP115-1,"")</f>
        <v>0.148870245018592</v>
      </c>
      <c r="AW205" s="34" t="n">
        <f aca="false">IFERROR(AW115/AQ115-1,"")</f>
        <v>0.0934579439252332</v>
      </c>
      <c r="AX205" s="34" t="n">
        <f aca="false">IFERROR(AX115/AR115-1,"")</f>
        <v>0.454173716864069</v>
      </c>
      <c r="AY205" s="34" t="n">
        <f aca="false">IFERROR(AY115/AS115-1,"")</f>
        <v>0.227429098151531</v>
      </c>
      <c r="AZ205" s="34" t="n">
        <f aca="false">IFERROR(AZ115/AT115-1,"")</f>
        <v>0.256273387629322</v>
      </c>
      <c r="BA205" s="34" t="n">
        <f aca="false">IFERROR(BA115/AU115-1,"")</f>
        <v>-0.0186953871164388</v>
      </c>
      <c r="BB205" s="34" t="n">
        <f aca="false">IFERROR(BB115/AV115-1,"")</f>
        <v>0.0504128459400026</v>
      </c>
      <c r="BC205" s="34" t="n">
        <f aca="false">IFERROR(BC115/AW115-1,"")</f>
        <v>0.800015827793607</v>
      </c>
      <c r="BD205" s="34" t="n">
        <f aca="false">IFERROR(BD115/AX115-1,"")</f>
        <v>-0.0513138756908742</v>
      </c>
      <c r="BE205" s="34" t="n">
        <f aca="false">IFERROR(BE115/AY115-1,"")</f>
        <v>0.142269008984846</v>
      </c>
      <c r="BF205" s="34" t="n">
        <f aca="false">IFERROR(BF115/AZ115-1,"")</f>
        <v>0.232598887380087</v>
      </c>
      <c r="BG205" s="34" t="n">
        <f aca="false">IFERROR(BG115/BA115-1,"")</f>
        <v>0.144242173233683</v>
      </c>
      <c r="BH205" s="34" t="n">
        <f aca="false">IFERROR(BH115/BB115-1,"")</f>
        <v>0.170801074419339</v>
      </c>
      <c r="BI205" s="34" t="n">
        <f aca="false">IFERROR(BI115/BC115-1,"")</f>
        <v>-0.288700813365574</v>
      </c>
      <c r="BJ205" s="34" t="n">
        <f aca="false">IFERROR(BJ115/BD115-1,"")</f>
        <v>-0.374966781823013</v>
      </c>
      <c r="BK205" s="34" t="n">
        <f aca="false">IFERROR(BK115/BE115-1,"")</f>
        <v>-0.10861832141725</v>
      </c>
      <c r="BL205" s="34" t="n">
        <f aca="false">IFERROR(BL115/BF115-1,"")</f>
        <v>5.32932940047621</v>
      </c>
      <c r="BM205" s="34" t="n">
        <f aca="false">IFERROR(BM115/BG115-1,"")</f>
        <v>-0.12125499744986</v>
      </c>
      <c r="BN205" s="34" t="n">
        <f aca="false">IFERROR(BN115/BH115-1,"")</f>
        <v>1.60359874044084</v>
      </c>
      <c r="BO205" s="34" t="n">
        <f aca="false">IFERROR(BO115/BI115-1,"")</f>
        <v>0.326575393268842</v>
      </c>
      <c r="BP205" s="34" t="n">
        <f aca="false">IFERROR(BP115/BJ115-1,"")</f>
        <v>0.482273678702248</v>
      </c>
      <c r="BQ205" s="34" t="n">
        <f aca="false">IFERROR(BQ115/BK115-1,"")</f>
        <v>1.10569362677308</v>
      </c>
      <c r="BR205" s="34" t="n">
        <f aca="false">IFERROR(BR115/BL115-1,"")</f>
        <v>-1.15833712331767</v>
      </c>
      <c r="BS205" s="34" t="n">
        <f aca="false">IFERROR(BS115/BM115-1,"")</f>
        <v>0.625133399486995</v>
      </c>
      <c r="BT205" s="34" t="n">
        <f aca="false">IFERROR(BT115/BN115-1,"")</f>
        <v>-0.746881371160026</v>
      </c>
      <c r="BU205" s="34" t="n">
        <f aca="false">IFERROR(BU115/BO115-1,"")</f>
        <v>0.472369769825738</v>
      </c>
      <c r="BV205" s="34" t="n">
        <f aca="false">IFERROR(BV115/BP115-1,"")</f>
        <v>0.857817395525357</v>
      </c>
      <c r="BW205" s="34" t="n">
        <f aca="false">IFERROR(BW115/BQ115-1,"")</f>
        <v>-0.355762795614183</v>
      </c>
      <c r="BX205" s="34" t="n">
        <f aca="false">IFERROR(BX115/BR115-1,"")</f>
        <v>-4.80851063829788</v>
      </c>
      <c r="BY205" s="34" t="n">
        <f aca="false">IFERROR(BY115/BS115-1,"")</f>
        <v>0.278801843317972</v>
      </c>
      <c r="BZ205" s="34" t="n">
        <f aca="false">IFERROR(BZ115/BT115-1,"")</f>
        <v>2.72696245733787</v>
      </c>
      <c r="CA205" s="34" t="n">
        <f aca="false">IFERROR(CA115/BU115-1,"")</f>
        <v>0.202531645569621</v>
      </c>
      <c r="CB205" s="34" t="n">
        <f aca="false">IFERROR(CB115/BV115-1,"")</f>
        <v>0.406175771971491</v>
      </c>
      <c r="CC205" s="34" t="n">
        <f aca="false">IFERROR(CC115/BW115-1,"")</f>
        <v>1.00388349514563</v>
      </c>
      <c r="CD205" s="34" t="n">
        <f aca="false">IFERROR(CD115/BX115-1,"")</f>
        <v>0.054934823091247</v>
      </c>
      <c r="CE205" s="34" t="n">
        <f aca="false">IFERROR(CE115/BY115-1,"")</f>
        <v>-0.0117117117117123</v>
      </c>
      <c r="CF205" s="34" t="n">
        <f aca="false">IFERROR(CF115/BZ115-1,"")</f>
        <v>0.0210622710622728</v>
      </c>
      <c r="CG205" s="34" t="n">
        <f aca="false">IFERROR(CG115/CA115-1,"")</f>
        <v>0.252631578947367</v>
      </c>
      <c r="CH205" s="34" t="n">
        <f aca="false">IFERROR(CH115/CB115-1,"")</f>
        <v>-0.0760135135135122</v>
      </c>
      <c r="CI205" s="34" t="n">
        <f aca="false">IFERROR(CI115/CC115-1,"")</f>
        <v>0.035852713178296</v>
      </c>
      <c r="CJ205" s="34" t="n">
        <f aca="false">IFERROR(CJ115/CD115-1,"")</f>
        <v>0.196822594880847</v>
      </c>
      <c r="CK205" s="34" t="n">
        <f aca="false">IFERROR(CK115/CE115-1,"")</f>
        <v>0.309024612579763</v>
      </c>
      <c r="CL205" s="34" t="n">
        <f aca="false">IFERROR(CL115/CF115-1,"")</f>
        <v>0.252017937219726</v>
      </c>
      <c r="CM205" s="35" t="n">
        <f aca="false">IFERROR(CM115/CG115-1,"")</f>
        <v>0.281365341937228</v>
      </c>
      <c r="CN205" s="35" t="n">
        <f aca="false">IFERROR(CN115/CH115-1,"")</f>
        <v>0.442413844736947</v>
      </c>
      <c r="CO205" s="35" t="n">
        <f aca="false">IFERROR(CO115/CI115-1,"")</f>
        <v>0.307263926956608</v>
      </c>
      <c r="CP205" s="35" t="n">
        <f aca="false">IFERROR(CP115/CO115-1,"")</f>
        <v>0.218854109744502</v>
      </c>
      <c r="CQ205" s="35" t="n">
        <f aca="false">IFERROR(CQ115/CP115-1,"")</f>
        <v>0.16983472004793</v>
      </c>
      <c r="CR205" s="35" t="n">
        <f aca="false">IFERROR(CR115/CQ115-1,"")</f>
        <v>0.114831791836974</v>
      </c>
      <c r="CS205" s="35" t="n">
        <f aca="false">IFERROR(CS115/CR115-1,"")</f>
        <v>0.0929215862383965</v>
      </c>
      <c r="CT205" s="23"/>
      <c r="CV205" s="7"/>
      <c r="CW205" s="7"/>
      <c r="CX205" s="7"/>
      <c r="CY205" s="7"/>
    </row>
    <row r="206" customFormat="false" ht="15" hidden="false" customHeight="true" outlineLevel="0" collapsed="false">
      <c r="B206" s="30" t="s">
        <v>373</v>
      </c>
      <c r="C206" s="34"/>
      <c r="D206" s="34" t="n">
        <f aca="false">IFERROR(D191/C191-1,"")</f>
        <v>0.269130501477922</v>
      </c>
      <c r="E206" s="34" t="n">
        <f aca="false">IFERROR(E191/D191-1,"")</f>
        <v>0.183273367265697</v>
      </c>
      <c r="F206" s="34" t="n">
        <f aca="false">IFERROR(F191/E191-1,"")</f>
        <v>0.0767804967829906</v>
      </c>
      <c r="G206" s="34" t="n">
        <f aca="false">IFERROR(G191/F191-1,"")</f>
        <v>-0.297307423942559</v>
      </c>
      <c r="H206" s="34" t="n">
        <f aca="false">IFERROR(H191/G191-1,"")</f>
        <v>0.125669395788776</v>
      </c>
      <c r="I206" s="34" t="n">
        <f aca="false">IFERROR(I191/H191-1,"")</f>
        <v>0.121720472348969</v>
      </c>
      <c r="J206" s="34"/>
      <c r="K206" s="34"/>
      <c r="L206" s="34"/>
      <c r="M206" s="34"/>
      <c r="N206" s="34"/>
      <c r="O206" s="34" t="n">
        <f aca="false">IFERROR(O191/I191-1,"")</f>
        <v>0.0855081724005302</v>
      </c>
      <c r="P206" s="34" t="n">
        <f aca="false">IFERROR(P191/J191-1,"")</f>
        <v>0.0165234637604705</v>
      </c>
      <c r="Q206" s="34" t="n">
        <f aca="false">IFERROR(Q191/K191-1,"")</f>
        <v>0.289184677393778</v>
      </c>
      <c r="R206" s="34" t="n">
        <f aca="false">IFERROR(R191/L191-1,"")</f>
        <v>0.202758690674927</v>
      </c>
      <c r="S206" s="34" t="n">
        <f aca="false">IFERROR(S191/M191-1,"")</f>
        <v>-0.0934718084069068</v>
      </c>
      <c r="T206" s="34" t="n">
        <f aca="false">IFERROR(T191/N191-1,"")</f>
        <v>0.0975838604670911</v>
      </c>
      <c r="U206" s="34" t="n">
        <f aca="false">IFERROR(U191/O191-1,"")</f>
        <v>0.11198709307385</v>
      </c>
      <c r="V206" s="34" t="n">
        <f aca="false">IFERROR(V191/P191-1,"")</f>
        <v>0.659918088434391</v>
      </c>
      <c r="W206" s="34" t="n">
        <f aca="false">IFERROR(W191/Q191-1,"")</f>
        <v>0.173959834298121</v>
      </c>
      <c r="X206" s="34" t="n">
        <f aca="false">IFERROR(X191/R191-1,"")</f>
        <v>0.302975220468795</v>
      </c>
      <c r="Y206" s="34" t="n">
        <f aca="false">IFERROR(Y191/S191-1,"")</f>
        <v>0.440127160331849</v>
      </c>
      <c r="Z206" s="34" t="n">
        <f aca="false">IFERROR(Z191/T191-1,"")</f>
        <v>-0.0599347770761127</v>
      </c>
      <c r="AA206" s="34" t="n">
        <f aca="false">IFERROR(AA191/U191-1,"")</f>
        <v>0.209083482463814</v>
      </c>
      <c r="AB206" s="34" t="n">
        <f aca="false">IFERROR(AB191/V191-1,"")</f>
        <v>0.24423089879617</v>
      </c>
      <c r="AC206" s="34" t="n">
        <f aca="false">IFERROR(AC191/W191-1,"")</f>
        <v>-0.119194579198291</v>
      </c>
      <c r="AD206" s="34" t="n">
        <f aca="false">IFERROR(AD191/X191-1,"")</f>
        <v>0.00675121111483557</v>
      </c>
      <c r="AE206" s="34" t="n">
        <f aca="false">IFERROR(AE191/Y191-1,"")</f>
        <v>0.0231251152093752</v>
      </c>
      <c r="AF206" s="34" t="n">
        <f aca="false">IFERROR(AF191/Z191-1,"")</f>
        <v>0.0400341590529194</v>
      </c>
      <c r="AG206" s="34" t="n">
        <f aca="false">IFERROR(AG191/AA191-1,"")</f>
        <v>0.0180901102092377</v>
      </c>
      <c r="AH206" s="34" t="n">
        <f aca="false">IFERROR(AH191/AB191-1,"")</f>
        <v>-0.571755027655248</v>
      </c>
      <c r="AI206" s="34" t="n">
        <f aca="false">IFERROR(AI191/AC191-1,"")</f>
        <v>-0.0931191703508557</v>
      </c>
      <c r="AJ206" s="34" t="n">
        <f aca="false">IFERROR(AJ191/AD191-1,"")</f>
        <v>-0.295768289243561</v>
      </c>
      <c r="AK206" s="34" t="n">
        <f aca="false">IFERROR(AK191/AE191-1,"")</f>
        <v>-0.52135173132604</v>
      </c>
      <c r="AL206" s="34" t="n">
        <f aca="false">IFERROR(AL191/AF191-1,"")</f>
        <v>-0.139276949680304</v>
      </c>
      <c r="AM206" s="34" t="n">
        <f aca="false">IFERROR(AM191/AG191-1,"")</f>
        <v>-0.293212739090588</v>
      </c>
      <c r="AN206" s="34" t="n">
        <f aca="false">IFERROR(AN191/AH191-1,"")</f>
        <v>0.342317555528208</v>
      </c>
      <c r="AO206" s="34" t="n">
        <f aca="false">IFERROR(AO191/AI191-1,"")</f>
        <v>0.245731432955096</v>
      </c>
      <c r="AP206" s="34" t="n">
        <f aca="false">IFERROR(AP191/AJ191-1,"")</f>
        <v>0.270443177090188</v>
      </c>
      <c r="AQ206" s="34" t="n">
        <f aca="false">IFERROR(AQ191/AK191-1,"")</f>
        <v>0.854344028124078</v>
      </c>
      <c r="AR206" s="34" t="n">
        <f aca="false">IFERROR(AR191/AL191-1,"")</f>
        <v>0.234195253934553</v>
      </c>
      <c r="AS206" s="34" t="n">
        <f aca="false">IFERROR(AS191/AM191-1,"")</f>
        <v>0.326656820477338</v>
      </c>
      <c r="AT206" s="34" t="n">
        <f aca="false">IFERROR(AT191/AN191-1,"")</f>
        <v>0.0463802461781222</v>
      </c>
      <c r="AU206" s="34" t="n">
        <f aca="false">IFERROR(AU191/AO191-1,"")</f>
        <v>0.172043391356255</v>
      </c>
      <c r="AV206" s="34" t="n">
        <f aca="false">IFERROR(AV191/AP191-1,"")</f>
        <v>0.136543774485743</v>
      </c>
      <c r="AW206" s="34" t="n">
        <f aca="false">IFERROR(AW191/AQ191-1,"")</f>
        <v>0.684027150127768</v>
      </c>
      <c r="AX206" s="34" t="n">
        <f aca="false">IFERROR(AX191/AR191-1,"")</f>
        <v>0.534024096778617</v>
      </c>
      <c r="AY206" s="34" t="n">
        <f aca="false">IFERROR(AY191/AS191-1,"")</f>
        <v>0.473465209760827</v>
      </c>
      <c r="AZ206" s="34" t="n">
        <f aca="false">IFERROR(AZ191/AT191-1,"")</f>
        <v>0.556996262717463</v>
      </c>
      <c r="BA206" s="34" t="n">
        <f aca="false">IFERROR(BA191/AU191-1,"")</f>
        <v>0.214929320754061</v>
      </c>
      <c r="BB206" s="34" t="n">
        <f aca="false">IFERROR(BB191/AV191-1,"")</f>
        <v>0.29849160003992</v>
      </c>
      <c r="BC206" s="34" t="n">
        <f aca="false">IFERROR(BC191/AW191-1,"")</f>
        <v>0.669899062322756</v>
      </c>
      <c r="BD206" s="34" t="n">
        <f aca="false">IFERROR(BD191/AX191-1,"")</f>
        <v>0.0987213703545686</v>
      </c>
      <c r="BE206" s="34" t="n">
        <f aca="false">IFERROR(BE191/AY191-1,"")</f>
        <v>0.193408293497171</v>
      </c>
      <c r="BF206" s="34" t="n">
        <f aca="false">IFERROR(BF191/AZ191-1,"")</f>
        <v>0.258758256233739</v>
      </c>
      <c r="BG206" s="34" t="n">
        <f aca="false">IFERROR(BG191/BA191-1,"")</f>
        <v>0.121301784261935</v>
      </c>
      <c r="BH206" s="34" t="n">
        <f aca="false">IFERROR(BH191/BB191-1,"")</f>
        <v>0.165230526748</v>
      </c>
      <c r="BI206" s="34" t="n">
        <f aca="false">IFERROR(BI191/BC191-1,"")</f>
        <v>-0.0965084671648208</v>
      </c>
      <c r="BJ206" s="34" t="n">
        <f aca="false">IFERROR(BJ191/BD191-1,"")</f>
        <v>-0.0809822559660268</v>
      </c>
      <c r="BK206" s="34" t="n">
        <f aca="false">IFERROR(BK191/BE191-1,"")</f>
        <v>0.0254978247727278</v>
      </c>
      <c r="BL206" s="34" t="n">
        <f aca="false">IFERROR(BL191/BF191-1,"")</f>
        <v>0.410909217986481</v>
      </c>
      <c r="BM206" s="34" t="n">
        <f aca="false">IFERROR(BM191/BG191-1,"")</f>
        <v>0.110687127321841</v>
      </c>
      <c r="BN206" s="34" t="n">
        <f aca="false">IFERROR(BN191/BH191-1,"")</f>
        <v>0.208424981384631</v>
      </c>
      <c r="BO206" s="34" t="n">
        <f aca="false">IFERROR(BO191/BI191-1,"")</f>
        <v>0.193584213729264</v>
      </c>
      <c r="BP206" s="34" t="n">
        <f aca="false">IFERROR(BP191/BJ191-1,"")</f>
        <v>0.358687021151169</v>
      </c>
      <c r="BQ206" s="34" t="n">
        <f aca="false">IFERROR(BQ191/BK191-1,"")</f>
        <v>0.243662626630041</v>
      </c>
      <c r="BR206" s="34" t="n">
        <f aca="false">IFERROR(BR191/BL191-1,"")</f>
        <v>0.258321198994579</v>
      </c>
      <c r="BS206" s="34" t="n">
        <f aca="false">IFERROR(BS191/BM191-1,"")</f>
        <v>0.10039606794243</v>
      </c>
      <c r="BT206" s="34" t="n">
        <f aca="false">IFERROR(BT191/BN191-1,"")</f>
        <v>0.202173989813786</v>
      </c>
      <c r="BU206" s="34" t="n">
        <f aca="false">IFERROR(BU191/BO191-1,"")</f>
        <v>0.354996474208001</v>
      </c>
      <c r="BV206" s="34" t="n">
        <f aca="false">IFERROR(BV191/BP191-1,"")</f>
        <v>0.206037087900533</v>
      </c>
      <c r="BW206" s="34" t="n">
        <f aca="false">IFERROR(BW191/BQ191-1,"")</f>
        <v>0.237606781784839</v>
      </c>
      <c r="BX206" s="34" t="n">
        <f aca="false">IFERROR(BX191/BR191-1,"")</f>
        <v>0.561154719236262</v>
      </c>
      <c r="BY206" s="34" t="n">
        <f aca="false">IFERROR(BY191/BS191-1,"")</f>
        <v>0.150539600784139</v>
      </c>
      <c r="BZ206" s="34" t="n">
        <f aca="false">IFERROR(BZ191/BT191-1,"")</f>
        <v>0.274038179777362</v>
      </c>
      <c r="CA206" s="34" t="n">
        <f aca="false">IFERROR(CA191/BU191-1,"")</f>
        <v>-0.0244054428345966</v>
      </c>
      <c r="CB206" s="34" t="n">
        <f aca="false">IFERROR(CB191/BV191-1,"")</f>
        <v>0.159373615930541</v>
      </c>
      <c r="CC206" s="34" t="n">
        <f aca="false">IFERROR(CC191/BW191-1,"")</f>
        <v>0.16910684407925</v>
      </c>
      <c r="CD206" s="34" t="n">
        <f aca="false">IFERROR(CD191/BX191-1,"")</f>
        <v>-0.0115530477289532</v>
      </c>
      <c r="CE206" s="34" t="n">
        <f aca="false">IFERROR(CE191/BY191-1,"")</f>
        <v>0.141222883818973</v>
      </c>
      <c r="CF206" s="34" t="n">
        <f aca="false">IFERROR(CF191/BZ191-1,"")</f>
        <v>0.066732396811263</v>
      </c>
      <c r="CG206" s="34" t="n">
        <f aca="false">IFERROR(CG191/CA191-1,"")</f>
        <v>0.318899278705887</v>
      </c>
      <c r="CH206" s="34" t="n">
        <f aca="false">IFERROR(CH191/CB191-1,"")</f>
        <v>0.165691875788687</v>
      </c>
      <c r="CI206" s="34" t="n">
        <f aca="false">IFERROR(CI191/CC191-1,"")</f>
        <v>0.145029586327455</v>
      </c>
      <c r="CJ206" s="34" t="n">
        <f aca="false">IFERROR(CJ191/CD191-1,"")</f>
        <v>0.139763034705408</v>
      </c>
      <c r="CK206" s="34" t="n">
        <f aca="false">IFERROR(CK191/CE191-1,"")</f>
        <v>0.0491860237047825</v>
      </c>
      <c r="CL206" s="34" t="n">
        <f aca="false">IFERROR(CL191/CF191-1,"")</f>
        <v>0.089975115046893</v>
      </c>
      <c r="CM206" s="35" t="n">
        <f aca="false">IFERROR(CM191/CG191-1,"")</f>
        <v>0.117777456694823</v>
      </c>
      <c r="CN206" s="35" t="n">
        <f aca="false">IFERROR(CN191/CH191-1,"")</f>
        <v>0.121072553930239</v>
      </c>
      <c r="CO206" s="35" t="n">
        <f aca="false">IFERROR(CO191/CI191-1,"")</f>
        <v>0.104904566604267</v>
      </c>
      <c r="CP206" s="35" t="n">
        <f aca="false">IFERROR(CP191/CO191-1,"")</f>
        <v>0.0836786753591279</v>
      </c>
      <c r="CQ206" s="35" t="n">
        <f aca="false">IFERROR(CQ191/CP191-1,"")</f>
        <v>0.111197654228513</v>
      </c>
      <c r="CR206" s="35" t="n">
        <f aca="false">IFERROR(CR191/CQ191-1,"")</f>
        <v>0.104113863847868</v>
      </c>
      <c r="CS206" s="35" t="n">
        <f aca="false">IFERROR(CS191/CR191-1,"")</f>
        <v>0.102083533251384</v>
      </c>
      <c r="CT206" s="23"/>
      <c r="CV206" s="7"/>
      <c r="CW206" s="7"/>
      <c r="CX206" s="7"/>
      <c r="CY206" s="7"/>
    </row>
    <row r="207" customFormat="false" ht="15" hidden="false" customHeight="true" outlineLevel="0" collapsed="false">
      <c r="B207" s="30" t="s">
        <v>374</v>
      </c>
      <c r="C207" s="44" t="n">
        <f aca="false">C54</f>
        <v>0.094764726354757</v>
      </c>
      <c r="D207" s="44" t="n">
        <f aca="false">D54</f>
        <v>0.0978840935288216</v>
      </c>
      <c r="E207" s="44" t="n">
        <f aca="false">E54</f>
        <v>0.0994679240628399</v>
      </c>
      <c r="F207" s="44" t="n">
        <f aca="false">F54</f>
        <v>0.10802082805344</v>
      </c>
      <c r="G207" s="44" t="n">
        <f aca="false">G54</f>
        <v>0.109028055956319</v>
      </c>
      <c r="H207" s="44" t="n">
        <f aca="false">H54</f>
        <v>0.106642173815067</v>
      </c>
      <c r="I207" s="44" t="n">
        <f aca="false">I54</f>
        <v>0.112066532394778</v>
      </c>
      <c r="J207" s="44" t="n">
        <f aca="false">J54</f>
        <v>0.120728263814052</v>
      </c>
      <c r="K207" s="44" t="n">
        <f aca="false">K54</f>
        <v>0.119598263466245</v>
      </c>
      <c r="L207" s="44" t="n">
        <f aca="false">L54</f>
        <v>0.120096231288723</v>
      </c>
      <c r="M207" s="44" t="n">
        <f aca="false">M54</f>
        <v>0.13398510713743</v>
      </c>
      <c r="N207" s="44" t="n">
        <f aca="false">N54</f>
        <v>0.118236601149361</v>
      </c>
      <c r="O207" s="44" t="n">
        <f aca="false">O54</f>
        <v>0.122428308260662</v>
      </c>
      <c r="P207" s="44" t="n">
        <f aca="false">P54</f>
        <v>0.115256781512713</v>
      </c>
      <c r="Q207" s="44" t="n">
        <f aca="false">Q54</f>
        <v>0.115387681784309</v>
      </c>
      <c r="R207" s="44" t="n">
        <f aca="false">R54</f>
        <v>0.115333968792769</v>
      </c>
      <c r="S207" s="44" t="n">
        <f aca="false">S54</f>
        <v>0.115255120219738</v>
      </c>
      <c r="T207" s="44" t="n">
        <f aca="false">T54</f>
        <v>0.111552356459639</v>
      </c>
      <c r="U207" s="44" t="n">
        <f aca="false">U54</f>
        <v>0.114203180380194</v>
      </c>
      <c r="V207" s="44" t="n">
        <f aca="false">V54</f>
        <v>0.120994892005848</v>
      </c>
      <c r="W207" s="44" t="n">
        <f aca="false">W54</f>
        <v>0.123182492346502</v>
      </c>
      <c r="X207" s="44" t="n">
        <f aca="false">X54</f>
        <v>0.122239912992074</v>
      </c>
      <c r="Y207" s="44" t="n">
        <f aca="false">Y54</f>
        <v>0.122210061609218</v>
      </c>
      <c r="Z207" s="44" t="n">
        <f aca="false">Z54</f>
        <v>0.119308048198119</v>
      </c>
      <c r="AA207" s="44" t="n">
        <f aca="false">AA54</f>
        <v>0.121449936258647</v>
      </c>
      <c r="AB207" s="44" t="n">
        <f aca="false">AB54</f>
        <v>0.129367735964123</v>
      </c>
      <c r="AC207" s="44" t="n">
        <f aca="false">AC54</f>
        <v>0.124486353182063</v>
      </c>
      <c r="AD207" s="44" t="n">
        <f aca="false">AD54</f>
        <v>0.126655119959714</v>
      </c>
      <c r="AE207" s="44" t="n">
        <f aca="false">AE54</f>
        <v>0.129023215488873</v>
      </c>
      <c r="AF207" s="44" t="n">
        <f aca="false">AF54</f>
        <v>0.141076289563532</v>
      </c>
      <c r="AG207" s="44" t="n">
        <f aca="false">AG54</f>
        <v>0.130661862155594</v>
      </c>
      <c r="AH207" s="44" t="n">
        <f aca="false">AH54</f>
        <v>0.137177705384641</v>
      </c>
      <c r="AI207" s="44" t="n">
        <f aca="false">AI54</f>
        <v>0.137723448120811</v>
      </c>
      <c r="AJ207" s="44" t="n">
        <f aca="false">AJ54</f>
        <v>0.137495542612623</v>
      </c>
      <c r="AK207" s="44" t="n">
        <f aca="false">AK54</f>
        <v>0.143171637617946</v>
      </c>
      <c r="AL207" s="44" t="n">
        <f aca="false">AL54</f>
        <v>0.140818977367151</v>
      </c>
      <c r="AM207" s="44" t="n">
        <f aca="false">AM54</f>
        <v>0.13975369641149</v>
      </c>
      <c r="AN207" s="44" t="n">
        <f aca="false">AN54</f>
        <v>0.151644852469863</v>
      </c>
      <c r="AO207" s="44" t="n">
        <f aca="false">AO54</f>
        <v>0.150269347145145</v>
      </c>
      <c r="AP207" s="44" t="n">
        <f aca="false">AP54</f>
        <v>0.150886466980323</v>
      </c>
      <c r="AQ207" s="44" t="n">
        <f aca="false">AQ54</f>
        <v>0.155252846039212</v>
      </c>
      <c r="AR207" s="44" t="n">
        <f aca="false">AR54</f>
        <v>0.147859546924599</v>
      </c>
      <c r="AS207" s="44" t="n">
        <f aca="false">AS54</f>
        <v>0.150985110285416</v>
      </c>
      <c r="AT207" s="44" t="n">
        <f aca="false">AT54</f>
        <v>0.146739412657564</v>
      </c>
      <c r="AU207" s="44" t="n">
        <f aca="false">AU54</f>
        <v>0.156638226361152</v>
      </c>
      <c r="AV207" s="44" t="n">
        <f aca="false">AV54</f>
        <v>0.152287162508541</v>
      </c>
      <c r="AW207" s="44" t="n">
        <f aca="false">AW54</f>
        <v>0.164702312493256</v>
      </c>
      <c r="AX207" s="44" t="n">
        <f aca="false">AX54</f>
        <v>0.157863817537004</v>
      </c>
      <c r="AY207" s="44" t="n">
        <f aca="false">AY54</f>
        <v>0.156407040674538</v>
      </c>
      <c r="AZ207" s="44" t="n">
        <f aca="false">AZ54</f>
        <v>0.159650399947691</v>
      </c>
      <c r="BA207" s="44" t="n">
        <f aca="false">BA54</f>
        <v>0.156721433056088</v>
      </c>
      <c r="BB207" s="44" t="n">
        <f aca="false">BB54</f>
        <v>0.157993522925157</v>
      </c>
      <c r="BC207" s="44" t="n">
        <f aca="false">BC54</f>
        <v>0.168520159621123</v>
      </c>
      <c r="BD207" s="44" t="n">
        <f aca="false">BD54</f>
        <v>0.159890863813058</v>
      </c>
      <c r="BE207" s="44" t="n">
        <f aca="false">BE54</f>
        <v>0.161072054387755</v>
      </c>
      <c r="BF207" s="44" t="n">
        <f aca="false">BF54</f>
        <v>0.161650604649995</v>
      </c>
      <c r="BG207" s="44" t="n">
        <f aca="false">BG54</f>
        <v>0.165449758516721</v>
      </c>
      <c r="BH207" s="44" t="n">
        <f aca="false">BH54</f>
        <v>0.163721758159091</v>
      </c>
      <c r="BI207" s="44" t="n">
        <f aca="false">BI54</f>
        <v>0.168621650089982</v>
      </c>
      <c r="BJ207" s="44" t="n">
        <f aca="false">BJ54</f>
        <v>0.167491850793573</v>
      </c>
      <c r="BK207" s="44" t="n">
        <f aca="false">BK54</f>
        <v>0.165842147290958</v>
      </c>
      <c r="BL207" s="44" t="n">
        <f aca="false">BL54</f>
        <v>0.170148112889608</v>
      </c>
      <c r="BM207" s="44" t="n">
        <f aca="false">BM54</f>
        <v>0.170103949708955</v>
      </c>
      <c r="BN207" s="44" t="n">
        <f aca="false">BN54</f>
        <v>0.170124297996306</v>
      </c>
      <c r="BO207" s="44" t="n">
        <f aca="false">BO54</f>
        <v>0.181628899710066</v>
      </c>
      <c r="BP207" s="44" t="n">
        <f aca="false">BP54</f>
        <v>0.17647401647513</v>
      </c>
      <c r="BQ207" s="44" t="n">
        <f aca="false">BQ54</f>
        <v>0.174344897491474</v>
      </c>
      <c r="BR207" s="44" t="n">
        <f aca="false">BR54</f>
        <v>0.180918281381634</v>
      </c>
      <c r="BS207" s="44" t="n">
        <f aca="false">BS54</f>
        <v>0.194522200772201</v>
      </c>
      <c r="BT207" s="44" t="n">
        <f aca="false">BT54</f>
        <v>0.190246889065396</v>
      </c>
      <c r="BU207" s="44" t="n">
        <f aca="false">BU54</f>
        <v>0.19966971151365</v>
      </c>
      <c r="BV207" s="44" t="n">
        <f aca="false">BV54</f>
        <v>0.20166999002991</v>
      </c>
      <c r="BW207" s="44" t="n">
        <f aca="false">BW54</f>
        <v>0.196150919558382</v>
      </c>
      <c r="BX207" s="44" t="n">
        <f aca="false">BX54</f>
        <v>0.208245450532202</v>
      </c>
      <c r="BY207" s="44" t="n">
        <f aca="false">BY54</f>
        <v>0.209327258107746</v>
      </c>
      <c r="BZ207" s="44" t="n">
        <f aca="false">BZ54</f>
        <v>0.208788119537982</v>
      </c>
      <c r="CA207" s="44" t="n">
        <f aca="false">CA54</f>
        <v>0.21531113687814</v>
      </c>
      <c r="CB207" s="44" t="n">
        <f aca="false">CB54</f>
        <v>0.213474105139959</v>
      </c>
      <c r="CC207" s="44" t="n">
        <f aca="false">CC54</f>
        <v>0.211483325788441</v>
      </c>
      <c r="CD207" s="44" t="n">
        <f aca="false">CD54</f>
        <v>0.222648802528141</v>
      </c>
      <c r="CE207" s="44" t="n">
        <f aca="false">CE54</f>
        <v>0.211333698577928</v>
      </c>
      <c r="CF207" s="44" t="n">
        <f aca="false">CF54</f>
        <v>0.21673103276442</v>
      </c>
      <c r="CG207" s="44" t="n">
        <f aca="false">CG54</f>
        <v>0.217011659561354</v>
      </c>
      <c r="CH207" s="44" t="n">
        <f aca="false">CH54</f>
        <v>0.214314078157483</v>
      </c>
      <c r="CI207" s="44" t="n">
        <f aca="false">CI54</f>
        <v>0.216159833105994</v>
      </c>
      <c r="CJ207" s="44" t="n">
        <f aca="false">CJ54</f>
        <v>0.206800433089912</v>
      </c>
      <c r="CK207" s="44" t="n">
        <f aca="false">CK54</f>
        <v>0.199756029704454</v>
      </c>
      <c r="CL207" s="44" t="n">
        <f aca="false">CL54</f>
        <v>0.203148575485932</v>
      </c>
      <c r="CM207" s="35" t="n">
        <f aca="false">CM54</f>
        <v>0.203148575485932</v>
      </c>
      <c r="CN207" s="35" t="n">
        <f aca="false">CN54</f>
        <v>0.203148575485932</v>
      </c>
      <c r="CO207" s="35" t="n">
        <f aca="false">CO54</f>
        <v>0.203148575485932</v>
      </c>
      <c r="CP207" s="35" t="n">
        <f aca="false">CP54</f>
        <v>0.2</v>
      </c>
      <c r="CQ207" s="35" t="n">
        <f aca="false">CQ54</f>
        <v>0.2</v>
      </c>
      <c r="CR207" s="35" t="n">
        <f aca="false">CR54</f>
        <v>0.2</v>
      </c>
      <c r="CS207" s="35" t="n">
        <f aca="false">CS54</f>
        <v>0.2</v>
      </c>
      <c r="CT207" s="23"/>
      <c r="CV207" s="48" t="n">
        <f aca="false">IFERROR(AVERAGE(CO207,CP207,CQ207,CR207,CS207),"n/m")</f>
        <v>0.200629715097186</v>
      </c>
      <c r="CW207" s="48" t="n">
        <f aca="false">IFERROR(AVERAGE(BK207,BQ207,BW207,CC207,CI207),"n/m")</f>
        <v>0.19279622464705</v>
      </c>
      <c r="CX207" s="48" t="n">
        <f aca="false">IFERROR(AVERAGE(AG207,AM207,AS207,AY207,BE207,BK207,BQ207,BW207,CC207,CI207),"n/m")</f>
        <v>0.170286088715004</v>
      </c>
      <c r="CY207" s="48" t="n">
        <f aca="false">IFERROR(AVERAGE(C207,D207,E207,F207,G207,H207,I207,O207,U207,AA207,AG207,AM207,AS207,AY207,BE207,BK207,BQ207,BW207,CC207,CI207),"n/m")</f>
        <v>0.139440832310778</v>
      </c>
    </row>
    <row r="208" customFormat="false" ht="15" hidden="false" customHeight="true" outlineLevel="0" collapsed="false">
      <c r="B208" s="30" t="s">
        <v>375</v>
      </c>
      <c r="C208" s="44" t="n">
        <f aca="false">IFERROR((C93+N(C58))/C95,"")</f>
        <v>1</v>
      </c>
      <c r="D208" s="44" t="n">
        <f aca="false">IFERROR((D93+N(D58))/D95,"")</f>
        <v>1</v>
      </c>
      <c r="E208" s="44" t="n">
        <f aca="false">IFERROR((E93+N(E58))/E95,"")</f>
        <v>1</v>
      </c>
      <c r="F208" s="44" t="n">
        <f aca="false">IFERROR((F93+N(F58))/F95,"")</f>
        <v>1</v>
      </c>
      <c r="G208" s="44" t="n">
        <f aca="false">IFERROR((G93+N(G58))/G95,"")</f>
        <v>1</v>
      </c>
      <c r="H208" s="44" t="n">
        <f aca="false">IFERROR((H93+N(H58))/H95,"")</f>
        <v>1</v>
      </c>
      <c r="I208" s="44" t="n">
        <f aca="false">IFERROR((I93+N(I58))/I95,"")</f>
        <v>1</v>
      </c>
      <c r="J208" s="44" t="n">
        <f aca="false">IFERROR((J93+N(J58))/J95,"")</f>
        <v>1</v>
      </c>
      <c r="K208" s="44" t="n">
        <f aca="false">IFERROR((K93+N(K58))/K95,"")</f>
        <v>1</v>
      </c>
      <c r="L208" s="44" t="n">
        <f aca="false">IFERROR((L93+N(L58))/L95,"")</f>
        <v>1</v>
      </c>
      <c r="M208" s="44" t="n">
        <f aca="false">IFERROR((M93+N(M58))/M95,"")</f>
        <v>1</v>
      </c>
      <c r="N208" s="44" t="n">
        <f aca="false">IFERROR((N93+N(N58))/N95,"")</f>
        <v>1</v>
      </c>
      <c r="O208" s="44" t="n">
        <f aca="false">IFERROR((O93+N(O58))/O95,"")</f>
        <v>1</v>
      </c>
      <c r="P208" s="44" t="n">
        <f aca="false">IFERROR((P93+N(P58))/P95,"")</f>
        <v>1</v>
      </c>
      <c r="Q208" s="44" t="n">
        <f aca="false">IFERROR((Q93+N(Q58))/Q95,"")</f>
        <v>1</v>
      </c>
      <c r="R208" s="44" t="n">
        <f aca="false">IFERROR((R93+N(R58))/R95,"")</f>
        <v>1</v>
      </c>
      <c r="S208" s="44" t="n">
        <f aca="false">IFERROR((S93+N(S58))/S95,"")</f>
        <v>1</v>
      </c>
      <c r="T208" s="44" t="n">
        <f aca="false">IFERROR((T93+N(T58))/T95,"")</f>
        <v>1</v>
      </c>
      <c r="U208" s="44" t="n">
        <f aca="false">IFERROR((U93+N(U58))/U95,"")</f>
        <v>1</v>
      </c>
      <c r="V208" s="44" t="n">
        <f aca="false">IFERROR((V93+N(V58))/V95,"")</f>
        <v>1</v>
      </c>
      <c r="W208" s="44" t="n">
        <f aca="false">IFERROR((W93+N(W58))/W95,"")</f>
        <v>1</v>
      </c>
      <c r="X208" s="44" t="n">
        <f aca="false">IFERROR((X93+N(X58))/X95,"")</f>
        <v>1</v>
      </c>
      <c r="Y208" s="44" t="n">
        <f aca="false">IFERROR((Y93+N(Y58))/Y95,"")</f>
        <v>1</v>
      </c>
      <c r="Z208" s="44" t="n">
        <f aca="false">IFERROR((Z93+N(Z58))/Z95,"")</f>
        <v>1</v>
      </c>
      <c r="AA208" s="44" t="n">
        <f aca="false">IFERROR((AA93+N(AA58))/AA95,"")</f>
        <v>1</v>
      </c>
      <c r="AB208" s="44" t="n">
        <f aca="false">IFERROR((AB93+N(AB58))/AB95,"")</f>
        <v>1</v>
      </c>
      <c r="AC208" s="44" t="n">
        <f aca="false">IFERROR((AC93+N(AC58))/AC95,"")</f>
        <v>1</v>
      </c>
      <c r="AD208" s="44" t="n">
        <f aca="false">IFERROR((AD93+N(AD58))/AD95,"")</f>
        <v>1</v>
      </c>
      <c r="AE208" s="44" t="n">
        <f aca="false">IFERROR((AE93+N(AE58))/AE95,"")</f>
        <v>1</v>
      </c>
      <c r="AF208" s="44" t="n">
        <f aca="false">IFERROR((AF93+N(AF58))/AF95,"")</f>
        <v>1</v>
      </c>
      <c r="AG208" s="44" t="n">
        <f aca="false">IFERROR((AG93+N(AG58))/AG95,"")</f>
        <v>1</v>
      </c>
      <c r="AH208" s="44" t="n">
        <f aca="false">IFERROR((AH93+N(AH58))/AH95,"")</f>
        <v>0.682084171150346</v>
      </c>
      <c r="AI208" s="44" t="n">
        <f aca="false">IFERROR((AI93+N(AI58))/AI95,"")</f>
        <v>0.716063702184765</v>
      </c>
      <c r="AJ208" s="44" t="n">
        <f aca="false">IFERROR((AJ93+N(AJ58))/AJ95,"")</f>
        <v>0.701072913901425</v>
      </c>
      <c r="AK208" s="44" t="n">
        <f aca="false">IFERROR((AK93+N(AK58))/AK95,"")</f>
        <v>0.681285482473692</v>
      </c>
      <c r="AL208" s="44" t="n">
        <f aca="false">IFERROR((AL93+N(AL58))/AL95,"")</f>
        <v>0.661028277634962</v>
      </c>
      <c r="AM208" s="44" t="n">
        <f aca="false">IFERROR((AM93+N(AM58))/AM95,"")</f>
        <v>0.684410172664285</v>
      </c>
      <c r="AN208" s="44" t="n">
        <f aca="false">IFERROR((AN93+N(AN58))/AN95,"")</f>
        <v>0.708695585330043</v>
      </c>
      <c r="AO208" s="44" t="n">
        <f aca="false">IFERROR((AO93+N(AO58))/AO95,"")</f>
        <v>0.735189446731274</v>
      </c>
      <c r="AP208" s="44" t="n">
        <f aca="false">IFERROR((AP93+N(AP58))/AP95,"")</f>
        <v>0.723068780463788</v>
      </c>
      <c r="AQ208" s="44" t="n">
        <f aca="false">IFERROR((AQ93+N(AQ58))/AQ95,"")</f>
        <v>0.696995263831487</v>
      </c>
      <c r="AR208" s="44" t="n">
        <f aca="false">IFERROR((AR93+N(AR58))/AR95,"")</f>
        <v>0.599673569831335</v>
      </c>
      <c r="AS208" s="44" t="n">
        <f aca="false">IFERROR((AS93+N(AS58))/AS95,"")</f>
        <v>0.680059246546658</v>
      </c>
      <c r="AT208" s="44" t="n">
        <f aca="false">IFERROR((AT93+N(AT58))/AT95,"")</f>
        <v>0.602954892248269</v>
      </c>
      <c r="AU208" s="44" t="n">
        <f aca="false">IFERROR((AU93+N(AU58))/AU95,"")</f>
        <v>0.618998936987249</v>
      </c>
      <c r="AV208" s="44" t="n">
        <f aca="false">IFERROR((AV93+N(AV58))/AV95,"")</f>
        <v>0.612010892110971</v>
      </c>
      <c r="AW208" s="44" t="n">
        <f aca="false">IFERROR((AW93+N(AW58))/AW95,"")</f>
        <v>0.646613479827189</v>
      </c>
      <c r="AX208" s="44" t="n">
        <f aca="false">IFERROR((AX93+N(AX58))/AX95,"")</f>
        <v>0.674479370488329</v>
      </c>
      <c r="AY208" s="44" t="n">
        <f aca="false">IFERROR((AY93+N(AY58))/AY95,"")</f>
        <v>0.635352609239361</v>
      </c>
      <c r="AZ208" s="44" t="n">
        <f aca="false">IFERROR((AZ93+N(AZ58))/AZ95,"")</f>
        <v>0.701432727671955</v>
      </c>
      <c r="BA208" s="44" t="n">
        <f aca="false">IFERROR((BA93+N(BA58))/BA95,"")</f>
        <v>0.632093561238915</v>
      </c>
      <c r="BB208" s="44" t="n">
        <f aca="false">IFERROR((BB93+N(BB58))/BB95,"")</f>
        <v>0.660701640482859</v>
      </c>
      <c r="BC208" s="44" t="n">
        <f aca="false">IFERROR((BC93+N(BC58))/BC95,"")</f>
        <v>0.709680824752218</v>
      </c>
      <c r="BD208" s="44" t="n">
        <f aca="false">IFERROR((BD93+N(BD58))/BD95,"")</f>
        <v>0.641843129992984</v>
      </c>
      <c r="BE208" s="44" t="n">
        <f aca="false">IFERROR((BE93+N(BE58))/BE95,"")</f>
        <v>0.66724293161785</v>
      </c>
      <c r="BF208" s="44" t="n">
        <f aca="false">IFERROR((BF93+N(BF58))/BF95,"")</f>
        <v>0.665976987226855</v>
      </c>
      <c r="BG208" s="44" t="n">
        <f aca="false">IFERROR((BG93+N(BG58))/BG95,"")</f>
        <v>0.669435186610186</v>
      </c>
      <c r="BH208" s="44" t="n">
        <f aca="false">IFERROR((BH93+N(BH58))/BH95,"")</f>
        <v>0.667860027805406</v>
      </c>
      <c r="BI208" s="44" t="n">
        <f aca="false">IFERROR((BI93+N(BI58))/BI95,"")</f>
        <v>0.687598958996852</v>
      </c>
      <c r="BJ208" s="44" t="n">
        <f aca="false">IFERROR((BJ93+N(BJ58))/BJ95,"")</f>
        <v>0.712947272054384</v>
      </c>
      <c r="BK208" s="44" t="n">
        <f aca="false">IFERROR((BK93+N(BK58))/BK95,"")</f>
        <v>0.683888378802389</v>
      </c>
      <c r="BL208" s="44" t="n">
        <f aca="false">IFERROR((BL93+N(BL58))/BL95,"")</f>
        <v>0.665968557147245</v>
      </c>
      <c r="BM208" s="44" t="n">
        <f aca="false">IFERROR((BM93+N(BM58))/BM95,"")</f>
        <v>0.636420484329661</v>
      </c>
      <c r="BN208" s="44" t="n">
        <f aca="false">IFERROR((BN93+N(BN58))/BN95,"")</f>
        <v>0.649670391716479</v>
      </c>
      <c r="BO208" s="44" t="n">
        <f aca="false">IFERROR((BO93+N(BO58))/BO95,"")</f>
        <v>0.642137265814294</v>
      </c>
      <c r="BP208" s="44" t="n">
        <f aca="false">IFERROR((BP93+N(BP58))/BP95,"")</f>
        <v>0.654020064840119</v>
      </c>
      <c r="BQ208" s="44" t="n">
        <f aca="false">IFERROR((BQ93+N(BQ58))/BQ95,"")</f>
        <v>0.648995736552144</v>
      </c>
      <c r="BR208" s="44" t="n">
        <f aca="false">IFERROR((BR93+N(BR58))/BR95,"")</f>
        <v>0.704332552693208</v>
      </c>
      <c r="BS208" s="44" t="n">
        <f aca="false">IFERROR((BS93+N(BS58))/BS95,"")</f>
        <v>0.736195210122006</v>
      </c>
      <c r="BT208" s="44" t="n">
        <f aca="false">IFERROR((BT93+N(BT58))/BT95,"")</f>
        <v>0.72611032182346</v>
      </c>
      <c r="BU208" s="44" t="n">
        <f aca="false">IFERROR((BU93+N(BU58))/BU95,"")</f>
        <v>0.774465581486566</v>
      </c>
      <c r="BV208" s="44" t="n">
        <f aca="false">IFERROR((BV93+N(BV58))/BV95,"")</f>
        <v>0.788452300893458</v>
      </c>
      <c r="BW208" s="44" t="n">
        <f aca="false">IFERROR((BW93+N(BW58))/BW95,"")</f>
        <v>0.757147516034352</v>
      </c>
      <c r="BX208" s="44" t="n">
        <f aca="false">IFERROR((BX93+N(BX58))/BX95,"")</f>
        <v>0.815347046116277</v>
      </c>
      <c r="BY208" s="44" t="n">
        <f aca="false">IFERROR((BY93+N(BY58))/BY95,"")</f>
        <v>0.796825107198249</v>
      </c>
      <c r="BZ208" s="44" t="n">
        <f aca="false">IFERROR((BZ93+N(BZ58))/BZ95,"")</f>
        <v>0.80595149944465</v>
      </c>
      <c r="CA208" s="44" t="n">
        <f aca="false">IFERROR((CA93+N(CA58))/CA95,"")</f>
        <v>0.802913016907721</v>
      </c>
      <c r="CB208" s="44" t="n">
        <f aca="false">IFERROR((CB93+N(CB58))/CB95,"")</f>
        <v>0.780133146461107</v>
      </c>
      <c r="CC208" s="44" t="n">
        <f aca="false">IFERROR((CC93+N(CC58))/CC95,"")</f>
        <v>0.798375425983848</v>
      </c>
      <c r="CD208" s="44" t="n">
        <f aca="false">IFERROR((CD93+N(CD58))/CD95,"")</f>
        <v>0.788020927295688</v>
      </c>
      <c r="CE208" s="44" t="n">
        <f aca="false">IFERROR((CE93+N(CE58))/CE95,"")</f>
        <v>0.758516020236088</v>
      </c>
      <c r="CF208" s="44" t="n">
        <f aca="false">IFERROR((CF93+N(CF58))/CF95,"")</f>
        <v>0.772770853307766</v>
      </c>
      <c r="CG208" s="44" t="n">
        <f aca="false">IFERROR((CG93+N(CG58))/CG95,"")</f>
        <v>0.783929715383911</v>
      </c>
      <c r="CH208" s="44" t="n">
        <f aca="false">IFERROR((CH93+N(CH58))/CH95,"")</f>
        <v>0.773059664284527</v>
      </c>
      <c r="CI208" s="44" t="n">
        <f aca="false">IFERROR((CI93+N(CI58))/CI95,"")</f>
        <v>0.775502646655194</v>
      </c>
      <c r="CJ208" s="44" t="n">
        <f aca="false">IFERROR((CJ93+N(CJ58))/CJ95,"")</f>
        <v>0.751579458934068</v>
      </c>
      <c r="CK208" s="44" t="n">
        <f aca="false">IFERROR((CK93+N(CK58))/CK95,"")</f>
        <v>0.72598891504062</v>
      </c>
      <c r="CL208" s="44" t="n">
        <f aca="false">IFERROR((CL93+N(CL58))/CL95,"")</f>
        <v>0.738370498099306</v>
      </c>
      <c r="CM208" s="35" t="n">
        <f aca="false">IFERROR((CM93+CM58)/CM95,"")</f>
        <v>0.753694377150965</v>
      </c>
      <c r="CN208" s="35" t="n">
        <f aca="false">IFERROR((CN93+CN58)/CN95,"")</f>
        <v>0.744807126360652</v>
      </c>
      <c r="CO208" s="35" t="n">
        <f aca="false">IFERROR((CO93+CO58)/CO95,"")</f>
        <v>0.743587330137179</v>
      </c>
      <c r="CP208" s="35" t="n">
        <f aca="false">IFERROR((CP93+CP58)/CP95,"")</f>
        <v>0.734285714285714</v>
      </c>
      <c r="CQ208" s="35" t="n">
        <f aca="false">IFERROR((CQ93+CQ58)/CQ95,"")</f>
        <v>0.734285714285714</v>
      </c>
      <c r="CR208" s="35" t="n">
        <f aca="false">IFERROR((CR93+CR58)/CR95,"")</f>
        <v>0.734285714285714</v>
      </c>
      <c r="CS208" s="35" t="n">
        <f aca="false">IFERROR((CS93+CS58)/CS95,"")</f>
        <v>0.734285714285714</v>
      </c>
      <c r="CT208" s="23"/>
      <c r="CV208" s="48" t="n">
        <f aca="false">IFERROR(AVERAGE(CO208,CP208,CQ208,CR208,CS208),"n/m")</f>
        <v>0.736146037456007</v>
      </c>
      <c r="CW208" s="48" t="n">
        <f aca="false">IFERROR(AVERAGE(BK208,BQ208,BW208,CC208,CI208),"n/m")</f>
        <v>0.732781940805585</v>
      </c>
      <c r="CX208" s="48" t="n">
        <f aca="false">IFERROR(AVERAGE(AG208,AM208,AS208,AY208,BE208,BK208,BQ208,BW208,CC208,CI208),"n/m")</f>
        <v>0.733097466409608</v>
      </c>
      <c r="CY208" s="48" t="n">
        <f aca="false">IFERROR(AVERAGE(C208,D208,E208,F208,G208,H208,I208,O208,U208,AA208,AG208,AM208,AS208,AY208,BE208,BK208,BQ208,BW208,CC208,CI208),"n/m")</f>
        <v>0.866548733204804</v>
      </c>
    </row>
    <row r="209" customFormat="false" ht="15" hidden="false" customHeight="true" outlineLevel="0" collapsed="false">
      <c r="B209" s="30" t="s">
        <v>296</v>
      </c>
      <c r="C209" s="44" t="n">
        <f aca="false">IFERROR(C80/C95,"")</f>
        <v>0.393981935724064</v>
      </c>
      <c r="D209" s="44" t="n">
        <f aca="false">IFERROR(D80/D95,"")</f>
        <v>0.401162529736523</v>
      </c>
      <c r="E209" s="44" t="n">
        <f aca="false">IFERROR(E80/E95,"")</f>
        <v>0.450690213010614</v>
      </c>
      <c r="F209" s="44" t="n">
        <f aca="false">IFERROR(F80/F95,"")</f>
        <v>0.427951464830029</v>
      </c>
      <c r="G209" s="44" t="n">
        <f aca="false">IFERROR(G80/G95,"")</f>
        <v>0.367552865525549</v>
      </c>
      <c r="H209" s="44" t="n">
        <f aca="false">IFERROR(H80/H95,"")</f>
        <v>0.38787777803024</v>
      </c>
      <c r="I209" s="44" t="n">
        <f aca="false">IFERROR(I80/I95,"")</f>
        <v>0.359838339555434</v>
      </c>
      <c r="J209" s="44" t="n">
        <f aca="false">IFERROR(J80/J95,"")</f>
        <v>0.313527601951832</v>
      </c>
      <c r="K209" s="44" t="n">
        <f aca="false">IFERROR(K80/K95,"")</f>
        <v>0.415197705771419</v>
      </c>
      <c r="L209" s="44" t="n">
        <f aca="false">IFERROR(L80/L95,"")</f>
        <v>0.370157999826374</v>
      </c>
      <c r="M209" s="44" t="n">
        <f aca="false">IFERROR(M80/M95,"")</f>
        <v>0.35569943289225</v>
      </c>
      <c r="N209" s="44" t="n">
        <f aca="false">IFERROR(N80/N95,"")</f>
        <v>0.491156275957721</v>
      </c>
      <c r="O209" s="44" t="n">
        <f aca="false">IFERROR(O80/O95,"")</f>
        <v>0.374409235713078</v>
      </c>
      <c r="P209" s="44" t="n">
        <f aca="false">IFERROR(P80/P95,"")</f>
        <v>0.309216131780744</v>
      </c>
      <c r="Q209" s="44" t="n">
        <f aca="false">IFERROR(Q80/Q95,"")</f>
        <v>0.447280290478373</v>
      </c>
      <c r="R209" s="44" t="n">
        <f aca="false">IFERROR(R80/R95,"")</f>
        <v>0.390665618514036</v>
      </c>
      <c r="S209" s="44" t="n">
        <f aca="false">IFERROR(S80/S95,"")</f>
        <v>0.274435759218134</v>
      </c>
      <c r="T209" s="44" t="n">
        <f aca="false">IFERROR(T80/T95,"")</f>
        <v>0.434445351264291</v>
      </c>
      <c r="U209" s="44" t="n">
        <f aca="false">IFERROR(U80/U95,"")</f>
        <v>0.379964955092216</v>
      </c>
      <c r="V209" s="44" t="n">
        <f aca="false">IFERROR(V80/V95,"")</f>
        <v>0.385588749156706</v>
      </c>
      <c r="W209" s="44" t="n">
        <f aca="false">IFERROR(W80/W95,"")</f>
        <v>0.480167484579713</v>
      </c>
      <c r="X209" s="44" t="n">
        <f aca="false">IFERROR(X80/X95,"")</f>
        <v>0.439831055534038</v>
      </c>
      <c r="Y209" s="44" t="n">
        <f aca="false">IFERROR(Y80/Y95,"")</f>
        <v>0.363352787281143</v>
      </c>
      <c r="Z209" s="44" t="n">
        <f aca="false">IFERROR(Z80/Z95,"")</f>
        <v>0.394420575511952</v>
      </c>
      <c r="AA209" s="44" t="n">
        <f aca="false">IFERROR(AA80/AA95,"")</f>
        <v>0.411700508844197</v>
      </c>
      <c r="AB209" s="44" t="n">
        <f aca="false">IFERROR(AB80/AB95,"")</f>
        <v>0.382515442040244</v>
      </c>
      <c r="AC209" s="44" t="n">
        <f aca="false">IFERROR(AC80/AC95,"")</f>
        <v>0.407197506375744</v>
      </c>
      <c r="AD209" s="44" t="n">
        <f aca="false">IFERROR(AD80/AD95,"")</f>
        <v>0.395996560619089</v>
      </c>
      <c r="AE209" s="44" t="n">
        <f aca="false">IFERROR(AE80/AE95,"")</f>
        <v>0.319562990781837</v>
      </c>
      <c r="AF209" s="44" t="n">
        <f aca="false">IFERROR(AF80/AF95,"")</f>
        <v>0.366330764671014</v>
      </c>
      <c r="AG209" s="44" t="n">
        <f aca="false">IFERROR(AG80/AG95,"")</f>
        <v>0.370917822367782</v>
      </c>
      <c r="AH209" s="44" t="n">
        <f aca="false">IFERROR(AH80/AH95,"")</f>
        <v>0.176826608232586</v>
      </c>
      <c r="AI209" s="44" t="n">
        <f aca="false">IFERROR(AI80/AI95,"")</f>
        <v>0.25895737749047</v>
      </c>
      <c r="AJ209" s="44" t="n">
        <f aca="false">IFERROR(AJ80/AJ95,"")</f>
        <v>0.222723652774091</v>
      </c>
      <c r="AK209" s="44" t="n">
        <f aca="false">IFERROR(AK80/AK95,"")</f>
        <v>0.14003016697376</v>
      </c>
      <c r="AL209" s="44" t="n">
        <f aca="false">IFERROR(AL80/AL95,"")</f>
        <v>0.202231362467866</v>
      </c>
      <c r="AM209" s="44" t="n">
        <f aca="false">IFERROR(AM80/AM95,"")</f>
        <v>0.19720528711654</v>
      </c>
      <c r="AN209" s="44" t="n">
        <f aca="false">IFERROR(AN80/AN95,"")</f>
        <v>0.19058106373329</v>
      </c>
      <c r="AO209" s="44" t="n">
        <f aca="false">IFERROR(AO80/AO95,"")</f>
        <v>0.263815512267851</v>
      </c>
      <c r="AP209" s="44" t="n">
        <f aca="false">IFERROR(AP80/AP95,"")</f>
        <v>0.230311513113935</v>
      </c>
      <c r="AQ209" s="44" t="n">
        <f aca="false">IFERROR(AQ80/AQ95,"")</f>
        <v>0.207400976580014</v>
      </c>
      <c r="AR209" s="44" t="n">
        <f aca="false">IFERROR(AR80/AR95,"")</f>
        <v>0.211999820210578</v>
      </c>
      <c r="AS209" s="44" t="n">
        <f aca="false">IFERROR(AS80/AS95,"")</f>
        <v>0.219936138171289</v>
      </c>
      <c r="AT209" s="44" t="n">
        <f aca="false">IFERROR(AT80/AT95,"")</f>
        <v>0.171002112520557</v>
      </c>
      <c r="AU209" s="44" t="n">
        <f aca="false">IFERROR(AU80/AU95,"")</f>
        <v>0.243368885769362</v>
      </c>
      <c r="AV209" s="44" t="n">
        <f aca="false">IFERROR(AV80/AV95,"")</f>
        <v>0.211849261681961</v>
      </c>
      <c r="AW209" s="44" t="n">
        <f aca="false">IFERROR(AW80/AW95,"")</f>
        <v>0.221469585501525</v>
      </c>
      <c r="AX209" s="44" t="n">
        <f aca="false">IFERROR(AX80/AX95,"")</f>
        <v>0.277316869058442</v>
      </c>
      <c r="AY209" s="44" t="n">
        <f aca="false">IFERROR(AY80/AY95,"")</f>
        <v>0.238741249513704</v>
      </c>
      <c r="AZ209" s="44" t="n">
        <f aca="false">IFERROR(AZ80/AZ95,"")</f>
        <v>0.213862509377688</v>
      </c>
      <c r="BA209" s="44" t="n">
        <f aca="false">IFERROR(BA80/BA95,"")</f>
        <v>0.28855674077882</v>
      </c>
      <c r="BB209" s="44" t="n">
        <f aca="false">IFERROR(BB80/BB95,"")</f>
        <v>0.257739259102679</v>
      </c>
      <c r="BC209" s="44" t="n">
        <f aca="false">IFERROR(BC80/BC95,"")</f>
        <v>0.301020685162061</v>
      </c>
      <c r="BD209" s="44" t="n">
        <f aca="false">IFERROR(BD80/BD95,"")</f>
        <v>0.270705479469919</v>
      </c>
      <c r="BE209" s="44" t="n">
        <f aca="false">IFERROR(BE80/BE95,"")</f>
        <v>0.271767857920799</v>
      </c>
      <c r="BF209" s="44" t="n">
        <f aca="false">IFERROR(BF80/BF95,"")</f>
        <v>0.219882070847974</v>
      </c>
      <c r="BG209" s="44" t="n">
        <f aca="false">IFERROR(BG80/BG95,"")</f>
        <v>0.310247476416701</v>
      </c>
      <c r="BH209" s="44" t="n">
        <f aca="false">IFERROR(BH80/BH95,"")</f>
        <v>0.269087367223691</v>
      </c>
      <c r="BI209" s="44" t="n">
        <f aca="false">IFERROR(BI80/BI95,"")</f>
        <v>0.276772768910647</v>
      </c>
      <c r="BJ209" s="44" t="n">
        <f aca="false">IFERROR(BJ80/BJ95,"")</f>
        <v>0.27325925987762</v>
      </c>
      <c r="BK209" s="44" t="n">
        <f aca="false">IFERROR(BK80/BK95,"")</f>
        <v>0.271934993729582</v>
      </c>
      <c r="BL209" s="44" t="n">
        <f aca="false">IFERROR(BL80/BL95,"")</f>
        <v>0.266370668230432</v>
      </c>
      <c r="BM209" s="44" t="n">
        <f aca="false">IFERROR(BM80/BM95,"")</f>
        <v>0.281127075654324</v>
      </c>
      <c r="BN209" s="44" t="n">
        <f aca="false">IFERROR(BN80/BN95,"")</f>
        <v>0.274510027126802</v>
      </c>
      <c r="BO209" s="44" t="n">
        <f aca="false">IFERROR(BO80/BO95,"")</f>
        <v>0.249208343560668</v>
      </c>
      <c r="BP209" s="44" t="n">
        <f aca="false">IFERROR(BP80/BP95,"")</f>
        <v>0.273783909827626</v>
      </c>
      <c r="BQ209" s="44" t="n">
        <f aca="false">IFERROR(BQ80/BQ95,"")</f>
        <v>0.268319790888034</v>
      </c>
      <c r="BR209" s="44" t="n">
        <f aca="false">IFERROR(BR80/BR95,"")</f>
        <v>0.258782201405152</v>
      </c>
      <c r="BS209" s="44" t="n">
        <f aca="false">IFERROR(BS80/BS95,"")</f>
        <v>0.277361048350655</v>
      </c>
      <c r="BT209" s="44" t="n">
        <f aca="false">IFERROR(BT80/BT95,"")</f>
        <v>0.271480634999073</v>
      </c>
      <c r="BU209" s="44" t="n">
        <f aca="false">IFERROR(BU80/BU95,"")</f>
        <v>0.28025102961365</v>
      </c>
      <c r="BV209" s="44" t="n">
        <f aca="false">IFERROR(BV80/BV95,"")</f>
        <v>0.295417427226439</v>
      </c>
      <c r="BW209" s="44" t="n">
        <f aca="false">IFERROR(BW80/BW95,"")</f>
        <v>0.280682682900315</v>
      </c>
      <c r="BX209" s="44" t="n">
        <f aca="false">IFERROR(BX80/BX95,"")</f>
        <v>0.31088569550108</v>
      </c>
      <c r="BY209" s="44" t="n">
        <f aca="false">IFERROR(BY80/BY95,"")</f>
        <v>0.312015327068698</v>
      </c>
      <c r="BZ209" s="44" t="n">
        <f aca="false">IFERROR(BZ80/BZ95,"")</f>
        <v>0.311458718992966</v>
      </c>
      <c r="CA209" s="44" t="n">
        <f aca="false">IFERROR(CA80/CA95,"")</f>
        <v>0.288959054797311</v>
      </c>
      <c r="CB209" s="44" t="n">
        <f aca="false">IFERROR(CB80/CB95,"")</f>
        <v>0.303083391730904</v>
      </c>
      <c r="CC209" s="44" t="n">
        <f aca="false">IFERROR(CC80/CC95,"")</f>
        <v>0.304070771672658</v>
      </c>
      <c r="CD209" s="44" t="n">
        <f aca="false">IFERROR(CD80/CD95,"")</f>
        <v>0.295778459318059</v>
      </c>
      <c r="CE209" s="44" t="n">
        <f aca="false">IFERROR(CE80/CE95,"")</f>
        <v>0.307335581787521</v>
      </c>
      <c r="CF209" s="44" t="n">
        <f aca="false">IFERROR(CF80/CF95,"")</f>
        <v>0.301751939335832</v>
      </c>
      <c r="CG209" s="44" t="n">
        <f aca="false">IFERROR(CG80/CG95,"")</f>
        <v>0.299899331930081</v>
      </c>
      <c r="CH209" s="44" t="n">
        <f aca="false">IFERROR(CH80/CH95,"")</f>
        <v>0.315439587834469</v>
      </c>
      <c r="CI209" s="44" t="n">
        <f aca="false">IFERROR(CI80/CI95,"")</f>
        <v>0.304899035005555</v>
      </c>
      <c r="CJ209" s="44" t="n">
        <f aca="false">IFERROR(CJ80/CJ95,"")</f>
        <v>0.293779361736595</v>
      </c>
      <c r="CK209" s="44" t="n">
        <f aca="false">IFERROR(CK80/CK95,"")</f>
        <v>0.293979196720067</v>
      </c>
      <c r="CL209" s="44" t="n">
        <f aca="false">IFERROR(CL80/CL95,"")</f>
        <v>0.293882509699416</v>
      </c>
      <c r="CM209" s="35" t="n">
        <f aca="false">IFERROR(CM80/CM95,"")</f>
        <v>0.313769157670962</v>
      </c>
      <c r="CN209" s="35" t="n">
        <f aca="false">IFERROR(CN80/CN95,"")</f>
        <v>0.313769157670962</v>
      </c>
      <c r="CO209" s="35" t="n">
        <f aca="false">IFERROR(CO80/CO95,"")</f>
        <v>0.303632475445923</v>
      </c>
      <c r="CP209" s="35" t="n">
        <f aca="false">IFERROR(CP80/CP95,"")</f>
        <v>0.305</v>
      </c>
      <c r="CQ209" s="35" t="n">
        <f aca="false">IFERROR(CQ80/CQ95,"")</f>
        <v>0.31</v>
      </c>
      <c r="CR209" s="35" t="n">
        <f aca="false">IFERROR(CR80/CR95,"")</f>
        <v>0.315</v>
      </c>
      <c r="CS209" s="35" t="n">
        <f aca="false">IFERROR(CS80/CS95,"")</f>
        <v>0.32</v>
      </c>
      <c r="CT209" s="23"/>
      <c r="CV209" s="48" t="n">
        <f aca="false">IFERROR(AVERAGE(CO209,CP209,CQ209,CR209,CS209),"n/m")</f>
        <v>0.310726495089185</v>
      </c>
      <c r="CW209" s="48" t="n">
        <f aca="false">IFERROR(AVERAGE(BK209,BQ209,BW209,CC209,CI209),"n/m")</f>
        <v>0.285981454839229</v>
      </c>
      <c r="CX209" s="48" t="n">
        <f aca="false">IFERROR(AVERAGE(AG209,AM209,AS209,AY209,BE209,BK209,BQ209,BW209,CC209,CI209),"n/m")</f>
        <v>0.272847562928626</v>
      </c>
      <c r="CY209" s="48" t="n">
        <f aca="false">IFERROR(AVERAGE(C209,D209,E209,F209,G209,H209,I209,O209,U209,AA209,AG209,AM209,AS209,AY209,BE209,BK209,BQ209,BW209,CC209,CI209),"n/m")</f>
        <v>0.33418027276741</v>
      </c>
    </row>
    <row r="210" customFormat="false" ht="15" hidden="false" customHeight="true" outlineLevel="0" collapsed="false">
      <c r="B210" s="30" t="s">
        <v>376</v>
      </c>
      <c r="C210" s="44" t="n">
        <f aca="false">IFERROR(C106/C95,"")</f>
        <v>0.333308771916217</v>
      </c>
      <c r="D210" s="44" t="n">
        <f aca="false">IFERROR(D106/D95,"")</f>
        <v>0.325210159471123</v>
      </c>
      <c r="E210" s="44" t="n">
        <f aca="false">IFERROR(E106/E95,"")</f>
        <v>0.344170814332982</v>
      </c>
      <c r="F210" s="44" t="n">
        <f aca="false">IFERROR(F106/F95,"")</f>
        <v>0.33905426936118</v>
      </c>
      <c r="G210" s="44" t="n">
        <f aca="false">IFERROR(G106/G95,"")</f>
        <v>0.256779407279311</v>
      </c>
      <c r="H210" s="44" t="n">
        <f aca="false">IFERROR(H106/H95,"")</f>
        <v>0.271581094625334</v>
      </c>
      <c r="I210" s="44" t="n">
        <f aca="false">IFERROR(I106/I95,"")</f>
        <v>0.2693541573906</v>
      </c>
      <c r="J210" s="44" t="n">
        <f aca="false">IFERROR(J106/J95,"")</f>
        <v>0.211614964040056</v>
      </c>
      <c r="K210" s="44" t="n">
        <f aca="false">IFERROR(K106/K95,"")</f>
        <v>0.325470301273359</v>
      </c>
      <c r="L210" s="44" t="n">
        <f aca="false">IFERROR(L106/L95,"")</f>
        <v>0.27503255490928</v>
      </c>
      <c r="M210" s="44" t="n">
        <f aca="false">IFERROR(M106/M95,"")</f>
        <v>0.247476370510397</v>
      </c>
      <c r="N210" s="44" t="n">
        <f aca="false">IFERROR(N106/N95,"")</f>
        <v>0.361110476059837</v>
      </c>
      <c r="O210" s="44" t="n">
        <f aca="false">IFERROR(O106/O95,"")</f>
        <v>0.292961320316729</v>
      </c>
      <c r="P210" s="44" t="n">
        <f aca="false">IFERROR(P106/P95,"")</f>
        <v>0.180447924696718</v>
      </c>
      <c r="Q210" s="44" t="n">
        <f aca="false">IFERROR(Q106/Q95,"")</f>
        <v>0.366517432227589</v>
      </c>
      <c r="R210" s="44" t="n">
        <f aca="false">IFERROR(R106/R95,"")</f>
        <v>0.290217658044363</v>
      </c>
      <c r="S210" s="44" t="n">
        <f aca="false">IFERROR(S106/S95,"")</f>
        <v>0.145034583288494</v>
      </c>
      <c r="T210" s="44" t="n">
        <f aca="false">IFERROR(T106/T95,"")</f>
        <v>0.298179218096593</v>
      </c>
      <c r="U210" s="44" t="n">
        <f aca="false">IFERROR(U106/U95,"")</f>
        <v>0.261662409036016</v>
      </c>
      <c r="V210" s="44" t="n">
        <f aca="false">IFERROR(V106/V95,"")</f>
        <v>0.257849123838849</v>
      </c>
      <c r="W210" s="44" t="n">
        <f aca="false">IFERROR(W106/W95,"")</f>
        <v>0.406703242280209</v>
      </c>
      <c r="X210" s="44" t="n">
        <f aca="false">IFERROR(X106/X95,"")</f>
        <v>0.343219166712776</v>
      </c>
      <c r="Y210" s="44" t="n">
        <f aca="false">IFERROR(Y106/Y95,"")</f>
        <v>0.268208346292468</v>
      </c>
      <c r="Z210" s="44" t="n">
        <f aca="false">IFERROR(Z106/Z95,"")</f>
        <v>0.370236671538882</v>
      </c>
      <c r="AA210" s="44" t="n">
        <f aca="false">IFERROR(AA106/AA95,"")</f>
        <v>0.334418221468379</v>
      </c>
      <c r="AB210" s="44" t="n">
        <f aca="false">IFERROR(AB106/AB95,"")</f>
        <v>0.291720034863011</v>
      </c>
      <c r="AC210" s="44" t="n">
        <f aca="false">IFERROR(AC106/AC95,"")</f>
        <v>0.3423632757155</v>
      </c>
      <c r="AD210" s="44" t="n">
        <f aca="false">IFERROR(AD106/AD95,"")</f>
        <v>0.319380911435942</v>
      </c>
      <c r="AE210" s="44" t="n">
        <f aca="false">IFERROR(AE106/AE95,"")</f>
        <v>0.0199106117508303</v>
      </c>
      <c r="AF210" s="44" t="n">
        <f aca="false">IFERROR(AF106/AF95,"")</f>
        <v>0.284303906138217</v>
      </c>
      <c r="AG210" s="44" t="n">
        <f aca="false">IFERROR(AG106/AG95,"")</f>
        <v>0.242150795822703</v>
      </c>
      <c r="AH210" s="44" t="n">
        <f aca="false">IFERROR(AH106/AH95,"")</f>
        <v>0.114663510958897</v>
      </c>
      <c r="AI210" s="44" t="n">
        <f aca="false">IFERROR(AI106/AI95,"")</f>
        <v>0.106071342329967</v>
      </c>
      <c r="AJ210" s="44" t="n">
        <f aca="false">IFERROR(AJ106/AJ95,"")</f>
        <v>0.109861959118662</v>
      </c>
      <c r="AK210" s="44" t="n">
        <f aca="false">IFERROR(AK106/AK95,"")</f>
        <v>0.0780427526703929</v>
      </c>
      <c r="AL210" s="44" t="n">
        <f aca="false">IFERROR(AL106/AL95,"")</f>
        <v>0.146029134532991</v>
      </c>
      <c r="AM210" s="44" t="n">
        <f aca="false">IFERROR(AM106/AM95,"")</f>
        <v>0.113276379208621</v>
      </c>
      <c r="AN210" s="44" t="n">
        <f aca="false">IFERROR(AN106/AN95,"")</f>
        <v>0.125994511449853</v>
      </c>
      <c r="AO210" s="44" t="n">
        <f aca="false">IFERROR(AO106/AO95,"")</f>
        <v>0.21025832171912</v>
      </c>
      <c r="AP210" s="44" t="n">
        <f aca="false">IFERROR(AP106/AP95,"")</f>
        <v>0.171708504188441</v>
      </c>
      <c r="AQ210" s="44" t="n">
        <f aca="false">IFERROR(AQ106/AQ95,"")</f>
        <v>0.127334458275252</v>
      </c>
      <c r="AR210" s="44" t="n">
        <f aca="false">IFERROR(AR106/AR95,"")</f>
        <v>0.157551717550819</v>
      </c>
      <c r="AS210" s="44" t="n">
        <f aca="false">IFERROR(AS106/AS95,"")</f>
        <v>0.158096486744739</v>
      </c>
      <c r="AT210" s="44" t="n">
        <f aca="false">IFERROR(AT106/AT95,"")</f>
        <v>0.112270086247524</v>
      </c>
      <c r="AU210" s="44" t="n">
        <f aca="false">IFERROR(AU106/AU95,"")</f>
        <v>0.199309804639618</v>
      </c>
      <c r="AV210" s="44" t="n">
        <f aca="false">IFERROR(AV106/AV95,"")</f>
        <v>0.161399323334066</v>
      </c>
      <c r="AW210" s="44" t="n">
        <f aca="false">IFERROR(AW106/AW95,"")</f>
        <v>0.13939805932449</v>
      </c>
      <c r="AX210" s="44" t="n">
        <f aca="false">IFERROR(AX106/AX95,"")</f>
        <v>0.202980788334527</v>
      </c>
      <c r="AY210" s="44" t="n">
        <f aca="false">IFERROR(AY106/AY95,"")</f>
        <v>0.167039398896288</v>
      </c>
      <c r="AZ210" s="44" t="n">
        <f aca="false">IFERROR(AZ106/AZ95,"")</f>
        <v>0.126929058937622</v>
      </c>
      <c r="BA210" s="44" t="n">
        <f aca="false">IFERROR(BA106/BA95,"")</f>
        <v>0.229255879706978</v>
      </c>
      <c r="BB210" s="44" t="n">
        <f aca="false">IFERROR(BB106/BB95,"")</f>
        <v>0.187037694113739</v>
      </c>
      <c r="BC210" s="44" t="n">
        <f aca="false">IFERROR(BC106/BC95,"")</f>
        <v>0.204257680776493</v>
      </c>
      <c r="BD210" s="44" t="n">
        <f aca="false">IFERROR(BD106/BD95,"")</f>
        <v>0.190849032244603</v>
      </c>
      <c r="BE210" s="44" t="n">
        <f aca="false">IFERROR(BE106/BE95,"")</f>
        <v>0.192245472895459</v>
      </c>
      <c r="BF210" s="44" t="n">
        <f aca="false">IFERROR(BF106/BF95,"")</f>
        <v>0.135057531932862</v>
      </c>
      <c r="BG210" s="44" t="n">
        <f aca="false">IFERROR(BG106/BG95,"")</f>
        <v>0.226228110232843</v>
      </c>
      <c r="BH210" s="44" t="n">
        <f aca="false">IFERROR(BH106/BH95,"")</f>
        <v>0.184701256738415</v>
      </c>
      <c r="BI210" s="44" t="n">
        <f aca="false">IFERROR(BI106/BI95,"")</f>
        <v>0.163730503940161</v>
      </c>
      <c r="BJ210" s="44" t="n">
        <f aca="false">IFERROR(BJ106/BJ95,"")</f>
        <v>0.146118378397932</v>
      </c>
      <c r="BK210" s="44" t="n">
        <f aca="false">IFERROR(BK106/BK95,"")</f>
        <v>0.170038060059098</v>
      </c>
      <c r="BL210" s="44" t="n">
        <f aca="false">IFERROR(BL106/BL95,"")</f>
        <v>0.590666656512346</v>
      </c>
      <c r="BM210" s="44" t="n">
        <f aca="false">IFERROR(BM106/BM95,"")</f>
        <v>0.189267892006125</v>
      </c>
      <c r="BN210" s="44" t="n">
        <f aca="false">IFERROR(BN106/BN95,"")</f>
        <v>0.369262590398956</v>
      </c>
      <c r="BO210" s="44" t="n">
        <f aca="false">IFERROR(BO106/BO95,"")</f>
        <v>0.154379688878412</v>
      </c>
      <c r="BP210" s="44" t="n">
        <f aca="false">IFERROR(BP106/BP95,"")</f>
        <v>0.14797875911603</v>
      </c>
      <c r="BQ210" s="44" t="n">
        <f aca="false">IFERROR(BQ106/BQ95,"")</f>
        <v>0.26161547299355</v>
      </c>
      <c r="BR210" s="44" t="n">
        <f aca="false">IFERROR(BR106/BR95,"")</f>
        <v>-0.0485948477751755</v>
      </c>
      <c r="BS210" s="44" t="n">
        <f aca="false">IFERROR(BS106/BS95,"")</f>
        <v>0.162313601446001</v>
      </c>
      <c r="BT210" s="44" t="n">
        <f aca="false">IFERROR(BT106/BT95,"")</f>
        <v>0.0955587127061586</v>
      </c>
      <c r="BU210" s="44" t="n">
        <f aca="false">IFERROR(BU106/BU95,"")</f>
        <v>0.142969209648951</v>
      </c>
      <c r="BV210" s="44" t="n">
        <f aca="false">IFERROR(BV106/BV95,"")</f>
        <v>0.16408876933423</v>
      </c>
      <c r="BW210" s="44" t="n">
        <f aca="false">IFERROR(BW106/BW95,"")</f>
        <v>0.128084574410262</v>
      </c>
      <c r="BX210" s="44" t="n">
        <f aca="false">IFERROR(BX106/BX95,"")</f>
        <v>0.186813186813187</v>
      </c>
      <c r="BY210" s="44" t="n">
        <f aca="false">IFERROR(BY106/BY95,"")</f>
        <v>0.184198522032661</v>
      </c>
      <c r="BZ210" s="44" t="n">
        <f aca="false">IFERROR(BZ106/BZ95,"")</f>
        <v>0.185486856719733</v>
      </c>
      <c r="CA210" s="44" t="n">
        <f aca="false">IFERROR(CA106/CA95,"")</f>
        <v>0.156243634141373</v>
      </c>
      <c r="CB210" s="44" t="n">
        <f aca="false">IFERROR(CB106/CB95,"")</f>
        <v>0.181324456902593</v>
      </c>
      <c r="CC210" s="44" t="n">
        <f aca="false">IFERROR(CC106/CC95,"")</f>
        <v>0.17767611222632</v>
      </c>
      <c r="CD210" s="44" t="n">
        <f aca="false">IFERROR(CD106/CD95,"")</f>
        <v>0.170936316074328</v>
      </c>
      <c r="CE210" s="44" t="n">
        <f aca="false">IFERROR(CE106/CE95,"")</f>
        <v>0.15902192242833</v>
      </c>
      <c r="CF210" s="44" t="n">
        <f aca="false">IFERROR(CF106/CF95,"")</f>
        <v>0.164778174845289</v>
      </c>
      <c r="CG210" s="44" t="n">
        <f aca="false">IFERROR(CG106/CG95,"")</f>
        <v>0.144870504255514</v>
      </c>
      <c r="CH210" s="44" t="n">
        <f aca="false">IFERROR(CH106/CH95,"")</f>
        <v>0.147083264085092</v>
      </c>
      <c r="CI210" s="44" t="n">
        <f aca="false">IFERROR(CI106/CI95,"")</f>
        <v>0.155401137081491</v>
      </c>
      <c r="CJ210" s="44" t="n">
        <f aca="false">IFERROR(CJ106/CJ95,"")</f>
        <v>0.176170419569091</v>
      </c>
      <c r="CK210" s="44" t="n">
        <f aca="false">IFERROR(CK106/CK95,"")</f>
        <v>0.170678004707311</v>
      </c>
      <c r="CL210" s="44" t="n">
        <f aca="false">IFERROR(CL106/CL95,"")</f>
        <v>0.173335423443195</v>
      </c>
      <c r="CM210" s="35" t="n">
        <f aca="false">IFERROR(CM106/CM95,"")</f>
        <v>0.181308639062595</v>
      </c>
      <c r="CN210" s="35" t="n">
        <f aca="false">IFERROR(CN106/CN95,"")</f>
        <v>0.1904419619185</v>
      </c>
      <c r="CO210" s="35" t="n">
        <f aca="false">IFERROR(CO106/CO95,"")</f>
        <v>0.179604195928882</v>
      </c>
      <c r="CP210" s="35" t="n">
        <f aca="false">IFERROR(CP106/CP95,"")</f>
        <v>0.198716568999</v>
      </c>
      <c r="CQ210" s="35" t="n">
        <f aca="false">IFERROR(CQ106/CQ95,"")</f>
        <v>0.215488194845251</v>
      </c>
      <c r="CR210" s="35" t="n">
        <f aca="false">IFERROR(CR106/CR95,"")</f>
        <v>0.225563650104686</v>
      </c>
      <c r="CS210" s="35" t="n">
        <f aca="false">IFERROR(CS106/CS95,"")</f>
        <v>0.232807550849419</v>
      </c>
      <c r="CT210" s="23"/>
      <c r="CV210" s="48" t="n">
        <f aca="false">IFERROR(AVERAGE(CO210,CP210,CQ210,CR210,CS210),"n/m")</f>
        <v>0.210436032145448</v>
      </c>
      <c r="CW210" s="48" t="n">
        <f aca="false">IFERROR(AVERAGE(BK210,BQ210,BW210,CC210,CI210),"n/m")</f>
        <v>0.178563071354144</v>
      </c>
      <c r="CX210" s="48" t="n">
        <f aca="false">IFERROR(AVERAGE(AG210,AM210,AS210,AY210,BE210,BK210,BQ210,BW210,CC210,CI210),"n/m")</f>
        <v>0.176562389033853</v>
      </c>
      <c r="CY210" s="48" t="n">
        <f aca="false">IFERROR(AVERAGE(C210,D210,E210,F210,G210,H210,I210,O210,U210,AA210,AG210,AM210,AS210,AY210,BE210,BK210,BQ210,BW210,CC210,CI210),"n/m")</f>
        <v>0.23970622577682</v>
      </c>
    </row>
    <row r="211" customFormat="false" ht="15" hidden="false" customHeight="true" outlineLevel="0" collapsed="false">
      <c r="B211" s="30" t="s">
        <v>377</v>
      </c>
      <c r="C211" s="44" t="n">
        <f aca="false">IFERROR(C115/C95,"")</f>
        <v>0.22189818387711</v>
      </c>
      <c r="D211" s="44" t="n">
        <f aca="false">IFERROR(D115/D95,"")</f>
        <v>0.243608651324438</v>
      </c>
      <c r="E211" s="44" t="n">
        <f aca="false">IFERROR(E115/E95,"")</f>
        <v>0.285780315542052</v>
      </c>
      <c r="F211" s="44" t="n">
        <f aca="false">IFERROR(F115/F95,"")</f>
        <v>0.247744630989022</v>
      </c>
      <c r="G211" s="44" t="n">
        <f aca="false">IFERROR(G115/G95,"")</f>
        <v>0.183773634534613</v>
      </c>
      <c r="H211" s="44" t="n">
        <f aca="false">IFERROR(H115/H95,"")</f>
        <v>0.193469309440317</v>
      </c>
      <c r="I211" s="44" t="n">
        <f aca="false">IFERROR(I115/I95,"")</f>
        <v>0.181630532817299</v>
      </c>
      <c r="J211" s="44" t="n">
        <f aca="false">IFERROR(J115/J95,"")</f>
        <v>0.137627623508201</v>
      </c>
      <c r="K211" s="44" t="n">
        <f aca="false">IFERROR(K115/K95,"")</f>
        <v>0.234005080968189</v>
      </c>
      <c r="L211" s="44" t="n">
        <f aca="false">IFERROR(L115/L95,"")</f>
        <v>0.19131000954944</v>
      </c>
      <c r="M211" s="44" t="n">
        <f aca="false">IFERROR(M115/M95,"")</f>
        <v>0.155255198487713</v>
      </c>
      <c r="N211" s="44" t="n">
        <f aca="false">IFERROR(N115/N95,"")</f>
        <v>0.260061117334614</v>
      </c>
      <c r="O211" s="44" t="n">
        <f aca="false">IFERROR(O115/O95,"")</f>
        <v>0.202063315810981</v>
      </c>
      <c r="P211" s="44" t="n">
        <f aca="false">IFERROR(P115/P95,"")</f>
        <v>0.147259301334848</v>
      </c>
      <c r="Q211" s="44" t="n">
        <f aca="false">IFERROR(Q115/Q95,"")</f>
        <v>0.27591920188952</v>
      </c>
      <c r="R211" s="44" t="n">
        <f aca="false">IFERROR(R115/R95,"")</f>
        <v>0.223160845676162</v>
      </c>
      <c r="S211" s="44" t="n">
        <f aca="false">IFERROR(S115/S95,"")</f>
        <v>0.0939471907803984</v>
      </c>
      <c r="T211" s="44" t="n">
        <f aca="false">IFERROR(T115/T95,"")</f>
        <v>0.215344836302968</v>
      </c>
      <c r="U211" s="44" t="n">
        <f aca="false">IFERROR(U115/U95,"")</f>
        <v>0.192399869464994</v>
      </c>
      <c r="V211" s="44" t="n">
        <f aca="false">IFERROR(V115/V95,"")</f>
        <v>0.208531543531284</v>
      </c>
      <c r="W211" s="44" t="n">
        <f aca="false">IFERROR(W115/W95,"")</f>
        <v>0.294873196678608</v>
      </c>
      <c r="X211" s="44" t="n">
        <f aca="false">IFERROR(X115/X95,"")</f>
        <v>0.258049761153839</v>
      </c>
      <c r="Y211" s="44" t="n">
        <f aca="false">IFERROR(Y115/Y95,"")</f>
        <v>0.19435957481842</v>
      </c>
      <c r="Z211" s="44" t="n">
        <f aca="false">IFERROR(Z115/Z95,"")</f>
        <v>0.349706928880424</v>
      </c>
      <c r="AA211" s="44" t="n">
        <f aca="false">IFERROR(AA115/AA95,"")</f>
        <v>0.26862127453356</v>
      </c>
      <c r="AB211" s="44" t="n">
        <f aca="false">IFERROR(AB115/AB95,"")</f>
        <v>0.227321990223199</v>
      </c>
      <c r="AC211" s="44" t="n">
        <f aca="false">IFERROR(AC115/AC95,"")</f>
        <v>0.25560278328768</v>
      </c>
      <c r="AD211" s="44" t="n">
        <f aca="false">IFERROR(AD115/AD95,"")</f>
        <v>0.242768701633706</v>
      </c>
      <c r="AE211" s="44" t="n">
        <f aca="false">IFERROR(AE115/AE95,"")</f>
        <v>-0.0387969831465905</v>
      </c>
      <c r="AF211" s="44" t="n">
        <f aca="false">IFERROR(AF115/AF95,"")</f>
        <v>0.190278601066983</v>
      </c>
      <c r="AG211" s="44" t="n">
        <f aca="false">IFERROR(AG115/AG95,"")</f>
        <v>0.165100327509953</v>
      </c>
      <c r="AH211" s="44" t="n">
        <f aca="false">IFERROR(AH115/AH95,"")</f>
        <v>0.0523148821373235</v>
      </c>
      <c r="AI211" s="44" t="n">
        <f aca="false">IFERROR(AI115/AI95,"")</f>
        <v>0.0701191150099164</v>
      </c>
      <c r="AJ211" s="44" t="n">
        <f aca="false">IFERROR(AJ115/AJ95,"")</f>
        <v>0.0622644013804088</v>
      </c>
      <c r="AK211" s="44" t="n">
        <f aca="false">IFERROR(AK115/AK95,"")</f>
        <v>0.0453955787353618</v>
      </c>
      <c r="AL211" s="44" t="n">
        <f aca="false">IFERROR(AL115/AL95,"")</f>
        <v>0.126262210796915</v>
      </c>
      <c r="AM211" s="44" t="n">
        <f aca="false">IFERROR(AM115/AM95,"")</f>
        <v>0.0775398454063105</v>
      </c>
      <c r="AN211" s="44" t="n">
        <f aca="false">IFERROR(AN115/AN95,"")</f>
        <v>0.0661354918555757</v>
      </c>
      <c r="AO211" s="44" t="n">
        <f aca="false">IFERROR(AO115/AO95,"")</f>
        <v>0.148209250316015</v>
      </c>
      <c r="AP211" s="44" t="n">
        <f aca="false">IFERROR(AP115/AP95,"")</f>
        <v>0.110661358728908</v>
      </c>
      <c r="AQ211" s="44" t="n">
        <f aca="false">IFERROR(AQ115/AQ95,"")</f>
        <v>0.0942016580665672</v>
      </c>
      <c r="AR211" s="44" t="n">
        <f aca="false">IFERROR(AR115/AR95,"")</f>
        <v>0.0996145764273596</v>
      </c>
      <c r="AS211" s="44" t="n">
        <f aca="false">IFERROR(AS115/AS95,"")</f>
        <v>0.103848974296298</v>
      </c>
      <c r="AT211" s="44" t="n">
        <f aca="false">IFERROR(AT115/AT95,"")</f>
        <v>0.0598888043001822</v>
      </c>
      <c r="AU211" s="44" t="n">
        <f aca="false">IFERROR(AU115/AU95,"")</f>
        <v>0.137660151263154</v>
      </c>
      <c r="AV211" s="44" t="n">
        <f aca="false">IFERROR(AV115/AV95,"")</f>
        <v>0.103786544482101</v>
      </c>
      <c r="AW211" s="44" t="n">
        <f aca="false">IFERROR(AW115/AW95,"")</f>
        <v>0.0872061726179795</v>
      </c>
      <c r="AX211" s="44" t="n">
        <f aca="false">IFERROR(AX115/AX95,"")</f>
        <v>0.155225560967386</v>
      </c>
      <c r="AY211" s="44" t="n">
        <f aca="false">IFERROR(AY115/AY95,"")</f>
        <v>0.113101291405318</v>
      </c>
      <c r="AZ211" s="44" t="n">
        <f aca="false">IFERROR(AZ115/AZ95,"")</f>
        <v>0.0835446743883918</v>
      </c>
      <c r="BA211" s="44" t="n">
        <f aca="false">IFERROR(BA115/BA95,"")</f>
        <v>0.136535149723686</v>
      </c>
      <c r="BB211" s="44" t="n">
        <f aca="false">IFERROR(BB115/BB95,"")</f>
        <v>0.114672243150814</v>
      </c>
      <c r="BC211" s="44" t="n">
        <f aca="false">IFERROR(BC115/BC95,"")</f>
        <v>0.137207352311321</v>
      </c>
      <c r="BD211" s="44" t="n">
        <f aca="false">IFERROR(BD115/BD95,"")</f>
        <v>0.12758826643854</v>
      </c>
      <c r="BE211" s="44" t="n">
        <f aca="false">IFERROR(BE115/BE95,"")</f>
        <v>0.12369342026923</v>
      </c>
      <c r="BF211" s="44" t="n">
        <f aca="false">IFERROR(BF115/BF95,"")</f>
        <v>0.084869780277782</v>
      </c>
      <c r="BG211" s="44" t="n">
        <f aca="false">IFERROR(BG115/BG95,"")</f>
        <v>0.153347579605461</v>
      </c>
      <c r="BH211" s="44" t="n">
        <f aca="false">IFERROR(BH115/BH95,"")</f>
        <v>0.122156952175801</v>
      </c>
      <c r="BI211" s="44" t="n">
        <f aca="false">IFERROR(BI115/BI95,"")</f>
        <v>0.0981460922949996</v>
      </c>
      <c r="BJ211" s="44" t="n">
        <f aca="false">IFERROR(BJ115/BJ95,"")</f>
        <v>0.0850815169753989</v>
      </c>
      <c r="BK211" s="44" t="n">
        <f aca="false">IFERROR(BK115/BK95,"")</f>
        <v>0.107168036607665</v>
      </c>
      <c r="BL211" s="44" t="n">
        <f aca="false">IFERROR(BL115/BL95,"")</f>
        <v>0.45212364915808</v>
      </c>
      <c r="BM211" s="44" t="n">
        <f aca="false">IFERROR(BM115/BM95,"")</f>
        <v>0.110228956590293</v>
      </c>
      <c r="BN211" s="44" t="n">
        <f aca="false">IFERROR(BN115/BN95,"")</f>
        <v>0.263540918440875</v>
      </c>
      <c r="BO211" s="44" t="n">
        <f aca="false">IFERROR(BO115/BO95,"")</f>
        <v>0.104316380665842</v>
      </c>
      <c r="BP211" s="44" t="n">
        <f aca="false">IFERROR(BP115/BP95,"")</f>
        <v>0.10210854298981</v>
      </c>
      <c r="BQ211" s="44" t="n">
        <f aca="false">IFERROR(BQ115/BQ95,"")</f>
        <v>0.184425265081255</v>
      </c>
      <c r="BR211" s="44" t="n">
        <f aca="false">IFERROR(BR115/BR95,"")</f>
        <v>-0.0550351288056204</v>
      </c>
      <c r="BS211" s="44" t="n">
        <f aca="false">IFERROR(BS115/BS95,"")</f>
        <v>0.0784455490284681</v>
      </c>
      <c r="BT211" s="44" t="n">
        <f aca="false">IFERROR(BT115/BT95,"")</f>
        <v>0.0361974179998766</v>
      </c>
      <c r="BU211" s="44" t="n">
        <f aca="false">IFERROR(BU115/BU95,"")</f>
        <v>0.0619729358697783</v>
      </c>
      <c r="BV211" s="44" t="n">
        <f aca="false">IFERROR(BV115/BV95,"")</f>
        <v>0.0808915361706218</v>
      </c>
      <c r="BW211" s="44" t="n">
        <f aca="false">IFERROR(BW115/BW95,"")</f>
        <v>0.0559843461245788</v>
      </c>
      <c r="BX211" s="44" t="n">
        <f aca="false">IFERROR(BX115/BX95,"")</f>
        <v>0.10087348548887</v>
      </c>
      <c r="BY211" s="44" t="n">
        <f aca="false">IFERROR(BY115/BY95,"")</f>
        <v>0.101268132469665</v>
      </c>
      <c r="BZ211" s="44" t="n">
        <f aca="false">IFERROR(BZ115/BZ95,"")</f>
        <v>0.101073676416142</v>
      </c>
      <c r="CA211" s="44" t="n">
        <f aca="false">IFERROR(CA115/CA95,"")</f>
        <v>0.0774088409044612</v>
      </c>
      <c r="CB211" s="44" t="n">
        <f aca="false">IFERROR(CB115/CB95,"")</f>
        <v>0.103714085494043</v>
      </c>
      <c r="CC211" s="44" t="n">
        <f aca="false">IFERROR(CC115/CC95,"")</f>
        <v>0.0963540450959338</v>
      </c>
      <c r="CD211" s="44" t="n">
        <f aca="false">IFERROR(CD115/CD95,"")</f>
        <v>0.102200974201696</v>
      </c>
      <c r="CE211" s="44" t="n">
        <f aca="false">IFERROR(CE115/CE95,"")</f>
        <v>0.0924957841483979</v>
      </c>
      <c r="CF211" s="44" t="n">
        <f aca="false">IFERROR(CF115/CF95,"")</f>
        <v>0.0971846945001309</v>
      </c>
      <c r="CG211" s="44" t="n">
        <f aca="false">IFERROR(CG115/CG95,"")</f>
        <v>0.0871236386931453</v>
      </c>
      <c r="CH211" s="44" t="n">
        <f aca="false">IFERROR(CH115/CH95,"")</f>
        <v>0.0909090909090909</v>
      </c>
      <c r="CI211" s="44" t="n">
        <f aca="false">IFERROR(CI115/CI95,"")</f>
        <v>0.0931448362994751</v>
      </c>
      <c r="CJ211" s="44" t="n">
        <f aca="false">IFERROR(CJ115/CJ95,"")</f>
        <v>0.109833144338247</v>
      </c>
      <c r="CK211" s="44" t="n">
        <f aca="false">IFERROR(CK115/CK95,"")</f>
        <v>0.109027408700934</v>
      </c>
      <c r="CL211" s="44" t="n">
        <f aca="false">IFERROR(CL115/CL95,"")</f>
        <v>0.109417251244268</v>
      </c>
      <c r="CM211" s="35" t="n">
        <f aca="false">IFERROR(CM115/CM95,"")</f>
        <v>0.105070945319307</v>
      </c>
      <c r="CN211" s="35" t="n">
        <f aca="false">IFERROR(CN115/CN95,"")</f>
        <v>0.122007348659322</v>
      </c>
      <c r="CO211" s="35" t="n">
        <f aca="false">IFERROR(CO115/CO95,"")</f>
        <v>0.111662052414473</v>
      </c>
      <c r="CP211" s="35" t="n">
        <f aca="false">IFERROR(CP115/CP95,"")</f>
        <v>0.129478745627203</v>
      </c>
      <c r="CQ211" s="35" t="n">
        <f aca="false">IFERROR(CQ115/CQ95,"")</f>
        <v>0.144565824012901</v>
      </c>
      <c r="CR211" s="35" t="n">
        <f aca="false">IFERROR(CR115/CR95,"")</f>
        <v>0.154537316053104</v>
      </c>
      <c r="CS211" s="35" t="n">
        <f aca="false">IFERROR(CS115/CS95,"")</f>
        <v>0.161948806758687</v>
      </c>
      <c r="CT211" s="23"/>
      <c r="CV211" s="48" t="n">
        <f aca="false">IFERROR(AVERAGE(CO211,CP211,CQ211,CR211,CS211),"n/m")</f>
        <v>0.140438548973274</v>
      </c>
      <c r="CW211" s="48" t="n">
        <f aca="false">IFERROR(AVERAGE(BK211,BQ211,BW211,CC211,CI211),"n/m")</f>
        <v>0.107415305841782</v>
      </c>
      <c r="CX211" s="48" t="n">
        <f aca="false">IFERROR(AVERAGE(AG211,AM211,AS211,AY211,BE211,BK211,BQ211,BW211,CC211,CI211),"n/m")</f>
        <v>0.112036038809602</v>
      </c>
      <c r="CY211" s="48" t="n">
        <f aca="false">IFERROR(AVERAGE(C211,D211,E211,F211,G211,H211,I211,O211,U211,AA211,AG211,AM211,AS211,AY211,BE211,BK211,BQ211,BW211,CC211,CI211),"n/m")</f>
        <v>0.16706750532152</v>
      </c>
    </row>
    <row r="212" customFormat="false" ht="15" hidden="false" customHeight="true" outlineLevel="0" collapsed="false">
      <c r="B212" s="30" t="s">
        <v>378</v>
      </c>
      <c r="C212" s="44" t="n">
        <f aca="false">C85</f>
        <v>0</v>
      </c>
      <c r="D212" s="44" t="n">
        <f aca="false">D85</f>
        <v>0.435419711743047</v>
      </c>
      <c r="E212" s="44" t="n">
        <f aca="false">E85</f>
        <v>0.810682326621923</v>
      </c>
      <c r="F212" s="44" t="n">
        <f aca="false">F85</f>
        <v>0.0676550707810508</v>
      </c>
      <c r="G212" s="44" t="n">
        <f aca="false">G85</f>
        <v>1.515774619494</v>
      </c>
      <c r="H212" s="44" t="n">
        <f aca="false">H85</f>
        <v>0.575419571391686</v>
      </c>
      <c r="I212" s="44" t="n">
        <f aca="false">I85</f>
        <v>0.0944906345565746</v>
      </c>
      <c r="J212" s="44" t="n">
        <f aca="false">J85</f>
        <v>0</v>
      </c>
      <c r="K212" s="44" t="n">
        <f aca="false">K85</f>
        <v>0</v>
      </c>
      <c r="L212" s="44" t="n">
        <f aca="false">L85</f>
        <v>0</v>
      </c>
      <c r="M212" s="44" t="n">
        <f aca="false">M85</f>
        <v>0</v>
      </c>
      <c r="N212" s="44" t="n">
        <f aca="false">N85</f>
        <v>0</v>
      </c>
      <c r="O212" s="44" t="n">
        <f aca="false">O85</f>
        <v>0.591109752784569</v>
      </c>
      <c r="P212" s="44" t="n">
        <f aca="false">P85</f>
        <v>0.436023054755049</v>
      </c>
      <c r="Q212" s="44" t="n">
        <f aca="false">Q85</f>
        <v>0.751942573817806</v>
      </c>
      <c r="R212" s="44" t="n">
        <f aca="false">R85</f>
        <v>0.861097281688737</v>
      </c>
      <c r="S212" s="44" t="n">
        <f aca="false">S85</f>
        <v>2.67401618755233</v>
      </c>
      <c r="T212" s="44" t="n">
        <f aca="false">T85</f>
        <v>-0.594277025158976</v>
      </c>
      <c r="U212" s="44" t="n">
        <f aca="false">U85</f>
        <v>0.569592522272531</v>
      </c>
      <c r="V212" s="44" t="n">
        <f aca="false">V85</f>
        <v>0.827715795654728</v>
      </c>
      <c r="W212" s="44" t="n">
        <f aca="false">W85</f>
        <v>0.822093534672334</v>
      </c>
      <c r="X212" s="44" t="n">
        <f aca="false">X85</f>
        <v>0.825215179968702</v>
      </c>
      <c r="Y212" s="44" t="n">
        <f aca="false">Y85</f>
        <v>1.64328967751021</v>
      </c>
      <c r="Z212" s="44" t="n">
        <f aca="false">Z85</f>
        <v>2.24474123539231</v>
      </c>
      <c r="AA212" s="44" t="n">
        <f aca="false">AA85</f>
        <v>0.85071021910403</v>
      </c>
      <c r="AB212" s="44" t="n">
        <f aca="false">AB85</f>
        <v>0.360752128376309</v>
      </c>
      <c r="AC212" s="44" t="n">
        <f aca="false">AC85</f>
        <v>-3.00180288461538</v>
      </c>
      <c r="AD212" s="44" t="n">
        <f aca="false">AD85</f>
        <v>-0.208598321037907</v>
      </c>
      <c r="AE212" s="44" t="n">
        <f aca="false">AE85</f>
        <v>0.0748031496062992</v>
      </c>
      <c r="AF212" s="44" t="n">
        <f aca="false">AF85</f>
        <v>0.0298045458565499</v>
      </c>
      <c r="AG212" s="44" t="n">
        <f aca="false">AG85</f>
        <v>-0.0455265241488516</v>
      </c>
      <c r="AH212" s="44" t="n">
        <f aca="false">AH85</f>
        <v>-0.225348981950742</v>
      </c>
      <c r="AI212" s="44" t="n">
        <f aca="false">AI85</f>
        <v>0.00800571379839663</v>
      </c>
      <c r="AJ212" s="44" t="n">
        <f aca="false">AJ85</f>
        <v>-0.0896273792547585</v>
      </c>
      <c r="AK212" s="44" t="n">
        <f aca="false">AK85</f>
        <v>-0.0948084242578026</v>
      </c>
      <c r="AL212" s="44" t="n">
        <f aca="false">AL85</f>
        <v>0.0361081796925115</v>
      </c>
      <c r="AM212" s="44" t="n">
        <f aca="false">AM85</f>
        <v>-0.0458551961975909</v>
      </c>
      <c r="AN212" s="44" t="n">
        <f aca="false">AN85</f>
        <v>0.235732745139998</v>
      </c>
      <c r="AO212" s="44" t="n">
        <f aca="false">AO85</f>
        <v>0.285762827047231</v>
      </c>
      <c r="AP212" s="44" t="n">
        <f aca="false">AP85</f>
        <v>0.259711317584942</v>
      </c>
      <c r="AQ212" s="44" t="n">
        <f aca="false">AQ85</f>
        <v>1.06113123432711</v>
      </c>
      <c r="AR212" s="44" t="n">
        <f aca="false">AR85</f>
        <v>0.256376319641245</v>
      </c>
      <c r="AS212" s="44" t="n">
        <f aca="false">AS85</f>
        <v>0.330962858651646</v>
      </c>
      <c r="AT212" s="44" t="n">
        <f aca="false">AT85</f>
        <v>0.0532242029086026</v>
      </c>
      <c r="AU212" s="44" t="n">
        <f aca="false">AU85</f>
        <v>0.168882539082794</v>
      </c>
      <c r="AV212" s="44" t="n">
        <f aca="false">AV85</f>
        <v>0.12978435709652</v>
      </c>
      <c r="AW212" s="44" t="n">
        <f aca="false">AW85</f>
        <v>0.299122609673791</v>
      </c>
      <c r="AX212" s="44" t="n">
        <f aca="false">AX85</f>
        <v>-0.700521490453358</v>
      </c>
      <c r="AY212" s="44" t="n">
        <f aca="false">AY85</f>
        <v>0.386791373683679</v>
      </c>
      <c r="AZ212" s="44" t="n">
        <f aca="false">AZ85</f>
        <v>-0.217140584609267</v>
      </c>
      <c r="BA212" s="44" t="n">
        <f aca="false">BA85</f>
        <v>-3.97051773729629</v>
      </c>
      <c r="BB212" s="44" t="n">
        <f aca="false">BB85</f>
        <v>-0.67306236534094</v>
      </c>
      <c r="BC212" s="44" t="n">
        <f aca="false">BC85</f>
        <v>0.853255401715134</v>
      </c>
      <c r="BD212" s="44" t="n">
        <f aca="false">BD85</f>
        <v>0.227825611589449</v>
      </c>
      <c r="BE212" s="44" t="n">
        <f aca="false">BE85</f>
        <v>1.01470512973609</v>
      </c>
      <c r="BF212" s="44" t="n">
        <f aca="false">BF85</f>
        <v>0.248096054888508</v>
      </c>
      <c r="BG212" s="44" t="n">
        <f aca="false">BG85</f>
        <v>1.46450553959787</v>
      </c>
      <c r="BH212" s="44" t="n">
        <f aca="false">BH85</f>
        <v>0.383639938424959</v>
      </c>
      <c r="BI212" s="44" t="n">
        <f aca="false">BI85</f>
        <v>4.59892473118276</v>
      </c>
      <c r="BJ212" s="44" t="n">
        <f aca="false">BJ85</f>
        <v>0.232529118136439</v>
      </c>
      <c r="BK212" s="44" t="n">
        <f aca="false">BK85</f>
        <v>0.277731610888671</v>
      </c>
      <c r="BL212" s="44" t="n">
        <f aca="false">BL85</f>
        <v>0.513516980405991</v>
      </c>
      <c r="BM212" s="44" t="n">
        <f aca="false">BM85</f>
        <v>0.150240970686625</v>
      </c>
      <c r="BN212" s="44" t="n">
        <f aca="false">BN85</f>
        <v>0.300728656734263</v>
      </c>
      <c r="BO212" s="44" t="n">
        <f aca="false">BO85</f>
        <v>0.138110199640574</v>
      </c>
      <c r="BP212" s="44" t="n">
        <f aca="false">BP85</f>
        <v>0.276015528832497</v>
      </c>
      <c r="BQ212" s="44" t="n">
        <f aca="false">BQ85</f>
        <v>0.252151737328658</v>
      </c>
      <c r="BR212" s="44" t="n">
        <f aca="false">BR85</f>
        <v>0.233551937474151</v>
      </c>
      <c r="BS212" s="44" t="n">
        <f aca="false">BS85</f>
        <v>0.274427047659473</v>
      </c>
      <c r="BT212" s="44" t="n">
        <f aca="false">BT85</f>
        <v>0.267886493443701</v>
      </c>
      <c r="BU212" s="44" t="n">
        <f aca="false">BU85</f>
        <v>0.301248847236903</v>
      </c>
      <c r="BV212" s="44" t="n">
        <f aca="false">BV85</f>
        <v>0.311500588738759</v>
      </c>
      <c r="BW212" s="44" t="n">
        <f aca="false">BW85</f>
        <v>0.291698701608394</v>
      </c>
      <c r="BX212" s="44" t="n">
        <f aca="false">BX85</f>
        <v>0.359225058844831</v>
      </c>
      <c r="BY212" s="44" t="n">
        <f aca="false">BY85</f>
        <v>-3.37499999999997</v>
      </c>
      <c r="BZ212" s="44" t="n">
        <f aca="false">BZ85</f>
        <v>0.430891308359476</v>
      </c>
      <c r="CA212" s="44" t="n">
        <f aca="false">CA85</f>
        <v>0.0552631578947374</v>
      </c>
      <c r="CB212" s="44" t="n">
        <f aca="false">CB85</f>
        <v>0.38232373386296</v>
      </c>
      <c r="CC212" s="44" t="n">
        <f aca="false">CC85</f>
        <v>0.446410850148859</v>
      </c>
      <c r="CD212" s="44" t="n">
        <f aca="false">CD85</f>
        <v>-0.0706150341685657</v>
      </c>
      <c r="CE212" s="44" t="n">
        <f aca="false">CE85</f>
        <v>0.25027808676307</v>
      </c>
      <c r="CF212" s="44" t="n">
        <f aca="false">CF85</f>
        <v>0.144992526158445</v>
      </c>
      <c r="CG212" s="44" t="n">
        <f aca="false">CG85</f>
        <v>0.396753832281334</v>
      </c>
      <c r="CH212" s="44" t="n">
        <f aca="false">CH85</f>
        <v>0.543689320388348</v>
      </c>
      <c r="CI212" s="44" t="n">
        <f aca="false">CI85</f>
        <v>0.316476345840131</v>
      </c>
      <c r="CJ212" s="44" t="n">
        <f aca="false">CJ85</f>
        <v>0.276190476190476</v>
      </c>
      <c r="CK212" s="44" t="n">
        <f aca="false">CK85</f>
        <v>0.173150266971777</v>
      </c>
      <c r="CL212" s="44" t="n">
        <f aca="false">CL85</f>
        <v>0.223648385842085</v>
      </c>
      <c r="CM212" s="35" t="n">
        <f aca="false">CM85</f>
        <v>0.535708956339197</v>
      </c>
      <c r="CN212" s="35" t="n">
        <f aca="false">CN85</f>
        <v>0.291425042602639</v>
      </c>
      <c r="CO212" s="35" t="n">
        <f aca="false">CO85</f>
        <v>0.289633763098311</v>
      </c>
      <c r="CP212" s="35" t="n">
        <f aca="false">CP85</f>
        <v>0.331742970419007</v>
      </c>
      <c r="CQ212" s="35" t="n">
        <f aca="false">CQ85</f>
        <v>0.41471370999671</v>
      </c>
      <c r="CR212" s="35" t="n">
        <f aca="false">CR85</f>
        <v>0.431556978286588</v>
      </c>
      <c r="CS212" s="35" t="n">
        <f aca="false">CS85</f>
        <v>0.436537401622266</v>
      </c>
      <c r="CT212" s="23"/>
      <c r="CV212" s="48" t="n">
        <f aca="false">IFERROR(AVERAGE(CO212,CP212,CQ212,CR212,CS212),"n/m")</f>
        <v>0.380836964684576</v>
      </c>
      <c r="CW212" s="48" t="n">
        <f aca="false">IFERROR(AVERAGE(BK212,BQ212,BW212,CC212,CI212),"n/m")</f>
        <v>0.316893849162942</v>
      </c>
      <c r="CX212" s="48" t="n">
        <f aca="false">IFERROR(AVERAGE(AG212,AM212,AS212,AY212,BE212,BK212,BQ212,BW212,CC212,CI212),"n/m")</f>
        <v>0.322554688753969</v>
      </c>
      <c r="CY212" s="48" t="n">
        <f aca="false">IFERROR(AVERAGE(C212,D212,E212,F212,G212,H212,I212,O212,U212,AA212,AG212,AM212,AS212,AY212,BE212,BK212,BQ212,BW212,CC212,CI212),"n/m")</f>
        <v>0.436820065814455</v>
      </c>
    </row>
    <row r="213" customFormat="false" ht="15" hidden="false" customHeight="true" outlineLevel="0" collapsed="false">
      <c r="B213" s="30" t="s">
        <v>178</v>
      </c>
      <c r="C213" s="44" t="n">
        <f aca="false">C65</f>
        <v>0.156897039832155</v>
      </c>
      <c r="D213" s="44" t="n">
        <f aca="false">D65</f>
        <v>0.149022461895571</v>
      </c>
      <c r="E213" s="44" t="n">
        <f aca="false">E65</f>
        <v>0.140212728779262</v>
      </c>
      <c r="F213" s="44" t="n">
        <f aca="false">F65</f>
        <v>0.132260193896785</v>
      </c>
      <c r="G213" s="44" t="n">
        <f aca="false">G65</f>
        <v>0.13157548640201</v>
      </c>
      <c r="H213" s="44" t="n">
        <f aca="false">H65</f>
        <v>0.121292909095958</v>
      </c>
      <c r="I213" s="44" t="n">
        <f aca="false">I65</f>
        <v>0.113452295327145</v>
      </c>
      <c r="J213" s="44" t="n">
        <f aca="false">J65</f>
        <v>0.0917223539555939</v>
      </c>
      <c r="K213" s="44" t="n">
        <f aca="false">K65</f>
        <v>0.121187325633952</v>
      </c>
      <c r="L213" s="44" t="n">
        <f aca="false">L65</f>
        <v>0.108134386665509</v>
      </c>
      <c r="M213" s="44" t="n">
        <f aca="false">M65</f>
        <v>0.112476370510397</v>
      </c>
      <c r="N213" s="44" t="n">
        <f aca="false">N65</f>
        <v>0.131044100500674</v>
      </c>
      <c r="O213" s="44" t="n">
        <f aca="false">O65</f>
        <v>0.115549108585097</v>
      </c>
      <c r="P213" s="44" t="n">
        <f aca="false">P65</f>
        <v>0.104475189678257</v>
      </c>
      <c r="Q213" s="44" t="n">
        <f aca="false">Q65</f>
        <v>0.124200655691472</v>
      </c>
      <c r="R213" s="44" t="n">
        <f aca="false">R65</f>
        <v>0.116112019232769</v>
      </c>
      <c r="S213" s="44" t="n">
        <f aca="false">S65</f>
        <v>0.12179970063688</v>
      </c>
      <c r="T213" s="44" t="n">
        <f aca="false">T65</f>
        <v>0.126523036032848</v>
      </c>
      <c r="U213" s="44" t="n">
        <f aca="false">U65</f>
        <v>0.120316692891454</v>
      </c>
      <c r="V213" s="44" t="n">
        <f aca="false">V65</f>
        <v>0.100408240931343</v>
      </c>
      <c r="W213" s="44" t="n">
        <f aca="false">W65</f>
        <v>0.10951459058253</v>
      </c>
      <c r="X213" s="44" t="n">
        <f aca="false">X65</f>
        <v>0.105630867408104</v>
      </c>
      <c r="Y213" s="44" t="n">
        <f aca="false">Y65</f>
        <v>0.110183135439726</v>
      </c>
      <c r="Z213" s="44" t="n">
        <f aca="false">Z65</f>
        <v>0.113279000752979</v>
      </c>
      <c r="AA213" s="44" t="n">
        <f aca="false">AA65</f>
        <v>0.108603828446814</v>
      </c>
      <c r="AB213" s="44" t="n">
        <f aca="false">AB65</f>
        <v>0.116055932396074</v>
      </c>
      <c r="AC213" s="44" t="n">
        <f aca="false">AC65</f>
        <v>0.124416737508265</v>
      </c>
      <c r="AD213" s="44" t="n">
        <f aca="false">AD65</f>
        <v>0.12062252794497</v>
      </c>
      <c r="AE213" s="44" t="n">
        <f aca="false">AE65</f>
        <v>0.114451100282442</v>
      </c>
      <c r="AF213" s="44" t="n">
        <f aca="false">AF65</f>
        <v>0.110656882584197</v>
      </c>
      <c r="AG213" s="44" t="n">
        <f aca="false">AG65</f>
        <v>0.11663591663062</v>
      </c>
      <c r="AH213" s="44" t="n">
        <f aca="false">AH65</f>
        <v>0.197278305060018</v>
      </c>
      <c r="AI213" s="44" t="n">
        <f aca="false">AI65</f>
        <v>0.210085152446613</v>
      </c>
      <c r="AJ213" s="44" t="n">
        <f aca="false">AJ65</f>
        <v>0.204749297601037</v>
      </c>
      <c r="AK213" s="44" t="n">
        <f aca="false">AK65</f>
        <v>0.229282297962148</v>
      </c>
      <c r="AL213" s="44" t="n">
        <f aca="false">AL65</f>
        <v>0.214399701674244</v>
      </c>
      <c r="AM213" s="44" t="n">
        <f aca="false">AM65</f>
        <v>0.213301367515619</v>
      </c>
      <c r="AN213" s="44" t="n">
        <f aca="false">AN65</f>
        <v>0.208259476411235</v>
      </c>
      <c r="AO213" s="44" t="n">
        <f aca="false">AO65</f>
        <v>0.200764185009284</v>
      </c>
      <c r="AP213" s="44" t="n">
        <f aca="false">AP65</f>
        <v>0.204143845968614</v>
      </c>
      <c r="AQ213" s="44" t="n">
        <f aca="false">AQ65</f>
        <v>0.204822338170957</v>
      </c>
      <c r="AR213" s="44" t="n">
        <f aca="false">AR65</f>
        <v>0.23417551914005</v>
      </c>
      <c r="AS213" s="44" t="n">
        <f aca="false">AS65</f>
        <v>0.212214565418971</v>
      </c>
      <c r="AT213" s="44" t="n">
        <f aca="false">AT65</f>
        <v>0.209250922423595</v>
      </c>
      <c r="AU213" s="44" t="n">
        <f aca="false">AU65</f>
        <v>0.21426561980512</v>
      </c>
      <c r="AV213" s="44" t="n">
        <f aca="false">AV65</f>
        <v>0.212141688248505</v>
      </c>
      <c r="AW213" s="44" t="n">
        <f aca="false">AW65</f>
        <v>0.203732843535282</v>
      </c>
      <c r="AX213" s="44" t="n">
        <f aca="false">AX65</f>
        <v>0.193427900525933</v>
      </c>
      <c r="AY213" s="44" t="n">
        <f aca="false">AY65</f>
        <v>0.205189148582629</v>
      </c>
      <c r="AZ213" s="44" t="n">
        <f aca="false">AZ65</f>
        <v>0.214910196971435</v>
      </c>
      <c r="BA213" s="44" t="n">
        <f aca="false">BA65</f>
        <v>0.168481115918322</v>
      </c>
      <c r="BB213" s="44" t="n">
        <f aca="false">BB65</f>
        <v>0.18885736060317</v>
      </c>
      <c r="BC213" s="44" t="n">
        <f aca="false">BC65</f>
        <v>0.176141441267475</v>
      </c>
      <c r="BD213" s="44" t="n">
        <f aca="false">BD65</f>
        <v>0.169519328311498</v>
      </c>
      <c r="BE213" s="44" t="n">
        <f aca="false">BE65</f>
        <v>0.188766355054406</v>
      </c>
      <c r="BF213" s="44" t="n">
        <f aca="false">BF65</f>
        <v>0.183788768625928</v>
      </c>
      <c r="BG213" s="44" t="n">
        <f aca="false">BG65</f>
        <v>0.16340782122905</v>
      </c>
      <c r="BH213" s="44" t="n">
        <f aca="false">BH65</f>
        <v>0.172560584858036</v>
      </c>
      <c r="BI213" s="44" t="n">
        <f aca="false">BI65</f>
        <v>0.16390825096992</v>
      </c>
      <c r="BJ213" s="44" t="n">
        <f aca="false">BJ65</f>
        <v>0.167426507835351</v>
      </c>
      <c r="BK213" s="44" t="n">
        <f aca="false">BK65</f>
        <v>0.169170773590888</v>
      </c>
      <c r="BL213" s="44" t="n">
        <f aca="false">BL65</f>
        <v>0.159335296351808</v>
      </c>
      <c r="BM213" s="44" t="n">
        <f aca="false">BM65</f>
        <v>0.157203091077898</v>
      </c>
      <c r="BN213" s="44" t="n">
        <f aca="false">BN65</f>
        <v>0.158185647100005</v>
      </c>
      <c r="BO213" s="44" t="n">
        <f aca="false">BO65</f>
        <v>0.168308363329766</v>
      </c>
      <c r="BP213" s="44" t="n">
        <f aca="false">BP65</f>
        <v>0.156144618986287</v>
      </c>
      <c r="BQ213" s="44" t="n">
        <f aca="false">BQ65</f>
        <v>0.160032096464534</v>
      </c>
      <c r="BR213" s="44" t="n">
        <f aca="false">BR65</f>
        <v>0.222351571594878</v>
      </c>
      <c r="BS213" s="44" t="n">
        <f aca="false">BS65</f>
        <v>0.35640739362362</v>
      </c>
      <c r="BT213" s="44" t="n">
        <f aca="false">BT65</f>
        <v>0.316343393928851</v>
      </c>
      <c r="BU213" s="44" t="n">
        <f aca="false">BU65</f>
        <v>0.409408115792194</v>
      </c>
      <c r="BV213" s="44" t="n">
        <f aca="false">BV65</f>
        <v>0.404276356445433</v>
      </c>
      <c r="BW213" s="44" t="n">
        <f aca="false">BW65</f>
        <v>0.368746569075938</v>
      </c>
      <c r="BX213" s="44" t="n">
        <f aca="false">BX65</f>
        <v>0.415734306913202</v>
      </c>
      <c r="BY213" s="44" t="n">
        <f aca="false">BY65</f>
        <v>0.406006285647771</v>
      </c>
      <c r="BZ213" s="44" t="n">
        <f aca="false">BZ65</f>
        <v>0.410841821800726</v>
      </c>
      <c r="CA213" s="44" t="n">
        <f aca="false">CA65</f>
        <v>0.435568662649058</v>
      </c>
      <c r="CB213" s="44" t="n">
        <f aca="false">CB65</f>
        <v>0.427412906910337</v>
      </c>
      <c r="CC213" s="44" t="n">
        <f aca="false">CC65</f>
        <v>0.420888333927934</v>
      </c>
      <c r="CD213" s="44" t="n">
        <f aca="false">CD65</f>
        <v>0.424516129032258</v>
      </c>
      <c r="CE213" s="44" t="n">
        <f aca="false">CE65</f>
        <v>0.398895401262399</v>
      </c>
      <c r="CF213" s="44" t="n">
        <f aca="false">CF65</f>
        <v>0.411450250043111</v>
      </c>
      <c r="CG213" s="44" t="n">
        <f aca="false">CG65</f>
        <v>0.417751479289941</v>
      </c>
      <c r="CH213" s="44" t="n">
        <f aca="false">CH65</f>
        <v>0.395095367847411</v>
      </c>
      <c r="CI213" s="44" t="n">
        <f aca="false">CI65</f>
        <v>0.408685968819599</v>
      </c>
      <c r="CJ213" s="44" t="n">
        <f aca="false">CJ65</f>
        <v>0.406706026512198</v>
      </c>
      <c r="CK213" s="44" t="n">
        <f aca="false">CK65</f>
        <v>0.408827940861367</v>
      </c>
      <c r="CL213" s="44" t="n">
        <f aca="false">CL65</f>
        <v>0.407787668614494</v>
      </c>
      <c r="CM213" s="35" t="n">
        <f aca="false">CM65</f>
        <v>0.41403280659582</v>
      </c>
      <c r="CN213" s="35" t="n">
        <f aca="false">CN65</f>
        <v>0.39157837166948</v>
      </c>
      <c r="CO213" s="35" t="n">
        <f aca="false">CO65</f>
        <v>0.405062404028754</v>
      </c>
      <c r="CP213" s="35" t="n">
        <f aca="false">CP65</f>
        <v>0.405</v>
      </c>
      <c r="CQ213" s="35" t="n">
        <f aca="false">CQ65</f>
        <v>0.403</v>
      </c>
      <c r="CR213" s="35" t="n">
        <f aca="false">CR65</f>
        <v>0.401</v>
      </c>
      <c r="CS213" s="35" t="n">
        <f aca="false">CS65</f>
        <v>0.4</v>
      </c>
      <c r="CT213" s="23"/>
      <c r="CV213" s="48" t="n">
        <f aca="false">IFERROR(AVERAGE(CO213,CP213,CQ213,CR213,CS213),"n/m")</f>
        <v>0.402812480805751</v>
      </c>
      <c r="CW213" s="48" t="n">
        <f aca="false">IFERROR(AVERAGE(BK213,BQ213,BW213,CC213,CI213),"n/m")</f>
        <v>0.305504748375779</v>
      </c>
      <c r="CX213" s="48" t="n">
        <f aca="false">IFERROR(AVERAGE(AG213,AM213,AS213,AY213,BE213,BK213,BQ213,BW213,CC213,CI213),"n/m")</f>
        <v>0.246363109508114</v>
      </c>
      <c r="CY213" s="48" t="n">
        <f aca="false">IFERROR(AVERAGE(C213,D213,E213,F213,G213,H213,I213,O213,U213,AA213,AG213,AM213,AS213,AY213,BE213,BK213,BQ213,BW213,CC213,CI213),"n/m")</f>
        <v>0.18764069201167</v>
      </c>
    </row>
    <row r="214" customFormat="false" ht="15" hidden="false" customHeight="true" outlineLevel="0" collapsed="false">
      <c r="B214" s="30" t="s">
        <v>379</v>
      </c>
      <c r="C214" s="44" t="n">
        <f aca="false">IFERROR(C99/C95,"")</f>
        <v>0.456508840171103</v>
      </c>
      <c r="D214" s="44" t="n">
        <f aca="false">IFERROR(D99/D95,"")</f>
        <v>0.464293729521074</v>
      </c>
      <c r="E214" s="44" t="n">
        <f aca="false">IFERROR(E99/E95,"")</f>
        <v>0.463775794914576</v>
      </c>
      <c r="F214" s="44" t="n">
        <f aca="false">IFERROR(F99/F95,"")</f>
        <v>0.446201197738136</v>
      </c>
      <c r="G214" s="44" t="n">
        <f aca="false">IFERROR(G99/G95,"")</f>
        <v>0.506535261872183</v>
      </c>
      <c r="H214" s="44" t="n">
        <f aca="false">IFERROR(H99/H95,"")</f>
        <v>0.509809416332786</v>
      </c>
      <c r="I214" s="44" t="n">
        <f aca="false">IFERROR(I99/I95,"")</f>
        <v>0.518525875946159</v>
      </c>
      <c r="J214" s="44" t="n">
        <f aca="false">IFERROR(J99/J95,"")</f>
        <v>0.595435928589626</v>
      </c>
      <c r="K214" s="44" t="n">
        <f aca="false">IFERROR(K99/K95,"")</f>
        <v>0.470823397390938</v>
      </c>
      <c r="L214" s="44" t="n">
        <f aca="false">IFERROR(L99/L95,"")</f>
        <v>0.526026564805973</v>
      </c>
      <c r="M214" s="44" t="n">
        <f aca="false">IFERROR(M99/M95,"")</f>
        <v>0.545245746691871</v>
      </c>
      <c r="N214" s="44" t="n">
        <f aca="false">IFERROR(N99/N95,"")</f>
        <v>0.494295969456574</v>
      </c>
      <c r="O214" s="44" t="n">
        <f aca="false">IFERROR(O99/O95,"")</f>
        <v>0.521468625575788</v>
      </c>
      <c r="P214" s="44" t="n">
        <f aca="false">IFERROR(P99/P95,"")</f>
        <v>0.608309327707226</v>
      </c>
      <c r="Q214" s="44" t="n">
        <f aca="false">IFERROR(Q99/Q95,"")</f>
        <v>0.433694081150633</v>
      </c>
      <c r="R214" s="44" t="n">
        <f aca="false">IFERROR(R99/R95,"")</f>
        <v>0.505296914188742</v>
      </c>
      <c r="S214" s="44" t="n">
        <f aca="false">IFERROR(S99/S95,"")</f>
        <v>0.572859700441218</v>
      </c>
      <c r="T214" s="44" t="n">
        <f aca="false">IFERROR(T99/T95,"")</f>
        <v>0.492420029323183</v>
      </c>
      <c r="U214" s="44" t="n">
        <f aca="false">IFERROR(U99/U95,"")</f>
        <v>0.515945848758151</v>
      </c>
      <c r="V214" s="44" t="n">
        <f aca="false">IFERROR(V99/V95,"")</f>
        <v>0.551436627514747</v>
      </c>
      <c r="W214" s="44" t="n">
        <f aca="false">IFERROR(W99/W95,"")</f>
        <v>0.419605472192028</v>
      </c>
      <c r="X214" s="44" t="n">
        <f aca="false">IFERROR(X99/X95,"")</f>
        <v>0.475829506261643</v>
      </c>
      <c r="Y214" s="44" t="n">
        <f aca="false">IFERROR(Y99/Y95,"")</f>
        <v>0.532117309134818</v>
      </c>
      <c r="Z214" s="44" t="n">
        <f aca="false">IFERROR(Z99/Z95,"")</f>
        <v>0.496257252956549</v>
      </c>
      <c r="AA214" s="44" t="n">
        <f aca="false">IFERROR(AA99/AA95,"")</f>
        <v>0.49312139568694</v>
      </c>
      <c r="AB214" s="44" t="n">
        <f aca="false">IFERROR(AB99/AB95,"")</f>
        <v>0.508621016332563</v>
      </c>
      <c r="AC214" s="44" t="n">
        <f aca="false">IFERROR(AC99/AC95,"")</f>
        <v>0.465929914045528</v>
      </c>
      <c r="AD214" s="44" t="n">
        <f aca="false">IFERROR(AD99/AD95,"")</f>
        <v>0.485303525365434</v>
      </c>
      <c r="AE214" s="44" t="n">
        <f aca="false">IFERROR(AE99/AE95,"")</f>
        <v>0.529912474006021</v>
      </c>
      <c r="AF214" s="44" t="n">
        <f aca="false">IFERROR(AF99/AF95,"")</f>
        <v>0.505106664213833</v>
      </c>
      <c r="AG214" s="44" t="n">
        <f aca="false">IFERROR(AG99/AG95,"")</f>
        <v>0.500585280590401</v>
      </c>
      <c r="AH214" s="44" t="n">
        <f aca="false">IFERROR(AH99/AH95,"")</f>
        <v>0.353888891674648</v>
      </c>
      <c r="AI214" s="44" t="n">
        <f aca="false">IFERROR(AI99/AI95,"")</f>
        <v>0.294430611251202</v>
      </c>
      <c r="AJ214" s="44" t="n">
        <f aca="false">IFERROR(AJ99/AJ95,"")</f>
        <v>0.320661888328467</v>
      </c>
      <c r="AK214" s="44" t="n">
        <f aca="false">IFERROR(AK99/AK95,"")</f>
        <v>0.375262202013184</v>
      </c>
      <c r="AL214" s="44" t="n">
        <f aca="false">IFERROR(AL99/AL95,"")</f>
        <v>0.318707797772065</v>
      </c>
      <c r="AM214" s="44" t="n">
        <f aca="false">IFERROR(AM99/AM95,"")</f>
        <v>0.332859344866252</v>
      </c>
      <c r="AN214" s="44" t="n">
        <f aca="false">IFERROR(AN99/AN95,"")</f>
        <v>0.374628139197011</v>
      </c>
      <c r="AO214" s="44" t="n">
        <f aca="false">IFERROR(AO99/AO95,"")</f>
        <v>0.328198230317959</v>
      </c>
      <c r="AP214" s="44" t="n">
        <f aca="false">IFERROR(AP99/AP95,"")</f>
        <v>0.349439431131618</v>
      </c>
      <c r="AQ214" s="44" t="n">
        <f aca="false">IFERROR(AQ99/AQ95,"")</f>
        <v>0.359993641632633</v>
      </c>
      <c r="AR214" s="44" t="n">
        <f aca="false">IFERROR(AR99/AR95,"")</f>
        <v>0.268627869607722</v>
      </c>
      <c r="AS214" s="44" t="n">
        <f aca="false">IFERROR(AS99/AS95,"")</f>
        <v>0.327066236134923</v>
      </c>
      <c r="AT214" s="44" t="n">
        <f aca="false">IFERROR(AT99/AT95,"")</f>
        <v>0.313694472182949</v>
      </c>
      <c r="AU214" s="44" t="n">
        <f aca="false">IFERROR(AU99/AU95,"")</f>
        <v>0.248495760664459</v>
      </c>
      <c r="AV214" s="44" t="n">
        <f aca="false">IFERROR(AV99/AV95,"")</f>
        <v>0.276893308127025</v>
      </c>
      <c r="AW214" s="44" t="n">
        <f aca="false">IFERROR(AW99/AW95,"")</f>
        <v>0.323299838507088</v>
      </c>
      <c r="AX214" s="44" t="n">
        <f aca="false">IFERROR(AX99/AX95,"")</f>
        <v>0.288385702330566</v>
      </c>
      <c r="AY214" s="44" t="n">
        <f aca="false">IFERROR(AY99/AY95,"")</f>
        <v>0.289987191358376</v>
      </c>
      <c r="AZ214" s="44" t="n">
        <f aca="false">IFERROR(AZ99/AZ95,"")</f>
        <v>0.360048306526871</v>
      </c>
      <c r="BA214" s="44" t="n">
        <f aca="false">IFERROR(BA99/BA95,"")</f>
        <v>0.258660840508932</v>
      </c>
      <c r="BB214" s="44" t="n">
        <f aca="false">IFERROR(BB99/BB95,"")</f>
        <v>0.300491465412461</v>
      </c>
      <c r="BC214" s="44" t="n">
        <f aca="false">IFERROR(BC99/BC95,"")</f>
        <v>0.332344016745993</v>
      </c>
      <c r="BD214" s="44" t="n">
        <f aca="false">IFERROR(BD99/BD95,"")</f>
        <v>0.282509982707942</v>
      </c>
      <c r="BE214" s="44" t="n">
        <f aca="false">IFERROR(BE99/BE95,"")</f>
        <v>0.297903809012096</v>
      </c>
      <c r="BF214" s="44" t="n">
        <f aca="false">IFERROR(BF99/BF95,"")</f>
        <v>0.344555202002684</v>
      </c>
      <c r="BG214" s="44" t="n">
        <f aca="false">IFERROR(BG99/BG95,"")</f>
        <v>0.276414682574724</v>
      </c>
      <c r="BH214" s="44" t="n">
        <f aca="false">IFERROR(BH99/BH95,"")</f>
        <v>0.307451683985515</v>
      </c>
      <c r="BI214" s="44" t="n">
        <f aca="false">IFERROR(BI99/BI95,"")</f>
        <v>0.323062830242476</v>
      </c>
      <c r="BJ214" s="44" t="n">
        <f aca="false">IFERROR(BJ99/BJ95,"")</f>
        <v>0.350321253961761</v>
      </c>
      <c r="BK214" s="44" t="n">
        <f aca="false">IFERROR(BK99/BK95,"")</f>
        <v>0.321956483230779</v>
      </c>
      <c r="BL214" s="44" t="n">
        <f aca="false">IFERROR(BL99/BL95,"")</f>
        <v>0.321399468421333</v>
      </c>
      <c r="BM214" s="44" t="n">
        <f aca="false">IFERROR(BM99/BM95,"")</f>
        <v>0.2977570756956</v>
      </c>
      <c r="BN214" s="44" t="n">
        <f aca="false">IFERROR(BN99/BN95,"")</f>
        <v>0.308358765895589</v>
      </c>
      <c r="BO214" s="44" t="n">
        <f aca="false">IFERROR(BO99/BO95,"")</f>
        <v>0.323693311201787</v>
      </c>
      <c r="BP214" s="44" t="n">
        <f aca="false">IFERROR(BP99/BP95,"")</f>
        <v>0.306077803636724</v>
      </c>
      <c r="BQ214" s="44" t="n">
        <f aca="false">IFERROR(BQ99/BQ95,"")</f>
        <v>0.311414528021557</v>
      </c>
      <c r="BR214" s="44" t="n">
        <f aca="false">IFERROR(BR99/BR95,"")</f>
        <v>0.289227166276347</v>
      </c>
      <c r="BS214" s="44" t="n">
        <f aca="false">IFERROR(BS99/BS95,"")</f>
        <v>0.175779484862178</v>
      </c>
      <c r="BT214" s="44" t="n">
        <f aca="false">IFERROR(BT99/BT95,"")</f>
        <v>0.211686947927605</v>
      </c>
      <c r="BU214" s="44" t="n">
        <f aca="false">IFERROR(BU99/BU95,"")</f>
        <v>0.199548931162973</v>
      </c>
      <c r="BV214" s="44" t="n">
        <f aca="false">IFERROR(BV99/BV95,"")</f>
        <v>0.189739648381209</v>
      </c>
      <c r="BW214" s="44" t="n">
        <f aca="false">IFERROR(BW99/BW95,"")</f>
        <v>0.20211436025655</v>
      </c>
      <c r="BX214" s="44" t="n">
        <f aca="false">IFERROR(BX99/BX95,"")</f>
        <v>0.186061801446417</v>
      </c>
      <c r="BY214" s="44" t="n">
        <f aca="false">IFERROR(BY99/BY95,"")</f>
        <v>0.190311103001551</v>
      </c>
      <c r="BZ214" s="44" t="n">
        <f aca="false">IFERROR(BZ99/BZ95,"")</f>
        <v>0.188217326915957</v>
      </c>
      <c r="CA214" s="44" t="n">
        <f aca="false">IFERROR(CA99/CA95,"")</f>
        <v>0.181095946221226</v>
      </c>
      <c r="CB214" s="44" t="n">
        <f aca="false">IFERROR(CB99/CB95,"")</f>
        <v>0.165907498248073</v>
      </c>
      <c r="CC214" s="44" t="n">
        <f aca="false">IFERROR(CC99/CC95,"")</f>
        <v>0.180640492974184</v>
      </c>
      <c r="CD214" s="44" t="n">
        <f aca="false">IFERROR(CD99/CD95,"")</f>
        <v>0.18491791448674</v>
      </c>
      <c r="CE214" s="44" t="n">
        <f aca="false">IFERROR(CE99/CE95,"")</f>
        <v>0.187352445193929</v>
      </c>
      <c r="CF214" s="44" t="n">
        <f aca="false">IFERROR(CF99/CF95,"")</f>
        <v>0.186176239867515</v>
      </c>
      <c r="CG214" s="44" t="n">
        <f aca="false">IFERROR(CG99/CG95,"")</f>
        <v>0.19932277843873</v>
      </c>
      <c r="CH214" s="44" t="n">
        <f aca="false">IFERROR(CH99/CH95,"")</f>
        <v>0.216220707994017</v>
      </c>
      <c r="CI214" s="44" t="n">
        <f aca="false">IFERROR(CI99/CI95,"")</f>
        <v>0.197181257760254</v>
      </c>
      <c r="CJ214" s="44" t="n">
        <f aca="false">IFERROR(CJ99/CJ95,"")</f>
        <v>0.173497489065284</v>
      </c>
      <c r="CK214" s="44" t="n">
        <f aca="false">IFERROR(CK99/CK95,"")</f>
        <v>0.160048591602764</v>
      </c>
      <c r="CL214" s="44" t="n">
        <f aca="false">IFERROR(CL99/CL95,"")</f>
        <v>0.16655562958028</v>
      </c>
      <c r="CM214" s="35" t="n">
        <f aca="false">IFERROR(CM99/CM95,"")</f>
        <v>0.155347051509542</v>
      </c>
      <c r="CN214" s="35" t="n">
        <f aca="false">IFERROR(CN99/CN95,"")</f>
        <v>0.164717254141059</v>
      </c>
      <c r="CO214" s="35" t="n">
        <f aca="false">IFERROR(CO99/CO95,"")</f>
        <v>0.163481210488499</v>
      </c>
      <c r="CP214" s="35" t="n">
        <f aca="false">IFERROR(CP99/CP95,"")</f>
        <v>0.156343468666925</v>
      </c>
      <c r="CQ214" s="35" t="n">
        <f aca="false">IFERROR(CQ99/CQ95,"")</f>
        <v>0.152934114629565</v>
      </c>
      <c r="CR214" s="35" t="n">
        <f aca="false">IFERROR(CR99/CR95,"")</f>
        <v>0.14955335854984</v>
      </c>
      <c r="CS214" s="35" t="n">
        <f aca="false">IFERROR(CS99/CS95,"")</f>
        <v>0.145414588436367</v>
      </c>
      <c r="CT214" s="23"/>
      <c r="CV214" s="48" t="n">
        <f aca="false">IFERROR(AVERAGE(CO214,CP214,CQ214,CR214,CS214),"n/m")</f>
        <v>0.153545348154239</v>
      </c>
      <c r="CW214" s="48" t="n">
        <f aca="false">IFERROR(AVERAGE(BK214,BQ214,BW214,CC214,CI214),"n/m")</f>
        <v>0.242661424448665</v>
      </c>
      <c r="CX214" s="48" t="n">
        <f aca="false">IFERROR(AVERAGE(AG214,AM214,AS214,AY214,BE214,BK214,BQ214,BW214,CC214,CI214),"n/m")</f>
        <v>0.296170898420537</v>
      </c>
      <c r="CY214" s="48" t="n">
        <f aca="false">IFERROR(AVERAGE(C214,D214,E214,F214,G214,H214,I214,O214,U214,AA214,AG214,AM214,AS214,AY214,BE214,BK214,BQ214,BW214,CC214,CI214),"n/m")</f>
        <v>0.392894748536113</v>
      </c>
    </row>
    <row r="215" customFormat="false" ht="15" hidden="false" customHeight="true" outlineLevel="0" collapsed="false">
      <c r="B215" s="13"/>
      <c r="CM215" s="7"/>
      <c r="CN215" s="7"/>
      <c r="CO215" s="7"/>
      <c r="CP215" s="7"/>
      <c r="CQ215" s="7"/>
      <c r="CR215" s="7"/>
      <c r="CS215" s="7"/>
      <c r="CT215" s="7"/>
    </row>
    <row r="216" customFormat="false" ht="15" hidden="false" customHeight="true" outlineLevel="0" collapsed="false">
      <c r="B216" s="12" t="s">
        <v>380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 t="s">
        <v>381</v>
      </c>
    </row>
    <row r="217" customFormat="false" ht="15" hidden="false" customHeight="true" outlineLevel="0" collapsed="false">
      <c r="B217" s="13"/>
      <c r="CM217" s="7"/>
      <c r="CN217" s="7"/>
      <c r="CO217" s="7"/>
      <c r="CP217" s="7"/>
      <c r="CQ217" s="7"/>
      <c r="CR217" s="7"/>
      <c r="CS217" s="7"/>
      <c r="CT217" s="7"/>
    </row>
    <row r="218" customFormat="false" ht="15" hidden="false" customHeight="true" outlineLevel="0" collapsed="false">
      <c r="B218" s="13" t="s">
        <v>243</v>
      </c>
      <c r="C218" s="40" t="n">
        <v>57.218</v>
      </c>
      <c r="D218" s="40" t="n">
        <v>75.983</v>
      </c>
      <c r="E218" s="40" t="n">
        <v>101.4</v>
      </c>
      <c r="F218" s="40" t="n">
        <v>93.452</v>
      </c>
      <c r="G218" s="40" t="n">
        <v>65.675</v>
      </c>
      <c r="H218" s="40" t="n">
        <v>76.633</v>
      </c>
      <c r="I218" s="40" t="n">
        <v>79.546</v>
      </c>
      <c r="J218" s="31"/>
      <c r="K218" s="31"/>
      <c r="L218" s="31"/>
      <c r="M218" s="31"/>
      <c r="N218" s="31"/>
      <c r="O218" s="40" t="n">
        <v>94.445</v>
      </c>
      <c r="P218" s="31"/>
      <c r="Q218" s="31"/>
      <c r="R218" s="31"/>
      <c r="S218" s="31"/>
      <c r="T218" s="31"/>
      <c r="U218" s="40" t="n">
        <v>92.563</v>
      </c>
      <c r="V218" s="31"/>
      <c r="W218" s="31"/>
      <c r="X218" s="31"/>
      <c r="Y218" s="31"/>
      <c r="Z218" s="31"/>
      <c r="AA218" s="40" t="n">
        <v>138.575</v>
      </c>
      <c r="AB218" s="31"/>
      <c r="AC218" s="31"/>
      <c r="AD218" s="31"/>
      <c r="AE218" s="31"/>
      <c r="AF218" s="31"/>
      <c r="AG218" s="40" t="n">
        <v>93.512</v>
      </c>
      <c r="AH218" s="31"/>
      <c r="AI218" s="31"/>
      <c r="AJ218" s="31"/>
      <c r="AK218" s="31"/>
      <c r="AL218" s="31"/>
      <c r="AM218" s="40" t="n">
        <v>75.306</v>
      </c>
      <c r="AN218" s="31"/>
      <c r="AO218" s="31"/>
      <c r="AP218" s="31"/>
      <c r="AQ218" s="31"/>
      <c r="AR218" s="31"/>
      <c r="AS218" s="40" t="n">
        <v>121.506</v>
      </c>
      <c r="AT218" s="31"/>
      <c r="AU218" s="31"/>
      <c r="AV218" s="31"/>
      <c r="AW218" s="31"/>
      <c r="AX218" s="31"/>
      <c r="AY218" s="40" t="n">
        <v>149.14</v>
      </c>
      <c r="AZ218" s="31"/>
      <c r="BA218" s="31"/>
      <c r="BB218" s="31"/>
      <c r="BC218" s="31"/>
      <c r="BD218" s="31"/>
      <c r="BE218" s="40" t="n">
        <v>170.358</v>
      </c>
      <c r="BF218" s="31"/>
      <c r="BG218" s="31"/>
      <c r="BH218" s="31"/>
      <c r="BI218" s="31"/>
      <c r="BJ218" s="31"/>
      <c r="BK218" s="40" t="n">
        <v>151.9</v>
      </c>
      <c r="BL218" s="31"/>
      <c r="BM218" s="31"/>
      <c r="BN218" s="31"/>
      <c r="BO218" s="31"/>
      <c r="BP218" s="31"/>
      <c r="BQ218" s="40" t="n">
        <v>319.8</v>
      </c>
      <c r="BR218" s="31"/>
      <c r="BS218" s="31"/>
      <c r="BT218" s="31"/>
      <c r="BU218" s="31"/>
      <c r="BV218" s="31"/>
      <c r="BW218" s="40" t="n">
        <v>206</v>
      </c>
      <c r="BX218" s="31"/>
      <c r="BY218" s="31"/>
      <c r="BZ218" s="31"/>
      <c r="CA218" s="31"/>
      <c r="CB218" s="31"/>
      <c r="CC218" s="40" t="n">
        <v>412.8</v>
      </c>
      <c r="CD218" s="31"/>
      <c r="CE218" s="31"/>
      <c r="CF218" s="31"/>
      <c r="CG218" s="31"/>
      <c r="CH218" s="31"/>
      <c r="CI218" s="40" t="n">
        <v>427.6</v>
      </c>
      <c r="CJ218" s="31"/>
      <c r="CK218" s="31"/>
      <c r="CL218" s="40" t="n">
        <v>279.2</v>
      </c>
      <c r="CM218" s="32"/>
      <c r="CN218" s="32"/>
      <c r="CO218" s="32" t="n">
        <f aca="false">CO115</f>
        <v>558.986055166646</v>
      </c>
      <c r="CP218" s="32" t="n">
        <f aca="false">CP115</f>
        <v>681.322450629733</v>
      </c>
      <c r="CQ218" s="32" t="n">
        <f aca="false">CQ115</f>
        <v>797.034658294803</v>
      </c>
      <c r="CR218" s="32" t="n">
        <f aca="false">CR115</f>
        <v>888.559576262965</v>
      </c>
      <c r="CS218" s="32" t="n">
        <f aca="false">CS115</f>
        <v>971.125941556637</v>
      </c>
      <c r="CT218" s="23"/>
      <c r="CV218" s="7"/>
      <c r="CW218" s="7"/>
      <c r="CX218" s="7"/>
      <c r="CY218" s="7"/>
    </row>
    <row r="219" customFormat="false" ht="15" hidden="false" customHeight="true" outlineLevel="0" collapsed="false">
      <c r="B219" s="13" t="s">
        <v>382</v>
      </c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2"/>
      <c r="CN219" s="32"/>
      <c r="CO219" s="32"/>
      <c r="CP219" s="32"/>
      <c r="CQ219" s="32"/>
      <c r="CR219" s="32"/>
      <c r="CS219" s="32"/>
      <c r="CT219" s="23"/>
      <c r="CV219" s="7"/>
      <c r="CW219" s="7"/>
      <c r="CX219" s="7"/>
      <c r="CY219" s="7"/>
    </row>
    <row r="220" customFormat="false" ht="15" hidden="false" customHeight="true" outlineLevel="0" collapsed="false">
      <c r="B220" s="13" t="s">
        <v>383</v>
      </c>
      <c r="C220" s="40" t="n">
        <v>15.017</v>
      </c>
      <c r="D220" s="40" t="n">
        <v>19.417</v>
      </c>
      <c r="E220" s="40" t="n">
        <v>24.764</v>
      </c>
      <c r="F220" s="40" t="n">
        <v>31.761</v>
      </c>
      <c r="G220" s="40" t="n">
        <v>37.813</v>
      </c>
      <c r="H220" s="40" t="n">
        <v>42.408</v>
      </c>
      <c r="I220" s="40" t="n">
        <v>41.138</v>
      </c>
      <c r="J220" s="31"/>
      <c r="K220" s="31"/>
      <c r="L220" s="31"/>
      <c r="M220" s="31"/>
      <c r="N220" s="31"/>
      <c r="O220" s="40" t="n">
        <v>43.28</v>
      </c>
      <c r="P220" s="31"/>
      <c r="Q220" s="31"/>
      <c r="R220" s="31"/>
      <c r="S220" s="31"/>
      <c r="T220" s="31"/>
      <c r="U220" s="40" t="n">
        <v>44.536</v>
      </c>
      <c r="V220" s="31"/>
      <c r="W220" s="31"/>
      <c r="X220" s="31"/>
      <c r="Y220" s="31"/>
      <c r="Z220" s="31"/>
      <c r="AA220" s="40" t="n">
        <v>42.032</v>
      </c>
      <c r="AB220" s="31"/>
      <c r="AC220" s="31"/>
      <c r="AD220" s="31"/>
      <c r="AE220" s="31"/>
      <c r="AF220" s="31"/>
      <c r="AG220" s="40" t="n">
        <v>40.861</v>
      </c>
      <c r="AH220" s="31"/>
      <c r="AI220" s="31"/>
      <c r="AJ220" s="31"/>
      <c r="AK220" s="31"/>
      <c r="AL220" s="31"/>
      <c r="AM220" s="40" t="n">
        <v>52.694</v>
      </c>
      <c r="AN220" s="31"/>
      <c r="AO220" s="31"/>
      <c r="AP220" s="31"/>
      <c r="AQ220" s="31"/>
      <c r="AR220" s="31"/>
      <c r="AS220" s="40" t="n">
        <v>66.614</v>
      </c>
      <c r="AT220" s="31"/>
      <c r="AU220" s="31"/>
      <c r="AV220" s="31"/>
      <c r="AW220" s="31"/>
      <c r="AX220" s="31"/>
      <c r="AY220" s="40" t="n">
        <v>70.501</v>
      </c>
      <c r="AZ220" s="31"/>
      <c r="BA220" s="31"/>
      <c r="BB220" s="31"/>
      <c r="BC220" s="31"/>
      <c r="BD220" s="31"/>
      <c r="BE220" s="40" t="n">
        <v>74.921</v>
      </c>
      <c r="BF220" s="31"/>
      <c r="BG220" s="31"/>
      <c r="BH220" s="31"/>
      <c r="BI220" s="31"/>
      <c r="BJ220" s="31"/>
      <c r="BK220" s="40" t="n">
        <v>87.9</v>
      </c>
      <c r="BL220" s="31"/>
      <c r="BM220" s="31"/>
      <c r="BN220" s="31"/>
      <c r="BO220" s="31"/>
      <c r="BP220" s="31"/>
      <c r="BQ220" s="40" t="n">
        <v>97.2</v>
      </c>
      <c r="BR220" s="31"/>
      <c r="BS220" s="31"/>
      <c r="BT220" s="31"/>
      <c r="BU220" s="31"/>
      <c r="BV220" s="31"/>
      <c r="BW220" s="40" t="n">
        <v>352.2</v>
      </c>
      <c r="BX220" s="31"/>
      <c r="BY220" s="31"/>
      <c r="BZ220" s="31"/>
      <c r="CA220" s="31"/>
      <c r="CB220" s="31"/>
      <c r="CC220" s="40" t="n">
        <v>444.4</v>
      </c>
      <c r="CD220" s="31"/>
      <c r="CE220" s="31"/>
      <c r="CF220" s="31"/>
      <c r="CG220" s="31"/>
      <c r="CH220" s="31"/>
      <c r="CI220" s="40" t="n">
        <v>483.4</v>
      </c>
      <c r="CJ220" s="31"/>
      <c r="CK220" s="31"/>
      <c r="CL220" s="40" t="n">
        <v>257.1</v>
      </c>
      <c r="CM220" s="32"/>
      <c r="CN220" s="32"/>
      <c r="CO220" s="32" t="n">
        <f aca="false">CO101</f>
        <v>513.392032675466</v>
      </c>
      <c r="CP220" s="32" t="n">
        <f aca="false">CP101</f>
        <v>463.267757191828</v>
      </c>
      <c r="CQ220" s="32" t="n">
        <f aca="false">CQ101</f>
        <v>420.071870483151</v>
      </c>
      <c r="CR220" s="32" t="n">
        <f aca="false">CR101</f>
        <v>408.241654994046</v>
      </c>
      <c r="CS220" s="32" t="n">
        <f aca="false">CS101</f>
        <v>411.849479244129</v>
      </c>
      <c r="CT220" s="23"/>
      <c r="CV220" s="7"/>
      <c r="CW220" s="7"/>
      <c r="CX220" s="7"/>
      <c r="CY220" s="7"/>
    </row>
    <row r="221" customFormat="false" ht="15" hidden="false" customHeight="true" outlineLevel="0" collapsed="false">
      <c r="B221" s="13" t="s">
        <v>384</v>
      </c>
      <c r="C221" s="40" t="n">
        <v>2.02</v>
      </c>
      <c r="D221" s="40" t="n">
        <v>1.978</v>
      </c>
      <c r="E221" s="40" t="n">
        <v>2.311</v>
      </c>
      <c r="F221" s="40" t="n">
        <v>2.108</v>
      </c>
      <c r="G221" s="40" t="n">
        <v>3.392</v>
      </c>
      <c r="H221" s="40" t="n">
        <v>3.875</v>
      </c>
      <c r="I221" s="40" t="n">
        <v>4.303</v>
      </c>
      <c r="J221" s="31"/>
      <c r="K221" s="31"/>
      <c r="L221" s="31"/>
      <c r="M221" s="31"/>
      <c r="N221" s="31"/>
      <c r="O221" s="40" t="n">
        <v>4.504</v>
      </c>
      <c r="P221" s="31"/>
      <c r="Q221" s="31"/>
      <c r="R221" s="31"/>
      <c r="S221" s="31"/>
      <c r="T221" s="31"/>
      <c r="U221" s="40" t="n">
        <v>3.71</v>
      </c>
      <c r="V221" s="31"/>
      <c r="W221" s="31"/>
      <c r="X221" s="31"/>
      <c r="Y221" s="31"/>
      <c r="Z221" s="31"/>
      <c r="AA221" s="40" t="n">
        <v>4.001</v>
      </c>
      <c r="AB221" s="31"/>
      <c r="AC221" s="31"/>
      <c r="AD221" s="31"/>
      <c r="AE221" s="31"/>
      <c r="AF221" s="31"/>
      <c r="AG221" s="40" t="n">
        <v>7.488</v>
      </c>
      <c r="AH221" s="31"/>
      <c r="AI221" s="31"/>
      <c r="AJ221" s="31"/>
      <c r="AK221" s="31"/>
      <c r="AL221" s="31"/>
      <c r="AM221" s="40" t="n">
        <v>17.229</v>
      </c>
      <c r="AN221" s="31"/>
      <c r="AO221" s="31"/>
      <c r="AP221" s="31"/>
      <c r="AQ221" s="31"/>
      <c r="AR221" s="31"/>
      <c r="AS221" s="40" t="n">
        <v>19.508</v>
      </c>
      <c r="AT221" s="31"/>
      <c r="AU221" s="31"/>
      <c r="AV221" s="31"/>
      <c r="AW221" s="31"/>
      <c r="AX221" s="31"/>
      <c r="AY221" s="40" t="n">
        <v>12.744</v>
      </c>
      <c r="AZ221" s="31"/>
      <c r="BA221" s="31"/>
      <c r="BB221" s="31"/>
      <c r="BC221" s="31"/>
      <c r="BD221" s="31"/>
      <c r="BE221" s="40" t="n">
        <v>16.552</v>
      </c>
      <c r="BF221" s="31"/>
      <c r="BG221" s="31"/>
      <c r="BH221" s="31"/>
      <c r="BI221" s="31"/>
      <c r="BJ221" s="31"/>
      <c r="BK221" s="40" t="n">
        <v>31.3</v>
      </c>
      <c r="BL221" s="31"/>
      <c r="BM221" s="31"/>
      <c r="BN221" s="31"/>
      <c r="BO221" s="31"/>
      <c r="BP221" s="31"/>
      <c r="BQ221" s="40" t="n">
        <v>41.7</v>
      </c>
      <c r="BR221" s="31"/>
      <c r="BS221" s="31"/>
      <c r="BT221" s="31"/>
      <c r="BU221" s="31"/>
      <c r="BV221" s="31"/>
      <c r="BW221" s="40" t="n">
        <v>55.8</v>
      </c>
      <c r="BX221" s="31"/>
      <c r="BY221" s="31"/>
      <c r="BZ221" s="31"/>
      <c r="CA221" s="31"/>
      <c r="CB221" s="31"/>
      <c r="CC221" s="40" t="n">
        <v>62.4</v>
      </c>
      <c r="CD221" s="31"/>
      <c r="CE221" s="31"/>
      <c r="CF221" s="31"/>
      <c r="CG221" s="31"/>
      <c r="CH221" s="31"/>
      <c r="CI221" s="40" t="n">
        <v>66</v>
      </c>
      <c r="CJ221" s="31"/>
      <c r="CK221" s="31"/>
      <c r="CL221" s="40" t="n">
        <v>33.5</v>
      </c>
      <c r="CM221" s="32"/>
      <c r="CN221" s="32"/>
      <c r="CO221" s="32" t="n">
        <f aca="false">CO143</f>
        <v>69.2</v>
      </c>
      <c r="CP221" s="32" t="n">
        <f aca="false">CP143</f>
        <v>75</v>
      </c>
      <c r="CQ221" s="32" t="n">
        <f aca="false">CQ143</f>
        <v>80</v>
      </c>
      <c r="CR221" s="32" t="n">
        <f aca="false">CR143</f>
        <v>85</v>
      </c>
      <c r="CS221" s="32" t="n">
        <f aca="false">CS143</f>
        <v>90</v>
      </c>
      <c r="CT221" s="23"/>
      <c r="CV221" s="7"/>
      <c r="CW221" s="7"/>
      <c r="CX221" s="7"/>
      <c r="CY221" s="7"/>
    </row>
    <row r="222" customFormat="false" ht="15" hidden="false" customHeight="true" outlineLevel="0" collapsed="false">
      <c r="B222" s="13" t="s">
        <v>385</v>
      </c>
      <c r="C222" s="40" t="n">
        <v>1.091</v>
      </c>
      <c r="D222" s="40" t="n">
        <v>2.115</v>
      </c>
      <c r="E222" s="40" t="n">
        <v>-1.217</v>
      </c>
      <c r="F222" s="40" t="n">
        <v>2.841</v>
      </c>
      <c r="G222" s="40" t="n">
        <v>2.691</v>
      </c>
      <c r="H222" s="40" t="n">
        <v>5.286</v>
      </c>
      <c r="I222" s="40" t="n">
        <v>2.098</v>
      </c>
      <c r="J222" s="31"/>
      <c r="K222" s="31"/>
      <c r="L222" s="31"/>
      <c r="M222" s="31"/>
      <c r="N222" s="31"/>
      <c r="O222" s="40" t="n">
        <v>3.401</v>
      </c>
      <c r="P222" s="31"/>
      <c r="Q222" s="31"/>
      <c r="R222" s="31"/>
      <c r="S222" s="31"/>
      <c r="T222" s="31"/>
      <c r="U222" s="40" t="n">
        <v>3.154</v>
      </c>
      <c r="V222" s="31"/>
      <c r="W222" s="31"/>
      <c r="X222" s="31"/>
      <c r="Y222" s="31"/>
      <c r="Z222" s="31"/>
      <c r="AA222" s="40" t="n">
        <v>-4.559</v>
      </c>
      <c r="AB222" s="31"/>
      <c r="AC222" s="31"/>
      <c r="AD222" s="31"/>
      <c r="AE222" s="31"/>
      <c r="AF222" s="31"/>
      <c r="AG222" s="40" t="n">
        <v>-3.359</v>
      </c>
      <c r="AH222" s="31"/>
      <c r="AI222" s="31"/>
      <c r="AJ222" s="31"/>
      <c r="AK222" s="31"/>
      <c r="AL222" s="31"/>
      <c r="AM222" s="40" t="n">
        <v>-17.268</v>
      </c>
      <c r="AN222" s="31"/>
      <c r="AO222" s="31"/>
      <c r="AP222" s="31"/>
      <c r="AQ222" s="31"/>
      <c r="AR222" s="31"/>
      <c r="AS222" s="40" t="n">
        <v>6.239</v>
      </c>
      <c r="AT222" s="31"/>
      <c r="AU222" s="31"/>
      <c r="AV222" s="31"/>
      <c r="AW222" s="31"/>
      <c r="AX222" s="31"/>
      <c r="AY222" s="40" t="n">
        <v>8.826</v>
      </c>
      <c r="AZ222" s="31"/>
      <c r="BA222" s="31"/>
      <c r="BB222" s="31"/>
      <c r="BC222" s="31"/>
      <c r="BD222" s="31"/>
      <c r="BE222" s="40" t="n">
        <v>9.152</v>
      </c>
      <c r="BF222" s="31"/>
      <c r="BG222" s="31"/>
      <c r="BH222" s="31"/>
      <c r="BI222" s="31"/>
      <c r="BJ222" s="31"/>
      <c r="BK222" s="40" t="n">
        <v>3.9</v>
      </c>
      <c r="BL222" s="31"/>
      <c r="BM222" s="31"/>
      <c r="BN222" s="31"/>
      <c r="BO222" s="31"/>
      <c r="BP222" s="31"/>
      <c r="BQ222" s="40" t="n">
        <v>-0.3</v>
      </c>
      <c r="BR222" s="31"/>
      <c r="BS222" s="31"/>
      <c r="BT222" s="31"/>
      <c r="BU222" s="31"/>
      <c r="BV222" s="31"/>
      <c r="BW222" s="40" t="n">
        <v>-65.8</v>
      </c>
      <c r="BX222" s="31"/>
      <c r="BY222" s="31"/>
      <c r="BZ222" s="31"/>
      <c r="CA222" s="31"/>
      <c r="CB222" s="31"/>
      <c r="CC222" s="40" t="n">
        <v>-69.2</v>
      </c>
      <c r="CD222" s="31"/>
      <c r="CE222" s="31"/>
      <c r="CF222" s="31"/>
      <c r="CG222" s="31"/>
      <c r="CH222" s="31"/>
      <c r="CI222" s="40" t="n">
        <v>-54.2</v>
      </c>
      <c r="CJ222" s="31"/>
      <c r="CK222" s="31"/>
      <c r="CL222" s="31"/>
      <c r="CM222" s="32"/>
      <c r="CN222" s="32"/>
      <c r="CO222" s="49" t="n">
        <v>-50</v>
      </c>
      <c r="CP222" s="49" t="n">
        <v>-45</v>
      </c>
      <c r="CQ222" s="49" t="n">
        <v>-40</v>
      </c>
      <c r="CR222" s="49" t="n">
        <v>-35</v>
      </c>
      <c r="CS222" s="49" t="n">
        <v>-30</v>
      </c>
      <c r="CT222" s="23" t="s">
        <v>386</v>
      </c>
      <c r="CV222" s="7"/>
      <c r="CW222" s="7"/>
      <c r="CX222" s="7"/>
      <c r="CY222" s="7"/>
    </row>
    <row r="223" customFormat="false" ht="15" hidden="false" customHeight="true" outlineLevel="0" collapsed="false">
      <c r="B223" s="13" t="s">
        <v>387</v>
      </c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40" t="n">
        <v>0</v>
      </c>
      <c r="AB223" s="31"/>
      <c r="AC223" s="31"/>
      <c r="AD223" s="31"/>
      <c r="AE223" s="31"/>
      <c r="AF223" s="31"/>
      <c r="AG223" s="40" t="n">
        <v>0.359</v>
      </c>
      <c r="AH223" s="31"/>
      <c r="AI223" s="31"/>
      <c r="AJ223" s="31"/>
      <c r="AK223" s="31"/>
      <c r="AL223" s="31"/>
      <c r="AM223" s="40" t="n">
        <v>3.056</v>
      </c>
      <c r="AN223" s="31"/>
      <c r="AO223" s="31"/>
      <c r="AP223" s="31"/>
      <c r="AQ223" s="31"/>
      <c r="AR223" s="31"/>
      <c r="AS223" s="40" t="n">
        <v>4.995</v>
      </c>
      <c r="AT223" s="31"/>
      <c r="AU223" s="31"/>
      <c r="AV223" s="31"/>
      <c r="AW223" s="31"/>
      <c r="AX223" s="31"/>
      <c r="AY223" s="40" t="n">
        <v>4.086</v>
      </c>
      <c r="AZ223" s="31"/>
      <c r="BA223" s="31"/>
      <c r="BB223" s="31"/>
      <c r="BC223" s="31"/>
      <c r="BD223" s="31"/>
      <c r="BE223" s="40" t="n">
        <v>3.123</v>
      </c>
      <c r="BF223" s="31"/>
      <c r="BG223" s="31"/>
      <c r="BH223" s="31"/>
      <c r="BI223" s="31"/>
      <c r="BJ223" s="31"/>
      <c r="BK223" s="40" t="n">
        <v>2.9</v>
      </c>
      <c r="BL223" s="31"/>
      <c r="BM223" s="31"/>
      <c r="BN223" s="31"/>
      <c r="BO223" s="31"/>
      <c r="BP223" s="31"/>
      <c r="BQ223" s="40" t="n">
        <v>3.9</v>
      </c>
      <c r="BR223" s="31"/>
      <c r="BS223" s="31"/>
      <c r="BT223" s="31"/>
      <c r="BU223" s="31"/>
      <c r="BV223" s="31"/>
      <c r="BW223" s="40" t="n">
        <v>10.1</v>
      </c>
      <c r="BX223" s="31"/>
      <c r="BY223" s="31"/>
      <c r="BZ223" s="31"/>
      <c r="CA223" s="31"/>
      <c r="CB223" s="31"/>
      <c r="CC223" s="40" t="n">
        <v>12.5</v>
      </c>
      <c r="CD223" s="31"/>
      <c r="CE223" s="31"/>
      <c r="CF223" s="31"/>
      <c r="CG223" s="31"/>
      <c r="CH223" s="31"/>
      <c r="CI223" s="40" t="n">
        <v>9.4</v>
      </c>
      <c r="CJ223" s="31"/>
      <c r="CK223" s="31"/>
      <c r="CL223" s="31"/>
      <c r="CM223" s="32"/>
      <c r="CN223" s="32"/>
      <c r="CO223" s="49" t="n">
        <v>0</v>
      </c>
      <c r="CP223" s="32"/>
      <c r="CQ223" s="32"/>
      <c r="CR223" s="32"/>
      <c r="CS223" s="32"/>
      <c r="CT223" s="23" t="s">
        <v>388</v>
      </c>
      <c r="CV223" s="7"/>
      <c r="CW223" s="7"/>
      <c r="CX223" s="7"/>
      <c r="CY223" s="7"/>
    </row>
    <row r="224" customFormat="false" ht="15" hidden="false" customHeight="true" outlineLevel="0" collapsed="false">
      <c r="B224" s="13" t="s">
        <v>389</v>
      </c>
      <c r="C224" s="40" t="n">
        <v>-1.277</v>
      </c>
      <c r="D224" s="40" t="n">
        <v>-0.243</v>
      </c>
      <c r="E224" s="40" t="n">
        <v>-6.37</v>
      </c>
      <c r="F224" s="40" t="n">
        <v>-0.647</v>
      </c>
      <c r="G224" s="40" t="n">
        <v>-0.25</v>
      </c>
      <c r="H224" s="40" t="n">
        <v>-3.861</v>
      </c>
      <c r="I224" s="40" t="n">
        <v>2.074</v>
      </c>
      <c r="J224" s="31"/>
      <c r="K224" s="31"/>
      <c r="L224" s="31"/>
      <c r="M224" s="31"/>
      <c r="N224" s="31"/>
      <c r="O224" s="40" t="n">
        <v>-10.552</v>
      </c>
      <c r="P224" s="31"/>
      <c r="Q224" s="31"/>
      <c r="R224" s="31"/>
      <c r="S224" s="31"/>
      <c r="T224" s="31"/>
      <c r="U224" s="40" t="n">
        <v>-3.512</v>
      </c>
      <c r="V224" s="31"/>
      <c r="W224" s="31"/>
      <c r="X224" s="31"/>
      <c r="Y224" s="31"/>
      <c r="Z224" s="31"/>
      <c r="AA224" s="40" t="n">
        <v>-9.691</v>
      </c>
      <c r="AB224" s="31"/>
      <c r="AC224" s="31"/>
      <c r="AD224" s="31"/>
      <c r="AE224" s="31"/>
      <c r="AF224" s="31"/>
      <c r="AG224" s="40" t="n">
        <v>-1.282</v>
      </c>
      <c r="AH224" s="31"/>
      <c r="AI224" s="31"/>
      <c r="AJ224" s="31"/>
      <c r="AK224" s="31"/>
      <c r="AL224" s="31"/>
      <c r="AM224" s="40" t="n">
        <v>-1.656</v>
      </c>
      <c r="AN224" s="31"/>
      <c r="AO224" s="31"/>
      <c r="AP224" s="31"/>
      <c r="AQ224" s="31"/>
      <c r="AR224" s="31"/>
      <c r="AS224" s="40" t="n">
        <v>-2.731</v>
      </c>
      <c r="AT224" s="31"/>
      <c r="AU224" s="31"/>
      <c r="AV224" s="31"/>
      <c r="AW224" s="31"/>
      <c r="AX224" s="31"/>
      <c r="AY224" s="40" t="n">
        <v>-1.107</v>
      </c>
      <c r="AZ224" s="31"/>
      <c r="BA224" s="31"/>
      <c r="BB224" s="31"/>
      <c r="BC224" s="31"/>
      <c r="BD224" s="31"/>
      <c r="BE224" s="40" t="n">
        <v>-1.559</v>
      </c>
      <c r="BF224" s="31"/>
      <c r="BG224" s="31"/>
      <c r="BH224" s="31"/>
      <c r="BI224" s="31"/>
      <c r="BJ224" s="31"/>
      <c r="BK224" s="40" t="n">
        <v>-1.4</v>
      </c>
      <c r="BL224" s="31"/>
      <c r="BM224" s="31"/>
      <c r="BN224" s="31"/>
      <c r="BO224" s="31"/>
      <c r="BP224" s="31"/>
      <c r="BQ224" s="40" t="n">
        <v>-170.8</v>
      </c>
      <c r="BR224" s="31"/>
      <c r="BS224" s="31"/>
      <c r="BT224" s="31"/>
      <c r="BU224" s="31"/>
      <c r="BV224" s="31"/>
      <c r="BW224" s="40" t="n">
        <v>-4.9</v>
      </c>
      <c r="BX224" s="31"/>
      <c r="BY224" s="31"/>
      <c r="BZ224" s="31"/>
      <c r="CA224" s="31"/>
      <c r="CB224" s="31"/>
      <c r="CC224" s="40" t="n">
        <v>-3.8</v>
      </c>
      <c r="CD224" s="31"/>
      <c r="CE224" s="31"/>
      <c r="CF224" s="31"/>
      <c r="CG224" s="31"/>
      <c r="CH224" s="31"/>
      <c r="CI224" s="40" t="n">
        <v>-2.2</v>
      </c>
      <c r="CJ224" s="31"/>
      <c r="CK224" s="31"/>
      <c r="CL224" s="31"/>
      <c r="CM224" s="32"/>
      <c r="CN224" s="32"/>
      <c r="CO224" s="32" t="n">
        <f aca="false">-CO104</f>
        <v>-0.9</v>
      </c>
      <c r="CP224" s="32" t="n">
        <f aca="false">-CP104</f>
        <v>-0</v>
      </c>
      <c r="CQ224" s="32" t="n">
        <f aca="false">-CQ104</f>
        <v>-0</v>
      </c>
      <c r="CR224" s="32" t="n">
        <f aca="false">-CR104</f>
        <v>-0</v>
      </c>
      <c r="CS224" s="32" t="n">
        <f aca="false">-CS104</f>
        <v>-0</v>
      </c>
      <c r="CT224" s="23"/>
      <c r="CV224" s="7"/>
      <c r="CW224" s="7"/>
      <c r="CX224" s="7"/>
      <c r="CY224" s="7"/>
    </row>
    <row r="225" customFormat="false" ht="15" hidden="false" customHeight="true" outlineLevel="0" collapsed="false">
      <c r="B225" s="13" t="s">
        <v>390</v>
      </c>
      <c r="C225" s="31"/>
      <c r="D225" s="31"/>
      <c r="E225" s="31"/>
      <c r="F225" s="31"/>
      <c r="G225" s="31"/>
      <c r="H225" s="31"/>
      <c r="I225" s="40" t="n">
        <v>2.172</v>
      </c>
      <c r="J225" s="31"/>
      <c r="K225" s="31"/>
      <c r="L225" s="31"/>
      <c r="M225" s="31"/>
      <c r="N225" s="31"/>
      <c r="O225" s="40" t="n">
        <v>0</v>
      </c>
      <c r="P225" s="31"/>
      <c r="Q225" s="31"/>
      <c r="R225" s="31"/>
      <c r="S225" s="31"/>
      <c r="T225" s="31"/>
      <c r="U225" s="40" t="n">
        <v>8.084</v>
      </c>
      <c r="V225" s="31"/>
      <c r="W225" s="31"/>
      <c r="X225" s="31"/>
      <c r="Y225" s="31"/>
      <c r="Z225" s="31"/>
      <c r="AA225" s="40" t="n">
        <v>0</v>
      </c>
      <c r="AB225" s="31"/>
      <c r="AC225" s="31"/>
      <c r="AD225" s="31"/>
      <c r="AE225" s="31"/>
      <c r="AF225" s="31"/>
      <c r="AG225" s="40" t="n">
        <v>28.243</v>
      </c>
      <c r="AH225" s="31"/>
      <c r="AI225" s="31"/>
      <c r="AJ225" s="31"/>
      <c r="AK225" s="31"/>
      <c r="AL225" s="31"/>
      <c r="AM225" s="40" t="n">
        <v>8.911</v>
      </c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40" t="n">
        <v>0</v>
      </c>
      <c r="BX225" s="31"/>
      <c r="BY225" s="31"/>
      <c r="BZ225" s="31"/>
      <c r="CA225" s="31"/>
      <c r="CB225" s="31"/>
      <c r="CC225" s="40" t="n">
        <v>0</v>
      </c>
      <c r="CD225" s="31"/>
      <c r="CE225" s="31"/>
      <c r="CF225" s="31"/>
      <c r="CG225" s="31"/>
      <c r="CH225" s="31"/>
      <c r="CI225" s="40" t="n">
        <v>9.6</v>
      </c>
      <c r="CJ225" s="31"/>
      <c r="CK225" s="31"/>
      <c r="CL225" s="40" t="n">
        <v>0</v>
      </c>
      <c r="CM225" s="32"/>
      <c r="CN225" s="32"/>
      <c r="CO225" s="32" t="n">
        <f aca="false">CO102-CO105</f>
        <v>0</v>
      </c>
      <c r="CP225" s="32" t="n">
        <f aca="false">CP102-CP105</f>
        <v>0</v>
      </c>
      <c r="CQ225" s="32" t="n">
        <f aca="false">CQ102-CQ105</f>
        <v>0</v>
      </c>
      <c r="CR225" s="32" t="n">
        <f aca="false">CR102-CR105</f>
        <v>0</v>
      </c>
      <c r="CS225" s="32" t="n">
        <f aca="false">CS102-CS105</f>
        <v>0</v>
      </c>
      <c r="CT225" s="23"/>
      <c r="CV225" s="7"/>
      <c r="CW225" s="7"/>
      <c r="CX225" s="7"/>
      <c r="CY225" s="7"/>
    </row>
    <row r="226" customFormat="false" ht="15" hidden="false" customHeight="true" outlineLevel="0" collapsed="false">
      <c r="B226" s="13" t="s">
        <v>391</v>
      </c>
      <c r="C226" s="40" t="n">
        <v>0.451</v>
      </c>
      <c r="D226" s="40" t="n">
        <v>-2.802</v>
      </c>
      <c r="E226" s="40" t="n">
        <v>-11.656</v>
      </c>
      <c r="F226" s="40" t="n">
        <v>1.085</v>
      </c>
      <c r="G226" s="40" t="n">
        <v>0.049</v>
      </c>
      <c r="H226" s="40" t="n">
        <v>0.585</v>
      </c>
      <c r="I226" s="40" t="n">
        <v>0.619</v>
      </c>
      <c r="J226" s="31"/>
      <c r="K226" s="31"/>
      <c r="L226" s="31"/>
      <c r="M226" s="31"/>
      <c r="N226" s="31"/>
      <c r="O226" s="40" t="n">
        <v>1.044</v>
      </c>
      <c r="P226" s="31"/>
      <c r="Q226" s="31"/>
      <c r="R226" s="31"/>
      <c r="S226" s="31"/>
      <c r="T226" s="31"/>
      <c r="U226" s="40" t="n">
        <v>2.281</v>
      </c>
      <c r="V226" s="31"/>
      <c r="W226" s="31"/>
      <c r="X226" s="31"/>
      <c r="Y226" s="31"/>
      <c r="Z226" s="31"/>
      <c r="AA226" s="40" t="n">
        <v>0.967</v>
      </c>
      <c r="AB226" s="31"/>
      <c r="AC226" s="31"/>
      <c r="AD226" s="31"/>
      <c r="AE226" s="31"/>
      <c r="AF226" s="31"/>
      <c r="AG226" s="40" t="n">
        <v>1.054</v>
      </c>
      <c r="AH226" s="31"/>
      <c r="AI226" s="31"/>
      <c r="AJ226" s="31"/>
      <c r="AK226" s="31"/>
      <c r="AL226" s="31"/>
      <c r="AM226" s="40" t="n">
        <v>-0.983</v>
      </c>
      <c r="AN226" s="31"/>
      <c r="AO226" s="31"/>
      <c r="AP226" s="31"/>
      <c r="AQ226" s="31"/>
      <c r="AR226" s="31"/>
      <c r="AS226" s="40" t="n">
        <v>-6.301</v>
      </c>
      <c r="AT226" s="31"/>
      <c r="AU226" s="31"/>
      <c r="AV226" s="31"/>
      <c r="AW226" s="31"/>
      <c r="AX226" s="31"/>
      <c r="AY226" s="40" t="n">
        <v>12.001</v>
      </c>
      <c r="AZ226" s="31"/>
      <c r="BA226" s="31"/>
      <c r="BB226" s="31"/>
      <c r="BC226" s="31"/>
      <c r="BD226" s="31"/>
      <c r="BE226" s="40" t="n">
        <v>14.459</v>
      </c>
      <c r="BF226" s="31"/>
      <c r="BG226" s="31"/>
      <c r="BH226" s="31"/>
      <c r="BI226" s="31"/>
      <c r="BJ226" s="31"/>
      <c r="BK226" s="40" t="n">
        <v>16.7</v>
      </c>
      <c r="BL226" s="31"/>
      <c r="BM226" s="31"/>
      <c r="BN226" s="31"/>
      <c r="BO226" s="31"/>
      <c r="BP226" s="31"/>
      <c r="BQ226" s="40" t="n">
        <v>20.4</v>
      </c>
      <c r="BR226" s="31"/>
      <c r="BS226" s="31"/>
      <c r="BT226" s="31"/>
      <c r="BU226" s="31"/>
      <c r="BV226" s="31"/>
      <c r="BW226" s="40" t="n">
        <v>134.3</v>
      </c>
      <c r="BX226" s="31"/>
      <c r="BY226" s="31"/>
      <c r="BZ226" s="31"/>
      <c r="CA226" s="31"/>
      <c r="CB226" s="31"/>
      <c r="CC226" s="40" t="n">
        <v>172.7</v>
      </c>
      <c r="CD226" s="31"/>
      <c r="CE226" s="31"/>
      <c r="CF226" s="31"/>
      <c r="CG226" s="31"/>
      <c r="CH226" s="31"/>
      <c r="CI226" s="40" t="n">
        <v>174.8</v>
      </c>
      <c r="CJ226" s="31"/>
      <c r="CK226" s="31"/>
      <c r="CL226" s="40" t="n">
        <v>88.4</v>
      </c>
      <c r="CM226" s="32"/>
      <c r="CN226" s="32"/>
      <c r="CO226" s="49" t="n">
        <v>0</v>
      </c>
      <c r="CP226" s="32"/>
      <c r="CQ226" s="32"/>
      <c r="CR226" s="32"/>
      <c r="CS226" s="32"/>
      <c r="CT226" s="23"/>
      <c r="CV226" s="7"/>
      <c r="CW226" s="7"/>
      <c r="CX226" s="7"/>
      <c r="CY226" s="7"/>
    </row>
    <row r="227" customFormat="false" ht="15" hidden="false" customHeight="true" outlineLevel="0" collapsed="false">
      <c r="B227" s="13" t="s">
        <v>392</v>
      </c>
      <c r="C227" s="40" t="n">
        <v>-8.881</v>
      </c>
      <c r="D227" s="40" t="n">
        <v>4.821</v>
      </c>
      <c r="E227" s="40" t="n">
        <v>-18.544</v>
      </c>
      <c r="F227" s="40" t="n">
        <v>7.855</v>
      </c>
      <c r="G227" s="40" t="n">
        <v>-69.205</v>
      </c>
      <c r="H227" s="40" t="n">
        <v>16.22</v>
      </c>
      <c r="I227" s="40" t="n">
        <v>2.11</v>
      </c>
      <c r="J227" s="31"/>
      <c r="K227" s="31"/>
      <c r="L227" s="31"/>
      <c r="M227" s="31"/>
      <c r="N227" s="31"/>
      <c r="O227" s="40" t="n">
        <v>10.517</v>
      </c>
      <c r="P227" s="31"/>
      <c r="Q227" s="31"/>
      <c r="R227" s="31"/>
      <c r="S227" s="31"/>
      <c r="T227" s="31"/>
      <c r="U227" s="40" t="n">
        <v>20.55</v>
      </c>
      <c r="V227" s="31"/>
      <c r="W227" s="31"/>
      <c r="X227" s="31"/>
      <c r="Y227" s="31"/>
      <c r="Z227" s="31"/>
      <c r="AA227" s="40" t="n">
        <v>25.134</v>
      </c>
      <c r="AB227" s="31"/>
      <c r="AC227" s="31"/>
      <c r="AD227" s="31"/>
      <c r="AE227" s="31"/>
      <c r="AF227" s="31"/>
      <c r="AG227" s="40" t="n">
        <v>10.682</v>
      </c>
      <c r="AH227" s="31"/>
      <c r="AI227" s="31"/>
      <c r="AJ227" s="31"/>
      <c r="AK227" s="31"/>
      <c r="AL227" s="31"/>
      <c r="AM227" s="40" t="n">
        <v>10.279</v>
      </c>
      <c r="AN227" s="31"/>
      <c r="AO227" s="31"/>
      <c r="AP227" s="31"/>
      <c r="AQ227" s="31"/>
      <c r="AR227" s="31"/>
      <c r="AS227" s="40" t="n">
        <v>-65.55</v>
      </c>
      <c r="AT227" s="31"/>
      <c r="AU227" s="31"/>
      <c r="AV227" s="31"/>
      <c r="AW227" s="31"/>
      <c r="AX227" s="31"/>
      <c r="AY227" s="40" t="n">
        <v>76.602</v>
      </c>
      <c r="AZ227" s="31"/>
      <c r="BA227" s="31"/>
      <c r="BB227" s="31"/>
      <c r="BC227" s="31"/>
      <c r="BD227" s="31"/>
      <c r="BE227" s="40" t="n">
        <v>-29.134</v>
      </c>
      <c r="BF227" s="31"/>
      <c r="BG227" s="31"/>
      <c r="BH227" s="31"/>
      <c r="BI227" s="31"/>
      <c r="BJ227" s="31"/>
      <c r="BK227" s="40" t="n">
        <v>24.4</v>
      </c>
      <c r="BL227" s="31"/>
      <c r="BM227" s="31"/>
      <c r="BN227" s="31"/>
      <c r="BO227" s="31"/>
      <c r="BP227" s="31"/>
      <c r="BQ227" s="40" t="n">
        <v>151.2</v>
      </c>
      <c r="BR227" s="31"/>
      <c r="BS227" s="31"/>
      <c r="BT227" s="31"/>
      <c r="BU227" s="31"/>
      <c r="BV227" s="31"/>
      <c r="BW227" s="40" t="n">
        <v>-143.7</v>
      </c>
      <c r="BX227" s="31"/>
      <c r="BY227" s="31"/>
      <c r="BZ227" s="31"/>
      <c r="CA227" s="31"/>
      <c r="CB227" s="31"/>
      <c r="CC227" s="40" t="n">
        <v>-99.8</v>
      </c>
      <c r="CD227" s="31"/>
      <c r="CE227" s="31"/>
      <c r="CF227" s="31"/>
      <c r="CG227" s="31"/>
      <c r="CH227" s="31"/>
      <c r="CI227" s="40" t="n">
        <v>-136.2</v>
      </c>
      <c r="CJ227" s="31"/>
      <c r="CK227" s="31"/>
      <c r="CL227" s="40" t="n">
        <v>-292.4</v>
      </c>
      <c r="CM227" s="32"/>
      <c r="CN227" s="32"/>
      <c r="CO227" s="32" t="n">
        <f aca="false">-(CO276-CI276)-(CO278-CI278)-(CO277-CI277)-(CO279-CI279)-(CO281-CI281)-(CO280-CI280)+(CO293-CI293)+(CO294-CI294)+(CO296-CI296)+(CO299-CI299)+(CO303-CI303)</f>
        <v>-3.90200333574614</v>
      </c>
      <c r="CP227" s="32" t="n">
        <f aca="false">-(CP276-CO276)-(CP278-CO278)-(CP277-CO277)-(CP279-CO279)-(CP281-CO281)-(CP280-CO280)+(CP293-CO293)+(CP294-CO294)+(CP296-CO296)+(CP299-CO299)+(CP303-CO303)</f>
        <v>12.6782499146322</v>
      </c>
      <c r="CQ227" s="32" t="n">
        <f aca="false">-(CQ276-CP276)-(CQ278-CP278)-(CQ277-CP277)-(CQ279-CP279)-(CQ281-CP281)-(CQ280-CP280)+(CQ293-CP293)+(CQ294-CP294)+(CQ296-CP296)+(CQ299-CP299)+(CQ303-CP303)</f>
        <v>18.6865465315006</v>
      </c>
      <c r="CR227" s="32" t="n">
        <f aca="false">-(CR276-CQ276)-(CR278-CQ278)-(CR277-CQ277)-(CR279-CQ279)-(CR281-CQ281)-(CR280-CQ280)+(CR293-CQ293)+(CR294-CQ294)+(CR296-CQ296)+(CR299-CQ299)+(CR303-CQ303)</f>
        <v>17.5763200955867</v>
      </c>
      <c r="CS227" s="32" t="n">
        <f aca="false">-(CS276-CR276)-(CS278-CR278)-(CS277-CR277)-(CS279-CR279)-(CS281-CR281)-(CS280-CR280)+(CS293-CR293)+(CS294-CR294)+(CS296-CR296)+(CS299-CR299)+(CS303-CR303)</f>
        <v>18.3269481477522</v>
      </c>
      <c r="CT227" s="23" t="s">
        <v>393</v>
      </c>
      <c r="CV227" s="7"/>
      <c r="CW227" s="7"/>
      <c r="CX227" s="7"/>
      <c r="CY227" s="7"/>
    </row>
    <row r="228" customFormat="false" ht="15" hidden="false" customHeight="true" outlineLevel="0" collapsed="false">
      <c r="B228" s="19" t="s">
        <v>394</v>
      </c>
      <c r="C228" s="21" t="n">
        <v>65.639</v>
      </c>
      <c r="D228" s="21" t="n">
        <v>101.269</v>
      </c>
      <c r="E228" s="21" t="n">
        <v>90.688</v>
      </c>
      <c r="F228" s="21" t="n">
        <v>138.455</v>
      </c>
      <c r="G228" s="21" t="n">
        <v>40.165</v>
      </c>
      <c r="H228" s="21" t="n">
        <v>141.146</v>
      </c>
      <c r="I228" s="21" t="n">
        <v>134.06</v>
      </c>
      <c r="J228" s="20"/>
      <c r="K228" s="20"/>
      <c r="L228" s="20"/>
      <c r="M228" s="20"/>
      <c r="N228" s="20"/>
      <c r="O228" s="21" t="n">
        <v>146.639</v>
      </c>
      <c r="P228" s="20"/>
      <c r="Q228" s="20"/>
      <c r="R228" s="20"/>
      <c r="S228" s="20"/>
      <c r="T228" s="20"/>
      <c r="U228" s="21" t="n">
        <v>171.366</v>
      </c>
      <c r="V228" s="20"/>
      <c r="W228" s="20"/>
      <c r="X228" s="20"/>
      <c r="Y228" s="20"/>
      <c r="Z228" s="20"/>
      <c r="AA228" s="21" t="n">
        <v>196.459</v>
      </c>
      <c r="AB228" s="20"/>
      <c r="AC228" s="20"/>
      <c r="AD228" s="20"/>
      <c r="AE228" s="20"/>
      <c r="AF228" s="20"/>
      <c r="AG228" s="21" t="n">
        <v>177.558</v>
      </c>
      <c r="AH228" s="20"/>
      <c r="AI228" s="20"/>
      <c r="AJ228" s="20"/>
      <c r="AK228" s="20"/>
      <c r="AL228" s="20"/>
      <c r="AM228" s="21" t="n">
        <v>147.568</v>
      </c>
      <c r="AN228" s="20"/>
      <c r="AO228" s="20"/>
      <c r="AP228" s="20"/>
      <c r="AQ228" s="20"/>
      <c r="AR228" s="20"/>
      <c r="AS228" s="21" t="n">
        <v>144.28</v>
      </c>
      <c r="AT228" s="20"/>
      <c r="AU228" s="20"/>
      <c r="AV228" s="20"/>
      <c r="AW228" s="20"/>
      <c r="AX228" s="20"/>
      <c r="AY228" s="21" t="n">
        <v>332.793</v>
      </c>
      <c r="AZ228" s="20"/>
      <c r="BA228" s="20"/>
      <c r="BB228" s="20"/>
      <c r="BC228" s="20"/>
      <c r="BD228" s="20"/>
      <c r="BE228" s="21" t="n">
        <v>257.872</v>
      </c>
      <c r="BF228" s="20"/>
      <c r="BG228" s="20"/>
      <c r="BH228" s="20"/>
      <c r="BI228" s="20"/>
      <c r="BJ228" s="20"/>
      <c r="BK228" s="21" t="n">
        <v>317.6</v>
      </c>
      <c r="BL228" s="20"/>
      <c r="BM228" s="20"/>
      <c r="BN228" s="20"/>
      <c r="BO228" s="20"/>
      <c r="BP228" s="20"/>
      <c r="BQ228" s="21" t="n">
        <v>463.1</v>
      </c>
      <c r="BR228" s="20"/>
      <c r="BS228" s="20"/>
      <c r="BT228" s="20"/>
      <c r="BU228" s="20"/>
      <c r="BV228" s="20"/>
      <c r="BW228" s="21" t="n">
        <v>544</v>
      </c>
      <c r="BX228" s="20"/>
      <c r="BY228" s="20"/>
      <c r="BZ228" s="20"/>
      <c r="CA228" s="20"/>
      <c r="CB228" s="20"/>
      <c r="CC228" s="21" t="n">
        <v>932</v>
      </c>
      <c r="CD228" s="20"/>
      <c r="CE228" s="20"/>
      <c r="CF228" s="20"/>
      <c r="CG228" s="20"/>
      <c r="CH228" s="20"/>
      <c r="CI228" s="21" t="n">
        <v>978.2</v>
      </c>
      <c r="CJ228" s="20"/>
      <c r="CK228" s="20"/>
      <c r="CL228" s="21" t="n">
        <v>365.8</v>
      </c>
      <c r="CM228" s="22"/>
      <c r="CN228" s="22"/>
      <c r="CO228" s="22" t="n">
        <f aca="false">SUM(CO218:CO227)</f>
        <v>1086.77608450637</v>
      </c>
      <c r="CP228" s="22" t="n">
        <f aca="false">SUM(CP218:CP227)</f>
        <v>1187.26845773619</v>
      </c>
      <c r="CQ228" s="22" t="n">
        <f aca="false">SUM(CQ218:CQ227)</f>
        <v>1275.79307530945</v>
      </c>
      <c r="CR228" s="22" t="n">
        <f aca="false">SUM(CR218:CR227)</f>
        <v>1364.3775513526</v>
      </c>
      <c r="CS228" s="22" t="n">
        <f aca="false">SUM(CS218:CS227)</f>
        <v>1461.30236894852</v>
      </c>
      <c r="CT228" s="23"/>
      <c r="CV228" s="24" t="n">
        <f aca="false">IFERROR((CS228/CI228)^(1/5)-1,"n/m")</f>
        <v>0.0835837561675996</v>
      </c>
      <c r="CW228" s="24" t="n">
        <f aca="false">IFERROR((CI228/BE228)^(1/5)-1,"n/m")</f>
        <v>0.305583623749449</v>
      </c>
      <c r="CX228" s="24" t="n">
        <f aca="false">IFERROR((CI228/AA228)^(1/10)-1,"n/m")</f>
        <v>0.174128345866598</v>
      </c>
      <c r="CY228" s="24" t="n">
        <f aca="false">IFERROR((CI228/C228)^(1/19)-1,"n/m")</f>
        <v>0.152791661539686</v>
      </c>
    </row>
    <row r="229" customFormat="false" ht="15" hidden="false" customHeight="true" outlineLevel="0" collapsed="false">
      <c r="B229" s="13" t="s">
        <v>395</v>
      </c>
      <c r="C229" s="40" t="n">
        <v>-51.239</v>
      </c>
      <c r="D229" s="40" t="n">
        <v>-113.219</v>
      </c>
      <c r="E229" s="40" t="n">
        <v>-145.024</v>
      </c>
      <c r="F229" s="40" t="n">
        <v>-157.416</v>
      </c>
      <c r="G229" s="40" t="n">
        <v>-62.284</v>
      </c>
      <c r="H229" s="40" t="n">
        <v>-77.053</v>
      </c>
      <c r="I229" s="40" t="n">
        <v>-58.707</v>
      </c>
      <c r="J229" s="31"/>
      <c r="K229" s="31"/>
      <c r="L229" s="31"/>
      <c r="M229" s="31"/>
      <c r="N229" s="31"/>
      <c r="O229" s="40" t="n">
        <v>-35.896</v>
      </c>
      <c r="P229" s="31"/>
      <c r="Q229" s="31"/>
      <c r="R229" s="31"/>
      <c r="S229" s="31"/>
      <c r="T229" s="31"/>
      <c r="U229" s="40" t="n">
        <v>-24.99</v>
      </c>
      <c r="V229" s="31"/>
      <c r="W229" s="31"/>
      <c r="X229" s="31"/>
      <c r="Y229" s="31"/>
      <c r="Z229" s="31"/>
      <c r="AA229" s="40" t="n">
        <v>-22.055</v>
      </c>
      <c r="AB229" s="31"/>
      <c r="AC229" s="31"/>
      <c r="AD229" s="31"/>
      <c r="AE229" s="31"/>
      <c r="AF229" s="31"/>
      <c r="AG229" s="40" t="n">
        <v>-18.918</v>
      </c>
      <c r="AH229" s="31"/>
      <c r="AI229" s="31"/>
      <c r="AJ229" s="31"/>
      <c r="AK229" s="31"/>
      <c r="AL229" s="31"/>
      <c r="AM229" s="40" t="n">
        <v>-10.812</v>
      </c>
      <c r="AN229" s="31"/>
      <c r="AO229" s="31"/>
      <c r="AP229" s="31"/>
      <c r="AQ229" s="31"/>
      <c r="AR229" s="31"/>
      <c r="AS229" s="40" t="n">
        <v>-16.86</v>
      </c>
      <c r="AT229" s="31"/>
      <c r="AU229" s="31"/>
      <c r="AV229" s="31"/>
      <c r="AW229" s="31"/>
      <c r="AX229" s="31"/>
      <c r="AY229" s="40" t="n">
        <v>-13.589</v>
      </c>
      <c r="AZ229" s="31"/>
      <c r="BA229" s="31"/>
      <c r="BB229" s="31"/>
      <c r="BC229" s="31"/>
      <c r="BD229" s="31"/>
      <c r="BE229" s="40" t="n">
        <v>-14.263</v>
      </c>
      <c r="BF229" s="31"/>
      <c r="BG229" s="31"/>
      <c r="BH229" s="31"/>
      <c r="BI229" s="31"/>
      <c r="BJ229" s="31"/>
      <c r="BK229" s="40" t="n">
        <v>-9.8</v>
      </c>
      <c r="BL229" s="31"/>
      <c r="BM229" s="31"/>
      <c r="BN229" s="31"/>
      <c r="BO229" s="31"/>
      <c r="BP229" s="31"/>
      <c r="BQ229" s="40" t="n">
        <v>-32</v>
      </c>
      <c r="BR229" s="31"/>
      <c r="BS229" s="31"/>
      <c r="BT229" s="31"/>
      <c r="BU229" s="31"/>
      <c r="BV229" s="31"/>
      <c r="BW229" s="40" t="n">
        <v>-227.9</v>
      </c>
      <c r="BX229" s="31"/>
      <c r="BY229" s="31"/>
      <c r="BZ229" s="31"/>
      <c r="CA229" s="31"/>
      <c r="CB229" s="31"/>
      <c r="CC229" s="40" t="n">
        <v>-167.4</v>
      </c>
      <c r="CD229" s="31"/>
      <c r="CE229" s="31"/>
      <c r="CF229" s="31"/>
      <c r="CG229" s="31"/>
      <c r="CH229" s="31"/>
      <c r="CI229" s="40" t="n">
        <v>-259</v>
      </c>
      <c r="CJ229" s="31"/>
      <c r="CK229" s="31"/>
      <c r="CL229" s="40" t="n">
        <v>-129.6</v>
      </c>
      <c r="CM229" s="32"/>
      <c r="CN229" s="32"/>
      <c r="CO229" s="32" t="n">
        <f aca="false">-($DD$17-CO230*-1)+0</f>
        <v>-254.854748915035</v>
      </c>
      <c r="CP229" s="32" t="n">
        <f aca="false">-CP95*CP257-CP230</f>
        <v>-255.208981948922</v>
      </c>
      <c r="CQ229" s="32" t="n">
        <f aca="false">-CQ95*CQ257-CQ230</f>
        <v>-253.611768423836</v>
      </c>
      <c r="CR229" s="32" t="n">
        <f aca="false">-CR95*CR257-CR230</f>
        <v>-250.116557959093</v>
      </c>
      <c r="CS229" s="32" t="n">
        <f aca="false">-CS95*CS257-CS230</f>
        <v>-245.856480209518</v>
      </c>
      <c r="CT229" s="23" t="s">
        <v>396</v>
      </c>
      <c r="CV229" s="7"/>
      <c r="CW229" s="7"/>
      <c r="CX229" s="7"/>
      <c r="CY229" s="7"/>
    </row>
    <row r="230" customFormat="false" ht="15" hidden="false" customHeight="true" outlineLevel="0" collapsed="false">
      <c r="B230" s="13" t="s">
        <v>397</v>
      </c>
      <c r="C230" s="31"/>
      <c r="D230" s="31"/>
      <c r="E230" s="31"/>
      <c r="F230" s="31"/>
      <c r="G230" s="31"/>
      <c r="H230" s="31"/>
      <c r="I230" s="40" t="n">
        <v>-3.633</v>
      </c>
      <c r="J230" s="31"/>
      <c r="K230" s="31"/>
      <c r="L230" s="31"/>
      <c r="M230" s="31"/>
      <c r="N230" s="31"/>
      <c r="O230" s="40" t="n">
        <v>-15.662</v>
      </c>
      <c r="P230" s="31"/>
      <c r="Q230" s="31"/>
      <c r="R230" s="31"/>
      <c r="S230" s="31"/>
      <c r="T230" s="31"/>
      <c r="U230" s="40" t="n">
        <v>-13.935</v>
      </c>
      <c r="V230" s="31"/>
      <c r="W230" s="31"/>
      <c r="X230" s="31"/>
      <c r="Y230" s="31"/>
      <c r="Z230" s="31"/>
      <c r="AA230" s="40" t="n">
        <v>-8.764</v>
      </c>
      <c r="AB230" s="31"/>
      <c r="AC230" s="31"/>
      <c r="AD230" s="31"/>
      <c r="AE230" s="31"/>
      <c r="AF230" s="31"/>
      <c r="AG230" s="40" t="n">
        <v>-17.558</v>
      </c>
      <c r="AH230" s="31"/>
      <c r="AI230" s="31"/>
      <c r="AJ230" s="31"/>
      <c r="AK230" s="31"/>
      <c r="AL230" s="31"/>
      <c r="AM230" s="40" t="n">
        <v>-28.584</v>
      </c>
      <c r="AN230" s="31"/>
      <c r="AO230" s="31"/>
      <c r="AP230" s="31"/>
      <c r="AQ230" s="31"/>
      <c r="AR230" s="31"/>
      <c r="AS230" s="40" t="n">
        <v>-26.152</v>
      </c>
      <c r="AT230" s="31"/>
      <c r="AU230" s="31"/>
      <c r="AV230" s="31"/>
      <c r="AW230" s="31"/>
      <c r="AX230" s="31"/>
      <c r="AY230" s="40" t="n">
        <v>-27.415</v>
      </c>
      <c r="AZ230" s="31"/>
      <c r="BA230" s="31"/>
      <c r="BB230" s="31"/>
      <c r="BC230" s="31"/>
      <c r="BD230" s="31"/>
      <c r="BE230" s="40" t="n">
        <v>-28.873</v>
      </c>
      <c r="BF230" s="31"/>
      <c r="BG230" s="31"/>
      <c r="BH230" s="31"/>
      <c r="BI230" s="31"/>
      <c r="BJ230" s="31"/>
      <c r="BK230" s="40" t="n">
        <v>-33.7</v>
      </c>
      <c r="BL230" s="31"/>
      <c r="BM230" s="31"/>
      <c r="BN230" s="31"/>
      <c r="BO230" s="31"/>
      <c r="BP230" s="31"/>
      <c r="BQ230" s="40" t="n">
        <v>-40</v>
      </c>
      <c r="BR230" s="31"/>
      <c r="BS230" s="31"/>
      <c r="BT230" s="31"/>
      <c r="BU230" s="31"/>
      <c r="BV230" s="31"/>
      <c r="BW230" s="40" t="n">
        <v>-118.3</v>
      </c>
      <c r="BX230" s="31"/>
      <c r="BY230" s="31"/>
      <c r="BZ230" s="31"/>
      <c r="CA230" s="31"/>
      <c r="CB230" s="31"/>
      <c r="CC230" s="40" t="n">
        <v>-109.5</v>
      </c>
      <c r="CD230" s="31"/>
      <c r="CE230" s="31"/>
      <c r="CF230" s="31"/>
      <c r="CG230" s="31"/>
      <c r="CH230" s="31"/>
      <c r="CI230" s="40" t="n">
        <v>-116.5</v>
      </c>
      <c r="CJ230" s="31"/>
      <c r="CK230" s="31"/>
      <c r="CL230" s="40" t="n">
        <v>-54.3</v>
      </c>
      <c r="CM230" s="32"/>
      <c r="CN230" s="32"/>
      <c r="CO230" s="32" t="n">
        <f aca="false">-CO95*0.024</f>
        <v>-120.145251084966</v>
      </c>
      <c r="CP230" s="32" t="n">
        <f aca="false">-CP95*0.024</f>
        <v>-126.28898075823</v>
      </c>
      <c r="CQ230" s="32" t="n">
        <f aca="false">-CQ95*0.024</f>
        <v>-132.319183525479</v>
      </c>
      <c r="CR230" s="32" t="n">
        <f aca="false">-CR95*0.024</f>
        <v>-137.995342322258</v>
      </c>
      <c r="CS230" s="32" t="n">
        <f aca="false">-CS95*0.024</f>
        <v>-143.915988415328</v>
      </c>
      <c r="CT230" s="23" t="s">
        <v>398</v>
      </c>
      <c r="CV230" s="7"/>
      <c r="CW230" s="7"/>
      <c r="CX230" s="7"/>
      <c r="CY230" s="7"/>
    </row>
    <row r="231" customFormat="false" ht="15" hidden="false" customHeight="true" outlineLevel="0" collapsed="false">
      <c r="B231" s="13" t="s">
        <v>399</v>
      </c>
      <c r="C231" s="40" t="n">
        <v>5.16</v>
      </c>
      <c r="D231" s="40" t="n">
        <v>8.455</v>
      </c>
      <c r="E231" s="40" t="n">
        <v>33.813</v>
      </c>
      <c r="F231" s="40" t="n">
        <v>4.201</v>
      </c>
      <c r="G231" s="40" t="n">
        <v>8.479</v>
      </c>
      <c r="H231" s="40" t="n">
        <v>10.072</v>
      </c>
      <c r="I231" s="40" t="n">
        <v>6.349</v>
      </c>
      <c r="J231" s="31"/>
      <c r="K231" s="31"/>
      <c r="L231" s="31"/>
      <c r="M231" s="31"/>
      <c r="N231" s="31"/>
      <c r="O231" s="40" t="n">
        <v>14.492</v>
      </c>
      <c r="P231" s="31"/>
      <c r="Q231" s="31"/>
      <c r="R231" s="31"/>
      <c r="S231" s="31"/>
      <c r="T231" s="31"/>
      <c r="U231" s="40" t="n">
        <v>9.33</v>
      </c>
      <c r="V231" s="31"/>
      <c r="W231" s="31"/>
      <c r="X231" s="31"/>
      <c r="Y231" s="31"/>
      <c r="Z231" s="31"/>
      <c r="AA231" s="40" t="n">
        <v>16.667</v>
      </c>
      <c r="AB231" s="31"/>
      <c r="AC231" s="31"/>
      <c r="AD231" s="31"/>
      <c r="AE231" s="31"/>
      <c r="AF231" s="31"/>
      <c r="AG231" s="40" t="n">
        <v>6.691</v>
      </c>
      <c r="AH231" s="31"/>
      <c r="AI231" s="31"/>
      <c r="AJ231" s="31"/>
      <c r="AK231" s="31"/>
      <c r="AL231" s="31"/>
      <c r="AM231" s="40" t="n">
        <v>4.985</v>
      </c>
      <c r="AN231" s="31"/>
      <c r="AO231" s="31"/>
      <c r="AP231" s="31"/>
      <c r="AQ231" s="31"/>
      <c r="AR231" s="31"/>
      <c r="AS231" s="40" t="n">
        <v>10.586</v>
      </c>
      <c r="AT231" s="31"/>
      <c r="AU231" s="31"/>
      <c r="AV231" s="31"/>
      <c r="AW231" s="31"/>
      <c r="AX231" s="31"/>
      <c r="AY231" s="40" t="n">
        <v>5.929</v>
      </c>
      <c r="AZ231" s="31"/>
      <c r="BA231" s="31"/>
      <c r="BB231" s="31"/>
      <c r="BC231" s="31"/>
      <c r="BD231" s="31"/>
      <c r="BE231" s="40" t="n">
        <v>16.385</v>
      </c>
      <c r="BF231" s="31"/>
      <c r="BG231" s="31"/>
      <c r="BH231" s="31"/>
      <c r="BI231" s="31"/>
      <c r="BJ231" s="31"/>
      <c r="BK231" s="40" t="n">
        <v>1.9</v>
      </c>
      <c r="BL231" s="31"/>
      <c r="BM231" s="31"/>
      <c r="BN231" s="31"/>
      <c r="BO231" s="31"/>
      <c r="BP231" s="31"/>
      <c r="BQ231" s="40" t="n">
        <v>165.5</v>
      </c>
      <c r="BR231" s="31"/>
      <c r="BS231" s="31"/>
      <c r="BT231" s="31"/>
      <c r="BU231" s="31"/>
      <c r="BV231" s="31"/>
      <c r="BW231" s="40" t="n">
        <v>32.6</v>
      </c>
      <c r="BX231" s="31"/>
      <c r="BY231" s="31"/>
      <c r="BZ231" s="31"/>
      <c r="CA231" s="31"/>
      <c r="CB231" s="31"/>
      <c r="CC231" s="40" t="n">
        <v>2.6</v>
      </c>
      <c r="CD231" s="31"/>
      <c r="CE231" s="31"/>
      <c r="CF231" s="31"/>
      <c r="CG231" s="31"/>
      <c r="CH231" s="31"/>
      <c r="CI231" s="40" t="n">
        <v>5.3</v>
      </c>
      <c r="CJ231" s="31"/>
      <c r="CK231" s="31"/>
      <c r="CL231" s="40" t="n">
        <v>3.3</v>
      </c>
      <c r="CM231" s="32"/>
      <c r="CN231" s="32"/>
      <c r="CO231" s="32" t="n">
        <f aca="false">CL231</f>
        <v>3.3</v>
      </c>
      <c r="CP231" s="32"/>
      <c r="CQ231" s="32"/>
      <c r="CR231" s="32"/>
      <c r="CS231" s="32"/>
      <c r="CT231" s="23"/>
      <c r="CV231" s="7"/>
      <c r="CW231" s="7"/>
      <c r="CX231" s="7"/>
      <c r="CY231" s="7"/>
    </row>
    <row r="232" customFormat="false" ht="15" hidden="false" customHeight="true" outlineLevel="0" collapsed="false">
      <c r="B232" s="13" t="s">
        <v>400</v>
      </c>
      <c r="C232" s="40" t="n">
        <v>-2.3</v>
      </c>
      <c r="D232" s="40" t="n">
        <v>-0.597</v>
      </c>
      <c r="E232" s="40" t="n">
        <v>0</v>
      </c>
      <c r="F232" s="40" t="n">
        <v>-3.803</v>
      </c>
      <c r="G232" s="31"/>
      <c r="H232" s="31"/>
      <c r="I232" s="40" t="n">
        <v>-55.617</v>
      </c>
      <c r="J232" s="31"/>
      <c r="K232" s="31"/>
      <c r="L232" s="31"/>
      <c r="M232" s="31"/>
      <c r="N232" s="31"/>
      <c r="O232" s="40" t="n">
        <v>0</v>
      </c>
      <c r="P232" s="31"/>
      <c r="Q232" s="31"/>
      <c r="R232" s="31"/>
      <c r="S232" s="31"/>
      <c r="T232" s="31"/>
      <c r="U232" s="40" t="n">
        <v>0</v>
      </c>
      <c r="V232" s="31"/>
      <c r="W232" s="31"/>
      <c r="X232" s="31"/>
      <c r="Y232" s="31"/>
      <c r="Z232" s="31"/>
      <c r="AA232" s="40" t="n">
        <v>-12.107</v>
      </c>
      <c r="AB232" s="31"/>
      <c r="AC232" s="31"/>
      <c r="AD232" s="31"/>
      <c r="AE232" s="31"/>
      <c r="AF232" s="31"/>
      <c r="AG232" s="40" t="n">
        <v>-45.511</v>
      </c>
      <c r="AH232" s="31"/>
      <c r="AI232" s="31"/>
      <c r="AJ232" s="31"/>
      <c r="AK232" s="31"/>
      <c r="AL232" s="31"/>
      <c r="AM232" s="40" t="n">
        <v>-675.851</v>
      </c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40" t="n">
        <v>0</v>
      </c>
      <c r="AZ232" s="31"/>
      <c r="BA232" s="31"/>
      <c r="BB232" s="31"/>
      <c r="BC232" s="31"/>
      <c r="BD232" s="31"/>
      <c r="BE232" s="40" t="n">
        <v>-250.039</v>
      </c>
      <c r="BF232" s="31"/>
      <c r="BG232" s="31"/>
      <c r="BH232" s="31"/>
      <c r="BI232" s="31"/>
      <c r="BJ232" s="31"/>
      <c r="BK232" s="40" t="n">
        <v>-171</v>
      </c>
      <c r="BL232" s="31"/>
      <c r="BM232" s="31"/>
      <c r="BN232" s="31"/>
      <c r="BO232" s="31"/>
      <c r="BP232" s="31"/>
      <c r="BQ232" s="40" t="n">
        <v>-0.1</v>
      </c>
      <c r="BR232" s="31"/>
      <c r="BS232" s="31"/>
      <c r="BT232" s="31"/>
      <c r="BU232" s="31"/>
      <c r="BV232" s="31"/>
      <c r="BW232" s="40" t="n">
        <v>-2778.6</v>
      </c>
      <c r="BX232" s="31"/>
      <c r="BY232" s="31"/>
      <c r="BZ232" s="31"/>
      <c r="CA232" s="31"/>
      <c r="CB232" s="31"/>
      <c r="CC232" s="40" t="n">
        <v>-8.6</v>
      </c>
      <c r="CD232" s="31"/>
      <c r="CE232" s="31"/>
      <c r="CF232" s="31"/>
      <c r="CG232" s="31"/>
      <c r="CH232" s="31"/>
      <c r="CI232" s="40" t="n">
        <v>-192.8</v>
      </c>
      <c r="CJ232" s="31"/>
      <c r="CK232" s="31"/>
      <c r="CL232" s="40" t="n">
        <v>-331.1</v>
      </c>
      <c r="CM232" s="32"/>
      <c r="CN232" s="32"/>
      <c r="CO232" s="32" t="n">
        <f aca="false">CL232</f>
        <v>-331.1</v>
      </c>
      <c r="CP232" s="32"/>
      <c r="CQ232" s="32"/>
      <c r="CR232" s="32"/>
      <c r="CS232" s="32"/>
      <c r="CT232" s="23" t="s">
        <v>401</v>
      </c>
      <c r="CV232" s="7"/>
      <c r="CW232" s="7"/>
      <c r="CX232" s="7"/>
      <c r="CY232" s="7"/>
    </row>
    <row r="233" customFormat="false" ht="15" hidden="false" customHeight="true" outlineLevel="0" collapsed="false">
      <c r="B233" s="13" t="s">
        <v>402</v>
      </c>
      <c r="C233" s="40" t="n">
        <v>1.832</v>
      </c>
      <c r="D233" s="40" t="n">
        <v>-0.364</v>
      </c>
      <c r="E233" s="40" t="n">
        <v>1</v>
      </c>
      <c r="F233" s="40" t="n">
        <v>-7.638</v>
      </c>
      <c r="G233" s="40" t="n">
        <v>-0.788</v>
      </c>
      <c r="H233" s="40" t="n">
        <v>-3.12</v>
      </c>
      <c r="I233" s="40" t="n">
        <v>0.738</v>
      </c>
      <c r="J233" s="31"/>
      <c r="K233" s="31"/>
      <c r="L233" s="31"/>
      <c r="M233" s="31"/>
      <c r="N233" s="31"/>
      <c r="O233" s="40" t="n">
        <v>9.536</v>
      </c>
      <c r="P233" s="31"/>
      <c r="Q233" s="31"/>
      <c r="R233" s="31"/>
      <c r="S233" s="31"/>
      <c r="T233" s="31"/>
      <c r="U233" s="40" t="n">
        <v>-0.529</v>
      </c>
      <c r="V233" s="31"/>
      <c r="W233" s="31"/>
      <c r="X233" s="31"/>
      <c r="Y233" s="31"/>
      <c r="Z233" s="31"/>
      <c r="AA233" s="40" t="n">
        <v>-3.089</v>
      </c>
      <c r="AB233" s="31"/>
      <c r="AC233" s="31"/>
      <c r="AD233" s="31"/>
      <c r="AE233" s="31"/>
      <c r="AF233" s="31"/>
      <c r="AG233" s="40" t="n">
        <v>-41.566</v>
      </c>
      <c r="AH233" s="31"/>
      <c r="AI233" s="31"/>
      <c r="AJ233" s="31"/>
      <c r="AK233" s="31"/>
      <c r="AL233" s="31"/>
      <c r="AM233" s="40" t="n">
        <v>-0.692</v>
      </c>
      <c r="AN233" s="31"/>
      <c r="AO233" s="31"/>
      <c r="AP233" s="31"/>
      <c r="AQ233" s="31"/>
      <c r="AR233" s="31"/>
      <c r="AS233" s="40" t="n">
        <v>1.473</v>
      </c>
      <c r="AT233" s="31"/>
      <c r="AU233" s="31"/>
      <c r="AV233" s="31"/>
      <c r="AW233" s="31"/>
      <c r="AX233" s="31"/>
      <c r="AY233" s="40" t="n">
        <v>-0.982</v>
      </c>
      <c r="AZ233" s="31"/>
      <c r="BA233" s="31"/>
      <c r="BB233" s="31"/>
      <c r="BC233" s="31"/>
      <c r="BD233" s="31"/>
      <c r="BE233" s="40" t="n">
        <v>0.068</v>
      </c>
      <c r="BF233" s="31"/>
      <c r="BG233" s="31"/>
      <c r="BH233" s="31"/>
      <c r="BI233" s="31"/>
      <c r="BJ233" s="31"/>
      <c r="BK233" s="40" t="n">
        <v>-1.5</v>
      </c>
      <c r="BL233" s="31"/>
      <c r="BM233" s="31"/>
      <c r="BN233" s="31"/>
      <c r="BO233" s="31"/>
      <c r="BP233" s="31"/>
      <c r="BQ233" s="40" t="n">
        <v>-16.2</v>
      </c>
      <c r="BR233" s="31"/>
      <c r="BS233" s="31"/>
      <c r="BT233" s="31"/>
      <c r="BU233" s="31"/>
      <c r="BV233" s="31"/>
      <c r="BW233" s="40" t="n">
        <v>-16.1</v>
      </c>
      <c r="BX233" s="31"/>
      <c r="BY233" s="31"/>
      <c r="BZ233" s="31"/>
      <c r="CA233" s="31"/>
      <c r="CB233" s="31"/>
      <c r="CC233" s="40" t="n">
        <v>-18.7</v>
      </c>
      <c r="CD233" s="31"/>
      <c r="CE233" s="31"/>
      <c r="CF233" s="31"/>
      <c r="CG233" s="31"/>
      <c r="CH233" s="31"/>
      <c r="CI233" s="40" t="n">
        <v>10.1</v>
      </c>
      <c r="CJ233" s="31"/>
      <c r="CK233" s="31"/>
      <c r="CL233" s="40" t="n">
        <v>-12.6</v>
      </c>
      <c r="CM233" s="32"/>
      <c r="CN233" s="32"/>
      <c r="CO233" s="49" t="n">
        <v>0</v>
      </c>
      <c r="CP233" s="32"/>
      <c r="CQ233" s="32"/>
      <c r="CR233" s="32"/>
      <c r="CS233" s="32"/>
      <c r="CT233" s="23"/>
      <c r="CV233" s="7"/>
      <c r="CW233" s="7"/>
      <c r="CX233" s="7"/>
      <c r="CY233" s="7"/>
    </row>
    <row r="234" customFormat="false" ht="15" hidden="false" customHeight="true" outlineLevel="0" collapsed="false">
      <c r="B234" s="19" t="s">
        <v>403</v>
      </c>
      <c r="C234" s="21" t="n">
        <v>-46.547</v>
      </c>
      <c r="D234" s="21" t="n">
        <v>-105.725</v>
      </c>
      <c r="E234" s="21" t="n">
        <v>-110.211</v>
      </c>
      <c r="F234" s="21" t="n">
        <v>-164.656</v>
      </c>
      <c r="G234" s="21" t="n">
        <v>-54.593</v>
      </c>
      <c r="H234" s="21" t="n">
        <v>-70.101</v>
      </c>
      <c r="I234" s="21" t="n">
        <v>-110.87</v>
      </c>
      <c r="J234" s="20"/>
      <c r="K234" s="20"/>
      <c r="L234" s="20"/>
      <c r="M234" s="20"/>
      <c r="N234" s="20"/>
      <c r="O234" s="21" t="n">
        <v>-27.53</v>
      </c>
      <c r="P234" s="20"/>
      <c r="Q234" s="20"/>
      <c r="R234" s="20"/>
      <c r="S234" s="20"/>
      <c r="T234" s="20"/>
      <c r="U234" s="21" t="n">
        <v>-30.124</v>
      </c>
      <c r="V234" s="20"/>
      <c r="W234" s="20"/>
      <c r="X234" s="20"/>
      <c r="Y234" s="20"/>
      <c r="Z234" s="20"/>
      <c r="AA234" s="21" t="n">
        <v>-29.348</v>
      </c>
      <c r="AB234" s="20"/>
      <c r="AC234" s="20"/>
      <c r="AD234" s="20"/>
      <c r="AE234" s="20"/>
      <c r="AF234" s="20"/>
      <c r="AG234" s="21" t="n">
        <v>-116.862</v>
      </c>
      <c r="AH234" s="20"/>
      <c r="AI234" s="20"/>
      <c r="AJ234" s="20"/>
      <c r="AK234" s="20"/>
      <c r="AL234" s="20"/>
      <c r="AM234" s="21" t="n">
        <v>-710.954</v>
      </c>
      <c r="AN234" s="20"/>
      <c r="AO234" s="20"/>
      <c r="AP234" s="20"/>
      <c r="AQ234" s="20"/>
      <c r="AR234" s="20"/>
      <c r="AS234" s="21" t="n">
        <v>-30.953</v>
      </c>
      <c r="AT234" s="20"/>
      <c r="AU234" s="20"/>
      <c r="AV234" s="20"/>
      <c r="AW234" s="20"/>
      <c r="AX234" s="20"/>
      <c r="AY234" s="21" t="n">
        <v>-36.057</v>
      </c>
      <c r="AZ234" s="20"/>
      <c r="BA234" s="20"/>
      <c r="BB234" s="20"/>
      <c r="BC234" s="20"/>
      <c r="BD234" s="20"/>
      <c r="BE234" s="21" t="n">
        <v>-276.722</v>
      </c>
      <c r="BF234" s="20"/>
      <c r="BG234" s="20"/>
      <c r="BH234" s="20"/>
      <c r="BI234" s="20"/>
      <c r="BJ234" s="20"/>
      <c r="BK234" s="21" t="n">
        <v>-214.1</v>
      </c>
      <c r="BL234" s="20"/>
      <c r="BM234" s="20"/>
      <c r="BN234" s="20"/>
      <c r="BO234" s="20"/>
      <c r="BP234" s="20"/>
      <c r="BQ234" s="21" t="n">
        <v>77.2</v>
      </c>
      <c r="BR234" s="20"/>
      <c r="BS234" s="20"/>
      <c r="BT234" s="20"/>
      <c r="BU234" s="20"/>
      <c r="BV234" s="20"/>
      <c r="BW234" s="21" t="n">
        <v>-3108.3</v>
      </c>
      <c r="BX234" s="20"/>
      <c r="BY234" s="20"/>
      <c r="BZ234" s="20"/>
      <c r="CA234" s="20"/>
      <c r="CB234" s="20"/>
      <c r="CC234" s="21" t="n">
        <v>-301.6</v>
      </c>
      <c r="CD234" s="20"/>
      <c r="CE234" s="20"/>
      <c r="CF234" s="20"/>
      <c r="CG234" s="20"/>
      <c r="CH234" s="20"/>
      <c r="CI234" s="21" t="n">
        <v>-552.9</v>
      </c>
      <c r="CJ234" s="20"/>
      <c r="CK234" s="20"/>
      <c r="CL234" s="21" t="n">
        <v>-524.3</v>
      </c>
      <c r="CM234" s="22"/>
      <c r="CN234" s="22"/>
      <c r="CO234" s="22" t="n">
        <f aca="false">SUM(CO229:CO233)</f>
        <v>-702.8</v>
      </c>
      <c r="CP234" s="22" t="n">
        <f aca="false">SUM(CP229:CP233)</f>
        <v>-381.497962707152</v>
      </c>
      <c r="CQ234" s="22" t="n">
        <f aca="false">SUM(CQ229:CQ233)</f>
        <v>-385.930951949315</v>
      </c>
      <c r="CR234" s="22" t="n">
        <f aca="false">SUM(CR229:CR233)</f>
        <v>-388.111900281352</v>
      </c>
      <c r="CS234" s="22" t="n">
        <f aca="false">SUM(CS229:CS233)</f>
        <v>-389.772468624845</v>
      </c>
      <c r="CT234" s="23"/>
      <c r="CV234" s="7"/>
      <c r="CW234" s="7"/>
      <c r="CX234" s="7"/>
      <c r="CY234" s="7"/>
    </row>
    <row r="235" customFormat="false" ht="15" hidden="false" customHeight="true" outlineLevel="0" collapsed="false">
      <c r="B235" s="13"/>
      <c r="CM235" s="7"/>
      <c r="CN235" s="7"/>
      <c r="CO235" s="7"/>
      <c r="CP235" s="7"/>
      <c r="CQ235" s="7"/>
      <c r="CR235" s="7"/>
      <c r="CS235" s="7"/>
      <c r="CT235" s="7"/>
    </row>
    <row r="236" customFormat="false" ht="15" hidden="false" customHeight="true" outlineLevel="0" collapsed="false">
      <c r="B236" s="13" t="s">
        <v>404</v>
      </c>
      <c r="C236" s="31"/>
      <c r="D236" s="40" t="n">
        <v>-0.493</v>
      </c>
      <c r="E236" s="40" t="n">
        <v>26.184</v>
      </c>
      <c r="F236" s="40" t="n">
        <v>71.591</v>
      </c>
      <c r="G236" s="40" t="n">
        <v>10.721</v>
      </c>
      <c r="H236" s="40" t="n">
        <v>11.405</v>
      </c>
      <c r="I236" s="40" t="n">
        <v>90.815</v>
      </c>
      <c r="J236" s="31"/>
      <c r="K236" s="31"/>
      <c r="L236" s="31"/>
      <c r="M236" s="31"/>
      <c r="N236" s="31"/>
      <c r="O236" s="40" t="n">
        <v>-34.152</v>
      </c>
      <c r="P236" s="31"/>
      <c r="Q236" s="31"/>
      <c r="R236" s="31"/>
      <c r="S236" s="31"/>
      <c r="T236" s="31"/>
      <c r="U236" s="40" t="n">
        <v>4.685</v>
      </c>
      <c r="V236" s="31"/>
      <c r="W236" s="31"/>
      <c r="X236" s="31"/>
      <c r="Y236" s="31"/>
      <c r="Z236" s="31"/>
      <c r="AA236" s="40" t="n">
        <v>4.665</v>
      </c>
      <c r="AB236" s="31"/>
      <c r="AC236" s="31"/>
      <c r="AD236" s="31"/>
      <c r="AE236" s="31"/>
      <c r="AF236" s="31"/>
      <c r="AG236" s="40" t="n">
        <v>657.159</v>
      </c>
      <c r="AH236" s="31"/>
      <c r="AI236" s="31"/>
      <c r="AJ236" s="31"/>
      <c r="AK236" s="31"/>
      <c r="AL236" s="31"/>
      <c r="AM236" s="40" t="n">
        <v>307.492</v>
      </c>
      <c r="AN236" s="31"/>
      <c r="AO236" s="31"/>
      <c r="AP236" s="31"/>
      <c r="AQ236" s="31"/>
      <c r="AR236" s="31"/>
      <c r="AS236" s="40" t="n">
        <v>13.087</v>
      </c>
      <c r="AT236" s="31"/>
      <c r="AU236" s="31"/>
      <c r="AV236" s="31"/>
      <c r="AW236" s="31"/>
      <c r="AX236" s="31"/>
      <c r="AY236" s="40" t="n">
        <v>-15.515</v>
      </c>
      <c r="AZ236" s="31"/>
      <c r="BA236" s="31"/>
      <c r="BB236" s="31"/>
      <c r="BC236" s="31"/>
      <c r="BD236" s="31"/>
      <c r="BE236" s="40" t="n">
        <v>21.431</v>
      </c>
      <c r="BF236" s="31"/>
      <c r="BG236" s="31"/>
      <c r="BH236" s="31"/>
      <c r="BI236" s="31"/>
      <c r="BJ236" s="31"/>
      <c r="BK236" s="40" t="n">
        <v>1085.4</v>
      </c>
      <c r="BL236" s="31"/>
      <c r="BM236" s="31"/>
      <c r="BN236" s="31"/>
      <c r="BO236" s="31"/>
      <c r="BP236" s="31"/>
      <c r="BQ236" s="40" t="n">
        <v>0.8</v>
      </c>
      <c r="BR236" s="31"/>
      <c r="BS236" s="31"/>
      <c r="BT236" s="31"/>
      <c r="BU236" s="31"/>
      <c r="BV236" s="31"/>
      <c r="BW236" s="40" t="n">
        <v>3159.5</v>
      </c>
      <c r="BX236" s="31"/>
      <c r="BY236" s="31"/>
      <c r="BZ236" s="31"/>
      <c r="CA236" s="31"/>
      <c r="CB236" s="31"/>
      <c r="CC236" s="40" t="n">
        <v>14.5</v>
      </c>
      <c r="CD236" s="31"/>
      <c r="CE236" s="31"/>
      <c r="CF236" s="31"/>
      <c r="CG236" s="31"/>
      <c r="CH236" s="31"/>
      <c r="CI236" s="40" t="n">
        <v>377.8</v>
      </c>
      <c r="CJ236" s="31"/>
      <c r="CK236" s="31"/>
      <c r="CL236" s="40" t="n">
        <v>603.4</v>
      </c>
      <c r="CM236" s="32"/>
      <c r="CN236" s="32"/>
      <c r="CO236" s="32" t="n">
        <f aca="false">MAX(0,CO340-CI340)</f>
        <v>328.5</v>
      </c>
      <c r="CP236" s="32" t="n">
        <f aca="false">MAX(0,CP340-CO340)</f>
        <v>0</v>
      </c>
      <c r="CQ236" s="32" t="n">
        <f aca="false">MAX(0,CQ340-CP340)</f>
        <v>0</v>
      </c>
      <c r="CR236" s="32" t="n">
        <f aca="false">MAX(0,CR340-CQ340)</f>
        <v>0</v>
      </c>
      <c r="CS236" s="32" t="n">
        <f aca="false">MAX(0,CS340-CR340)</f>
        <v>0</v>
      </c>
      <c r="CT236" s="23"/>
      <c r="CV236" s="7"/>
      <c r="CW236" s="7"/>
      <c r="CX236" s="7"/>
      <c r="CY236" s="7"/>
    </row>
    <row r="237" customFormat="false" ht="15" hidden="false" customHeight="true" outlineLevel="0" collapsed="false">
      <c r="B237" s="13" t="s">
        <v>405</v>
      </c>
      <c r="C237" s="40" t="n">
        <v>-0.227</v>
      </c>
      <c r="D237" s="40" t="n">
        <v>-0.251</v>
      </c>
      <c r="E237" s="40" t="n">
        <v>-0.238</v>
      </c>
      <c r="F237" s="40" t="n">
        <v>-14.999</v>
      </c>
      <c r="G237" s="40" t="n">
        <v>-14.436</v>
      </c>
      <c r="H237" s="31"/>
      <c r="I237" s="31"/>
      <c r="J237" s="31"/>
      <c r="K237" s="31"/>
      <c r="L237" s="31"/>
      <c r="M237" s="31"/>
      <c r="N237" s="31"/>
      <c r="O237" s="40" t="n">
        <v>-15</v>
      </c>
      <c r="P237" s="31"/>
      <c r="Q237" s="31"/>
      <c r="R237" s="31"/>
      <c r="S237" s="31"/>
      <c r="T237" s="31"/>
      <c r="U237" s="40" t="n">
        <v>-58.409</v>
      </c>
      <c r="V237" s="31"/>
      <c r="W237" s="31"/>
      <c r="X237" s="31"/>
      <c r="Y237" s="31"/>
      <c r="Z237" s="31"/>
      <c r="AA237" s="40" t="n">
        <v>0</v>
      </c>
      <c r="AB237" s="31"/>
      <c r="AC237" s="31"/>
      <c r="AD237" s="31"/>
      <c r="AE237" s="31"/>
      <c r="AF237" s="31"/>
      <c r="AG237" s="40" t="n">
        <v>-148.158</v>
      </c>
      <c r="AH237" s="31"/>
      <c r="AI237" s="31"/>
      <c r="AJ237" s="31"/>
      <c r="AK237" s="31"/>
      <c r="AL237" s="31"/>
      <c r="AM237" s="40" t="n">
        <v>-108.985</v>
      </c>
      <c r="AN237" s="31"/>
      <c r="AO237" s="31"/>
      <c r="AP237" s="31"/>
      <c r="AQ237" s="31"/>
      <c r="AR237" s="31"/>
      <c r="AS237" s="40" t="n">
        <v>-91.013</v>
      </c>
      <c r="AT237" s="31"/>
      <c r="AU237" s="31"/>
      <c r="AV237" s="31"/>
      <c r="AW237" s="31"/>
      <c r="AX237" s="31"/>
      <c r="AY237" s="40" t="n">
        <v>-76.282</v>
      </c>
      <c r="AZ237" s="31"/>
      <c r="BA237" s="31"/>
      <c r="BB237" s="31"/>
      <c r="BC237" s="31"/>
      <c r="BD237" s="31"/>
      <c r="BE237" s="40" t="n">
        <v>-13.711</v>
      </c>
      <c r="BF237" s="31"/>
      <c r="BG237" s="31"/>
      <c r="BH237" s="31"/>
      <c r="BI237" s="31"/>
      <c r="BJ237" s="31"/>
      <c r="BK237" s="40" t="n">
        <v>-5.3</v>
      </c>
      <c r="BL237" s="31"/>
      <c r="BM237" s="31"/>
      <c r="BN237" s="31"/>
      <c r="BO237" s="31"/>
      <c r="BP237" s="31"/>
      <c r="BQ237" s="40" t="n">
        <v>-1131</v>
      </c>
      <c r="BR237" s="31"/>
      <c r="BS237" s="31"/>
      <c r="BT237" s="31"/>
      <c r="BU237" s="31"/>
      <c r="BV237" s="31"/>
      <c r="BW237" s="40" t="n">
        <v>-654.4</v>
      </c>
      <c r="BX237" s="31"/>
      <c r="BY237" s="31"/>
      <c r="BZ237" s="31"/>
      <c r="CA237" s="31"/>
      <c r="CB237" s="31"/>
      <c r="CC237" s="40" t="n">
        <v>-454.4</v>
      </c>
      <c r="CD237" s="31"/>
      <c r="CE237" s="31"/>
      <c r="CF237" s="31"/>
      <c r="CG237" s="31"/>
      <c r="CH237" s="31"/>
      <c r="CI237" s="40" t="n">
        <v>-576.7</v>
      </c>
      <c r="CJ237" s="31"/>
      <c r="CK237" s="31"/>
      <c r="CL237" s="40" t="n">
        <v>-166.7</v>
      </c>
      <c r="CM237" s="32"/>
      <c r="CN237" s="32"/>
      <c r="CO237" s="32" t="n">
        <f aca="false">MIN(0,CO340-CI340)</f>
        <v>0</v>
      </c>
      <c r="CP237" s="32" t="n">
        <f aca="false">MIN(0,CP340-CO340)</f>
        <v>-100</v>
      </c>
      <c r="CQ237" s="32" t="n">
        <f aca="false">MIN(0,CQ340-CP340)</f>
        <v>-100</v>
      </c>
      <c r="CR237" s="32" t="n">
        <f aca="false">MIN(0,CR340-CQ340)</f>
        <v>-100</v>
      </c>
      <c r="CS237" s="32" t="n">
        <f aca="false">MIN(0,CS340-CR340)</f>
        <v>-100</v>
      </c>
      <c r="CT237" s="23" t="s">
        <v>406</v>
      </c>
      <c r="CV237" s="7"/>
      <c r="CW237" s="7"/>
      <c r="CX237" s="7"/>
      <c r="CY237" s="7"/>
    </row>
    <row r="238" customFormat="false" ht="15" hidden="false" customHeight="true" outlineLevel="0" collapsed="false">
      <c r="B238" s="13" t="s">
        <v>407</v>
      </c>
      <c r="C238" s="40" t="n">
        <v>-26.949</v>
      </c>
      <c r="D238" s="40" t="n">
        <v>-31.286</v>
      </c>
      <c r="E238" s="40" t="n">
        <v>-35.601</v>
      </c>
      <c r="F238" s="40" t="n">
        <v>-39.971</v>
      </c>
      <c r="G238" s="40" t="n">
        <v>-43.266</v>
      </c>
      <c r="H238" s="40" t="n">
        <v>-46.183</v>
      </c>
      <c r="I238" s="40" t="n">
        <v>-50.042</v>
      </c>
      <c r="J238" s="31"/>
      <c r="K238" s="31"/>
      <c r="L238" s="31"/>
      <c r="M238" s="31"/>
      <c r="N238" s="31"/>
      <c r="O238" s="40" t="n">
        <v>-53.918</v>
      </c>
      <c r="P238" s="31"/>
      <c r="Q238" s="31"/>
      <c r="R238" s="31"/>
      <c r="S238" s="31"/>
      <c r="T238" s="31"/>
      <c r="U238" s="40" t="n">
        <v>-57.929</v>
      </c>
      <c r="V238" s="31"/>
      <c r="W238" s="31"/>
      <c r="X238" s="31"/>
      <c r="Y238" s="31"/>
      <c r="Z238" s="31"/>
      <c r="AA238" s="40" t="n">
        <v>-64.34</v>
      </c>
      <c r="AB238" s="31"/>
      <c r="AC238" s="31"/>
      <c r="AD238" s="31"/>
      <c r="AE238" s="31"/>
      <c r="AF238" s="31"/>
      <c r="AG238" s="40" t="n">
        <v>-70.459</v>
      </c>
      <c r="AH238" s="31"/>
      <c r="AI238" s="31"/>
      <c r="AJ238" s="31"/>
      <c r="AK238" s="31"/>
      <c r="AL238" s="31"/>
      <c r="AM238" s="40" t="n">
        <v>-72.785</v>
      </c>
      <c r="AN238" s="31"/>
      <c r="AO238" s="31"/>
      <c r="AP238" s="31"/>
      <c r="AQ238" s="31"/>
      <c r="AR238" s="31"/>
      <c r="AS238" s="40" t="n">
        <v>-75.678</v>
      </c>
      <c r="AT238" s="31"/>
      <c r="AU238" s="31"/>
      <c r="AV238" s="31"/>
      <c r="AW238" s="31"/>
      <c r="AX238" s="31"/>
      <c r="AY238" s="40" t="n">
        <v>-82.535</v>
      </c>
      <c r="AZ238" s="31"/>
      <c r="BA238" s="31"/>
      <c r="BB238" s="31"/>
      <c r="BC238" s="31"/>
      <c r="BD238" s="31"/>
      <c r="BE238" s="40" t="n">
        <v>-91.737</v>
      </c>
      <c r="BF238" s="31"/>
      <c r="BG238" s="31"/>
      <c r="BH238" s="31"/>
      <c r="BI238" s="31"/>
      <c r="BJ238" s="31"/>
      <c r="BK238" s="40" t="n">
        <v>-103.8</v>
      </c>
      <c r="BL238" s="31"/>
      <c r="BM238" s="31"/>
      <c r="BN238" s="31"/>
      <c r="BO238" s="31"/>
      <c r="BP238" s="31"/>
      <c r="BQ238" s="40" t="n">
        <v>-115.2</v>
      </c>
      <c r="BR238" s="31"/>
      <c r="BS238" s="31"/>
      <c r="BT238" s="31"/>
      <c r="BU238" s="31"/>
      <c r="BV238" s="31"/>
      <c r="BW238" s="40" t="n">
        <v>-298</v>
      </c>
      <c r="BX238" s="31"/>
      <c r="BY238" s="31"/>
      <c r="BZ238" s="31"/>
      <c r="CA238" s="31"/>
      <c r="CB238" s="31"/>
      <c r="CC238" s="40" t="n">
        <v>-206</v>
      </c>
      <c r="CD238" s="31"/>
      <c r="CE238" s="31"/>
      <c r="CF238" s="31"/>
      <c r="CG238" s="31"/>
      <c r="CH238" s="31"/>
      <c r="CI238" s="40" t="n">
        <v>-223.3</v>
      </c>
      <c r="CJ238" s="31"/>
      <c r="CK238" s="31"/>
      <c r="CL238" s="40" t="n">
        <v>-115.2</v>
      </c>
      <c r="CM238" s="32"/>
      <c r="CN238" s="32"/>
      <c r="CO238" s="32" t="n">
        <f aca="false">-CO131*CO126</f>
        <v>-236.688</v>
      </c>
      <c r="CP238" s="32" t="n">
        <f aca="false">-CP131*CP126</f>
        <v>-245.802706542056</v>
      </c>
      <c r="CQ238" s="32" t="n">
        <f aca="false">-CQ131*CQ126</f>
        <v>-254.913028252878</v>
      </c>
      <c r="CR238" s="32" t="n">
        <f aca="false">-CR131*CR126</f>
        <v>-264.293610039078</v>
      </c>
      <c r="CS238" s="32" t="n">
        <f aca="false">-CS131*CS126</f>
        <v>-273.558252290828</v>
      </c>
      <c r="CT238" s="23" t="s">
        <v>408</v>
      </c>
      <c r="CV238" s="7"/>
      <c r="CW238" s="7"/>
      <c r="CX238" s="7"/>
      <c r="CY238" s="7"/>
    </row>
    <row r="239" customFormat="false" ht="15" hidden="false" customHeight="true" outlineLevel="0" collapsed="false">
      <c r="B239" s="13" t="s">
        <v>409</v>
      </c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40" t="n">
        <v>0</v>
      </c>
      <c r="BR239" s="31"/>
      <c r="BS239" s="31"/>
      <c r="BT239" s="31"/>
      <c r="BU239" s="31"/>
      <c r="BV239" s="31"/>
      <c r="BW239" s="40" t="n">
        <v>-30.4</v>
      </c>
      <c r="BX239" s="31"/>
      <c r="BY239" s="31"/>
      <c r="BZ239" s="31"/>
      <c r="CA239" s="31"/>
      <c r="CB239" s="31"/>
      <c r="CC239" s="40" t="n">
        <v>-34.2</v>
      </c>
      <c r="CD239" s="31"/>
      <c r="CE239" s="31"/>
      <c r="CF239" s="31"/>
      <c r="CG239" s="31"/>
      <c r="CH239" s="31"/>
      <c r="CI239" s="40" t="n">
        <v>-34.8</v>
      </c>
      <c r="CJ239" s="31"/>
      <c r="CK239" s="31"/>
      <c r="CL239" s="40" t="n">
        <v>-17.6</v>
      </c>
      <c r="CM239" s="32"/>
      <c r="CN239" s="32"/>
      <c r="CO239" s="32" t="n">
        <f aca="false">-CO118</f>
        <v>-26.8</v>
      </c>
      <c r="CP239" s="32" t="n">
        <f aca="false">-CP118</f>
        <v>-26.7</v>
      </c>
      <c r="CQ239" s="32" t="n">
        <f aca="false">-CQ118</f>
        <v>-26.7</v>
      </c>
      <c r="CR239" s="32" t="n">
        <f aca="false">-CR118</f>
        <v>-26.7</v>
      </c>
      <c r="CS239" s="32" t="n">
        <f aca="false">-CS118</f>
        <v>-26.7</v>
      </c>
      <c r="CT239" s="23"/>
      <c r="CV239" s="7"/>
      <c r="CW239" s="7"/>
      <c r="CX239" s="7"/>
      <c r="CY239" s="7"/>
    </row>
    <row r="240" customFormat="false" ht="15" hidden="false" customHeight="true" outlineLevel="0" collapsed="false">
      <c r="B240" s="13" t="s">
        <v>410</v>
      </c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40" t="n">
        <v>-47.489</v>
      </c>
      <c r="AB240" s="31"/>
      <c r="AC240" s="31"/>
      <c r="AD240" s="31"/>
      <c r="AE240" s="31"/>
      <c r="AF240" s="31"/>
      <c r="AG240" s="40" t="n">
        <v>-36.726</v>
      </c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40" t="n">
        <v>0</v>
      </c>
      <c r="AT240" s="31"/>
      <c r="AU240" s="31"/>
      <c r="AV240" s="31"/>
      <c r="AW240" s="31"/>
      <c r="AX240" s="31"/>
      <c r="AY240" s="40" t="n">
        <v>-42.012</v>
      </c>
      <c r="AZ240" s="31"/>
      <c r="BA240" s="31"/>
      <c r="BB240" s="31"/>
      <c r="BC240" s="31"/>
      <c r="BD240" s="31"/>
      <c r="BE240" s="40" t="n">
        <v>-53.17</v>
      </c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40" t="n">
        <v>-150</v>
      </c>
      <c r="CM240" s="32"/>
      <c r="CN240" s="32"/>
      <c r="CO240" s="32" t="n">
        <f aca="false">CL240-CHOOSE(MATCH($CT$2,{"Bull","Base","Bear"},0),$DC$45,$DD$45,$DE$45)</f>
        <v>-350</v>
      </c>
      <c r="CP240" s="32" t="n">
        <f aca="false">-CHOOSE(MATCH($CT$2,{"Bull","Base","Bear"},0),$DC$46,$DD$46,$DE$46)</f>
        <v>-400</v>
      </c>
      <c r="CQ240" s="32" t="n">
        <f aca="false">-CHOOSE(MATCH($CT$2,{"Bull","Base","Bear"},0),$DC$47,$DD$47,$DE$47)</f>
        <v>-400</v>
      </c>
      <c r="CR240" s="32" t="n">
        <f aca="false">-CHOOSE(MATCH($CT$2,{"Bull","Base","Bear"},0),$DC$48,$DD$48,$DE$48)</f>
        <v>-450</v>
      </c>
      <c r="CS240" s="32" t="n">
        <f aca="false">-CHOOSE(MATCH($CT$2,{"Bull","Base","Bear"},0),$DC$49,$DD$49,$DE$49)</f>
        <v>-500</v>
      </c>
      <c r="CT240" s="23" t="s">
        <v>411</v>
      </c>
      <c r="CV240" s="7"/>
      <c r="CW240" s="7"/>
      <c r="CX240" s="7"/>
      <c r="CY240" s="7"/>
    </row>
    <row r="241" customFormat="false" ht="15" hidden="false" customHeight="true" outlineLevel="0" collapsed="false">
      <c r="B241" s="13" t="s">
        <v>412</v>
      </c>
      <c r="C241" s="40" t="n">
        <v>5.185</v>
      </c>
      <c r="D241" s="40" t="n">
        <v>3.625</v>
      </c>
      <c r="E241" s="40" t="n">
        <v>3.518</v>
      </c>
      <c r="F241" s="40" t="n">
        <v>4.697</v>
      </c>
      <c r="G241" s="40" t="n">
        <v>3.279</v>
      </c>
      <c r="H241" s="40" t="n">
        <v>9.723</v>
      </c>
      <c r="I241" s="40" t="n">
        <v>2.22</v>
      </c>
      <c r="J241" s="31"/>
      <c r="K241" s="31"/>
      <c r="L241" s="31"/>
      <c r="M241" s="31"/>
      <c r="N241" s="31"/>
      <c r="O241" s="40" t="n">
        <v>6.152</v>
      </c>
      <c r="P241" s="31"/>
      <c r="Q241" s="31"/>
      <c r="R241" s="31"/>
      <c r="S241" s="31"/>
      <c r="T241" s="31"/>
      <c r="U241" s="40" t="n">
        <v>12.121</v>
      </c>
      <c r="V241" s="31"/>
      <c r="W241" s="31"/>
      <c r="X241" s="31"/>
      <c r="Y241" s="31"/>
      <c r="Z241" s="31"/>
      <c r="AA241" s="40" t="n">
        <v>29.816</v>
      </c>
      <c r="AB241" s="31"/>
      <c r="AC241" s="31"/>
      <c r="AD241" s="31"/>
      <c r="AE241" s="31"/>
      <c r="AF241" s="31"/>
      <c r="AG241" s="40" t="n">
        <v>24.338</v>
      </c>
      <c r="AH241" s="31"/>
      <c r="AI241" s="31"/>
      <c r="AJ241" s="31"/>
      <c r="AK241" s="31"/>
      <c r="AL241" s="31"/>
      <c r="AM241" s="40" t="n">
        <v>9.936</v>
      </c>
      <c r="AN241" s="31"/>
      <c r="AO241" s="31"/>
      <c r="AP241" s="31"/>
      <c r="AQ241" s="31"/>
      <c r="AR241" s="31"/>
      <c r="AS241" s="40" t="n">
        <v>28.524</v>
      </c>
      <c r="AT241" s="31"/>
      <c r="AU241" s="31"/>
      <c r="AV241" s="31"/>
      <c r="AW241" s="31"/>
      <c r="AX241" s="31"/>
      <c r="AY241" s="40" t="n">
        <v>41.094</v>
      </c>
      <c r="AZ241" s="31"/>
      <c r="BA241" s="31"/>
      <c r="BB241" s="31"/>
      <c r="BC241" s="31"/>
      <c r="BD241" s="31"/>
      <c r="BE241" s="40" t="n">
        <v>44.128</v>
      </c>
      <c r="BF241" s="31"/>
      <c r="BG241" s="31"/>
      <c r="BH241" s="31"/>
      <c r="BI241" s="31"/>
      <c r="BJ241" s="31"/>
      <c r="BK241" s="40" t="n">
        <v>16.3</v>
      </c>
      <c r="BL241" s="31"/>
      <c r="BM241" s="31"/>
      <c r="BN241" s="31"/>
      <c r="BO241" s="31"/>
      <c r="BP241" s="31"/>
      <c r="BQ241" s="40" t="n">
        <v>5.9</v>
      </c>
      <c r="BR241" s="31"/>
      <c r="BS241" s="31"/>
      <c r="BT241" s="31"/>
      <c r="BU241" s="31"/>
      <c r="BV241" s="31"/>
      <c r="BW241" s="40" t="n">
        <v>43.7</v>
      </c>
      <c r="BX241" s="31"/>
      <c r="BY241" s="31"/>
      <c r="BZ241" s="31"/>
      <c r="CA241" s="31"/>
      <c r="CB241" s="31"/>
      <c r="CC241" s="40" t="n">
        <v>75.5</v>
      </c>
      <c r="CD241" s="31"/>
      <c r="CE241" s="31"/>
      <c r="CF241" s="31"/>
      <c r="CG241" s="31"/>
      <c r="CH241" s="31"/>
      <c r="CI241" s="40" t="n">
        <v>50.5</v>
      </c>
      <c r="CJ241" s="31"/>
      <c r="CK241" s="31"/>
      <c r="CL241" s="40" t="n">
        <v>25.4</v>
      </c>
      <c r="CM241" s="32"/>
      <c r="CN241" s="32"/>
      <c r="CO241" s="49" t="n">
        <v>40</v>
      </c>
      <c r="CP241" s="49" t="n">
        <v>40</v>
      </c>
      <c r="CQ241" s="49" t="n">
        <v>40</v>
      </c>
      <c r="CR241" s="49" t="n">
        <v>40</v>
      </c>
      <c r="CS241" s="49" t="n">
        <v>40</v>
      </c>
      <c r="CT241" s="23"/>
      <c r="CV241" s="7"/>
      <c r="CW241" s="7"/>
      <c r="CX241" s="7"/>
      <c r="CY241" s="7"/>
    </row>
    <row r="242" customFormat="false" ht="15" hidden="false" customHeight="true" outlineLevel="0" collapsed="false">
      <c r="B242" s="13" t="s">
        <v>413</v>
      </c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40" t="n">
        <v>0</v>
      </c>
      <c r="AN242" s="31"/>
      <c r="AO242" s="31"/>
      <c r="AP242" s="31"/>
      <c r="AQ242" s="31"/>
      <c r="AR242" s="31"/>
      <c r="AS242" s="40" t="n">
        <v>-3.901</v>
      </c>
      <c r="AT242" s="31"/>
      <c r="AU242" s="31"/>
      <c r="AV242" s="31"/>
      <c r="AW242" s="31"/>
      <c r="AX242" s="31"/>
      <c r="AY242" s="40" t="n">
        <v>-5.26</v>
      </c>
      <c r="AZ242" s="31"/>
      <c r="BA242" s="31"/>
      <c r="BB242" s="31"/>
      <c r="BC242" s="31"/>
      <c r="BD242" s="31"/>
      <c r="BE242" s="40" t="n">
        <v>-6.656</v>
      </c>
      <c r="BF242" s="31"/>
      <c r="BG242" s="31"/>
      <c r="BH242" s="31"/>
      <c r="BI242" s="31"/>
      <c r="BJ242" s="31"/>
      <c r="BK242" s="40" t="n">
        <v>-9.3</v>
      </c>
      <c r="BL242" s="31"/>
      <c r="BM242" s="31"/>
      <c r="BN242" s="31"/>
      <c r="BO242" s="31"/>
      <c r="BP242" s="31"/>
      <c r="BQ242" s="40" t="n">
        <v>-4</v>
      </c>
      <c r="BR242" s="31"/>
      <c r="BS242" s="31"/>
      <c r="BT242" s="31"/>
      <c r="BU242" s="31"/>
      <c r="BV242" s="31"/>
      <c r="BW242" s="40" t="n">
        <v>-15.9</v>
      </c>
      <c r="BX242" s="31"/>
      <c r="BY242" s="31"/>
      <c r="BZ242" s="31"/>
      <c r="CA242" s="31"/>
      <c r="CB242" s="31"/>
      <c r="CC242" s="40" t="n">
        <v>-14.8</v>
      </c>
      <c r="CD242" s="31"/>
      <c r="CE242" s="31"/>
      <c r="CF242" s="31"/>
      <c r="CG242" s="31"/>
      <c r="CH242" s="31"/>
      <c r="CI242" s="40" t="n">
        <v>-20.8</v>
      </c>
      <c r="CJ242" s="31"/>
      <c r="CK242" s="31"/>
      <c r="CL242" s="40" t="n">
        <v>-22.3</v>
      </c>
      <c r="CM242" s="32"/>
      <c r="CN242" s="32"/>
      <c r="CO242" s="49" t="n">
        <v>-25</v>
      </c>
      <c r="CP242" s="49" t="n">
        <v>-25</v>
      </c>
      <c r="CQ242" s="49" t="n">
        <v>-25</v>
      </c>
      <c r="CR242" s="49" t="n">
        <v>-25</v>
      </c>
      <c r="CS242" s="49" t="n">
        <v>-25</v>
      </c>
      <c r="CT242" s="23"/>
      <c r="CV242" s="7"/>
      <c r="CW242" s="7"/>
      <c r="CX242" s="7"/>
      <c r="CY242" s="7"/>
    </row>
    <row r="243" customFormat="false" ht="15" hidden="false" customHeight="true" outlineLevel="0" collapsed="false">
      <c r="B243" s="13" t="s">
        <v>414</v>
      </c>
      <c r="C243" s="40" t="n">
        <v>0.335</v>
      </c>
      <c r="D243" s="40" t="n">
        <v>0.64</v>
      </c>
      <c r="E243" s="40" t="n">
        <v>-0.057</v>
      </c>
      <c r="F243" s="40" t="n">
        <v>1.596</v>
      </c>
      <c r="G243" s="40" t="n">
        <v>0.36</v>
      </c>
      <c r="H243" s="40" t="n">
        <v>0.381</v>
      </c>
      <c r="I243" s="40" t="n">
        <v>0.421</v>
      </c>
      <c r="J243" s="31"/>
      <c r="K243" s="31"/>
      <c r="L243" s="31"/>
      <c r="M243" s="31"/>
      <c r="N243" s="31"/>
      <c r="O243" s="40" t="n">
        <v>-1.002</v>
      </c>
      <c r="P243" s="31"/>
      <c r="Q243" s="31"/>
      <c r="R243" s="31"/>
      <c r="S243" s="31"/>
      <c r="T243" s="31"/>
      <c r="U243" s="40" t="n">
        <v>-2.101</v>
      </c>
      <c r="V243" s="31"/>
      <c r="W243" s="31"/>
      <c r="X243" s="31"/>
      <c r="Y243" s="31"/>
      <c r="Z243" s="31"/>
      <c r="AA243" s="40" t="n">
        <v>-3.341</v>
      </c>
      <c r="AB243" s="31"/>
      <c r="AC243" s="31"/>
      <c r="AD243" s="31"/>
      <c r="AE243" s="31"/>
      <c r="AF243" s="31"/>
      <c r="AG243" s="40" t="n">
        <v>-22.011</v>
      </c>
      <c r="AH243" s="31"/>
      <c r="AI243" s="31"/>
      <c r="AJ243" s="31"/>
      <c r="AK243" s="31"/>
      <c r="AL243" s="31"/>
      <c r="AM243" s="40" t="n">
        <v>-16.395</v>
      </c>
      <c r="AN243" s="31"/>
      <c r="AO243" s="31"/>
      <c r="AP243" s="31"/>
      <c r="AQ243" s="31"/>
      <c r="AR243" s="31"/>
      <c r="AS243" s="40" t="n">
        <v>-5.126</v>
      </c>
      <c r="AT243" s="31"/>
      <c r="AU243" s="31"/>
      <c r="AV243" s="31"/>
      <c r="AW243" s="31"/>
      <c r="AX243" s="31"/>
      <c r="AY243" s="40" t="n">
        <v>-6.708</v>
      </c>
      <c r="AZ243" s="31"/>
      <c r="BA243" s="31"/>
      <c r="BB243" s="31"/>
      <c r="BC243" s="31"/>
      <c r="BD243" s="31"/>
      <c r="BE243" s="40" t="n">
        <v>-11.746</v>
      </c>
      <c r="BF243" s="31"/>
      <c r="BG243" s="31"/>
      <c r="BH243" s="31"/>
      <c r="BI243" s="31"/>
      <c r="BJ243" s="31"/>
      <c r="BK243" s="40" t="n">
        <v>-22.4</v>
      </c>
      <c r="BL243" s="31"/>
      <c r="BM243" s="31"/>
      <c r="BN243" s="31"/>
      <c r="BO243" s="31"/>
      <c r="BP243" s="31"/>
      <c r="BQ243" s="40" t="n">
        <v>-14.6</v>
      </c>
      <c r="BR243" s="31"/>
      <c r="BS243" s="31"/>
      <c r="BT243" s="31"/>
      <c r="BU243" s="31"/>
      <c r="BV243" s="31"/>
      <c r="BW243" s="40" t="n">
        <v>471.7</v>
      </c>
      <c r="BX243" s="31"/>
      <c r="BY243" s="31"/>
      <c r="BZ243" s="31"/>
      <c r="CA243" s="31"/>
      <c r="CB243" s="31"/>
      <c r="CC243" s="40" t="n">
        <v>-26.1</v>
      </c>
      <c r="CD243" s="31"/>
      <c r="CE243" s="31"/>
      <c r="CF243" s="31"/>
      <c r="CG243" s="31"/>
      <c r="CH243" s="31"/>
      <c r="CI243" s="40" t="n">
        <v>-34.1</v>
      </c>
      <c r="CJ243" s="31"/>
      <c r="CK243" s="31"/>
      <c r="CL243" s="40" t="n">
        <v>-29.4</v>
      </c>
      <c r="CM243" s="32"/>
      <c r="CN243" s="32"/>
      <c r="CO243" s="32" t="n">
        <f aca="false">CO307-CI307</f>
        <v>-12.6</v>
      </c>
      <c r="CP243" s="32" t="n">
        <f aca="false">CP307-CO307</f>
        <v>0</v>
      </c>
      <c r="CQ243" s="32" t="n">
        <f aca="false">CQ307-CP307</f>
        <v>0</v>
      </c>
      <c r="CR243" s="32" t="n">
        <f aca="false">CR307-CQ307</f>
        <v>0</v>
      </c>
      <c r="CS243" s="32" t="n">
        <f aca="false">CS307-CR307</f>
        <v>0</v>
      </c>
      <c r="CT243" s="23" t="s">
        <v>415</v>
      </c>
      <c r="CV243" s="7"/>
      <c r="CW243" s="7"/>
      <c r="CX243" s="7"/>
      <c r="CY243" s="7"/>
    </row>
    <row r="244" customFormat="false" ht="15" hidden="false" customHeight="true" outlineLevel="0" collapsed="false">
      <c r="B244" s="19" t="s">
        <v>416</v>
      </c>
      <c r="C244" s="21" t="n">
        <v>-21.656</v>
      </c>
      <c r="D244" s="21" t="n">
        <v>-27.765</v>
      </c>
      <c r="E244" s="21" t="n">
        <v>-6.194</v>
      </c>
      <c r="F244" s="21" t="n">
        <v>22.914</v>
      </c>
      <c r="G244" s="21" t="n">
        <v>-43.342</v>
      </c>
      <c r="H244" s="21" t="n">
        <v>-24.674</v>
      </c>
      <c r="I244" s="21" t="n">
        <v>43.414</v>
      </c>
      <c r="J244" s="20"/>
      <c r="K244" s="20"/>
      <c r="L244" s="20"/>
      <c r="M244" s="20"/>
      <c r="N244" s="20"/>
      <c r="O244" s="21" t="n">
        <v>-97.92</v>
      </c>
      <c r="P244" s="20"/>
      <c r="Q244" s="20"/>
      <c r="R244" s="20"/>
      <c r="S244" s="20"/>
      <c r="T244" s="20"/>
      <c r="U244" s="21" t="n">
        <v>-101.633</v>
      </c>
      <c r="V244" s="20"/>
      <c r="W244" s="20"/>
      <c r="X244" s="20"/>
      <c r="Y244" s="20"/>
      <c r="Z244" s="20"/>
      <c r="AA244" s="21" t="n">
        <v>-80.689</v>
      </c>
      <c r="AB244" s="20"/>
      <c r="AC244" s="20"/>
      <c r="AD244" s="20"/>
      <c r="AE244" s="20"/>
      <c r="AF244" s="20"/>
      <c r="AG244" s="21" t="n">
        <v>404.143</v>
      </c>
      <c r="AH244" s="20"/>
      <c r="AI244" s="20"/>
      <c r="AJ244" s="20"/>
      <c r="AK244" s="20"/>
      <c r="AL244" s="20"/>
      <c r="AM244" s="21" t="n">
        <v>119.263</v>
      </c>
      <c r="AN244" s="20"/>
      <c r="AO244" s="20"/>
      <c r="AP244" s="20"/>
      <c r="AQ244" s="20"/>
      <c r="AR244" s="20"/>
      <c r="AS244" s="21" t="n">
        <v>-134.107</v>
      </c>
      <c r="AT244" s="20"/>
      <c r="AU244" s="20"/>
      <c r="AV244" s="20"/>
      <c r="AW244" s="20"/>
      <c r="AX244" s="20"/>
      <c r="AY244" s="21" t="n">
        <v>-187.218</v>
      </c>
      <c r="AZ244" s="20"/>
      <c r="BA244" s="20"/>
      <c r="BB244" s="20"/>
      <c r="BC244" s="20"/>
      <c r="BD244" s="20"/>
      <c r="BE244" s="21" t="n">
        <v>-111.461</v>
      </c>
      <c r="BF244" s="20"/>
      <c r="BG244" s="20"/>
      <c r="BH244" s="20"/>
      <c r="BI244" s="20"/>
      <c r="BJ244" s="20"/>
      <c r="BK244" s="21" t="n">
        <v>960.9</v>
      </c>
      <c r="BL244" s="20"/>
      <c r="BM244" s="20"/>
      <c r="BN244" s="20"/>
      <c r="BO244" s="20"/>
      <c r="BP244" s="20"/>
      <c r="BQ244" s="21" t="n">
        <v>-1258.1</v>
      </c>
      <c r="BR244" s="20"/>
      <c r="BS244" s="20"/>
      <c r="BT244" s="20"/>
      <c r="BU244" s="20"/>
      <c r="BV244" s="20"/>
      <c r="BW244" s="21" t="n">
        <v>2676.2</v>
      </c>
      <c r="BX244" s="20"/>
      <c r="BY244" s="20"/>
      <c r="BZ244" s="20"/>
      <c r="CA244" s="20"/>
      <c r="CB244" s="20"/>
      <c r="CC244" s="21" t="n">
        <v>-645.5</v>
      </c>
      <c r="CD244" s="20"/>
      <c r="CE244" s="20"/>
      <c r="CF244" s="20"/>
      <c r="CG244" s="20"/>
      <c r="CH244" s="20"/>
      <c r="CI244" s="21" t="n">
        <v>-461.4</v>
      </c>
      <c r="CJ244" s="20"/>
      <c r="CK244" s="20"/>
      <c r="CL244" s="21" t="n">
        <v>127.6</v>
      </c>
      <c r="CM244" s="22"/>
      <c r="CN244" s="22"/>
      <c r="CO244" s="22" t="n">
        <f aca="false">SUM(CO236:CO243)</f>
        <v>-282.588</v>
      </c>
      <c r="CP244" s="22" t="n">
        <f aca="false">SUM(CP236:CP243)</f>
        <v>-757.502706542056</v>
      </c>
      <c r="CQ244" s="22" t="n">
        <f aca="false">SUM(CQ236:CQ243)</f>
        <v>-766.613028252878</v>
      </c>
      <c r="CR244" s="22" t="n">
        <f aca="false">SUM(CR236:CR243)</f>
        <v>-825.993610039078</v>
      </c>
      <c r="CS244" s="22" t="n">
        <f aca="false">SUM(CS236:CS243)</f>
        <v>-885.258252290828</v>
      </c>
      <c r="CT244" s="23"/>
      <c r="CV244" s="7"/>
      <c r="CW244" s="7"/>
      <c r="CX244" s="7"/>
      <c r="CY244" s="7"/>
    </row>
    <row r="245" customFormat="false" ht="15" hidden="false" customHeight="true" outlineLevel="0" collapsed="false">
      <c r="B245" s="13" t="s">
        <v>417</v>
      </c>
      <c r="C245" s="40" t="n">
        <v>5.336</v>
      </c>
      <c r="D245" s="40" t="n">
        <v>10.515</v>
      </c>
      <c r="E245" s="40" t="n">
        <v>-17.323</v>
      </c>
      <c r="F245" s="40" t="n">
        <v>18.608</v>
      </c>
      <c r="G245" s="40" t="n">
        <v>3.359</v>
      </c>
      <c r="H245" s="40" t="n">
        <v>-5.233</v>
      </c>
      <c r="I245" s="40" t="n">
        <v>2.124</v>
      </c>
      <c r="J245" s="31"/>
      <c r="K245" s="31"/>
      <c r="L245" s="31"/>
      <c r="M245" s="31"/>
      <c r="N245" s="31"/>
      <c r="O245" s="40" t="n">
        <v>1.006</v>
      </c>
      <c r="P245" s="31"/>
      <c r="Q245" s="31"/>
      <c r="R245" s="31"/>
      <c r="S245" s="31"/>
      <c r="T245" s="31"/>
      <c r="U245" s="40" t="n">
        <v>-14.39</v>
      </c>
      <c r="V245" s="31"/>
      <c r="W245" s="31"/>
      <c r="X245" s="31"/>
      <c r="Y245" s="31"/>
      <c r="Z245" s="31"/>
      <c r="AA245" s="40" t="n">
        <v>-26.265</v>
      </c>
      <c r="AB245" s="31"/>
      <c r="AC245" s="31"/>
      <c r="AD245" s="31"/>
      <c r="AE245" s="31"/>
      <c r="AF245" s="31"/>
      <c r="AG245" s="40" t="n">
        <v>0.004</v>
      </c>
      <c r="AH245" s="31"/>
      <c r="AI245" s="31"/>
      <c r="AJ245" s="31"/>
      <c r="AK245" s="31"/>
      <c r="AL245" s="31"/>
      <c r="AM245" s="40" t="n">
        <v>17.15</v>
      </c>
      <c r="AN245" s="31"/>
      <c r="AO245" s="31"/>
      <c r="AP245" s="31"/>
      <c r="AQ245" s="31"/>
      <c r="AR245" s="31"/>
      <c r="AS245" s="40" t="n">
        <v>-4.769</v>
      </c>
      <c r="AT245" s="31"/>
      <c r="AU245" s="31"/>
      <c r="AV245" s="31"/>
      <c r="AW245" s="31"/>
      <c r="AX245" s="31"/>
      <c r="AY245" s="40" t="n">
        <v>5.171</v>
      </c>
      <c r="AZ245" s="31"/>
      <c r="BA245" s="31"/>
      <c r="BB245" s="31"/>
      <c r="BC245" s="31"/>
      <c r="BD245" s="31"/>
      <c r="BE245" s="40" t="n">
        <v>16.95</v>
      </c>
      <c r="BF245" s="31"/>
      <c r="BG245" s="31"/>
      <c r="BH245" s="31"/>
      <c r="BI245" s="31"/>
      <c r="BJ245" s="31"/>
      <c r="BK245" s="40" t="n">
        <v>-8.8</v>
      </c>
      <c r="BL245" s="31"/>
      <c r="BM245" s="31"/>
      <c r="BN245" s="31"/>
      <c r="BO245" s="31"/>
      <c r="BP245" s="31"/>
      <c r="BQ245" s="40" t="n">
        <v>-18.8</v>
      </c>
      <c r="BR245" s="31"/>
      <c r="BS245" s="31"/>
      <c r="BT245" s="31"/>
      <c r="BU245" s="31"/>
      <c r="BV245" s="31"/>
      <c r="BW245" s="40" t="n">
        <v>10.1</v>
      </c>
      <c r="BX245" s="31"/>
      <c r="BY245" s="31"/>
      <c r="BZ245" s="31"/>
      <c r="CA245" s="31"/>
      <c r="CB245" s="31"/>
      <c r="CC245" s="40" t="n">
        <v>-24</v>
      </c>
      <c r="CD245" s="31"/>
      <c r="CE245" s="31"/>
      <c r="CF245" s="31"/>
      <c r="CG245" s="31"/>
      <c r="CH245" s="31"/>
      <c r="CI245" s="40" t="n">
        <v>22.1</v>
      </c>
      <c r="CJ245" s="31"/>
      <c r="CK245" s="31"/>
      <c r="CL245" s="40" t="n">
        <v>-8.2</v>
      </c>
      <c r="CM245" s="32"/>
      <c r="CN245" s="32"/>
      <c r="CO245" s="49" t="n">
        <v>0</v>
      </c>
      <c r="CP245" s="32"/>
      <c r="CQ245" s="32"/>
      <c r="CR245" s="32"/>
      <c r="CS245" s="32"/>
      <c r="CT245" s="23"/>
      <c r="CV245" s="7"/>
      <c r="CW245" s="7"/>
      <c r="CX245" s="7"/>
      <c r="CY245" s="7"/>
    </row>
    <row r="246" customFormat="false" ht="15" hidden="false" customHeight="true" outlineLevel="0" collapsed="false">
      <c r="B246" s="19" t="s">
        <v>418</v>
      </c>
      <c r="C246" s="21" t="n">
        <v>2.772</v>
      </c>
      <c r="D246" s="21" t="n">
        <v>-21.706</v>
      </c>
      <c r="E246" s="21" t="n">
        <v>-43.04</v>
      </c>
      <c r="F246" s="21" t="n">
        <v>15.321</v>
      </c>
      <c r="G246" s="21" t="n">
        <v>-54.411</v>
      </c>
      <c r="H246" s="21" t="n">
        <v>41.138</v>
      </c>
      <c r="I246" s="21" t="n">
        <v>68.728</v>
      </c>
      <c r="J246" s="20"/>
      <c r="K246" s="20"/>
      <c r="L246" s="20"/>
      <c r="M246" s="20"/>
      <c r="N246" s="20"/>
      <c r="O246" s="21" t="n">
        <v>22.195</v>
      </c>
      <c r="P246" s="20"/>
      <c r="Q246" s="20"/>
      <c r="R246" s="20"/>
      <c r="S246" s="20"/>
      <c r="T246" s="20"/>
      <c r="U246" s="21" t="n">
        <v>25.219</v>
      </c>
      <c r="V246" s="20"/>
      <c r="W246" s="20"/>
      <c r="X246" s="20"/>
      <c r="Y246" s="20"/>
      <c r="Z246" s="20"/>
      <c r="AA246" s="21" t="n">
        <v>60.157</v>
      </c>
      <c r="AB246" s="20"/>
      <c r="AC246" s="20"/>
      <c r="AD246" s="20"/>
      <c r="AE246" s="20"/>
      <c r="AF246" s="20"/>
      <c r="AG246" s="21" t="n">
        <v>464.843</v>
      </c>
      <c r="AH246" s="20"/>
      <c r="AI246" s="20"/>
      <c r="AJ246" s="20"/>
      <c r="AK246" s="20"/>
      <c r="AL246" s="20"/>
      <c r="AM246" s="21" t="n">
        <v>-426.973</v>
      </c>
      <c r="AN246" s="20"/>
      <c r="AO246" s="20"/>
      <c r="AP246" s="20"/>
      <c r="AQ246" s="20"/>
      <c r="AR246" s="20"/>
      <c r="AS246" s="21" t="n">
        <v>-25.549</v>
      </c>
      <c r="AT246" s="20"/>
      <c r="AU246" s="20"/>
      <c r="AV246" s="20"/>
      <c r="AW246" s="20"/>
      <c r="AX246" s="20"/>
      <c r="AY246" s="21" t="n">
        <v>114.689</v>
      </c>
      <c r="AZ246" s="20"/>
      <c r="BA246" s="20"/>
      <c r="BB246" s="20"/>
      <c r="BC246" s="20"/>
      <c r="BD246" s="20"/>
      <c r="BE246" s="21" t="n">
        <v>-113.361</v>
      </c>
      <c r="BF246" s="20"/>
      <c r="BG246" s="20"/>
      <c r="BH246" s="20"/>
      <c r="BI246" s="20"/>
      <c r="BJ246" s="20"/>
      <c r="BK246" s="21" t="n">
        <v>1055.6</v>
      </c>
      <c r="BL246" s="20"/>
      <c r="BM246" s="20"/>
      <c r="BN246" s="20"/>
      <c r="BO246" s="20"/>
      <c r="BP246" s="20"/>
      <c r="BQ246" s="21" t="n">
        <v>-736.6</v>
      </c>
      <c r="BR246" s="20"/>
      <c r="BS246" s="20"/>
      <c r="BT246" s="20"/>
      <c r="BU246" s="20"/>
      <c r="BV246" s="20"/>
      <c r="BW246" s="21" t="n">
        <v>122</v>
      </c>
      <c r="BX246" s="20"/>
      <c r="BY246" s="20"/>
      <c r="BZ246" s="20"/>
      <c r="CA246" s="20"/>
      <c r="CB246" s="20"/>
      <c r="CC246" s="21" t="n">
        <v>-39.1</v>
      </c>
      <c r="CD246" s="20"/>
      <c r="CE246" s="20"/>
      <c r="CF246" s="20"/>
      <c r="CG246" s="20"/>
      <c r="CH246" s="20"/>
      <c r="CI246" s="21" t="n">
        <v>-14</v>
      </c>
      <c r="CJ246" s="20"/>
      <c r="CK246" s="20"/>
      <c r="CL246" s="21" t="n">
        <v>-39.1</v>
      </c>
      <c r="CM246" s="22"/>
      <c r="CN246" s="22"/>
      <c r="CO246" s="22" t="n">
        <f aca="false">CO228+CO234+CO244+CO245</f>
        <v>101.388084506366</v>
      </c>
      <c r="CP246" s="22" t="n">
        <f aca="false">CP228+CP234+CP244+CP245</f>
        <v>48.267788486985</v>
      </c>
      <c r="CQ246" s="22" t="n">
        <f aca="false">CQ228+CQ234+CQ244+CQ245</f>
        <v>123.249095107261</v>
      </c>
      <c r="CR246" s="22" t="n">
        <f aca="false">CR228+CR234+CR244+CR245</f>
        <v>150.272041032168</v>
      </c>
      <c r="CS246" s="22" t="n">
        <f aca="false">CS228+CS234+CS244+CS245</f>
        <v>186.271648032845</v>
      </c>
      <c r="CT246" s="23"/>
      <c r="CV246" s="7"/>
      <c r="CW246" s="7"/>
      <c r="CX246" s="7"/>
      <c r="CY246" s="7"/>
    </row>
    <row r="247" customFormat="false" ht="15" hidden="false" customHeight="true" outlineLevel="0" collapsed="false">
      <c r="B247" s="13" t="s">
        <v>419</v>
      </c>
      <c r="C247" s="40" t="n">
        <v>169.249</v>
      </c>
      <c r="D247" s="40" t="n">
        <v>172.021</v>
      </c>
      <c r="E247" s="40" t="n">
        <v>150.315</v>
      </c>
      <c r="F247" s="40" t="n">
        <v>107.275</v>
      </c>
      <c r="G247" s="40" t="n">
        <v>122.596</v>
      </c>
      <c r="H247" s="40" t="n">
        <v>68.185</v>
      </c>
      <c r="I247" s="40" t="n">
        <v>109.323</v>
      </c>
      <c r="J247" s="31"/>
      <c r="K247" s="31"/>
      <c r="L247" s="31"/>
      <c r="M247" s="31"/>
      <c r="N247" s="31"/>
      <c r="O247" s="40" t="n">
        <v>92.401</v>
      </c>
      <c r="P247" s="31"/>
      <c r="Q247" s="31"/>
      <c r="R247" s="31"/>
      <c r="S247" s="31"/>
      <c r="T247" s="31"/>
      <c r="U247" s="40" t="n">
        <v>114.596</v>
      </c>
      <c r="V247" s="31"/>
      <c r="W247" s="31"/>
      <c r="X247" s="31"/>
      <c r="Y247" s="31"/>
      <c r="Z247" s="31"/>
      <c r="AA247" s="40" t="n">
        <v>233.089</v>
      </c>
      <c r="AB247" s="31"/>
      <c r="AC247" s="31"/>
      <c r="AD247" s="31"/>
      <c r="AE247" s="31"/>
      <c r="AF247" s="31"/>
      <c r="AG247" s="40" t="n">
        <v>293.246</v>
      </c>
      <c r="AH247" s="31"/>
      <c r="AI247" s="31"/>
      <c r="AJ247" s="31"/>
      <c r="AK247" s="31"/>
      <c r="AL247" s="31"/>
      <c r="AM247" s="40" t="n">
        <v>758.089</v>
      </c>
      <c r="AN247" s="31"/>
      <c r="AO247" s="31"/>
      <c r="AP247" s="31"/>
      <c r="AQ247" s="31"/>
      <c r="AR247" s="31"/>
      <c r="AS247" s="40" t="n">
        <v>331.116</v>
      </c>
      <c r="AT247" s="31"/>
      <c r="AU247" s="31"/>
      <c r="AV247" s="31"/>
      <c r="AW247" s="31"/>
      <c r="AX247" s="31"/>
      <c r="AY247" s="40" t="n">
        <v>305.567</v>
      </c>
      <c r="AZ247" s="31"/>
      <c r="BA247" s="31"/>
      <c r="BB247" s="31"/>
      <c r="BC247" s="31"/>
      <c r="BD247" s="31"/>
      <c r="BE247" s="40" t="n">
        <v>420.256</v>
      </c>
      <c r="BF247" s="31"/>
      <c r="BG247" s="31"/>
      <c r="BH247" s="31"/>
      <c r="BI247" s="31"/>
      <c r="BJ247" s="31"/>
      <c r="BK247" s="40" t="n">
        <v>306.9</v>
      </c>
      <c r="BL247" s="31"/>
      <c r="BM247" s="31"/>
      <c r="BN247" s="31"/>
      <c r="BO247" s="31"/>
      <c r="BP247" s="31"/>
      <c r="BQ247" s="40" t="n">
        <v>1362.5</v>
      </c>
      <c r="BR247" s="31"/>
      <c r="BS247" s="31"/>
      <c r="BT247" s="31"/>
      <c r="BU247" s="31"/>
      <c r="BV247" s="31"/>
      <c r="BW247" s="40" t="n">
        <v>625.9</v>
      </c>
      <c r="BX247" s="31"/>
      <c r="BY247" s="31"/>
      <c r="BZ247" s="31"/>
      <c r="CA247" s="31"/>
      <c r="CB247" s="31"/>
      <c r="CC247" s="40" t="n">
        <v>747.9</v>
      </c>
      <c r="CD247" s="31"/>
      <c r="CE247" s="31"/>
      <c r="CF247" s="31"/>
      <c r="CG247" s="31"/>
      <c r="CH247" s="31"/>
      <c r="CI247" s="40" t="n">
        <v>708.8</v>
      </c>
      <c r="CJ247" s="31"/>
      <c r="CK247" s="31"/>
      <c r="CL247" s="40" t="n">
        <v>694.8</v>
      </c>
      <c r="CM247" s="32"/>
      <c r="CN247" s="32"/>
      <c r="CO247" s="32" t="n">
        <f aca="false">CI248</f>
        <v>694.8</v>
      </c>
      <c r="CP247" s="32" t="n">
        <f aca="false">CO248</f>
        <v>796.188084506366</v>
      </c>
      <c r="CQ247" s="32" t="n">
        <f aca="false">CP248</f>
        <v>844.455872993351</v>
      </c>
      <c r="CR247" s="32" t="n">
        <f aca="false">CQ248</f>
        <v>967.704968100612</v>
      </c>
      <c r="CS247" s="32" t="n">
        <f aca="false">CR248</f>
        <v>1117.97700913278</v>
      </c>
      <c r="CT247" s="23"/>
      <c r="CV247" s="7"/>
      <c r="CW247" s="7"/>
      <c r="CX247" s="7"/>
      <c r="CY247" s="7"/>
    </row>
    <row r="248" customFormat="false" ht="15" hidden="false" customHeight="true" outlineLevel="0" collapsed="false">
      <c r="B248" s="19" t="s">
        <v>420</v>
      </c>
      <c r="C248" s="21" t="n">
        <v>172.021</v>
      </c>
      <c r="D248" s="21" t="n">
        <v>150.315</v>
      </c>
      <c r="E248" s="21" t="n">
        <v>107.275</v>
      </c>
      <c r="F248" s="21" t="n">
        <v>122.596</v>
      </c>
      <c r="G248" s="21" t="n">
        <v>68.185</v>
      </c>
      <c r="H248" s="21" t="n">
        <v>109.323</v>
      </c>
      <c r="I248" s="21" t="n">
        <v>178.051</v>
      </c>
      <c r="J248" s="20"/>
      <c r="K248" s="20"/>
      <c r="L248" s="20"/>
      <c r="M248" s="20"/>
      <c r="N248" s="20"/>
      <c r="O248" s="21" t="n">
        <v>114.596</v>
      </c>
      <c r="P248" s="20"/>
      <c r="Q248" s="20"/>
      <c r="R248" s="20"/>
      <c r="S248" s="20"/>
      <c r="T248" s="20"/>
      <c r="U248" s="21" t="n">
        <v>139.815</v>
      </c>
      <c r="V248" s="20"/>
      <c r="W248" s="20"/>
      <c r="X248" s="20"/>
      <c r="Y248" s="20"/>
      <c r="Z248" s="20"/>
      <c r="AA248" s="21" t="n">
        <v>293.246</v>
      </c>
      <c r="AB248" s="20"/>
      <c r="AC248" s="20"/>
      <c r="AD248" s="20"/>
      <c r="AE248" s="20"/>
      <c r="AF248" s="20"/>
      <c r="AG248" s="21" t="n">
        <v>758.089</v>
      </c>
      <c r="AH248" s="20"/>
      <c r="AI248" s="20"/>
      <c r="AJ248" s="20"/>
      <c r="AK248" s="20"/>
      <c r="AL248" s="20"/>
      <c r="AM248" s="21" t="n">
        <v>331.116</v>
      </c>
      <c r="AN248" s="20"/>
      <c r="AO248" s="20"/>
      <c r="AP248" s="20"/>
      <c r="AQ248" s="20"/>
      <c r="AR248" s="20"/>
      <c r="AS248" s="21" t="n">
        <v>305.567</v>
      </c>
      <c r="AT248" s="20"/>
      <c r="AU248" s="20"/>
      <c r="AV248" s="20"/>
      <c r="AW248" s="20"/>
      <c r="AX248" s="20"/>
      <c r="AY248" s="21" t="n">
        <v>420.256</v>
      </c>
      <c r="AZ248" s="20"/>
      <c r="BA248" s="20"/>
      <c r="BB248" s="20"/>
      <c r="BC248" s="20"/>
      <c r="BD248" s="20"/>
      <c r="BE248" s="21" t="n">
        <v>306.895</v>
      </c>
      <c r="BF248" s="20"/>
      <c r="BG248" s="20"/>
      <c r="BH248" s="20"/>
      <c r="BI248" s="20"/>
      <c r="BJ248" s="20"/>
      <c r="BK248" s="21" t="n">
        <v>1362.5</v>
      </c>
      <c r="BL248" s="20"/>
      <c r="BM248" s="20"/>
      <c r="BN248" s="20"/>
      <c r="BO248" s="20"/>
      <c r="BP248" s="20"/>
      <c r="BQ248" s="21" t="n">
        <v>625.9</v>
      </c>
      <c r="BR248" s="20"/>
      <c r="BS248" s="20"/>
      <c r="BT248" s="20"/>
      <c r="BU248" s="20"/>
      <c r="BV248" s="20"/>
      <c r="BW248" s="21" t="n">
        <v>747.9</v>
      </c>
      <c r="BX248" s="20"/>
      <c r="BY248" s="20"/>
      <c r="BZ248" s="20"/>
      <c r="CA248" s="20"/>
      <c r="CB248" s="20"/>
      <c r="CC248" s="21" t="n">
        <v>708.8</v>
      </c>
      <c r="CD248" s="20"/>
      <c r="CE248" s="20"/>
      <c r="CF248" s="20"/>
      <c r="CG248" s="20"/>
      <c r="CH248" s="20"/>
      <c r="CI248" s="21" t="n">
        <v>694.8</v>
      </c>
      <c r="CJ248" s="20"/>
      <c r="CK248" s="20"/>
      <c r="CL248" s="21" t="n">
        <v>655.7</v>
      </c>
      <c r="CM248" s="22"/>
      <c r="CN248" s="22"/>
      <c r="CO248" s="22" t="n">
        <f aca="false">CO247+CO246</f>
        <v>796.188084506366</v>
      </c>
      <c r="CP248" s="22" t="n">
        <f aca="false">CP247+CP246</f>
        <v>844.455872993351</v>
      </c>
      <c r="CQ248" s="22" t="n">
        <f aca="false">CQ247+CQ246</f>
        <v>967.704968100612</v>
      </c>
      <c r="CR248" s="22" t="n">
        <f aca="false">CR247+CR246</f>
        <v>1117.97700913278</v>
      </c>
      <c r="CS248" s="22" t="n">
        <f aca="false">CS247+CS246</f>
        <v>1304.24865716562</v>
      </c>
      <c r="CT248" s="23" t="s">
        <v>421</v>
      </c>
      <c r="CV248" s="7"/>
      <c r="CW248" s="7"/>
      <c r="CX248" s="7"/>
      <c r="CY248" s="7"/>
    </row>
    <row r="249" customFormat="false" ht="15" hidden="false" customHeight="true" outlineLevel="0" collapsed="false">
      <c r="B249" s="46" t="s">
        <v>422</v>
      </c>
      <c r="C249" s="31" t="n">
        <f aca="false">IF(ISNUMBER(C228),ROUND(C228+C234+C244+N(C245)-C246,1),"")</f>
        <v>0</v>
      </c>
      <c r="D249" s="31" t="n">
        <f aca="false">IF(ISNUMBER(D228),ROUND(D228+D234+D244+N(D245)-D246,1),"")</f>
        <v>0</v>
      </c>
      <c r="E249" s="31" t="n">
        <f aca="false">IF(ISNUMBER(E228),ROUND(E228+E234+E244+N(E245)-E246,1),"")</f>
        <v>0</v>
      </c>
      <c r="F249" s="31" t="n">
        <f aca="false">IF(ISNUMBER(F228),ROUND(F228+F234+F244+N(F245)-F246,1),"")</f>
        <v>0</v>
      </c>
      <c r="G249" s="31" t="n">
        <f aca="false">IF(ISNUMBER(G228),ROUND(G228+G234+G244+N(G245)-G246,1),"")</f>
        <v>0</v>
      </c>
      <c r="H249" s="31" t="n">
        <f aca="false">IF(ISNUMBER(H228),ROUND(H228+H234+H244+N(H245)-H246,1),"")</f>
        <v>0</v>
      </c>
      <c r="I249" s="31" t="n">
        <f aca="false">IF(ISNUMBER(I228),ROUND(I228+I234+I244+N(I245)-I246,1),"")</f>
        <v>0</v>
      </c>
      <c r="J249" s="31"/>
      <c r="K249" s="31"/>
      <c r="L249" s="31"/>
      <c r="M249" s="31"/>
      <c r="N249" s="31"/>
      <c r="O249" s="31" t="n">
        <f aca="false">IF(ISNUMBER(O228),ROUND(O228+O234+O244+N(O245)-O246,1),"")</f>
        <v>0</v>
      </c>
      <c r="P249" s="31"/>
      <c r="Q249" s="31"/>
      <c r="R249" s="31"/>
      <c r="S249" s="31"/>
      <c r="T249" s="31"/>
      <c r="U249" s="31" t="n">
        <f aca="false">IF(ISNUMBER(U228),ROUND(U228+U234+U244+N(U245)-U246,1),"")</f>
        <v>0</v>
      </c>
      <c r="V249" s="31"/>
      <c r="W249" s="31"/>
      <c r="X249" s="31"/>
      <c r="Y249" s="31"/>
      <c r="Z249" s="31"/>
      <c r="AA249" s="31" t="n">
        <f aca="false">IF(ISNUMBER(AA228),ROUND(AA228+AA234+AA244+N(AA245)-AA246,1),"")</f>
        <v>0</v>
      </c>
      <c r="AB249" s="31"/>
      <c r="AC249" s="31"/>
      <c r="AD249" s="31"/>
      <c r="AE249" s="31"/>
      <c r="AF249" s="31"/>
      <c r="AG249" s="31" t="n">
        <f aca="false">IF(ISNUMBER(AG228),ROUND(AG228+AG234+AG244+N(AG245)-AG246,1),"")</f>
        <v>0</v>
      </c>
      <c r="AH249" s="31"/>
      <c r="AI249" s="31"/>
      <c r="AJ249" s="31"/>
      <c r="AK249" s="31"/>
      <c r="AL249" s="31"/>
      <c r="AM249" s="31" t="n">
        <f aca="false">IF(ISNUMBER(AM228),ROUND(AM228+AM234+AM244+N(AM245)-AM246,1),"")</f>
        <v>0</v>
      </c>
      <c r="AN249" s="31"/>
      <c r="AO249" s="31"/>
      <c r="AP249" s="31"/>
      <c r="AQ249" s="31"/>
      <c r="AR249" s="31"/>
      <c r="AS249" s="31" t="n">
        <f aca="false">IF(ISNUMBER(AS228),ROUND(AS228+AS234+AS244+N(AS245)-AS246,1),"")</f>
        <v>0</v>
      </c>
      <c r="AT249" s="31"/>
      <c r="AU249" s="31"/>
      <c r="AV249" s="31"/>
      <c r="AW249" s="31"/>
      <c r="AX249" s="31"/>
      <c r="AY249" s="31" t="n">
        <f aca="false">IF(ISNUMBER(AY228),ROUND(AY228+AY234+AY244+N(AY245)-AY246,1),"")</f>
        <v>0</v>
      </c>
      <c r="AZ249" s="31"/>
      <c r="BA249" s="31"/>
      <c r="BB249" s="31"/>
      <c r="BC249" s="31"/>
      <c r="BD249" s="31"/>
      <c r="BE249" s="31" t="n">
        <f aca="false">IF(ISNUMBER(BE228),ROUND(BE228+BE234+BE244+N(BE245)-BE246,1),"")</f>
        <v>0</v>
      </c>
      <c r="BF249" s="31"/>
      <c r="BG249" s="31"/>
      <c r="BH249" s="31"/>
      <c r="BI249" s="31"/>
      <c r="BJ249" s="31"/>
      <c r="BK249" s="31" t="n">
        <f aca="false">IF(ISNUMBER(BK228),ROUND(BK228+BK234+BK244+N(BK245)-BK246,1),"")</f>
        <v>0</v>
      </c>
      <c r="BL249" s="31"/>
      <c r="BM249" s="31"/>
      <c r="BN249" s="31"/>
      <c r="BO249" s="31"/>
      <c r="BP249" s="31"/>
      <c r="BQ249" s="31" t="n">
        <f aca="false">IF(ISNUMBER(BQ228),ROUND(BQ228+BQ234+BQ244+N(BQ245)-BQ246,1),"")</f>
        <v>0</v>
      </c>
      <c r="BR249" s="31"/>
      <c r="BS249" s="31"/>
      <c r="BT249" s="31"/>
      <c r="BU249" s="31"/>
      <c r="BV249" s="31"/>
      <c r="BW249" s="31" t="n">
        <f aca="false">IF(ISNUMBER(BW228),ROUND(BW228+BW234+BW244+N(BW245)-BW246,1),"")</f>
        <v>0</v>
      </c>
      <c r="BX249" s="31"/>
      <c r="BY249" s="31"/>
      <c r="BZ249" s="31"/>
      <c r="CA249" s="31"/>
      <c r="CB249" s="31"/>
      <c r="CC249" s="31" t="n">
        <f aca="false">IF(ISNUMBER(CC228),ROUND(CC228+CC234+CC244+N(CC245)-CC246,1),"")</f>
        <v>0</v>
      </c>
      <c r="CD249" s="31"/>
      <c r="CE249" s="31"/>
      <c r="CF249" s="31"/>
      <c r="CG249" s="31"/>
      <c r="CH249" s="31"/>
      <c r="CI249" s="31" t="n">
        <f aca="false">IF(ISNUMBER(CI228),ROUND(CI228+CI234+CI244+N(CI245)-CI246,1),"")</f>
        <v>0</v>
      </c>
      <c r="CJ249" s="31"/>
      <c r="CK249" s="31"/>
      <c r="CL249" s="31" t="n">
        <f aca="false">IF(ISNUMBER(CL228),ROUND(CL228+CL234+CL244+N(CL245)-CL246,1),"")</f>
        <v>0</v>
      </c>
      <c r="CM249" s="32"/>
      <c r="CN249" s="32"/>
      <c r="CO249" s="32"/>
      <c r="CP249" s="32"/>
      <c r="CQ249" s="32"/>
      <c r="CR249" s="32"/>
      <c r="CS249" s="32"/>
      <c r="CT249" s="23"/>
      <c r="CV249" s="7"/>
      <c r="CW249" s="7"/>
      <c r="CX249" s="7"/>
      <c r="CY249" s="7"/>
    </row>
    <row r="250" customFormat="false" ht="15" hidden="false" customHeight="true" outlineLevel="0" collapsed="false">
      <c r="B250" s="13" t="s">
        <v>423</v>
      </c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2"/>
      <c r="CN250" s="32"/>
      <c r="CO250" s="32"/>
      <c r="CP250" s="32"/>
      <c r="CQ250" s="32"/>
      <c r="CR250" s="32"/>
      <c r="CS250" s="32"/>
      <c r="CT250" s="23"/>
      <c r="CV250" s="7"/>
      <c r="CW250" s="7"/>
      <c r="CX250" s="7"/>
      <c r="CY250" s="7"/>
    </row>
    <row r="251" customFormat="false" ht="15" hidden="false" customHeight="true" outlineLevel="0" collapsed="false">
      <c r="B251" s="41" t="s">
        <v>424</v>
      </c>
      <c r="C251" s="43" t="n">
        <f aca="false">IF(ISNUMBER(C228),C228+N(C229)+N(C230)+N(C231),"")</f>
        <v>19.56</v>
      </c>
      <c r="D251" s="43" t="n">
        <f aca="false">IF(ISNUMBER(D228),D228+N(D229)+N(D230)+N(D231),"")</f>
        <v>-3.49499999999999</v>
      </c>
      <c r="E251" s="43" t="n">
        <f aca="false">IF(ISNUMBER(E228),E228+N(E229)+N(E230)+N(E231),"")</f>
        <v>-20.523</v>
      </c>
      <c r="F251" s="43" t="n">
        <f aca="false">IF(ISNUMBER(F228),F228+N(F229)+N(F230)+N(F231),"")</f>
        <v>-14.76</v>
      </c>
      <c r="G251" s="43" t="n">
        <f aca="false">IF(ISNUMBER(G228),G228+N(G229)+N(G230)+N(G231),"")</f>
        <v>-13.64</v>
      </c>
      <c r="H251" s="43" t="n">
        <f aca="false">IF(ISNUMBER(H228),H228+N(H229)+N(H230)+N(H231),"")</f>
        <v>74.165</v>
      </c>
      <c r="I251" s="43" t="n">
        <f aca="false">IF(ISNUMBER(I228),I228+N(I229)+N(I230)+N(I231),"")</f>
        <v>78.069</v>
      </c>
      <c r="J251" s="20"/>
      <c r="K251" s="20"/>
      <c r="L251" s="20"/>
      <c r="M251" s="20"/>
      <c r="N251" s="20"/>
      <c r="O251" s="43" t="n">
        <f aca="false">IF(ISNUMBER(O228),O228+N(O229)+N(O230)+N(O231),"")</f>
        <v>109.573</v>
      </c>
      <c r="P251" s="20"/>
      <c r="Q251" s="20"/>
      <c r="R251" s="20"/>
      <c r="S251" s="20"/>
      <c r="T251" s="20"/>
      <c r="U251" s="43" t="n">
        <f aca="false">IF(ISNUMBER(U228),U228+N(U229)+N(U230)+N(U231),"")</f>
        <v>141.771</v>
      </c>
      <c r="V251" s="20"/>
      <c r="W251" s="20"/>
      <c r="X251" s="20"/>
      <c r="Y251" s="20"/>
      <c r="Z251" s="20"/>
      <c r="AA251" s="43" t="n">
        <f aca="false">IF(ISNUMBER(AA228),AA228+N(AA229)+N(AA230)+N(AA231),"")</f>
        <v>182.307</v>
      </c>
      <c r="AB251" s="20"/>
      <c r="AC251" s="20"/>
      <c r="AD251" s="20"/>
      <c r="AE251" s="20"/>
      <c r="AF251" s="20"/>
      <c r="AG251" s="43" t="n">
        <f aca="false">IF(ISNUMBER(AG228),AG228+N(AG229)+N(AG230)+N(AG231),"")</f>
        <v>147.773</v>
      </c>
      <c r="AH251" s="20"/>
      <c r="AI251" s="20"/>
      <c r="AJ251" s="20"/>
      <c r="AK251" s="20"/>
      <c r="AL251" s="20"/>
      <c r="AM251" s="43" t="n">
        <f aca="false">IF(ISNUMBER(AM228),AM228+N(AM229)+N(AM230)+N(AM231),"")</f>
        <v>113.157</v>
      </c>
      <c r="AN251" s="20"/>
      <c r="AO251" s="20"/>
      <c r="AP251" s="20"/>
      <c r="AQ251" s="20"/>
      <c r="AR251" s="20"/>
      <c r="AS251" s="43" t="n">
        <f aca="false">IF(ISNUMBER(AS228),AS228+N(AS229)+N(AS230)+N(AS231),"")</f>
        <v>111.854</v>
      </c>
      <c r="AT251" s="20"/>
      <c r="AU251" s="20"/>
      <c r="AV251" s="20"/>
      <c r="AW251" s="20"/>
      <c r="AX251" s="20"/>
      <c r="AY251" s="43" t="n">
        <f aca="false">IF(ISNUMBER(AY228),AY228+N(AY229)+N(AY230)+N(AY231),"")</f>
        <v>297.718</v>
      </c>
      <c r="AZ251" s="20"/>
      <c r="BA251" s="20"/>
      <c r="BB251" s="20"/>
      <c r="BC251" s="20"/>
      <c r="BD251" s="20"/>
      <c r="BE251" s="43" t="n">
        <f aca="false">IF(ISNUMBER(BE228),BE228+N(BE229)+N(BE230)+N(BE231),"")</f>
        <v>231.121</v>
      </c>
      <c r="BF251" s="20"/>
      <c r="BG251" s="20"/>
      <c r="BH251" s="20"/>
      <c r="BI251" s="20"/>
      <c r="BJ251" s="20"/>
      <c r="BK251" s="43" t="n">
        <f aca="false">IF(ISNUMBER(BK228),BK228+N(BK229)+N(BK230)+N(BK231),"")</f>
        <v>276</v>
      </c>
      <c r="BL251" s="20"/>
      <c r="BM251" s="20"/>
      <c r="BN251" s="20"/>
      <c r="BO251" s="20"/>
      <c r="BP251" s="20"/>
      <c r="BQ251" s="43" t="n">
        <f aca="false">IF(ISNUMBER(BQ228),BQ228+N(BQ229)+N(BQ230)+N(BQ231),"")</f>
        <v>556.6</v>
      </c>
      <c r="BR251" s="20"/>
      <c r="BS251" s="20"/>
      <c r="BT251" s="20"/>
      <c r="BU251" s="20"/>
      <c r="BV251" s="20"/>
      <c r="BW251" s="43" t="n">
        <f aca="false">IF(ISNUMBER(BW228),BW228+N(BW229)+N(BW230)+N(BW231),"")</f>
        <v>230.4</v>
      </c>
      <c r="BX251" s="20"/>
      <c r="BY251" s="20"/>
      <c r="BZ251" s="20"/>
      <c r="CA251" s="20"/>
      <c r="CB251" s="20"/>
      <c r="CC251" s="43" t="n">
        <f aca="false">IF(ISNUMBER(CC228),CC228+N(CC229)+N(CC230)+N(CC231),"")</f>
        <v>657.7</v>
      </c>
      <c r="CD251" s="20"/>
      <c r="CE251" s="20"/>
      <c r="CF251" s="20"/>
      <c r="CG251" s="20"/>
      <c r="CH251" s="20"/>
      <c r="CI251" s="43" t="n">
        <f aca="false">IF(ISNUMBER(CI228),CI228+N(CI229)+N(CI230)+N(CI231),"")</f>
        <v>608</v>
      </c>
      <c r="CJ251" s="20"/>
      <c r="CK251" s="20"/>
      <c r="CL251" s="20" t="n">
        <f aca="false">IF(ISNUMBER(CL228),CL228+N(CL229)+N(CL230)+N(CL231),"")</f>
        <v>185.2</v>
      </c>
      <c r="CM251" s="43"/>
      <c r="CN251" s="43"/>
      <c r="CO251" s="43" t="n">
        <f aca="false">CO228+CO229+CO230+CO231</f>
        <v>715.076084506366</v>
      </c>
      <c r="CP251" s="43" t="n">
        <f aca="false">CP228+CP229+CP230+CP231</f>
        <v>805.770495029041</v>
      </c>
      <c r="CQ251" s="43" t="n">
        <f aca="false">CQ228+CQ229+CQ230+CQ231</f>
        <v>889.862123360139</v>
      </c>
      <c r="CR251" s="43" t="n">
        <f aca="false">CR228+CR229+CR230+CR231</f>
        <v>976.265651071246</v>
      </c>
      <c r="CS251" s="43" t="n">
        <f aca="false">CS228+CS229+CS230+CS231</f>
        <v>1071.52990032367</v>
      </c>
      <c r="CT251" s="23" t="s">
        <v>425</v>
      </c>
      <c r="CV251" s="24" t="n">
        <f aca="false">IFERROR((CS251/CI251)^(1/5)-1,"n/m")</f>
        <v>0.120005468106811</v>
      </c>
      <c r="CW251" s="24" t="n">
        <f aca="false">IFERROR((CI251/BE251)^(1/5)-1,"n/m")</f>
        <v>0.213424709062952</v>
      </c>
      <c r="CX251" s="24" t="n">
        <f aca="false">IFERROR((CI251/AA251)^(1/10)-1,"n/m")</f>
        <v>0.128002399485891</v>
      </c>
      <c r="CY251" s="24" t="n">
        <f aca="false">IFERROR((CI251/C251)^(1/19)-1,"n/m")</f>
        <v>0.198269373668529</v>
      </c>
    </row>
    <row r="252" customFormat="false" ht="15" hidden="false" customHeight="true" outlineLevel="0" collapsed="false">
      <c r="B252" s="30" t="s">
        <v>426</v>
      </c>
      <c r="C252" s="34"/>
      <c r="D252" s="34" t="n">
        <f aca="false">IFERROR(D251/C251-1,"")</f>
        <v>-1.17868098159509</v>
      </c>
      <c r="E252" s="34" t="n">
        <f aca="false">IFERROR(E251/D251-1,"")</f>
        <v>4.87210300429186</v>
      </c>
      <c r="F252" s="34" t="n">
        <f aca="false">IFERROR(F251/E251-1,"")</f>
        <v>-0.280806899576086</v>
      </c>
      <c r="G252" s="34" t="n">
        <f aca="false">IFERROR(G251/F251-1,"")</f>
        <v>-0.0758807588075871</v>
      </c>
      <c r="H252" s="34" t="n">
        <f aca="false">IFERROR(H251/G251-1,"")</f>
        <v>-6.43731671554252</v>
      </c>
      <c r="I252" s="34" t="n">
        <f aca="false">IFERROR(I251/H251-1,"")</f>
        <v>0.0526393851547229</v>
      </c>
      <c r="J252" s="34"/>
      <c r="K252" s="34"/>
      <c r="L252" s="34"/>
      <c r="M252" s="34"/>
      <c r="N252" s="34"/>
      <c r="O252" s="34" t="n">
        <f aca="false">IFERROR(O251/I251-1,"")</f>
        <v>0.403540457800151</v>
      </c>
      <c r="P252" s="34"/>
      <c r="Q252" s="34"/>
      <c r="R252" s="34"/>
      <c r="S252" s="34"/>
      <c r="T252" s="34"/>
      <c r="U252" s="34" t="n">
        <f aca="false">IFERROR(U251/O251-1,"")</f>
        <v>0.293849762258951</v>
      </c>
      <c r="V252" s="34"/>
      <c r="W252" s="34"/>
      <c r="X252" s="34"/>
      <c r="Y252" s="34"/>
      <c r="Z252" s="34"/>
      <c r="AA252" s="34" t="n">
        <f aca="false">IFERROR(AA251/U251-1,"")</f>
        <v>0.285925894576465</v>
      </c>
      <c r="AB252" s="34"/>
      <c r="AC252" s="34"/>
      <c r="AD252" s="34"/>
      <c r="AE252" s="34"/>
      <c r="AF252" s="34"/>
      <c r="AG252" s="34" t="n">
        <f aca="false">IFERROR(AG251/AA251-1,"")</f>
        <v>-0.189427723565195</v>
      </c>
      <c r="AH252" s="34"/>
      <c r="AI252" s="34"/>
      <c r="AJ252" s="34"/>
      <c r="AK252" s="34"/>
      <c r="AL252" s="34"/>
      <c r="AM252" s="34" t="n">
        <f aca="false">IFERROR(AM251/AG251-1,"")</f>
        <v>-0.23425118255703</v>
      </c>
      <c r="AN252" s="34"/>
      <c r="AO252" s="34"/>
      <c r="AP252" s="34"/>
      <c r="AQ252" s="34"/>
      <c r="AR252" s="34"/>
      <c r="AS252" s="34" t="n">
        <f aca="false">IFERROR(AS251/AM251-1,"")</f>
        <v>-0.011514974769568</v>
      </c>
      <c r="AT252" s="34"/>
      <c r="AU252" s="34"/>
      <c r="AV252" s="34"/>
      <c r="AW252" s="34"/>
      <c r="AX252" s="34"/>
      <c r="AY252" s="34" t="n">
        <f aca="false">IFERROR(AY251/AS251-1,"")</f>
        <v>1.66166610045238</v>
      </c>
      <c r="AZ252" s="34"/>
      <c r="BA252" s="34"/>
      <c r="BB252" s="34"/>
      <c r="BC252" s="34"/>
      <c r="BD252" s="34"/>
      <c r="BE252" s="34" t="n">
        <f aca="false">IFERROR(BE251/AY251-1,"")</f>
        <v>-0.223691547034442</v>
      </c>
      <c r="BF252" s="34"/>
      <c r="BG252" s="34"/>
      <c r="BH252" s="34"/>
      <c r="BI252" s="34"/>
      <c r="BJ252" s="34"/>
      <c r="BK252" s="34" t="n">
        <f aca="false">IFERROR(BK251/BE251-1,"")</f>
        <v>0.194179672119799</v>
      </c>
      <c r="BL252" s="34"/>
      <c r="BM252" s="34"/>
      <c r="BN252" s="34"/>
      <c r="BO252" s="34"/>
      <c r="BP252" s="34"/>
      <c r="BQ252" s="34" t="n">
        <f aca="false">IFERROR(BQ251/BK251-1,"")</f>
        <v>1.01666666666667</v>
      </c>
      <c r="BR252" s="34"/>
      <c r="BS252" s="34"/>
      <c r="BT252" s="34"/>
      <c r="BU252" s="34"/>
      <c r="BV252" s="34"/>
      <c r="BW252" s="34" t="n">
        <f aca="false">IFERROR(BW251/BQ251-1,"")</f>
        <v>-0.586058210564139</v>
      </c>
      <c r="BX252" s="34"/>
      <c r="BY252" s="34"/>
      <c r="BZ252" s="34"/>
      <c r="CA252" s="34"/>
      <c r="CB252" s="34"/>
      <c r="CC252" s="34" t="n">
        <f aca="false">IFERROR(CC251/BW251-1,"")</f>
        <v>1.85460069444444</v>
      </c>
      <c r="CD252" s="34"/>
      <c r="CE252" s="34"/>
      <c r="CF252" s="34"/>
      <c r="CG252" s="34"/>
      <c r="CH252" s="34"/>
      <c r="CI252" s="34" t="n">
        <f aca="false">IFERROR(CI251/CC251-1,"")</f>
        <v>-0.0755663676448229</v>
      </c>
      <c r="CJ252" s="34"/>
      <c r="CK252" s="34"/>
      <c r="CL252" s="34"/>
      <c r="CM252" s="35"/>
      <c r="CN252" s="35"/>
      <c r="CO252" s="35" t="n">
        <f aca="false">IFERROR(CO251/CI251-1,"")</f>
        <v>0.176111981095996</v>
      </c>
      <c r="CP252" s="35" t="n">
        <f aca="false">IFERROR(CP251/CO251-1,"")</f>
        <v>0.126831832986393</v>
      </c>
      <c r="CQ252" s="35" t="n">
        <f aca="false">IFERROR(CQ251/CP251-1,"")</f>
        <v>0.104361761630484</v>
      </c>
      <c r="CR252" s="35" t="n">
        <f aca="false">IFERROR(CR251/CQ251-1,"")</f>
        <v>0.0970976575391762</v>
      </c>
      <c r="CS252" s="35" t="n">
        <f aca="false">IFERROR(CS251/CR251-1,"")</f>
        <v>0.0975802530263088</v>
      </c>
      <c r="CT252" s="23"/>
      <c r="CV252" s="7"/>
      <c r="CW252" s="7"/>
      <c r="CX252" s="7"/>
      <c r="CY252" s="7"/>
    </row>
    <row r="253" customFormat="false" ht="15" hidden="false" customHeight="true" outlineLevel="0" collapsed="false">
      <c r="B253" s="30" t="s">
        <v>427</v>
      </c>
      <c r="C253" s="44" t="n">
        <f aca="false">IFERROR(C251/C95,"")</f>
        <v>0.0758559977041538</v>
      </c>
      <c r="D253" s="44" t="n">
        <f aca="false">IFERROR(D251/D95,"")</f>
        <v>-0.0112052990324008</v>
      </c>
      <c r="E253" s="44" t="n">
        <f aca="false">IFERROR(E251/E95,"")</f>
        <v>-0.0578409212610409</v>
      </c>
      <c r="F253" s="44" t="n">
        <f aca="false">IFERROR(F251/F95,"")</f>
        <v>-0.0391292936844365</v>
      </c>
      <c r="G253" s="44" t="n">
        <f aca="false">IFERROR(G251/G95,"")</f>
        <v>-0.0381678321286961</v>
      </c>
      <c r="H253" s="44" t="n">
        <f aca="false">IFERROR(H251/H95,"")</f>
        <v>0.187238543899379</v>
      </c>
      <c r="I253" s="44" t="n">
        <f aca="false">IFERROR(I251/I95,"")</f>
        <v>0.178258040209611</v>
      </c>
      <c r="J253" s="44"/>
      <c r="K253" s="44"/>
      <c r="L253" s="44"/>
      <c r="M253" s="44"/>
      <c r="N253" s="44"/>
      <c r="O253" s="44" t="n">
        <f aca="false">IFERROR(O251/O95,"")</f>
        <v>0.234429389627367</v>
      </c>
      <c r="P253" s="44"/>
      <c r="Q253" s="44"/>
      <c r="R253" s="44"/>
      <c r="S253" s="44"/>
      <c r="T253" s="44"/>
      <c r="U253" s="44" t="n">
        <f aca="false">IFERROR(U251/U95,"")</f>
        <v>0.294682777069905</v>
      </c>
      <c r="V253" s="44"/>
      <c r="W253" s="44"/>
      <c r="X253" s="44"/>
      <c r="Y253" s="44"/>
      <c r="Z253" s="44"/>
      <c r="AA253" s="44" t="n">
        <f aca="false">IFERROR(AA251/AA95,"")</f>
        <v>0.353393748485583</v>
      </c>
      <c r="AB253" s="44"/>
      <c r="AC253" s="44"/>
      <c r="AD253" s="44"/>
      <c r="AE253" s="44"/>
      <c r="AF253" s="44"/>
      <c r="AG253" s="44" t="n">
        <f aca="false">IFERROR(AG251/AG95,"")</f>
        <v>0.260900961343232</v>
      </c>
      <c r="AH253" s="44"/>
      <c r="AI253" s="44"/>
      <c r="AJ253" s="44"/>
      <c r="AK253" s="44"/>
      <c r="AL253" s="44"/>
      <c r="AM253" s="44" t="n">
        <f aca="false">IFERROR(AM251/AM95,"")</f>
        <v>0.116513641497913</v>
      </c>
      <c r="AN253" s="44"/>
      <c r="AO253" s="44"/>
      <c r="AP253" s="44"/>
      <c r="AQ253" s="44"/>
      <c r="AR253" s="44"/>
      <c r="AS253" s="44" t="n">
        <f aca="false">IFERROR(AS251/AS95,"")</f>
        <v>0.0955995849664879</v>
      </c>
      <c r="AT253" s="44"/>
      <c r="AU253" s="44"/>
      <c r="AV253" s="44"/>
      <c r="AW253" s="44"/>
      <c r="AX253" s="44"/>
      <c r="AY253" s="44" t="n">
        <f aca="false">IFERROR(AY251/AY95,"")</f>
        <v>0.225776386446349</v>
      </c>
      <c r="AZ253" s="44"/>
      <c r="BA253" s="44"/>
      <c r="BB253" s="44"/>
      <c r="BC253" s="44"/>
      <c r="BD253" s="44"/>
      <c r="BE253" s="44" t="n">
        <f aca="false">IFERROR(BE251/BE95,"")</f>
        <v>0.167812177802303</v>
      </c>
      <c r="BF253" s="44"/>
      <c r="BG253" s="44"/>
      <c r="BH253" s="44"/>
      <c r="BI253" s="44"/>
      <c r="BJ253" s="44"/>
      <c r="BK253" s="44" t="n">
        <f aca="false">IFERROR(BK251/BK95,"")</f>
        <v>0.194781685722573</v>
      </c>
      <c r="BL253" s="44"/>
      <c r="BM253" s="44"/>
      <c r="BN253" s="44"/>
      <c r="BO253" s="44"/>
      <c r="BP253" s="44"/>
      <c r="BQ253" s="44" t="n">
        <f aca="false">IFERROR(BQ251/BQ95,"")</f>
        <v>0.321027472476768</v>
      </c>
      <c r="BR253" s="44"/>
      <c r="BS253" s="44"/>
      <c r="BT253" s="44"/>
      <c r="BU253" s="44"/>
      <c r="BV253" s="44"/>
      <c r="BW253" s="44" t="n">
        <f aca="false">IFERROR(BW251/BW95,"")</f>
        <v>0.0626155016849658</v>
      </c>
      <c r="BX253" s="44"/>
      <c r="BY253" s="44"/>
      <c r="BZ253" s="44"/>
      <c r="CA253" s="44"/>
      <c r="CB253" s="44"/>
      <c r="CC253" s="44" t="n">
        <f aca="false">IFERROR(CC251/CC95,"")</f>
        <v>0.153517576210261</v>
      </c>
      <c r="CD253" s="44"/>
      <c r="CE253" s="44"/>
      <c r="CF253" s="44"/>
      <c r="CG253" s="44"/>
      <c r="CH253" s="44"/>
      <c r="CI253" s="44" t="n">
        <f aca="false">IFERROR(CI251/CI95,"")</f>
        <v>0.132441675561461</v>
      </c>
      <c r="CJ253" s="44"/>
      <c r="CK253" s="44"/>
      <c r="CL253" s="44"/>
      <c r="CM253" s="35"/>
      <c r="CN253" s="35"/>
      <c r="CO253" s="35" t="n">
        <f aca="false">IFERROR(CO251/CO95,"")</f>
        <v>0.142842316888714</v>
      </c>
      <c r="CP253" s="35" t="n">
        <f aca="false">IFERROR(CP251/CP95,"")</f>
        <v>0.153128893467903</v>
      </c>
      <c r="CQ253" s="35" t="n">
        <f aca="false">IFERROR(CQ251/CQ95,"")</f>
        <v>0.161402832088447</v>
      </c>
      <c r="CR253" s="35" t="n">
        <f aca="false">IFERROR(CR251/CR95,"")</f>
        <v>0.169791061288093</v>
      </c>
      <c r="CS253" s="35" t="n">
        <f aca="false">IFERROR(CS251/CS95,"")</f>
        <v>0.178692568427854</v>
      </c>
      <c r="CT253" s="23"/>
      <c r="CV253" s="48" t="n">
        <f aca="false">IFERROR(AVERAGE(CO253,CP253,CQ253,CR253,CS253),"n/m")</f>
        <v>0.161171534432202</v>
      </c>
      <c r="CW253" s="48" t="n">
        <f aca="false">IFERROR(AVERAGE(BK253,BQ253,BW253,CC253,CI253),"n/m")</f>
        <v>0.172876782331206</v>
      </c>
      <c r="CX253" s="48" t="n">
        <f aca="false">IFERROR(AVERAGE(AG253,AM253,AS253,AY253,BE253,BK253,BQ253,BW253,CC253,CI253),"n/m")</f>
        <v>0.173098666371231</v>
      </c>
      <c r="CY253" s="48" t="n">
        <f aca="false">IFERROR(AVERAGE(C253,D253,E253,F253,G253,H253,I253,O253,U253,AA253,AG253,AM253,AS253,AY253,BE253,BK253,BQ253,BW253,CC253,CI253),"n/m")</f>
        <v>0.145425090730087</v>
      </c>
    </row>
    <row r="254" customFormat="false" ht="15" hidden="false" customHeight="true" outlineLevel="0" collapsed="false">
      <c r="B254" s="30" t="s">
        <v>428</v>
      </c>
      <c r="C254" s="44" t="n">
        <f aca="false">IFERROR(C251/C188,"")</f>
        <v>0.347640629165556</v>
      </c>
      <c r="D254" s="44" t="n">
        <f aca="false">IFERROR(D251/D188,"")</f>
        <v>-0.0486159410210042</v>
      </c>
      <c r="E254" s="44" t="n">
        <f aca="false">IFERROR(E251/E188,"")</f>
        <v>-0.240094058189731</v>
      </c>
      <c r="F254" s="44" t="n">
        <f aca="false">IFERROR(F251/F188,"")</f>
        <v>-0.160361574064014</v>
      </c>
      <c r="G254" s="44" t="n">
        <f aca="false">IFERROR(G251/G188,"")</f>
        <v>-0.210107980714429</v>
      </c>
      <c r="H254" s="44" t="n">
        <f aca="false">IFERROR(H251/H188,"")</f>
        <v>1.00715663108721</v>
      </c>
      <c r="I254" s="44" t="n">
        <f aca="false">IFERROR(I251/I188,"")</f>
        <v>0.945660468778391</v>
      </c>
      <c r="J254" s="44"/>
      <c r="K254" s="44"/>
      <c r="L254" s="44"/>
      <c r="M254" s="44"/>
      <c r="N254" s="44"/>
      <c r="O254" s="44" t="n">
        <f aca="false">IFERROR(O251/O188,"")</f>
        <v>1.22008061642615</v>
      </c>
      <c r="P254" s="44"/>
      <c r="Q254" s="44"/>
      <c r="R254" s="44"/>
      <c r="S254" s="44"/>
      <c r="T254" s="44"/>
      <c r="U254" s="44" t="n">
        <f aca="false">IFERROR(U251/U188,"")</f>
        <v>1.41303286122933</v>
      </c>
      <c r="V254" s="44"/>
      <c r="W254" s="44"/>
      <c r="X254" s="44"/>
      <c r="Y254" s="44"/>
      <c r="Z254" s="44"/>
      <c r="AA254" s="44" t="n">
        <f aca="false">IFERROR(AA251/AA188,"")</f>
        <v>1.5059475623255</v>
      </c>
      <c r="AB254" s="44"/>
      <c r="AC254" s="44"/>
      <c r="AD254" s="44"/>
      <c r="AE254" s="44"/>
      <c r="AF254" s="44"/>
      <c r="AG254" s="44" t="n">
        <f aca="false">IFERROR(AG251/AG188,"")</f>
        <v>1.19870697697056</v>
      </c>
      <c r="AH254" s="44"/>
      <c r="AI254" s="44"/>
      <c r="AJ254" s="44"/>
      <c r="AK254" s="44"/>
      <c r="AL254" s="44"/>
      <c r="AM254" s="44" t="n">
        <f aca="false">IFERROR(AM251/AM188,"")</f>
        <v>1.29083297209737</v>
      </c>
      <c r="AN254" s="44"/>
      <c r="AO254" s="44"/>
      <c r="AP254" s="44"/>
      <c r="AQ254" s="44"/>
      <c r="AR254" s="44"/>
      <c r="AS254" s="44" t="n">
        <f aca="false">IFERROR(AS251/AS188,"")</f>
        <v>0.950581716509869</v>
      </c>
      <c r="AT254" s="44"/>
      <c r="AU254" s="44"/>
      <c r="AV254" s="44"/>
      <c r="AW254" s="44"/>
      <c r="AX254" s="44"/>
      <c r="AY254" s="44" t="n">
        <f aca="false">IFERROR(AY251/AY188,"")</f>
        <v>1.71132788025453</v>
      </c>
      <c r="AZ254" s="44"/>
      <c r="BA254" s="44"/>
      <c r="BB254" s="44"/>
      <c r="BC254" s="44"/>
      <c r="BD254" s="44"/>
      <c r="BE254" s="44" t="n">
        <f aca="false">IFERROR(BE251/BE188,"")</f>
        <v>1.10764401418576</v>
      </c>
      <c r="BF254" s="44"/>
      <c r="BG254" s="44"/>
      <c r="BH254" s="44"/>
      <c r="BI254" s="44"/>
      <c r="BJ254" s="44"/>
      <c r="BK254" s="44" t="n">
        <f aca="false">IFERROR(BK251/BK188,"")</f>
        <v>1.27715102773639</v>
      </c>
      <c r="BL254" s="44"/>
      <c r="BM254" s="44"/>
      <c r="BN254" s="44"/>
      <c r="BO254" s="44"/>
      <c r="BP254" s="44"/>
      <c r="BQ254" s="44" t="n">
        <f aca="false">IFERROR(BQ251/BQ188,"")</f>
        <v>2.06210011151494</v>
      </c>
      <c r="BR254" s="44"/>
      <c r="BS254" s="44"/>
      <c r="BT254" s="44"/>
      <c r="BU254" s="44"/>
      <c r="BV254" s="44"/>
      <c r="BW254" s="44" t="n">
        <f aca="false">IFERROR(BW251/BW188,"")</f>
        <v>0.458781362007168</v>
      </c>
      <c r="BX254" s="44"/>
      <c r="BY254" s="44"/>
      <c r="BZ254" s="44"/>
      <c r="CA254" s="44"/>
      <c r="CB254" s="44"/>
      <c r="CC254" s="44" t="n">
        <f aca="false">IFERROR(CC251/CC188,"")</f>
        <v>1.01685219542363</v>
      </c>
      <c r="CD254" s="44"/>
      <c r="CE254" s="44"/>
      <c r="CF254" s="44"/>
      <c r="CG254" s="44"/>
      <c r="CH254" s="44"/>
      <c r="CI254" s="44" t="n">
        <f aca="false">IFERROR(CI251/CI188,"")</f>
        <v>0.813922356091031</v>
      </c>
      <c r="CJ254" s="44"/>
      <c r="CK254" s="44"/>
      <c r="CL254" s="44"/>
      <c r="CM254" s="35"/>
      <c r="CN254" s="35"/>
      <c r="CO254" s="35" t="n">
        <f aca="false">IFERROR(CO251/CO188,"")</f>
        <v>0.870042848410875</v>
      </c>
      <c r="CP254" s="35" t="n">
        <f aca="false">IFERROR(CP251/CP188,"")</f>
        <v>0.923287005320527</v>
      </c>
      <c r="CQ254" s="35" t="n">
        <f aca="false">IFERROR(CQ251/CQ188,"")</f>
        <v>0.937765091081181</v>
      </c>
      <c r="CR254" s="35" t="n">
        <f aca="false">IFERROR(CR251/CR188,"")</f>
        <v>0.952514008370342</v>
      </c>
      <c r="CS254" s="35" t="n">
        <f aca="false">IFERROR(CS251/CS188,"")</f>
        <v>0.971323519614916</v>
      </c>
      <c r="CT254" s="23"/>
      <c r="CV254" s="48" t="n">
        <f aca="false">IFERROR(AVERAGE(CO254,CP254,CQ254,CR254,CS254),"n/m")</f>
        <v>0.930986494559568</v>
      </c>
      <c r="CW254" s="48" t="n">
        <f aca="false">IFERROR(AVERAGE(BK254,BQ254,BW254,CC254,CI254),"n/m")</f>
        <v>1.12576141055463</v>
      </c>
      <c r="CX254" s="48" t="n">
        <f aca="false">IFERROR(AVERAGE(AG254,AM254,AS254,AY254,BE254,BK254,BQ254,BW254,CC254,CI254),"n/m")</f>
        <v>1.18879006127912</v>
      </c>
      <c r="CY254" s="48" t="n">
        <f aca="false">IFERROR(AVERAGE(C254,D254,E254,F254,G254,H254,I254,O254,U254,AA254,AG254,AM254,AS254,AY254,BE254,BK254,BQ254,BW254,CC254,CI254),"n/m")</f>
        <v>0.88341199139071</v>
      </c>
    </row>
    <row r="255" customFormat="false" ht="15" hidden="false" customHeight="true" outlineLevel="0" collapsed="false">
      <c r="B255" s="30" t="s">
        <v>429</v>
      </c>
      <c r="C255" s="53" t="n">
        <f aca="false">IFERROR(C251/C127,"")</f>
        <v>0.187076781820269</v>
      </c>
      <c r="D255" s="53" t="n">
        <f aca="false">IFERROR(D251/D127,"")</f>
        <v>-0.0332027718642959</v>
      </c>
      <c r="E255" s="53" t="n">
        <f aca="false">IFERROR(E251/E127,"")</f>
        <v>-0.19402699023873</v>
      </c>
      <c r="F255" s="53" t="n">
        <f aca="false">IFERROR(F251/F127,"")</f>
        <v>-0.139543054733229</v>
      </c>
      <c r="G255" s="53" t="n">
        <f aca="false">IFERROR(G251/G127,"")</f>
        <v>-0.128474172627035</v>
      </c>
      <c r="H255" s="53" t="n">
        <f aca="false">IFERROR(H251/H127,"")</f>
        <v>0.693236076949513</v>
      </c>
      <c r="I255" s="53" t="n">
        <f aca="false">IFERROR(I251/I127,"")</f>
        <v>0.730136433917476</v>
      </c>
      <c r="J255" s="53"/>
      <c r="K255" s="53"/>
      <c r="L255" s="53"/>
      <c r="M255" s="53"/>
      <c r="N255" s="53"/>
      <c r="O255" s="53" t="n">
        <f aca="false">IFERROR(O251/O127,"")</f>
        <v>1.02256379167061</v>
      </c>
      <c r="P255" s="53"/>
      <c r="Q255" s="53"/>
      <c r="R255" s="53"/>
      <c r="S255" s="53"/>
      <c r="T255" s="53"/>
      <c r="U255" s="53" t="n">
        <f aca="false">IFERROR(U251/U127,"")</f>
        <v>1.31690331621727</v>
      </c>
      <c r="V255" s="53"/>
      <c r="W255" s="53"/>
      <c r="X255" s="53"/>
      <c r="Y255" s="53"/>
      <c r="Z255" s="53"/>
      <c r="AA255" s="53" t="n">
        <f aca="false">IFERROR(AA251/AA127,"")</f>
        <v>1.69694500379839</v>
      </c>
      <c r="AB255" s="53"/>
      <c r="AC255" s="53"/>
      <c r="AD255" s="53"/>
      <c r="AE255" s="53"/>
      <c r="AF255" s="53"/>
      <c r="AG255" s="53" t="n">
        <f aca="false">IFERROR(AG251/AG127,"")</f>
        <v>1.37517247003973</v>
      </c>
      <c r="AH255" s="53"/>
      <c r="AI255" s="53"/>
      <c r="AJ255" s="53"/>
      <c r="AK255" s="53"/>
      <c r="AL255" s="53"/>
      <c r="AM255" s="53" t="n">
        <f aca="false">IFERROR(AM251/AM127,"")</f>
        <v>1.04665342701925</v>
      </c>
      <c r="AN255" s="53"/>
      <c r="AO255" s="53"/>
      <c r="AP255" s="53"/>
      <c r="AQ255" s="53"/>
      <c r="AR255" s="53"/>
      <c r="AS255" s="53" t="n">
        <f aca="false">IFERROR(AS251/AS127,"")</f>
        <v>1.02254140015568</v>
      </c>
      <c r="AT255" s="53"/>
      <c r="AU255" s="53"/>
      <c r="AV255" s="53"/>
      <c r="AW255" s="53"/>
      <c r="AX255" s="53"/>
      <c r="AY255" s="53" t="n">
        <f aca="false">IFERROR(AY251/AY127,"")</f>
        <v>2.71246757672029</v>
      </c>
      <c r="AZ255" s="53"/>
      <c r="BA255" s="53"/>
      <c r="BB255" s="53"/>
      <c r="BC255" s="53"/>
      <c r="BD255" s="53"/>
      <c r="BE255" s="53" t="n">
        <f aca="false">IFERROR(BE251/BE127,"")</f>
        <v>2.0951763650044</v>
      </c>
      <c r="BF255" s="53"/>
      <c r="BG255" s="53"/>
      <c r="BH255" s="53"/>
      <c r="BI255" s="53"/>
      <c r="BJ255" s="53"/>
      <c r="BK255" s="53" t="n">
        <f aca="false">IFERROR(BK251/BK127,"")</f>
        <v>2.47740712416118</v>
      </c>
      <c r="BL255" s="53"/>
      <c r="BM255" s="53"/>
      <c r="BN255" s="53"/>
      <c r="BO255" s="53"/>
      <c r="BP255" s="53"/>
      <c r="BQ255" s="53" t="n">
        <f aca="false">IFERROR(BQ251/BQ127,"")</f>
        <v>4.97470639758326</v>
      </c>
      <c r="BR255" s="53"/>
      <c r="BS255" s="53"/>
      <c r="BT255" s="53"/>
      <c r="BU255" s="53"/>
      <c r="BV255" s="53"/>
      <c r="BW255" s="53" t="n">
        <f aca="false">IFERROR(BW251/BW127,"")</f>
        <v>1.36976528501106</v>
      </c>
      <c r="BX255" s="53"/>
      <c r="BY255" s="53"/>
      <c r="BZ255" s="53"/>
      <c r="CA255" s="53"/>
      <c r="CB255" s="53"/>
      <c r="CC255" s="53" t="n">
        <f aca="false">IFERROR(CC251/CC127,"")</f>
        <v>3.54937938478144</v>
      </c>
      <c r="CD255" s="53"/>
      <c r="CE255" s="53"/>
      <c r="CF255" s="53"/>
      <c r="CG255" s="53"/>
      <c r="CH255" s="53"/>
      <c r="CI255" s="53" t="n">
        <f aca="false">IFERROR(CI251/CI127,"")</f>
        <v>3.25307651150348</v>
      </c>
      <c r="CJ255" s="53"/>
      <c r="CK255" s="53"/>
      <c r="CL255" s="53"/>
      <c r="CM255" s="54"/>
      <c r="CN255" s="54"/>
      <c r="CO255" s="54" t="n">
        <f aca="false">IFERROR(CO251/CO127,"")</f>
        <v>3.84217118412984</v>
      </c>
      <c r="CP255" s="54" t="n">
        <f aca="false">IFERROR(CP251/CP127,"")</f>
        <v>4.41848433436893</v>
      </c>
      <c r="CQ255" s="54" t="n">
        <f aca="false">IFERROR(CQ251/CQ127,"")</f>
        <v>4.98680026744509</v>
      </c>
      <c r="CR255" s="54" t="n">
        <f aca="false">IFERROR(CR251/CR127,"")</f>
        <v>5.59259212582087</v>
      </c>
      <c r="CS255" s="54" t="n">
        <f aca="false">IFERROR(CS251/CS127,"")</f>
        <v>6.28521580236906</v>
      </c>
      <c r="CT255" s="23"/>
      <c r="CV255" s="24" t="n">
        <f aca="false">IFERROR((CS255/CI255)^(1/5)-1,"n/m")</f>
        <v>0.140788627799208</v>
      </c>
      <c r="CW255" s="24" t="n">
        <f aca="false">IFERROR((CI255/BE255)^(1/5)-1,"n/m")</f>
        <v>0.0919801361082047</v>
      </c>
      <c r="CX255" s="24" t="n">
        <f aca="false">IFERROR((CI255/AA255)^(1/10)-1,"n/m")</f>
        <v>0.0672413684494173</v>
      </c>
      <c r="CY255" s="24" t="n">
        <f aca="false">IFERROR((CI255/C255)^(1/19)-1,"n/m")</f>
        <v>0.16219124459418</v>
      </c>
    </row>
    <row r="256" customFormat="false" ht="15" hidden="false" customHeight="true" outlineLevel="0" collapsed="false">
      <c r="B256" s="13" t="s">
        <v>430</v>
      </c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2"/>
      <c r="CN256" s="32"/>
      <c r="CO256" s="32"/>
      <c r="CP256" s="32"/>
      <c r="CQ256" s="32"/>
      <c r="CR256" s="32"/>
      <c r="CS256" s="32"/>
      <c r="CT256" s="23"/>
      <c r="CV256" s="7"/>
      <c r="CW256" s="7"/>
      <c r="CX256" s="7"/>
      <c r="CY256" s="7"/>
    </row>
    <row r="257" customFormat="false" ht="15" hidden="false" customHeight="true" outlineLevel="0" collapsed="false">
      <c r="B257" s="30" t="s">
        <v>431</v>
      </c>
      <c r="C257" s="44" t="n">
        <f aca="false">IFERROR(-(N(C229)+N(C230)+N(C231))/C95,"")</f>
        <v>0.178699821994361</v>
      </c>
      <c r="D257" s="44" t="n">
        <f aca="false">IFERROR(-(N(D229)+N(D230)+N(D231))/D95,"")</f>
        <v>0.335883246875661</v>
      </c>
      <c r="E257" s="44" t="n">
        <f aca="false">IFERROR(-(N(E229)+N(E230)+N(E231))/E95,"")</f>
        <v>0.313431111161215</v>
      </c>
      <c r="F257" s="44" t="n">
        <f aca="false">IFERROR(-(N(F229)+N(F230)+N(F231))/F95,"")</f>
        <v>0.406178504868628</v>
      </c>
      <c r="G257" s="44" t="n">
        <f aca="false">IFERROR(-(N(G229)+N(G230)+N(G231))/G95,"")</f>
        <v>0.150558666252529</v>
      </c>
      <c r="H257" s="44" t="n">
        <f aca="false">IFERROR(-(N(H229)+N(H230)+N(H231))/H95,"")</f>
        <v>0.169101663977945</v>
      </c>
      <c r="I257" s="44" t="n">
        <f aca="false">IFERROR(-(N(I229)+N(I230)+N(I231))/I95,"")</f>
        <v>0.127846468244454</v>
      </c>
      <c r="J257" s="44"/>
      <c r="K257" s="44"/>
      <c r="L257" s="44"/>
      <c r="M257" s="44"/>
      <c r="N257" s="44"/>
      <c r="O257" s="44" t="n">
        <f aca="false">IFERROR(-(N(O229)+N(O230)+N(O231))/O95,"")</f>
        <v>0.079302015605377</v>
      </c>
      <c r="P257" s="44"/>
      <c r="Q257" s="44"/>
      <c r="R257" s="44"/>
      <c r="S257" s="44"/>
      <c r="T257" s="44"/>
      <c r="U257" s="44" t="n">
        <f aca="false">IFERROR(-(N(U229)+N(U230)+N(U231))/U95,"")</f>
        <v>0.0615156610829001</v>
      </c>
      <c r="V257" s="44"/>
      <c r="W257" s="44"/>
      <c r="X257" s="44"/>
      <c r="Y257" s="44"/>
      <c r="Z257" s="44"/>
      <c r="AA257" s="44" t="n">
        <f aca="false">IFERROR(-(N(AA229)+N(AA230)+N(AA231))/AA95,"")</f>
        <v>0.0274330021807608</v>
      </c>
      <c r="AB257" s="44"/>
      <c r="AC257" s="44"/>
      <c r="AD257" s="44"/>
      <c r="AE257" s="44"/>
      <c r="AF257" s="44"/>
      <c r="AG257" s="44" t="n">
        <f aca="false">IFERROR(-(N(AG229)+N(AG230)+N(AG231))/AG95,"")</f>
        <v>0.0525869755206172</v>
      </c>
      <c r="AH257" s="44"/>
      <c r="AI257" s="44"/>
      <c r="AJ257" s="44"/>
      <c r="AK257" s="44"/>
      <c r="AL257" s="44"/>
      <c r="AM257" s="44" t="n">
        <f aca="false">IFERROR(-(N(AM229)+N(AM230)+N(AM231))/AM95,"")</f>
        <v>0.0354317533832171</v>
      </c>
      <c r="AN257" s="44"/>
      <c r="AO257" s="44"/>
      <c r="AP257" s="44"/>
      <c r="AQ257" s="44"/>
      <c r="AR257" s="44"/>
      <c r="AS257" s="44" t="n">
        <f aca="false">IFERROR(-(N(AS229)+N(AS230)+N(AS231))/AS95,"")</f>
        <v>0.0277139140497733</v>
      </c>
      <c r="AT257" s="44"/>
      <c r="AU257" s="44"/>
      <c r="AV257" s="44"/>
      <c r="AW257" s="44"/>
      <c r="AX257" s="44"/>
      <c r="AY257" s="44" t="n">
        <f aca="false">IFERROR(-(N(AY229)+N(AY230)+N(AY231))/AY95,"")</f>
        <v>0.026599354941944</v>
      </c>
      <c r="AZ257" s="44"/>
      <c r="BA257" s="44"/>
      <c r="BB257" s="44"/>
      <c r="BC257" s="44"/>
      <c r="BD257" s="44"/>
      <c r="BE257" s="44" t="n">
        <f aca="false">IFERROR(-(N(BE229)+N(BE230)+N(BE231))/BE95,"")</f>
        <v>0.0194233478065144</v>
      </c>
      <c r="BF257" s="44"/>
      <c r="BG257" s="44"/>
      <c r="BH257" s="44"/>
      <c r="BI257" s="44"/>
      <c r="BJ257" s="44"/>
      <c r="BK257" s="44" t="n">
        <f aca="false">IFERROR(-(N(BK229)+N(BK230)+N(BK231))/BK95,"")</f>
        <v>0.0293583990074603</v>
      </c>
      <c r="BL257" s="44"/>
      <c r="BM257" s="44"/>
      <c r="BN257" s="44"/>
      <c r="BO257" s="44"/>
      <c r="BP257" s="44"/>
      <c r="BQ257" s="44" t="n">
        <f aca="false">IFERROR(-(N(BQ229)+N(BQ230)+N(BQ231))/BQ95,"")</f>
        <v>-0.0539275398429353</v>
      </c>
      <c r="BR257" s="44"/>
      <c r="BS257" s="44"/>
      <c r="BT257" s="44"/>
      <c r="BU257" s="44"/>
      <c r="BV257" s="44"/>
      <c r="BW257" s="44" t="n">
        <f aca="false">IFERROR(-(N(BW229)+N(BW230)+N(BW231))/BW95,"")</f>
        <v>0.0852266550712034</v>
      </c>
      <c r="BX257" s="44"/>
      <c r="BY257" s="44"/>
      <c r="BZ257" s="44"/>
      <c r="CA257" s="44"/>
      <c r="CB257" s="44"/>
      <c r="CC257" s="44" t="n">
        <f aca="false">IFERROR(-(N(CC229)+N(CC230)+N(CC231))/CC95,"")</f>
        <v>0.0640259558377293</v>
      </c>
      <c r="CD257" s="44"/>
      <c r="CE257" s="44"/>
      <c r="CF257" s="44"/>
      <c r="CG257" s="44"/>
      <c r="CH257" s="44"/>
      <c r="CI257" s="44" t="n">
        <f aca="false">IFERROR(-(N(CI229)+N(CI230)+N(CI231))/CI95,"")</f>
        <v>0.0806412965342976</v>
      </c>
      <c r="CJ257" s="44"/>
      <c r="CK257" s="44"/>
      <c r="CL257" s="44" t="n">
        <f aca="false">IFERROR(-(N(CL229)+N(CL230)+N(CL231))/CL95,"")</f>
        <v>0.0707763451816436</v>
      </c>
      <c r="CM257" s="35"/>
      <c r="CN257" s="35"/>
      <c r="CO257" s="35" t="n">
        <f aca="false">IFERROR(-(CO229+CO230+CO231)/CO95,"")</f>
        <v>0.0742501257389799</v>
      </c>
      <c r="CP257" s="36" t="n">
        <v>0.0725</v>
      </c>
      <c r="CQ257" s="36" t="n">
        <v>0.07</v>
      </c>
      <c r="CR257" s="36" t="n">
        <v>0.0675</v>
      </c>
      <c r="CS257" s="36" t="n">
        <v>0.065</v>
      </c>
      <c r="CT257" s="23" t="s">
        <v>432</v>
      </c>
      <c r="CV257" s="48" t="n">
        <f aca="false">IFERROR(AVERAGE(CO257,CP257,CQ257,CR257,CS257),"n/m")</f>
        <v>0.069850025147796</v>
      </c>
      <c r="CW257" s="48" t="n">
        <f aca="false">IFERROR(AVERAGE(BK257,BQ257,BW257,CC257,CI257),"n/m")</f>
        <v>0.0410649533215511</v>
      </c>
      <c r="CX257" s="48" t="n">
        <f aca="false">IFERROR(AVERAGE(AG257,AM257,AS257,AY257,BE257,BK257,BQ257,BW257,CC257,CI257),"n/m")</f>
        <v>0.0367080112309821</v>
      </c>
      <c r="CY257" s="48" t="n">
        <f aca="false">IFERROR(AVERAGE(C257,D257,E257,F257,G257,H257,I257,O257,U257,AA257,AG257,AM257,AS257,AY257,BE257,BK257,BQ257,BW257,CC257,CI257),"n/m")</f>
        <v>0.110851513727683</v>
      </c>
    </row>
    <row r="258" customFormat="false" ht="15" hidden="false" customHeight="true" outlineLevel="0" collapsed="false">
      <c r="B258" s="30" t="s">
        <v>433</v>
      </c>
      <c r="C258" s="58" t="n">
        <f aca="false">IFERROR(-(N(C229)+N(C230))/C101,"")</f>
        <v>3.41206632483186</v>
      </c>
      <c r="D258" s="58" t="n">
        <f aca="false">IFERROR(-(N(D229)+N(D230))/D101,"")</f>
        <v>5.83092135757326</v>
      </c>
      <c r="E258" s="58" t="n">
        <f aca="false">IFERROR(-(N(E229)+N(E230))/E101,"")</f>
        <v>5.85624293329026</v>
      </c>
      <c r="F258" s="58" t="n">
        <f aca="false">IFERROR(-(N(F229)+N(F230))/F101,"")</f>
        <v>4.9562671200529</v>
      </c>
      <c r="G258" s="58" t="n">
        <f aca="false">IFERROR(-(N(G229)+N(G230))/G101,"")</f>
        <v>1.64715838468252</v>
      </c>
      <c r="H258" s="58" t="n">
        <f aca="false">IFERROR(-(N(H229)+N(H230))/H101,"")</f>
        <v>1.81694491605357</v>
      </c>
      <c r="I258" s="58" t="n">
        <f aca="false">IFERROR(-(N(I229)+N(I230))/I101,"")</f>
        <v>1.51538723321503</v>
      </c>
      <c r="J258" s="58"/>
      <c r="K258" s="58"/>
      <c r="L258" s="58"/>
      <c r="M258" s="58"/>
      <c r="N258" s="58"/>
      <c r="O258" s="58" t="n">
        <f aca="false">IFERROR(-(N(O229)+N(O230))/O101,"")</f>
        <v>1.19126617375231</v>
      </c>
      <c r="P258" s="58"/>
      <c r="Q258" s="58"/>
      <c r="R258" s="58"/>
      <c r="S258" s="58"/>
      <c r="T258" s="58"/>
      <c r="U258" s="58" t="n">
        <f aca="false">IFERROR(-(N(U229)+N(U230))/U101,"")</f>
        <v>0.874012035207473</v>
      </c>
      <c r="V258" s="58"/>
      <c r="W258" s="58"/>
      <c r="X258" s="58"/>
      <c r="Y258" s="58"/>
      <c r="Z258" s="58"/>
      <c r="AA258" s="58" t="n">
        <f aca="false">IFERROR(-(N(AA229)+N(AA230))/AA101,"")</f>
        <v>0.733227065093262</v>
      </c>
      <c r="AB258" s="58"/>
      <c r="AC258" s="58"/>
      <c r="AD258" s="58"/>
      <c r="AE258" s="58"/>
      <c r="AF258" s="58"/>
      <c r="AG258" s="58" t="n">
        <f aca="false">IFERROR(-(N(AG229)+N(AG230))/AG101,"")</f>
        <v>0.892684956315313</v>
      </c>
      <c r="AH258" s="58"/>
      <c r="AI258" s="58"/>
      <c r="AJ258" s="58"/>
      <c r="AK258" s="58"/>
      <c r="AL258" s="58"/>
      <c r="AM258" s="58" t="n">
        <f aca="false">IFERROR(-(N(AM229)+N(AM230))/AM101,"")</f>
        <v>0.747637302159639</v>
      </c>
      <c r="AN258" s="58"/>
      <c r="AO258" s="58"/>
      <c r="AP258" s="58"/>
      <c r="AQ258" s="58"/>
      <c r="AR258" s="58"/>
      <c r="AS258" s="58" t="n">
        <f aca="false">IFERROR(-(N(AS229)+N(AS230))/AS101,"")</f>
        <v>0.645690095175188</v>
      </c>
      <c r="AT258" s="58"/>
      <c r="AU258" s="58"/>
      <c r="AV258" s="58"/>
      <c r="AW258" s="58"/>
      <c r="AX258" s="58"/>
      <c r="AY258" s="58" t="n">
        <f aca="false">IFERROR(-(N(AY229)+N(AY230))/AY101,"")</f>
        <v>0.581608771506787</v>
      </c>
      <c r="AZ258" s="58"/>
      <c r="BA258" s="58"/>
      <c r="BB258" s="58"/>
      <c r="BC258" s="58"/>
      <c r="BD258" s="58"/>
      <c r="BE258" s="58" t="n">
        <f aca="false">IFERROR(-(N(BE229)+N(BE230))/BE101,"")</f>
        <v>0.575753126626713</v>
      </c>
      <c r="BF258" s="58"/>
      <c r="BG258" s="58"/>
      <c r="BH258" s="58"/>
      <c r="BI258" s="58"/>
      <c r="BJ258" s="58"/>
      <c r="BK258" s="58" t="n">
        <f aca="false">IFERROR(-(N(BK229)+N(BK230))/BK101,"")</f>
        <v>0.494942484269931</v>
      </c>
      <c r="BL258" s="58"/>
      <c r="BM258" s="58"/>
      <c r="BN258" s="58"/>
      <c r="BO258" s="58"/>
      <c r="BP258" s="58"/>
      <c r="BQ258" s="58" t="n">
        <f aca="false">IFERROR(-(N(BQ229)+N(BQ230))/BQ101,"")</f>
        <v>0.741083835108847</v>
      </c>
      <c r="BR258" s="58"/>
      <c r="BS258" s="58"/>
      <c r="BT258" s="58"/>
      <c r="BU258" s="58"/>
      <c r="BV258" s="58"/>
      <c r="BW258" s="58" t="n">
        <f aca="false">IFERROR(-(N(BW229)+N(BW230))/BW101,"")</f>
        <v>0.982964224872232</v>
      </c>
      <c r="BX258" s="58"/>
      <c r="BY258" s="58"/>
      <c r="BZ258" s="58"/>
      <c r="CA258" s="58"/>
      <c r="CB258" s="58"/>
      <c r="CC258" s="58" t="n">
        <f aca="false">IFERROR(-(N(CC229)+N(CC230))/CC101,"")</f>
        <v>0.623087308730873</v>
      </c>
      <c r="CD258" s="58"/>
      <c r="CE258" s="58"/>
      <c r="CF258" s="58"/>
      <c r="CG258" s="58"/>
      <c r="CH258" s="58"/>
      <c r="CI258" s="58" t="n">
        <f aca="false">IFERROR(-(N(CI229)+N(CI230))/CI101,"")</f>
        <v>0.776789408357468</v>
      </c>
      <c r="CJ258" s="58"/>
      <c r="CK258" s="58"/>
      <c r="CL258" s="58" t="n">
        <f aca="false">IFERROR(-(N(CL229)+N(CL230))/CL101,"")</f>
        <v>0.715285880980163</v>
      </c>
      <c r="CM258" s="59"/>
      <c r="CN258" s="59"/>
      <c r="CO258" s="59" t="n">
        <f aca="false">IFERROR(-(CO229+CO230)/CO101,"")</f>
        <v>0.730435955629742</v>
      </c>
      <c r="CP258" s="59" t="n">
        <f aca="false">IFERROR(-(CP229+CP230)/CP101,"")</f>
        <v>0.823493447978472</v>
      </c>
      <c r="CQ258" s="59" t="n">
        <f aca="false">IFERROR(-(CQ229+CQ230)/CQ101,"")</f>
        <v>0.918726006350846</v>
      </c>
      <c r="CR258" s="59" t="n">
        <f aca="false">IFERROR(-(CR229+CR230)/CR101,"")</f>
        <v>0.950691570871209</v>
      </c>
      <c r="CS258" s="59" t="n">
        <f aca="false">IFERROR(-(CS229+CS230)/CS101,"")</f>
        <v>0.946395438790402</v>
      </c>
      <c r="CT258" s="23"/>
      <c r="CV258" s="7"/>
      <c r="CW258" s="7"/>
      <c r="CX258" s="7"/>
      <c r="CY258" s="7"/>
    </row>
    <row r="259" customFormat="false" ht="15" hidden="false" customHeight="true" outlineLevel="0" collapsed="false">
      <c r="B259" s="13"/>
      <c r="CM259" s="7"/>
      <c r="CN259" s="7"/>
      <c r="CO259" s="7"/>
      <c r="CP259" s="7"/>
      <c r="CQ259" s="7"/>
      <c r="CR259" s="7"/>
      <c r="CS259" s="7"/>
      <c r="CT259" s="7"/>
    </row>
    <row r="260" customFormat="false" ht="15" hidden="false" customHeight="true" outlineLevel="0" collapsed="false">
      <c r="B260" s="12" t="s">
        <v>434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</row>
    <row r="261" customFormat="false" ht="15" hidden="false" customHeight="true" outlineLevel="0" collapsed="false">
      <c r="B261" s="13" t="s">
        <v>435</v>
      </c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  <c r="CG261" s="53"/>
      <c r="CH261" s="53"/>
      <c r="CI261" s="53"/>
      <c r="CJ261" s="53"/>
      <c r="CK261" s="53"/>
      <c r="CL261" s="53"/>
      <c r="CM261" s="54"/>
      <c r="CN261" s="54"/>
      <c r="CO261" s="54" t="n">
        <f aca="false">CO381</f>
        <v>80</v>
      </c>
      <c r="CP261" s="54" t="n">
        <f aca="false">CO261*(1+CP337)</f>
        <v>85.6</v>
      </c>
      <c r="CQ261" s="54" t="n">
        <f aca="false">CP261*(1+CQ337)</f>
        <v>91.592</v>
      </c>
      <c r="CR261" s="54" t="n">
        <f aca="false">CQ261*(1+CR337)</f>
        <v>98.00344</v>
      </c>
      <c r="CS261" s="54" t="n">
        <f aca="false">CR261*(1+CS337)</f>
        <v>104.8636808</v>
      </c>
      <c r="CT261" s="23" t="s">
        <v>436</v>
      </c>
      <c r="CV261" s="7"/>
      <c r="CW261" s="7"/>
      <c r="CX261" s="7"/>
      <c r="CY261" s="7"/>
    </row>
    <row r="262" customFormat="false" ht="15" hidden="false" customHeight="true" outlineLevel="0" collapsed="false">
      <c r="B262" s="13" t="s">
        <v>437</v>
      </c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2"/>
      <c r="CN262" s="32"/>
      <c r="CO262" s="32" t="n">
        <f aca="false">-(CO240-CL240)</f>
        <v>200</v>
      </c>
      <c r="CP262" s="32" t="n">
        <f aca="false">-CP240</f>
        <v>400</v>
      </c>
      <c r="CQ262" s="32" t="n">
        <f aca="false">-CQ240</f>
        <v>400</v>
      </c>
      <c r="CR262" s="32" t="n">
        <f aca="false">-CR240</f>
        <v>450</v>
      </c>
      <c r="CS262" s="32" t="n">
        <f aca="false">-CS240</f>
        <v>500</v>
      </c>
      <c r="CT262" s="23" t="s">
        <v>438</v>
      </c>
      <c r="CV262" s="7"/>
      <c r="CW262" s="7"/>
      <c r="CX262" s="7"/>
      <c r="CY262" s="7"/>
    </row>
    <row r="263" customFormat="false" ht="15" hidden="false" customHeight="true" outlineLevel="0" collapsed="false">
      <c r="B263" s="13" t="s">
        <v>439</v>
      </c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8"/>
      <c r="CN263" s="28"/>
      <c r="CO263" s="28" t="n">
        <f aca="false">IFERROR(CO262/CO261,0)</f>
        <v>2.5</v>
      </c>
      <c r="CP263" s="28" t="n">
        <f aca="false">IFERROR(CP262/CP261,0)</f>
        <v>4.67289719626168</v>
      </c>
      <c r="CQ263" s="28" t="n">
        <f aca="false">IFERROR(CQ262/CQ261,0)</f>
        <v>4.36719364136606</v>
      </c>
      <c r="CR263" s="28" t="n">
        <f aca="false">IFERROR(CR262/CR261,0)</f>
        <v>4.59167555751104</v>
      </c>
      <c r="CS263" s="28" t="n">
        <f aca="false">IFERROR(CS262/CS261,0)</f>
        <v>4.76809507529703</v>
      </c>
      <c r="CT263" s="23"/>
      <c r="CV263" s="7"/>
      <c r="CW263" s="7"/>
      <c r="CX263" s="7"/>
      <c r="CY263" s="7"/>
    </row>
    <row r="264" customFormat="false" ht="15" hidden="false" customHeight="true" outlineLevel="0" collapsed="false">
      <c r="B264" s="13" t="s">
        <v>440</v>
      </c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8"/>
      <c r="CN264" s="28"/>
      <c r="CO264" s="60" t="n">
        <v>0.6</v>
      </c>
      <c r="CP264" s="60" t="n">
        <v>0.6</v>
      </c>
      <c r="CQ264" s="60" t="n">
        <v>0.6</v>
      </c>
      <c r="CR264" s="60" t="n">
        <v>0.6</v>
      </c>
      <c r="CS264" s="60" t="n">
        <v>0.6</v>
      </c>
      <c r="CT264" s="23"/>
      <c r="CV264" s="7"/>
      <c r="CW264" s="7"/>
      <c r="CX264" s="7"/>
      <c r="CY264" s="7"/>
    </row>
    <row r="265" customFormat="false" ht="15" hidden="false" customHeight="true" outlineLevel="0" collapsed="false">
      <c r="B265" s="13" t="s">
        <v>441</v>
      </c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8"/>
      <c r="CN265" s="28"/>
      <c r="CO265" s="28" t="n">
        <f aca="false">CL320</f>
        <v>185.1</v>
      </c>
      <c r="CP265" s="28" t="n">
        <f aca="false">CO266</f>
        <v>183.2</v>
      </c>
      <c r="CQ265" s="28" t="n">
        <f aca="false">CP266</f>
        <v>179.127102803738</v>
      </c>
      <c r="CR265" s="28" t="n">
        <f aca="false">CQ266</f>
        <v>175.359909162372</v>
      </c>
      <c r="CS265" s="28" t="n">
        <f aca="false">CR266</f>
        <v>171.368233604861</v>
      </c>
      <c r="CT265" s="23"/>
      <c r="CV265" s="7"/>
      <c r="CW265" s="7"/>
      <c r="CX265" s="7"/>
      <c r="CY265" s="7"/>
    </row>
    <row r="266" customFormat="false" ht="15" hidden="false" customHeight="true" outlineLevel="0" collapsed="false">
      <c r="B266" s="13" t="s">
        <v>442</v>
      </c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8"/>
      <c r="CN266" s="28"/>
      <c r="CO266" s="28" t="n">
        <f aca="false">CO265-CO263+CO264</f>
        <v>183.2</v>
      </c>
      <c r="CP266" s="28" t="n">
        <f aca="false">CP265-CP263+CP264</f>
        <v>179.127102803738</v>
      </c>
      <c r="CQ266" s="28" t="n">
        <f aca="false">CQ265-CQ263+CQ264</f>
        <v>175.359909162372</v>
      </c>
      <c r="CR266" s="28" t="n">
        <f aca="false">CR265-CR263+CR264</f>
        <v>171.368233604861</v>
      </c>
      <c r="CS266" s="28" t="n">
        <f aca="false">CS265-CS263+CS264</f>
        <v>167.200138529564</v>
      </c>
      <c r="CT266" s="23"/>
      <c r="CV266" s="7"/>
      <c r="CW266" s="7"/>
      <c r="CX266" s="7"/>
      <c r="CY266" s="7"/>
    </row>
    <row r="267" customFormat="false" ht="15" hidden="false" customHeight="true" outlineLevel="0" collapsed="false">
      <c r="B267" s="30" t="s">
        <v>443</v>
      </c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35"/>
      <c r="CN267" s="35"/>
      <c r="CO267" s="35" t="n">
        <f aca="false">IFERROR(CO263/CO265,"")</f>
        <v>0.0135062128579146</v>
      </c>
      <c r="CP267" s="35" t="n">
        <f aca="false">IFERROR(CP263/CP265,"")</f>
        <v>0.0255070807656205</v>
      </c>
      <c r="CQ267" s="35" t="n">
        <f aca="false">IFERROR(CQ263/CQ265,"")</f>
        <v>0.0243804179993409</v>
      </c>
      <c r="CR267" s="35" t="n">
        <f aca="false">IFERROR(CR263/CR265,"")</f>
        <v>0.0261842947994427</v>
      </c>
      <c r="CS267" s="35" t="n">
        <f aca="false">IFERROR(CS263/CS265,"")</f>
        <v>0.0278236810580148</v>
      </c>
      <c r="CT267" s="23"/>
      <c r="CV267" s="7"/>
      <c r="CW267" s="7"/>
      <c r="CX267" s="7"/>
      <c r="CY267" s="7"/>
    </row>
    <row r="268" customFormat="false" ht="15" hidden="false" customHeight="true" outlineLevel="0" collapsed="false">
      <c r="B268" s="39" t="s">
        <v>444</v>
      </c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8"/>
      <c r="CN268" s="28"/>
      <c r="CO268" s="28" t="n">
        <f aca="false">CO263</f>
        <v>2.5</v>
      </c>
      <c r="CP268" s="28" t="n">
        <f aca="false">CO268+CP263</f>
        <v>7.17289719626168</v>
      </c>
      <c r="CQ268" s="28" t="n">
        <f aca="false">CP268+CQ263</f>
        <v>11.5400908376277</v>
      </c>
      <c r="CR268" s="28" t="n">
        <f aca="false">CQ268+CR263</f>
        <v>16.1317663951388</v>
      </c>
      <c r="CS268" s="28" t="n">
        <f aca="false">CR268+CS263</f>
        <v>20.8998614704358</v>
      </c>
      <c r="CT268" s="23"/>
      <c r="CV268" s="7"/>
      <c r="CW268" s="7"/>
      <c r="CX268" s="7"/>
      <c r="CY268" s="7"/>
    </row>
    <row r="269" customFormat="false" ht="15" hidden="false" customHeight="true" outlineLevel="0" collapsed="false">
      <c r="B269" s="13"/>
      <c r="CM269" s="7"/>
      <c r="CN269" s="7"/>
      <c r="CO269" s="7"/>
      <c r="CP269" s="7"/>
      <c r="CQ269" s="7"/>
      <c r="CR269" s="7"/>
      <c r="CS269" s="7"/>
      <c r="CT269" s="7"/>
    </row>
    <row r="270" customFormat="false" ht="15" hidden="false" customHeight="true" outlineLevel="0" collapsed="false">
      <c r="B270" s="12" t="s">
        <v>445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 t="s">
        <v>446</v>
      </c>
    </row>
    <row r="271" customFormat="false" ht="15" hidden="false" customHeight="true" outlineLevel="0" collapsed="false">
      <c r="B271" s="13"/>
      <c r="CM271" s="7"/>
      <c r="CN271" s="7"/>
      <c r="CO271" s="7"/>
      <c r="CP271" s="7"/>
      <c r="CQ271" s="7"/>
      <c r="CR271" s="7"/>
      <c r="CS271" s="7"/>
      <c r="CT271" s="7"/>
    </row>
    <row r="272" customFormat="false" ht="15" hidden="false" customHeight="true" outlineLevel="0" collapsed="false">
      <c r="B272" s="13" t="s">
        <v>447</v>
      </c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2"/>
      <c r="CN272" s="32"/>
      <c r="CO272" s="32"/>
      <c r="CP272" s="32"/>
      <c r="CQ272" s="32"/>
      <c r="CR272" s="32"/>
      <c r="CS272" s="32"/>
      <c r="CT272" s="23"/>
      <c r="CV272" s="7"/>
      <c r="CW272" s="7"/>
      <c r="CX272" s="7"/>
      <c r="CY272" s="7"/>
    </row>
    <row r="273" customFormat="false" ht="15" hidden="false" customHeight="true" outlineLevel="0" collapsed="false">
      <c r="B273" s="13" t="s">
        <v>448</v>
      </c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2"/>
      <c r="CN273" s="32"/>
      <c r="CO273" s="32"/>
      <c r="CP273" s="32"/>
      <c r="CQ273" s="32"/>
      <c r="CR273" s="32"/>
      <c r="CS273" s="32"/>
      <c r="CT273" s="23"/>
      <c r="CV273" s="7"/>
      <c r="CW273" s="7"/>
      <c r="CX273" s="7"/>
      <c r="CY273" s="7"/>
    </row>
    <row r="274" customFormat="false" ht="15" hidden="false" customHeight="true" outlineLevel="0" collapsed="false">
      <c r="B274" s="13" t="s">
        <v>449</v>
      </c>
      <c r="C274" s="40" t="n">
        <v>172.021</v>
      </c>
      <c r="D274" s="40" t="n">
        <v>150.315</v>
      </c>
      <c r="E274" s="40" t="n">
        <v>107.275</v>
      </c>
      <c r="F274" s="40" t="n">
        <v>122.596</v>
      </c>
      <c r="G274" s="40" t="n">
        <v>68.185</v>
      </c>
      <c r="H274" s="40" t="n">
        <v>109.323</v>
      </c>
      <c r="I274" s="40" t="n">
        <v>178.051</v>
      </c>
      <c r="J274" s="31"/>
      <c r="K274" s="31"/>
      <c r="L274" s="31"/>
      <c r="M274" s="31"/>
      <c r="N274" s="31"/>
      <c r="O274" s="40" t="n">
        <v>234.361</v>
      </c>
      <c r="P274" s="31"/>
      <c r="Q274" s="31"/>
      <c r="R274" s="31"/>
      <c r="S274" s="31"/>
      <c r="T274" s="31"/>
      <c r="U274" s="40" t="n">
        <v>139.815</v>
      </c>
      <c r="V274" s="31"/>
      <c r="W274" s="31"/>
      <c r="X274" s="31"/>
      <c r="Y274" s="31"/>
      <c r="Z274" s="31"/>
      <c r="AA274" s="40" t="n">
        <v>210.148</v>
      </c>
      <c r="AB274" s="31"/>
      <c r="AC274" s="31"/>
      <c r="AD274" s="31"/>
      <c r="AE274" s="31"/>
      <c r="AF274" s="31"/>
      <c r="AG274" s="40" t="n">
        <v>207.867</v>
      </c>
      <c r="AH274" s="31"/>
      <c r="AI274" s="31"/>
      <c r="AJ274" s="31"/>
      <c r="AK274" s="31"/>
      <c r="AL274" s="31"/>
      <c r="AM274" s="40" t="n">
        <v>267.91</v>
      </c>
      <c r="AN274" s="31"/>
      <c r="AO274" s="31"/>
      <c r="AP274" s="31"/>
      <c r="AQ274" s="31"/>
      <c r="AR274" s="31"/>
      <c r="AS274" s="40" t="n">
        <v>237.744</v>
      </c>
      <c r="AT274" s="31"/>
      <c r="AU274" s="31"/>
      <c r="AV274" s="31"/>
      <c r="AW274" s="31"/>
      <c r="AX274" s="31"/>
      <c r="AY274" s="40" t="n">
        <v>359.671</v>
      </c>
      <c r="AZ274" s="31"/>
      <c r="BA274" s="31"/>
      <c r="BB274" s="31"/>
      <c r="BC274" s="31"/>
      <c r="BD274" s="31"/>
      <c r="BE274" s="40" t="n">
        <v>278.766</v>
      </c>
      <c r="BF274" s="31"/>
      <c r="BG274" s="31"/>
      <c r="BH274" s="31"/>
      <c r="BI274" s="31"/>
      <c r="BJ274" s="31"/>
      <c r="BK274" s="40" t="n">
        <v>326.113</v>
      </c>
      <c r="BL274" s="31"/>
      <c r="BM274" s="31"/>
      <c r="BN274" s="31"/>
      <c r="BO274" s="31"/>
      <c r="BP274" s="31"/>
      <c r="BQ274" s="40" t="n">
        <v>494.3</v>
      </c>
      <c r="BR274" s="31"/>
      <c r="BS274" s="31"/>
      <c r="BT274" s="31"/>
      <c r="BU274" s="31"/>
      <c r="BV274" s="31"/>
      <c r="BW274" s="40" t="n">
        <v>576.2</v>
      </c>
      <c r="BX274" s="31"/>
      <c r="BY274" s="31"/>
      <c r="BZ274" s="31"/>
      <c r="CA274" s="31"/>
      <c r="CB274" s="31"/>
      <c r="CC274" s="40" t="n">
        <v>533.9</v>
      </c>
      <c r="CD274" s="31"/>
      <c r="CE274" s="31"/>
      <c r="CF274" s="31"/>
      <c r="CG274" s="31"/>
      <c r="CH274" s="31"/>
      <c r="CI274" s="40" t="n">
        <v>531.5</v>
      </c>
      <c r="CJ274" s="31"/>
      <c r="CK274" s="31"/>
      <c r="CL274" s="40" t="n">
        <v>524.9</v>
      </c>
      <c r="CM274" s="32"/>
      <c r="CN274" s="32"/>
      <c r="CO274" s="32" t="n">
        <f aca="false">CO248-CO275</f>
        <v>632.888084506366</v>
      </c>
      <c r="CP274" s="32" t="n">
        <f aca="false">CP248-CP275</f>
        <v>681.155872993351</v>
      </c>
      <c r="CQ274" s="32" t="n">
        <f aca="false">CQ248-CQ275</f>
        <v>804.404968100612</v>
      </c>
      <c r="CR274" s="32" t="n">
        <f aca="false">CR248-CR275</f>
        <v>954.67700913278</v>
      </c>
      <c r="CS274" s="32" t="n">
        <f aca="false">CS248-CS275</f>
        <v>1140.94865716562</v>
      </c>
      <c r="CT274" s="23" t="s">
        <v>450</v>
      </c>
      <c r="CV274" s="7"/>
      <c r="CW274" s="7"/>
      <c r="CX274" s="7"/>
      <c r="CY274" s="7"/>
    </row>
    <row r="275" customFormat="false" ht="15" hidden="false" customHeight="true" outlineLevel="0" collapsed="false">
      <c r="B275" s="13" t="s">
        <v>451</v>
      </c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40" t="n">
        <v>93.274</v>
      </c>
      <c r="V275" s="31"/>
      <c r="W275" s="31"/>
      <c r="X275" s="31"/>
      <c r="Y275" s="31"/>
      <c r="Z275" s="31"/>
      <c r="AA275" s="40" t="n">
        <v>83.098</v>
      </c>
      <c r="AB275" s="31"/>
      <c r="AC275" s="31"/>
      <c r="AD275" s="31"/>
      <c r="AE275" s="31"/>
      <c r="AF275" s="31"/>
      <c r="AG275" s="40" t="n">
        <v>50.222</v>
      </c>
      <c r="AH275" s="31"/>
      <c r="AI275" s="31"/>
      <c r="AJ275" s="31"/>
      <c r="AK275" s="31"/>
      <c r="AL275" s="31"/>
      <c r="AM275" s="40" t="n">
        <v>63.206</v>
      </c>
      <c r="AN275" s="31"/>
      <c r="AO275" s="31"/>
      <c r="AP275" s="31"/>
      <c r="AQ275" s="31"/>
      <c r="AR275" s="31"/>
      <c r="AS275" s="40" t="n">
        <v>67.823</v>
      </c>
      <c r="AT275" s="31"/>
      <c r="AU275" s="31"/>
      <c r="AV275" s="31"/>
      <c r="AW275" s="31"/>
      <c r="AX275" s="31"/>
      <c r="AY275" s="40" t="n">
        <v>60.585</v>
      </c>
      <c r="AZ275" s="31"/>
      <c r="BA275" s="31"/>
      <c r="BB275" s="31"/>
      <c r="BC275" s="31"/>
      <c r="BD275" s="31"/>
      <c r="BE275" s="40" t="n">
        <v>28.129</v>
      </c>
      <c r="BF275" s="31"/>
      <c r="BG275" s="31"/>
      <c r="BH275" s="31"/>
      <c r="BI275" s="31"/>
      <c r="BJ275" s="31"/>
      <c r="BK275" s="40" t="n">
        <v>102.875</v>
      </c>
      <c r="BL275" s="31"/>
      <c r="BM275" s="31"/>
      <c r="BN275" s="31"/>
      <c r="BO275" s="31"/>
      <c r="BP275" s="31"/>
      <c r="BQ275" s="40" t="n">
        <v>131.6</v>
      </c>
      <c r="BR275" s="31"/>
      <c r="BS275" s="31"/>
      <c r="BT275" s="31"/>
      <c r="BU275" s="31"/>
      <c r="BV275" s="31"/>
      <c r="BW275" s="40" t="n">
        <v>171.7</v>
      </c>
      <c r="BX275" s="31"/>
      <c r="BY275" s="31"/>
      <c r="BZ275" s="31"/>
      <c r="CA275" s="31"/>
      <c r="CB275" s="31"/>
      <c r="CC275" s="40" t="n">
        <v>174.9</v>
      </c>
      <c r="CD275" s="31"/>
      <c r="CE275" s="31"/>
      <c r="CF275" s="31"/>
      <c r="CG275" s="31"/>
      <c r="CH275" s="31"/>
      <c r="CI275" s="40" t="n">
        <v>163.3</v>
      </c>
      <c r="CJ275" s="31"/>
      <c r="CK275" s="31"/>
      <c r="CL275" s="40" t="n">
        <v>130.8</v>
      </c>
      <c r="CM275" s="32"/>
      <c r="CN275" s="32"/>
      <c r="CO275" s="32" t="n">
        <f aca="false">CI275</f>
        <v>163.3</v>
      </c>
      <c r="CP275" s="32" t="n">
        <f aca="false">CO275</f>
        <v>163.3</v>
      </c>
      <c r="CQ275" s="32" t="n">
        <f aca="false">CP275</f>
        <v>163.3</v>
      </c>
      <c r="CR275" s="32" t="n">
        <f aca="false">CQ275</f>
        <v>163.3</v>
      </c>
      <c r="CS275" s="32" t="n">
        <f aca="false">CR275</f>
        <v>163.3</v>
      </c>
      <c r="CT275" s="23"/>
      <c r="CV275" s="7"/>
      <c r="CW275" s="7"/>
      <c r="CX275" s="7"/>
      <c r="CY275" s="7"/>
    </row>
    <row r="276" customFormat="false" ht="15" hidden="false" customHeight="true" outlineLevel="0" collapsed="false">
      <c r="B276" s="13" t="s">
        <v>452</v>
      </c>
      <c r="C276" s="40" t="n">
        <v>36.682</v>
      </c>
      <c r="D276" s="40" t="n">
        <v>67.716</v>
      </c>
      <c r="E276" s="40" t="n">
        <v>60.375</v>
      </c>
      <c r="F276" s="40" t="n">
        <v>51.963</v>
      </c>
      <c r="G276" s="40" t="n">
        <v>59.818</v>
      </c>
      <c r="H276" s="40" t="n">
        <v>60.98</v>
      </c>
      <c r="I276" s="40" t="n">
        <v>76.066</v>
      </c>
      <c r="J276" s="31"/>
      <c r="K276" s="31"/>
      <c r="L276" s="31"/>
      <c r="M276" s="31"/>
      <c r="N276" s="31"/>
      <c r="O276" s="40" t="n">
        <v>85.873</v>
      </c>
      <c r="P276" s="31"/>
      <c r="Q276" s="31"/>
      <c r="R276" s="31"/>
      <c r="S276" s="31"/>
      <c r="T276" s="31"/>
      <c r="U276" s="40" t="n">
        <v>76.062</v>
      </c>
      <c r="V276" s="31"/>
      <c r="W276" s="31"/>
      <c r="X276" s="31"/>
      <c r="Y276" s="31"/>
      <c r="Z276" s="31"/>
      <c r="AA276" s="40" t="n">
        <v>59.412</v>
      </c>
      <c r="AB276" s="31"/>
      <c r="AC276" s="31"/>
      <c r="AD276" s="31"/>
      <c r="AE276" s="31"/>
      <c r="AF276" s="31"/>
      <c r="AG276" s="40" t="n">
        <v>52.979</v>
      </c>
      <c r="AH276" s="31"/>
      <c r="AI276" s="31"/>
      <c r="AJ276" s="31"/>
      <c r="AK276" s="31"/>
      <c r="AL276" s="31"/>
      <c r="AM276" s="40" t="n">
        <v>92.105</v>
      </c>
      <c r="AN276" s="31"/>
      <c r="AO276" s="31"/>
      <c r="AP276" s="31"/>
      <c r="AQ276" s="31"/>
      <c r="AR276" s="31"/>
      <c r="AS276" s="40" t="n">
        <v>129.257</v>
      </c>
      <c r="AT276" s="31"/>
      <c r="AU276" s="31"/>
      <c r="AV276" s="31"/>
      <c r="AW276" s="31"/>
      <c r="AX276" s="31"/>
      <c r="AY276" s="40" t="n">
        <v>137.402</v>
      </c>
      <c r="AZ276" s="31"/>
      <c r="BA276" s="31"/>
      <c r="BB276" s="31"/>
      <c r="BC276" s="31"/>
      <c r="BD276" s="31"/>
      <c r="BE276" s="40" t="n">
        <v>129.534</v>
      </c>
      <c r="BF276" s="31"/>
      <c r="BG276" s="31"/>
      <c r="BH276" s="31"/>
      <c r="BI276" s="31"/>
      <c r="BJ276" s="31"/>
      <c r="BK276" s="40" t="n">
        <v>146.499</v>
      </c>
      <c r="BL276" s="31"/>
      <c r="BM276" s="31"/>
      <c r="BN276" s="31"/>
      <c r="BO276" s="31"/>
      <c r="BP276" s="31"/>
      <c r="BQ276" s="40" t="n">
        <v>183.2</v>
      </c>
      <c r="BR276" s="31"/>
      <c r="BS276" s="31"/>
      <c r="BT276" s="31"/>
      <c r="BU276" s="31"/>
      <c r="BV276" s="31"/>
      <c r="BW276" s="40" t="n">
        <v>731.5</v>
      </c>
      <c r="BX276" s="31"/>
      <c r="BY276" s="31"/>
      <c r="BZ276" s="31"/>
      <c r="CA276" s="31"/>
      <c r="CB276" s="31"/>
      <c r="CC276" s="40" t="n">
        <v>709.4</v>
      </c>
      <c r="CD276" s="31"/>
      <c r="CE276" s="31"/>
      <c r="CF276" s="31"/>
      <c r="CG276" s="31"/>
      <c r="CH276" s="31"/>
      <c r="CI276" s="40" t="n">
        <v>706.3</v>
      </c>
      <c r="CJ276" s="31"/>
      <c r="CK276" s="31"/>
      <c r="CL276" s="40" t="n">
        <v>854.4</v>
      </c>
      <c r="CM276" s="32"/>
      <c r="CN276" s="32"/>
      <c r="CO276" s="32" t="n">
        <f aca="false">CO39*CO322/365</f>
        <v>781.242301369863</v>
      </c>
      <c r="CP276" s="32" t="n">
        <f aca="false">CP39*CP322/365</f>
        <v>823.802875135223</v>
      </c>
      <c r="CQ276" s="32" t="n">
        <f aca="false">CQ39*CQ322/365</f>
        <v>863.138835782645</v>
      </c>
      <c r="CR276" s="32" t="n">
        <f aca="false">CR39*CR322/365</f>
        <v>900.16531195211</v>
      </c>
      <c r="CS276" s="32" t="n">
        <f aca="false">CS39*CS322/365</f>
        <v>938.786617190656</v>
      </c>
      <c r="CT276" s="23" t="s">
        <v>453</v>
      </c>
      <c r="CV276" s="7"/>
      <c r="CW276" s="7"/>
      <c r="CX276" s="7"/>
      <c r="CY276" s="7"/>
    </row>
    <row r="277" customFormat="false" ht="15" hidden="false" customHeight="true" outlineLevel="0" collapsed="false">
      <c r="B277" s="13" t="s">
        <v>454</v>
      </c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40" t="n">
        <v>0</v>
      </c>
      <c r="BR277" s="31"/>
      <c r="BS277" s="31"/>
      <c r="BT277" s="31"/>
      <c r="BU277" s="31"/>
      <c r="BV277" s="31"/>
      <c r="BW277" s="40" t="n">
        <v>66.9</v>
      </c>
      <c r="BX277" s="31"/>
      <c r="BY277" s="31"/>
      <c r="BZ277" s="31"/>
      <c r="CA277" s="31"/>
      <c r="CB277" s="31"/>
      <c r="CC277" s="40" t="n">
        <v>67.9</v>
      </c>
      <c r="CD277" s="31"/>
      <c r="CE277" s="31"/>
      <c r="CF277" s="31"/>
      <c r="CG277" s="31"/>
      <c r="CH277" s="31"/>
      <c r="CI277" s="40" t="n">
        <v>62.4</v>
      </c>
      <c r="CJ277" s="31"/>
      <c r="CK277" s="31"/>
      <c r="CL277" s="40" t="n">
        <v>66.1</v>
      </c>
      <c r="CM277" s="32"/>
      <c r="CN277" s="32"/>
      <c r="CO277" s="32" t="n">
        <f aca="false">CO11*CI277/CI11</f>
        <v>67.2551569842161</v>
      </c>
      <c r="CP277" s="32" t="n">
        <f aca="false">CP11*CO277/CO11</f>
        <v>70.6179148334269</v>
      </c>
      <c r="CQ277" s="32" t="n">
        <f aca="false">CQ11*CP277/CP11</f>
        <v>74.1488105750983</v>
      </c>
      <c r="CR277" s="32" t="n">
        <f aca="false">CR11*CQ277/CQ11</f>
        <v>77.4855070509777</v>
      </c>
      <c r="CS277" s="32" t="n">
        <f aca="false">CS11*CR277/CR11</f>
        <v>80.9723548682717</v>
      </c>
      <c r="CT277" s="23" t="s">
        <v>455</v>
      </c>
      <c r="CV277" s="7"/>
      <c r="CW277" s="7"/>
      <c r="CX277" s="7"/>
      <c r="CY277" s="7"/>
    </row>
    <row r="278" customFormat="false" ht="15" hidden="false" customHeight="true" outlineLevel="0" collapsed="false">
      <c r="B278" s="13" t="s">
        <v>456</v>
      </c>
      <c r="C278" s="40" t="n">
        <v>5.614</v>
      </c>
      <c r="D278" s="40" t="n">
        <v>6.031</v>
      </c>
      <c r="E278" s="40" t="n">
        <v>9.711</v>
      </c>
      <c r="F278" s="40" t="n">
        <v>6.64</v>
      </c>
      <c r="G278" s="40" t="n">
        <v>26.533</v>
      </c>
      <c r="H278" s="40" t="n">
        <v>49.212</v>
      </c>
      <c r="I278" s="40" t="n">
        <v>60.947</v>
      </c>
      <c r="J278" s="31"/>
      <c r="K278" s="31"/>
      <c r="L278" s="31"/>
      <c r="M278" s="31"/>
      <c r="N278" s="31"/>
      <c r="O278" s="40" t="n">
        <v>52.419</v>
      </c>
      <c r="P278" s="31"/>
      <c r="Q278" s="31"/>
      <c r="R278" s="31"/>
      <c r="S278" s="31"/>
      <c r="T278" s="31"/>
      <c r="U278" s="40" t="n">
        <v>42.75</v>
      </c>
      <c r="V278" s="31"/>
      <c r="W278" s="31"/>
      <c r="X278" s="31"/>
      <c r="Y278" s="31"/>
      <c r="Z278" s="31"/>
      <c r="AA278" s="40" t="n">
        <v>58.463</v>
      </c>
      <c r="AB278" s="31"/>
      <c r="AC278" s="31"/>
      <c r="AD278" s="31"/>
      <c r="AE278" s="31"/>
      <c r="AF278" s="31"/>
      <c r="AG278" s="40" t="n">
        <v>28.491</v>
      </c>
      <c r="AH278" s="31"/>
      <c r="AI278" s="31"/>
      <c r="AJ278" s="31"/>
      <c r="AK278" s="31"/>
      <c r="AL278" s="31"/>
      <c r="AM278" s="40" t="n">
        <v>38.238</v>
      </c>
      <c r="AN278" s="31"/>
      <c r="AO278" s="31"/>
      <c r="AP278" s="31"/>
      <c r="AQ278" s="31"/>
      <c r="AR278" s="31"/>
      <c r="AS278" s="40" t="n">
        <v>113.294</v>
      </c>
      <c r="AT278" s="31"/>
      <c r="AU278" s="31"/>
      <c r="AV278" s="31"/>
      <c r="AW278" s="31"/>
      <c r="AX278" s="31"/>
      <c r="AY278" s="40" t="n">
        <v>64.956</v>
      </c>
      <c r="AZ278" s="31"/>
      <c r="BA278" s="31"/>
      <c r="BB278" s="31"/>
      <c r="BC278" s="31"/>
      <c r="BD278" s="31"/>
      <c r="BE278" s="40" t="n">
        <v>86.278</v>
      </c>
      <c r="BF278" s="31"/>
      <c r="BG278" s="31"/>
      <c r="BH278" s="31"/>
      <c r="BI278" s="31"/>
      <c r="BJ278" s="31"/>
      <c r="BK278" s="40" t="n">
        <v>102.494</v>
      </c>
      <c r="BL278" s="31"/>
      <c r="BM278" s="31"/>
      <c r="BN278" s="31"/>
      <c r="BO278" s="31"/>
      <c r="BP278" s="31"/>
      <c r="BQ278" s="40" t="n">
        <v>103.1</v>
      </c>
      <c r="BR278" s="31"/>
      <c r="BS278" s="31"/>
      <c r="BT278" s="31"/>
      <c r="BU278" s="31"/>
      <c r="BV278" s="31"/>
      <c r="BW278" s="40" t="n">
        <v>166.5</v>
      </c>
      <c r="BX278" s="31"/>
      <c r="BY278" s="31"/>
      <c r="BZ278" s="31"/>
      <c r="CA278" s="31"/>
      <c r="CB278" s="31"/>
      <c r="CC278" s="40" t="n">
        <v>121.5</v>
      </c>
      <c r="CD278" s="31"/>
      <c r="CE278" s="31"/>
      <c r="CF278" s="31"/>
      <c r="CG278" s="31"/>
      <c r="CH278" s="31"/>
      <c r="CI278" s="40" t="n">
        <v>139.8</v>
      </c>
      <c r="CJ278" s="31"/>
      <c r="CK278" s="31"/>
      <c r="CL278" s="40" t="n">
        <v>137.9</v>
      </c>
      <c r="CM278" s="32"/>
      <c r="CN278" s="32"/>
      <c r="CO278" s="32" t="n">
        <f aca="false">CO98*CO324/365</f>
        <v>158.25392775018</v>
      </c>
      <c r="CP278" s="32" t="n">
        <f aca="false">CP98*CP324/365</f>
        <v>172.380751622045</v>
      </c>
      <c r="CQ278" s="32" t="n">
        <f aca="false">CQ98*CQ324/365</f>
        <v>180.611801387518</v>
      </c>
      <c r="CR278" s="32" t="n">
        <f aca="false">CR98*CR324/365</f>
        <v>188.359591525979</v>
      </c>
      <c r="CS278" s="32" t="n">
        <f aca="false">CS98*CS324/365</f>
        <v>196.441099647145</v>
      </c>
      <c r="CT278" s="23"/>
      <c r="CV278" s="7"/>
      <c r="CW278" s="7"/>
      <c r="CX278" s="7"/>
      <c r="CY278" s="7"/>
    </row>
    <row r="279" customFormat="false" ht="15" hidden="false" customHeight="true" outlineLevel="0" collapsed="false">
      <c r="B279" s="13" t="s">
        <v>457</v>
      </c>
      <c r="C279" s="40" t="n">
        <v>1.474</v>
      </c>
      <c r="D279" s="40" t="n">
        <v>0.658</v>
      </c>
      <c r="E279" s="40" t="n">
        <v>0.285</v>
      </c>
      <c r="F279" s="40" t="n">
        <v>4.574</v>
      </c>
      <c r="G279" s="40" t="n">
        <v>2.379</v>
      </c>
      <c r="H279" s="40" t="n">
        <v>11.784</v>
      </c>
      <c r="I279" s="40" t="n">
        <v>6.816</v>
      </c>
      <c r="J279" s="31"/>
      <c r="K279" s="31"/>
      <c r="L279" s="31"/>
      <c r="M279" s="31"/>
      <c r="N279" s="31"/>
      <c r="O279" s="40" t="n">
        <v>12.203</v>
      </c>
      <c r="P279" s="31"/>
      <c r="Q279" s="31"/>
      <c r="R279" s="31"/>
      <c r="S279" s="31"/>
      <c r="T279" s="31"/>
      <c r="U279" s="40" t="n">
        <v>26.18</v>
      </c>
      <c r="V279" s="31"/>
      <c r="W279" s="31"/>
      <c r="X279" s="31"/>
      <c r="Y279" s="31"/>
      <c r="Z279" s="31"/>
      <c r="AA279" s="40" t="n">
        <v>4.797</v>
      </c>
      <c r="AB279" s="31"/>
      <c r="AC279" s="31"/>
      <c r="AD279" s="31"/>
      <c r="AE279" s="31"/>
      <c r="AF279" s="31"/>
      <c r="AG279" s="40" t="n">
        <v>5.621</v>
      </c>
      <c r="AH279" s="31"/>
      <c r="AI279" s="31"/>
      <c r="AJ279" s="31"/>
      <c r="AK279" s="31"/>
      <c r="AL279" s="31"/>
      <c r="AM279" s="40" t="n">
        <v>7.336</v>
      </c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2"/>
      <c r="CN279" s="32"/>
      <c r="CO279" s="32" t="n">
        <f aca="false">CI279</f>
        <v>0</v>
      </c>
      <c r="CP279" s="32" t="n">
        <f aca="false">CO279</f>
        <v>0</v>
      </c>
      <c r="CQ279" s="32" t="n">
        <f aca="false">CP279</f>
        <v>0</v>
      </c>
      <c r="CR279" s="32" t="n">
        <f aca="false">CQ279</f>
        <v>0</v>
      </c>
      <c r="CS279" s="32" t="n">
        <f aca="false">CR279</f>
        <v>0</v>
      </c>
      <c r="CT279" s="23"/>
      <c r="CV279" s="7"/>
      <c r="CW279" s="7"/>
      <c r="CX279" s="7"/>
      <c r="CY279" s="7"/>
    </row>
    <row r="280" customFormat="false" ht="15" hidden="false" customHeight="true" outlineLevel="0" collapsed="false">
      <c r="B280" s="13" t="s">
        <v>458</v>
      </c>
      <c r="C280" s="40" t="n">
        <v>3.212</v>
      </c>
      <c r="D280" s="40" t="n">
        <v>5.921</v>
      </c>
      <c r="E280" s="40" t="n">
        <v>2.674</v>
      </c>
      <c r="F280" s="40" t="n">
        <v>3.824</v>
      </c>
      <c r="G280" s="40" t="n">
        <v>14.635</v>
      </c>
      <c r="H280" s="40" t="n">
        <v>12.426</v>
      </c>
      <c r="I280" s="40" t="n">
        <v>7.764</v>
      </c>
      <c r="J280" s="31"/>
      <c r="K280" s="31"/>
      <c r="L280" s="31"/>
      <c r="M280" s="31"/>
      <c r="N280" s="31"/>
      <c r="O280" s="40" t="n">
        <v>2.279</v>
      </c>
      <c r="P280" s="31"/>
      <c r="Q280" s="31"/>
      <c r="R280" s="31"/>
      <c r="S280" s="31"/>
      <c r="T280" s="31"/>
      <c r="U280" s="40" t="n">
        <v>3.237</v>
      </c>
      <c r="V280" s="31"/>
      <c r="W280" s="31"/>
      <c r="X280" s="31"/>
      <c r="Y280" s="31"/>
      <c r="Z280" s="31"/>
      <c r="AA280" s="40" t="n">
        <v>2.495</v>
      </c>
      <c r="AB280" s="31"/>
      <c r="AC280" s="31"/>
      <c r="AD280" s="31"/>
      <c r="AE280" s="31"/>
      <c r="AF280" s="31"/>
      <c r="AG280" s="40" t="n">
        <v>13.181</v>
      </c>
      <c r="AH280" s="31"/>
      <c r="AI280" s="31"/>
      <c r="AJ280" s="31"/>
      <c r="AK280" s="31"/>
      <c r="AL280" s="31"/>
      <c r="AM280" s="40" t="n">
        <v>19.418</v>
      </c>
      <c r="AN280" s="31"/>
      <c r="AO280" s="31"/>
      <c r="AP280" s="31"/>
      <c r="AQ280" s="31"/>
      <c r="AR280" s="31"/>
      <c r="AS280" s="40" t="n">
        <v>6.365</v>
      </c>
      <c r="AT280" s="31"/>
      <c r="AU280" s="31"/>
      <c r="AV280" s="31"/>
      <c r="AW280" s="31"/>
      <c r="AX280" s="31"/>
      <c r="AY280" s="40" t="n">
        <v>6.81</v>
      </c>
      <c r="AZ280" s="31"/>
      <c r="BA280" s="31"/>
      <c r="BB280" s="31"/>
      <c r="BC280" s="31"/>
      <c r="BD280" s="31"/>
      <c r="BE280" s="40" t="n">
        <v>6.797</v>
      </c>
      <c r="BF280" s="31"/>
      <c r="BG280" s="31"/>
      <c r="BH280" s="31"/>
      <c r="BI280" s="31"/>
      <c r="BJ280" s="31"/>
      <c r="BK280" s="40" t="n">
        <v>19.895</v>
      </c>
      <c r="BL280" s="31"/>
      <c r="BM280" s="31"/>
      <c r="BN280" s="31"/>
      <c r="BO280" s="31"/>
      <c r="BP280" s="31"/>
      <c r="BQ280" s="40" t="n">
        <v>2.6</v>
      </c>
      <c r="BR280" s="31"/>
      <c r="BS280" s="31"/>
      <c r="BT280" s="31"/>
      <c r="BU280" s="31"/>
      <c r="BV280" s="31"/>
      <c r="BW280" s="40" t="n">
        <v>10</v>
      </c>
      <c r="BX280" s="31"/>
      <c r="BY280" s="31"/>
      <c r="BZ280" s="31"/>
      <c r="CA280" s="31"/>
      <c r="CB280" s="31"/>
      <c r="CC280" s="40" t="n">
        <v>30.2</v>
      </c>
      <c r="CD280" s="31"/>
      <c r="CE280" s="31"/>
      <c r="CF280" s="31"/>
      <c r="CG280" s="31"/>
      <c r="CH280" s="31"/>
      <c r="CI280" s="40" t="n">
        <v>73.7</v>
      </c>
      <c r="CJ280" s="31"/>
      <c r="CK280" s="31"/>
      <c r="CL280" s="40" t="n">
        <v>78.7</v>
      </c>
      <c r="CM280" s="32"/>
      <c r="CN280" s="32"/>
      <c r="CO280" s="32" t="n">
        <f aca="false">CI280</f>
        <v>73.7</v>
      </c>
      <c r="CP280" s="32" t="n">
        <f aca="false">CO280</f>
        <v>73.7</v>
      </c>
      <c r="CQ280" s="32" t="n">
        <f aca="false">CP280</f>
        <v>73.7</v>
      </c>
      <c r="CR280" s="32" t="n">
        <f aca="false">CQ280</f>
        <v>73.7</v>
      </c>
      <c r="CS280" s="32" t="n">
        <f aca="false">CR280</f>
        <v>73.7</v>
      </c>
      <c r="CT280" s="23"/>
      <c r="CV280" s="7"/>
      <c r="CW280" s="7"/>
      <c r="CX280" s="7"/>
      <c r="CY280" s="7"/>
    </row>
    <row r="281" customFormat="false" ht="15" hidden="false" customHeight="true" outlineLevel="0" collapsed="false">
      <c r="B281" s="13" t="s">
        <v>459</v>
      </c>
      <c r="C281" s="40" t="n">
        <v>9.064</v>
      </c>
      <c r="D281" s="40" t="n">
        <v>6.544</v>
      </c>
      <c r="E281" s="40" t="n">
        <v>13.62</v>
      </c>
      <c r="F281" s="40" t="n">
        <v>9.11</v>
      </c>
      <c r="G281" s="40" t="n">
        <v>11.128</v>
      </c>
      <c r="H281" s="40" t="n">
        <v>10.115</v>
      </c>
      <c r="I281" s="40" t="n">
        <v>15.957</v>
      </c>
      <c r="J281" s="31"/>
      <c r="K281" s="31"/>
      <c r="L281" s="31"/>
      <c r="M281" s="31"/>
      <c r="N281" s="31"/>
      <c r="O281" s="40" t="n">
        <v>11.244</v>
      </c>
      <c r="P281" s="31"/>
      <c r="Q281" s="31"/>
      <c r="R281" s="31"/>
      <c r="S281" s="31"/>
      <c r="T281" s="31"/>
      <c r="U281" s="40" t="n">
        <v>13.255</v>
      </c>
      <c r="V281" s="31"/>
      <c r="W281" s="31"/>
      <c r="X281" s="31"/>
      <c r="Y281" s="31"/>
      <c r="Z281" s="31"/>
      <c r="AA281" s="40" t="n">
        <v>11.686</v>
      </c>
      <c r="AB281" s="31"/>
      <c r="AC281" s="31"/>
      <c r="AD281" s="31"/>
      <c r="AE281" s="31"/>
      <c r="AF281" s="31"/>
      <c r="AG281" s="40" t="n">
        <v>19.637</v>
      </c>
      <c r="AH281" s="31"/>
      <c r="AI281" s="31"/>
      <c r="AJ281" s="31"/>
      <c r="AK281" s="31"/>
      <c r="AL281" s="31"/>
      <c r="AM281" s="40" t="n">
        <v>20.274</v>
      </c>
      <c r="AN281" s="31"/>
      <c r="AO281" s="31"/>
      <c r="AP281" s="31"/>
      <c r="AQ281" s="31"/>
      <c r="AR281" s="31"/>
      <c r="AS281" s="40" t="n">
        <v>49.055</v>
      </c>
      <c r="AT281" s="31"/>
      <c r="AU281" s="31"/>
      <c r="AV281" s="31"/>
      <c r="AW281" s="31"/>
      <c r="AX281" s="31"/>
      <c r="AY281" s="40" t="n">
        <v>50.16</v>
      </c>
      <c r="AZ281" s="31"/>
      <c r="BA281" s="31"/>
      <c r="BB281" s="31"/>
      <c r="BC281" s="31"/>
      <c r="BD281" s="31"/>
      <c r="BE281" s="40" t="n">
        <v>27.274</v>
      </c>
      <c r="BF281" s="31"/>
      <c r="BG281" s="31"/>
      <c r="BH281" s="31"/>
      <c r="BI281" s="31"/>
      <c r="BJ281" s="31"/>
      <c r="BK281" s="40" t="n">
        <v>64.346</v>
      </c>
      <c r="BL281" s="31"/>
      <c r="BM281" s="31"/>
      <c r="BN281" s="31"/>
      <c r="BO281" s="31"/>
      <c r="BP281" s="31"/>
      <c r="BQ281" s="40" t="n">
        <v>48.3</v>
      </c>
      <c r="BR281" s="31"/>
      <c r="BS281" s="31"/>
      <c r="BT281" s="31"/>
      <c r="BU281" s="31"/>
      <c r="BV281" s="31"/>
      <c r="BW281" s="40" t="n">
        <v>91.2</v>
      </c>
      <c r="BX281" s="31"/>
      <c r="BY281" s="31"/>
      <c r="BZ281" s="31"/>
      <c r="CA281" s="31"/>
      <c r="CB281" s="31"/>
      <c r="CC281" s="40" t="n">
        <v>77</v>
      </c>
      <c r="CD281" s="31"/>
      <c r="CE281" s="31"/>
      <c r="CF281" s="31"/>
      <c r="CG281" s="31"/>
      <c r="CH281" s="31"/>
      <c r="CI281" s="40" t="n">
        <v>107.8</v>
      </c>
      <c r="CJ281" s="31"/>
      <c r="CK281" s="31"/>
      <c r="CL281" s="40" t="n">
        <v>95.6</v>
      </c>
      <c r="CM281" s="32"/>
      <c r="CN281" s="32"/>
      <c r="CO281" s="32" t="n">
        <f aca="false">CI281</f>
        <v>107.8</v>
      </c>
      <c r="CP281" s="32" t="n">
        <f aca="false">CO281</f>
        <v>107.8</v>
      </c>
      <c r="CQ281" s="32" t="n">
        <f aca="false">CP281</f>
        <v>107.8</v>
      </c>
      <c r="CR281" s="32" t="n">
        <f aca="false">CQ281</f>
        <v>107.8</v>
      </c>
      <c r="CS281" s="32" t="n">
        <f aca="false">CR281</f>
        <v>107.8</v>
      </c>
      <c r="CT281" s="23"/>
      <c r="CV281" s="7"/>
      <c r="CW281" s="7"/>
      <c r="CX281" s="7"/>
      <c r="CY281" s="7"/>
    </row>
    <row r="282" customFormat="false" ht="15" hidden="false" customHeight="true" outlineLevel="0" collapsed="false">
      <c r="B282" s="19" t="s">
        <v>460</v>
      </c>
      <c r="C282" s="20" t="n">
        <f aca="false">IF(ISNUMBER(C274),SUM(C274:C281),"")</f>
        <v>228.067</v>
      </c>
      <c r="D282" s="20" t="n">
        <f aca="false">IF(ISNUMBER(D274),SUM(D274:D281),"")</f>
        <v>237.185</v>
      </c>
      <c r="E282" s="20" t="n">
        <f aca="false">IF(ISNUMBER(E274),SUM(E274:E281),"")</f>
        <v>193.94</v>
      </c>
      <c r="F282" s="20" t="n">
        <f aca="false">IF(ISNUMBER(F274),SUM(F274:F281),"")</f>
        <v>198.707</v>
      </c>
      <c r="G282" s="20" t="n">
        <f aca="false">IF(ISNUMBER(G274),SUM(G274:G281),"")</f>
        <v>182.678</v>
      </c>
      <c r="H282" s="20" t="n">
        <f aca="false">IF(ISNUMBER(H274),SUM(H274:H281),"")</f>
        <v>253.84</v>
      </c>
      <c r="I282" s="20" t="n">
        <f aca="false">IF(ISNUMBER(I274),SUM(I274:I281),"")</f>
        <v>345.601</v>
      </c>
      <c r="J282" s="20"/>
      <c r="K282" s="20"/>
      <c r="L282" s="20"/>
      <c r="M282" s="20"/>
      <c r="N282" s="20"/>
      <c r="O282" s="20" t="n">
        <f aca="false">IF(ISNUMBER(O274),SUM(O274:O281),"")</f>
        <v>398.379</v>
      </c>
      <c r="P282" s="20"/>
      <c r="Q282" s="20"/>
      <c r="R282" s="20"/>
      <c r="S282" s="20"/>
      <c r="T282" s="20"/>
      <c r="U282" s="20" t="n">
        <f aca="false">IF(ISNUMBER(U274),SUM(U274:U281),"")</f>
        <v>394.573</v>
      </c>
      <c r="V282" s="20"/>
      <c r="W282" s="20"/>
      <c r="X282" s="20"/>
      <c r="Y282" s="20"/>
      <c r="Z282" s="20"/>
      <c r="AA282" s="20" t="n">
        <f aca="false">IF(ISNUMBER(AA274),SUM(AA274:AA281),"")</f>
        <v>430.099</v>
      </c>
      <c r="AB282" s="20"/>
      <c r="AC282" s="20"/>
      <c r="AD282" s="20"/>
      <c r="AE282" s="20"/>
      <c r="AF282" s="20"/>
      <c r="AG282" s="20" t="n">
        <f aca="false">IF(ISNUMBER(AG274),SUM(AG274:AG281),"")</f>
        <v>377.998</v>
      </c>
      <c r="AH282" s="20"/>
      <c r="AI282" s="20"/>
      <c r="AJ282" s="20"/>
      <c r="AK282" s="20"/>
      <c r="AL282" s="20"/>
      <c r="AM282" s="20" t="n">
        <f aca="false">IF(ISNUMBER(AM274),SUM(AM274:AM281),"")</f>
        <v>508.487</v>
      </c>
      <c r="AN282" s="20"/>
      <c r="AO282" s="20"/>
      <c r="AP282" s="20"/>
      <c r="AQ282" s="20"/>
      <c r="AR282" s="20"/>
      <c r="AS282" s="20" t="n">
        <f aca="false">IF(ISNUMBER(AS274),SUM(AS274:AS281),"")</f>
        <v>603.538</v>
      </c>
      <c r="AT282" s="20"/>
      <c r="AU282" s="20"/>
      <c r="AV282" s="20"/>
      <c r="AW282" s="20"/>
      <c r="AX282" s="20"/>
      <c r="AY282" s="20" t="n">
        <f aca="false">IF(ISNUMBER(AY274),SUM(AY274:AY281),"")</f>
        <v>679.584</v>
      </c>
      <c r="AZ282" s="20"/>
      <c r="BA282" s="20"/>
      <c r="BB282" s="20"/>
      <c r="BC282" s="20"/>
      <c r="BD282" s="20"/>
      <c r="BE282" s="20" t="n">
        <f aca="false">IF(ISNUMBER(BE274),SUM(BE274:BE281),"")</f>
        <v>556.778</v>
      </c>
      <c r="BF282" s="20"/>
      <c r="BG282" s="20"/>
      <c r="BH282" s="20"/>
      <c r="BI282" s="20"/>
      <c r="BJ282" s="20"/>
      <c r="BK282" s="20" t="n">
        <f aca="false">IF(ISNUMBER(BK274),SUM(BK274:BK281),"")</f>
        <v>762.222</v>
      </c>
      <c r="BL282" s="20"/>
      <c r="BM282" s="20"/>
      <c r="BN282" s="20"/>
      <c r="BO282" s="20"/>
      <c r="BP282" s="20"/>
      <c r="BQ282" s="20" t="n">
        <f aca="false">IF(ISNUMBER(BQ274),SUM(BQ274:BQ281),"")</f>
        <v>963.1</v>
      </c>
      <c r="BR282" s="20"/>
      <c r="BS282" s="20"/>
      <c r="BT282" s="20"/>
      <c r="BU282" s="20"/>
      <c r="BV282" s="20"/>
      <c r="BW282" s="20" t="n">
        <f aca="false">IF(ISNUMBER(BW274),SUM(BW274:BW281),"")</f>
        <v>1814</v>
      </c>
      <c r="BX282" s="20"/>
      <c r="BY282" s="20"/>
      <c r="BZ282" s="20"/>
      <c r="CA282" s="20"/>
      <c r="CB282" s="20"/>
      <c r="CC282" s="20" t="n">
        <f aca="false">IF(ISNUMBER(CC274),SUM(CC274:CC281),"")</f>
        <v>1714.8</v>
      </c>
      <c r="CD282" s="20"/>
      <c r="CE282" s="20"/>
      <c r="CF282" s="20"/>
      <c r="CG282" s="20"/>
      <c r="CH282" s="20"/>
      <c r="CI282" s="20" t="n">
        <f aca="false">IF(ISNUMBER(CI274),SUM(CI274:CI281),"")</f>
        <v>1784.8</v>
      </c>
      <c r="CJ282" s="20"/>
      <c r="CK282" s="20"/>
      <c r="CL282" s="20" t="n">
        <f aca="false">IF(ISNUMBER(CL274),SUM(CL274:CL281),"")</f>
        <v>1888.4</v>
      </c>
      <c r="CM282" s="22"/>
      <c r="CN282" s="22"/>
      <c r="CO282" s="22" t="n">
        <f aca="false">SUM(CO274:CO281)</f>
        <v>1984.43947061062</v>
      </c>
      <c r="CP282" s="22" t="n">
        <f aca="false">SUM(CP274:CP281)</f>
        <v>2092.75741458405</v>
      </c>
      <c r="CQ282" s="22" t="n">
        <f aca="false">SUM(CQ274:CQ281)</f>
        <v>2267.10441584587</v>
      </c>
      <c r="CR282" s="22" t="n">
        <f aca="false">SUM(CR274:CR281)</f>
        <v>2465.48741966185</v>
      </c>
      <c r="CS282" s="22" t="n">
        <f aca="false">SUM(CS274:CS281)</f>
        <v>2701.9487288717</v>
      </c>
      <c r="CT282" s="23"/>
      <c r="CV282" s="7"/>
      <c r="CW282" s="7"/>
      <c r="CX282" s="7"/>
      <c r="CY282" s="7"/>
    </row>
    <row r="283" customFormat="false" ht="15" hidden="false" customHeight="true" outlineLevel="0" collapsed="false">
      <c r="B283" s="13" t="s">
        <v>461</v>
      </c>
      <c r="C283" s="40" t="n">
        <v>285.091</v>
      </c>
      <c r="D283" s="40" t="n">
        <v>390.044</v>
      </c>
      <c r="E283" s="40" t="n">
        <v>453.642</v>
      </c>
      <c r="F283" s="40" t="n">
        <v>597.945</v>
      </c>
      <c r="G283" s="40" t="n">
        <v>618.984</v>
      </c>
      <c r="H283" s="40" t="n">
        <v>644.333</v>
      </c>
      <c r="I283" s="40" t="n">
        <v>655.677</v>
      </c>
      <c r="J283" s="31"/>
      <c r="K283" s="31"/>
      <c r="L283" s="31"/>
      <c r="M283" s="31"/>
      <c r="N283" s="31"/>
      <c r="O283" s="40" t="n">
        <v>630.634</v>
      </c>
      <c r="P283" s="31"/>
      <c r="Q283" s="31"/>
      <c r="R283" s="31"/>
      <c r="S283" s="31"/>
      <c r="T283" s="31"/>
      <c r="U283" s="40" t="n">
        <v>580.701</v>
      </c>
      <c r="V283" s="31"/>
      <c r="W283" s="31"/>
      <c r="X283" s="31"/>
      <c r="Y283" s="31"/>
      <c r="Z283" s="31"/>
      <c r="AA283" s="40" t="n">
        <v>528.591</v>
      </c>
      <c r="AB283" s="31"/>
      <c r="AC283" s="31"/>
      <c r="AD283" s="31"/>
      <c r="AE283" s="31"/>
      <c r="AF283" s="31"/>
      <c r="AG283" s="40" t="n">
        <v>515.03</v>
      </c>
      <c r="AH283" s="31"/>
      <c r="AI283" s="31"/>
      <c r="AJ283" s="31"/>
      <c r="AK283" s="31"/>
      <c r="AL283" s="31"/>
      <c r="AM283" s="40" t="n">
        <v>526.581</v>
      </c>
      <c r="AN283" s="31"/>
      <c r="AO283" s="31"/>
      <c r="AP283" s="31"/>
      <c r="AQ283" s="31"/>
      <c r="AR283" s="31"/>
      <c r="AS283" s="40" t="n">
        <v>486.599</v>
      </c>
      <c r="AT283" s="31"/>
      <c r="AU283" s="31"/>
      <c r="AV283" s="31"/>
      <c r="AW283" s="31"/>
      <c r="AX283" s="31"/>
      <c r="AY283" s="40" t="n">
        <v>484.482</v>
      </c>
      <c r="AZ283" s="31"/>
      <c r="BA283" s="31"/>
      <c r="BB283" s="31"/>
      <c r="BC283" s="31"/>
      <c r="BD283" s="31"/>
      <c r="BE283" s="40" t="n">
        <v>492.127</v>
      </c>
      <c r="BF283" s="31"/>
      <c r="BG283" s="31"/>
      <c r="BH283" s="31"/>
      <c r="BI283" s="31"/>
      <c r="BJ283" s="31"/>
      <c r="BK283" s="40" t="n">
        <v>449.087</v>
      </c>
      <c r="BL283" s="31"/>
      <c r="BM283" s="31"/>
      <c r="BN283" s="31"/>
      <c r="BO283" s="31"/>
      <c r="BP283" s="31"/>
      <c r="BQ283" s="40" t="n">
        <v>459.1</v>
      </c>
      <c r="BR283" s="31"/>
      <c r="BS283" s="31"/>
      <c r="BT283" s="31"/>
      <c r="BU283" s="31"/>
      <c r="BV283" s="31"/>
      <c r="BW283" s="40" t="n">
        <v>1200.9</v>
      </c>
      <c r="BX283" s="31"/>
      <c r="BY283" s="31"/>
      <c r="BZ283" s="31"/>
      <c r="CA283" s="31"/>
      <c r="CB283" s="31"/>
      <c r="CC283" s="40" t="n">
        <v>1275.4</v>
      </c>
      <c r="CD283" s="31"/>
      <c r="CE283" s="31"/>
      <c r="CF283" s="31"/>
      <c r="CG283" s="31"/>
      <c r="CH283" s="31"/>
      <c r="CI283" s="40" t="n">
        <v>1522.3</v>
      </c>
      <c r="CJ283" s="31"/>
      <c r="CK283" s="31"/>
      <c r="CL283" s="40" t="n">
        <v>1610</v>
      </c>
      <c r="CM283" s="32"/>
      <c r="CN283" s="32"/>
      <c r="CO283" s="32" t="n">
        <f aca="false">CI283-CO229-(CO231-CO104)-(CO86-CO333)</f>
        <v>1653.36271623957</v>
      </c>
      <c r="CP283" s="32" t="n">
        <f aca="false">CO283-CP229-(CP231-CP104)-(CP86-CP333)</f>
        <v>1787.30394099666</v>
      </c>
      <c r="CQ283" s="32" t="n">
        <f aca="false">CP283-CQ229-(CQ231-CQ104)-(CQ86-CQ333)</f>
        <v>1918.84383893735</v>
      </c>
      <c r="CR283" s="32" t="n">
        <f aca="false">CQ283-CR229-(CR231-CR104)-(CR86-CR333)</f>
        <v>2046.71874190239</v>
      </c>
      <c r="CS283" s="32" t="n">
        <f aca="false">CR283-CS229-(CS231-CS104)-(CS86-CS333)</f>
        <v>2169.72574286778</v>
      </c>
      <c r="CT283" s="23" t="s">
        <v>462</v>
      </c>
      <c r="CV283" s="7"/>
      <c r="CW283" s="7"/>
      <c r="CX283" s="7"/>
      <c r="CY283" s="7"/>
    </row>
    <row r="284" customFormat="false" ht="15" hidden="false" customHeight="true" outlineLevel="0" collapsed="false">
      <c r="B284" s="13" t="s">
        <v>463</v>
      </c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40" t="n">
        <v>116.209</v>
      </c>
      <c r="AZ284" s="31"/>
      <c r="BA284" s="31"/>
      <c r="BB284" s="31"/>
      <c r="BC284" s="31"/>
      <c r="BD284" s="31"/>
      <c r="BE284" s="40" t="n">
        <v>116.503</v>
      </c>
      <c r="BF284" s="31"/>
      <c r="BG284" s="31"/>
      <c r="BH284" s="31"/>
      <c r="BI284" s="31"/>
      <c r="BJ284" s="31"/>
      <c r="BK284" s="40" t="n">
        <v>114.414</v>
      </c>
      <c r="BL284" s="31"/>
      <c r="BM284" s="31"/>
      <c r="BN284" s="31"/>
      <c r="BO284" s="31"/>
      <c r="BP284" s="31"/>
      <c r="BQ284" s="40" t="n">
        <v>123</v>
      </c>
      <c r="BR284" s="31"/>
      <c r="BS284" s="31"/>
      <c r="BT284" s="31"/>
      <c r="BU284" s="31"/>
      <c r="BV284" s="31"/>
      <c r="BW284" s="40" t="n">
        <v>1475.5</v>
      </c>
      <c r="BX284" s="31"/>
      <c r="BY284" s="31"/>
      <c r="BZ284" s="31"/>
      <c r="CA284" s="31"/>
      <c r="CB284" s="31"/>
      <c r="CC284" s="40" t="n">
        <v>1529.1</v>
      </c>
      <c r="CD284" s="31"/>
      <c r="CE284" s="31"/>
      <c r="CF284" s="31"/>
      <c r="CG284" s="31"/>
      <c r="CH284" s="31"/>
      <c r="CI284" s="40" t="n">
        <v>1545.5</v>
      </c>
      <c r="CJ284" s="31"/>
      <c r="CK284" s="31"/>
      <c r="CL284" s="40" t="n">
        <v>1526.8</v>
      </c>
      <c r="CM284" s="32"/>
      <c r="CN284" s="32"/>
      <c r="CO284" s="32" t="n">
        <f aca="false">CI284</f>
        <v>1545.5</v>
      </c>
      <c r="CP284" s="32" t="n">
        <f aca="false">CO284</f>
        <v>1545.5</v>
      </c>
      <c r="CQ284" s="32" t="n">
        <f aca="false">CP284</f>
        <v>1545.5</v>
      </c>
      <c r="CR284" s="32" t="n">
        <f aca="false">CQ284</f>
        <v>1545.5</v>
      </c>
      <c r="CS284" s="32" t="n">
        <f aca="false">CR284</f>
        <v>1545.5</v>
      </c>
      <c r="CT284" s="23"/>
      <c r="CV284" s="7"/>
      <c r="CW284" s="7"/>
      <c r="CX284" s="7"/>
      <c r="CY284" s="7"/>
    </row>
    <row r="285" customFormat="false" ht="15" hidden="false" customHeight="true" outlineLevel="0" collapsed="false">
      <c r="B285" s="13" t="s">
        <v>464</v>
      </c>
      <c r="C285" s="40" t="n">
        <v>0.343</v>
      </c>
      <c r="D285" s="40" t="n">
        <v>2.031</v>
      </c>
      <c r="E285" s="40" t="n">
        <v>1.164</v>
      </c>
      <c r="F285" s="40" t="n">
        <v>14.472</v>
      </c>
      <c r="G285" s="40" t="n">
        <v>19.499</v>
      </c>
      <c r="H285" s="40" t="n">
        <v>21.662</v>
      </c>
      <c r="I285" s="40" t="n">
        <v>20.109</v>
      </c>
      <c r="J285" s="31"/>
      <c r="K285" s="31"/>
      <c r="L285" s="31"/>
      <c r="M285" s="31"/>
      <c r="N285" s="31"/>
      <c r="O285" s="40" t="n">
        <v>10.804</v>
      </c>
      <c r="P285" s="31"/>
      <c r="Q285" s="31"/>
      <c r="R285" s="31"/>
      <c r="S285" s="31"/>
      <c r="T285" s="31"/>
      <c r="U285" s="40" t="n">
        <v>8.505</v>
      </c>
      <c r="V285" s="31"/>
      <c r="W285" s="31"/>
      <c r="X285" s="31"/>
      <c r="Y285" s="31"/>
      <c r="Z285" s="31"/>
      <c r="AA285" s="40" t="n">
        <v>9.856</v>
      </c>
      <c r="AB285" s="31"/>
      <c r="AC285" s="31"/>
      <c r="AD285" s="31"/>
      <c r="AE285" s="31"/>
      <c r="AF285" s="31"/>
      <c r="AG285" s="40" t="n">
        <v>527.57</v>
      </c>
      <c r="AH285" s="31"/>
      <c r="AI285" s="31"/>
      <c r="AJ285" s="31"/>
      <c r="AK285" s="31"/>
      <c r="AL285" s="31"/>
      <c r="AM285" s="40" t="n">
        <v>31.554</v>
      </c>
      <c r="AN285" s="31"/>
      <c r="AO285" s="31"/>
      <c r="AP285" s="31"/>
      <c r="AQ285" s="31"/>
      <c r="AR285" s="31"/>
      <c r="AS285" s="40" t="n">
        <v>29.395</v>
      </c>
      <c r="AT285" s="31"/>
      <c r="AU285" s="31"/>
      <c r="AV285" s="31"/>
      <c r="AW285" s="31"/>
      <c r="AX285" s="31"/>
      <c r="AY285" s="40" t="n">
        <v>29.47</v>
      </c>
      <c r="AZ285" s="31"/>
      <c r="BA285" s="31"/>
      <c r="BB285" s="31"/>
      <c r="BC285" s="31"/>
      <c r="BD285" s="31"/>
      <c r="BE285" s="40" t="n">
        <v>31.105</v>
      </c>
      <c r="BF285" s="31"/>
      <c r="BG285" s="31"/>
      <c r="BH285" s="31"/>
      <c r="BI285" s="31"/>
      <c r="BJ285" s="31"/>
      <c r="BK285" s="40" t="n">
        <v>961.554</v>
      </c>
      <c r="BL285" s="31"/>
      <c r="BM285" s="31"/>
      <c r="BN285" s="31"/>
      <c r="BO285" s="31"/>
      <c r="BP285" s="31"/>
      <c r="BQ285" s="40" t="n">
        <v>40.4</v>
      </c>
      <c r="BR285" s="31"/>
      <c r="BS285" s="31"/>
      <c r="BT285" s="31"/>
      <c r="BU285" s="31"/>
      <c r="BV285" s="31"/>
      <c r="BW285" s="40" t="n">
        <v>85.6</v>
      </c>
      <c r="BX285" s="31"/>
      <c r="BY285" s="31"/>
      <c r="BZ285" s="31"/>
      <c r="CA285" s="31"/>
      <c r="CB285" s="31"/>
      <c r="CC285" s="40" t="n">
        <v>98.4</v>
      </c>
      <c r="CD285" s="31"/>
      <c r="CE285" s="31"/>
      <c r="CF285" s="31"/>
      <c r="CG285" s="31"/>
      <c r="CH285" s="31"/>
      <c r="CI285" s="40" t="n">
        <v>149.4</v>
      </c>
      <c r="CJ285" s="31"/>
      <c r="CK285" s="31"/>
      <c r="CL285" s="40" t="n">
        <v>130.7</v>
      </c>
      <c r="CM285" s="32"/>
      <c r="CN285" s="32"/>
      <c r="CO285" s="32" t="n">
        <f aca="false">CI285</f>
        <v>149.4</v>
      </c>
      <c r="CP285" s="32" t="n">
        <f aca="false">CO285</f>
        <v>149.4</v>
      </c>
      <c r="CQ285" s="32" t="n">
        <f aca="false">CP285</f>
        <v>149.4</v>
      </c>
      <c r="CR285" s="32" t="n">
        <f aca="false">CQ285</f>
        <v>149.4</v>
      </c>
      <c r="CS285" s="32" t="n">
        <f aca="false">CR285</f>
        <v>149.4</v>
      </c>
      <c r="CT285" s="23"/>
      <c r="CV285" s="7"/>
      <c r="CW285" s="7"/>
      <c r="CX285" s="7"/>
      <c r="CY285" s="7"/>
    </row>
    <row r="286" customFormat="false" ht="15" hidden="false" customHeight="true" outlineLevel="0" collapsed="false">
      <c r="B286" s="13" t="s">
        <v>465</v>
      </c>
      <c r="C286" s="31"/>
      <c r="D286" s="31"/>
      <c r="E286" s="31"/>
      <c r="F286" s="31"/>
      <c r="G286" s="31"/>
      <c r="H286" s="40" t="n">
        <v>0</v>
      </c>
      <c r="I286" s="40" t="n">
        <v>25.57</v>
      </c>
      <c r="J286" s="31"/>
      <c r="K286" s="31"/>
      <c r="L286" s="31"/>
      <c r="M286" s="31"/>
      <c r="N286" s="31"/>
      <c r="O286" s="40" t="n">
        <v>37.607</v>
      </c>
      <c r="P286" s="31"/>
      <c r="Q286" s="31"/>
      <c r="R286" s="31"/>
      <c r="S286" s="31"/>
      <c r="T286" s="31"/>
      <c r="U286" s="40" t="n">
        <v>45.504</v>
      </c>
      <c r="V286" s="31"/>
      <c r="W286" s="31"/>
      <c r="X286" s="31"/>
      <c r="Y286" s="31"/>
      <c r="Z286" s="31"/>
      <c r="AA286" s="40" t="n">
        <v>46.973</v>
      </c>
      <c r="AB286" s="31"/>
      <c r="AC286" s="31"/>
      <c r="AD286" s="31"/>
      <c r="AE286" s="31"/>
      <c r="AF286" s="31"/>
      <c r="AG286" s="40" t="n">
        <v>72.304</v>
      </c>
      <c r="AH286" s="31"/>
      <c r="AI286" s="31"/>
      <c r="AJ286" s="31"/>
      <c r="AK286" s="31"/>
      <c r="AL286" s="31"/>
      <c r="AM286" s="40" t="n">
        <v>261.094</v>
      </c>
      <c r="AN286" s="31"/>
      <c r="AO286" s="31"/>
      <c r="AP286" s="31"/>
      <c r="AQ286" s="31"/>
      <c r="AR286" s="31"/>
      <c r="AS286" s="40" t="n">
        <v>245.622</v>
      </c>
      <c r="AT286" s="31"/>
      <c r="AU286" s="31"/>
      <c r="AV286" s="31"/>
      <c r="AW286" s="31"/>
      <c r="AX286" s="31"/>
      <c r="AY286" s="40" t="n">
        <v>233.38</v>
      </c>
      <c r="AZ286" s="31"/>
      <c r="BA286" s="31"/>
      <c r="BB286" s="31"/>
      <c r="BC286" s="31"/>
      <c r="BD286" s="31"/>
      <c r="BE286" s="40" t="n">
        <v>300.948</v>
      </c>
      <c r="BF286" s="31"/>
      <c r="BG286" s="31"/>
      <c r="BH286" s="31"/>
      <c r="BI286" s="31"/>
      <c r="BJ286" s="31"/>
      <c r="BK286" s="40" t="n">
        <v>350.516</v>
      </c>
      <c r="BL286" s="31"/>
      <c r="BM286" s="31"/>
      <c r="BN286" s="31"/>
      <c r="BO286" s="31"/>
      <c r="BP286" s="31"/>
      <c r="BQ286" s="40" t="n">
        <v>322.7</v>
      </c>
      <c r="BR286" s="31"/>
      <c r="BS286" s="31"/>
      <c r="BT286" s="31"/>
      <c r="BU286" s="31"/>
      <c r="BV286" s="31"/>
      <c r="BW286" s="40" t="n">
        <v>2914.1</v>
      </c>
      <c r="BX286" s="31"/>
      <c r="BY286" s="31"/>
      <c r="BZ286" s="31"/>
      <c r="CA286" s="31"/>
      <c r="CB286" s="31"/>
      <c r="CC286" s="40" t="n">
        <v>2668.7</v>
      </c>
      <c r="CD286" s="31"/>
      <c r="CE286" s="31"/>
      <c r="CF286" s="31"/>
      <c r="CG286" s="31"/>
      <c r="CH286" s="31"/>
      <c r="CI286" s="40" t="n">
        <v>2464.5</v>
      </c>
      <c r="CJ286" s="31"/>
      <c r="CK286" s="31"/>
      <c r="CL286" s="40" t="n">
        <v>2393.2</v>
      </c>
      <c r="CM286" s="32"/>
      <c r="CN286" s="32"/>
      <c r="CO286" s="32" t="n">
        <f aca="false">CI286-CO230-CO232*CO334-CO172-CO333</f>
        <v>2275.42025108497</v>
      </c>
      <c r="CP286" s="32" t="n">
        <f aca="false">CO286-CP230-CP232*CP334-CP172-CP333</f>
        <v>2059.7092318432</v>
      </c>
      <c r="CQ286" s="32" t="n">
        <f aca="false">CP286-CQ230-CQ232*CQ334-CQ172-CQ333</f>
        <v>1894.02841536867</v>
      </c>
      <c r="CR286" s="32" t="n">
        <f aca="false">CQ286-CR230-CR232*CR334-CR172-CR333</f>
        <v>1746.02375769093</v>
      </c>
      <c r="CS286" s="32" t="n">
        <f aca="false">CR286-CS230-CS232*CS334-CS172-CS333</f>
        <v>1600.93974610626</v>
      </c>
      <c r="CT286" s="23" t="s">
        <v>466</v>
      </c>
      <c r="CV286" s="7"/>
      <c r="CW286" s="7"/>
      <c r="CX286" s="7"/>
      <c r="CY286" s="7"/>
    </row>
    <row r="287" customFormat="false" ht="15" hidden="false" customHeight="true" outlineLevel="0" collapsed="false">
      <c r="B287" s="13" t="s">
        <v>467</v>
      </c>
      <c r="C287" s="40" t="n">
        <v>39.537</v>
      </c>
      <c r="D287" s="40" t="n">
        <v>42.612</v>
      </c>
      <c r="E287" s="40" t="n">
        <v>40.233</v>
      </c>
      <c r="F287" s="40" t="n">
        <v>45.593</v>
      </c>
      <c r="G287" s="40" t="n">
        <v>46.254</v>
      </c>
      <c r="H287" s="40" t="n">
        <v>45.957</v>
      </c>
      <c r="I287" s="40" t="n">
        <v>84.247</v>
      </c>
      <c r="J287" s="31"/>
      <c r="K287" s="31"/>
      <c r="L287" s="31"/>
      <c r="M287" s="31"/>
      <c r="N287" s="31"/>
      <c r="O287" s="40" t="n">
        <v>83.397</v>
      </c>
      <c r="P287" s="31"/>
      <c r="Q287" s="31"/>
      <c r="R287" s="31"/>
      <c r="S287" s="31"/>
      <c r="T287" s="31"/>
      <c r="U287" s="40" t="n">
        <v>82.354</v>
      </c>
      <c r="V287" s="31"/>
      <c r="W287" s="31"/>
      <c r="X287" s="31"/>
      <c r="Y287" s="31"/>
      <c r="Z287" s="31"/>
      <c r="AA287" s="40" t="n">
        <v>91.234</v>
      </c>
      <c r="AB287" s="31"/>
      <c r="AC287" s="31"/>
      <c r="AD287" s="31"/>
      <c r="AE287" s="31"/>
      <c r="AF287" s="31"/>
      <c r="AG287" s="40" t="n">
        <v>97.537</v>
      </c>
      <c r="AH287" s="31"/>
      <c r="AI287" s="31"/>
      <c r="AJ287" s="31"/>
      <c r="AK287" s="31"/>
      <c r="AL287" s="31"/>
      <c r="AM287" s="40" t="n">
        <v>670.922</v>
      </c>
      <c r="AN287" s="31"/>
      <c r="AO287" s="31"/>
      <c r="AP287" s="31"/>
      <c r="AQ287" s="31"/>
      <c r="AR287" s="31"/>
      <c r="AS287" s="40" t="n">
        <v>671.594</v>
      </c>
      <c r="AT287" s="31"/>
      <c r="AU287" s="31"/>
      <c r="AV287" s="31"/>
      <c r="AW287" s="31"/>
      <c r="AX287" s="31"/>
      <c r="AY287" s="40" t="n">
        <v>672.31</v>
      </c>
      <c r="AZ287" s="31"/>
      <c r="BA287" s="31"/>
      <c r="BB287" s="31"/>
      <c r="BC287" s="31"/>
      <c r="BD287" s="31"/>
      <c r="BE287" s="40" t="n">
        <v>840.61</v>
      </c>
      <c r="BF287" s="31"/>
      <c r="BG287" s="31"/>
      <c r="BH287" s="31"/>
      <c r="BI287" s="31"/>
      <c r="BJ287" s="31"/>
      <c r="BK287" s="40" t="n">
        <v>947.715</v>
      </c>
      <c r="BL287" s="31"/>
      <c r="BM287" s="31"/>
      <c r="BN287" s="31"/>
      <c r="BO287" s="31"/>
      <c r="BP287" s="31"/>
      <c r="BQ287" s="40" t="n">
        <v>948.8</v>
      </c>
      <c r="BR287" s="31"/>
      <c r="BS287" s="31"/>
      <c r="BT287" s="31"/>
      <c r="BU287" s="31"/>
      <c r="BV287" s="31"/>
      <c r="BW287" s="40" t="n">
        <v>4537</v>
      </c>
      <c r="BX287" s="31"/>
      <c r="BY287" s="31"/>
      <c r="BZ287" s="31"/>
      <c r="CA287" s="31"/>
      <c r="CB287" s="31"/>
      <c r="CC287" s="40" t="n">
        <v>4511.8</v>
      </c>
      <c r="CD287" s="31"/>
      <c r="CE287" s="31"/>
      <c r="CF287" s="31"/>
      <c r="CG287" s="31"/>
      <c r="CH287" s="31"/>
      <c r="CI287" s="40" t="n">
        <v>4668</v>
      </c>
      <c r="CJ287" s="31"/>
      <c r="CK287" s="31"/>
      <c r="CL287" s="40" t="n">
        <v>4930</v>
      </c>
      <c r="CM287" s="32"/>
      <c r="CN287" s="32"/>
      <c r="CO287" s="32" t="n">
        <f aca="false">CI287-CO232*(1-CO334)</f>
        <v>4916.325</v>
      </c>
      <c r="CP287" s="32" t="n">
        <f aca="false">CO287-CP232*(1-CP334)</f>
        <v>4916.325</v>
      </c>
      <c r="CQ287" s="32" t="n">
        <f aca="false">CP287-CQ232*(1-CQ334)</f>
        <v>4916.325</v>
      </c>
      <c r="CR287" s="32" t="n">
        <f aca="false">CQ287-CR232*(1-CR334)</f>
        <v>4916.325</v>
      </c>
      <c r="CS287" s="32" t="n">
        <f aca="false">CR287-CS232*(1-CS334)</f>
        <v>4916.325</v>
      </c>
      <c r="CT287" s="23" t="s">
        <v>468</v>
      </c>
      <c r="CV287" s="7"/>
      <c r="CW287" s="7"/>
      <c r="CX287" s="7"/>
      <c r="CY287" s="7"/>
    </row>
    <row r="288" customFormat="false" ht="15" hidden="false" customHeight="true" outlineLevel="0" collapsed="false">
      <c r="B288" s="13" t="s">
        <v>469</v>
      </c>
      <c r="C288" s="40" t="n">
        <v>1.189</v>
      </c>
      <c r="D288" s="40" t="n">
        <v>1.015</v>
      </c>
      <c r="E288" s="40" t="n">
        <v>0.509</v>
      </c>
      <c r="F288" s="40" t="n">
        <v>1.104</v>
      </c>
      <c r="G288" s="40" t="n">
        <v>5.143</v>
      </c>
      <c r="H288" s="40" t="n">
        <v>1.449</v>
      </c>
      <c r="I288" s="40" t="n">
        <v>1.294</v>
      </c>
      <c r="J288" s="31"/>
      <c r="K288" s="31"/>
      <c r="L288" s="31"/>
      <c r="M288" s="31"/>
      <c r="N288" s="31"/>
      <c r="O288" s="40" t="n">
        <v>1.474</v>
      </c>
      <c r="P288" s="31"/>
      <c r="Q288" s="31"/>
      <c r="R288" s="31"/>
      <c r="S288" s="31"/>
      <c r="T288" s="31"/>
      <c r="U288" s="40" t="n">
        <v>9.873</v>
      </c>
      <c r="V288" s="31"/>
      <c r="W288" s="31"/>
      <c r="X288" s="31"/>
      <c r="Y288" s="31"/>
      <c r="Z288" s="31"/>
      <c r="AA288" s="40" t="n">
        <v>13.362</v>
      </c>
      <c r="AB288" s="31"/>
      <c r="AC288" s="31"/>
      <c r="AD288" s="31"/>
      <c r="AE288" s="31"/>
      <c r="AF288" s="31"/>
      <c r="AG288" s="40" t="n">
        <v>9.094</v>
      </c>
      <c r="AH288" s="31"/>
      <c r="AI288" s="31"/>
      <c r="AJ288" s="31"/>
      <c r="AK288" s="31"/>
      <c r="AL288" s="31"/>
      <c r="AM288" s="40" t="n">
        <v>18.674</v>
      </c>
      <c r="AN288" s="31"/>
      <c r="AO288" s="31"/>
      <c r="AP288" s="31"/>
      <c r="AQ288" s="31"/>
      <c r="AR288" s="31"/>
      <c r="AS288" s="40" t="n">
        <v>15.648</v>
      </c>
      <c r="AT288" s="31"/>
      <c r="AU288" s="31"/>
      <c r="AV288" s="31"/>
      <c r="AW288" s="31"/>
      <c r="AX288" s="31"/>
      <c r="AY288" s="40" t="n">
        <v>13.995</v>
      </c>
      <c r="AZ288" s="31"/>
      <c r="BA288" s="31"/>
      <c r="BB288" s="31"/>
      <c r="BC288" s="31"/>
      <c r="BD288" s="31"/>
      <c r="BE288" s="40" t="n">
        <v>13.458</v>
      </c>
      <c r="BF288" s="31"/>
      <c r="BG288" s="31"/>
      <c r="BH288" s="31"/>
      <c r="BI288" s="31"/>
      <c r="BJ288" s="31"/>
      <c r="BK288" s="40" t="n">
        <v>7.406</v>
      </c>
      <c r="BL288" s="31"/>
      <c r="BM288" s="31"/>
      <c r="BN288" s="31"/>
      <c r="BO288" s="31"/>
      <c r="BP288" s="31"/>
      <c r="BQ288" s="40" t="n">
        <v>6.6</v>
      </c>
      <c r="BR288" s="31"/>
      <c r="BS288" s="31"/>
      <c r="BT288" s="31"/>
      <c r="BU288" s="31"/>
      <c r="BV288" s="31"/>
      <c r="BW288" s="40" t="n">
        <v>10.3</v>
      </c>
      <c r="BX288" s="31"/>
      <c r="BY288" s="31"/>
      <c r="BZ288" s="31"/>
      <c r="CA288" s="31"/>
      <c r="CB288" s="31"/>
      <c r="CC288" s="40" t="n">
        <v>8.8</v>
      </c>
      <c r="CD288" s="31"/>
      <c r="CE288" s="31"/>
      <c r="CF288" s="31"/>
      <c r="CG288" s="31"/>
      <c r="CH288" s="31"/>
      <c r="CI288" s="40" t="n">
        <v>8.5</v>
      </c>
      <c r="CJ288" s="31"/>
      <c r="CK288" s="31"/>
      <c r="CL288" s="40" t="n">
        <v>8.5</v>
      </c>
      <c r="CM288" s="32"/>
      <c r="CN288" s="32"/>
      <c r="CO288" s="32" t="n">
        <f aca="false">CI288</f>
        <v>8.5</v>
      </c>
      <c r="CP288" s="32" t="n">
        <f aca="false">CO288</f>
        <v>8.5</v>
      </c>
      <c r="CQ288" s="32" t="n">
        <f aca="false">CP288</f>
        <v>8.5</v>
      </c>
      <c r="CR288" s="32" t="n">
        <f aca="false">CQ288</f>
        <v>8.5</v>
      </c>
      <c r="CS288" s="32" t="n">
        <f aca="false">CR288</f>
        <v>8.5</v>
      </c>
      <c r="CT288" s="23"/>
      <c r="CV288" s="7"/>
      <c r="CW288" s="7"/>
      <c r="CX288" s="7"/>
      <c r="CY288" s="7"/>
    </row>
    <row r="289" customFormat="false" ht="15" hidden="false" customHeight="true" outlineLevel="0" collapsed="false">
      <c r="B289" s="41" t="s">
        <v>470</v>
      </c>
      <c r="C289" s="43" t="n">
        <f aca="false">IF(ISNUMBER(C274),C282+SUM(C283:C288),"")</f>
        <v>554.227</v>
      </c>
      <c r="D289" s="43" t="n">
        <f aca="false">IF(ISNUMBER(D274),D282+SUM(D283:D288),"")</f>
        <v>672.887</v>
      </c>
      <c r="E289" s="43" t="n">
        <f aca="false">IF(ISNUMBER(E274),E282+SUM(E283:E288),"")</f>
        <v>689.488</v>
      </c>
      <c r="F289" s="43" t="n">
        <f aca="false">IF(ISNUMBER(F274),F282+SUM(F283:F288),"")</f>
        <v>857.821</v>
      </c>
      <c r="G289" s="43" t="n">
        <f aca="false">IF(ISNUMBER(G274),G282+SUM(G283:G288),"")</f>
        <v>872.558</v>
      </c>
      <c r="H289" s="43" t="n">
        <f aca="false">IF(ISNUMBER(H274),H282+SUM(H283:H288),"")</f>
        <v>967.241</v>
      </c>
      <c r="I289" s="43" t="n">
        <f aca="false">IF(ISNUMBER(I274),I282+SUM(I283:I288),"")</f>
        <v>1132.498</v>
      </c>
      <c r="J289" s="20"/>
      <c r="K289" s="20"/>
      <c r="L289" s="20"/>
      <c r="M289" s="20"/>
      <c r="N289" s="20"/>
      <c r="O289" s="43" t="n">
        <f aca="false">IF(ISNUMBER(O274),O282+SUM(O283:O288),"")</f>
        <v>1162.295</v>
      </c>
      <c r="P289" s="20"/>
      <c r="Q289" s="20"/>
      <c r="R289" s="20"/>
      <c r="S289" s="20"/>
      <c r="T289" s="20"/>
      <c r="U289" s="43" t="n">
        <f aca="false">IF(ISNUMBER(U274),U282+SUM(U283:U288),"")</f>
        <v>1121.51</v>
      </c>
      <c r="V289" s="20"/>
      <c r="W289" s="20"/>
      <c r="X289" s="20"/>
      <c r="Y289" s="20"/>
      <c r="Z289" s="20"/>
      <c r="AA289" s="43" t="n">
        <f aca="false">IF(ISNUMBER(AA274),AA282+SUM(AA283:AA288),"")</f>
        <v>1120.115</v>
      </c>
      <c r="AB289" s="20"/>
      <c r="AC289" s="20"/>
      <c r="AD289" s="20"/>
      <c r="AE289" s="20"/>
      <c r="AF289" s="20"/>
      <c r="AG289" s="43" t="n">
        <f aca="false">IF(ISNUMBER(AG274),AG282+SUM(AG283:AG288),"")</f>
        <v>1599.533</v>
      </c>
      <c r="AH289" s="20"/>
      <c r="AI289" s="20"/>
      <c r="AJ289" s="20"/>
      <c r="AK289" s="20"/>
      <c r="AL289" s="20"/>
      <c r="AM289" s="43" t="n">
        <f aca="false">IF(ISNUMBER(AM274),AM282+SUM(AM283:AM288),"")</f>
        <v>2017.312</v>
      </c>
      <c r="AN289" s="20"/>
      <c r="AO289" s="20"/>
      <c r="AP289" s="20"/>
      <c r="AQ289" s="20"/>
      <c r="AR289" s="20"/>
      <c r="AS289" s="43" t="n">
        <f aca="false">IF(ISNUMBER(AS274),AS282+SUM(AS283:AS288),"")</f>
        <v>2052.396</v>
      </c>
      <c r="AT289" s="20"/>
      <c r="AU289" s="20"/>
      <c r="AV289" s="20"/>
      <c r="AW289" s="20"/>
      <c r="AX289" s="20"/>
      <c r="AY289" s="43" t="n">
        <f aca="false">IF(ISNUMBER(AY274),AY282+SUM(AY283:AY288),"")</f>
        <v>2229.43</v>
      </c>
      <c r="AZ289" s="20"/>
      <c r="BA289" s="20"/>
      <c r="BB289" s="20"/>
      <c r="BC289" s="20"/>
      <c r="BD289" s="20"/>
      <c r="BE289" s="43" t="n">
        <f aca="false">IF(ISNUMBER(BE274),BE282+SUM(BE283:BE288),"")</f>
        <v>2351.529</v>
      </c>
      <c r="BF289" s="20"/>
      <c r="BG289" s="20"/>
      <c r="BH289" s="20"/>
      <c r="BI289" s="20"/>
      <c r="BJ289" s="20"/>
      <c r="BK289" s="43" t="n">
        <f aca="false">IF(ISNUMBER(BK274),BK282+SUM(BK283:BK288),"")</f>
        <v>3592.914</v>
      </c>
      <c r="BL289" s="20"/>
      <c r="BM289" s="20"/>
      <c r="BN289" s="20"/>
      <c r="BO289" s="20"/>
      <c r="BP289" s="20"/>
      <c r="BQ289" s="43" t="n">
        <f aca="false">IF(ISNUMBER(BQ274),BQ282+SUM(BQ283:BQ288),"")</f>
        <v>2863.7</v>
      </c>
      <c r="BR289" s="20"/>
      <c r="BS289" s="20"/>
      <c r="BT289" s="20"/>
      <c r="BU289" s="20"/>
      <c r="BV289" s="20"/>
      <c r="BW289" s="43" t="n">
        <f aca="false">IF(ISNUMBER(BW274),BW282+SUM(BW283:BW288),"")</f>
        <v>12037.4</v>
      </c>
      <c r="BX289" s="20"/>
      <c r="BY289" s="20"/>
      <c r="BZ289" s="20"/>
      <c r="CA289" s="20"/>
      <c r="CB289" s="20"/>
      <c r="CC289" s="43" t="n">
        <f aca="false">IF(ISNUMBER(CC274),CC282+SUM(CC283:CC288),"")</f>
        <v>11807</v>
      </c>
      <c r="CD289" s="20"/>
      <c r="CE289" s="20"/>
      <c r="CF289" s="20"/>
      <c r="CG289" s="20"/>
      <c r="CH289" s="20"/>
      <c r="CI289" s="43" t="n">
        <f aca="false">IF(ISNUMBER(CI274),CI282+SUM(CI283:CI288),"")</f>
        <v>12143</v>
      </c>
      <c r="CJ289" s="20"/>
      <c r="CK289" s="20"/>
      <c r="CL289" s="20" t="n">
        <f aca="false">IF(ISNUMBER(CL274),CL282+SUM(CL283:CL288),"")</f>
        <v>12487.6</v>
      </c>
      <c r="CM289" s="43"/>
      <c r="CN289" s="43"/>
      <c r="CO289" s="43" t="n">
        <f aca="false">CO282+SUM(CO283:CO288)</f>
        <v>12532.9474379352</v>
      </c>
      <c r="CP289" s="43" t="n">
        <f aca="false">CP282+SUM(CP283:CP288)</f>
        <v>12559.4955874239</v>
      </c>
      <c r="CQ289" s="43" t="n">
        <f aca="false">CQ282+SUM(CQ283:CQ288)</f>
        <v>12699.7016701519</v>
      </c>
      <c r="CR289" s="43" t="n">
        <f aca="false">CR282+SUM(CR283:CR288)</f>
        <v>12877.9549192552</v>
      </c>
      <c r="CS289" s="43" t="n">
        <f aca="false">CS282+SUM(CS283:CS288)</f>
        <v>13092.3392178457</v>
      </c>
      <c r="CT289" s="23"/>
      <c r="CV289" s="7"/>
      <c r="CW289" s="7"/>
      <c r="CX289" s="7"/>
      <c r="CY289" s="7"/>
    </row>
    <row r="290" customFormat="false" ht="15" hidden="false" customHeight="true" outlineLevel="0" collapsed="false">
      <c r="B290" s="13"/>
      <c r="CM290" s="7"/>
      <c r="CN290" s="7"/>
      <c r="CO290" s="7"/>
      <c r="CP290" s="7"/>
      <c r="CQ290" s="7"/>
      <c r="CR290" s="7"/>
      <c r="CS290" s="7"/>
      <c r="CT290" s="7"/>
    </row>
    <row r="291" customFormat="false" ht="15" hidden="false" customHeight="true" outlineLevel="0" collapsed="false">
      <c r="B291" s="13" t="s">
        <v>471</v>
      </c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2"/>
      <c r="CN291" s="32"/>
      <c r="CO291" s="32"/>
      <c r="CP291" s="32"/>
      <c r="CQ291" s="32"/>
      <c r="CR291" s="32"/>
      <c r="CS291" s="32"/>
      <c r="CT291" s="23"/>
      <c r="CV291" s="7"/>
      <c r="CW291" s="7"/>
      <c r="CX291" s="7"/>
      <c r="CY291" s="7"/>
    </row>
    <row r="292" customFormat="false" ht="15" hidden="false" customHeight="true" outlineLevel="0" collapsed="false">
      <c r="B292" s="13" t="s">
        <v>472</v>
      </c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2"/>
      <c r="CN292" s="32"/>
      <c r="CO292" s="32"/>
      <c r="CP292" s="32"/>
      <c r="CQ292" s="32"/>
      <c r="CR292" s="32"/>
      <c r="CS292" s="32"/>
      <c r="CT292" s="23"/>
      <c r="CV292" s="7"/>
      <c r="CW292" s="7"/>
      <c r="CX292" s="7"/>
      <c r="CY292" s="7"/>
    </row>
    <row r="293" customFormat="false" ht="15" hidden="false" customHeight="true" outlineLevel="0" collapsed="false">
      <c r="B293" s="13" t="s">
        <v>473</v>
      </c>
      <c r="C293" s="40" t="n">
        <v>65.114</v>
      </c>
      <c r="D293" s="40" t="n">
        <v>80.698</v>
      </c>
      <c r="E293" s="40" t="n">
        <v>62.717</v>
      </c>
      <c r="F293" s="40" t="n">
        <v>74.726</v>
      </c>
      <c r="G293" s="40" t="n">
        <v>46.463</v>
      </c>
      <c r="H293" s="40" t="n">
        <v>69.004</v>
      </c>
      <c r="I293" s="40" t="n">
        <v>87.139</v>
      </c>
      <c r="J293" s="31"/>
      <c r="K293" s="31"/>
      <c r="L293" s="31"/>
      <c r="M293" s="31"/>
      <c r="N293" s="31"/>
      <c r="O293" s="40" t="n">
        <v>125.858</v>
      </c>
      <c r="P293" s="31"/>
      <c r="Q293" s="31"/>
      <c r="R293" s="31"/>
      <c r="S293" s="31"/>
      <c r="T293" s="31"/>
      <c r="U293" s="40" t="n">
        <v>109.378</v>
      </c>
      <c r="V293" s="31"/>
      <c r="W293" s="31"/>
      <c r="X293" s="31"/>
      <c r="Y293" s="31"/>
      <c r="Z293" s="31"/>
      <c r="AA293" s="40" t="n">
        <v>101.215</v>
      </c>
      <c r="AB293" s="31"/>
      <c r="AC293" s="31"/>
      <c r="AD293" s="31"/>
      <c r="AE293" s="31"/>
      <c r="AF293" s="31"/>
      <c r="AG293" s="40" t="n">
        <v>98.873</v>
      </c>
      <c r="AH293" s="31"/>
      <c r="AI293" s="31"/>
      <c r="AJ293" s="31"/>
      <c r="AK293" s="31"/>
      <c r="AL293" s="31"/>
      <c r="AM293" s="40" t="n">
        <v>199.245</v>
      </c>
      <c r="AN293" s="31"/>
      <c r="AO293" s="31"/>
      <c r="AP293" s="31"/>
      <c r="AQ293" s="31"/>
      <c r="AR293" s="31"/>
      <c r="AS293" s="40" t="n">
        <v>203.503</v>
      </c>
      <c r="AT293" s="31"/>
      <c r="AU293" s="31"/>
      <c r="AV293" s="31"/>
      <c r="AW293" s="31"/>
      <c r="AX293" s="31"/>
      <c r="AY293" s="40" t="n">
        <v>276.188</v>
      </c>
      <c r="AZ293" s="31"/>
      <c r="BA293" s="31"/>
      <c r="BB293" s="31"/>
      <c r="BC293" s="31"/>
      <c r="BD293" s="31"/>
      <c r="BE293" s="40" t="n">
        <v>214.254</v>
      </c>
      <c r="BF293" s="31"/>
      <c r="BG293" s="31"/>
      <c r="BH293" s="31"/>
      <c r="BI293" s="31"/>
      <c r="BJ293" s="31"/>
      <c r="BK293" s="40" t="n">
        <v>292.789</v>
      </c>
      <c r="BL293" s="31"/>
      <c r="BM293" s="31"/>
      <c r="BN293" s="31"/>
      <c r="BO293" s="31"/>
      <c r="BP293" s="31"/>
      <c r="BQ293" s="40" t="n">
        <v>449</v>
      </c>
      <c r="BR293" s="31"/>
      <c r="BS293" s="31"/>
      <c r="BT293" s="31"/>
      <c r="BU293" s="31"/>
      <c r="BV293" s="31"/>
      <c r="BW293" s="40" t="n">
        <v>502.5</v>
      </c>
      <c r="BX293" s="31"/>
      <c r="BY293" s="31"/>
      <c r="BZ293" s="31"/>
      <c r="CA293" s="31"/>
      <c r="CB293" s="31"/>
      <c r="CC293" s="40" t="n">
        <v>378</v>
      </c>
      <c r="CD293" s="31"/>
      <c r="CE293" s="31"/>
      <c r="CF293" s="31"/>
      <c r="CG293" s="31"/>
      <c r="CH293" s="31"/>
      <c r="CI293" s="40" t="n">
        <v>457.9</v>
      </c>
      <c r="CJ293" s="31"/>
      <c r="CK293" s="31"/>
      <c r="CL293" s="40" t="n">
        <v>542.4</v>
      </c>
      <c r="CM293" s="32"/>
      <c r="CN293" s="32"/>
      <c r="CO293" s="32" t="n">
        <f aca="false">CO39*CO323/365</f>
        <v>512.690260273973</v>
      </c>
      <c r="CP293" s="32" t="n">
        <f aca="false">CP39*CP323/365</f>
        <v>540.62063680749</v>
      </c>
      <c r="CQ293" s="32" t="n">
        <f aca="false">CQ39*CQ323/365</f>
        <v>566.434860982361</v>
      </c>
      <c r="CR293" s="32" t="n">
        <f aca="false">CR39*CR323/365</f>
        <v>590.733485968572</v>
      </c>
      <c r="CS293" s="32" t="n">
        <f aca="false">CS39*CS323/365</f>
        <v>616.078717531368</v>
      </c>
      <c r="CT293" s="23" t="s">
        <v>474</v>
      </c>
      <c r="CV293" s="7"/>
      <c r="CW293" s="7"/>
      <c r="CX293" s="7"/>
      <c r="CY293" s="7"/>
    </row>
    <row r="294" customFormat="false" ht="15" hidden="false" customHeight="true" outlineLevel="0" collapsed="false">
      <c r="B294" s="13" t="s">
        <v>475</v>
      </c>
      <c r="C294" s="40" t="n">
        <v>68.347</v>
      </c>
      <c r="D294" s="40" t="n">
        <v>98.039</v>
      </c>
      <c r="E294" s="40" t="n">
        <v>84.114</v>
      </c>
      <c r="F294" s="40" t="n">
        <v>88.402</v>
      </c>
      <c r="G294" s="40" t="n">
        <v>87.685</v>
      </c>
      <c r="H294" s="40" t="n">
        <v>100.868</v>
      </c>
      <c r="I294" s="40" t="n">
        <v>117.766</v>
      </c>
      <c r="J294" s="31"/>
      <c r="K294" s="31"/>
      <c r="L294" s="31"/>
      <c r="M294" s="31"/>
      <c r="N294" s="31"/>
      <c r="O294" s="40" t="n">
        <v>120.276</v>
      </c>
      <c r="P294" s="31"/>
      <c r="Q294" s="31"/>
      <c r="R294" s="31"/>
      <c r="S294" s="31"/>
      <c r="T294" s="31"/>
      <c r="U294" s="40" t="n">
        <v>126.738</v>
      </c>
      <c r="V294" s="31"/>
      <c r="W294" s="31"/>
      <c r="X294" s="31"/>
      <c r="Y294" s="31"/>
      <c r="Z294" s="31"/>
      <c r="AA294" s="40" t="n">
        <v>120.042</v>
      </c>
      <c r="AB294" s="31"/>
      <c r="AC294" s="31"/>
      <c r="AD294" s="31"/>
      <c r="AE294" s="31"/>
      <c r="AF294" s="31"/>
      <c r="AG294" s="40" t="n">
        <v>124.694</v>
      </c>
      <c r="AH294" s="31"/>
      <c r="AI294" s="31"/>
      <c r="AJ294" s="31"/>
      <c r="AK294" s="31"/>
      <c r="AL294" s="31"/>
      <c r="AM294" s="40" t="n">
        <v>164.553</v>
      </c>
      <c r="AN294" s="31"/>
      <c r="AO294" s="31"/>
      <c r="AP294" s="31"/>
      <c r="AQ294" s="31"/>
      <c r="AR294" s="31"/>
      <c r="AS294" s="40" t="n">
        <v>201.255</v>
      </c>
      <c r="AT294" s="31"/>
      <c r="AU294" s="31"/>
      <c r="AV294" s="31"/>
      <c r="AW294" s="31"/>
      <c r="AX294" s="31"/>
      <c r="AY294" s="40" t="n">
        <v>183.362</v>
      </c>
      <c r="AZ294" s="31"/>
      <c r="BA294" s="31"/>
      <c r="BB294" s="31"/>
      <c r="BC294" s="31"/>
      <c r="BD294" s="31"/>
      <c r="BE294" s="40" t="n">
        <v>233.363</v>
      </c>
      <c r="BF294" s="31"/>
      <c r="BG294" s="31"/>
      <c r="BH294" s="31"/>
      <c r="BI294" s="31"/>
      <c r="BJ294" s="31"/>
      <c r="BK294" s="40" t="n">
        <v>268.134</v>
      </c>
      <c r="BL294" s="31"/>
      <c r="BM294" s="31"/>
      <c r="BN294" s="31"/>
      <c r="BO294" s="31"/>
      <c r="BP294" s="31"/>
      <c r="BQ294" s="40" t="n">
        <v>258.7</v>
      </c>
      <c r="BR294" s="31"/>
      <c r="BS294" s="31"/>
      <c r="BT294" s="31"/>
      <c r="BU294" s="31"/>
      <c r="BV294" s="31"/>
      <c r="BW294" s="40" t="n">
        <v>685.8</v>
      </c>
      <c r="BX294" s="31"/>
      <c r="BY294" s="31"/>
      <c r="BZ294" s="31"/>
      <c r="CA294" s="31"/>
      <c r="CB294" s="31"/>
      <c r="CC294" s="40" t="n">
        <v>782</v>
      </c>
      <c r="CD294" s="31"/>
      <c r="CE294" s="31"/>
      <c r="CF294" s="31"/>
      <c r="CG294" s="31"/>
      <c r="CH294" s="31"/>
      <c r="CI294" s="40" t="n">
        <v>836.5</v>
      </c>
      <c r="CJ294" s="31"/>
      <c r="CK294" s="31"/>
      <c r="CL294" s="40" t="n">
        <v>691.4</v>
      </c>
      <c r="CM294" s="32"/>
      <c r="CN294" s="32"/>
      <c r="CO294" s="32" t="n">
        <f aca="false">CO95*CO325</f>
        <v>876.05912249454</v>
      </c>
      <c r="CP294" s="32" t="n">
        <f aca="false">CP95*CP325</f>
        <v>920.857151362091</v>
      </c>
      <c r="CQ294" s="32" t="n">
        <f aca="false">CQ95*CQ325</f>
        <v>964.827379873287</v>
      </c>
      <c r="CR294" s="32" t="n">
        <f aca="false">CR95*CR325</f>
        <v>1006.21603776647</v>
      </c>
      <c r="CS294" s="32" t="n">
        <f aca="false">CS95*CS325</f>
        <v>1049.38741552843</v>
      </c>
      <c r="CT294" s="23"/>
      <c r="CV294" s="7"/>
      <c r="CW294" s="7"/>
      <c r="CX294" s="7"/>
      <c r="CY294" s="7"/>
    </row>
    <row r="295" customFormat="false" ht="15" hidden="false" customHeight="true" outlineLevel="0" collapsed="false">
      <c r="B295" s="13" t="s">
        <v>476</v>
      </c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40" t="n">
        <v>10.917</v>
      </c>
      <c r="AZ295" s="31"/>
      <c r="BA295" s="31"/>
      <c r="BB295" s="31"/>
      <c r="BC295" s="31"/>
      <c r="BD295" s="31"/>
      <c r="BE295" s="40" t="n">
        <v>10.423</v>
      </c>
      <c r="BF295" s="31"/>
      <c r="BG295" s="31"/>
      <c r="BH295" s="31"/>
      <c r="BI295" s="31"/>
      <c r="BJ295" s="31"/>
      <c r="BK295" s="40" t="n">
        <v>12.174</v>
      </c>
      <c r="BL295" s="31"/>
      <c r="BM295" s="31"/>
      <c r="BN295" s="31"/>
      <c r="BO295" s="31"/>
      <c r="BP295" s="31"/>
      <c r="BQ295" s="40" t="n">
        <v>12.7</v>
      </c>
      <c r="BR295" s="31"/>
      <c r="BS295" s="31"/>
      <c r="BT295" s="31"/>
      <c r="BU295" s="31"/>
      <c r="BV295" s="31"/>
      <c r="BW295" s="40" t="n">
        <v>118</v>
      </c>
      <c r="BX295" s="31"/>
      <c r="BY295" s="31"/>
      <c r="BZ295" s="31"/>
      <c r="CA295" s="31"/>
      <c r="CB295" s="31"/>
      <c r="CC295" s="40" t="n">
        <v>113.3</v>
      </c>
      <c r="CD295" s="31"/>
      <c r="CE295" s="31"/>
      <c r="CF295" s="31"/>
      <c r="CG295" s="31"/>
      <c r="CH295" s="31"/>
      <c r="CI295" s="40" t="n">
        <v>128.2</v>
      </c>
      <c r="CJ295" s="31"/>
      <c r="CK295" s="31"/>
      <c r="CL295" s="40" t="n">
        <v>130.3</v>
      </c>
      <c r="CM295" s="32"/>
      <c r="CN295" s="32"/>
      <c r="CO295" s="32" t="n">
        <f aca="false">CI295</f>
        <v>128.2</v>
      </c>
      <c r="CP295" s="32" t="n">
        <f aca="false">CO295</f>
        <v>128.2</v>
      </c>
      <c r="CQ295" s="32" t="n">
        <f aca="false">CP295</f>
        <v>128.2</v>
      </c>
      <c r="CR295" s="32" t="n">
        <f aca="false">CQ295</f>
        <v>128.2</v>
      </c>
      <c r="CS295" s="32" t="n">
        <f aca="false">CR295</f>
        <v>128.2</v>
      </c>
      <c r="CT295" s="23"/>
      <c r="CV295" s="7"/>
      <c r="CW295" s="7"/>
      <c r="CX295" s="7"/>
      <c r="CY295" s="7"/>
    </row>
    <row r="296" customFormat="false" ht="15" hidden="false" customHeight="true" outlineLevel="0" collapsed="false">
      <c r="B296" s="13" t="s">
        <v>477</v>
      </c>
      <c r="C296" s="40" t="n">
        <v>0</v>
      </c>
      <c r="D296" s="31"/>
      <c r="E296" s="31"/>
      <c r="F296" s="40" t="n">
        <v>0</v>
      </c>
      <c r="G296" s="40" t="n">
        <v>1.9</v>
      </c>
      <c r="H296" s="40" t="n">
        <v>8.077</v>
      </c>
      <c r="I296" s="40" t="n">
        <v>5.163</v>
      </c>
      <c r="J296" s="31"/>
      <c r="K296" s="31"/>
      <c r="L296" s="31"/>
      <c r="M296" s="31"/>
      <c r="N296" s="31"/>
      <c r="O296" s="40" t="n">
        <v>7.806</v>
      </c>
      <c r="P296" s="31"/>
      <c r="Q296" s="31"/>
      <c r="R296" s="31"/>
      <c r="S296" s="31"/>
      <c r="T296" s="31"/>
      <c r="U296" s="40" t="n">
        <v>10.136</v>
      </c>
      <c r="V296" s="31"/>
      <c r="W296" s="31"/>
      <c r="X296" s="31"/>
      <c r="Y296" s="31"/>
      <c r="Z296" s="31"/>
      <c r="AA296" s="40" t="n">
        <v>13.011</v>
      </c>
      <c r="AB296" s="31"/>
      <c r="AC296" s="31"/>
      <c r="AD296" s="31"/>
      <c r="AE296" s="31"/>
      <c r="AF296" s="31"/>
      <c r="AG296" s="40" t="n">
        <v>5.355</v>
      </c>
      <c r="AH296" s="31"/>
      <c r="AI296" s="31"/>
      <c r="AJ296" s="31"/>
      <c r="AK296" s="31"/>
      <c r="AL296" s="31"/>
      <c r="AM296" s="40" t="n">
        <v>0.732</v>
      </c>
      <c r="AN296" s="31"/>
      <c r="AO296" s="31"/>
      <c r="AP296" s="31"/>
      <c r="AQ296" s="31"/>
      <c r="AR296" s="31"/>
      <c r="AS296" s="40" t="n">
        <v>2.312</v>
      </c>
      <c r="AT296" s="31"/>
      <c r="AU296" s="31"/>
      <c r="AV296" s="31"/>
      <c r="AW296" s="31"/>
      <c r="AX296" s="31"/>
      <c r="AY296" s="40" t="n">
        <v>7.809</v>
      </c>
      <c r="AZ296" s="31"/>
      <c r="BA296" s="31"/>
      <c r="BB296" s="31"/>
      <c r="BC296" s="31"/>
      <c r="BD296" s="31"/>
      <c r="BE296" s="40" t="n">
        <v>17.032</v>
      </c>
      <c r="BF296" s="31"/>
      <c r="BG296" s="31"/>
      <c r="BH296" s="31"/>
      <c r="BI296" s="31"/>
      <c r="BJ296" s="31"/>
      <c r="BK296" s="40" t="n">
        <v>5.677</v>
      </c>
      <c r="BL296" s="31"/>
      <c r="BM296" s="31"/>
      <c r="BN296" s="31"/>
      <c r="BO296" s="31"/>
      <c r="BP296" s="31"/>
      <c r="BQ296" s="40" t="n">
        <v>41.3</v>
      </c>
      <c r="BR296" s="31"/>
      <c r="BS296" s="31"/>
      <c r="BT296" s="31"/>
      <c r="BU296" s="31"/>
      <c r="BV296" s="31"/>
      <c r="BW296" s="40" t="n">
        <v>8.5</v>
      </c>
      <c r="BX296" s="31"/>
      <c r="BY296" s="31"/>
      <c r="BZ296" s="31"/>
      <c r="CA296" s="31"/>
      <c r="CB296" s="31"/>
      <c r="CC296" s="40" t="n">
        <v>26.2</v>
      </c>
      <c r="CD296" s="31"/>
      <c r="CE296" s="31"/>
      <c r="CF296" s="31"/>
      <c r="CG296" s="31"/>
      <c r="CH296" s="31"/>
      <c r="CI296" s="40" t="n">
        <v>6.7</v>
      </c>
      <c r="CJ296" s="31"/>
      <c r="CK296" s="31"/>
      <c r="CL296" s="40" t="n">
        <v>5.1</v>
      </c>
      <c r="CM296" s="32"/>
      <c r="CN296" s="32"/>
      <c r="CO296" s="32" t="n">
        <f aca="false">CI296</f>
        <v>6.7</v>
      </c>
      <c r="CP296" s="32" t="n">
        <f aca="false">CO296</f>
        <v>6.7</v>
      </c>
      <c r="CQ296" s="32" t="n">
        <f aca="false">CP296</f>
        <v>6.7</v>
      </c>
      <c r="CR296" s="32" t="n">
        <f aca="false">CQ296</f>
        <v>6.7</v>
      </c>
      <c r="CS296" s="32" t="n">
        <f aca="false">CR296</f>
        <v>6.7</v>
      </c>
      <c r="CT296" s="23"/>
      <c r="CV296" s="7"/>
      <c r="CW296" s="7"/>
      <c r="CX296" s="7"/>
      <c r="CY296" s="7"/>
    </row>
    <row r="297" customFormat="false" ht="15" hidden="false" customHeight="true" outlineLevel="0" collapsed="false">
      <c r="B297" s="13" t="s">
        <v>478</v>
      </c>
      <c r="C297" s="31"/>
      <c r="D297" s="31"/>
      <c r="E297" s="40" t="n">
        <v>0</v>
      </c>
      <c r="F297" s="40" t="n">
        <v>5.069</v>
      </c>
      <c r="G297" s="40" t="n">
        <v>1.087</v>
      </c>
      <c r="H297" s="40" t="n">
        <v>12.595</v>
      </c>
      <c r="I297" s="40" t="n">
        <v>39.48</v>
      </c>
      <c r="J297" s="31"/>
      <c r="K297" s="31"/>
      <c r="L297" s="31"/>
      <c r="M297" s="31"/>
      <c r="N297" s="31"/>
      <c r="O297" s="40" t="n">
        <v>34.391</v>
      </c>
      <c r="P297" s="31"/>
      <c r="Q297" s="31"/>
      <c r="R297" s="31"/>
      <c r="S297" s="31"/>
      <c r="T297" s="31"/>
      <c r="U297" s="40" t="n">
        <v>7.839</v>
      </c>
      <c r="V297" s="31"/>
      <c r="W297" s="31"/>
      <c r="X297" s="31"/>
      <c r="Y297" s="31"/>
      <c r="Z297" s="31"/>
      <c r="AA297" s="40" t="n">
        <v>12.35</v>
      </c>
      <c r="AB297" s="31"/>
      <c r="AC297" s="31"/>
      <c r="AD297" s="31"/>
      <c r="AE297" s="31"/>
      <c r="AF297" s="31"/>
      <c r="AG297" s="40" t="n">
        <v>23.912</v>
      </c>
      <c r="AH297" s="31"/>
      <c r="AI297" s="31"/>
      <c r="AJ297" s="31"/>
      <c r="AK297" s="31"/>
      <c r="AL297" s="31"/>
      <c r="AM297" s="40" t="n">
        <v>7.018</v>
      </c>
      <c r="AN297" s="31"/>
      <c r="AO297" s="31"/>
      <c r="AP297" s="31"/>
      <c r="AQ297" s="31"/>
      <c r="AR297" s="31"/>
      <c r="AS297" s="40" t="n">
        <v>19.896</v>
      </c>
      <c r="AT297" s="31"/>
      <c r="AU297" s="31"/>
      <c r="AV297" s="31"/>
      <c r="AW297" s="31"/>
      <c r="AX297" s="31"/>
      <c r="AY297" s="40" t="n">
        <v>4.705</v>
      </c>
      <c r="AZ297" s="31"/>
      <c r="BA297" s="31"/>
      <c r="BB297" s="31"/>
      <c r="BC297" s="31"/>
      <c r="BD297" s="31"/>
      <c r="BE297" s="40" t="n">
        <v>29.145</v>
      </c>
      <c r="BF297" s="31"/>
      <c r="BG297" s="31"/>
      <c r="BH297" s="31"/>
      <c r="BI297" s="31"/>
      <c r="BJ297" s="31"/>
      <c r="BK297" s="40" t="n">
        <v>6.147</v>
      </c>
      <c r="BL297" s="31"/>
      <c r="BM297" s="31"/>
      <c r="BN297" s="31"/>
      <c r="BO297" s="31"/>
      <c r="BP297" s="31"/>
      <c r="BQ297" s="40" t="n">
        <v>29.1</v>
      </c>
      <c r="BR297" s="31"/>
      <c r="BS297" s="31"/>
      <c r="BT297" s="31"/>
      <c r="BU297" s="31"/>
      <c r="BV297" s="31"/>
      <c r="BW297" s="40" t="n">
        <v>13.7</v>
      </c>
      <c r="BX297" s="31"/>
      <c r="BY297" s="31"/>
      <c r="BZ297" s="31"/>
      <c r="CA297" s="31"/>
      <c r="CB297" s="31"/>
      <c r="CC297" s="40" t="n">
        <v>27.7</v>
      </c>
      <c r="CD297" s="31"/>
      <c r="CE297" s="31"/>
      <c r="CF297" s="31"/>
      <c r="CG297" s="31"/>
      <c r="CH297" s="31"/>
      <c r="CI297" s="40" t="n">
        <v>137.5</v>
      </c>
      <c r="CJ297" s="31"/>
      <c r="CK297" s="31"/>
      <c r="CL297" s="40" t="n">
        <v>18.5</v>
      </c>
      <c r="CM297" s="32"/>
      <c r="CN297" s="32"/>
      <c r="CO297" s="32" t="n">
        <f aca="false">CI297</f>
        <v>137.5</v>
      </c>
      <c r="CP297" s="32" t="n">
        <f aca="false">CO297</f>
        <v>137.5</v>
      </c>
      <c r="CQ297" s="32" t="n">
        <f aca="false">CP297</f>
        <v>137.5</v>
      </c>
      <c r="CR297" s="32" t="n">
        <f aca="false">CQ297</f>
        <v>137.5</v>
      </c>
      <c r="CS297" s="32" t="n">
        <f aca="false">CR297</f>
        <v>137.5</v>
      </c>
      <c r="CT297" s="23"/>
      <c r="CV297" s="7"/>
      <c r="CW297" s="7"/>
      <c r="CX297" s="7"/>
      <c r="CY297" s="7"/>
    </row>
    <row r="298" customFormat="false" ht="15" hidden="false" customHeight="true" outlineLevel="0" collapsed="false">
      <c r="B298" s="13" t="s">
        <v>479</v>
      </c>
      <c r="C298" s="40" t="n">
        <v>0.237</v>
      </c>
      <c r="D298" s="40" t="n">
        <v>0.241</v>
      </c>
      <c r="E298" s="40" t="n">
        <v>0</v>
      </c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40" t="n">
        <v>0</v>
      </c>
      <c r="V298" s="31"/>
      <c r="W298" s="31"/>
      <c r="X298" s="31"/>
      <c r="Y298" s="31"/>
      <c r="Z298" s="31"/>
      <c r="AA298" s="40" t="n">
        <v>43.348</v>
      </c>
      <c r="AB298" s="31"/>
      <c r="AC298" s="31"/>
      <c r="AD298" s="31"/>
      <c r="AE298" s="31"/>
      <c r="AF298" s="31"/>
      <c r="AG298" s="40" t="n">
        <v>0</v>
      </c>
      <c r="AH298" s="31"/>
      <c r="AI298" s="31"/>
      <c r="AJ298" s="31"/>
      <c r="AK298" s="31"/>
      <c r="AL298" s="31"/>
      <c r="AM298" s="40" t="n">
        <v>16.907</v>
      </c>
      <c r="AN298" s="31"/>
      <c r="AO298" s="31"/>
      <c r="AP298" s="31"/>
      <c r="AQ298" s="31"/>
      <c r="AR298" s="31"/>
      <c r="AS298" s="40" t="n">
        <v>13.126</v>
      </c>
      <c r="AT298" s="31"/>
      <c r="AU298" s="31"/>
      <c r="AV298" s="31"/>
      <c r="AW298" s="31"/>
      <c r="AX298" s="31"/>
      <c r="AY298" s="40" t="n">
        <v>18.277</v>
      </c>
      <c r="AZ298" s="31"/>
      <c r="BA298" s="31"/>
      <c r="BB298" s="31"/>
      <c r="BC298" s="31"/>
      <c r="BD298" s="31"/>
      <c r="BE298" s="40" t="n">
        <v>10.36</v>
      </c>
      <c r="BF298" s="31"/>
      <c r="BG298" s="31"/>
      <c r="BH298" s="31"/>
      <c r="BI298" s="31"/>
      <c r="BJ298" s="31"/>
      <c r="BK298" s="40" t="n">
        <v>3.498</v>
      </c>
      <c r="BL298" s="31"/>
      <c r="BM298" s="31"/>
      <c r="BN298" s="31"/>
      <c r="BO298" s="31"/>
      <c r="BP298" s="31"/>
      <c r="BQ298" s="40" t="n">
        <v>4.4</v>
      </c>
      <c r="BR298" s="31"/>
      <c r="BS298" s="31"/>
      <c r="BT298" s="31"/>
      <c r="BU298" s="31"/>
      <c r="BV298" s="31"/>
      <c r="BW298" s="40" t="n">
        <v>14.2</v>
      </c>
      <c r="BX298" s="31"/>
      <c r="BY298" s="31"/>
      <c r="BZ298" s="31"/>
      <c r="CA298" s="31"/>
      <c r="CB298" s="31"/>
      <c r="CC298" s="40" t="n">
        <v>4.1</v>
      </c>
      <c r="CD298" s="31"/>
      <c r="CE298" s="31"/>
      <c r="CF298" s="31"/>
      <c r="CG298" s="31"/>
      <c r="CH298" s="31"/>
      <c r="CI298" s="40" t="n">
        <v>51.2</v>
      </c>
      <c r="CJ298" s="31"/>
      <c r="CK298" s="31"/>
      <c r="CL298" s="40" t="n">
        <v>51.1</v>
      </c>
      <c r="CM298" s="32"/>
      <c r="CN298" s="32"/>
      <c r="CO298" s="32" t="n">
        <f aca="false">CI298</f>
        <v>51.2</v>
      </c>
      <c r="CP298" s="32" t="n">
        <f aca="false">CO298</f>
        <v>51.2</v>
      </c>
      <c r="CQ298" s="32" t="n">
        <f aca="false">CP298</f>
        <v>51.2</v>
      </c>
      <c r="CR298" s="32" t="n">
        <f aca="false">CQ298</f>
        <v>51.2</v>
      </c>
      <c r="CS298" s="32" t="n">
        <f aca="false">CR298</f>
        <v>51.2</v>
      </c>
      <c r="CT298" s="23"/>
      <c r="CV298" s="7"/>
      <c r="CW298" s="7"/>
      <c r="CX298" s="7"/>
      <c r="CY298" s="7"/>
    </row>
    <row r="299" customFormat="false" ht="15" hidden="false" customHeight="true" outlineLevel="0" collapsed="false">
      <c r="B299" s="13" t="s">
        <v>480</v>
      </c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2"/>
      <c r="CN299" s="32"/>
      <c r="CO299" s="32" t="n">
        <f aca="false">CI299</f>
        <v>0</v>
      </c>
      <c r="CP299" s="32" t="n">
        <f aca="false">CO299</f>
        <v>0</v>
      </c>
      <c r="CQ299" s="32" t="n">
        <f aca="false">CP299</f>
        <v>0</v>
      </c>
      <c r="CR299" s="32" t="n">
        <f aca="false">CQ299</f>
        <v>0</v>
      </c>
      <c r="CS299" s="32" t="n">
        <f aca="false">CR299</f>
        <v>0</v>
      </c>
      <c r="CT299" s="23"/>
      <c r="CV299" s="7"/>
      <c r="CW299" s="7"/>
      <c r="CX299" s="7"/>
      <c r="CY299" s="7"/>
    </row>
    <row r="300" customFormat="false" ht="15" hidden="false" customHeight="true" outlineLevel="0" collapsed="false">
      <c r="B300" s="19" t="s">
        <v>481</v>
      </c>
      <c r="C300" s="20" t="n">
        <f aca="false">IF(ISNUMBER(C293),SUM(C293:C299),"")</f>
        <v>133.698</v>
      </c>
      <c r="D300" s="20" t="n">
        <f aca="false">IF(ISNUMBER(D293),SUM(D293:D299),"")</f>
        <v>178.978</v>
      </c>
      <c r="E300" s="20" t="n">
        <f aca="false">IF(ISNUMBER(E293),SUM(E293:E299),"")</f>
        <v>146.831</v>
      </c>
      <c r="F300" s="20" t="n">
        <f aca="false">IF(ISNUMBER(F293),SUM(F293:F299),"")</f>
        <v>168.197</v>
      </c>
      <c r="G300" s="20" t="n">
        <f aca="false">IF(ISNUMBER(G293),SUM(G293:G299),"")</f>
        <v>137.135</v>
      </c>
      <c r="H300" s="20" t="n">
        <f aca="false">IF(ISNUMBER(H293),SUM(H293:H299),"")</f>
        <v>190.544</v>
      </c>
      <c r="I300" s="20" t="n">
        <f aca="false">IF(ISNUMBER(I293),SUM(I293:I299),"")</f>
        <v>249.548</v>
      </c>
      <c r="J300" s="20"/>
      <c r="K300" s="20"/>
      <c r="L300" s="20"/>
      <c r="M300" s="20"/>
      <c r="N300" s="20"/>
      <c r="O300" s="20" t="n">
        <f aca="false">IF(ISNUMBER(O293),SUM(O293:O299),"")</f>
        <v>288.331</v>
      </c>
      <c r="P300" s="20"/>
      <c r="Q300" s="20"/>
      <c r="R300" s="20"/>
      <c r="S300" s="20"/>
      <c r="T300" s="20"/>
      <c r="U300" s="20" t="n">
        <f aca="false">IF(ISNUMBER(U293),SUM(U293:U299),"")</f>
        <v>254.091</v>
      </c>
      <c r="V300" s="20"/>
      <c r="W300" s="20"/>
      <c r="X300" s="20"/>
      <c r="Y300" s="20"/>
      <c r="Z300" s="20"/>
      <c r="AA300" s="20" t="n">
        <f aca="false">IF(ISNUMBER(AA293),SUM(AA293:AA299),"")</f>
        <v>289.966</v>
      </c>
      <c r="AB300" s="20"/>
      <c r="AC300" s="20"/>
      <c r="AD300" s="20"/>
      <c r="AE300" s="20"/>
      <c r="AF300" s="20"/>
      <c r="AG300" s="20" t="n">
        <f aca="false">IF(ISNUMBER(AG293),SUM(AG293:AG299),"")</f>
        <v>252.834</v>
      </c>
      <c r="AH300" s="20"/>
      <c r="AI300" s="20"/>
      <c r="AJ300" s="20"/>
      <c r="AK300" s="20"/>
      <c r="AL300" s="20"/>
      <c r="AM300" s="20" t="n">
        <f aca="false">IF(ISNUMBER(AM293),SUM(AM293:AM299),"")</f>
        <v>388.455</v>
      </c>
      <c r="AN300" s="20"/>
      <c r="AO300" s="20"/>
      <c r="AP300" s="20"/>
      <c r="AQ300" s="20"/>
      <c r="AR300" s="20"/>
      <c r="AS300" s="20" t="n">
        <f aca="false">IF(ISNUMBER(AS293),SUM(AS293:AS299),"")</f>
        <v>440.092</v>
      </c>
      <c r="AT300" s="20"/>
      <c r="AU300" s="20"/>
      <c r="AV300" s="20"/>
      <c r="AW300" s="20"/>
      <c r="AX300" s="20"/>
      <c r="AY300" s="20" t="n">
        <f aca="false">IF(ISNUMBER(AY293),SUM(AY293:AY299),"")</f>
        <v>501.258</v>
      </c>
      <c r="AZ300" s="20"/>
      <c r="BA300" s="20"/>
      <c r="BB300" s="20"/>
      <c r="BC300" s="20"/>
      <c r="BD300" s="20"/>
      <c r="BE300" s="20" t="n">
        <f aca="false">IF(ISNUMBER(BE293),SUM(BE293:BE299),"")</f>
        <v>514.577</v>
      </c>
      <c r="BF300" s="20"/>
      <c r="BG300" s="20"/>
      <c r="BH300" s="20"/>
      <c r="BI300" s="20"/>
      <c r="BJ300" s="20"/>
      <c r="BK300" s="20" t="n">
        <f aca="false">IF(ISNUMBER(BK293),SUM(BK293:BK299),"")</f>
        <v>588.419</v>
      </c>
      <c r="BL300" s="20"/>
      <c r="BM300" s="20"/>
      <c r="BN300" s="20"/>
      <c r="BO300" s="20"/>
      <c r="BP300" s="20"/>
      <c r="BQ300" s="20" t="n">
        <f aca="false">IF(ISNUMBER(BQ293),SUM(BQ293:BQ299),"")</f>
        <v>795.2</v>
      </c>
      <c r="BR300" s="20"/>
      <c r="BS300" s="20"/>
      <c r="BT300" s="20"/>
      <c r="BU300" s="20"/>
      <c r="BV300" s="20"/>
      <c r="BW300" s="20" t="n">
        <f aca="false">IF(ISNUMBER(BW293),SUM(BW293:BW299),"")</f>
        <v>1342.7</v>
      </c>
      <c r="BX300" s="20"/>
      <c r="BY300" s="20"/>
      <c r="BZ300" s="20"/>
      <c r="CA300" s="20"/>
      <c r="CB300" s="20"/>
      <c r="CC300" s="20" t="n">
        <f aca="false">IF(ISNUMBER(CC293),SUM(CC293:CC299),"")</f>
        <v>1331.3</v>
      </c>
      <c r="CD300" s="20"/>
      <c r="CE300" s="20"/>
      <c r="CF300" s="20"/>
      <c r="CG300" s="20"/>
      <c r="CH300" s="20"/>
      <c r="CI300" s="20" t="n">
        <f aca="false">IF(ISNUMBER(CI293),SUM(CI293:CI299),"")</f>
        <v>1618</v>
      </c>
      <c r="CJ300" s="20"/>
      <c r="CK300" s="20"/>
      <c r="CL300" s="20" t="n">
        <f aca="false">IF(ISNUMBER(CL293),SUM(CL293:CL299),"")</f>
        <v>1438.8</v>
      </c>
      <c r="CM300" s="22"/>
      <c r="CN300" s="22"/>
      <c r="CO300" s="22" t="n">
        <f aca="false">SUM(CO293:CO299)</f>
        <v>1712.34938276851</v>
      </c>
      <c r="CP300" s="22" t="n">
        <f aca="false">SUM(CP293:CP299)</f>
        <v>1785.07778816958</v>
      </c>
      <c r="CQ300" s="22" t="n">
        <f aca="false">SUM(CQ293:CQ299)</f>
        <v>1854.86224085565</v>
      </c>
      <c r="CR300" s="22" t="n">
        <f aca="false">SUM(CR293:CR299)</f>
        <v>1920.54952373504</v>
      </c>
      <c r="CS300" s="22" t="n">
        <f aca="false">SUM(CS293:CS299)</f>
        <v>1989.0661330598</v>
      </c>
      <c r="CT300" s="23"/>
      <c r="CV300" s="7"/>
      <c r="CW300" s="7"/>
      <c r="CX300" s="7"/>
      <c r="CY300" s="7"/>
    </row>
    <row r="301" customFormat="false" ht="15" hidden="false" customHeight="true" outlineLevel="0" collapsed="false">
      <c r="B301" s="13" t="s">
        <v>482</v>
      </c>
      <c r="C301" s="40" t="n">
        <v>43.081</v>
      </c>
      <c r="D301" s="40" t="n">
        <v>44.844</v>
      </c>
      <c r="E301" s="40" t="n">
        <v>67.411</v>
      </c>
      <c r="F301" s="40" t="n">
        <v>130.394</v>
      </c>
      <c r="G301" s="40" t="n">
        <v>135.886</v>
      </c>
      <c r="H301" s="40" t="n">
        <v>133.881</v>
      </c>
      <c r="I301" s="40" t="n">
        <v>200.746</v>
      </c>
      <c r="J301" s="31"/>
      <c r="K301" s="31"/>
      <c r="L301" s="31"/>
      <c r="M301" s="31"/>
      <c r="N301" s="31"/>
      <c r="O301" s="40" t="n">
        <v>147.234</v>
      </c>
      <c r="P301" s="31"/>
      <c r="Q301" s="31"/>
      <c r="R301" s="31"/>
      <c r="S301" s="31"/>
      <c r="T301" s="31"/>
      <c r="U301" s="40" t="n">
        <v>110.846</v>
      </c>
      <c r="V301" s="31"/>
      <c r="W301" s="31"/>
      <c r="X301" s="31"/>
      <c r="Y301" s="31"/>
      <c r="Z301" s="31"/>
      <c r="AA301" s="40" t="n">
        <v>54.567</v>
      </c>
      <c r="AB301" s="31"/>
      <c r="AC301" s="31"/>
      <c r="AD301" s="31"/>
      <c r="AE301" s="31"/>
      <c r="AF301" s="31"/>
      <c r="AG301" s="40" t="n">
        <v>595.706</v>
      </c>
      <c r="AH301" s="31"/>
      <c r="AI301" s="31"/>
      <c r="AJ301" s="31"/>
      <c r="AK301" s="31"/>
      <c r="AL301" s="31"/>
      <c r="AM301" s="40" t="n">
        <v>795.985</v>
      </c>
      <c r="AN301" s="31"/>
      <c r="AO301" s="31"/>
      <c r="AP301" s="31"/>
      <c r="AQ301" s="31"/>
      <c r="AR301" s="31"/>
      <c r="AS301" s="40" t="n">
        <v>698.172</v>
      </c>
      <c r="AT301" s="31"/>
      <c r="AU301" s="31"/>
      <c r="AV301" s="31"/>
      <c r="AW301" s="31"/>
      <c r="AX301" s="31"/>
      <c r="AY301" s="40" t="n">
        <v>627.204</v>
      </c>
      <c r="AZ301" s="31"/>
      <c r="BA301" s="31"/>
      <c r="BB301" s="31"/>
      <c r="BC301" s="31"/>
      <c r="BD301" s="31"/>
      <c r="BE301" s="40" t="n">
        <v>626.288</v>
      </c>
      <c r="BF301" s="31"/>
      <c r="BG301" s="31"/>
      <c r="BH301" s="31"/>
      <c r="BI301" s="31"/>
      <c r="BJ301" s="31"/>
      <c r="BK301" s="40" t="n">
        <v>1733.94</v>
      </c>
      <c r="BL301" s="31"/>
      <c r="BM301" s="31"/>
      <c r="BN301" s="31"/>
      <c r="BO301" s="31"/>
      <c r="BP301" s="31"/>
      <c r="BQ301" s="40" t="n">
        <v>577.1</v>
      </c>
      <c r="BR301" s="31"/>
      <c r="BS301" s="31"/>
      <c r="BT301" s="31"/>
      <c r="BU301" s="31"/>
      <c r="BV301" s="31"/>
      <c r="BW301" s="40" t="n">
        <v>3061.6</v>
      </c>
      <c r="BX301" s="31"/>
      <c r="BY301" s="31"/>
      <c r="BZ301" s="31"/>
      <c r="CA301" s="31"/>
      <c r="CB301" s="31"/>
      <c r="CC301" s="40" t="n">
        <v>2622.1</v>
      </c>
      <c r="CD301" s="31"/>
      <c r="CE301" s="31"/>
      <c r="CF301" s="31"/>
      <c r="CG301" s="31"/>
      <c r="CH301" s="31"/>
      <c r="CI301" s="40" t="n">
        <v>2282.8</v>
      </c>
      <c r="CJ301" s="31"/>
      <c r="CK301" s="31"/>
      <c r="CL301" s="40" t="n">
        <v>2834.5</v>
      </c>
      <c r="CM301" s="32"/>
      <c r="CN301" s="32"/>
      <c r="CO301" s="32" t="n">
        <f aca="false">CO340-CO297-CO298</f>
        <v>2611.3</v>
      </c>
      <c r="CP301" s="32" t="n">
        <f aca="false">CP340-CP297-CP298</f>
        <v>2511.3</v>
      </c>
      <c r="CQ301" s="32" t="n">
        <f aca="false">CQ340-CQ297-CQ298</f>
        <v>2411.3</v>
      </c>
      <c r="CR301" s="32" t="n">
        <f aca="false">CR340-CR297-CR298</f>
        <v>2311.3</v>
      </c>
      <c r="CS301" s="32" t="n">
        <f aca="false">CS340-CS297-CS298</f>
        <v>2211.3</v>
      </c>
      <c r="CT301" s="23"/>
      <c r="CV301" s="7"/>
      <c r="CW301" s="7"/>
      <c r="CX301" s="7"/>
      <c r="CY301" s="7"/>
    </row>
    <row r="302" customFormat="false" ht="15" hidden="false" customHeight="true" outlineLevel="0" collapsed="false">
      <c r="B302" s="13" t="s">
        <v>483</v>
      </c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40" t="n">
        <v>111.322</v>
      </c>
      <c r="AZ302" s="31"/>
      <c r="BA302" s="31"/>
      <c r="BB302" s="31"/>
      <c r="BC302" s="31"/>
      <c r="BD302" s="31"/>
      <c r="BE302" s="40" t="n">
        <v>112.818</v>
      </c>
      <c r="BF302" s="31"/>
      <c r="BG302" s="31"/>
      <c r="BH302" s="31"/>
      <c r="BI302" s="31"/>
      <c r="BJ302" s="31"/>
      <c r="BK302" s="40" t="n">
        <v>109.882</v>
      </c>
      <c r="BL302" s="31"/>
      <c r="BM302" s="31"/>
      <c r="BN302" s="31"/>
      <c r="BO302" s="31"/>
      <c r="BP302" s="31"/>
      <c r="BQ302" s="40" t="n">
        <v>111.9</v>
      </c>
      <c r="BR302" s="31"/>
      <c r="BS302" s="31"/>
      <c r="BT302" s="31"/>
      <c r="BU302" s="31"/>
      <c r="BV302" s="31"/>
      <c r="BW302" s="40" t="n">
        <v>1354.3</v>
      </c>
      <c r="BX302" s="31"/>
      <c r="BY302" s="31"/>
      <c r="BZ302" s="31"/>
      <c r="CA302" s="31"/>
      <c r="CB302" s="31"/>
      <c r="CC302" s="40" t="n">
        <v>1431.1</v>
      </c>
      <c r="CD302" s="31"/>
      <c r="CE302" s="31"/>
      <c r="CF302" s="31"/>
      <c r="CG302" s="31"/>
      <c r="CH302" s="31"/>
      <c r="CI302" s="40" t="n">
        <v>1456.8</v>
      </c>
      <c r="CJ302" s="31"/>
      <c r="CK302" s="31"/>
      <c r="CL302" s="40" t="n">
        <v>1445.5</v>
      </c>
      <c r="CM302" s="32"/>
      <c r="CN302" s="32"/>
      <c r="CO302" s="32" t="n">
        <f aca="false">CI302</f>
        <v>1456.8</v>
      </c>
      <c r="CP302" s="32" t="n">
        <f aca="false">CO302</f>
        <v>1456.8</v>
      </c>
      <c r="CQ302" s="32" t="n">
        <f aca="false">CP302</f>
        <v>1456.8</v>
      </c>
      <c r="CR302" s="32" t="n">
        <f aca="false">CQ302</f>
        <v>1456.8</v>
      </c>
      <c r="CS302" s="32" t="n">
        <f aca="false">CR302</f>
        <v>1456.8</v>
      </c>
      <c r="CT302" s="23"/>
      <c r="CV302" s="7"/>
      <c r="CW302" s="7"/>
      <c r="CX302" s="7"/>
      <c r="CY302" s="7"/>
    </row>
    <row r="303" customFormat="false" ht="15" hidden="false" customHeight="true" outlineLevel="0" collapsed="false">
      <c r="B303" s="13" t="s">
        <v>484</v>
      </c>
      <c r="C303" s="40" t="n">
        <v>0</v>
      </c>
      <c r="D303" s="40" t="n">
        <v>0.385</v>
      </c>
      <c r="E303" s="40" t="n">
        <v>0.06</v>
      </c>
      <c r="F303" s="40" t="n">
        <v>1.254</v>
      </c>
      <c r="G303" s="40" t="n">
        <v>1.659</v>
      </c>
      <c r="H303" s="40" t="n">
        <v>4.309</v>
      </c>
      <c r="I303" s="40" t="n">
        <v>5.193</v>
      </c>
      <c r="J303" s="31"/>
      <c r="K303" s="31"/>
      <c r="L303" s="31"/>
      <c r="M303" s="31"/>
      <c r="N303" s="31"/>
      <c r="O303" s="40" t="n">
        <v>8.103</v>
      </c>
      <c r="P303" s="31"/>
      <c r="Q303" s="31"/>
      <c r="R303" s="31"/>
      <c r="S303" s="31"/>
      <c r="T303" s="31"/>
      <c r="U303" s="40" t="n">
        <v>13.28</v>
      </c>
      <c r="V303" s="31"/>
      <c r="W303" s="31"/>
      <c r="X303" s="31"/>
      <c r="Y303" s="31"/>
      <c r="Z303" s="31"/>
      <c r="AA303" s="40" t="n">
        <v>12.368</v>
      </c>
      <c r="AB303" s="31"/>
      <c r="AC303" s="31"/>
      <c r="AD303" s="31"/>
      <c r="AE303" s="31"/>
      <c r="AF303" s="31"/>
      <c r="AG303" s="40" t="n">
        <v>38.088</v>
      </c>
      <c r="AH303" s="31"/>
      <c r="AI303" s="31"/>
      <c r="AJ303" s="31"/>
      <c r="AK303" s="31"/>
      <c r="AL303" s="31"/>
      <c r="AM303" s="40" t="n">
        <v>46.773</v>
      </c>
      <c r="AN303" s="31"/>
      <c r="AO303" s="31"/>
      <c r="AP303" s="31"/>
      <c r="AQ303" s="31"/>
      <c r="AR303" s="31"/>
      <c r="AS303" s="40" t="n">
        <v>41.98</v>
      </c>
      <c r="AT303" s="31"/>
      <c r="AU303" s="31"/>
      <c r="AV303" s="31"/>
      <c r="AW303" s="31"/>
      <c r="AX303" s="31"/>
      <c r="AY303" s="40" t="n">
        <v>39.916</v>
      </c>
      <c r="AZ303" s="31"/>
      <c r="BA303" s="31"/>
      <c r="BB303" s="31"/>
      <c r="BC303" s="31"/>
      <c r="BD303" s="31"/>
      <c r="BE303" s="40" t="n">
        <v>40.182</v>
      </c>
      <c r="BF303" s="31"/>
      <c r="BG303" s="31"/>
      <c r="BH303" s="31"/>
      <c r="BI303" s="31"/>
      <c r="BJ303" s="31"/>
      <c r="BK303" s="40" t="n">
        <v>37.378</v>
      </c>
      <c r="BL303" s="31"/>
      <c r="BM303" s="31"/>
      <c r="BN303" s="31"/>
      <c r="BO303" s="31"/>
      <c r="BP303" s="31"/>
      <c r="BQ303" s="40" t="n">
        <v>35.4</v>
      </c>
      <c r="BR303" s="31"/>
      <c r="BS303" s="31"/>
      <c r="BT303" s="31"/>
      <c r="BU303" s="31"/>
      <c r="BV303" s="31"/>
      <c r="BW303" s="40" t="n">
        <v>86.7</v>
      </c>
      <c r="BX303" s="31"/>
      <c r="BY303" s="31"/>
      <c r="BZ303" s="31"/>
      <c r="CA303" s="31"/>
      <c r="CB303" s="31"/>
      <c r="CC303" s="40" t="n">
        <v>97.4</v>
      </c>
      <c r="CD303" s="31"/>
      <c r="CE303" s="31"/>
      <c r="CF303" s="31"/>
      <c r="CG303" s="31"/>
      <c r="CH303" s="31"/>
      <c r="CI303" s="40" t="n">
        <v>158.5</v>
      </c>
      <c r="CJ303" s="31"/>
      <c r="CK303" s="31"/>
      <c r="CL303" s="40" t="n">
        <v>159.2</v>
      </c>
      <c r="CM303" s="32"/>
      <c r="CN303" s="32"/>
      <c r="CO303" s="32" t="n">
        <f aca="false">CI303</f>
        <v>158.5</v>
      </c>
      <c r="CP303" s="32" t="n">
        <f aca="false">CO303</f>
        <v>158.5</v>
      </c>
      <c r="CQ303" s="32" t="n">
        <f aca="false">CP303</f>
        <v>158.5</v>
      </c>
      <c r="CR303" s="32" t="n">
        <f aca="false">CQ303</f>
        <v>158.5</v>
      </c>
      <c r="CS303" s="32" t="n">
        <f aca="false">CR303</f>
        <v>158.5</v>
      </c>
      <c r="CT303" s="23"/>
      <c r="CV303" s="7"/>
      <c r="CW303" s="7"/>
      <c r="CX303" s="7"/>
      <c r="CY303" s="7"/>
    </row>
    <row r="304" customFormat="false" ht="15" hidden="false" customHeight="true" outlineLevel="0" collapsed="false">
      <c r="B304" s="13" t="s">
        <v>485</v>
      </c>
      <c r="C304" s="40" t="n">
        <v>8.811</v>
      </c>
      <c r="D304" s="40" t="n">
        <v>13.564</v>
      </c>
      <c r="E304" s="40" t="n">
        <v>10.024</v>
      </c>
      <c r="F304" s="40" t="n">
        <v>13.565</v>
      </c>
      <c r="G304" s="40" t="n">
        <v>18.011</v>
      </c>
      <c r="H304" s="40" t="n">
        <v>20.601</v>
      </c>
      <c r="I304" s="40" t="n">
        <v>20.48</v>
      </c>
      <c r="J304" s="31"/>
      <c r="K304" s="31"/>
      <c r="L304" s="31"/>
      <c r="M304" s="31"/>
      <c r="N304" s="31"/>
      <c r="O304" s="40" t="n">
        <v>24.076</v>
      </c>
      <c r="P304" s="31"/>
      <c r="Q304" s="31"/>
      <c r="R304" s="31"/>
      <c r="S304" s="31"/>
      <c r="T304" s="31"/>
      <c r="U304" s="40" t="n">
        <v>34.074</v>
      </c>
      <c r="V304" s="31"/>
      <c r="W304" s="31"/>
      <c r="X304" s="31"/>
      <c r="Y304" s="31"/>
      <c r="Z304" s="31"/>
      <c r="AA304" s="40" t="n">
        <v>31.07</v>
      </c>
      <c r="AB304" s="31"/>
      <c r="AC304" s="31"/>
      <c r="AD304" s="31"/>
      <c r="AE304" s="31"/>
      <c r="AF304" s="31"/>
      <c r="AG304" s="40" t="n">
        <v>17.125</v>
      </c>
      <c r="AH304" s="31"/>
      <c r="AI304" s="31"/>
      <c r="AJ304" s="31"/>
      <c r="AK304" s="31"/>
      <c r="AL304" s="31"/>
      <c r="AM304" s="40" t="n">
        <v>32.334</v>
      </c>
      <c r="AN304" s="31"/>
      <c r="AO304" s="31"/>
      <c r="AP304" s="31"/>
      <c r="AQ304" s="31"/>
      <c r="AR304" s="31"/>
      <c r="AS304" s="40" t="n">
        <v>35.519</v>
      </c>
      <c r="AT304" s="31"/>
      <c r="AU304" s="31"/>
      <c r="AV304" s="31"/>
      <c r="AW304" s="31"/>
      <c r="AX304" s="31"/>
      <c r="AY304" s="40" t="n">
        <v>42.743</v>
      </c>
      <c r="AZ304" s="31"/>
      <c r="BA304" s="31"/>
      <c r="BB304" s="31"/>
      <c r="BC304" s="31"/>
      <c r="BD304" s="31"/>
      <c r="BE304" s="40" t="n">
        <v>45.265</v>
      </c>
      <c r="BF304" s="31"/>
      <c r="BG304" s="31"/>
      <c r="BH304" s="31"/>
      <c r="BI304" s="31"/>
      <c r="BJ304" s="31"/>
      <c r="BK304" s="40" t="n">
        <v>52.232</v>
      </c>
      <c r="BL304" s="31"/>
      <c r="BM304" s="31"/>
      <c r="BN304" s="31"/>
      <c r="BO304" s="31"/>
      <c r="BP304" s="31"/>
      <c r="BQ304" s="40" t="n">
        <v>54</v>
      </c>
      <c r="BR304" s="31"/>
      <c r="BS304" s="31"/>
      <c r="BT304" s="31"/>
      <c r="BU304" s="31"/>
      <c r="BV304" s="31"/>
      <c r="BW304" s="40" t="n">
        <v>682.7</v>
      </c>
      <c r="BX304" s="31"/>
      <c r="BY304" s="31"/>
      <c r="BZ304" s="31"/>
      <c r="CA304" s="31"/>
      <c r="CB304" s="31"/>
      <c r="CC304" s="40" t="n">
        <v>608.7</v>
      </c>
      <c r="CD304" s="31"/>
      <c r="CE304" s="31"/>
      <c r="CF304" s="31"/>
      <c r="CG304" s="31"/>
      <c r="CH304" s="31"/>
      <c r="CI304" s="40" t="n">
        <v>559.2</v>
      </c>
      <c r="CJ304" s="31"/>
      <c r="CK304" s="31"/>
      <c r="CL304" s="40" t="n">
        <v>559.2</v>
      </c>
      <c r="CM304" s="32"/>
      <c r="CN304" s="32"/>
      <c r="CO304" s="32" t="n">
        <f aca="false">CI304+CO222</f>
        <v>509.2</v>
      </c>
      <c r="CP304" s="32" t="n">
        <f aca="false">CO304+CP222</f>
        <v>464.2</v>
      </c>
      <c r="CQ304" s="32" t="n">
        <f aca="false">CP304+CQ222</f>
        <v>424.2</v>
      </c>
      <c r="CR304" s="32" t="n">
        <f aca="false">CQ304+CR222</f>
        <v>389.2</v>
      </c>
      <c r="CS304" s="32" t="n">
        <f aca="false">CR304+CS222</f>
        <v>359.2</v>
      </c>
      <c r="CT304" s="23"/>
      <c r="CV304" s="7"/>
      <c r="CW304" s="7"/>
      <c r="CX304" s="7"/>
      <c r="CY304" s="7"/>
    </row>
    <row r="305" customFormat="false" ht="15" hidden="false" customHeight="true" outlineLevel="0" collapsed="false">
      <c r="B305" s="41" t="s">
        <v>486</v>
      </c>
      <c r="C305" s="43" t="n">
        <f aca="false">IF(ISNUMBER(C293),C300+SUM(C301:C304),"")</f>
        <v>185.59</v>
      </c>
      <c r="D305" s="43" t="n">
        <f aca="false">IF(ISNUMBER(D293),D300+SUM(D301:D304),"")</f>
        <v>237.771</v>
      </c>
      <c r="E305" s="43" t="n">
        <f aca="false">IF(ISNUMBER(E293),E300+SUM(E301:E304),"")</f>
        <v>224.326</v>
      </c>
      <c r="F305" s="43" t="n">
        <f aca="false">IF(ISNUMBER(F293),F300+SUM(F301:F304),"")</f>
        <v>313.41</v>
      </c>
      <c r="G305" s="43" t="n">
        <f aca="false">IF(ISNUMBER(G293),G300+SUM(G301:G304),"")</f>
        <v>292.691</v>
      </c>
      <c r="H305" s="43" t="n">
        <f aca="false">IF(ISNUMBER(H293),H300+SUM(H301:H304),"")</f>
        <v>349.335</v>
      </c>
      <c r="I305" s="43" t="n">
        <f aca="false">IF(ISNUMBER(I293),I300+SUM(I301:I304),"")</f>
        <v>475.967</v>
      </c>
      <c r="J305" s="20"/>
      <c r="K305" s="20"/>
      <c r="L305" s="20"/>
      <c r="M305" s="20"/>
      <c r="N305" s="20"/>
      <c r="O305" s="43" t="n">
        <f aca="false">IF(ISNUMBER(O293),O300+SUM(O301:O304),"")</f>
        <v>467.744</v>
      </c>
      <c r="P305" s="20"/>
      <c r="Q305" s="20"/>
      <c r="R305" s="20"/>
      <c r="S305" s="20"/>
      <c r="T305" s="20"/>
      <c r="U305" s="43" t="n">
        <f aca="false">IF(ISNUMBER(U293),U300+SUM(U301:U304),"")</f>
        <v>412.291</v>
      </c>
      <c r="V305" s="20"/>
      <c r="W305" s="20"/>
      <c r="X305" s="20"/>
      <c r="Y305" s="20"/>
      <c r="Z305" s="20"/>
      <c r="AA305" s="43" t="n">
        <f aca="false">IF(ISNUMBER(AA293),AA300+SUM(AA301:AA304),"")</f>
        <v>387.971</v>
      </c>
      <c r="AB305" s="20"/>
      <c r="AC305" s="20"/>
      <c r="AD305" s="20"/>
      <c r="AE305" s="20"/>
      <c r="AF305" s="20"/>
      <c r="AG305" s="43" t="n">
        <f aca="false">IF(ISNUMBER(AG293),AG300+SUM(AG301:AG304),"")</f>
        <v>903.753</v>
      </c>
      <c r="AH305" s="20"/>
      <c r="AI305" s="20"/>
      <c r="AJ305" s="20"/>
      <c r="AK305" s="20"/>
      <c r="AL305" s="20"/>
      <c r="AM305" s="43" t="n">
        <f aca="false">IF(ISNUMBER(AM293),AM300+SUM(AM301:AM304),"")</f>
        <v>1263.547</v>
      </c>
      <c r="AN305" s="20"/>
      <c r="AO305" s="20"/>
      <c r="AP305" s="20"/>
      <c r="AQ305" s="20"/>
      <c r="AR305" s="20"/>
      <c r="AS305" s="43" t="n">
        <f aca="false">IF(ISNUMBER(AS293),AS300+SUM(AS301:AS304),"")</f>
        <v>1215.763</v>
      </c>
      <c r="AT305" s="20"/>
      <c r="AU305" s="20"/>
      <c r="AV305" s="20"/>
      <c r="AW305" s="20"/>
      <c r="AX305" s="20"/>
      <c r="AY305" s="43" t="n">
        <f aca="false">IF(ISNUMBER(AY293),AY300+SUM(AY301:AY304),"")</f>
        <v>1322.443</v>
      </c>
      <c r="AZ305" s="20"/>
      <c r="BA305" s="20"/>
      <c r="BB305" s="20"/>
      <c r="BC305" s="20"/>
      <c r="BD305" s="20"/>
      <c r="BE305" s="43" t="n">
        <f aca="false">IF(ISNUMBER(BE293),BE300+SUM(BE301:BE304),"")</f>
        <v>1339.13</v>
      </c>
      <c r="BF305" s="20"/>
      <c r="BG305" s="20"/>
      <c r="BH305" s="20"/>
      <c r="BI305" s="20"/>
      <c r="BJ305" s="20"/>
      <c r="BK305" s="43" t="n">
        <f aca="false">IF(ISNUMBER(BK293),BK300+SUM(BK301:BK304),"")</f>
        <v>2521.851</v>
      </c>
      <c r="BL305" s="20"/>
      <c r="BM305" s="20"/>
      <c r="BN305" s="20"/>
      <c r="BO305" s="20"/>
      <c r="BP305" s="20"/>
      <c r="BQ305" s="43" t="n">
        <f aca="false">IF(ISNUMBER(BQ293),BQ300+SUM(BQ301:BQ304),"")</f>
        <v>1573.6</v>
      </c>
      <c r="BR305" s="20"/>
      <c r="BS305" s="20"/>
      <c r="BT305" s="20"/>
      <c r="BU305" s="20"/>
      <c r="BV305" s="20"/>
      <c r="BW305" s="43" t="n">
        <f aca="false">IF(ISNUMBER(BW293),BW300+SUM(BW301:BW304),"")</f>
        <v>6528</v>
      </c>
      <c r="BX305" s="20"/>
      <c r="BY305" s="20"/>
      <c r="BZ305" s="20"/>
      <c r="CA305" s="20"/>
      <c r="CB305" s="20"/>
      <c r="CC305" s="43" t="n">
        <f aca="false">IF(ISNUMBER(CC293),CC300+SUM(CC301:CC304),"")</f>
        <v>6090.6</v>
      </c>
      <c r="CD305" s="20"/>
      <c r="CE305" s="20"/>
      <c r="CF305" s="20"/>
      <c r="CG305" s="20"/>
      <c r="CH305" s="20"/>
      <c r="CI305" s="43" t="n">
        <f aca="false">IF(ISNUMBER(CI293),CI300+SUM(CI301:CI304),"")</f>
        <v>6075.3</v>
      </c>
      <c r="CJ305" s="20"/>
      <c r="CK305" s="20"/>
      <c r="CL305" s="20" t="n">
        <f aca="false">IF(ISNUMBER(CL293),CL300+SUM(CL301:CL304),"")</f>
        <v>6437.2</v>
      </c>
      <c r="CM305" s="43"/>
      <c r="CN305" s="43"/>
      <c r="CO305" s="43" t="n">
        <f aca="false">CO300+SUM(CO301:CO304)</f>
        <v>6448.14938276851</v>
      </c>
      <c r="CP305" s="43" t="n">
        <f aca="false">CP300+SUM(CP301:CP304)</f>
        <v>6375.87778816958</v>
      </c>
      <c r="CQ305" s="43" t="n">
        <f aca="false">CQ300+SUM(CQ301:CQ304)</f>
        <v>6305.66224085565</v>
      </c>
      <c r="CR305" s="43" t="n">
        <f aca="false">CR300+SUM(CR301:CR304)</f>
        <v>6236.34952373504</v>
      </c>
      <c r="CS305" s="43" t="n">
        <f aca="false">CS300+SUM(CS301:CS304)</f>
        <v>6174.8661330598</v>
      </c>
      <c r="CT305" s="23"/>
      <c r="CV305" s="7"/>
      <c r="CW305" s="7"/>
      <c r="CX305" s="7"/>
      <c r="CY305" s="7"/>
    </row>
    <row r="306" customFormat="false" ht="15" hidden="false" customHeight="true" outlineLevel="0" collapsed="false">
      <c r="B306" s="13" t="s">
        <v>487</v>
      </c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40" t="n">
        <v>0</v>
      </c>
      <c r="BR306" s="31"/>
      <c r="BS306" s="31"/>
      <c r="BT306" s="31"/>
      <c r="BU306" s="31"/>
      <c r="BV306" s="31"/>
      <c r="BW306" s="40" t="n">
        <v>482</v>
      </c>
      <c r="BX306" s="31"/>
      <c r="BY306" s="31"/>
      <c r="BZ306" s="31"/>
      <c r="CA306" s="31"/>
      <c r="CB306" s="31"/>
      <c r="CC306" s="40" t="n">
        <v>482</v>
      </c>
      <c r="CD306" s="31"/>
      <c r="CE306" s="31"/>
      <c r="CF306" s="31"/>
      <c r="CG306" s="31"/>
      <c r="CH306" s="31"/>
      <c r="CI306" s="40" t="n">
        <v>482</v>
      </c>
      <c r="CJ306" s="31"/>
      <c r="CK306" s="31"/>
      <c r="CL306" s="40" t="n">
        <v>482</v>
      </c>
      <c r="CM306" s="32"/>
      <c r="CN306" s="32"/>
      <c r="CO306" s="32" t="n">
        <f aca="false">CI306</f>
        <v>482</v>
      </c>
      <c r="CP306" s="32" t="n">
        <f aca="false">CO306</f>
        <v>482</v>
      </c>
      <c r="CQ306" s="32" t="n">
        <f aca="false">CP306</f>
        <v>482</v>
      </c>
      <c r="CR306" s="32" t="n">
        <f aca="false">CQ306</f>
        <v>482</v>
      </c>
      <c r="CS306" s="32" t="n">
        <f aca="false">CR306</f>
        <v>482</v>
      </c>
      <c r="CT306" s="23"/>
      <c r="CV306" s="7"/>
      <c r="CW306" s="7"/>
      <c r="CX306" s="7"/>
      <c r="CY306" s="7"/>
    </row>
    <row r="307" customFormat="false" ht="15" hidden="false" customHeight="true" outlineLevel="0" collapsed="false">
      <c r="B307" s="13" t="s">
        <v>488</v>
      </c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40" t="n">
        <v>17.287</v>
      </c>
      <c r="V307" s="31"/>
      <c r="W307" s="31"/>
      <c r="X307" s="31"/>
      <c r="Y307" s="31"/>
      <c r="Z307" s="31"/>
      <c r="AA307" s="40" t="n">
        <v>24.785</v>
      </c>
      <c r="AB307" s="31"/>
      <c r="AC307" s="31"/>
      <c r="AD307" s="31"/>
      <c r="AE307" s="31"/>
      <c r="AF307" s="31"/>
      <c r="AG307" s="40" t="n">
        <v>3.95</v>
      </c>
      <c r="AH307" s="31"/>
      <c r="AI307" s="31"/>
      <c r="AJ307" s="31"/>
      <c r="AK307" s="31"/>
      <c r="AL307" s="31"/>
      <c r="AM307" s="40" t="n">
        <v>9.014</v>
      </c>
      <c r="AN307" s="31"/>
      <c r="AO307" s="31"/>
      <c r="AP307" s="31"/>
      <c r="AQ307" s="31"/>
      <c r="AR307" s="31"/>
      <c r="AS307" s="40" t="n">
        <v>0.923</v>
      </c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40" t="n">
        <v>0</v>
      </c>
      <c r="BR307" s="31"/>
      <c r="BS307" s="31"/>
      <c r="BT307" s="31"/>
      <c r="BU307" s="31"/>
      <c r="BV307" s="31"/>
      <c r="BW307" s="40" t="n">
        <v>8.4</v>
      </c>
      <c r="BX307" s="31"/>
      <c r="BY307" s="31"/>
      <c r="BZ307" s="31"/>
      <c r="CA307" s="31"/>
      <c r="CB307" s="31"/>
      <c r="CC307" s="40" t="n">
        <v>8.1</v>
      </c>
      <c r="CD307" s="31"/>
      <c r="CE307" s="31"/>
      <c r="CF307" s="31"/>
      <c r="CG307" s="31"/>
      <c r="CH307" s="31"/>
      <c r="CI307" s="40" t="n">
        <v>12.6</v>
      </c>
      <c r="CJ307" s="31"/>
      <c r="CK307" s="31"/>
      <c r="CL307" s="40" t="n">
        <v>0</v>
      </c>
      <c r="CM307" s="32"/>
      <c r="CN307" s="32"/>
      <c r="CO307" s="32" t="n">
        <f aca="false">CL307</f>
        <v>0</v>
      </c>
      <c r="CP307" s="32" t="n">
        <f aca="false">CO307</f>
        <v>0</v>
      </c>
      <c r="CQ307" s="32" t="n">
        <f aca="false">CP307</f>
        <v>0</v>
      </c>
      <c r="CR307" s="32" t="n">
        <f aca="false">CQ307</f>
        <v>0</v>
      </c>
      <c r="CS307" s="32" t="n">
        <f aca="false">CR307</f>
        <v>0</v>
      </c>
      <c r="CT307" s="23"/>
      <c r="CV307" s="7"/>
      <c r="CW307" s="7"/>
      <c r="CX307" s="7"/>
      <c r="CY307" s="7"/>
    </row>
    <row r="308" customFormat="false" ht="15" hidden="false" customHeight="true" outlineLevel="0" collapsed="false">
      <c r="B308" s="13" t="s">
        <v>489</v>
      </c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2"/>
      <c r="CN308" s="32"/>
      <c r="CO308" s="32"/>
      <c r="CP308" s="32"/>
      <c r="CQ308" s="32"/>
      <c r="CR308" s="32"/>
      <c r="CS308" s="32"/>
      <c r="CT308" s="23"/>
      <c r="CV308" s="7"/>
      <c r="CW308" s="7"/>
      <c r="CX308" s="7"/>
      <c r="CY308" s="7"/>
    </row>
    <row r="309" customFormat="false" ht="15" hidden="false" customHeight="true" outlineLevel="0" collapsed="false">
      <c r="B309" s="13" t="s">
        <v>490</v>
      </c>
      <c r="C309" s="40" t="n">
        <v>96.369</v>
      </c>
      <c r="D309" s="40" t="n">
        <v>102.694</v>
      </c>
      <c r="E309" s="40" t="n">
        <v>108.721</v>
      </c>
      <c r="F309" s="40" t="n">
        <v>116.126</v>
      </c>
      <c r="G309" s="40" t="n">
        <v>125.079</v>
      </c>
      <c r="H309" s="40" t="n">
        <v>138.738</v>
      </c>
      <c r="I309" s="40" t="n">
        <v>145.774</v>
      </c>
      <c r="J309" s="31"/>
      <c r="K309" s="31"/>
      <c r="L309" s="31"/>
      <c r="M309" s="31"/>
      <c r="N309" s="31"/>
      <c r="O309" s="40" t="n">
        <v>156.528</v>
      </c>
      <c r="P309" s="31"/>
      <c r="Q309" s="31"/>
      <c r="R309" s="31"/>
      <c r="S309" s="31"/>
      <c r="T309" s="31"/>
      <c r="U309" s="40" t="n">
        <v>172.571</v>
      </c>
      <c r="V309" s="31"/>
      <c r="W309" s="31"/>
      <c r="X309" s="31"/>
      <c r="Y309" s="31"/>
      <c r="Z309" s="31"/>
      <c r="AA309" s="40" t="n">
        <v>159.258</v>
      </c>
      <c r="AB309" s="31"/>
      <c r="AC309" s="31"/>
      <c r="AD309" s="31"/>
      <c r="AE309" s="31"/>
      <c r="AF309" s="31"/>
      <c r="AG309" s="40" t="n">
        <v>153.112</v>
      </c>
      <c r="AH309" s="31"/>
      <c r="AI309" s="31"/>
      <c r="AJ309" s="31"/>
      <c r="AK309" s="31"/>
      <c r="AL309" s="31"/>
      <c r="AM309" s="40" t="n">
        <v>179.587</v>
      </c>
      <c r="AN309" s="31"/>
      <c r="AO309" s="31"/>
      <c r="AP309" s="31"/>
      <c r="AQ309" s="31"/>
      <c r="AR309" s="31"/>
      <c r="AS309" s="40" t="n">
        <v>238.665</v>
      </c>
      <c r="AT309" s="31"/>
      <c r="AU309" s="31"/>
      <c r="AV309" s="31"/>
      <c r="AW309" s="31"/>
      <c r="AX309" s="31"/>
      <c r="AY309" s="40" t="n">
        <v>246.881</v>
      </c>
      <c r="AZ309" s="31"/>
      <c r="BA309" s="31"/>
      <c r="BB309" s="31"/>
      <c r="BC309" s="31"/>
      <c r="BD309" s="31"/>
      <c r="BE309" s="40" t="n">
        <v>249.622</v>
      </c>
      <c r="BF309" s="31"/>
      <c r="BG309" s="31"/>
      <c r="BH309" s="31"/>
      <c r="BI309" s="31"/>
      <c r="BJ309" s="31"/>
      <c r="BK309" s="40" t="n">
        <v>287.039</v>
      </c>
      <c r="BL309" s="31"/>
      <c r="BM309" s="31"/>
      <c r="BN309" s="31"/>
      <c r="BO309" s="31"/>
      <c r="BP309" s="31"/>
      <c r="BQ309" s="40" t="n">
        <v>331.544</v>
      </c>
      <c r="BR309" s="31"/>
      <c r="BS309" s="31"/>
      <c r="BT309" s="31"/>
      <c r="BU309" s="31"/>
      <c r="BV309" s="31"/>
      <c r="BW309" s="40" t="n">
        <v>4142.2</v>
      </c>
      <c r="BX309" s="31"/>
      <c r="BY309" s="31"/>
      <c r="BZ309" s="31"/>
      <c r="CA309" s="31"/>
      <c r="CB309" s="31"/>
      <c r="CC309" s="40" t="n">
        <v>4258.5</v>
      </c>
      <c r="CD309" s="31"/>
      <c r="CE309" s="31"/>
      <c r="CF309" s="31"/>
      <c r="CG309" s="31"/>
      <c r="CH309" s="31"/>
      <c r="CI309" s="40" t="n">
        <v>4365.1</v>
      </c>
      <c r="CJ309" s="31"/>
      <c r="CK309" s="31"/>
      <c r="CL309" s="40" t="n">
        <v>4249.7</v>
      </c>
      <c r="CM309" s="32"/>
      <c r="CN309" s="32"/>
      <c r="CO309" s="32" t="n">
        <f aca="false">CI309+CO221+CO241+CO242</f>
        <v>4449.3</v>
      </c>
      <c r="CP309" s="32" t="n">
        <f aca="false">CO309+CP221+CP241+CP242</f>
        <v>4539.3</v>
      </c>
      <c r="CQ309" s="32" t="n">
        <f aca="false">CP309+CQ221+CQ241+CQ242</f>
        <v>4634.3</v>
      </c>
      <c r="CR309" s="32" t="n">
        <f aca="false">CQ309+CR221+CR241+CR242</f>
        <v>4734.3</v>
      </c>
      <c r="CS309" s="32" t="n">
        <f aca="false">CR309+CS221+CS241+CS242</f>
        <v>4839.3</v>
      </c>
      <c r="CT309" s="23" t="s">
        <v>491</v>
      </c>
      <c r="CV309" s="7"/>
      <c r="CW309" s="7"/>
      <c r="CX309" s="7"/>
      <c r="CY309" s="7"/>
    </row>
    <row r="310" customFormat="false" ht="15" hidden="false" customHeight="true" outlineLevel="0" collapsed="false">
      <c r="B310" s="13" t="s">
        <v>492</v>
      </c>
      <c r="C310" s="40" t="n">
        <v>247.349</v>
      </c>
      <c r="D310" s="40" t="n">
        <v>292.046</v>
      </c>
      <c r="E310" s="40" t="n">
        <v>357.845</v>
      </c>
      <c r="F310" s="40" t="n">
        <v>411.326</v>
      </c>
      <c r="G310" s="40" t="n">
        <v>450.268</v>
      </c>
      <c r="H310" s="40" t="n">
        <v>480.718</v>
      </c>
      <c r="I310" s="40" t="n">
        <v>510.491</v>
      </c>
      <c r="J310" s="31"/>
      <c r="K310" s="31"/>
      <c r="L310" s="31"/>
      <c r="M310" s="31"/>
      <c r="N310" s="31"/>
      <c r="O310" s="40" t="n">
        <v>550.398</v>
      </c>
      <c r="P310" s="31"/>
      <c r="Q310" s="31"/>
      <c r="R310" s="31"/>
      <c r="S310" s="31"/>
      <c r="T310" s="31"/>
      <c r="U310" s="40" t="n">
        <v>536.111</v>
      </c>
      <c r="V310" s="31"/>
      <c r="W310" s="31"/>
      <c r="X310" s="31"/>
      <c r="Y310" s="31"/>
      <c r="Z310" s="31"/>
      <c r="AA310" s="40" t="n">
        <v>601.051</v>
      </c>
      <c r="AB310" s="31"/>
      <c r="AC310" s="31"/>
      <c r="AD310" s="31"/>
      <c r="AE310" s="31"/>
      <c r="AF310" s="31"/>
      <c r="AG310" s="40" t="n">
        <v>601.071</v>
      </c>
      <c r="AH310" s="31"/>
      <c r="AI310" s="31"/>
      <c r="AJ310" s="31"/>
      <c r="AK310" s="31"/>
      <c r="AL310" s="31"/>
      <c r="AM310" s="40" t="n">
        <v>602.609</v>
      </c>
      <c r="AN310" s="31"/>
      <c r="AO310" s="31"/>
      <c r="AP310" s="31"/>
      <c r="AQ310" s="31"/>
      <c r="AR310" s="31"/>
      <c r="AS310" s="40" t="n">
        <v>648.255</v>
      </c>
      <c r="AT310" s="31"/>
      <c r="AU310" s="31"/>
      <c r="AV310" s="31"/>
      <c r="AW310" s="31"/>
      <c r="AX310" s="31"/>
      <c r="AY310" s="40" t="n">
        <v>714.051</v>
      </c>
      <c r="AZ310" s="31"/>
      <c r="BA310" s="31"/>
      <c r="BB310" s="31"/>
      <c r="BC310" s="31"/>
      <c r="BD310" s="31"/>
      <c r="BE310" s="40" t="n">
        <v>791.918</v>
      </c>
      <c r="BF310" s="31"/>
      <c r="BG310" s="31"/>
      <c r="BH310" s="31"/>
      <c r="BI310" s="31"/>
      <c r="BJ310" s="31"/>
      <c r="BK310" s="40" t="n">
        <v>839.609</v>
      </c>
      <c r="BL310" s="31"/>
      <c r="BM310" s="31"/>
      <c r="BN310" s="31"/>
      <c r="BO310" s="31"/>
      <c r="BP310" s="31"/>
      <c r="BQ310" s="40" t="n">
        <v>1043.169</v>
      </c>
      <c r="BR310" s="31"/>
      <c r="BS310" s="31"/>
      <c r="BT310" s="31"/>
      <c r="BU310" s="31"/>
      <c r="BV310" s="31"/>
      <c r="BW310" s="40" t="n">
        <v>918.5</v>
      </c>
      <c r="BX310" s="31"/>
      <c r="BY310" s="31"/>
      <c r="BZ310" s="31"/>
      <c r="CA310" s="31"/>
      <c r="CB310" s="31"/>
      <c r="CC310" s="40" t="n">
        <v>1090.3</v>
      </c>
      <c r="CD310" s="31"/>
      <c r="CE310" s="31"/>
      <c r="CF310" s="31"/>
      <c r="CG310" s="31"/>
      <c r="CH310" s="31"/>
      <c r="CI310" s="40" t="n">
        <v>1254.6</v>
      </c>
      <c r="CJ310" s="31"/>
      <c r="CK310" s="31"/>
      <c r="CL310" s="40" t="n">
        <v>1400.3</v>
      </c>
      <c r="CM310" s="32"/>
      <c r="CN310" s="32"/>
      <c r="CO310" s="32" t="n">
        <f aca="false">CI310+CO117-CO118+CO238+CO240</f>
        <v>1199.89805516665</v>
      </c>
      <c r="CP310" s="32" t="n">
        <f aca="false">CO310+CP117-CP118+CP238+CP240</f>
        <v>1208.71779925432</v>
      </c>
      <c r="CQ310" s="32" t="n">
        <f aca="false">CP310+CQ117-CQ118+CQ238+CQ240</f>
        <v>1324.13942929625</v>
      </c>
      <c r="CR310" s="32" t="n">
        <f aca="false">CQ310+CR117-CR118+CR238+CR240</f>
        <v>1471.70539552013</v>
      </c>
      <c r="CS310" s="32" t="n">
        <f aca="false">CR310+CS117-CS118+CS238+CS240</f>
        <v>1642.57308478594</v>
      </c>
      <c r="CT310" s="23" t="s">
        <v>493</v>
      </c>
      <c r="CV310" s="7"/>
      <c r="CW310" s="7"/>
      <c r="CX310" s="7"/>
      <c r="CY310" s="7"/>
    </row>
    <row r="311" customFormat="false" ht="15" hidden="false" customHeight="true" outlineLevel="0" collapsed="false">
      <c r="B311" s="13" t="s">
        <v>494</v>
      </c>
      <c r="C311" s="40" t="n">
        <v>24.919</v>
      </c>
      <c r="D311" s="40" t="n">
        <v>40.376</v>
      </c>
      <c r="E311" s="40" t="n">
        <v>-1.404</v>
      </c>
      <c r="F311" s="40" t="n">
        <v>16.959</v>
      </c>
      <c r="G311" s="40" t="n">
        <v>4.52</v>
      </c>
      <c r="H311" s="40" t="n">
        <v>-1.55</v>
      </c>
      <c r="I311" s="40" t="n">
        <v>0.533</v>
      </c>
      <c r="J311" s="31"/>
      <c r="K311" s="31"/>
      <c r="L311" s="31"/>
      <c r="M311" s="31"/>
      <c r="N311" s="31"/>
      <c r="O311" s="40" t="n">
        <v>-12.909</v>
      </c>
      <c r="P311" s="31"/>
      <c r="Q311" s="31"/>
      <c r="R311" s="31"/>
      <c r="S311" s="31"/>
      <c r="T311" s="31"/>
      <c r="U311" s="40" t="n">
        <v>-16.75</v>
      </c>
      <c r="V311" s="31"/>
      <c r="W311" s="31"/>
      <c r="X311" s="31"/>
      <c r="Y311" s="31"/>
      <c r="Z311" s="31"/>
      <c r="AA311" s="40" t="n">
        <v>-57.133</v>
      </c>
      <c r="AB311" s="31"/>
      <c r="AC311" s="31"/>
      <c r="AD311" s="31"/>
      <c r="AE311" s="31"/>
      <c r="AF311" s="31"/>
      <c r="AG311" s="40" t="n">
        <v>-67.126</v>
      </c>
      <c r="AH311" s="31"/>
      <c r="AI311" s="31"/>
      <c r="AJ311" s="31"/>
      <c r="AK311" s="31"/>
      <c r="AL311" s="31"/>
      <c r="AM311" s="40" t="n">
        <v>-42.514</v>
      </c>
      <c r="AN311" s="31"/>
      <c r="AO311" s="31"/>
      <c r="AP311" s="31"/>
      <c r="AQ311" s="31"/>
      <c r="AR311" s="31"/>
      <c r="AS311" s="40" t="n">
        <v>-56.277</v>
      </c>
      <c r="AT311" s="31"/>
      <c r="AU311" s="31"/>
      <c r="AV311" s="31"/>
      <c r="AW311" s="31"/>
      <c r="AX311" s="31"/>
      <c r="AY311" s="40" t="n">
        <v>-59.099</v>
      </c>
      <c r="AZ311" s="31"/>
      <c r="BA311" s="31"/>
      <c r="BB311" s="31"/>
      <c r="BC311" s="31"/>
      <c r="BD311" s="31"/>
      <c r="BE311" s="40" t="n">
        <v>-34.295</v>
      </c>
      <c r="BF311" s="31"/>
      <c r="BG311" s="31"/>
      <c r="BH311" s="31"/>
      <c r="BI311" s="31"/>
      <c r="BJ311" s="31"/>
      <c r="BK311" s="40" t="n">
        <v>-55.973</v>
      </c>
      <c r="BL311" s="31"/>
      <c r="BM311" s="31"/>
      <c r="BN311" s="31"/>
      <c r="BO311" s="31"/>
      <c r="BP311" s="31"/>
      <c r="BQ311" s="40" t="n">
        <v>-85.104</v>
      </c>
      <c r="BR311" s="31"/>
      <c r="BS311" s="31"/>
      <c r="BT311" s="31"/>
      <c r="BU311" s="31"/>
      <c r="BV311" s="31"/>
      <c r="BW311" s="40" t="n">
        <v>-44</v>
      </c>
      <c r="BX311" s="31"/>
      <c r="BY311" s="31"/>
      <c r="BZ311" s="31"/>
      <c r="CA311" s="31"/>
      <c r="CB311" s="31"/>
      <c r="CC311" s="40" t="n">
        <v>-124.8</v>
      </c>
      <c r="CD311" s="31"/>
      <c r="CE311" s="31"/>
      <c r="CF311" s="31"/>
      <c r="CG311" s="31"/>
      <c r="CH311" s="31"/>
      <c r="CI311" s="40" t="n">
        <v>-48.3</v>
      </c>
      <c r="CJ311" s="31"/>
      <c r="CK311" s="31"/>
      <c r="CL311" s="40" t="n">
        <v>-82.1</v>
      </c>
      <c r="CM311" s="32"/>
      <c r="CN311" s="32"/>
      <c r="CO311" s="32" t="n">
        <f aca="false">CI311</f>
        <v>-48.3</v>
      </c>
      <c r="CP311" s="32" t="n">
        <f aca="false">CO311</f>
        <v>-48.3</v>
      </c>
      <c r="CQ311" s="32" t="n">
        <f aca="false">CP311</f>
        <v>-48.3</v>
      </c>
      <c r="CR311" s="32" t="n">
        <f aca="false">CQ311</f>
        <v>-48.3</v>
      </c>
      <c r="CS311" s="32" t="n">
        <f aca="false">CR311</f>
        <v>-48.3</v>
      </c>
      <c r="CT311" s="23"/>
      <c r="CV311" s="7"/>
      <c r="CW311" s="7"/>
      <c r="CX311" s="7"/>
      <c r="CY311" s="7"/>
    </row>
    <row r="312" customFormat="false" ht="15" hidden="false" customHeight="true" outlineLevel="0" collapsed="false">
      <c r="B312" s="19" t="s">
        <v>495</v>
      </c>
      <c r="C312" s="20" t="n">
        <f aca="false">IF(ISNUMBER(C309),SUM(C309:C311),"")</f>
        <v>368.637</v>
      </c>
      <c r="D312" s="20" t="n">
        <f aca="false">IF(ISNUMBER(D309),SUM(D309:D311),"")</f>
        <v>435.116</v>
      </c>
      <c r="E312" s="20" t="n">
        <f aca="false">IF(ISNUMBER(E309),SUM(E309:E311),"")</f>
        <v>465.162</v>
      </c>
      <c r="F312" s="20" t="n">
        <f aca="false">IF(ISNUMBER(F309),SUM(F309:F311),"")</f>
        <v>544.411</v>
      </c>
      <c r="G312" s="20" t="n">
        <f aca="false">IF(ISNUMBER(G309),SUM(G309:G311),"")</f>
        <v>579.867</v>
      </c>
      <c r="H312" s="20" t="n">
        <f aca="false">IF(ISNUMBER(H309),SUM(H309:H311),"")</f>
        <v>617.906</v>
      </c>
      <c r="I312" s="20" t="n">
        <f aca="false">IF(ISNUMBER(I309),SUM(I309:I311),"")</f>
        <v>656.798</v>
      </c>
      <c r="J312" s="20"/>
      <c r="K312" s="20"/>
      <c r="L312" s="20"/>
      <c r="M312" s="20"/>
      <c r="N312" s="20"/>
      <c r="O312" s="20" t="n">
        <f aca="false">IF(ISNUMBER(O309),SUM(O309:O311),"")</f>
        <v>694.017</v>
      </c>
      <c r="P312" s="20"/>
      <c r="Q312" s="20"/>
      <c r="R312" s="20"/>
      <c r="S312" s="20"/>
      <c r="T312" s="20"/>
      <c r="U312" s="20" t="n">
        <f aca="false">IF(ISNUMBER(U309),SUM(U309:U311),"")</f>
        <v>691.932</v>
      </c>
      <c r="V312" s="20"/>
      <c r="W312" s="20"/>
      <c r="X312" s="20"/>
      <c r="Y312" s="20"/>
      <c r="Z312" s="20"/>
      <c r="AA312" s="20" t="n">
        <f aca="false">IF(ISNUMBER(AA309),SUM(AA309:AA311),"")</f>
        <v>703.176</v>
      </c>
      <c r="AB312" s="20"/>
      <c r="AC312" s="20"/>
      <c r="AD312" s="20"/>
      <c r="AE312" s="20"/>
      <c r="AF312" s="20"/>
      <c r="AG312" s="20" t="n">
        <f aca="false">IF(ISNUMBER(AG309),SUM(AG309:AG311),"")</f>
        <v>687.057</v>
      </c>
      <c r="AH312" s="20"/>
      <c r="AI312" s="20"/>
      <c r="AJ312" s="20"/>
      <c r="AK312" s="20"/>
      <c r="AL312" s="20"/>
      <c r="AM312" s="20" t="n">
        <f aca="false">IF(ISNUMBER(AM309),SUM(AM309:AM311),"")</f>
        <v>739.682</v>
      </c>
      <c r="AN312" s="20"/>
      <c r="AO312" s="20"/>
      <c r="AP312" s="20"/>
      <c r="AQ312" s="20"/>
      <c r="AR312" s="20"/>
      <c r="AS312" s="20" t="n">
        <f aca="false">IF(ISNUMBER(AS309),SUM(AS309:AS311),"")</f>
        <v>830.643</v>
      </c>
      <c r="AT312" s="20"/>
      <c r="AU312" s="20"/>
      <c r="AV312" s="20"/>
      <c r="AW312" s="20"/>
      <c r="AX312" s="20"/>
      <c r="AY312" s="20" t="n">
        <f aca="false">IF(ISNUMBER(AY309),SUM(AY309:AY311),"")</f>
        <v>901.833</v>
      </c>
      <c r="AZ312" s="20"/>
      <c r="BA312" s="20"/>
      <c r="BB312" s="20"/>
      <c r="BC312" s="20"/>
      <c r="BD312" s="20"/>
      <c r="BE312" s="20" t="n">
        <f aca="false">IF(ISNUMBER(BE309),SUM(BE309:BE311),"")</f>
        <v>1007.245</v>
      </c>
      <c r="BF312" s="20"/>
      <c r="BG312" s="20"/>
      <c r="BH312" s="20"/>
      <c r="BI312" s="20"/>
      <c r="BJ312" s="20"/>
      <c r="BK312" s="20" t="n">
        <f aca="false">IF(ISNUMBER(BK309),SUM(BK309:BK311),"")</f>
        <v>1070.675</v>
      </c>
      <c r="BL312" s="20"/>
      <c r="BM312" s="20"/>
      <c r="BN312" s="20"/>
      <c r="BO312" s="20"/>
      <c r="BP312" s="20"/>
      <c r="BQ312" s="20" t="n">
        <f aca="false">IF(ISNUMBER(BQ309),SUM(BQ309:BQ311),"")</f>
        <v>1289.609</v>
      </c>
      <c r="BR312" s="20"/>
      <c r="BS312" s="20"/>
      <c r="BT312" s="20"/>
      <c r="BU312" s="20"/>
      <c r="BV312" s="20"/>
      <c r="BW312" s="20" t="n">
        <f aca="false">IF(ISNUMBER(BW309),SUM(BW309:BW311),"")</f>
        <v>5016.7</v>
      </c>
      <c r="BX312" s="20"/>
      <c r="BY312" s="20"/>
      <c r="BZ312" s="20"/>
      <c r="CA312" s="20"/>
      <c r="CB312" s="20"/>
      <c r="CC312" s="20" t="n">
        <f aca="false">IF(ISNUMBER(CC309),SUM(CC309:CC311),"")</f>
        <v>5224</v>
      </c>
      <c r="CD312" s="20"/>
      <c r="CE312" s="20"/>
      <c r="CF312" s="20"/>
      <c r="CG312" s="20"/>
      <c r="CH312" s="20"/>
      <c r="CI312" s="20" t="n">
        <f aca="false">IF(ISNUMBER(CI309),SUM(CI309:CI311),"")</f>
        <v>5571.4</v>
      </c>
      <c r="CJ312" s="20"/>
      <c r="CK312" s="20"/>
      <c r="CL312" s="20" t="n">
        <f aca="false">IF(ISNUMBER(CL309),SUM(CL309:CL311),"")</f>
        <v>5567.9</v>
      </c>
      <c r="CM312" s="22"/>
      <c r="CN312" s="22"/>
      <c r="CO312" s="22" t="n">
        <f aca="false">SUM(CO309:CO311)</f>
        <v>5600.89805516665</v>
      </c>
      <c r="CP312" s="22" t="n">
        <f aca="false">SUM(CP309:CP311)</f>
        <v>5699.71779925432</v>
      </c>
      <c r="CQ312" s="22" t="n">
        <f aca="false">SUM(CQ309:CQ311)</f>
        <v>5910.13942929625</v>
      </c>
      <c r="CR312" s="22" t="n">
        <f aca="false">SUM(CR309:CR311)</f>
        <v>6157.70539552013</v>
      </c>
      <c r="CS312" s="22" t="n">
        <f aca="false">SUM(CS309:CS311)</f>
        <v>6433.57308478594</v>
      </c>
      <c r="CT312" s="23"/>
      <c r="CV312" s="7"/>
      <c r="CW312" s="7"/>
      <c r="CX312" s="7"/>
      <c r="CY312" s="7"/>
    </row>
    <row r="313" customFormat="false" ht="15" hidden="false" customHeight="true" outlineLevel="0" collapsed="false">
      <c r="B313" s="13" t="s">
        <v>496</v>
      </c>
      <c r="C313" s="31"/>
      <c r="D313" s="31"/>
      <c r="E313" s="31"/>
      <c r="F313" s="31"/>
      <c r="G313" s="31"/>
      <c r="H313" s="31"/>
      <c r="I313" s="40" t="n">
        <v>-0.267</v>
      </c>
      <c r="J313" s="31"/>
      <c r="K313" s="31"/>
      <c r="L313" s="31"/>
      <c r="M313" s="31"/>
      <c r="N313" s="31"/>
      <c r="O313" s="40" t="n">
        <v>0.534</v>
      </c>
      <c r="P313" s="31"/>
      <c r="Q313" s="31"/>
      <c r="R313" s="31"/>
      <c r="S313" s="31"/>
      <c r="T313" s="31"/>
      <c r="U313" s="40" t="n">
        <v>0</v>
      </c>
      <c r="V313" s="31"/>
      <c r="W313" s="31"/>
      <c r="X313" s="31"/>
      <c r="Y313" s="31"/>
      <c r="Z313" s="31"/>
      <c r="AA313" s="40" t="n">
        <v>4.183</v>
      </c>
      <c r="AB313" s="31"/>
      <c r="AC313" s="31"/>
      <c r="AD313" s="31"/>
      <c r="AE313" s="31"/>
      <c r="AF313" s="31"/>
      <c r="AG313" s="40" t="n">
        <v>4.773</v>
      </c>
      <c r="AH313" s="31"/>
      <c r="AI313" s="31"/>
      <c r="AJ313" s="31"/>
      <c r="AK313" s="31"/>
      <c r="AL313" s="31"/>
      <c r="AM313" s="40" t="n">
        <v>5.069</v>
      </c>
      <c r="AN313" s="31"/>
      <c r="AO313" s="31"/>
      <c r="AP313" s="31"/>
      <c r="AQ313" s="31"/>
      <c r="AR313" s="31"/>
      <c r="AS313" s="40" t="n">
        <v>5.067</v>
      </c>
      <c r="AT313" s="31"/>
      <c r="AU313" s="31"/>
      <c r="AV313" s="31"/>
      <c r="AW313" s="31"/>
      <c r="AX313" s="31"/>
      <c r="AY313" s="40" t="n">
        <v>5.154</v>
      </c>
      <c r="AZ313" s="31"/>
      <c r="BA313" s="31"/>
      <c r="BB313" s="31"/>
      <c r="BC313" s="31"/>
      <c r="BD313" s="31"/>
      <c r="BE313" s="40" t="n">
        <v>5.154</v>
      </c>
      <c r="BF313" s="31"/>
      <c r="BG313" s="31"/>
      <c r="BH313" s="31"/>
      <c r="BI313" s="31"/>
      <c r="BJ313" s="31"/>
      <c r="BK313" s="40" t="n">
        <v>0.388</v>
      </c>
      <c r="BL313" s="31"/>
      <c r="BM313" s="31"/>
      <c r="BN313" s="31"/>
      <c r="BO313" s="31"/>
      <c r="BP313" s="31"/>
      <c r="BQ313" s="40" t="n">
        <v>0.466</v>
      </c>
      <c r="BR313" s="31"/>
      <c r="BS313" s="31"/>
      <c r="BT313" s="31"/>
      <c r="BU313" s="31"/>
      <c r="BV313" s="31"/>
      <c r="BW313" s="40" t="n">
        <v>2.3</v>
      </c>
      <c r="BX313" s="31"/>
      <c r="BY313" s="31"/>
      <c r="BZ313" s="31"/>
      <c r="CA313" s="31"/>
      <c r="CB313" s="31"/>
      <c r="CC313" s="40" t="n">
        <v>2.3</v>
      </c>
      <c r="CD313" s="31"/>
      <c r="CE313" s="31"/>
      <c r="CF313" s="31"/>
      <c r="CG313" s="31"/>
      <c r="CH313" s="31"/>
      <c r="CI313" s="40" t="n">
        <v>1.7</v>
      </c>
      <c r="CJ313" s="31"/>
      <c r="CK313" s="31"/>
      <c r="CL313" s="40" t="n">
        <v>0.5</v>
      </c>
      <c r="CM313" s="32"/>
      <c r="CN313" s="32"/>
      <c r="CO313" s="32" t="n">
        <f aca="false">CI313+CO116+CO239+CO118</f>
        <v>1.9</v>
      </c>
      <c r="CP313" s="32" t="n">
        <f aca="false">CO313+CP116+CP239+CP118</f>
        <v>1.9</v>
      </c>
      <c r="CQ313" s="32" t="n">
        <f aca="false">CP313+CQ116+CQ239+CQ118</f>
        <v>1.9</v>
      </c>
      <c r="CR313" s="32" t="n">
        <f aca="false">CQ313+CR116+CR239+CR118</f>
        <v>1.9</v>
      </c>
      <c r="CS313" s="32" t="n">
        <f aca="false">CR313+CS116+CS239+CS118</f>
        <v>1.9</v>
      </c>
      <c r="CT313" s="23"/>
      <c r="CV313" s="7"/>
      <c r="CW313" s="7"/>
      <c r="CX313" s="7"/>
      <c r="CY313" s="7"/>
    </row>
    <row r="314" customFormat="false" ht="15" hidden="false" customHeight="true" outlineLevel="0" collapsed="false">
      <c r="B314" s="41" t="s">
        <v>497</v>
      </c>
      <c r="C314" s="43" t="n">
        <f aca="false">IF(ISNUMBER(C312),C312+N(C313),"")</f>
        <v>368.637</v>
      </c>
      <c r="D314" s="43" t="n">
        <f aca="false">IF(ISNUMBER(D312),D312+N(D313),"")</f>
        <v>435.116</v>
      </c>
      <c r="E314" s="43" t="n">
        <f aca="false">IF(ISNUMBER(E312),E312+N(E313),"")</f>
        <v>465.162</v>
      </c>
      <c r="F314" s="43" t="n">
        <f aca="false">IF(ISNUMBER(F312),F312+N(F313),"")</f>
        <v>544.411</v>
      </c>
      <c r="G314" s="43" t="n">
        <f aca="false">IF(ISNUMBER(G312),G312+N(G313),"")</f>
        <v>579.867</v>
      </c>
      <c r="H314" s="43" t="n">
        <f aca="false">IF(ISNUMBER(H312),H312+N(H313),"")</f>
        <v>617.906</v>
      </c>
      <c r="I314" s="43" t="n">
        <f aca="false">IF(ISNUMBER(I312),I312+N(I313),"")</f>
        <v>656.531</v>
      </c>
      <c r="J314" s="20"/>
      <c r="K314" s="20"/>
      <c r="L314" s="20"/>
      <c r="M314" s="20"/>
      <c r="N314" s="20"/>
      <c r="O314" s="43" t="n">
        <f aca="false">IF(ISNUMBER(O312),O312+N(O313),"")</f>
        <v>694.551</v>
      </c>
      <c r="P314" s="20"/>
      <c r="Q314" s="20"/>
      <c r="R314" s="20"/>
      <c r="S314" s="20"/>
      <c r="T314" s="20"/>
      <c r="U314" s="43" t="n">
        <f aca="false">IF(ISNUMBER(U312),U312+N(U313),"")</f>
        <v>691.932</v>
      </c>
      <c r="V314" s="20"/>
      <c r="W314" s="20"/>
      <c r="X314" s="20"/>
      <c r="Y314" s="20"/>
      <c r="Z314" s="20"/>
      <c r="AA314" s="43" t="n">
        <f aca="false">IF(ISNUMBER(AA312),AA312+N(AA313),"")</f>
        <v>707.359</v>
      </c>
      <c r="AB314" s="20"/>
      <c r="AC314" s="20"/>
      <c r="AD314" s="20"/>
      <c r="AE314" s="20"/>
      <c r="AF314" s="20"/>
      <c r="AG314" s="43" t="n">
        <f aca="false">IF(ISNUMBER(AG312),AG312+N(AG313),"")</f>
        <v>691.83</v>
      </c>
      <c r="AH314" s="20"/>
      <c r="AI314" s="20"/>
      <c r="AJ314" s="20"/>
      <c r="AK314" s="20"/>
      <c r="AL314" s="20"/>
      <c r="AM314" s="43" t="n">
        <f aca="false">IF(ISNUMBER(AM312),AM312+N(AM313),"")</f>
        <v>744.751</v>
      </c>
      <c r="AN314" s="20"/>
      <c r="AO314" s="20"/>
      <c r="AP314" s="20"/>
      <c r="AQ314" s="20"/>
      <c r="AR314" s="20"/>
      <c r="AS314" s="43" t="n">
        <f aca="false">IF(ISNUMBER(AS312),AS312+N(AS313),"")</f>
        <v>835.71</v>
      </c>
      <c r="AT314" s="20"/>
      <c r="AU314" s="20"/>
      <c r="AV314" s="20"/>
      <c r="AW314" s="20"/>
      <c r="AX314" s="20"/>
      <c r="AY314" s="43" t="n">
        <f aca="false">IF(ISNUMBER(AY312),AY312+N(AY313),"")</f>
        <v>906.987</v>
      </c>
      <c r="AZ314" s="20"/>
      <c r="BA314" s="20"/>
      <c r="BB314" s="20"/>
      <c r="BC314" s="20"/>
      <c r="BD314" s="20"/>
      <c r="BE314" s="43" t="n">
        <f aca="false">IF(ISNUMBER(BE312),BE312+N(BE313),"")</f>
        <v>1012.399</v>
      </c>
      <c r="BF314" s="20"/>
      <c r="BG314" s="20"/>
      <c r="BH314" s="20"/>
      <c r="BI314" s="20"/>
      <c r="BJ314" s="20"/>
      <c r="BK314" s="43" t="n">
        <f aca="false">IF(ISNUMBER(BK312),BK312+N(BK313),"")</f>
        <v>1071.063</v>
      </c>
      <c r="BL314" s="20"/>
      <c r="BM314" s="20"/>
      <c r="BN314" s="20"/>
      <c r="BO314" s="20"/>
      <c r="BP314" s="20"/>
      <c r="BQ314" s="43" t="n">
        <f aca="false">IF(ISNUMBER(BQ312),BQ312+N(BQ313),"")</f>
        <v>1290.075</v>
      </c>
      <c r="BR314" s="20"/>
      <c r="BS314" s="20"/>
      <c r="BT314" s="20"/>
      <c r="BU314" s="20"/>
      <c r="BV314" s="20"/>
      <c r="BW314" s="43" t="n">
        <f aca="false">IF(ISNUMBER(BW312),BW312+N(BW313),"")</f>
        <v>5019</v>
      </c>
      <c r="BX314" s="20"/>
      <c r="BY314" s="20"/>
      <c r="BZ314" s="20"/>
      <c r="CA314" s="20"/>
      <c r="CB314" s="20"/>
      <c r="CC314" s="43" t="n">
        <f aca="false">IF(ISNUMBER(CC312),CC312+N(CC313),"")</f>
        <v>5226.3</v>
      </c>
      <c r="CD314" s="20"/>
      <c r="CE314" s="20"/>
      <c r="CF314" s="20"/>
      <c r="CG314" s="20"/>
      <c r="CH314" s="20"/>
      <c r="CI314" s="43" t="n">
        <f aca="false">IF(ISNUMBER(CI312),CI312+N(CI313),"")</f>
        <v>5573.1</v>
      </c>
      <c r="CJ314" s="20"/>
      <c r="CK314" s="20"/>
      <c r="CL314" s="20" t="n">
        <f aca="false">IF(ISNUMBER(CL312),CL312+N(CL313),"")</f>
        <v>5568.4</v>
      </c>
      <c r="CM314" s="43"/>
      <c r="CN314" s="43"/>
      <c r="CO314" s="43" t="n">
        <f aca="false">CO312+CO313</f>
        <v>5602.79805516665</v>
      </c>
      <c r="CP314" s="43" t="n">
        <f aca="false">CP312+CP313</f>
        <v>5701.61779925432</v>
      </c>
      <c r="CQ314" s="43" t="n">
        <f aca="false">CQ312+CQ313</f>
        <v>5912.03942929625</v>
      </c>
      <c r="CR314" s="43" t="n">
        <f aca="false">CR312+CR313</f>
        <v>6159.60539552013</v>
      </c>
      <c r="CS314" s="43" t="n">
        <f aca="false">CS312+CS313</f>
        <v>6435.47308478594</v>
      </c>
      <c r="CT314" s="23"/>
      <c r="CV314" s="7"/>
      <c r="CW314" s="7"/>
      <c r="CX314" s="7"/>
      <c r="CY314" s="7"/>
    </row>
    <row r="315" customFormat="false" ht="15" hidden="false" customHeight="true" outlineLevel="0" collapsed="false">
      <c r="B315" s="41" t="s">
        <v>498</v>
      </c>
      <c r="C315" s="43" t="n">
        <f aca="false">IF(ISNUMBER(C305),C305+N(C306)+N(C307)+C314,"")</f>
        <v>554.227</v>
      </c>
      <c r="D315" s="43" t="n">
        <f aca="false">IF(ISNUMBER(D305),D305+N(D306)+N(D307)+D314,"")</f>
        <v>672.887</v>
      </c>
      <c r="E315" s="43" t="n">
        <f aca="false">IF(ISNUMBER(E305),E305+N(E306)+N(E307)+E314,"")</f>
        <v>689.488</v>
      </c>
      <c r="F315" s="43" t="n">
        <f aca="false">IF(ISNUMBER(F305),F305+N(F306)+N(F307)+F314,"")</f>
        <v>857.821</v>
      </c>
      <c r="G315" s="43" t="n">
        <f aca="false">IF(ISNUMBER(G305),G305+N(G306)+N(G307)+G314,"")</f>
        <v>872.558</v>
      </c>
      <c r="H315" s="43" t="n">
        <f aca="false">IF(ISNUMBER(H305),H305+N(H306)+N(H307)+H314,"")</f>
        <v>967.241</v>
      </c>
      <c r="I315" s="43" t="n">
        <f aca="false">IF(ISNUMBER(I305),I305+N(I306)+N(I307)+I314,"")</f>
        <v>1132.498</v>
      </c>
      <c r="J315" s="20"/>
      <c r="K315" s="20"/>
      <c r="L315" s="20"/>
      <c r="M315" s="20"/>
      <c r="N315" s="20"/>
      <c r="O315" s="43" t="n">
        <f aca="false">IF(ISNUMBER(O305),O305+N(O306)+N(O307)+O314,"")</f>
        <v>1162.295</v>
      </c>
      <c r="P315" s="20"/>
      <c r="Q315" s="20"/>
      <c r="R315" s="20"/>
      <c r="S315" s="20"/>
      <c r="T315" s="20"/>
      <c r="U315" s="43" t="n">
        <f aca="false">IF(ISNUMBER(U305),U305+N(U306)+N(U307)+U314,"")</f>
        <v>1121.51</v>
      </c>
      <c r="V315" s="20"/>
      <c r="W315" s="20"/>
      <c r="X315" s="20"/>
      <c r="Y315" s="20"/>
      <c r="Z315" s="20"/>
      <c r="AA315" s="43" t="n">
        <f aca="false">IF(ISNUMBER(AA305),AA305+N(AA306)+N(AA307)+AA314,"")</f>
        <v>1120.115</v>
      </c>
      <c r="AB315" s="20"/>
      <c r="AC315" s="20"/>
      <c r="AD315" s="20"/>
      <c r="AE315" s="20"/>
      <c r="AF315" s="20"/>
      <c r="AG315" s="43" t="n">
        <f aca="false">IF(ISNUMBER(AG305),AG305+N(AG306)+N(AG307)+AG314,"")</f>
        <v>1599.533</v>
      </c>
      <c r="AH315" s="20"/>
      <c r="AI315" s="20"/>
      <c r="AJ315" s="20"/>
      <c r="AK315" s="20"/>
      <c r="AL315" s="20"/>
      <c r="AM315" s="43" t="n">
        <f aca="false">IF(ISNUMBER(AM305),AM305+N(AM306)+N(AM307)+AM314,"")</f>
        <v>2017.312</v>
      </c>
      <c r="AN315" s="20"/>
      <c r="AO315" s="20"/>
      <c r="AP315" s="20"/>
      <c r="AQ315" s="20"/>
      <c r="AR315" s="20"/>
      <c r="AS315" s="43" t="n">
        <f aca="false">IF(ISNUMBER(AS305),AS305+N(AS306)+N(AS307)+AS314,"")</f>
        <v>2052.396</v>
      </c>
      <c r="AT315" s="20"/>
      <c r="AU315" s="20"/>
      <c r="AV315" s="20"/>
      <c r="AW315" s="20"/>
      <c r="AX315" s="20"/>
      <c r="AY315" s="43" t="n">
        <f aca="false">IF(ISNUMBER(AY305),AY305+N(AY306)+N(AY307)+AY314,"")</f>
        <v>2229.43</v>
      </c>
      <c r="AZ315" s="20"/>
      <c r="BA315" s="20"/>
      <c r="BB315" s="20"/>
      <c r="BC315" s="20"/>
      <c r="BD315" s="20"/>
      <c r="BE315" s="43" t="n">
        <f aca="false">IF(ISNUMBER(BE305),BE305+N(BE306)+N(BE307)+BE314,"")</f>
        <v>2351.529</v>
      </c>
      <c r="BF315" s="20"/>
      <c r="BG315" s="20"/>
      <c r="BH315" s="20"/>
      <c r="BI315" s="20"/>
      <c r="BJ315" s="20"/>
      <c r="BK315" s="43" t="n">
        <f aca="false">IF(ISNUMBER(BK305),BK305+N(BK306)+N(BK307)+BK314,"")</f>
        <v>3592.914</v>
      </c>
      <c r="BL315" s="20"/>
      <c r="BM315" s="20"/>
      <c r="BN315" s="20"/>
      <c r="BO315" s="20"/>
      <c r="BP315" s="20"/>
      <c r="BQ315" s="43" t="n">
        <f aca="false">IF(ISNUMBER(BQ305),BQ305+N(BQ306)+N(BQ307)+BQ314,"")</f>
        <v>2863.675</v>
      </c>
      <c r="BR315" s="20"/>
      <c r="BS315" s="20"/>
      <c r="BT315" s="20"/>
      <c r="BU315" s="20"/>
      <c r="BV315" s="20"/>
      <c r="BW315" s="43" t="n">
        <f aca="false">IF(ISNUMBER(BW305),BW305+N(BW306)+N(BW307)+BW314,"")</f>
        <v>12037.4</v>
      </c>
      <c r="BX315" s="20"/>
      <c r="BY315" s="20"/>
      <c r="BZ315" s="20"/>
      <c r="CA315" s="20"/>
      <c r="CB315" s="20"/>
      <c r="CC315" s="43" t="n">
        <f aca="false">IF(ISNUMBER(CC305),CC305+N(CC306)+N(CC307)+CC314,"")</f>
        <v>11807</v>
      </c>
      <c r="CD315" s="20"/>
      <c r="CE315" s="20"/>
      <c r="CF315" s="20"/>
      <c r="CG315" s="20"/>
      <c r="CH315" s="20"/>
      <c r="CI315" s="43" t="n">
        <f aca="false">IF(ISNUMBER(CI305),CI305+N(CI306)+N(CI307)+CI314,"")</f>
        <v>12143</v>
      </c>
      <c r="CJ315" s="20"/>
      <c r="CK315" s="20"/>
      <c r="CL315" s="20" t="n">
        <f aca="false">IF(ISNUMBER(CL305),CL305+N(CL306)+N(CL307)+CL314,"")</f>
        <v>12487.6</v>
      </c>
      <c r="CM315" s="43"/>
      <c r="CN315" s="43"/>
      <c r="CO315" s="43" t="n">
        <f aca="false">CO305+CO306+CO307+CO314</f>
        <v>12532.9474379352</v>
      </c>
      <c r="CP315" s="43" t="n">
        <f aca="false">CP305+CP306+CP307+CP314</f>
        <v>12559.4955874239</v>
      </c>
      <c r="CQ315" s="43" t="n">
        <f aca="false">CQ305+CQ306+CQ307+CQ314</f>
        <v>12699.7016701519</v>
      </c>
      <c r="CR315" s="43" t="n">
        <f aca="false">CR305+CR306+CR307+CR314</f>
        <v>12877.9549192552</v>
      </c>
      <c r="CS315" s="43" t="n">
        <f aca="false">CS305+CS306+CS307+CS314</f>
        <v>13092.3392178457</v>
      </c>
      <c r="CT315" s="23"/>
      <c r="CV315" s="7"/>
      <c r="CW315" s="7"/>
      <c r="CX315" s="7"/>
      <c r="CY315" s="7"/>
    </row>
    <row r="316" customFormat="false" ht="15" hidden="false" customHeight="true" outlineLevel="0" collapsed="false">
      <c r="B316" s="13"/>
      <c r="CM316" s="7"/>
      <c r="CN316" s="7"/>
      <c r="CO316" s="7"/>
      <c r="CP316" s="7"/>
      <c r="CQ316" s="7"/>
      <c r="CR316" s="7"/>
      <c r="CS316" s="7"/>
      <c r="CT316" s="7"/>
    </row>
    <row r="317" customFormat="false" ht="15" hidden="false" customHeight="true" outlineLevel="0" collapsed="false">
      <c r="B317" s="46" t="s">
        <v>499</v>
      </c>
      <c r="C317" s="31" t="n">
        <f aca="false">IF(ISNUMBER(C289),ROUND(C289-C315,1),"")</f>
        <v>0</v>
      </c>
      <c r="D317" s="31" t="n">
        <f aca="false">IF(ISNUMBER(D289),ROUND(D289-D315,1),"")</f>
        <v>0</v>
      </c>
      <c r="E317" s="31" t="n">
        <f aca="false">IF(ISNUMBER(E289),ROUND(E289-E315,1),"")</f>
        <v>0</v>
      </c>
      <c r="F317" s="31" t="n">
        <f aca="false">IF(ISNUMBER(F289),ROUND(F289-F315,1),"")</f>
        <v>0</v>
      </c>
      <c r="G317" s="31" t="n">
        <f aca="false">IF(ISNUMBER(G289),ROUND(G289-G315,1),"")</f>
        <v>0</v>
      </c>
      <c r="H317" s="31" t="n">
        <f aca="false">IF(ISNUMBER(H289),ROUND(H289-H315,1),"")</f>
        <v>0</v>
      </c>
      <c r="I317" s="31" t="n">
        <f aca="false">IF(ISNUMBER(I289),ROUND(I289-I315,1),"")</f>
        <v>0</v>
      </c>
      <c r="J317" s="31"/>
      <c r="K317" s="31"/>
      <c r="L317" s="31"/>
      <c r="M317" s="31"/>
      <c r="N317" s="31"/>
      <c r="O317" s="31" t="n">
        <f aca="false">IF(ISNUMBER(O289),ROUND(O289-O315,1),"")</f>
        <v>0</v>
      </c>
      <c r="P317" s="31"/>
      <c r="Q317" s="31"/>
      <c r="R317" s="31"/>
      <c r="S317" s="31"/>
      <c r="T317" s="31"/>
      <c r="U317" s="31" t="n">
        <f aca="false">IF(ISNUMBER(U289),ROUND(U289-U315,1),"")</f>
        <v>0</v>
      </c>
      <c r="V317" s="31"/>
      <c r="W317" s="31"/>
      <c r="X317" s="31"/>
      <c r="Y317" s="31"/>
      <c r="Z317" s="31"/>
      <c r="AA317" s="31" t="n">
        <f aca="false">IF(ISNUMBER(AA289),ROUND(AA289-AA315,1),"")</f>
        <v>0</v>
      </c>
      <c r="AB317" s="31"/>
      <c r="AC317" s="31"/>
      <c r="AD317" s="31"/>
      <c r="AE317" s="31"/>
      <c r="AF317" s="31"/>
      <c r="AG317" s="31" t="n">
        <f aca="false">IF(ISNUMBER(AG289),ROUND(AG289-AG315,1),"")</f>
        <v>0</v>
      </c>
      <c r="AH317" s="31"/>
      <c r="AI317" s="31"/>
      <c r="AJ317" s="31"/>
      <c r="AK317" s="31"/>
      <c r="AL317" s="31"/>
      <c r="AM317" s="31" t="n">
        <f aca="false">IF(ISNUMBER(AM289),ROUND(AM289-AM315,1),"")</f>
        <v>0</v>
      </c>
      <c r="AN317" s="31"/>
      <c r="AO317" s="31"/>
      <c r="AP317" s="31"/>
      <c r="AQ317" s="31"/>
      <c r="AR317" s="31"/>
      <c r="AS317" s="31" t="n">
        <f aca="false">IF(ISNUMBER(AS289),ROUND(AS289-AS315,1),"")</f>
        <v>0</v>
      </c>
      <c r="AT317" s="31"/>
      <c r="AU317" s="31"/>
      <c r="AV317" s="31"/>
      <c r="AW317" s="31"/>
      <c r="AX317" s="31"/>
      <c r="AY317" s="31" t="n">
        <f aca="false">IF(ISNUMBER(AY289),ROUND(AY289-AY315,1),"")</f>
        <v>0</v>
      </c>
      <c r="AZ317" s="31"/>
      <c r="BA317" s="31"/>
      <c r="BB317" s="31"/>
      <c r="BC317" s="31"/>
      <c r="BD317" s="31"/>
      <c r="BE317" s="31" t="n">
        <f aca="false">IF(ISNUMBER(BE289),ROUND(BE289-BE315,1),"")</f>
        <v>0</v>
      </c>
      <c r="BF317" s="31"/>
      <c r="BG317" s="31"/>
      <c r="BH317" s="31"/>
      <c r="BI317" s="31"/>
      <c r="BJ317" s="31"/>
      <c r="BK317" s="31" t="n">
        <f aca="false">IF(ISNUMBER(BK289),ROUND(BK289-BK315,1),"")</f>
        <v>0</v>
      </c>
      <c r="BL317" s="31"/>
      <c r="BM317" s="31"/>
      <c r="BN317" s="31"/>
      <c r="BO317" s="31"/>
      <c r="BP317" s="31"/>
      <c r="BQ317" s="31" t="n">
        <f aca="false">IF(ISNUMBER(BQ289),ROUND(BQ289-BQ315,1),"")</f>
        <v>0</v>
      </c>
      <c r="BR317" s="31"/>
      <c r="BS317" s="31"/>
      <c r="BT317" s="31"/>
      <c r="BU317" s="31"/>
      <c r="BV317" s="31"/>
      <c r="BW317" s="31" t="n">
        <f aca="false">IF(ISNUMBER(BW289),ROUND(BW289-BW315,1),"")</f>
        <v>0</v>
      </c>
      <c r="BX317" s="31"/>
      <c r="BY317" s="31"/>
      <c r="BZ317" s="31"/>
      <c r="CA317" s="31"/>
      <c r="CB317" s="31"/>
      <c r="CC317" s="31" t="n">
        <f aca="false">IF(ISNUMBER(CC289),ROUND(CC289-CC315,1),"")</f>
        <v>0</v>
      </c>
      <c r="CD317" s="31"/>
      <c r="CE317" s="31"/>
      <c r="CF317" s="31"/>
      <c r="CG317" s="31"/>
      <c r="CH317" s="31"/>
      <c r="CI317" s="31" t="n">
        <f aca="false">IF(ISNUMBER(CI289),ROUND(CI289-CI315,1),"")</f>
        <v>0</v>
      </c>
      <c r="CJ317" s="31"/>
      <c r="CK317" s="31"/>
      <c r="CL317" s="31" t="n">
        <f aca="false">IF(ISNUMBER(CL289),ROUND(CL289-CL315,1),"")</f>
        <v>0</v>
      </c>
      <c r="CM317" s="32"/>
      <c r="CN317" s="32"/>
      <c r="CO317" s="32" t="n">
        <f aca="false">ROUND(CO289-CO315,1)</f>
        <v>0</v>
      </c>
      <c r="CP317" s="32" t="n">
        <f aca="false">ROUND(CP289-CP315,1)</f>
        <v>0</v>
      </c>
      <c r="CQ317" s="32" t="n">
        <f aca="false">ROUND(CQ289-CQ315,1)</f>
        <v>0</v>
      </c>
      <c r="CR317" s="32" t="n">
        <f aca="false">ROUND(CR289-CR315,1)</f>
        <v>0</v>
      </c>
      <c r="CS317" s="32" t="n">
        <f aca="false">ROUND(CS289-CS315,1)</f>
        <v>0</v>
      </c>
      <c r="CT317" s="23"/>
      <c r="CV317" s="7"/>
      <c r="CW317" s="7"/>
      <c r="CX317" s="7"/>
      <c r="CY317" s="7"/>
    </row>
    <row r="318" customFormat="false" ht="15" hidden="false" customHeight="true" outlineLevel="0" collapsed="false">
      <c r="B318" s="46" t="s">
        <v>500</v>
      </c>
      <c r="C318" s="31" t="n">
        <f aca="false">IF(ISNUMBER(C319),ROUND(C289-C319,1),"")</f>
        <v>0</v>
      </c>
      <c r="D318" s="31" t="n">
        <f aca="false">IF(ISNUMBER(D319),ROUND(D289-D319,1),"")</f>
        <v>0</v>
      </c>
      <c r="E318" s="31" t="n">
        <f aca="false">IF(ISNUMBER(E319),ROUND(E289-E319,1),"")</f>
        <v>0</v>
      </c>
      <c r="F318" s="31" t="n">
        <f aca="false">IF(ISNUMBER(F319),ROUND(F289-F319,1),"")</f>
        <v>0</v>
      </c>
      <c r="G318" s="31" t="n">
        <f aca="false">IF(ISNUMBER(G319),ROUND(G289-G319,1),"")</f>
        <v>0</v>
      </c>
      <c r="H318" s="31" t="n">
        <f aca="false">IF(ISNUMBER(H319),ROUND(H289-H319,1),"")</f>
        <v>0</v>
      </c>
      <c r="I318" s="31" t="n">
        <f aca="false">IF(ISNUMBER(I319),ROUND(I289-I319,1),"")</f>
        <v>0</v>
      </c>
      <c r="J318" s="31"/>
      <c r="K318" s="31"/>
      <c r="L318" s="31"/>
      <c r="M318" s="31"/>
      <c r="N318" s="31"/>
      <c r="O318" s="31" t="n">
        <f aca="false">IF(ISNUMBER(O319),ROUND(O289-O319,1),"")</f>
        <v>0</v>
      </c>
      <c r="P318" s="31"/>
      <c r="Q318" s="31"/>
      <c r="R318" s="31"/>
      <c r="S318" s="31"/>
      <c r="T318" s="31"/>
      <c r="U318" s="31" t="n">
        <f aca="false">IF(ISNUMBER(U319),ROUND(U289-U319,1),"")</f>
        <v>0</v>
      </c>
      <c r="V318" s="31"/>
      <c r="W318" s="31"/>
      <c r="X318" s="31"/>
      <c r="Y318" s="31"/>
      <c r="Z318" s="31"/>
      <c r="AA318" s="31" t="n">
        <f aca="false">IF(ISNUMBER(AA319),ROUND(AA289-AA319,1),"")</f>
        <v>0</v>
      </c>
      <c r="AB318" s="31"/>
      <c r="AC318" s="31"/>
      <c r="AD318" s="31"/>
      <c r="AE318" s="31"/>
      <c r="AF318" s="31"/>
      <c r="AG318" s="31" t="n">
        <f aca="false">IF(ISNUMBER(AG319),ROUND(AG289-AG319,1),"")</f>
        <v>0</v>
      </c>
      <c r="AH318" s="31"/>
      <c r="AI318" s="31"/>
      <c r="AJ318" s="31"/>
      <c r="AK318" s="31"/>
      <c r="AL318" s="31"/>
      <c r="AM318" s="31" t="n">
        <f aca="false">IF(ISNUMBER(AM319),ROUND(AM289-AM319,1),"")</f>
        <v>0</v>
      </c>
      <c r="AN318" s="31"/>
      <c r="AO318" s="31"/>
      <c r="AP318" s="31"/>
      <c r="AQ318" s="31"/>
      <c r="AR318" s="31"/>
      <c r="AS318" s="31" t="n">
        <f aca="false">IF(ISNUMBER(AS319),ROUND(AS289-AS319,1),"")</f>
        <v>0</v>
      </c>
      <c r="AT318" s="31"/>
      <c r="AU318" s="31"/>
      <c r="AV318" s="31"/>
      <c r="AW318" s="31"/>
      <c r="AX318" s="31"/>
      <c r="AY318" s="31" t="n">
        <f aca="false">IF(ISNUMBER(AY319),ROUND(AY289-AY319,1),"")</f>
        <v>0</v>
      </c>
      <c r="AZ318" s="31"/>
      <c r="BA318" s="31"/>
      <c r="BB318" s="31"/>
      <c r="BC318" s="31"/>
      <c r="BD318" s="31"/>
      <c r="BE318" s="31" t="n">
        <f aca="false">IF(ISNUMBER(BE319),ROUND(BE289-BE319,1),"")</f>
        <v>0</v>
      </c>
      <c r="BF318" s="31"/>
      <c r="BG318" s="31"/>
      <c r="BH318" s="31"/>
      <c r="BI318" s="31"/>
      <c r="BJ318" s="31"/>
      <c r="BK318" s="31" t="n">
        <f aca="false">IF(ISNUMBER(BK319),ROUND(BK289-BK319,1),"")</f>
        <v>0</v>
      </c>
      <c r="BL318" s="31"/>
      <c r="BM318" s="31"/>
      <c r="BN318" s="31"/>
      <c r="BO318" s="31"/>
      <c r="BP318" s="31"/>
      <c r="BQ318" s="31" t="n">
        <f aca="false">IF(ISNUMBER(BQ319),ROUND(BQ289-BQ319,1),"")</f>
        <v>0</v>
      </c>
      <c r="BR318" s="31"/>
      <c r="BS318" s="31"/>
      <c r="BT318" s="31"/>
      <c r="BU318" s="31"/>
      <c r="BV318" s="31"/>
      <c r="BW318" s="31" t="n">
        <f aca="false">IF(ISNUMBER(BW319),ROUND(BW289-BW319,1),"")</f>
        <v>0</v>
      </c>
      <c r="BX318" s="31"/>
      <c r="BY318" s="31"/>
      <c r="BZ318" s="31"/>
      <c r="CA318" s="31"/>
      <c r="CB318" s="31"/>
      <c r="CC318" s="31" t="n">
        <f aca="false">IF(ISNUMBER(CC319),ROUND(CC289-CC319,1),"")</f>
        <v>0</v>
      </c>
      <c r="CD318" s="31"/>
      <c r="CE318" s="31"/>
      <c r="CF318" s="31"/>
      <c r="CG318" s="31"/>
      <c r="CH318" s="31"/>
      <c r="CI318" s="31" t="n">
        <f aca="false">IF(ISNUMBER(CI319),ROUND(CI289-CI319,1),"")</f>
        <v>0</v>
      </c>
      <c r="CJ318" s="31"/>
      <c r="CK318" s="31"/>
      <c r="CL318" s="31" t="n">
        <f aca="false">IF(ISNUMBER(CL319),ROUND(CL289-CL319,1),"")</f>
        <v>0</v>
      </c>
      <c r="CM318" s="32"/>
      <c r="CN318" s="32"/>
      <c r="CO318" s="32"/>
      <c r="CP318" s="32"/>
      <c r="CQ318" s="32"/>
      <c r="CR318" s="32"/>
      <c r="CS318" s="32"/>
      <c r="CT318" s="23"/>
      <c r="CV318" s="7"/>
      <c r="CW318" s="7"/>
      <c r="CX318" s="7"/>
      <c r="CY318" s="7"/>
    </row>
    <row r="319" customFormat="false" ht="15" hidden="false" customHeight="true" outlineLevel="0" collapsed="false">
      <c r="B319" s="39" t="s">
        <v>501</v>
      </c>
      <c r="C319" s="40" t="n">
        <v>554.227</v>
      </c>
      <c r="D319" s="40" t="n">
        <v>672.887</v>
      </c>
      <c r="E319" s="40" t="n">
        <v>689.488</v>
      </c>
      <c r="F319" s="40" t="n">
        <v>857.821</v>
      </c>
      <c r="G319" s="40" t="n">
        <v>872.558</v>
      </c>
      <c r="H319" s="40" t="n">
        <v>967.241</v>
      </c>
      <c r="I319" s="40" t="n">
        <v>1132.498</v>
      </c>
      <c r="J319" s="31"/>
      <c r="K319" s="31"/>
      <c r="L319" s="31"/>
      <c r="M319" s="31"/>
      <c r="N319" s="31"/>
      <c r="O319" s="40" t="n">
        <v>1162.295</v>
      </c>
      <c r="P319" s="31"/>
      <c r="Q319" s="31"/>
      <c r="R319" s="31"/>
      <c r="S319" s="31"/>
      <c r="T319" s="31"/>
      <c r="U319" s="40" t="n">
        <v>1121.51</v>
      </c>
      <c r="V319" s="31"/>
      <c r="W319" s="31"/>
      <c r="X319" s="31"/>
      <c r="Y319" s="31"/>
      <c r="Z319" s="31"/>
      <c r="AA319" s="40" t="n">
        <v>1120.115</v>
      </c>
      <c r="AB319" s="31"/>
      <c r="AC319" s="31"/>
      <c r="AD319" s="31"/>
      <c r="AE319" s="31"/>
      <c r="AF319" s="31"/>
      <c r="AG319" s="40" t="n">
        <v>1599.533</v>
      </c>
      <c r="AH319" s="31"/>
      <c r="AI319" s="31"/>
      <c r="AJ319" s="31"/>
      <c r="AK319" s="31"/>
      <c r="AL319" s="31"/>
      <c r="AM319" s="40" t="n">
        <v>2017.312</v>
      </c>
      <c r="AN319" s="31"/>
      <c r="AO319" s="31"/>
      <c r="AP319" s="31"/>
      <c r="AQ319" s="31"/>
      <c r="AR319" s="31"/>
      <c r="AS319" s="40" t="n">
        <v>2052.396</v>
      </c>
      <c r="AT319" s="31"/>
      <c r="AU319" s="31"/>
      <c r="AV319" s="31"/>
      <c r="AW319" s="31"/>
      <c r="AX319" s="31"/>
      <c r="AY319" s="40" t="n">
        <v>2229.43</v>
      </c>
      <c r="AZ319" s="31"/>
      <c r="BA319" s="31"/>
      <c r="BB319" s="31"/>
      <c r="BC319" s="31"/>
      <c r="BD319" s="31"/>
      <c r="BE319" s="40" t="n">
        <v>2351.529</v>
      </c>
      <c r="BF319" s="31"/>
      <c r="BG319" s="31"/>
      <c r="BH319" s="31"/>
      <c r="BI319" s="31"/>
      <c r="BJ319" s="31"/>
      <c r="BK319" s="40" t="n">
        <v>3592.914</v>
      </c>
      <c r="BL319" s="31"/>
      <c r="BM319" s="31"/>
      <c r="BN319" s="31"/>
      <c r="BO319" s="31"/>
      <c r="BP319" s="31"/>
      <c r="BQ319" s="40" t="n">
        <v>2863.7</v>
      </c>
      <c r="BR319" s="31"/>
      <c r="BS319" s="31"/>
      <c r="BT319" s="31"/>
      <c r="BU319" s="31"/>
      <c r="BV319" s="31"/>
      <c r="BW319" s="40" t="n">
        <v>12037.4</v>
      </c>
      <c r="BX319" s="31"/>
      <c r="BY319" s="31"/>
      <c r="BZ319" s="31"/>
      <c r="CA319" s="31"/>
      <c r="CB319" s="31"/>
      <c r="CC319" s="40" t="n">
        <v>11807</v>
      </c>
      <c r="CD319" s="31"/>
      <c r="CE319" s="31"/>
      <c r="CF319" s="31"/>
      <c r="CG319" s="31"/>
      <c r="CH319" s="31"/>
      <c r="CI319" s="40" t="n">
        <v>12143</v>
      </c>
      <c r="CJ319" s="31"/>
      <c r="CK319" s="31"/>
      <c r="CL319" s="40" t="n">
        <v>12487.6</v>
      </c>
      <c r="CM319" s="32"/>
      <c r="CN319" s="32"/>
      <c r="CO319" s="32"/>
      <c r="CP319" s="32"/>
      <c r="CQ319" s="32"/>
      <c r="CR319" s="32"/>
      <c r="CS319" s="32"/>
      <c r="CT319" s="23"/>
      <c r="CV319" s="7"/>
      <c r="CW319" s="7"/>
      <c r="CX319" s="7"/>
      <c r="CY319" s="7"/>
    </row>
    <row r="320" customFormat="false" ht="15" hidden="false" customHeight="true" outlineLevel="0" collapsed="false">
      <c r="B320" s="39" t="s">
        <v>502</v>
      </c>
      <c r="C320" s="27" t="n">
        <v>104.0193</v>
      </c>
      <c r="D320" s="27" t="n">
        <v>104.43855</v>
      </c>
      <c r="E320" s="27" t="n">
        <v>104.88772</v>
      </c>
      <c r="F320" s="27" t="n">
        <v>105.37862</v>
      </c>
      <c r="G320" s="27" t="n">
        <v>105.648035</v>
      </c>
      <c r="H320" s="27" t="n">
        <v>106.386339</v>
      </c>
      <c r="I320" s="27" t="n">
        <v>106.596811</v>
      </c>
      <c r="J320" s="26"/>
      <c r="K320" s="26"/>
      <c r="L320" s="26"/>
      <c r="M320" s="26"/>
      <c r="N320" s="26"/>
      <c r="O320" s="27" t="n">
        <v>107.024783</v>
      </c>
      <c r="P320" s="26"/>
      <c r="Q320" s="26"/>
      <c r="R320" s="26"/>
      <c r="S320" s="26"/>
      <c r="T320" s="26"/>
      <c r="U320" s="27" t="n">
        <v>107.687935</v>
      </c>
      <c r="V320" s="26"/>
      <c r="W320" s="26"/>
      <c r="X320" s="26"/>
      <c r="Y320" s="26"/>
      <c r="Z320" s="26"/>
      <c r="AA320" s="27" t="n">
        <v>107.20047</v>
      </c>
      <c r="AB320" s="26"/>
      <c r="AC320" s="26"/>
      <c r="AD320" s="26"/>
      <c r="AE320" s="26"/>
      <c r="AF320" s="26"/>
      <c r="AG320" s="27" t="n">
        <v>106.822001</v>
      </c>
      <c r="AH320" s="26"/>
      <c r="AI320" s="26"/>
      <c r="AJ320" s="26"/>
      <c r="AK320" s="26"/>
      <c r="AL320" s="26"/>
      <c r="AM320" s="27" t="n">
        <v>107.269783</v>
      </c>
      <c r="AN320" s="26"/>
      <c r="AO320" s="26"/>
      <c r="AP320" s="26"/>
      <c r="AQ320" s="26"/>
      <c r="AR320" s="26"/>
      <c r="AS320" s="27" t="n">
        <v>108.68203</v>
      </c>
      <c r="AT320" s="26"/>
      <c r="AU320" s="26"/>
      <c r="AV320" s="26"/>
      <c r="AW320" s="26"/>
      <c r="AX320" s="26"/>
      <c r="AY320" s="27" t="n">
        <v>109.337781</v>
      </c>
      <c r="AZ320" s="26"/>
      <c r="BA320" s="26"/>
      <c r="BB320" s="26"/>
      <c r="BC320" s="26"/>
      <c r="BD320" s="26"/>
      <c r="BE320" s="27" t="n">
        <v>109.876428</v>
      </c>
      <c r="BF320" s="26"/>
      <c r="BG320" s="26"/>
      <c r="BH320" s="26"/>
      <c r="BI320" s="26"/>
      <c r="BJ320" s="26"/>
      <c r="BK320" s="27" t="n">
        <v>110.618049</v>
      </c>
      <c r="BL320" s="26"/>
      <c r="BM320" s="26"/>
      <c r="BN320" s="26"/>
      <c r="BO320" s="26"/>
      <c r="BP320" s="26"/>
      <c r="BQ320" s="27" t="n">
        <v>110.881363</v>
      </c>
      <c r="BR320" s="26"/>
      <c r="BS320" s="26"/>
      <c r="BT320" s="26"/>
      <c r="BU320" s="26"/>
      <c r="BV320" s="26"/>
      <c r="BW320" s="27" t="n">
        <v>182.843942</v>
      </c>
      <c r="BX320" s="26"/>
      <c r="BY320" s="26"/>
      <c r="BZ320" s="26"/>
      <c r="CA320" s="26"/>
      <c r="CB320" s="26"/>
      <c r="CC320" s="27" t="n">
        <v>184.732582</v>
      </c>
      <c r="CD320" s="26"/>
      <c r="CE320" s="26"/>
      <c r="CF320" s="26"/>
      <c r="CG320" s="26"/>
      <c r="CH320" s="26"/>
      <c r="CI320" s="27" t="n">
        <v>185.9</v>
      </c>
      <c r="CJ320" s="26"/>
      <c r="CK320" s="26"/>
      <c r="CL320" s="27" t="n">
        <v>185.1</v>
      </c>
      <c r="CM320" s="28"/>
      <c r="CN320" s="28"/>
      <c r="CO320" s="28" t="n">
        <f aca="false">CO266</f>
        <v>183.2</v>
      </c>
      <c r="CP320" s="28" t="n">
        <f aca="false">CP266</f>
        <v>179.127102803738</v>
      </c>
      <c r="CQ320" s="28" t="n">
        <f aca="false">CQ266</f>
        <v>175.359909162372</v>
      </c>
      <c r="CR320" s="28" t="n">
        <f aca="false">CR266</f>
        <v>171.368233604861</v>
      </c>
      <c r="CS320" s="28" t="n">
        <f aca="false">CS266</f>
        <v>167.200138529564</v>
      </c>
      <c r="CT320" s="23"/>
      <c r="CV320" s="7"/>
      <c r="CW320" s="7"/>
      <c r="CX320" s="7"/>
      <c r="CY320" s="7"/>
    </row>
    <row r="321" customFormat="false" ht="15" hidden="false" customHeight="true" outlineLevel="0" collapsed="false">
      <c r="B321" s="12" t="s">
        <v>503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 t="s">
        <v>504</v>
      </c>
    </row>
    <row r="322" customFormat="false" ht="15" hidden="false" customHeight="true" outlineLevel="0" collapsed="false">
      <c r="B322" s="30" t="s">
        <v>505</v>
      </c>
      <c r="C322" s="61" t="n">
        <f aca="false">IFERROR(C276/C39*365*IF(LEFT("2006",2)="1H",0.5,1),"n/a")</f>
        <v>4.92055010192858</v>
      </c>
      <c r="D322" s="61" t="n">
        <f aca="false">IFERROR(D276/D39*365*IF(LEFT("2007",2)="1H",0.5,1),"n/a")</f>
        <v>7.75662070062825</v>
      </c>
      <c r="E322" s="61" t="n">
        <f aca="false">IFERROR(E276/E39*365*IF(LEFT("2008",2)="1H",0.5,1),"n/a")</f>
        <v>6.17770859731551</v>
      </c>
      <c r="F322" s="61" t="n">
        <f aca="false">IFERROR(F276/F39*365*IF(LEFT("2009",2)="1H",0.5,1),"n/a")</f>
        <v>5.43138056729899</v>
      </c>
      <c r="G322" s="61" t="n">
        <f aca="false">IFERROR(G276/G39*365*IF(LEFT("2010",2)="1H",0.5,1),"n/a")</f>
        <v>6.66110292634842</v>
      </c>
      <c r="H322" s="61" t="n">
        <f aca="false">IFERROR(H276/H39*365*IF(LEFT("2011",2)="1H",0.5,1),"n/a")</f>
        <v>5.99246529812903</v>
      </c>
      <c r="I322" s="61" t="n">
        <f aca="false">IFERROR(I276/I39*365*IF(LEFT("2012",2)="1H",0.5,1),"n/a")</f>
        <v>7.10444061923377</v>
      </c>
      <c r="J322" s="61"/>
      <c r="K322" s="61"/>
      <c r="L322" s="61"/>
      <c r="M322" s="61"/>
      <c r="N322" s="61"/>
      <c r="O322" s="61" t="n">
        <f aca="false">IFERROR(O276/O39*365*IF(LEFT("2013",2)="1H",0.5,1),"n/a")</f>
        <v>8.20993753157931</v>
      </c>
      <c r="P322" s="61"/>
      <c r="Q322" s="61"/>
      <c r="R322" s="61"/>
      <c r="S322" s="61"/>
      <c r="T322" s="61"/>
      <c r="U322" s="61" t="n">
        <f aca="false">IFERROR(U276/U39*365*IF(LEFT("2014",2)="1H",0.5,1),"n/a")</f>
        <v>6.59031472180991</v>
      </c>
      <c r="V322" s="61"/>
      <c r="W322" s="61"/>
      <c r="X322" s="61"/>
      <c r="Y322" s="61"/>
      <c r="Z322" s="61"/>
      <c r="AA322" s="61" t="n">
        <f aca="false">IFERROR(AA276/AA39*365*IF(LEFT("2015",2)="1H",0.5,1),"n/a")</f>
        <v>5.10528329293831</v>
      </c>
      <c r="AB322" s="61"/>
      <c r="AC322" s="61"/>
      <c r="AD322" s="61"/>
      <c r="AE322" s="61"/>
      <c r="AF322" s="61"/>
      <c r="AG322" s="61" t="n">
        <f aca="false">IFERROR(AG276/AG39*365*IF(LEFT("2016",2)="1H",0.5,1),"n/a")</f>
        <v>4.46093662589984</v>
      </c>
      <c r="AH322" s="61"/>
      <c r="AI322" s="61"/>
      <c r="AJ322" s="61"/>
      <c r="AK322" s="61"/>
      <c r="AL322" s="61"/>
      <c r="AM322" s="61" t="n">
        <f aca="false">IFERROR(AM276/AM39*365*IF(LEFT("2017",2)="1H",0.5,1),"n/a")</f>
        <v>7.52427494112555</v>
      </c>
      <c r="AN322" s="61"/>
      <c r="AO322" s="61"/>
      <c r="AP322" s="61"/>
      <c r="AQ322" s="61"/>
      <c r="AR322" s="61"/>
      <c r="AS322" s="61" t="n">
        <f aca="false">IFERROR(AS276/AS39*365*IF(LEFT("2018",2)="1H",0.5,1),"n/a")</f>
        <v>9.5038752740894</v>
      </c>
      <c r="AT322" s="61"/>
      <c r="AU322" s="61"/>
      <c r="AV322" s="61"/>
      <c r="AW322" s="61"/>
      <c r="AX322" s="61"/>
      <c r="AY322" s="61" t="n">
        <f aca="false">IFERROR(AY276/AY39*365*IF(LEFT("2019",2)="1H",0.5,1),"n/a")</f>
        <v>9.75603175279399</v>
      </c>
      <c r="AZ322" s="61"/>
      <c r="BA322" s="61"/>
      <c r="BB322" s="61"/>
      <c r="BC322" s="61"/>
      <c r="BD322" s="61"/>
      <c r="BE322" s="61" t="n">
        <f aca="false">IFERROR(BE276/BE39*365*IF(LEFT("2020",2)="1H",0.5,1),"n/a")</f>
        <v>8.73738777480412</v>
      </c>
      <c r="BF322" s="61"/>
      <c r="BG322" s="61"/>
      <c r="BH322" s="61"/>
      <c r="BI322" s="61"/>
      <c r="BJ322" s="61"/>
      <c r="BK322" s="61" t="n">
        <f aca="false">IFERROR(BK276/BK39*365*IF(LEFT("2021",2)="1H",0.5,1),"n/a")</f>
        <v>9.66259517872557</v>
      </c>
      <c r="BL322" s="61"/>
      <c r="BM322" s="61"/>
      <c r="BN322" s="61"/>
      <c r="BO322" s="61"/>
      <c r="BP322" s="61"/>
      <c r="BQ322" s="61" t="n">
        <f aca="false">IFERROR(BQ276/BQ39*365*IF(LEFT("2022",2)="1H",0.5,1),"n/a")</f>
        <v>11.096785885037</v>
      </c>
      <c r="BR322" s="61"/>
      <c r="BS322" s="61"/>
      <c r="BT322" s="61"/>
      <c r="BU322" s="61"/>
      <c r="BV322" s="61"/>
      <c r="BW322" s="61" t="n">
        <f aca="false">IFERROR(BW276/BW39*365*IF(LEFT("2023",2)="1H",0.5,1),"n/a")</f>
        <v>19.1662598883034</v>
      </c>
      <c r="BX322" s="61"/>
      <c r="BY322" s="61"/>
      <c r="BZ322" s="61"/>
      <c r="CA322" s="61"/>
      <c r="CB322" s="61"/>
      <c r="CC322" s="61" t="n">
        <f aca="false">IFERROR(CC276/CC39*365*IF(LEFT("2024",2)="1H",0.5,1),"n/a")</f>
        <v>16.2800538202304</v>
      </c>
      <c r="CD322" s="61"/>
      <c r="CE322" s="61"/>
      <c r="CF322" s="61"/>
      <c r="CG322" s="61"/>
      <c r="CH322" s="61"/>
      <c r="CI322" s="61" t="n">
        <f aca="false">IFERROR(CI276/CI39*365*IF(LEFT("2025",2)="1H",0.5,1),"n/a")</f>
        <v>15.9116831976497</v>
      </c>
      <c r="CJ322" s="61"/>
      <c r="CK322" s="61"/>
      <c r="CL322" s="61" t="n">
        <f aca="false">IFERROR(CL276/CL39*365*IF(LEFT("1H/26",2)="1H",0.5,1),"n/a")</f>
        <v>17.2991923315878</v>
      </c>
      <c r="CM322" s="62"/>
      <c r="CN322" s="62"/>
      <c r="CO322" s="63" t="n">
        <v>16</v>
      </c>
      <c r="CP322" s="63" t="n">
        <v>16</v>
      </c>
      <c r="CQ322" s="63" t="n">
        <v>16</v>
      </c>
      <c r="CR322" s="63" t="n">
        <v>16</v>
      </c>
      <c r="CS322" s="63" t="n">
        <v>16</v>
      </c>
      <c r="CT322" s="23"/>
      <c r="CV322" s="7"/>
      <c r="CW322" s="7"/>
      <c r="CX322" s="7"/>
      <c r="CY322" s="7"/>
    </row>
    <row r="323" customFormat="false" ht="15" hidden="false" customHeight="true" outlineLevel="0" collapsed="false">
      <c r="B323" s="30" t="s">
        <v>506</v>
      </c>
      <c r="C323" s="61" t="n">
        <f aca="false">IFERROR(C293/C39*365*IF(LEFT("2006",2)="1H",0.5,1),"n/a")</f>
        <v>8.73443921642706</v>
      </c>
      <c r="D323" s="61" t="n">
        <f aca="false">IFERROR(D293/D39*365*IF(LEFT("2007",2)="1H",0.5,1),"n/a")</f>
        <v>9.24366142860326</v>
      </c>
      <c r="E323" s="61" t="n">
        <f aca="false">IFERROR(E293/E39*365*IF(LEFT("2008",2)="1H",0.5,1),"n/a")</f>
        <v>6.41734741362877</v>
      </c>
      <c r="F323" s="61" t="n">
        <f aca="false">IFERROR(F293/F39*365*IF(LEFT("2009",2)="1H",0.5,1),"n/a")</f>
        <v>7.8106603597172</v>
      </c>
      <c r="G323" s="61" t="n">
        <f aca="false">IFERROR(G293/G39*365*IF(LEFT("2010",2)="1H",0.5,1),"n/a")</f>
        <v>5.17394137662454</v>
      </c>
      <c r="H323" s="61" t="n">
        <f aca="false">IFERROR(H293/H39*365*IF(LEFT("2011",2)="1H",0.5,1),"n/a")</f>
        <v>6.78097860662669</v>
      </c>
      <c r="I323" s="61" t="n">
        <f aca="false">IFERROR(I293/I39*365*IF(LEFT("2012",2)="1H",0.5,1),"n/a")</f>
        <v>8.13864080034985</v>
      </c>
      <c r="J323" s="61"/>
      <c r="K323" s="61"/>
      <c r="L323" s="61"/>
      <c r="M323" s="61"/>
      <c r="N323" s="61"/>
      <c r="O323" s="61" t="n">
        <f aca="false">IFERROR(O293/O39*365*IF(LEFT("2013",2)="1H",0.5,1),"n/a")</f>
        <v>12.0327264431138</v>
      </c>
      <c r="P323" s="61"/>
      <c r="Q323" s="61"/>
      <c r="R323" s="61"/>
      <c r="S323" s="61"/>
      <c r="T323" s="61"/>
      <c r="U323" s="61" t="n">
        <f aca="false">IFERROR(U293/U39*365*IF(LEFT("2014",2)="1H",0.5,1),"n/a")</f>
        <v>9.47694569748526</v>
      </c>
      <c r="V323" s="61"/>
      <c r="W323" s="61"/>
      <c r="X323" s="61"/>
      <c r="Y323" s="61"/>
      <c r="Z323" s="61"/>
      <c r="AA323" s="61" t="n">
        <f aca="false">IFERROR(AA293/AA39*365*IF(LEFT("2015",2)="1H",0.5,1),"n/a")</f>
        <v>8.69742221259595</v>
      </c>
      <c r="AB323" s="61"/>
      <c r="AC323" s="61"/>
      <c r="AD323" s="61"/>
      <c r="AE323" s="61"/>
      <c r="AF323" s="61"/>
      <c r="AG323" s="61" t="n">
        <f aca="false">IFERROR(AG293/AG39*365*IF(LEFT("2016",2)="1H",0.5,1),"n/a")</f>
        <v>8.32530223319796</v>
      </c>
      <c r="AH323" s="61"/>
      <c r="AI323" s="61"/>
      <c r="AJ323" s="61"/>
      <c r="AK323" s="61"/>
      <c r="AL323" s="61"/>
      <c r="AM323" s="61" t="n">
        <f aca="false">IFERROR(AM293/AM39*365*IF(LEFT("2017",2)="1H",0.5,1),"n/a")</f>
        <v>16.2767945349825</v>
      </c>
      <c r="AN323" s="61"/>
      <c r="AO323" s="61"/>
      <c r="AP323" s="61"/>
      <c r="AQ323" s="61"/>
      <c r="AR323" s="61"/>
      <c r="AS323" s="61" t="n">
        <f aca="false">IFERROR(AS293/AS39*365*IF(LEFT("2018",2)="1H",0.5,1),"n/a")</f>
        <v>14.9629585237396</v>
      </c>
      <c r="AT323" s="61"/>
      <c r="AU323" s="61"/>
      <c r="AV323" s="61"/>
      <c r="AW323" s="61"/>
      <c r="AX323" s="61"/>
      <c r="AY323" s="61" t="n">
        <f aca="false">IFERROR(AY293/AY39*365*IF(LEFT("2019",2)="1H",0.5,1),"n/a")</f>
        <v>19.6103324386884</v>
      </c>
      <c r="AZ323" s="61"/>
      <c r="BA323" s="61"/>
      <c r="BB323" s="61"/>
      <c r="BC323" s="61"/>
      <c r="BD323" s="61"/>
      <c r="BE323" s="61" t="n">
        <f aca="false">IFERROR(BE293/BE39*365*IF(LEFT("2020",2)="1H",0.5,1),"n/a")</f>
        <v>14.4519607230757</v>
      </c>
      <c r="BF323" s="61"/>
      <c r="BG323" s="61"/>
      <c r="BH323" s="61"/>
      <c r="BI323" s="61"/>
      <c r="BJ323" s="61"/>
      <c r="BK323" s="61" t="n">
        <f aca="false">IFERROR(BK293/BK39*365*IF(LEFT("2021",2)="1H",0.5,1),"n/a")</f>
        <v>19.3114054006094</v>
      </c>
      <c r="BL323" s="61"/>
      <c r="BM323" s="61"/>
      <c r="BN323" s="61"/>
      <c r="BO323" s="61"/>
      <c r="BP323" s="61"/>
      <c r="BQ323" s="61" t="n">
        <f aca="false">IFERROR(BQ293/BQ39*365*IF(LEFT("2022",2)="1H",0.5,1),"n/a")</f>
        <v>27.1968169343976</v>
      </c>
      <c r="BR323" s="61"/>
      <c r="BS323" s="61"/>
      <c r="BT323" s="61"/>
      <c r="BU323" s="61"/>
      <c r="BV323" s="61"/>
      <c r="BW323" s="61" t="n">
        <f aca="false">IFERROR(BW293/BW39*365*IF(LEFT("2023",2)="1H",0.5,1),"n/a")</f>
        <v>13.1661593901196</v>
      </c>
      <c r="BX323" s="61"/>
      <c r="BY323" s="61"/>
      <c r="BZ323" s="61"/>
      <c r="CA323" s="61"/>
      <c r="CB323" s="61"/>
      <c r="CC323" s="61" t="n">
        <f aca="false">IFERROR(CC293/CC39*365*IF(LEFT("2024",2)="1H",0.5,1),"n/a")</f>
        <v>8.67473970122227</v>
      </c>
      <c r="CD323" s="61"/>
      <c r="CE323" s="61"/>
      <c r="CF323" s="61"/>
      <c r="CG323" s="61"/>
      <c r="CH323" s="61"/>
      <c r="CI323" s="61" t="n">
        <f aca="false">IFERROR(CI293/CI39*365*IF(LEFT("2025",2)="1H",0.5,1),"n/a")</f>
        <v>10.3156728531839</v>
      </c>
      <c r="CJ323" s="61"/>
      <c r="CK323" s="61"/>
      <c r="CL323" s="61" t="n">
        <f aca="false">IFERROR(CL293/CL39*365*IF(LEFT("1H/26",2)="1H",0.5,1),"n/a")</f>
        <v>10.9820715363451</v>
      </c>
      <c r="CM323" s="62"/>
      <c r="CN323" s="62"/>
      <c r="CO323" s="63" t="n">
        <v>10.5</v>
      </c>
      <c r="CP323" s="63" t="n">
        <v>10.5</v>
      </c>
      <c r="CQ323" s="63" t="n">
        <v>10.5</v>
      </c>
      <c r="CR323" s="63" t="n">
        <v>10.5</v>
      </c>
      <c r="CS323" s="63" t="n">
        <v>10.5</v>
      </c>
      <c r="CT323" s="23" t="s">
        <v>507</v>
      </c>
      <c r="CV323" s="7"/>
      <c r="CW323" s="7"/>
      <c r="CX323" s="7"/>
      <c r="CY323" s="7"/>
    </row>
    <row r="324" customFormat="false" ht="15" hidden="false" customHeight="true" outlineLevel="0" collapsed="false">
      <c r="B324" s="30" t="s">
        <v>508</v>
      </c>
      <c r="C324" s="61" t="str">
        <f aca="false">IFERROR(C278/C98*365*IF(LEFT("2006",2)="1H",0.5,1),"n/a")</f>
        <v>n/a</v>
      </c>
      <c r="D324" s="61" t="str">
        <f aca="false">IFERROR(D278/D98*365*IF(LEFT("2007",2)="1H",0.5,1),"n/a")</f>
        <v>n/a</v>
      </c>
      <c r="E324" s="61" t="str">
        <f aca="false">IFERROR(E278/E98*365*IF(LEFT("2008",2)="1H",0.5,1),"n/a")</f>
        <v>n/a</v>
      </c>
      <c r="F324" s="61" t="str">
        <f aca="false">IFERROR(F278/F98*365*IF(LEFT("2009",2)="1H",0.5,1),"n/a")</f>
        <v>n/a</v>
      </c>
      <c r="G324" s="61" t="str">
        <f aca="false">IFERROR(G278/G98*365*IF(LEFT("2010",2)="1H",0.5,1),"n/a")</f>
        <v>n/a</v>
      </c>
      <c r="H324" s="61" t="str">
        <f aca="false">IFERROR(H278/H98*365*IF(LEFT("2011",2)="1H",0.5,1),"n/a")</f>
        <v>n/a</v>
      </c>
      <c r="I324" s="61" t="str">
        <f aca="false">IFERROR(I278/I98*365*IF(LEFT("2012",2)="1H",0.5,1),"n/a")</f>
        <v>n/a</v>
      </c>
      <c r="J324" s="61"/>
      <c r="K324" s="61"/>
      <c r="L324" s="61"/>
      <c r="M324" s="61"/>
      <c r="N324" s="61"/>
      <c r="O324" s="61" t="str">
        <f aca="false">IFERROR(O278/O98*365*IF(LEFT("2013",2)="1H",0.5,1),"n/a")</f>
        <v>n/a</v>
      </c>
      <c r="P324" s="61"/>
      <c r="Q324" s="61"/>
      <c r="R324" s="61"/>
      <c r="S324" s="61"/>
      <c r="T324" s="61"/>
      <c r="U324" s="61" t="str">
        <f aca="false">IFERROR(U278/U98*365*IF(LEFT("2014",2)="1H",0.5,1),"n/a")</f>
        <v>n/a</v>
      </c>
      <c r="V324" s="61"/>
      <c r="W324" s="61"/>
      <c r="X324" s="61"/>
      <c r="Y324" s="61"/>
      <c r="Z324" s="61"/>
      <c r="AA324" s="61" t="str">
        <f aca="false">IFERROR(AA278/AA98*365*IF(LEFT("2015",2)="1H",0.5,1),"n/a")</f>
        <v>n/a</v>
      </c>
      <c r="AB324" s="61"/>
      <c r="AC324" s="61"/>
      <c r="AD324" s="61"/>
      <c r="AE324" s="61"/>
      <c r="AF324" s="61"/>
      <c r="AG324" s="61" t="str">
        <f aca="false">IFERROR(AG278/AG98*365*IF(LEFT("2016",2)="1H",0.5,1),"n/a")</f>
        <v>n/a</v>
      </c>
      <c r="AH324" s="61"/>
      <c r="AI324" s="61"/>
      <c r="AJ324" s="61"/>
      <c r="AK324" s="61"/>
      <c r="AL324" s="61"/>
      <c r="AM324" s="61" t="n">
        <f aca="false">IFERROR(AM278/AM98*365*IF(LEFT("2017",2)="1H",0.5,1),"n/a")</f>
        <v>45.5365777264452</v>
      </c>
      <c r="AN324" s="61"/>
      <c r="AO324" s="61"/>
      <c r="AP324" s="61"/>
      <c r="AQ324" s="61"/>
      <c r="AR324" s="61"/>
      <c r="AS324" s="61" t="n">
        <f aca="false">IFERROR(AS278/AS98*365*IF(LEFT("2018",2)="1H",0.5,1),"n/a")</f>
        <v>110.467544124443</v>
      </c>
      <c r="AT324" s="61"/>
      <c r="AU324" s="61"/>
      <c r="AV324" s="61"/>
      <c r="AW324" s="61"/>
      <c r="AX324" s="61"/>
      <c r="AY324" s="61" t="n">
        <f aca="false">IFERROR(AY278/AY98*365*IF(LEFT("2019",2)="1H",0.5,1),"n/a")</f>
        <v>49.3074397043501</v>
      </c>
      <c r="AZ324" s="61"/>
      <c r="BA324" s="61"/>
      <c r="BB324" s="61"/>
      <c r="BC324" s="61"/>
      <c r="BD324" s="61"/>
      <c r="BE324" s="61" t="n">
        <f aca="false">IFERROR(BE278/BE98*365*IF(LEFT("2020",2)="1H",0.5,1),"n/a")</f>
        <v>68.7147087125485</v>
      </c>
      <c r="BF324" s="61"/>
      <c r="BG324" s="61"/>
      <c r="BH324" s="61"/>
      <c r="BI324" s="61"/>
      <c r="BJ324" s="61"/>
      <c r="BK324" s="61" t="n">
        <f aca="false">IFERROR(BK278/BK98*365*IF(LEFT("2021",2)="1H",0.5,1),"n/a")</f>
        <v>83.5198840867028</v>
      </c>
      <c r="BL324" s="61"/>
      <c r="BM324" s="61"/>
      <c r="BN324" s="61"/>
      <c r="BO324" s="61"/>
      <c r="BP324" s="61"/>
      <c r="BQ324" s="61" t="n">
        <f aca="false">IFERROR(BQ278/BQ98*365*IF(LEFT("2022",2)="1H",0.5,1),"n/a")</f>
        <v>61.8355368451495</v>
      </c>
      <c r="BR324" s="61"/>
      <c r="BS324" s="61"/>
      <c r="BT324" s="61"/>
      <c r="BU324" s="61"/>
      <c r="BV324" s="61"/>
      <c r="BW324" s="61" t="n">
        <f aca="false">IFERROR(BW278/BW98*365*IF(LEFT("2023",2)="1H",0.5,1),"n/a")</f>
        <v>68.0086168307968</v>
      </c>
      <c r="BX324" s="61"/>
      <c r="BY324" s="61"/>
      <c r="BZ324" s="61"/>
      <c r="CA324" s="61"/>
      <c r="CB324" s="61"/>
      <c r="CC324" s="61" t="n">
        <f aca="false">IFERROR(CC278/CC98*365*IF(LEFT("2024",2)="1H",0.5,1),"n/a")</f>
        <v>51.3400092614031</v>
      </c>
      <c r="CD324" s="61"/>
      <c r="CE324" s="61"/>
      <c r="CF324" s="61"/>
      <c r="CG324" s="61"/>
      <c r="CH324" s="61"/>
      <c r="CI324" s="61" t="n">
        <f aca="false">IFERROR(CI278/CI98*365*IF(LEFT("2025",2)="1H",0.5,1),"n/a")</f>
        <v>49.5119347952649</v>
      </c>
      <c r="CJ324" s="61"/>
      <c r="CK324" s="61"/>
      <c r="CL324" s="61" t="n">
        <f aca="false">IFERROR(CL278/CL98*365*IF(LEFT("1H/26",2)="1H",0.5,1),"n/a")</f>
        <v>37.6973487118035</v>
      </c>
      <c r="CM324" s="62"/>
      <c r="CN324" s="62"/>
      <c r="CO324" s="63" t="n">
        <v>45</v>
      </c>
      <c r="CP324" s="63" t="n">
        <v>45</v>
      </c>
      <c r="CQ324" s="63" t="n">
        <v>45</v>
      </c>
      <c r="CR324" s="63" t="n">
        <v>45</v>
      </c>
      <c r="CS324" s="63" t="n">
        <v>45</v>
      </c>
      <c r="CT324" s="23"/>
      <c r="CV324" s="7"/>
      <c r="CW324" s="7"/>
      <c r="CX324" s="7"/>
      <c r="CY324" s="7"/>
    </row>
    <row r="325" customFormat="false" ht="15" hidden="false" customHeight="true" outlineLevel="0" collapsed="false">
      <c r="B325" s="30" t="s">
        <v>509</v>
      </c>
      <c r="C325" s="44" t="n">
        <f aca="false">IFERROR(C294/C95/IF(LEFT("2006",2)="1H",2,1),"n/a")</f>
        <v>0.265057764574939</v>
      </c>
      <c r="D325" s="44" t="n">
        <f aca="false">IFERROR(D294/D95/IF(LEFT("2007",2)="1H",2,1),"n/a")</f>
        <v>0.314322263758953</v>
      </c>
      <c r="E325" s="44" t="n">
        <f aca="false">IFERROR(E294/E95/IF(LEFT("2008",2)="1H",2,1),"n/a")</f>
        <v>0.237062381277162</v>
      </c>
      <c r="F325" s="44" t="n">
        <f aca="false">IFERROR(F294/F95/IF(LEFT("2009",2)="1H",2,1),"n/a")</f>
        <v>0.234356898393737</v>
      </c>
      <c r="G325" s="44" t="n">
        <f aca="false">IFERROR(G294/G95/IF(LEFT("2010",2)="1H",2,1),"n/a")</f>
        <v>0.245362636378645</v>
      </c>
      <c r="H325" s="44" t="n">
        <f aca="false">IFERROR(H294/H95/IF(LEFT("2011",2)="1H",2,1),"n/a")</f>
        <v>0.254653508340087</v>
      </c>
      <c r="I325" s="44" t="n">
        <f aca="false">IFERROR(I294/I95/IF(LEFT("2012",2)="1H",2,1),"n/a")</f>
        <v>0.268899772807709</v>
      </c>
      <c r="J325" s="44"/>
      <c r="K325" s="44"/>
      <c r="L325" s="44"/>
      <c r="M325" s="44"/>
      <c r="N325" s="44"/>
      <c r="O325" s="44" t="n">
        <f aca="false">IFERROR(O294/O95/IF(LEFT("2013",2)="1H",2,1),"n/a")</f>
        <v>0.257328258483578</v>
      </c>
      <c r="P325" s="44"/>
      <c r="Q325" s="44"/>
      <c r="R325" s="44"/>
      <c r="S325" s="44"/>
      <c r="T325" s="44"/>
      <c r="U325" s="44" t="n">
        <f aca="false">IFERROR(U294/U95/IF(LEFT("2014",2)="1H",2,1),"n/a")</f>
        <v>0.263435440254252</v>
      </c>
      <c r="V325" s="44"/>
      <c r="W325" s="44"/>
      <c r="X325" s="44"/>
      <c r="Y325" s="44"/>
      <c r="Z325" s="44"/>
      <c r="AA325" s="44" t="n">
        <f aca="false">IFERROR(AA294/AA95/IF(LEFT("2015",2)="1H",2,1),"n/a")</f>
        <v>0.23269590501575</v>
      </c>
      <c r="AB325" s="44"/>
      <c r="AC325" s="44"/>
      <c r="AD325" s="44"/>
      <c r="AE325" s="44"/>
      <c r="AF325" s="44"/>
      <c r="AG325" s="44" t="n">
        <f aca="false">IFERROR(AG294/AG95/IF(LEFT("2016",2)="1H",2,1),"n/a")</f>
        <v>0.220153779606105</v>
      </c>
      <c r="AH325" s="44"/>
      <c r="AI325" s="44"/>
      <c r="AJ325" s="44"/>
      <c r="AK325" s="44"/>
      <c r="AL325" s="44"/>
      <c r="AM325" s="44" t="n">
        <f aca="false">IFERROR(AM294/AM95/IF(LEFT("2017",2)="1H",2,1),"n/a")</f>
        <v>0.169434230753786</v>
      </c>
      <c r="AN325" s="44"/>
      <c r="AO325" s="44"/>
      <c r="AP325" s="44"/>
      <c r="AQ325" s="44"/>
      <c r="AR325" s="44"/>
      <c r="AS325" s="44" t="n">
        <f aca="false">IFERROR(AS294/AS95/IF(LEFT("2018",2)="1H",2,1),"n/a")</f>
        <v>0.172008998090641</v>
      </c>
      <c r="AT325" s="44"/>
      <c r="AU325" s="44"/>
      <c r="AV325" s="44"/>
      <c r="AW325" s="44"/>
      <c r="AX325" s="44"/>
      <c r="AY325" s="44" t="n">
        <f aca="false">IFERROR(AY294/AY95/IF(LEFT("2019",2)="1H",2,1),"n/a")</f>
        <v>0.13905376823563</v>
      </c>
      <c r="AZ325" s="44"/>
      <c r="BA325" s="44"/>
      <c r="BB325" s="44"/>
      <c r="BC325" s="44"/>
      <c r="BD325" s="44"/>
      <c r="BE325" s="44" t="n">
        <f aca="false">IFERROR(BE294/BE95/IF(LEFT("2020",2)="1H",2,1),"n/a")</f>
        <v>0.169440047630803</v>
      </c>
      <c r="BF325" s="44"/>
      <c r="BG325" s="44"/>
      <c r="BH325" s="44"/>
      <c r="BI325" s="44"/>
      <c r="BJ325" s="44"/>
      <c r="BK325" s="44" t="n">
        <f aca="false">IFERROR(BK294/BK95/IF(LEFT("2021",2)="1H",2,1),"n/a")</f>
        <v>0.18923040767948</v>
      </c>
      <c r="BL325" s="44"/>
      <c r="BM325" s="44"/>
      <c r="BN325" s="44"/>
      <c r="BO325" s="44"/>
      <c r="BP325" s="44"/>
      <c r="BQ325" s="44" t="n">
        <f aca="false">IFERROR(BQ294/BQ95/IF(LEFT("2022",2)="1H",2,1),"n/a")</f>
        <v>0.149209139650988</v>
      </c>
      <c r="BR325" s="44"/>
      <c r="BS325" s="44"/>
      <c r="BT325" s="44"/>
      <c r="BU325" s="44"/>
      <c r="BV325" s="44"/>
      <c r="BW325" s="44" t="n">
        <f aca="false">IFERROR(BW294/BW95/IF(LEFT("2023",2)="1H",2,1),"n/a")</f>
        <v>0.186378954234156</v>
      </c>
      <c r="BX325" s="44"/>
      <c r="BY325" s="44"/>
      <c r="BZ325" s="44"/>
      <c r="CA325" s="44"/>
      <c r="CB325" s="44"/>
      <c r="CC325" s="44" t="n">
        <f aca="false">IFERROR(CC294/CC95/IF(LEFT("2024",2)="1H",2,1),"n/a")</f>
        <v>0.182531161010224</v>
      </c>
      <c r="CD325" s="44"/>
      <c r="CE325" s="44"/>
      <c r="CF325" s="44"/>
      <c r="CG325" s="44"/>
      <c r="CH325" s="44"/>
      <c r="CI325" s="44" t="n">
        <f aca="false">IFERROR(CI294/CI95/IF(LEFT("2025",2)="1H",2,1),"n/a")</f>
        <v>0.182216219748622</v>
      </c>
      <c r="CJ325" s="44"/>
      <c r="CK325" s="44"/>
      <c r="CL325" s="44" t="n">
        <f aca="false">IFERROR(CL294/CL95/IF(LEFT("1H/26",2)="1H",2,1),"n/a")</f>
        <v>0.135478308578595</v>
      </c>
      <c r="CM325" s="35"/>
      <c r="CN325" s="35"/>
      <c r="CO325" s="36" t="n">
        <v>0.175</v>
      </c>
      <c r="CP325" s="36" t="n">
        <v>0.175</v>
      </c>
      <c r="CQ325" s="36" t="n">
        <v>0.175</v>
      </c>
      <c r="CR325" s="36" t="n">
        <v>0.175</v>
      </c>
      <c r="CS325" s="36" t="n">
        <v>0.175</v>
      </c>
      <c r="CT325" s="23"/>
      <c r="CV325" s="7"/>
      <c r="CW325" s="7"/>
      <c r="CX325" s="7"/>
      <c r="CY325" s="7"/>
    </row>
    <row r="326" customFormat="false" ht="15" hidden="false" customHeight="true" outlineLevel="0" collapsed="false">
      <c r="B326" s="13" t="s">
        <v>510</v>
      </c>
      <c r="C326" s="31" t="n">
        <f aca="false">IF(ISNUMBER(C276),C276+N(C278)+N(C277)+N(C279)-C293-C294,"n/a")</f>
        <v>-89.691</v>
      </c>
      <c r="D326" s="31" t="n">
        <f aca="false">IF(ISNUMBER(D276),D276+N(D278)+N(D277)+N(D279)-D293-D294,"n/a")</f>
        <v>-104.332</v>
      </c>
      <c r="E326" s="31" t="n">
        <f aca="false">IF(ISNUMBER(E276),E276+N(E278)+N(E277)+N(E279)-E293-E294,"n/a")</f>
        <v>-76.46</v>
      </c>
      <c r="F326" s="31" t="n">
        <f aca="false">IF(ISNUMBER(F276),F276+N(F278)+N(F277)+N(F279)-F293-F294,"n/a")</f>
        <v>-99.951</v>
      </c>
      <c r="G326" s="31" t="n">
        <f aca="false">IF(ISNUMBER(G276),G276+N(G278)+N(G277)+N(G279)-G293-G294,"n/a")</f>
        <v>-45.418</v>
      </c>
      <c r="H326" s="31" t="n">
        <f aca="false">IF(ISNUMBER(H276),H276+N(H278)+N(H277)+N(H279)-H293-H294,"n/a")</f>
        <v>-47.896</v>
      </c>
      <c r="I326" s="31" t="n">
        <f aca="false">IF(ISNUMBER(I276),I276+N(I278)+N(I277)+N(I279)-I293-I294,"n/a")</f>
        <v>-61.076</v>
      </c>
      <c r="J326" s="31"/>
      <c r="K326" s="31"/>
      <c r="L326" s="31"/>
      <c r="M326" s="31"/>
      <c r="N326" s="31"/>
      <c r="O326" s="31" t="n">
        <f aca="false">IF(ISNUMBER(O276),O276+N(O278)+N(O277)+N(O279)-O293-O294,"n/a")</f>
        <v>-95.639</v>
      </c>
      <c r="P326" s="31"/>
      <c r="Q326" s="31"/>
      <c r="R326" s="31"/>
      <c r="S326" s="31"/>
      <c r="T326" s="31"/>
      <c r="U326" s="31" t="n">
        <f aca="false">IF(ISNUMBER(U276),U276+N(U278)+N(U277)+N(U279)-U293-U294,"n/a")</f>
        <v>-91.124</v>
      </c>
      <c r="V326" s="31"/>
      <c r="W326" s="31"/>
      <c r="X326" s="31"/>
      <c r="Y326" s="31"/>
      <c r="Z326" s="31"/>
      <c r="AA326" s="31" t="n">
        <f aca="false">IF(ISNUMBER(AA276),AA276+N(AA278)+N(AA277)+N(AA279)-AA293-AA294,"n/a")</f>
        <v>-98.585</v>
      </c>
      <c r="AB326" s="31"/>
      <c r="AC326" s="31"/>
      <c r="AD326" s="31"/>
      <c r="AE326" s="31"/>
      <c r="AF326" s="31"/>
      <c r="AG326" s="31" t="n">
        <f aca="false">IF(ISNUMBER(AG276),AG276+N(AG278)+N(AG277)+N(AG279)-AG293-AG294,"n/a")</f>
        <v>-136.476</v>
      </c>
      <c r="AH326" s="31"/>
      <c r="AI326" s="31"/>
      <c r="AJ326" s="31"/>
      <c r="AK326" s="31"/>
      <c r="AL326" s="31"/>
      <c r="AM326" s="31" t="n">
        <f aca="false">IF(ISNUMBER(AM276),AM276+N(AM278)+N(AM277)+N(AM279)-AM293-AM294,"n/a")</f>
        <v>-226.119</v>
      </c>
      <c r="AN326" s="31"/>
      <c r="AO326" s="31"/>
      <c r="AP326" s="31"/>
      <c r="AQ326" s="31"/>
      <c r="AR326" s="31"/>
      <c r="AS326" s="31" t="n">
        <f aca="false">IF(ISNUMBER(AS276),AS276+N(AS278)+N(AS277)+N(AS279)-AS293-AS294,"n/a")</f>
        <v>-162.207</v>
      </c>
      <c r="AT326" s="31"/>
      <c r="AU326" s="31"/>
      <c r="AV326" s="31"/>
      <c r="AW326" s="31"/>
      <c r="AX326" s="31"/>
      <c r="AY326" s="31" t="n">
        <f aca="false">IF(ISNUMBER(AY276),AY276+N(AY278)+N(AY277)+N(AY279)-AY293-AY294,"n/a")</f>
        <v>-257.192</v>
      </c>
      <c r="AZ326" s="31"/>
      <c r="BA326" s="31"/>
      <c r="BB326" s="31"/>
      <c r="BC326" s="31"/>
      <c r="BD326" s="31"/>
      <c r="BE326" s="31" t="n">
        <f aca="false">IF(ISNUMBER(BE276),BE276+N(BE278)+N(BE277)+N(BE279)-BE293-BE294,"n/a")</f>
        <v>-231.805</v>
      </c>
      <c r="BF326" s="31"/>
      <c r="BG326" s="31"/>
      <c r="BH326" s="31"/>
      <c r="BI326" s="31"/>
      <c r="BJ326" s="31"/>
      <c r="BK326" s="31" t="n">
        <f aca="false">IF(ISNUMBER(BK276),BK276+N(BK278)+N(BK277)+N(BK279)-BK293-BK294,"n/a")</f>
        <v>-311.93</v>
      </c>
      <c r="BL326" s="31"/>
      <c r="BM326" s="31"/>
      <c r="BN326" s="31"/>
      <c r="BO326" s="31"/>
      <c r="BP326" s="31"/>
      <c r="BQ326" s="31" t="n">
        <f aca="false">IF(ISNUMBER(BQ276),BQ276+N(BQ278)+N(BQ277)+N(BQ279)-BQ293-BQ294,"n/a")</f>
        <v>-421.4</v>
      </c>
      <c r="BR326" s="31"/>
      <c r="BS326" s="31"/>
      <c r="BT326" s="31"/>
      <c r="BU326" s="31"/>
      <c r="BV326" s="31"/>
      <c r="BW326" s="31" t="n">
        <f aca="false">IF(ISNUMBER(BW276),BW276+N(BW278)+N(BW277)+N(BW279)-BW293-BW294,"n/a")</f>
        <v>-223.4</v>
      </c>
      <c r="BX326" s="31"/>
      <c r="BY326" s="31"/>
      <c r="BZ326" s="31"/>
      <c r="CA326" s="31"/>
      <c r="CB326" s="31"/>
      <c r="CC326" s="31" t="n">
        <f aca="false">IF(ISNUMBER(CC276),CC276+N(CC278)+N(CC277)+N(CC279)-CC293-CC294,"n/a")</f>
        <v>-261.2</v>
      </c>
      <c r="CD326" s="31"/>
      <c r="CE326" s="31"/>
      <c r="CF326" s="31"/>
      <c r="CG326" s="31"/>
      <c r="CH326" s="31"/>
      <c r="CI326" s="31" t="n">
        <f aca="false">IF(ISNUMBER(CI276),CI276+N(CI278)+N(CI277)+N(CI279)-CI293-CI294,"n/a")</f>
        <v>-385.9</v>
      </c>
      <c r="CJ326" s="31"/>
      <c r="CK326" s="31"/>
      <c r="CL326" s="31" t="n">
        <f aca="false">IF(ISNUMBER(CL276),CL276+N(CL278)+N(CL277)+N(CL279)-CL293-CL294,"n/a")</f>
        <v>-175.4</v>
      </c>
      <c r="CM326" s="32"/>
      <c r="CN326" s="32"/>
      <c r="CO326" s="32" t="n">
        <f aca="false">CO276+CO278+CO277+CO279-CO293-CO294</f>
        <v>-381.997996664254</v>
      </c>
      <c r="CP326" s="32" t="n">
        <f aca="false">CP276+CP278+CP277+CP279-CP293-CP294</f>
        <v>-394.676246578886</v>
      </c>
      <c r="CQ326" s="32" t="n">
        <f aca="false">CQ276+CQ278+CQ277+CQ279-CQ293-CQ294</f>
        <v>-413.362793110387</v>
      </c>
      <c r="CR326" s="32" t="n">
        <f aca="false">CR276+CR278+CR277+CR279-CR293-CR294</f>
        <v>-430.939113205973</v>
      </c>
      <c r="CS326" s="32" t="n">
        <f aca="false">CS276+CS278+CS277+CS279-CS293-CS294</f>
        <v>-449.266061353726</v>
      </c>
      <c r="CT326" s="23"/>
      <c r="CV326" s="7"/>
      <c r="CW326" s="7"/>
      <c r="CX326" s="7"/>
      <c r="CY326" s="7"/>
    </row>
    <row r="327" customFormat="false" ht="15" hidden="false" customHeight="true" outlineLevel="0" collapsed="false">
      <c r="B327" s="30" t="s">
        <v>511</v>
      </c>
      <c r="C327" s="44" t="n">
        <f aca="false">IFERROR(C326/C95,"n/a")</f>
        <v>-0.347832325668878</v>
      </c>
      <c r="D327" s="44" t="n">
        <f aca="false">IFERROR(D326/D95,"n/a")</f>
        <v>-0.334498214205562</v>
      </c>
      <c r="E327" s="44" t="n">
        <f aca="false">IFERROR(E326/E95,"n/a")</f>
        <v>-0.215490758642459</v>
      </c>
      <c r="F327" s="44" t="n">
        <f aca="false">IFERROR(F326/F95,"n/a")</f>
        <v>-0.264973714976499</v>
      </c>
      <c r="G327" s="44" t="n">
        <f aca="false">IFERROR(G326/G95,"n/a")</f>
        <v>-0.12708992665844</v>
      </c>
      <c r="H327" s="44" t="n">
        <f aca="false">IFERROR(H326/H95,"n/a")</f>
        <v>-0.120919265133212</v>
      </c>
      <c r="I327" s="44" t="n">
        <f aca="false">IFERROR(I326/I95,"n/a")</f>
        <v>-0.139457250174105</v>
      </c>
      <c r="J327" s="44"/>
      <c r="K327" s="44"/>
      <c r="L327" s="44"/>
      <c r="M327" s="44"/>
      <c r="N327" s="44"/>
      <c r="O327" s="44" t="n">
        <f aca="false">IFERROR(O326/O95,"n/a")</f>
        <v>-0.204617856539218</v>
      </c>
      <c r="P327" s="44"/>
      <c r="Q327" s="44"/>
      <c r="R327" s="44"/>
      <c r="S327" s="44"/>
      <c r="T327" s="44"/>
      <c r="U327" s="44" t="n">
        <f aca="false">IFERROR(U326/U95,"n/a")</f>
        <v>-0.18940878866424</v>
      </c>
      <c r="V327" s="44"/>
      <c r="W327" s="44"/>
      <c r="X327" s="44"/>
      <c r="Y327" s="44"/>
      <c r="Z327" s="44"/>
      <c r="AA327" s="44" t="n">
        <f aca="false">IFERROR(AA326/AA95,"n/a")</f>
        <v>-0.191102495759632</v>
      </c>
      <c r="AB327" s="44"/>
      <c r="AC327" s="44"/>
      <c r="AD327" s="44"/>
      <c r="AE327" s="44"/>
      <c r="AF327" s="44"/>
      <c r="AG327" s="44" t="n">
        <f aca="false">IFERROR(AG326/AG95,"n/a")</f>
        <v>-0.240955516909577</v>
      </c>
      <c r="AH327" s="44"/>
      <c r="AI327" s="44"/>
      <c r="AJ327" s="44"/>
      <c r="AK327" s="44"/>
      <c r="AL327" s="44"/>
      <c r="AM327" s="44" t="n">
        <f aca="false">IFERROR(AM326/AM95,"n/a")</f>
        <v>-0.232826498598113</v>
      </c>
      <c r="AN327" s="44"/>
      <c r="AO327" s="44"/>
      <c r="AP327" s="44"/>
      <c r="AQ327" s="44"/>
      <c r="AR327" s="44"/>
      <c r="AS327" s="44" t="n">
        <f aca="false">IFERROR(AS326/AS95,"n/a")</f>
        <v>-0.138635380752223</v>
      </c>
      <c r="AT327" s="44"/>
      <c r="AU327" s="44"/>
      <c r="AV327" s="44"/>
      <c r="AW327" s="44"/>
      <c r="AX327" s="44"/>
      <c r="AY327" s="44" t="n">
        <f aca="false">IFERROR(AY326/AY95,"n/a")</f>
        <v>-0.195043230113427</v>
      </c>
      <c r="AZ327" s="44"/>
      <c r="BA327" s="44"/>
      <c r="BB327" s="44"/>
      <c r="BC327" s="44"/>
      <c r="BD327" s="44"/>
      <c r="BE327" s="44" t="n">
        <f aca="false">IFERROR(BE326/BE95,"n/a")</f>
        <v>-0.168308816055066</v>
      </c>
      <c r="BF327" s="44"/>
      <c r="BG327" s="44"/>
      <c r="BH327" s="44"/>
      <c r="BI327" s="44"/>
      <c r="BJ327" s="44"/>
      <c r="BK327" s="44" t="n">
        <f aca="false">IFERROR(BK326/BK95,"n/a")</f>
        <v>-0.220138591403776</v>
      </c>
      <c r="BL327" s="44"/>
      <c r="BM327" s="44"/>
      <c r="BN327" s="44"/>
      <c r="BO327" s="44"/>
      <c r="BP327" s="44"/>
      <c r="BQ327" s="44" t="n">
        <f aca="false">IFERROR(BQ326/BQ95,"n/a")</f>
        <v>-0.243048826629015</v>
      </c>
      <c r="BR327" s="44"/>
      <c r="BS327" s="44"/>
      <c r="BT327" s="44"/>
      <c r="BU327" s="44"/>
      <c r="BV327" s="44"/>
      <c r="BW327" s="44" t="n">
        <f aca="false">IFERROR(BW326/BW95,"n/a")</f>
        <v>-0.0607131209914121</v>
      </c>
      <c r="BX327" s="44"/>
      <c r="BY327" s="44"/>
      <c r="BZ327" s="44"/>
      <c r="CA327" s="44"/>
      <c r="CB327" s="44"/>
      <c r="CC327" s="44" t="n">
        <f aca="false">IFERROR(CC326/CC95,"n/a")</f>
        <v>-0.0609682087670977</v>
      </c>
      <c r="CD327" s="44"/>
      <c r="CE327" s="44"/>
      <c r="CF327" s="44"/>
      <c r="CG327" s="44"/>
      <c r="CH327" s="44"/>
      <c r="CI327" s="44" t="n">
        <f aca="false">IFERROR(CI326/CI95,"n/a")</f>
        <v>-0.0840612542749472</v>
      </c>
      <c r="CJ327" s="44"/>
      <c r="CK327" s="44"/>
      <c r="CL327" s="44"/>
      <c r="CM327" s="35"/>
      <c r="CN327" s="35"/>
      <c r="CO327" s="35" t="n">
        <f aca="false">IFERROR(CO326/CO95,"n/a")</f>
        <v>-0.0763072350937834</v>
      </c>
      <c r="CP327" s="35" t="n">
        <f aca="false">IFERROR(CP326/CP95,"n/a")</f>
        <v>-0.0750044054597852</v>
      </c>
      <c r="CQ327" s="35" t="n">
        <f aca="false">IFERROR(CQ326/CQ95,"n/a")</f>
        <v>-0.0749755762567787</v>
      </c>
      <c r="CR327" s="35" t="n">
        <f aca="false">IFERROR(CR326/CR95,"n/a")</f>
        <v>-0.0749484623386099</v>
      </c>
      <c r="CS327" s="35" t="n">
        <f aca="false">IFERROR(CS326/CS95,"n/a")</f>
        <v>-0.0749213870620998</v>
      </c>
      <c r="CT327" s="23"/>
      <c r="CV327" s="48" t="n">
        <f aca="false">IFERROR(AVERAGE(CO327,CP327,CQ327,CR327,CS327),"n/m")</f>
        <v>-0.0752314132422114</v>
      </c>
      <c r="CW327" s="48" t="n">
        <f aca="false">IFERROR(AVERAGE(BK327,BQ327,BW327,CC327,CI327),"n/m")</f>
        <v>-0.13378600041325</v>
      </c>
      <c r="CX327" s="48" t="n">
        <f aca="false">IFERROR(AVERAGE(AG327,AM327,AS327,AY327,BE327,BK327,BQ327,BW327,CC327,CI327),"n/m")</f>
        <v>-0.164469944449465</v>
      </c>
      <c r="CY327" s="48" t="n">
        <f aca="false">IFERROR(AVERAGE(C327,D327,E327,F327,G327,H327,I327,O327,U327,AA327,AG327,AM327,AS327,AY327,BE327,BK327,BQ327,BW327,CC327,CI327),"n/m")</f>
        <v>-0.189004502045845</v>
      </c>
    </row>
    <row r="328" customFormat="false" ht="15" hidden="false" customHeight="true" outlineLevel="0" collapsed="false">
      <c r="B328" s="13" t="s">
        <v>512</v>
      </c>
      <c r="C328" s="31"/>
      <c r="D328" s="31" t="n">
        <f aca="false">IFERROR(D326-C326,"n/a")</f>
        <v>-14.641</v>
      </c>
      <c r="E328" s="31" t="n">
        <f aca="false">IFERROR(E326-D326,"n/a")</f>
        <v>27.872</v>
      </c>
      <c r="F328" s="31" t="n">
        <f aca="false">IFERROR(F326-E326,"n/a")</f>
        <v>-23.491</v>
      </c>
      <c r="G328" s="31" t="n">
        <f aca="false">IFERROR(G326-F326,"n/a")</f>
        <v>54.533</v>
      </c>
      <c r="H328" s="31" t="n">
        <f aca="false">IFERROR(H326-G326,"n/a")</f>
        <v>-2.47799999999999</v>
      </c>
      <c r="I328" s="31" t="n">
        <f aca="false">IFERROR(I326-H326,"n/a")</f>
        <v>-13.18</v>
      </c>
      <c r="J328" s="31"/>
      <c r="K328" s="31"/>
      <c r="L328" s="31"/>
      <c r="M328" s="31"/>
      <c r="N328" s="31"/>
      <c r="O328" s="31" t="n">
        <f aca="false">IFERROR(O326-I326,"n/a")</f>
        <v>-34.563</v>
      </c>
      <c r="P328" s="31"/>
      <c r="Q328" s="31"/>
      <c r="R328" s="31"/>
      <c r="S328" s="31"/>
      <c r="T328" s="31"/>
      <c r="U328" s="31" t="n">
        <f aca="false">IFERROR(U326-O326,"n/a")</f>
        <v>4.51499999999999</v>
      </c>
      <c r="V328" s="31"/>
      <c r="W328" s="31"/>
      <c r="X328" s="31"/>
      <c r="Y328" s="31"/>
      <c r="Z328" s="31"/>
      <c r="AA328" s="31" t="n">
        <f aca="false">IFERROR(AA326-U326,"n/a")</f>
        <v>-7.461</v>
      </c>
      <c r="AB328" s="31"/>
      <c r="AC328" s="31"/>
      <c r="AD328" s="31"/>
      <c r="AE328" s="31"/>
      <c r="AF328" s="31"/>
      <c r="AG328" s="31" t="n">
        <f aca="false">IFERROR(AG326-AA326,"n/a")</f>
        <v>-37.891</v>
      </c>
      <c r="AH328" s="31"/>
      <c r="AI328" s="31"/>
      <c r="AJ328" s="31"/>
      <c r="AK328" s="31"/>
      <c r="AL328" s="31"/>
      <c r="AM328" s="31" t="n">
        <f aca="false">IFERROR(AM326-AG326,"n/a")</f>
        <v>-89.643</v>
      </c>
      <c r="AN328" s="31"/>
      <c r="AO328" s="31"/>
      <c r="AP328" s="31"/>
      <c r="AQ328" s="31"/>
      <c r="AR328" s="31"/>
      <c r="AS328" s="31" t="n">
        <f aca="false">IFERROR(AS326-AM326,"n/a")</f>
        <v>63.912</v>
      </c>
      <c r="AT328" s="31"/>
      <c r="AU328" s="31"/>
      <c r="AV328" s="31"/>
      <c r="AW328" s="31"/>
      <c r="AX328" s="31"/>
      <c r="AY328" s="31" t="n">
        <f aca="false">IFERROR(AY326-AS326,"n/a")</f>
        <v>-94.985</v>
      </c>
      <c r="AZ328" s="31"/>
      <c r="BA328" s="31"/>
      <c r="BB328" s="31"/>
      <c r="BC328" s="31"/>
      <c r="BD328" s="31"/>
      <c r="BE328" s="31" t="n">
        <f aca="false">IFERROR(BE326-AY326,"n/a")</f>
        <v>25.387</v>
      </c>
      <c r="BF328" s="31"/>
      <c r="BG328" s="31"/>
      <c r="BH328" s="31"/>
      <c r="BI328" s="31"/>
      <c r="BJ328" s="31"/>
      <c r="BK328" s="31" t="n">
        <f aca="false">IFERROR(BK326-BE326,"n/a")</f>
        <v>-80.125</v>
      </c>
      <c r="BL328" s="31"/>
      <c r="BM328" s="31"/>
      <c r="BN328" s="31"/>
      <c r="BO328" s="31"/>
      <c r="BP328" s="31"/>
      <c r="BQ328" s="31" t="n">
        <f aca="false">IFERROR(BQ326-BK326,"n/a")</f>
        <v>-109.47</v>
      </c>
      <c r="BR328" s="31"/>
      <c r="BS328" s="31"/>
      <c r="BT328" s="31"/>
      <c r="BU328" s="31"/>
      <c r="BV328" s="31"/>
      <c r="BW328" s="31" t="n">
        <f aca="false">IFERROR(BW326-BQ326,"n/a")</f>
        <v>198</v>
      </c>
      <c r="BX328" s="31"/>
      <c r="BY328" s="31"/>
      <c r="BZ328" s="31"/>
      <c r="CA328" s="31"/>
      <c r="CB328" s="31"/>
      <c r="CC328" s="31" t="n">
        <f aca="false">IFERROR(CC326-BW326,"n/a")</f>
        <v>-37.8000000000001</v>
      </c>
      <c r="CD328" s="31"/>
      <c r="CE328" s="31"/>
      <c r="CF328" s="31"/>
      <c r="CG328" s="31"/>
      <c r="CH328" s="31"/>
      <c r="CI328" s="31" t="n">
        <f aca="false">IFERROR(CI326-CC326,"n/a")</f>
        <v>-124.7</v>
      </c>
      <c r="CJ328" s="31"/>
      <c r="CK328" s="31"/>
      <c r="CL328" s="31"/>
      <c r="CM328" s="32"/>
      <c r="CN328" s="32"/>
      <c r="CO328" s="32" t="n">
        <f aca="false">IFERROR(CO326-CI326,"n/a")</f>
        <v>3.90200333574626</v>
      </c>
      <c r="CP328" s="32" t="n">
        <f aca="false">IFERROR(CP326-CO326,"n/a")</f>
        <v>-12.6782499146321</v>
      </c>
      <c r="CQ328" s="32" t="n">
        <f aca="false">IFERROR(CQ326-CP326,"n/a")</f>
        <v>-18.6865465315008</v>
      </c>
      <c r="CR328" s="32" t="n">
        <f aca="false">IFERROR(CR326-CQ326,"n/a")</f>
        <v>-17.5763200955867</v>
      </c>
      <c r="CS328" s="32" t="n">
        <f aca="false">IFERROR(CS326-CR326,"n/a")</f>
        <v>-18.3269481477523</v>
      </c>
      <c r="CT328" s="23"/>
      <c r="CV328" s="7"/>
      <c r="CW328" s="7"/>
      <c r="CX328" s="7"/>
      <c r="CY328" s="7"/>
    </row>
    <row r="329" customFormat="false" ht="15" hidden="false" customHeight="true" outlineLevel="0" collapsed="false">
      <c r="B329" s="13"/>
      <c r="CM329" s="7"/>
      <c r="CN329" s="7"/>
      <c r="CO329" s="7"/>
      <c r="CP329" s="7"/>
      <c r="CQ329" s="7"/>
      <c r="CR329" s="7"/>
      <c r="CS329" s="7"/>
      <c r="CT329" s="7"/>
    </row>
    <row r="330" customFormat="false" ht="15" hidden="false" customHeight="true" outlineLevel="0" collapsed="false">
      <c r="B330" s="12" t="s">
        <v>513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 t="s">
        <v>514</v>
      </c>
    </row>
    <row r="331" customFormat="false" ht="15" hidden="false" customHeight="true" outlineLevel="0" collapsed="false">
      <c r="B331" s="17" t="s">
        <v>515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</row>
    <row r="332" customFormat="false" ht="15" hidden="false" customHeight="true" outlineLevel="0" collapsed="false">
      <c r="B332" s="64" t="s">
        <v>516</v>
      </c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 t="n">
        <f aca="false">N(BW172)</f>
        <v>226.2</v>
      </c>
      <c r="BX332" s="31"/>
      <c r="BY332" s="31"/>
      <c r="BZ332" s="31"/>
      <c r="CA332" s="31"/>
      <c r="CB332" s="31"/>
      <c r="CC332" s="31" t="n">
        <f aca="false">N(CC172)</f>
        <v>274.9</v>
      </c>
      <c r="CD332" s="31"/>
      <c r="CE332" s="31"/>
      <c r="CF332" s="31"/>
      <c r="CG332" s="31"/>
      <c r="CH332" s="31"/>
      <c r="CI332" s="31" t="n">
        <f aca="false">N(CI172)</f>
        <v>282.4</v>
      </c>
      <c r="CJ332" s="31"/>
      <c r="CK332" s="31"/>
      <c r="CL332" s="31" t="n">
        <f aca="false">N(CL172)</f>
        <v>146.8</v>
      </c>
      <c r="CM332" s="32"/>
      <c r="CN332" s="32"/>
      <c r="CO332" s="49" t="n">
        <v>297</v>
      </c>
      <c r="CP332" s="49" t="n">
        <v>237</v>
      </c>
      <c r="CQ332" s="49" t="n">
        <v>183</v>
      </c>
      <c r="CR332" s="49" t="n">
        <v>161</v>
      </c>
      <c r="CS332" s="49" t="n">
        <v>154</v>
      </c>
      <c r="CT332" s="23" t="s">
        <v>517</v>
      </c>
      <c r="CV332" s="7"/>
      <c r="CW332" s="7"/>
      <c r="CX332" s="7"/>
      <c r="CY332" s="7"/>
    </row>
    <row r="333" customFormat="false" ht="15" hidden="false" customHeight="true" outlineLevel="0" collapsed="false">
      <c r="B333" s="64" t="s">
        <v>518</v>
      </c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2"/>
      <c r="CN333" s="32"/>
      <c r="CO333" s="49" t="n">
        <v>95</v>
      </c>
      <c r="CP333" s="49" t="n">
        <v>105</v>
      </c>
      <c r="CQ333" s="49" t="n">
        <v>115</v>
      </c>
      <c r="CR333" s="49" t="n">
        <v>125</v>
      </c>
      <c r="CS333" s="49" t="n">
        <v>135</v>
      </c>
      <c r="CT333" s="23" t="s">
        <v>519</v>
      </c>
      <c r="CV333" s="7"/>
      <c r="CW333" s="7"/>
      <c r="CX333" s="7"/>
      <c r="CY333" s="7"/>
    </row>
    <row r="334" customFormat="false" ht="15" hidden="false" customHeight="true" outlineLevel="0" collapsed="false">
      <c r="B334" s="64" t="s">
        <v>520</v>
      </c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35"/>
      <c r="CN334" s="35"/>
      <c r="CO334" s="36" t="n">
        <v>0.25</v>
      </c>
      <c r="CP334" s="36" t="n">
        <v>0.25</v>
      </c>
      <c r="CQ334" s="36" t="n">
        <v>0.25</v>
      </c>
      <c r="CR334" s="36" t="n">
        <v>0.25</v>
      </c>
      <c r="CS334" s="36" t="n">
        <v>0.25</v>
      </c>
      <c r="CT334" s="23" t="s">
        <v>521</v>
      </c>
      <c r="CV334" s="7"/>
      <c r="CW334" s="7"/>
      <c r="CX334" s="7"/>
      <c r="CY334" s="7"/>
    </row>
    <row r="335" customFormat="false" ht="15" hidden="false" customHeight="true" outlineLevel="0" collapsed="false">
      <c r="B335" s="64" t="s">
        <v>522</v>
      </c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8"/>
      <c r="CN335" s="28"/>
      <c r="CO335" s="60" t="n">
        <v>1.2</v>
      </c>
      <c r="CP335" s="60" t="n">
        <v>1.2</v>
      </c>
      <c r="CQ335" s="60" t="n">
        <v>1.2</v>
      </c>
      <c r="CR335" s="60" t="n">
        <v>1.2</v>
      </c>
      <c r="CS335" s="60" t="n">
        <v>1.2</v>
      </c>
      <c r="CT335" s="23"/>
      <c r="CV335" s="7"/>
      <c r="CW335" s="7"/>
      <c r="CX335" s="7"/>
      <c r="CY335" s="7"/>
    </row>
    <row r="336" customFormat="false" ht="15" hidden="false" customHeight="true" outlineLevel="0" collapsed="false">
      <c r="B336" s="64" t="s">
        <v>523</v>
      </c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35"/>
      <c r="CN336" s="35"/>
      <c r="CO336" s="35"/>
      <c r="CP336" s="36" t="n">
        <v>0.06</v>
      </c>
      <c r="CQ336" s="36" t="n">
        <v>0.06</v>
      </c>
      <c r="CR336" s="36" t="n">
        <v>0.06</v>
      </c>
      <c r="CS336" s="36" t="n">
        <v>0.06</v>
      </c>
      <c r="CT336" s="23" t="s">
        <v>524</v>
      </c>
      <c r="CV336" s="7"/>
      <c r="CW336" s="7"/>
      <c r="CX336" s="7"/>
      <c r="CY336" s="7"/>
    </row>
    <row r="337" customFormat="false" ht="15" hidden="false" customHeight="true" outlineLevel="0" collapsed="false">
      <c r="B337" s="64" t="s">
        <v>525</v>
      </c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35"/>
      <c r="CN337" s="35"/>
      <c r="CO337" s="35"/>
      <c r="CP337" s="36" t="n">
        <v>0.07</v>
      </c>
      <c r="CQ337" s="36" t="n">
        <v>0.07</v>
      </c>
      <c r="CR337" s="36" t="n">
        <v>0.07</v>
      </c>
      <c r="CS337" s="36" t="n">
        <v>0.07</v>
      </c>
      <c r="CT337" s="23"/>
      <c r="CV337" s="7"/>
      <c r="CW337" s="7"/>
      <c r="CX337" s="7"/>
      <c r="CY337" s="7"/>
    </row>
    <row r="338" customFormat="false" ht="15" hidden="false" customHeight="true" outlineLevel="0" collapsed="false">
      <c r="B338" s="64" t="s">
        <v>526</v>
      </c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35"/>
      <c r="CN338" s="35"/>
      <c r="CO338" s="36" t="n">
        <v>0.035</v>
      </c>
      <c r="CP338" s="36" t="n">
        <v>0.035</v>
      </c>
      <c r="CQ338" s="36" t="n">
        <v>0.035</v>
      </c>
      <c r="CR338" s="36" t="n">
        <v>0.035</v>
      </c>
      <c r="CS338" s="36" t="n">
        <v>0.035</v>
      </c>
      <c r="CT338" s="23" t="s">
        <v>527</v>
      </c>
      <c r="CV338" s="7"/>
      <c r="CW338" s="7"/>
      <c r="CX338" s="7"/>
      <c r="CY338" s="7"/>
    </row>
    <row r="339" customFormat="false" ht="15" hidden="false" customHeight="true" outlineLevel="0" collapsed="false">
      <c r="B339" s="17" t="s">
        <v>528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</row>
    <row r="340" customFormat="false" ht="15" hidden="false" customHeight="true" outlineLevel="0" collapsed="false">
      <c r="B340" s="64" t="s">
        <v>529</v>
      </c>
      <c r="C340" s="31" t="n">
        <f aca="false">IF(ISNUMBER(C301),N(C297)+N(C298)+C301,"")</f>
        <v>43.318</v>
      </c>
      <c r="D340" s="31" t="n">
        <f aca="false">IF(ISNUMBER(D301),N(D297)+N(D298)+D301,"")</f>
        <v>45.085</v>
      </c>
      <c r="E340" s="31" t="n">
        <f aca="false">IF(ISNUMBER(E301),N(E297)+N(E298)+E301,"")</f>
        <v>67.411</v>
      </c>
      <c r="F340" s="31" t="n">
        <f aca="false">IF(ISNUMBER(F301),N(F297)+N(F298)+F301,"")</f>
        <v>135.463</v>
      </c>
      <c r="G340" s="31" t="n">
        <f aca="false">IF(ISNUMBER(G301),N(G297)+N(G298)+G301,"")</f>
        <v>136.973</v>
      </c>
      <c r="H340" s="31" t="n">
        <f aca="false">IF(ISNUMBER(H301),N(H297)+N(H298)+H301,"")</f>
        <v>146.476</v>
      </c>
      <c r="I340" s="31" t="n">
        <f aca="false">IF(ISNUMBER(I301),N(I297)+N(I298)+I301,"")</f>
        <v>240.226</v>
      </c>
      <c r="J340" s="31"/>
      <c r="K340" s="31"/>
      <c r="L340" s="31"/>
      <c r="M340" s="31"/>
      <c r="N340" s="31"/>
      <c r="O340" s="31" t="n">
        <f aca="false">IF(ISNUMBER(O301),N(O297)+N(O298)+O301,"")</f>
        <v>181.625</v>
      </c>
      <c r="P340" s="31"/>
      <c r="Q340" s="31"/>
      <c r="R340" s="31"/>
      <c r="S340" s="31"/>
      <c r="T340" s="31"/>
      <c r="U340" s="31" t="n">
        <f aca="false">IF(ISNUMBER(U301),N(U297)+N(U298)+U301,"")</f>
        <v>118.685</v>
      </c>
      <c r="V340" s="31"/>
      <c r="W340" s="31"/>
      <c r="X340" s="31"/>
      <c r="Y340" s="31"/>
      <c r="Z340" s="31"/>
      <c r="AA340" s="31" t="n">
        <f aca="false">IF(ISNUMBER(AA301),N(AA297)+N(AA298)+AA301,"")</f>
        <v>110.265</v>
      </c>
      <c r="AB340" s="31"/>
      <c r="AC340" s="31"/>
      <c r="AD340" s="31"/>
      <c r="AE340" s="31"/>
      <c r="AF340" s="31"/>
      <c r="AG340" s="31" t="n">
        <f aca="false">IF(ISNUMBER(AG301),N(AG297)+N(AG298)+AG301,"")</f>
        <v>619.618</v>
      </c>
      <c r="AH340" s="31"/>
      <c r="AI340" s="31"/>
      <c r="AJ340" s="31"/>
      <c r="AK340" s="31"/>
      <c r="AL340" s="31"/>
      <c r="AM340" s="31" t="n">
        <f aca="false">IF(ISNUMBER(AM301),N(AM297)+N(AM298)+AM301,"")</f>
        <v>819.91</v>
      </c>
      <c r="AN340" s="31"/>
      <c r="AO340" s="31"/>
      <c r="AP340" s="31"/>
      <c r="AQ340" s="31"/>
      <c r="AR340" s="31"/>
      <c r="AS340" s="31" t="n">
        <f aca="false">IF(ISNUMBER(AS301),N(AS297)+N(AS298)+AS301,"")</f>
        <v>731.194</v>
      </c>
      <c r="AT340" s="31"/>
      <c r="AU340" s="31"/>
      <c r="AV340" s="31"/>
      <c r="AW340" s="31"/>
      <c r="AX340" s="31"/>
      <c r="AY340" s="31" t="n">
        <f aca="false">IF(ISNUMBER(AY301),N(AY297)+N(AY298)+AY301,"")</f>
        <v>650.186</v>
      </c>
      <c r="AZ340" s="31"/>
      <c r="BA340" s="31"/>
      <c r="BB340" s="31"/>
      <c r="BC340" s="31"/>
      <c r="BD340" s="31"/>
      <c r="BE340" s="31" t="n">
        <f aca="false">IF(ISNUMBER(BE301),N(BE297)+N(BE298)+BE301,"")</f>
        <v>665.793</v>
      </c>
      <c r="BF340" s="31"/>
      <c r="BG340" s="31"/>
      <c r="BH340" s="31"/>
      <c r="BI340" s="31"/>
      <c r="BJ340" s="31"/>
      <c r="BK340" s="31" t="n">
        <f aca="false">IF(ISNUMBER(BK301),N(BK297)+N(BK298)+BK301,"")</f>
        <v>1743.585</v>
      </c>
      <c r="BL340" s="31"/>
      <c r="BM340" s="31"/>
      <c r="BN340" s="31"/>
      <c r="BO340" s="31"/>
      <c r="BP340" s="31"/>
      <c r="BQ340" s="31" t="n">
        <f aca="false">IF(ISNUMBER(BQ301),N(BQ297)+N(BQ298)+BQ301,"")</f>
        <v>610.6</v>
      </c>
      <c r="BR340" s="31"/>
      <c r="BS340" s="31"/>
      <c r="BT340" s="31"/>
      <c r="BU340" s="31"/>
      <c r="BV340" s="31"/>
      <c r="BW340" s="31" t="n">
        <f aca="false">IF(ISNUMBER(BW301),N(BW297)+N(BW298)+BW301,"")</f>
        <v>3089.5</v>
      </c>
      <c r="BX340" s="31"/>
      <c r="BY340" s="31"/>
      <c r="BZ340" s="31"/>
      <c r="CA340" s="31"/>
      <c r="CB340" s="31"/>
      <c r="CC340" s="31" t="n">
        <f aca="false">IF(ISNUMBER(CC301),N(CC297)+N(CC298)+CC301,"")</f>
        <v>2653.9</v>
      </c>
      <c r="CD340" s="31"/>
      <c r="CE340" s="31"/>
      <c r="CF340" s="31"/>
      <c r="CG340" s="31"/>
      <c r="CH340" s="31"/>
      <c r="CI340" s="31" t="n">
        <f aca="false">IF(ISNUMBER(CI301),N(CI297)+N(CI298)+CI301,"")</f>
        <v>2471.5</v>
      </c>
      <c r="CJ340" s="31"/>
      <c r="CK340" s="31"/>
      <c r="CL340" s="31" t="n">
        <f aca="false">IF(ISNUMBER(CL301),N(CL297)+N(CL298)+CL301,"")</f>
        <v>2904.1</v>
      </c>
      <c r="CM340" s="32"/>
      <c r="CN340" s="32"/>
      <c r="CO340" s="49" t="n">
        <v>2800</v>
      </c>
      <c r="CP340" s="49" t="n">
        <v>2700</v>
      </c>
      <c r="CQ340" s="49" t="n">
        <v>2600</v>
      </c>
      <c r="CR340" s="49" t="n">
        <v>2500</v>
      </c>
      <c r="CS340" s="49" t="n">
        <v>2400</v>
      </c>
      <c r="CT340" s="23" t="s">
        <v>530</v>
      </c>
      <c r="CV340" s="7"/>
      <c r="CW340" s="7"/>
      <c r="CX340" s="7"/>
      <c r="CY340" s="7"/>
    </row>
    <row r="341" customFormat="false" ht="15" hidden="false" customHeight="true" outlineLevel="0" collapsed="false">
      <c r="B341" s="13" t="s">
        <v>531</v>
      </c>
      <c r="C341" s="31"/>
      <c r="D341" s="31" t="n">
        <f aca="false">IFERROR(D340-C340,"")</f>
        <v>1.767</v>
      </c>
      <c r="E341" s="31" t="n">
        <f aca="false">IFERROR(E340-D340,"")</f>
        <v>22.326</v>
      </c>
      <c r="F341" s="31" t="n">
        <f aca="false">IFERROR(F340-E340,"")</f>
        <v>68.052</v>
      </c>
      <c r="G341" s="31" t="n">
        <f aca="false">IFERROR(G340-F340,"")</f>
        <v>1.50999999999999</v>
      </c>
      <c r="H341" s="31" t="n">
        <f aca="false">IFERROR(H340-G340,"")</f>
        <v>9.50300000000001</v>
      </c>
      <c r="I341" s="31" t="n">
        <f aca="false">IFERROR(I340-H340,"")</f>
        <v>93.75</v>
      </c>
      <c r="J341" s="31"/>
      <c r="K341" s="31"/>
      <c r="L341" s="31"/>
      <c r="M341" s="31"/>
      <c r="N341" s="31"/>
      <c r="O341" s="31" t="n">
        <f aca="false">IFERROR(O340-I340,"")</f>
        <v>-58.601</v>
      </c>
      <c r="P341" s="31"/>
      <c r="Q341" s="31"/>
      <c r="R341" s="31"/>
      <c r="S341" s="31"/>
      <c r="T341" s="31"/>
      <c r="U341" s="31" t="n">
        <f aca="false">IFERROR(U340-O340,"")</f>
        <v>-62.94</v>
      </c>
      <c r="V341" s="31"/>
      <c r="W341" s="31"/>
      <c r="X341" s="31"/>
      <c r="Y341" s="31"/>
      <c r="Z341" s="31"/>
      <c r="AA341" s="31" t="n">
        <f aca="false">IFERROR(AA340-U340,"")</f>
        <v>-8.42</v>
      </c>
      <c r="AB341" s="31"/>
      <c r="AC341" s="31"/>
      <c r="AD341" s="31"/>
      <c r="AE341" s="31"/>
      <c r="AF341" s="31"/>
      <c r="AG341" s="31" t="n">
        <f aca="false">IFERROR(AG340-AA340,"")</f>
        <v>509.353</v>
      </c>
      <c r="AH341" s="31"/>
      <c r="AI341" s="31"/>
      <c r="AJ341" s="31"/>
      <c r="AK341" s="31"/>
      <c r="AL341" s="31"/>
      <c r="AM341" s="31" t="n">
        <f aca="false">IFERROR(AM340-AG340,"")</f>
        <v>200.292</v>
      </c>
      <c r="AN341" s="31"/>
      <c r="AO341" s="31"/>
      <c r="AP341" s="31"/>
      <c r="AQ341" s="31"/>
      <c r="AR341" s="31"/>
      <c r="AS341" s="31" t="n">
        <f aca="false">IFERROR(AS340-AM340,"")</f>
        <v>-88.7159999999999</v>
      </c>
      <c r="AT341" s="31"/>
      <c r="AU341" s="31"/>
      <c r="AV341" s="31"/>
      <c r="AW341" s="31"/>
      <c r="AX341" s="31"/>
      <c r="AY341" s="31" t="n">
        <f aca="false">IFERROR(AY340-AS340,"")</f>
        <v>-81.0080000000002</v>
      </c>
      <c r="AZ341" s="31"/>
      <c r="BA341" s="31"/>
      <c r="BB341" s="31"/>
      <c r="BC341" s="31"/>
      <c r="BD341" s="31"/>
      <c r="BE341" s="31" t="n">
        <f aca="false">IFERROR(BE340-AY340,"")</f>
        <v>15.6070000000001</v>
      </c>
      <c r="BF341" s="31"/>
      <c r="BG341" s="31"/>
      <c r="BH341" s="31"/>
      <c r="BI341" s="31"/>
      <c r="BJ341" s="31"/>
      <c r="BK341" s="31" t="n">
        <f aca="false">IFERROR(BK340-BE340,"")</f>
        <v>1077.792</v>
      </c>
      <c r="BL341" s="31"/>
      <c r="BM341" s="31"/>
      <c r="BN341" s="31"/>
      <c r="BO341" s="31"/>
      <c r="BP341" s="31"/>
      <c r="BQ341" s="31" t="n">
        <f aca="false">IFERROR(BQ340-BK340,"")</f>
        <v>-1132.985</v>
      </c>
      <c r="BR341" s="31"/>
      <c r="BS341" s="31"/>
      <c r="BT341" s="31"/>
      <c r="BU341" s="31"/>
      <c r="BV341" s="31"/>
      <c r="BW341" s="31" t="n">
        <f aca="false">IFERROR(BW340-BQ340,"")</f>
        <v>2478.9</v>
      </c>
      <c r="BX341" s="31"/>
      <c r="BY341" s="31"/>
      <c r="BZ341" s="31"/>
      <c r="CA341" s="31"/>
      <c r="CB341" s="31"/>
      <c r="CC341" s="31" t="n">
        <f aca="false">IFERROR(CC340-BW340,"")</f>
        <v>-435.6</v>
      </c>
      <c r="CD341" s="31"/>
      <c r="CE341" s="31"/>
      <c r="CF341" s="31"/>
      <c r="CG341" s="31"/>
      <c r="CH341" s="31"/>
      <c r="CI341" s="31" t="n">
        <f aca="false">IFERROR(CI340-CC340,"")</f>
        <v>-182.4</v>
      </c>
      <c r="CJ341" s="31"/>
      <c r="CK341" s="31"/>
      <c r="CL341" s="31"/>
      <c r="CM341" s="32"/>
      <c r="CN341" s="32"/>
      <c r="CO341" s="32" t="n">
        <f aca="false">CO340-CI340</f>
        <v>328.5</v>
      </c>
      <c r="CP341" s="32" t="n">
        <f aca="false">CP340-CO340</f>
        <v>-100</v>
      </c>
      <c r="CQ341" s="32" t="n">
        <f aca="false">CQ340-CP340</f>
        <v>-100</v>
      </c>
      <c r="CR341" s="32" t="n">
        <f aca="false">CR340-CQ340</f>
        <v>-100</v>
      </c>
      <c r="CS341" s="32" t="n">
        <f aca="false">CS340-CR340</f>
        <v>-100</v>
      </c>
      <c r="CT341" s="23"/>
      <c r="CV341" s="7"/>
      <c r="CW341" s="7"/>
      <c r="CX341" s="7"/>
      <c r="CY341" s="7"/>
    </row>
    <row r="342" customFormat="false" ht="15" hidden="false" customHeight="true" outlineLevel="0" collapsed="false">
      <c r="B342" s="64" t="s">
        <v>532</v>
      </c>
      <c r="C342" s="44"/>
      <c r="D342" s="44" t="n">
        <f aca="false">IFERROR(D107/AVERAGE(D340,C340),"")</f>
        <v>0.0272841419408844</v>
      </c>
      <c r="E342" s="44" t="n">
        <f aca="false">IFERROR(E107/AVERAGE(E340,D340),"")</f>
        <v>0.015271654103257</v>
      </c>
      <c r="F342" s="44" t="n">
        <f aca="false">IFERROR(F107/AVERAGE(F340,E340),"")</f>
        <v>0.00536293462937587</v>
      </c>
      <c r="G342" s="44" t="n">
        <f aca="false">IFERROR(G107/AVERAGE(G340,F340),"")</f>
        <v>0.0382915620549414</v>
      </c>
      <c r="H342" s="44" t="n">
        <f aca="false">IFERROR(H107/AVERAGE(H340,G340),"")</f>
        <v>0.0390969804091742</v>
      </c>
      <c r="I342" s="44" t="n">
        <f aca="false">IFERROR(I107/AVERAGE(I340,H340),"")</f>
        <v>0.0354795165269381</v>
      </c>
      <c r="J342" s="44"/>
      <c r="K342" s="44"/>
      <c r="L342" s="44"/>
      <c r="M342" s="44"/>
      <c r="N342" s="44"/>
      <c r="O342" s="44" t="n">
        <f aca="false">IFERROR(O107/AVERAGE(O340,I340),"")</f>
        <v>0.0352446716968788</v>
      </c>
      <c r="P342" s="44"/>
      <c r="Q342" s="44"/>
      <c r="R342" s="44"/>
      <c r="S342" s="44"/>
      <c r="T342" s="44"/>
      <c r="U342" s="44" t="n">
        <f aca="false">IFERROR(U107/AVERAGE(U340,O340),"")</f>
        <v>0.0351436848589791</v>
      </c>
      <c r="V342" s="44"/>
      <c r="W342" s="44"/>
      <c r="X342" s="44"/>
      <c r="Y342" s="44"/>
      <c r="Z342" s="44"/>
      <c r="AA342" s="44" t="n">
        <f aca="false">IFERROR(AA107/AVERAGE(AA340,U340),"")</f>
        <v>0.0433457086700153</v>
      </c>
      <c r="AB342" s="44"/>
      <c r="AC342" s="44"/>
      <c r="AD342" s="44"/>
      <c r="AE342" s="44"/>
      <c r="AF342" s="44"/>
      <c r="AG342" s="44" t="n">
        <f aca="false">IFERROR(AG107/AVERAGE(AG340,AA340),"")</f>
        <v>0.0152462791981729</v>
      </c>
      <c r="AH342" s="44"/>
      <c r="AI342" s="44"/>
      <c r="AJ342" s="44"/>
      <c r="AK342" s="44"/>
      <c r="AL342" s="44"/>
      <c r="AM342" s="44" t="n">
        <f aca="false">IFERROR(AM107/AVERAGE(AM340,AG340),"")</f>
        <v>0.053199382019662</v>
      </c>
      <c r="AN342" s="44"/>
      <c r="AO342" s="44"/>
      <c r="AP342" s="44"/>
      <c r="AQ342" s="44"/>
      <c r="AR342" s="44"/>
      <c r="AS342" s="44" t="n">
        <f aca="false">IFERROR(AS107/AVERAGE(AS340,AM340),"")</f>
        <v>0.0574133004621225</v>
      </c>
      <c r="AT342" s="44"/>
      <c r="AU342" s="44"/>
      <c r="AV342" s="44"/>
      <c r="AW342" s="44"/>
      <c r="AX342" s="44"/>
      <c r="AY342" s="44" t="n">
        <f aca="false">IFERROR(AY107/AVERAGE(AY340,AS340),"")</f>
        <v>0.0597619771532815</v>
      </c>
      <c r="AZ342" s="44"/>
      <c r="BA342" s="44"/>
      <c r="BB342" s="44"/>
      <c r="BC342" s="44"/>
      <c r="BD342" s="44"/>
      <c r="BE342" s="44" t="n">
        <f aca="false">IFERROR(BE107/AVERAGE(BE340,AY340),"")</f>
        <v>0.0540555738351448</v>
      </c>
      <c r="BF342" s="44"/>
      <c r="BG342" s="44"/>
      <c r="BH342" s="44"/>
      <c r="BI342" s="44"/>
      <c r="BJ342" s="44"/>
      <c r="BK342" s="44" t="n">
        <f aca="false">IFERROR(BK107/AVERAGE(BK340,BE340),"")</f>
        <v>0.0307075104030999</v>
      </c>
      <c r="BL342" s="44"/>
      <c r="BM342" s="44"/>
      <c r="BN342" s="44"/>
      <c r="BO342" s="44"/>
      <c r="BP342" s="44"/>
      <c r="BQ342" s="44" t="n">
        <f aca="false">IFERROR(BQ107/AVERAGE(BQ340,BK340),"")</f>
        <v>0.0491720064480914</v>
      </c>
      <c r="BR342" s="44"/>
      <c r="BS342" s="44"/>
      <c r="BT342" s="44"/>
      <c r="BU342" s="44"/>
      <c r="BV342" s="44"/>
      <c r="BW342" s="44" t="n">
        <f aca="false">IFERROR(BW107/AVERAGE(BW340,BQ340),"")</f>
        <v>0.115564444204211</v>
      </c>
      <c r="BX342" s="44"/>
      <c r="BY342" s="44"/>
      <c r="BZ342" s="44"/>
      <c r="CA342" s="44"/>
      <c r="CB342" s="44"/>
      <c r="CC342" s="44" t="n">
        <f aca="false">IFERROR(CC107/AVERAGE(CC340,BW340),"")</f>
        <v>0.0813803670299823</v>
      </c>
      <c r="CD342" s="44"/>
      <c r="CE342" s="44"/>
      <c r="CF342" s="44"/>
      <c r="CG342" s="44"/>
      <c r="CH342" s="44"/>
      <c r="CI342" s="44" t="n">
        <f aca="false">IFERROR(CI107/AVERAGE(CI340,CC340),"")</f>
        <v>0.0747648963983299</v>
      </c>
      <c r="CJ342" s="44"/>
      <c r="CK342" s="44"/>
      <c r="CL342" s="44"/>
      <c r="CM342" s="35"/>
      <c r="CN342" s="35"/>
      <c r="CO342" s="35" t="n">
        <f aca="false">IFERROR(CO107/AVERAGE(CO340,CI340),"")</f>
        <v>0.0655600872616902</v>
      </c>
      <c r="CP342" s="36" t="n">
        <v>0.06</v>
      </c>
      <c r="CQ342" s="36" t="n">
        <v>0.059</v>
      </c>
      <c r="CR342" s="36" t="n">
        <v>0.058</v>
      </c>
      <c r="CS342" s="36" t="n">
        <v>0.058</v>
      </c>
      <c r="CT342" s="23" t="s">
        <v>533</v>
      </c>
      <c r="CV342" s="7"/>
      <c r="CW342" s="7"/>
      <c r="CX342" s="7"/>
      <c r="CY342" s="7"/>
    </row>
    <row r="343" customFormat="false" ht="15" hidden="false" customHeight="true" outlineLevel="0" collapsed="false">
      <c r="B343" s="64" t="s">
        <v>534</v>
      </c>
      <c r="C343" s="44"/>
      <c r="D343" s="44" t="n">
        <f aca="false">IFERROR(D108/C274,"")</f>
        <v>0.0429773109097145</v>
      </c>
      <c r="E343" s="44" t="n">
        <f aca="false">IFERROR(E108/D274,"")</f>
        <v>0.0332235638492499</v>
      </c>
      <c r="F343" s="44" t="n">
        <f aca="false">IFERROR(F108/E274,"")</f>
        <v>0.0223724073642508</v>
      </c>
      <c r="G343" s="44" t="n">
        <f aca="false">IFERROR(G108/F274,"")</f>
        <v>0.016599236516689</v>
      </c>
      <c r="H343" s="44" t="n">
        <f aca="false">IFERROR(H108/G274,"")</f>
        <v>0.0341130747231796</v>
      </c>
      <c r="I343" s="44" t="n">
        <f aca="false">IFERROR(I108/H274,"")</f>
        <v>0.0221362384859545</v>
      </c>
      <c r="J343" s="44"/>
      <c r="K343" s="44"/>
      <c r="L343" s="44"/>
      <c r="M343" s="44"/>
      <c r="N343" s="44"/>
      <c r="O343" s="44" t="n">
        <f aca="false">IFERROR(O108/I274,"")</f>
        <v>0.0152091254752852</v>
      </c>
      <c r="P343" s="44"/>
      <c r="Q343" s="44"/>
      <c r="R343" s="44"/>
      <c r="S343" s="44"/>
      <c r="T343" s="44"/>
      <c r="U343" s="44" t="n">
        <f aca="false">IFERROR(U108/O274,"")</f>
        <v>0.00948109967102035</v>
      </c>
      <c r="V343" s="44"/>
      <c r="W343" s="44"/>
      <c r="X343" s="44"/>
      <c r="Y343" s="44"/>
      <c r="Z343" s="44"/>
      <c r="AA343" s="44" t="n">
        <f aca="false">IFERROR(AA108/U274,"")</f>
        <v>0.0190251403640525</v>
      </c>
      <c r="AB343" s="44"/>
      <c r="AC343" s="44"/>
      <c r="AD343" s="44"/>
      <c r="AE343" s="44"/>
      <c r="AF343" s="44"/>
      <c r="AG343" s="44" t="n">
        <f aca="false">IFERROR(AG108/AA274,"")</f>
        <v>0.0088651807297714</v>
      </c>
      <c r="AH343" s="44"/>
      <c r="AI343" s="44"/>
      <c r="AJ343" s="44"/>
      <c r="AK343" s="44"/>
      <c r="AL343" s="44"/>
      <c r="AM343" s="44" t="n">
        <f aca="false">IFERROR(AM108/AG274,"")</f>
        <v>0.0153655943463849</v>
      </c>
      <c r="AN343" s="44"/>
      <c r="AO343" s="44"/>
      <c r="AP343" s="44"/>
      <c r="AQ343" s="44"/>
      <c r="AR343" s="44"/>
      <c r="AS343" s="44" t="n">
        <f aca="false">IFERROR(AS108/AM274,"")</f>
        <v>0.0107797394647456</v>
      </c>
      <c r="AT343" s="44"/>
      <c r="AU343" s="44"/>
      <c r="AV343" s="44"/>
      <c r="AW343" s="44"/>
      <c r="AX343" s="44"/>
      <c r="AY343" s="44" t="n">
        <f aca="false">IFERROR(AY108/AS274,"")</f>
        <v>0.0159919913856922</v>
      </c>
      <c r="AZ343" s="44"/>
      <c r="BA343" s="44"/>
      <c r="BB343" s="44"/>
      <c r="BC343" s="44"/>
      <c r="BD343" s="44"/>
      <c r="BE343" s="44" t="n">
        <f aca="false">IFERROR(BE108/AY274,"")</f>
        <v>0.00649760475545707</v>
      </c>
      <c r="BF343" s="44"/>
      <c r="BG343" s="44"/>
      <c r="BH343" s="44"/>
      <c r="BI343" s="44"/>
      <c r="BJ343" s="44"/>
      <c r="BK343" s="44" t="n">
        <f aca="false">IFERROR(BK108/BE274,"")</f>
        <v>0.00502930773480267</v>
      </c>
      <c r="BL343" s="44"/>
      <c r="BM343" s="44"/>
      <c r="BN343" s="44"/>
      <c r="BO343" s="44"/>
      <c r="BP343" s="44"/>
      <c r="BQ343" s="44" t="n">
        <f aca="false">IFERROR(BQ108/BK274,"")</f>
        <v>0.021376026101382</v>
      </c>
      <c r="BR343" s="44"/>
      <c r="BS343" s="44"/>
      <c r="BT343" s="44"/>
      <c r="BU343" s="44"/>
      <c r="BV343" s="44"/>
      <c r="BW343" s="44" t="n">
        <f aca="false">IFERROR(BW108/BQ274,"")</f>
        <v>0.044507384179648</v>
      </c>
      <c r="BX343" s="44"/>
      <c r="BY343" s="44"/>
      <c r="BZ343" s="44"/>
      <c r="CA343" s="44"/>
      <c r="CB343" s="44"/>
      <c r="CC343" s="44" t="n">
        <f aca="false">IFERROR(CC108/BW274,"")</f>
        <v>0.0454703228045817</v>
      </c>
      <c r="CD343" s="44"/>
      <c r="CE343" s="44"/>
      <c r="CF343" s="44"/>
      <c r="CG343" s="44"/>
      <c r="CH343" s="44"/>
      <c r="CI343" s="44" t="n">
        <f aca="false">IFERROR(CI108/CC274,"")</f>
        <v>0.0279078479115939</v>
      </c>
      <c r="CJ343" s="44"/>
      <c r="CK343" s="44"/>
      <c r="CL343" s="44"/>
      <c r="CM343" s="35"/>
      <c r="CN343" s="35"/>
      <c r="CO343" s="35" t="n">
        <f aca="false">IFERROR(CO108/CI274,"")</f>
        <v>0.0222013170272813</v>
      </c>
      <c r="CP343" s="36" t="n">
        <v>0.025</v>
      </c>
      <c r="CQ343" s="36" t="n">
        <v>0.025</v>
      </c>
      <c r="CR343" s="36" t="n">
        <v>0.025</v>
      </c>
      <c r="CS343" s="36" t="n">
        <v>0.025</v>
      </c>
      <c r="CT343" s="23"/>
      <c r="CV343" s="7"/>
      <c r="CW343" s="7"/>
      <c r="CX343" s="7"/>
      <c r="CY343" s="7"/>
    </row>
    <row r="344" customFormat="false" ht="15" hidden="false" customHeight="true" outlineLevel="0" collapsed="false">
      <c r="B344" s="17" t="s">
        <v>535</v>
      </c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</row>
    <row r="345" customFormat="false" ht="15" hidden="false" customHeight="true" outlineLevel="0" collapsed="false">
      <c r="B345" s="30" t="s">
        <v>536</v>
      </c>
      <c r="C345" s="44" t="n">
        <f aca="false">IFERROR(C101/C95,"")</f>
        <v>0.0582377053948506</v>
      </c>
      <c r="D345" s="44" t="n">
        <f aca="false">IFERROR(D101/D95,"")</f>
        <v>0.0622527299891634</v>
      </c>
      <c r="E345" s="44" t="n">
        <f aca="false">IFERROR(E101/E95,"")</f>
        <v>0.0697935279495403</v>
      </c>
      <c r="F345" s="44" t="n">
        <f aca="false">IFERROR(F101/F95,"")</f>
        <v>0.0841995593977906</v>
      </c>
      <c r="G345" s="44" t="n">
        <f aca="false">IFERROR(G101/G95,"")</f>
        <v>0.105809401486978</v>
      </c>
      <c r="H345" s="44" t="n">
        <f aca="false">IFERROR(H101/H95,"")</f>
        <v>0.107064143055145</v>
      </c>
      <c r="I345" s="44" t="n">
        <f aca="false">IFERROR(I101/I95,"")</f>
        <v>0.0939320249797354</v>
      </c>
      <c r="J345" s="44"/>
      <c r="K345" s="44"/>
      <c r="L345" s="44"/>
      <c r="M345" s="44"/>
      <c r="N345" s="44"/>
      <c r="O345" s="44" t="n">
        <f aca="false">IFERROR(O101/O95,"")</f>
        <v>0.0925967526952116</v>
      </c>
      <c r="P345" s="44"/>
      <c r="Q345" s="44"/>
      <c r="R345" s="44"/>
      <c r="S345" s="44"/>
      <c r="T345" s="44"/>
      <c r="U345" s="44" t="n">
        <f aca="false">IFERROR(U101/U95,"")</f>
        <v>0.0925717682712634</v>
      </c>
      <c r="V345" s="44"/>
      <c r="W345" s="44"/>
      <c r="X345" s="44"/>
      <c r="Y345" s="44"/>
      <c r="Z345" s="44"/>
      <c r="AA345" s="44" t="n">
        <f aca="false">IFERROR(AA101/AA95,"")</f>
        <v>0.0814771020111461</v>
      </c>
      <c r="AB345" s="44"/>
      <c r="AC345" s="44"/>
      <c r="AD345" s="44"/>
      <c r="AE345" s="44"/>
      <c r="AF345" s="44"/>
      <c r="AG345" s="44" t="n">
        <f aca="false">IFERROR(AG101/AG95,"")</f>
        <v>0.0721422328940051</v>
      </c>
      <c r="AH345" s="44"/>
      <c r="AI345" s="44"/>
      <c r="AJ345" s="44"/>
      <c r="AK345" s="44"/>
      <c r="AL345" s="44"/>
      <c r="AM345" s="44" t="n">
        <f aca="false">IFERROR(AM101/AM95,"")</f>
        <v>0.0542570925801413</v>
      </c>
      <c r="AN345" s="44"/>
      <c r="AO345" s="44"/>
      <c r="AP345" s="44"/>
      <c r="AQ345" s="44"/>
      <c r="AR345" s="44"/>
      <c r="AS345" s="44" t="n">
        <f aca="false">IFERROR(AS101/AS95,"")</f>
        <v>0.0569337775399863</v>
      </c>
      <c r="AT345" s="44"/>
      <c r="AU345" s="44"/>
      <c r="AV345" s="44"/>
      <c r="AW345" s="44"/>
      <c r="AX345" s="44"/>
      <c r="AY345" s="44" t="n">
        <f aca="false">IFERROR(AY101/AY95,"")</f>
        <v>0.0534648930224375</v>
      </c>
      <c r="AZ345" s="44"/>
      <c r="BA345" s="44"/>
      <c r="BB345" s="44"/>
      <c r="BC345" s="44"/>
      <c r="BD345" s="44"/>
      <c r="BE345" s="44" t="n">
        <f aca="false">IFERROR(BE101/BE95,"")</f>
        <v>0.0543985885018079</v>
      </c>
      <c r="BF345" s="44"/>
      <c r="BG345" s="44"/>
      <c r="BH345" s="44"/>
      <c r="BI345" s="44"/>
      <c r="BJ345" s="44"/>
      <c r="BK345" s="44" t="n">
        <f aca="false">IFERROR(BK101/BK95,"")</f>
        <v>0.0620259694799682</v>
      </c>
      <c r="BL345" s="44"/>
      <c r="BM345" s="44"/>
      <c r="BN345" s="44"/>
      <c r="BO345" s="44"/>
      <c r="BP345" s="44"/>
      <c r="BQ345" s="44" t="n">
        <f aca="false">IFERROR(BQ101/BQ95,"")</f>
        <v>0.0560356164004319</v>
      </c>
      <c r="BR345" s="44"/>
      <c r="BS345" s="44"/>
      <c r="BT345" s="44"/>
      <c r="BU345" s="44"/>
      <c r="BV345" s="44"/>
      <c r="BW345" s="44" t="n">
        <f aca="false">IFERROR(BW101/BW95,"")</f>
        <v>0.0957169257527992</v>
      </c>
      <c r="BX345" s="44"/>
      <c r="BY345" s="44"/>
      <c r="BZ345" s="44"/>
      <c r="CA345" s="44"/>
      <c r="CB345" s="44"/>
      <c r="CC345" s="44" t="n">
        <f aca="false">IFERROR(CC101/CC95,"")</f>
        <v>0.103729984594557</v>
      </c>
      <c r="CD345" s="44"/>
      <c r="CE345" s="44"/>
      <c r="CF345" s="44"/>
      <c r="CG345" s="44"/>
      <c r="CH345" s="44"/>
      <c r="CI345" s="44" t="n">
        <f aca="false">IFERROR(CI101/CI95,"")</f>
        <v>0.105299845339491</v>
      </c>
      <c r="CJ345" s="44"/>
      <c r="CK345" s="44"/>
      <c r="CL345" s="44"/>
      <c r="CM345" s="35"/>
      <c r="CN345" s="35"/>
      <c r="CO345" s="35" t="n">
        <f aca="false">IFERROR(CO101/CO95,"")</f>
        <v>0.102554272207543</v>
      </c>
      <c r="CP345" s="35" t="n">
        <f aca="false">IFERROR(CP101/CP95,"")</f>
        <v>0.0880395590007115</v>
      </c>
      <c r="CQ345" s="35" t="n">
        <f aca="false">IFERROR(CQ101/CQ95,"")</f>
        <v>0.0761924659976025</v>
      </c>
      <c r="CR345" s="35" t="n">
        <f aca="false">IFERROR(CR101/CR95,"")</f>
        <v>0.0710009450679608</v>
      </c>
      <c r="CS345" s="35" t="n">
        <f aca="false">IFERROR(CS101/CS95,"")</f>
        <v>0.0686816496950548</v>
      </c>
      <c r="CT345" s="23"/>
      <c r="CV345" s="48" t="n">
        <f aca="false">IFERROR(AVERAGE(CO345,CP345,CQ345,CR345,CS345),"n/m")</f>
        <v>0.0812937783937746</v>
      </c>
      <c r="CW345" s="48" t="n">
        <f aca="false">IFERROR(AVERAGE(BK345,BQ345,BW345,CC345,CI345),"n/m")</f>
        <v>0.0845616683134493</v>
      </c>
      <c r="CX345" s="48" t="n">
        <f aca="false">IFERROR(AVERAGE(AG345,AM345,AS345,AY345,BE345,BK345,BQ345,BW345,CC345,CI345),"n/m")</f>
        <v>0.0714004926105625</v>
      </c>
      <c r="CY345" s="48" t="n">
        <f aca="false">IFERROR(AVERAGE(C345,D345,E345,F345,G345,H345,I345,O345,U345,AA345,AG345,AM345,AS345,AY345,BE345,BK345,BQ345,BW345,CC345,CI345),"n/m")</f>
        <v>0.0780969820668225</v>
      </c>
    </row>
    <row r="346" customFormat="false" ht="15" hidden="false" customHeight="true" outlineLevel="0" collapsed="false">
      <c r="B346" s="30" t="s">
        <v>537</v>
      </c>
      <c r="C346" s="34"/>
      <c r="D346" s="34" t="n">
        <f aca="false">IFERROR(D283/C283-1,"")</f>
        <v>0.36813859434356</v>
      </c>
      <c r="E346" s="34" t="n">
        <f aca="false">IFERROR(E283/D283-1,"")</f>
        <v>0.163053399103691</v>
      </c>
      <c r="F346" s="34" t="n">
        <f aca="false">IFERROR(F283/E283-1,"")</f>
        <v>0.318098853280781</v>
      </c>
      <c r="G346" s="34" t="n">
        <f aca="false">IFERROR(G283/F283-1,"")</f>
        <v>0.0351855103730276</v>
      </c>
      <c r="H346" s="34" t="n">
        <f aca="false">IFERROR(H283/G283-1,"")</f>
        <v>0.0409525932818942</v>
      </c>
      <c r="I346" s="34" t="n">
        <f aca="false">IFERROR(I283/H283-1,"")</f>
        <v>0.0176058032104518</v>
      </c>
      <c r="J346" s="34"/>
      <c r="K346" s="34"/>
      <c r="L346" s="34"/>
      <c r="M346" s="34"/>
      <c r="N346" s="34"/>
      <c r="O346" s="34" t="n">
        <f aca="false">IFERROR(O283/I283-1,"")</f>
        <v>-0.0381941108198092</v>
      </c>
      <c r="P346" s="34"/>
      <c r="Q346" s="34"/>
      <c r="R346" s="34"/>
      <c r="S346" s="34"/>
      <c r="T346" s="34"/>
      <c r="U346" s="34" t="n">
        <f aca="false">IFERROR(U283/O283-1,"")</f>
        <v>-0.0791790483862271</v>
      </c>
      <c r="V346" s="34"/>
      <c r="W346" s="34"/>
      <c r="X346" s="34"/>
      <c r="Y346" s="34"/>
      <c r="Z346" s="34"/>
      <c r="AA346" s="34" t="n">
        <f aca="false">IFERROR(AA283/U283-1,"")</f>
        <v>-0.0897363703523845</v>
      </c>
      <c r="AB346" s="34"/>
      <c r="AC346" s="34"/>
      <c r="AD346" s="34"/>
      <c r="AE346" s="34"/>
      <c r="AF346" s="34"/>
      <c r="AG346" s="34" t="n">
        <f aca="false">IFERROR(AG283/AA283-1,"")</f>
        <v>-0.025654996017715</v>
      </c>
      <c r="AH346" s="34"/>
      <c r="AI346" s="34"/>
      <c r="AJ346" s="34"/>
      <c r="AK346" s="34"/>
      <c r="AL346" s="34"/>
      <c r="AM346" s="34" t="n">
        <f aca="false">IFERROR(AM283/AG283-1,"")</f>
        <v>0.022427819738656</v>
      </c>
      <c r="AN346" s="34"/>
      <c r="AO346" s="34"/>
      <c r="AP346" s="34"/>
      <c r="AQ346" s="34"/>
      <c r="AR346" s="34"/>
      <c r="AS346" s="34" t="n">
        <f aca="false">IFERROR(AS283/AM283-1,"")</f>
        <v>-0.0759275401125373</v>
      </c>
      <c r="AT346" s="34"/>
      <c r="AU346" s="34"/>
      <c r="AV346" s="34"/>
      <c r="AW346" s="34"/>
      <c r="AX346" s="34"/>
      <c r="AY346" s="34" t="n">
        <f aca="false">IFERROR(AY283/AS283-1,"")</f>
        <v>-0.00435060491287476</v>
      </c>
      <c r="AZ346" s="34"/>
      <c r="BA346" s="34"/>
      <c r="BB346" s="34"/>
      <c r="BC346" s="34"/>
      <c r="BD346" s="34"/>
      <c r="BE346" s="34" t="n">
        <f aca="false">IFERROR(BE283/AY283-1,"")</f>
        <v>0.0157797400109807</v>
      </c>
      <c r="BF346" s="34"/>
      <c r="BG346" s="34"/>
      <c r="BH346" s="34"/>
      <c r="BI346" s="34"/>
      <c r="BJ346" s="34"/>
      <c r="BK346" s="34" t="n">
        <f aca="false">IFERROR(BK283/BE283-1,"")</f>
        <v>-0.0874570994885467</v>
      </c>
      <c r="BL346" s="34"/>
      <c r="BM346" s="34"/>
      <c r="BN346" s="34"/>
      <c r="BO346" s="34"/>
      <c r="BP346" s="34"/>
      <c r="BQ346" s="34" t="n">
        <f aca="false">IFERROR(BQ283/BK283-1,"")</f>
        <v>0.0222963479236764</v>
      </c>
      <c r="BR346" s="34"/>
      <c r="BS346" s="34"/>
      <c r="BT346" s="34"/>
      <c r="BU346" s="34"/>
      <c r="BV346" s="34"/>
      <c r="BW346" s="34" t="n">
        <f aca="false">IFERROR(BW283/BQ283-1,"")</f>
        <v>1.61576998475278</v>
      </c>
      <c r="BX346" s="34"/>
      <c r="BY346" s="34"/>
      <c r="BZ346" s="34"/>
      <c r="CA346" s="34"/>
      <c r="CB346" s="34"/>
      <c r="CC346" s="34" t="n">
        <f aca="false">IFERROR(CC283/BW283-1,"")</f>
        <v>0.0620368057290366</v>
      </c>
      <c r="CD346" s="34"/>
      <c r="CE346" s="34"/>
      <c r="CF346" s="34"/>
      <c r="CG346" s="34"/>
      <c r="CH346" s="34"/>
      <c r="CI346" s="34" t="n">
        <f aca="false">IFERROR(CI283/CC283-1,"")</f>
        <v>0.193586325858554</v>
      </c>
      <c r="CJ346" s="34"/>
      <c r="CK346" s="34"/>
      <c r="CL346" s="34"/>
      <c r="CM346" s="35"/>
      <c r="CN346" s="35"/>
      <c r="CO346" s="35" t="n">
        <f aca="false">IFERROR(CO283/CI283-1,"")</f>
        <v>0.0860951955853433</v>
      </c>
      <c r="CP346" s="35" t="n">
        <f aca="false">IFERROR(CP283/CO283-1,"")</f>
        <v>0.0810113978266862</v>
      </c>
      <c r="CQ346" s="35" t="n">
        <f aca="false">IFERROR(CQ283/CP283-1,"")</f>
        <v>0.0735968264397906</v>
      </c>
      <c r="CR346" s="35" t="n">
        <f aca="false">IFERROR(CR283/CQ283-1,"")</f>
        <v>0.0666416413728925</v>
      </c>
      <c r="CS346" s="35" t="n">
        <f aca="false">IFERROR(CS283/CR283-1,"")</f>
        <v>0.060099611366756</v>
      </c>
      <c r="CT346" s="23"/>
      <c r="CV346" s="7"/>
      <c r="CW346" s="7"/>
      <c r="CX346" s="7"/>
      <c r="CY346" s="7"/>
    </row>
    <row r="347" customFormat="false" ht="15" hidden="false" customHeight="true" outlineLevel="0" collapsed="false">
      <c r="B347" s="13"/>
      <c r="CM347" s="7"/>
      <c r="CN347" s="7"/>
      <c r="CO347" s="7"/>
      <c r="CP347" s="7"/>
      <c r="CQ347" s="7"/>
      <c r="CR347" s="7"/>
      <c r="CS347" s="7"/>
      <c r="CT347" s="7"/>
    </row>
    <row r="348" customFormat="false" ht="15" hidden="false" customHeight="true" outlineLevel="0" collapsed="false">
      <c r="B348" s="12" t="s">
        <v>538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</row>
    <row r="349" customFormat="false" ht="15" hidden="false" customHeight="true" outlineLevel="0" collapsed="false">
      <c r="B349" s="17" t="s">
        <v>539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</row>
    <row r="350" customFormat="false" ht="15" hidden="false" customHeight="true" outlineLevel="0" collapsed="false">
      <c r="B350" s="13" t="s">
        <v>540</v>
      </c>
      <c r="C350" s="31" t="n">
        <f aca="false">C87</f>
        <v>86.5740000000001</v>
      </c>
      <c r="D350" s="31" t="n">
        <f aca="false">D87</f>
        <v>105.708</v>
      </c>
      <c r="E350" s="31" t="n">
        <f aca="false">E87</f>
        <v>135.149</v>
      </c>
      <c r="F350" s="31" t="n">
        <f aca="false">F87</f>
        <v>129.667</v>
      </c>
      <c r="G350" s="31" t="n">
        <f aca="false">G87</f>
        <v>93.539</v>
      </c>
      <c r="H350" s="31" t="n">
        <f aca="false">H87</f>
        <v>111.23</v>
      </c>
      <c r="I350" s="31" t="n">
        <f aca="false">I87</f>
        <v>116.455</v>
      </c>
      <c r="J350" s="31"/>
      <c r="K350" s="31"/>
      <c r="L350" s="31"/>
      <c r="M350" s="31"/>
      <c r="N350" s="31"/>
      <c r="O350" s="31" t="n">
        <f aca="false">O87</f>
        <v>131.72</v>
      </c>
      <c r="P350" s="31"/>
      <c r="Q350" s="31"/>
      <c r="R350" s="31"/>
      <c r="S350" s="31"/>
      <c r="T350" s="31"/>
      <c r="U350" s="31" t="n">
        <f aca="false">U87</f>
        <v>138.264</v>
      </c>
      <c r="V350" s="31"/>
      <c r="W350" s="31"/>
      <c r="X350" s="31"/>
      <c r="Y350" s="31"/>
      <c r="Z350" s="31"/>
      <c r="AA350" s="31" t="n">
        <f aca="false">AA87</f>
        <v>170.354</v>
      </c>
      <c r="AB350" s="31"/>
      <c r="AC350" s="31"/>
      <c r="AD350" s="31"/>
      <c r="AE350" s="31"/>
      <c r="AF350" s="31"/>
      <c r="AG350" s="31" t="n">
        <f aca="false">AG87</f>
        <v>169.225</v>
      </c>
      <c r="AH350" s="31"/>
      <c r="AI350" s="31"/>
      <c r="AJ350" s="31"/>
      <c r="AK350" s="31"/>
      <c r="AL350" s="31"/>
      <c r="AM350" s="31" t="n">
        <f aca="false">AM87</f>
        <v>138.83</v>
      </c>
      <c r="AN350" s="31"/>
      <c r="AO350" s="31"/>
      <c r="AP350" s="31"/>
      <c r="AQ350" s="31"/>
      <c r="AR350" s="31"/>
      <c r="AS350" s="31" t="n">
        <f aca="false">AS87</f>
        <v>190.717</v>
      </c>
      <c r="AT350" s="31"/>
      <c r="AU350" s="31"/>
      <c r="AV350" s="31"/>
      <c r="AW350" s="31"/>
      <c r="AX350" s="31"/>
      <c r="AY350" s="31" t="n">
        <f aca="false">AY87</f>
        <v>264.951</v>
      </c>
      <c r="AZ350" s="31"/>
      <c r="BA350" s="31"/>
      <c r="BB350" s="31"/>
      <c r="BC350" s="31"/>
      <c r="BD350" s="31"/>
      <c r="BE350" s="31" t="n">
        <f aca="false">BE87</f>
        <v>320.472</v>
      </c>
      <c r="BF350" s="31"/>
      <c r="BG350" s="31"/>
      <c r="BH350" s="31"/>
      <c r="BI350" s="31"/>
      <c r="BJ350" s="31"/>
      <c r="BK350" s="31" t="n">
        <f aca="false">BK87</f>
        <v>325.395</v>
      </c>
      <c r="BL350" s="31"/>
      <c r="BM350" s="31"/>
      <c r="BN350" s="31"/>
      <c r="BO350" s="31"/>
      <c r="BP350" s="31"/>
      <c r="BQ350" s="31" t="n">
        <f aca="false">BQ87</f>
        <v>401.447</v>
      </c>
      <c r="BR350" s="31"/>
      <c r="BS350" s="31"/>
      <c r="BT350" s="31"/>
      <c r="BU350" s="31"/>
      <c r="BV350" s="31"/>
      <c r="BW350" s="31" t="n">
        <f aca="false">BW87</f>
        <v>906.8</v>
      </c>
      <c r="BX350" s="31"/>
      <c r="BY350" s="31"/>
      <c r="BZ350" s="31"/>
      <c r="CA350" s="31"/>
      <c r="CB350" s="31"/>
      <c r="CC350" s="31" t="n">
        <f aca="false">CC87</f>
        <v>1133.2</v>
      </c>
      <c r="CD350" s="31"/>
      <c r="CE350" s="31"/>
      <c r="CF350" s="31"/>
      <c r="CG350" s="31"/>
      <c r="CH350" s="31"/>
      <c r="CI350" s="31" t="n">
        <f aca="false">CI87</f>
        <v>1198.7</v>
      </c>
      <c r="CJ350" s="31"/>
      <c r="CK350" s="31"/>
      <c r="CL350" s="31"/>
      <c r="CM350" s="32"/>
      <c r="CN350" s="32"/>
      <c r="CO350" s="32" t="n">
        <f aca="false">CO87</f>
        <v>1303.60796732453</v>
      </c>
      <c r="CP350" s="32" t="n">
        <f aca="false">CP87</f>
        <v>1378.65470661067</v>
      </c>
      <c r="CQ350" s="32" t="n">
        <f aca="false">CQ87</f>
        <v>1472.05091672096</v>
      </c>
      <c r="CR350" s="32" t="n">
        <f aca="false">CR87</f>
        <v>1563.9472129856</v>
      </c>
      <c r="CS350" s="32" t="n">
        <f aca="false">CS87</f>
        <v>1661.03036629357</v>
      </c>
      <c r="CT350" s="23"/>
      <c r="CV350" s="7"/>
      <c r="CW350" s="7"/>
      <c r="CX350" s="7"/>
      <c r="CY350" s="7"/>
    </row>
    <row r="351" customFormat="false" ht="15" hidden="false" customHeight="true" outlineLevel="0" collapsed="false">
      <c r="B351" s="13" t="s">
        <v>541</v>
      </c>
      <c r="C351" s="44" t="n">
        <f aca="false">C114</f>
        <v>0.378511068146764</v>
      </c>
      <c r="D351" s="44" t="n">
        <f aca="false">D114</f>
        <v>0.320943741900889</v>
      </c>
      <c r="E351" s="44" t="n">
        <f aca="false">E114</f>
        <v>0.271991039889722</v>
      </c>
      <c r="F351" s="44" t="n">
        <f aca="false">F114</f>
        <v>0.289462679531337</v>
      </c>
      <c r="G351" s="44" t="n">
        <f aca="false">G114</f>
        <v>0.273168950175967</v>
      </c>
      <c r="H351" s="44" t="n">
        <f aca="false">H114</f>
        <v>0.290533722168217</v>
      </c>
      <c r="I351" s="44" t="n">
        <f aca="false">I114</f>
        <v>0.289862964781503</v>
      </c>
      <c r="J351" s="44"/>
      <c r="K351" s="44"/>
      <c r="L351" s="44"/>
      <c r="M351" s="44"/>
      <c r="N351" s="44"/>
      <c r="O351" s="44" t="n">
        <f aca="false">O114</f>
        <v>0.299135468071686</v>
      </c>
      <c r="P351" s="44"/>
      <c r="Q351" s="44"/>
      <c r="R351" s="44"/>
      <c r="S351" s="44"/>
      <c r="T351" s="44"/>
      <c r="U351" s="44" t="n">
        <f aca="false">U114</f>
        <v>0.28266867124413</v>
      </c>
      <c r="V351" s="44"/>
      <c r="W351" s="44"/>
      <c r="X351" s="44"/>
      <c r="Y351" s="44"/>
      <c r="Z351" s="44"/>
      <c r="AA351" s="44" t="n">
        <f aca="false">AA114</f>
        <v>0.214587725860935</v>
      </c>
      <c r="AB351" s="44"/>
      <c r="AC351" s="44"/>
      <c r="AD351" s="44"/>
      <c r="AE351" s="44"/>
      <c r="AF351" s="44"/>
      <c r="AG351" s="44" t="n">
        <f aca="false">AG114</f>
        <v>0.283400003065275</v>
      </c>
      <c r="AH351" s="44"/>
      <c r="AI351" s="44"/>
      <c r="AJ351" s="44"/>
      <c r="AK351" s="44"/>
      <c r="AL351" s="44"/>
      <c r="AM351" s="44" t="n">
        <f aca="false">AM114</f>
        <v>0.0269788355686487</v>
      </c>
      <c r="AN351" s="44"/>
      <c r="AO351" s="44"/>
      <c r="AP351" s="44"/>
      <c r="AQ351" s="44"/>
      <c r="AR351" s="44"/>
      <c r="AS351" s="44" t="n">
        <f aca="false">AS114</f>
        <v>0.203302035249685</v>
      </c>
      <c r="AT351" s="44"/>
      <c r="AU351" s="44"/>
      <c r="AV351" s="44"/>
      <c r="AW351" s="44"/>
      <c r="AX351" s="44"/>
      <c r="AY351" s="44" t="n">
        <f aca="false">AY114</f>
        <v>0.218192207084183</v>
      </c>
      <c r="AZ351" s="44"/>
      <c r="BA351" s="44"/>
      <c r="BB351" s="44"/>
      <c r="BC351" s="44"/>
      <c r="BD351" s="44"/>
      <c r="BE351" s="44" t="n">
        <f aca="false">BE114</f>
        <v>0.277801329444482</v>
      </c>
      <c r="BF351" s="44"/>
      <c r="BG351" s="44"/>
      <c r="BH351" s="44"/>
      <c r="BI351" s="44"/>
      <c r="BJ351" s="44"/>
      <c r="BK351" s="44" t="n">
        <f aca="false">BK114</f>
        <v>0.260086146409916</v>
      </c>
      <c r="BL351" s="44"/>
      <c r="BM351" s="44"/>
      <c r="BN351" s="44"/>
      <c r="BO351" s="44"/>
      <c r="BP351" s="44"/>
      <c r="BQ351" s="44" t="n">
        <f aca="false">BQ114</f>
        <v>0.212395440259318</v>
      </c>
      <c r="BR351" s="44"/>
      <c r="BS351" s="44"/>
      <c r="BT351" s="44"/>
      <c r="BU351" s="44"/>
      <c r="BV351" s="44"/>
      <c r="BW351" s="44" t="n">
        <f aca="false">BW114</f>
        <v>0.270538243626062</v>
      </c>
      <c r="BX351" s="44"/>
      <c r="BY351" s="44"/>
      <c r="BZ351" s="44"/>
      <c r="CA351" s="44"/>
      <c r="CB351" s="44"/>
      <c r="CC351" s="44" t="n">
        <f aca="false">CC114</f>
        <v>0.249590983457553</v>
      </c>
      <c r="CD351" s="44"/>
      <c r="CE351" s="44"/>
      <c r="CF351" s="44"/>
      <c r="CG351" s="44"/>
      <c r="CH351" s="44"/>
      <c r="CI351" s="44" t="n">
        <f aca="false">CI114</f>
        <v>0.201643017176998</v>
      </c>
      <c r="CJ351" s="44"/>
      <c r="CK351" s="44"/>
      <c r="CL351" s="44"/>
      <c r="CM351" s="35"/>
      <c r="CN351" s="35"/>
      <c r="CO351" s="35" t="n">
        <f aca="false">CO114</f>
        <v>0.24</v>
      </c>
      <c r="CP351" s="35" t="n">
        <f aca="false">CP114</f>
        <v>0.24</v>
      </c>
      <c r="CQ351" s="35" t="n">
        <f aca="false">CQ114</f>
        <v>0.24</v>
      </c>
      <c r="CR351" s="35" t="n">
        <f aca="false">CR114</f>
        <v>0.24</v>
      </c>
      <c r="CS351" s="35" t="n">
        <f aca="false">CS114</f>
        <v>0.24</v>
      </c>
      <c r="CT351" s="23"/>
      <c r="CV351" s="7"/>
      <c r="CW351" s="7"/>
      <c r="CX351" s="7"/>
      <c r="CY351" s="7"/>
    </row>
    <row r="352" customFormat="false" ht="15" hidden="false" customHeight="true" outlineLevel="0" collapsed="false">
      <c r="B352" s="13" t="s">
        <v>542</v>
      </c>
      <c r="C352" s="31" t="n">
        <f aca="false">IFERROR(C350*(1-C351),"n/a")</f>
        <v>53.8047827862621</v>
      </c>
      <c r="D352" s="31" t="n">
        <f aca="false">IFERROR(D350*(1-D351),"n/a")</f>
        <v>71.7816789311408</v>
      </c>
      <c r="E352" s="31" t="n">
        <f aca="false">IFERROR(E350*(1-E351),"n/a")</f>
        <v>98.389682949944</v>
      </c>
      <c r="F352" s="31" t="n">
        <f aca="false">IFERROR(F350*(1-F351),"n/a")</f>
        <v>92.1332427332102</v>
      </c>
      <c r="G352" s="31" t="n">
        <f aca="false">IFERROR(G350*(1-G351),"n/a")</f>
        <v>67.9870495694903</v>
      </c>
      <c r="H352" s="31" t="n">
        <f aca="false">IFERROR(H350*(1-H351),"n/a")</f>
        <v>78.9139340832292</v>
      </c>
      <c r="I352" s="31" t="n">
        <f aca="false">IFERROR(I350*(1-I351),"n/a")</f>
        <v>82.6990084363701</v>
      </c>
      <c r="J352" s="31"/>
      <c r="K352" s="31"/>
      <c r="L352" s="31"/>
      <c r="M352" s="31"/>
      <c r="N352" s="31"/>
      <c r="O352" s="31" t="n">
        <f aca="false">IFERROR(O350*(1-O351),"n/a")</f>
        <v>92.3178761455976</v>
      </c>
      <c r="P352" s="31"/>
      <c r="Q352" s="31"/>
      <c r="R352" s="31"/>
      <c r="S352" s="31"/>
      <c r="T352" s="31"/>
      <c r="U352" s="31" t="n">
        <f aca="false">IFERROR(U350*(1-U351),"n/a")</f>
        <v>99.1810988391017</v>
      </c>
      <c r="V352" s="31"/>
      <c r="W352" s="31"/>
      <c r="X352" s="31"/>
      <c r="Y352" s="31"/>
      <c r="Z352" s="31"/>
      <c r="AA352" s="31" t="n">
        <f aca="false">IFERROR(AA350*(1-AA351),"n/a")</f>
        <v>133.798122548686</v>
      </c>
      <c r="AB352" s="31"/>
      <c r="AC352" s="31"/>
      <c r="AD352" s="31"/>
      <c r="AE352" s="31"/>
      <c r="AF352" s="31"/>
      <c r="AG352" s="31" t="n">
        <f aca="false">IFERROR(AG350*(1-AG351),"n/a")</f>
        <v>121.266634481279</v>
      </c>
      <c r="AH352" s="31"/>
      <c r="AI352" s="31"/>
      <c r="AJ352" s="31"/>
      <c r="AK352" s="31"/>
      <c r="AL352" s="31"/>
      <c r="AM352" s="31" t="n">
        <f aca="false">IFERROR(AM350*(1-AM351),"n/a")</f>
        <v>135.084528258005</v>
      </c>
      <c r="AN352" s="31"/>
      <c r="AO352" s="31"/>
      <c r="AP352" s="31"/>
      <c r="AQ352" s="31"/>
      <c r="AR352" s="31"/>
      <c r="AS352" s="31" t="n">
        <f aca="false">IFERROR(AS350*(1-AS351),"n/a")</f>
        <v>151.943845743286</v>
      </c>
      <c r="AT352" s="31"/>
      <c r="AU352" s="31"/>
      <c r="AV352" s="31"/>
      <c r="AW352" s="31"/>
      <c r="AX352" s="31"/>
      <c r="AY352" s="31" t="n">
        <f aca="false">IFERROR(AY350*(1-AY351),"n/a")</f>
        <v>207.140756540839</v>
      </c>
      <c r="AZ352" s="31"/>
      <c r="BA352" s="31"/>
      <c r="BB352" s="31"/>
      <c r="BC352" s="31"/>
      <c r="BD352" s="31"/>
      <c r="BE352" s="31" t="n">
        <f aca="false">IFERROR(BE350*(1-BE351),"n/a")</f>
        <v>231.444452350268</v>
      </c>
      <c r="BF352" s="31"/>
      <c r="BG352" s="31"/>
      <c r="BH352" s="31"/>
      <c r="BI352" s="31"/>
      <c r="BJ352" s="31"/>
      <c r="BK352" s="31" t="n">
        <f aca="false">IFERROR(BK350*(1-BK351),"n/a")</f>
        <v>240.764268388945</v>
      </c>
      <c r="BL352" s="31"/>
      <c r="BM352" s="31"/>
      <c r="BN352" s="31"/>
      <c r="BO352" s="31"/>
      <c r="BP352" s="31"/>
      <c r="BQ352" s="31" t="n">
        <f aca="false">IFERROR(BQ350*(1-BQ351),"n/a")</f>
        <v>316.181487694218</v>
      </c>
      <c r="BR352" s="31"/>
      <c r="BS352" s="31"/>
      <c r="BT352" s="31"/>
      <c r="BU352" s="31"/>
      <c r="BV352" s="31"/>
      <c r="BW352" s="31" t="n">
        <f aca="false">IFERROR(BW350*(1-BW351),"n/a")</f>
        <v>661.475920679887</v>
      </c>
      <c r="BX352" s="31"/>
      <c r="BY352" s="31"/>
      <c r="BZ352" s="31"/>
      <c r="CA352" s="31"/>
      <c r="CB352" s="31"/>
      <c r="CC352" s="31" t="n">
        <f aca="false">IFERROR(CC350*(1-CC351),"n/a")</f>
        <v>850.363497545901</v>
      </c>
      <c r="CD352" s="31"/>
      <c r="CE352" s="31"/>
      <c r="CF352" s="31"/>
      <c r="CG352" s="31"/>
      <c r="CH352" s="31"/>
      <c r="CI352" s="31" t="n">
        <f aca="false">IFERROR(CI350*(1-CI351),"n/a")</f>
        <v>956.990515309933</v>
      </c>
      <c r="CJ352" s="31"/>
      <c r="CK352" s="31"/>
      <c r="CL352" s="31"/>
      <c r="CM352" s="32"/>
      <c r="CN352" s="32"/>
      <c r="CO352" s="32" t="n">
        <f aca="false">IFERROR(CO350*(1-CO351),"n/a")</f>
        <v>990.742055166646</v>
      </c>
      <c r="CP352" s="32" t="n">
        <f aca="false">IFERROR(CP350*(1-CP351),"n/a")</f>
        <v>1047.77757702411</v>
      </c>
      <c r="CQ352" s="32" t="n">
        <f aca="false">IFERROR(CQ350*(1-CQ351),"n/a")</f>
        <v>1118.75869670793</v>
      </c>
      <c r="CR352" s="32" t="n">
        <f aca="false">IFERROR(CR350*(1-CR351),"n/a")</f>
        <v>1188.59988186905</v>
      </c>
      <c r="CS352" s="32" t="n">
        <f aca="false">IFERROR(CS350*(1-CS351),"n/a")</f>
        <v>1262.38307838312</v>
      </c>
      <c r="CT352" s="23"/>
      <c r="CV352" s="7"/>
      <c r="CW352" s="7"/>
      <c r="CX352" s="7"/>
      <c r="CY352" s="7"/>
    </row>
    <row r="353" customFormat="false" ht="15" hidden="false" customHeight="true" outlineLevel="0" collapsed="false">
      <c r="B353" s="13" t="s">
        <v>543</v>
      </c>
      <c r="C353" s="31" t="n">
        <f aca="false">IFERROR(C354+C355,"n/a")</f>
        <v>239.934</v>
      </c>
      <c r="D353" s="31" t="n">
        <f aca="false">IFERROR(D354+D355,"n/a")</f>
        <v>329.886</v>
      </c>
      <c r="E353" s="31" t="n">
        <f aca="false">IFERROR(E354+E355,"n/a")</f>
        <v>425.298</v>
      </c>
      <c r="F353" s="31" t="n">
        <f aca="false">IFERROR(F354+F355,"n/a")</f>
        <v>557.278</v>
      </c>
      <c r="G353" s="31" t="n">
        <f aca="false">IFERROR(G354+G355,"n/a")</f>
        <v>648.655</v>
      </c>
      <c r="H353" s="31" t="n">
        <f aca="false">IFERROR(H354+H355,"n/a")</f>
        <v>655.059</v>
      </c>
      <c r="I353" s="31" t="n">
        <f aca="false">IFERROR(I354+I355,"n/a")</f>
        <v>718.706</v>
      </c>
      <c r="J353" s="31"/>
      <c r="K353" s="31"/>
      <c r="L353" s="31"/>
      <c r="M353" s="31"/>
      <c r="N353" s="31"/>
      <c r="O353" s="31" t="n">
        <f aca="false">IFERROR(O354+O355,"n/a")</f>
        <v>641.815</v>
      </c>
      <c r="P353" s="31"/>
      <c r="Q353" s="31"/>
      <c r="R353" s="31"/>
      <c r="S353" s="31"/>
      <c r="T353" s="31"/>
      <c r="U353" s="31" t="n">
        <f aca="false">IFERROR(U354+U355,"n/a")</f>
        <v>688.089</v>
      </c>
      <c r="V353" s="31"/>
      <c r="W353" s="31"/>
      <c r="X353" s="31"/>
      <c r="Y353" s="31"/>
      <c r="Z353" s="31"/>
      <c r="AA353" s="31" t="n">
        <f aca="false">IFERROR(AA354+AA355,"n/a")</f>
        <v>632.261</v>
      </c>
      <c r="AB353" s="31"/>
      <c r="AC353" s="31"/>
      <c r="AD353" s="31"/>
      <c r="AE353" s="31"/>
      <c r="AF353" s="31"/>
      <c r="AG353" s="31" t="n">
        <f aca="false">IFERROR(AG354+AG355,"n/a")</f>
        <v>1107.531</v>
      </c>
      <c r="AH353" s="31"/>
      <c r="AI353" s="31"/>
      <c r="AJ353" s="31"/>
      <c r="AK353" s="31"/>
      <c r="AL353" s="31"/>
      <c r="AM353" s="31" t="n">
        <f aca="false">IFERROR(AM354+AM355,"n/a")</f>
        <v>1305.765</v>
      </c>
      <c r="AN353" s="31"/>
      <c r="AO353" s="31"/>
      <c r="AP353" s="31"/>
      <c r="AQ353" s="31"/>
      <c r="AR353" s="31"/>
      <c r="AS353" s="31" t="n">
        <f aca="false">IFERROR(AS354+AS355,"n/a")</f>
        <v>1330.083</v>
      </c>
      <c r="AT353" s="31"/>
      <c r="AU353" s="31"/>
      <c r="AV353" s="31"/>
      <c r="AW353" s="31"/>
      <c r="AX353" s="31"/>
      <c r="AY353" s="31" t="n">
        <f aca="false">IFERROR(AY354+AY355,"n/a")</f>
        <v>1197.502</v>
      </c>
      <c r="AZ353" s="31"/>
      <c r="BA353" s="31"/>
      <c r="BB353" s="31"/>
      <c r="BC353" s="31"/>
      <c r="BD353" s="31"/>
      <c r="BE353" s="31" t="n">
        <f aca="false">IFERROR(BE354+BE355,"n/a")</f>
        <v>1399.426</v>
      </c>
      <c r="BF353" s="31"/>
      <c r="BG353" s="31"/>
      <c r="BH353" s="31"/>
      <c r="BI353" s="31"/>
      <c r="BJ353" s="31"/>
      <c r="BK353" s="31" t="n">
        <f aca="false">IFERROR(BK354+BK355,"n/a")</f>
        <v>2488.535</v>
      </c>
      <c r="BL353" s="31"/>
      <c r="BM353" s="31"/>
      <c r="BN353" s="31"/>
      <c r="BO353" s="31"/>
      <c r="BP353" s="31"/>
      <c r="BQ353" s="31" t="n">
        <f aca="false">IFERROR(BQ354+BQ355,"n/a")</f>
        <v>1406.375</v>
      </c>
      <c r="BR353" s="31"/>
      <c r="BS353" s="31"/>
      <c r="BT353" s="31"/>
      <c r="BU353" s="31"/>
      <c r="BV353" s="31"/>
      <c r="BW353" s="31" t="n">
        <f aca="false">IFERROR(BW354+BW355,"n/a")</f>
        <v>8022.7</v>
      </c>
      <c r="BX353" s="31"/>
      <c r="BY353" s="31"/>
      <c r="BZ353" s="31"/>
      <c r="CA353" s="31"/>
      <c r="CB353" s="31"/>
      <c r="CC353" s="31" t="n">
        <f aca="false">IFERROR(CC354+CC355,"n/a")</f>
        <v>7836.4</v>
      </c>
      <c r="CD353" s="31"/>
      <c r="CE353" s="31"/>
      <c r="CF353" s="31"/>
      <c r="CG353" s="31"/>
      <c r="CH353" s="31"/>
      <c r="CI353" s="31" t="n">
        <f aca="false">IFERROR(CI354+CI355,"n/a")</f>
        <v>8007.7</v>
      </c>
      <c r="CJ353" s="31"/>
      <c r="CK353" s="31"/>
      <c r="CL353" s="31"/>
      <c r="CM353" s="32"/>
      <c r="CN353" s="32"/>
      <c r="CO353" s="32" t="n">
        <f aca="false">IFERROR(CO354+CO355,"n/a")</f>
        <v>8251.90997066028</v>
      </c>
      <c r="CP353" s="32" t="n">
        <f aca="false">IFERROR(CP354+CP355,"n/a")</f>
        <v>8202.46192626097</v>
      </c>
      <c r="CQ353" s="32" t="n">
        <f aca="false">IFERROR(CQ354+CQ355,"n/a")</f>
        <v>8189.63446119564</v>
      </c>
      <c r="CR353" s="32" t="n">
        <f aca="false">IFERROR(CR354+CR355,"n/a")</f>
        <v>8186.92838638735</v>
      </c>
      <c r="CS353" s="32" t="n">
        <f aca="false">IFERROR(CS354+CS355,"n/a")</f>
        <v>8176.52442762032</v>
      </c>
      <c r="CT353" s="23"/>
      <c r="CV353" s="7"/>
      <c r="CW353" s="7"/>
      <c r="CX353" s="7"/>
      <c r="CY353" s="7"/>
    </row>
    <row r="354" customFormat="false" ht="15" hidden="false" customHeight="true" outlineLevel="0" collapsed="false">
      <c r="B354" s="13" t="s">
        <v>544</v>
      </c>
      <c r="C354" s="31" t="n">
        <f aca="false">C314+N(C306)+N(C307)</f>
        <v>368.637</v>
      </c>
      <c r="D354" s="31" t="n">
        <f aca="false">D314+N(D306)+N(D307)</f>
        <v>435.116</v>
      </c>
      <c r="E354" s="31" t="n">
        <f aca="false">E314+N(E306)+N(E307)</f>
        <v>465.162</v>
      </c>
      <c r="F354" s="31" t="n">
        <f aca="false">F314+N(F306)+N(F307)</f>
        <v>544.411</v>
      </c>
      <c r="G354" s="31" t="n">
        <f aca="false">G314+N(G306)+N(G307)</f>
        <v>579.867</v>
      </c>
      <c r="H354" s="31" t="n">
        <f aca="false">H314+N(H306)+N(H307)</f>
        <v>617.906</v>
      </c>
      <c r="I354" s="31" t="n">
        <f aca="false">I314+N(I306)+N(I307)</f>
        <v>656.531</v>
      </c>
      <c r="J354" s="31"/>
      <c r="K354" s="31"/>
      <c r="L354" s="31"/>
      <c r="M354" s="31"/>
      <c r="N354" s="31"/>
      <c r="O354" s="31" t="n">
        <f aca="false">O314+N(O306)+N(O307)</f>
        <v>694.551</v>
      </c>
      <c r="P354" s="31"/>
      <c r="Q354" s="31"/>
      <c r="R354" s="31"/>
      <c r="S354" s="31"/>
      <c r="T354" s="31"/>
      <c r="U354" s="31" t="n">
        <f aca="false">U314+N(U306)+N(U307)</f>
        <v>709.219</v>
      </c>
      <c r="V354" s="31"/>
      <c r="W354" s="31"/>
      <c r="X354" s="31"/>
      <c r="Y354" s="31"/>
      <c r="Z354" s="31"/>
      <c r="AA354" s="31" t="n">
        <f aca="false">AA314+N(AA306)+N(AA307)</f>
        <v>732.144</v>
      </c>
      <c r="AB354" s="31"/>
      <c r="AC354" s="31"/>
      <c r="AD354" s="31"/>
      <c r="AE354" s="31"/>
      <c r="AF354" s="31"/>
      <c r="AG354" s="31" t="n">
        <f aca="false">AG314+N(AG306)+N(AG307)</f>
        <v>695.78</v>
      </c>
      <c r="AH354" s="31"/>
      <c r="AI354" s="31"/>
      <c r="AJ354" s="31"/>
      <c r="AK354" s="31"/>
      <c r="AL354" s="31"/>
      <c r="AM354" s="31" t="n">
        <f aca="false">AM314+N(AM306)+N(AM307)</f>
        <v>753.765</v>
      </c>
      <c r="AN354" s="31"/>
      <c r="AO354" s="31"/>
      <c r="AP354" s="31"/>
      <c r="AQ354" s="31"/>
      <c r="AR354" s="31"/>
      <c r="AS354" s="31" t="n">
        <f aca="false">AS314+N(AS306)+N(AS307)</f>
        <v>836.633</v>
      </c>
      <c r="AT354" s="31"/>
      <c r="AU354" s="31"/>
      <c r="AV354" s="31"/>
      <c r="AW354" s="31"/>
      <c r="AX354" s="31"/>
      <c r="AY354" s="31" t="n">
        <f aca="false">AY314+N(AY306)+N(AY307)</f>
        <v>906.987</v>
      </c>
      <c r="AZ354" s="31"/>
      <c r="BA354" s="31"/>
      <c r="BB354" s="31"/>
      <c r="BC354" s="31"/>
      <c r="BD354" s="31"/>
      <c r="BE354" s="31" t="n">
        <f aca="false">BE314+N(BE306)+N(BE307)</f>
        <v>1012.399</v>
      </c>
      <c r="BF354" s="31"/>
      <c r="BG354" s="31"/>
      <c r="BH354" s="31"/>
      <c r="BI354" s="31"/>
      <c r="BJ354" s="31"/>
      <c r="BK354" s="31" t="n">
        <f aca="false">BK314+N(BK306)+N(BK307)</f>
        <v>1071.063</v>
      </c>
      <c r="BL354" s="31"/>
      <c r="BM354" s="31"/>
      <c r="BN354" s="31"/>
      <c r="BO354" s="31"/>
      <c r="BP354" s="31"/>
      <c r="BQ354" s="31" t="n">
        <f aca="false">BQ314+N(BQ306)+N(BQ307)</f>
        <v>1290.075</v>
      </c>
      <c r="BR354" s="31"/>
      <c r="BS354" s="31"/>
      <c r="BT354" s="31"/>
      <c r="BU354" s="31"/>
      <c r="BV354" s="31"/>
      <c r="BW354" s="31" t="n">
        <f aca="false">BW314+N(BW306)+N(BW307)</f>
        <v>5509.4</v>
      </c>
      <c r="BX354" s="31"/>
      <c r="BY354" s="31"/>
      <c r="BZ354" s="31"/>
      <c r="CA354" s="31"/>
      <c r="CB354" s="31"/>
      <c r="CC354" s="31" t="n">
        <f aca="false">CC314+N(CC306)+N(CC307)</f>
        <v>5716.4</v>
      </c>
      <c r="CD354" s="31"/>
      <c r="CE354" s="31"/>
      <c r="CF354" s="31"/>
      <c r="CG354" s="31"/>
      <c r="CH354" s="31"/>
      <c r="CI354" s="31" t="n">
        <f aca="false">CI314+N(CI306)+N(CI307)</f>
        <v>6067.7</v>
      </c>
      <c r="CJ354" s="31"/>
      <c r="CK354" s="31"/>
      <c r="CL354" s="31"/>
      <c r="CM354" s="32"/>
      <c r="CN354" s="32"/>
      <c r="CO354" s="32" t="n">
        <f aca="false">CO314+N(CO306)+N(CO307)</f>
        <v>6084.79805516665</v>
      </c>
      <c r="CP354" s="32" t="n">
        <f aca="false">CP314+N(CP306)+N(CP307)</f>
        <v>6183.61779925432</v>
      </c>
      <c r="CQ354" s="32" t="n">
        <f aca="false">CQ314+N(CQ306)+N(CQ307)</f>
        <v>6394.03942929625</v>
      </c>
      <c r="CR354" s="32" t="n">
        <f aca="false">CR314+N(CR306)+N(CR307)</f>
        <v>6641.60539552013</v>
      </c>
      <c r="CS354" s="32" t="n">
        <f aca="false">CS314+N(CS306)+N(CS307)</f>
        <v>6917.47308478594</v>
      </c>
      <c r="CT354" s="23"/>
      <c r="CV354" s="7"/>
      <c r="CW354" s="7"/>
      <c r="CX354" s="7"/>
      <c r="CY354" s="7"/>
    </row>
    <row r="355" customFormat="false" ht="15" hidden="false" customHeight="true" outlineLevel="0" collapsed="false">
      <c r="B355" s="13" t="s">
        <v>545</v>
      </c>
      <c r="C355" s="31" t="n">
        <f aca="false">C340-C274</f>
        <v>-128.703</v>
      </c>
      <c r="D355" s="31" t="n">
        <f aca="false">D340-D274</f>
        <v>-105.23</v>
      </c>
      <c r="E355" s="31" t="n">
        <f aca="false">E340-E274</f>
        <v>-39.864</v>
      </c>
      <c r="F355" s="31" t="n">
        <f aca="false">F340-F274</f>
        <v>12.867</v>
      </c>
      <c r="G355" s="31" t="n">
        <f aca="false">G340-G274</f>
        <v>68.788</v>
      </c>
      <c r="H355" s="31" t="n">
        <f aca="false">H340-H274</f>
        <v>37.153</v>
      </c>
      <c r="I355" s="31" t="n">
        <f aca="false">I340-I274</f>
        <v>62.175</v>
      </c>
      <c r="J355" s="31"/>
      <c r="K355" s="31"/>
      <c r="L355" s="31"/>
      <c r="M355" s="31"/>
      <c r="N355" s="31"/>
      <c r="O355" s="31" t="n">
        <f aca="false">O340-O274</f>
        <v>-52.736</v>
      </c>
      <c r="P355" s="31"/>
      <c r="Q355" s="31"/>
      <c r="R355" s="31"/>
      <c r="S355" s="31"/>
      <c r="T355" s="31"/>
      <c r="U355" s="31" t="n">
        <f aca="false">U340-U274</f>
        <v>-21.13</v>
      </c>
      <c r="V355" s="31"/>
      <c r="W355" s="31"/>
      <c r="X355" s="31"/>
      <c r="Y355" s="31"/>
      <c r="Z355" s="31"/>
      <c r="AA355" s="31" t="n">
        <f aca="false">AA340-AA274</f>
        <v>-99.883</v>
      </c>
      <c r="AB355" s="31"/>
      <c r="AC355" s="31"/>
      <c r="AD355" s="31"/>
      <c r="AE355" s="31"/>
      <c r="AF355" s="31"/>
      <c r="AG355" s="31" t="n">
        <f aca="false">AG340-AG274</f>
        <v>411.751</v>
      </c>
      <c r="AH355" s="31"/>
      <c r="AI355" s="31"/>
      <c r="AJ355" s="31"/>
      <c r="AK355" s="31"/>
      <c r="AL355" s="31"/>
      <c r="AM355" s="31" t="n">
        <f aca="false">AM340-AM274</f>
        <v>552</v>
      </c>
      <c r="AN355" s="31"/>
      <c r="AO355" s="31"/>
      <c r="AP355" s="31"/>
      <c r="AQ355" s="31"/>
      <c r="AR355" s="31"/>
      <c r="AS355" s="31" t="n">
        <f aca="false">AS340-AS274</f>
        <v>493.45</v>
      </c>
      <c r="AT355" s="31"/>
      <c r="AU355" s="31"/>
      <c r="AV355" s="31"/>
      <c r="AW355" s="31"/>
      <c r="AX355" s="31"/>
      <c r="AY355" s="31" t="n">
        <f aca="false">AY340-AY274</f>
        <v>290.515</v>
      </c>
      <c r="AZ355" s="31"/>
      <c r="BA355" s="31"/>
      <c r="BB355" s="31"/>
      <c r="BC355" s="31"/>
      <c r="BD355" s="31"/>
      <c r="BE355" s="31" t="n">
        <f aca="false">BE340-BE274</f>
        <v>387.027</v>
      </c>
      <c r="BF355" s="31"/>
      <c r="BG355" s="31"/>
      <c r="BH355" s="31"/>
      <c r="BI355" s="31"/>
      <c r="BJ355" s="31"/>
      <c r="BK355" s="31" t="n">
        <f aca="false">BK340-BK274</f>
        <v>1417.472</v>
      </c>
      <c r="BL355" s="31"/>
      <c r="BM355" s="31"/>
      <c r="BN355" s="31"/>
      <c r="BO355" s="31"/>
      <c r="BP355" s="31"/>
      <c r="BQ355" s="31" t="n">
        <f aca="false">BQ340-BQ274</f>
        <v>116.3</v>
      </c>
      <c r="BR355" s="31"/>
      <c r="BS355" s="31"/>
      <c r="BT355" s="31"/>
      <c r="BU355" s="31"/>
      <c r="BV355" s="31"/>
      <c r="BW355" s="31" t="n">
        <f aca="false">BW340-BW274</f>
        <v>2513.3</v>
      </c>
      <c r="BX355" s="31"/>
      <c r="BY355" s="31"/>
      <c r="BZ355" s="31"/>
      <c r="CA355" s="31"/>
      <c r="CB355" s="31"/>
      <c r="CC355" s="31" t="n">
        <f aca="false">CC340-CC274</f>
        <v>2120</v>
      </c>
      <c r="CD355" s="31"/>
      <c r="CE355" s="31"/>
      <c r="CF355" s="31"/>
      <c r="CG355" s="31"/>
      <c r="CH355" s="31"/>
      <c r="CI355" s="31" t="n">
        <f aca="false">CI340-CI274</f>
        <v>1940</v>
      </c>
      <c r="CJ355" s="31"/>
      <c r="CK355" s="31"/>
      <c r="CL355" s="31"/>
      <c r="CM355" s="32"/>
      <c r="CN355" s="32"/>
      <c r="CO355" s="32" t="n">
        <f aca="false">CO340-CO274</f>
        <v>2167.11191549363</v>
      </c>
      <c r="CP355" s="32" t="n">
        <f aca="false">CP340-CP274</f>
        <v>2018.84412700665</v>
      </c>
      <c r="CQ355" s="32" t="n">
        <f aca="false">CQ340-CQ274</f>
        <v>1795.59503189939</v>
      </c>
      <c r="CR355" s="32" t="n">
        <f aca="false">CR340-CR274</f>
        <v>1545.32299086722</v>
      </c>
      <c r="CS355" s="32" t="n">
        <f aca="false">CS340-CS274</f>
        <v>1259.05134283438</v>
      </c>
      <c r="CT355" s="23"/>
      <c r="CV355" s="7"/>
      <c r="CW355" s="7"/>
      <c r="CX355" s="7"/>
      <c r="CY355" s="7"/>
    </row>
    <row r="356" customFormat="false" ht="15" hidden="false" customHeight="true" outlineLevel="0" collapsed="false">
      <c r="B356" s="41" t="s">
        <v>546</v>
      </c>
      <c r="C356" s="65" t="n">
        <f aca="false">IFERROR(C352/C353,"n/a")</f>
        <v>0.224248263215143</v>
      </c>
      <c r="D356" s="65" t="n">
        <f aca="false">IFERROR(D352/D353,"n/a")</f>
        <v>0.217595408508214</v>
      </c>
      <c r="E356" s="65" t="n">
        <f aca="false">IFERROR(E352/E353,"n/a")</f>
        <v>0.231342924137767</v>
      </c>
      <c r="F356" s="65" t="n">
        <f aca="false">IFERROR(F352/F353,"n/a")</f>
        <v>0.165327256294363</v>
      </c>
      <c r="G356" s="65" t="n">
        <f aca="false">IFERROR(G352/G353,"n/a")</f>
        <v>0.104812341798784</v>
      </c>
      <c r="H356" s="65" t="n">
        <f aca="false">IFERROR(H352/H353,"n/a")</f>
        <v>0.120468437321263</v>
      </c>
      <c r="I356" s="65" t="n">
        <f aca="false">IFERROR(I352/I353,"n/a")</f>
        <v>0.11506653407147</v>
      </c>
      <c r="J356" s="66"/>
      <c r="K356" s="66"/>
      <c r="L356" s="66"/>
      <c r="M356" s="66"/>
      <c r="N356" s="66"/>
      <c r="O356" s="65" t="n">
        <f aca="false">IFERROR(O352/O353,"n/a")</f>
        <v>0.143838763733471</v>
      </c>
      <c r="P356" s="66"/>
      <c r="Q356" s="66"/>
      <c r="R356" s="66"/>
      <c r="S356" s="66"/>
      <c r="T356" s="66"/>
      <c r="U356" s="65" t="n">
        <f aca="false">IFERROR(U352/U353,"n/a")</f>
        <v>0.14413992788593</v>
      </c>
      <c r="V356" s="66"/>
      <c r="W356" s="66"/>
      <c r="X356" s="66"/>
      <c r="Y356" s="66"/>
      <c r="Z356" s="66"/>
      <c r="AA356" s="65" t="n">
        <f aca="false">IFERROR(AA352/AA353,"n/a")</f>
        <v>0.211618497026839</v>
      </c>
      <c r="AB356" s="66"/>
      <c r="AC356" s="66"/>
      <c r="AD356" s="66"/>
      <c r="AE356" s="66"/>
      <c r="AF356" s="66"/>
      <c r="AG356" s="65" t="n">
        <f aca="false">IFERROR(AG352/AG353,"n/a")</f>
        <v>0.109492767679892</v>
      </c>
      <c r="AH356" s="66"/>
      <c r="AI356" s="66"/>
      <c r="AJ356" s="66"/>
      <c r="AK356" s="66"/>
      <c r="AL356" s="66"/>
      <c r="AM356" s="65" t="n">
        <f aca="false">IFERROR(AM352/AM353,"n/a")</f>
        <v>0.1034524039609</v>
      </c>
      <c r="AN356" s="66"/>
      <c r="AO356" s="66"/>
      <c r="AP356" s="66"/>
      <c r="AQ356" s="66"/>
      <c r="AR356" s="66"/>
      <c r="AS356" s="65" t="n">
        <f aca="false">IFERROR(AS352/AS353,"n/a")</f>
        <v>0.114236364003815</v>
      </c>
      <c r="AT356" s="66"/>
      <c r="AU356" s="66"/>
      <c r="AV356" s="66"/>
      <c r="AW356" s="66"/>
      <c r="AX356" s="66"/>
      <c r="AY356" s="65" t="n">
        <f aca="false">IFERROR(AY352/AY353,"n/a")</f>
        <v>0.172977378359985</v>
      </c>
      <c r="AZ356" s="66"/>
      <c r="BA356" s="66"/>
      <c r="BB356" s="66"/>
      <c r="BC356" s="66"/>
      <c r="BD356" s="66"/>
      <c r="BE356" s="65" t="n">
        <f aca="false">IFERROR(BE352/BE353,"n/a")</f>
        <v>0.165385273926787</v>
      </c>
      <c r="BF356" s="66"/>
      <c r="BG356" s="66"/>
      <c r="BH356" s="66"/>
      <c r="BI356" s="66"/>
      <c r="BJ356" s="66"/>
      <c r="BK356" s="65" t="n">
        <f aca="false">IFERROR(BK352/BK353,"n/a")</f>
        <v>0.0967494001044572</v>
      </c>
      <c r="BL356" s="66"/>
      <c r="BM356" s="66"/>
      <c r="BN356" s="66"/>
      <c r="BO356" s="66"/>
      <c r="BP356" s="66"/>
      <c r="BQ356" s="65" t="n">
        <f aca="false">IFERROR(BQ352/BQ353,"n/a")</f>
        <v>0.224820185010554</v>
      </c>
      <c r="BR356" s="66"/>
      <c r="BS356" s="66"/>
      <c r="BT356" s="66"/>
      <c r="BU356" s="66"/>
      <c r="BV356" s="66"/>
      <c r="BW356" s="65" t="n">
        <f aca="false">IFERROR(BW352/BW353,"n/a")</f>
        <v>0.0824505366871361</v>
      </c>
      <c r="BX356" s="66"/>
      <c r="BY356" s="66"/>
      <c r="BZ356" s="66"/>
      <c r="CA356" s="66"/>
      <c r="CB356" s="66"/>
      <c r="CC356" s="65" t="n">
        <f aca="false">IFERROR(CC352/CC353,"n/a")</f>
        <v>0.108514559944094</v>
      </c>
      <c r="CD356" s="66"/>
      <c r="CE356" s="66"/>
      <c r="CF356" s="66"/>
      <c r="CG356" s="66"/>
      <c r="CH356" s="66"/>
      <c r="CI356" s="65" t="n">
        <f aca="false">IFERROR(CI352/CI353,"n/a")</f>
        <v>0.119508787206056</v>
      </c>
      <c r="CJ356" s="66"/>
      <c r="CK356" s="66"/>
      <c r="CL356" s="66"/>
      <c r="CM356" s="65"/>
      <c r="CN356" s="65"/>
      <c r="CO356" s="65" t="n">
        <f aca="false">IFERROR(CO352/CO353,"n/a")</f>
        <v>0.120062150300868</v>
      </c>
      <c r="CP356" s="65" t="n">
        <f aca="false">IFERROR(CP352/CP353,"n/a")</f>
        <v>0.127739401467936</v>
      </c>
      <c r="CQ356" s="65" t="n">
        <f aca="false">IFERROR(CQ352/CQ353,"n/a")</f>
        <v>0.136606670542973</v>
      </c>
      <c r="CR356" s="65" t="n">
        <f aca="false">IFERROR(CR352/CR353,"n/a")</f>
        <v>0.145182640640337</v>
      </c>
      <c r="CS356" s="65" t="n">
        <f aca="false">IFERROR(CS352/CS353,"n/a")</f>
        <v>0.154391158438759</v>
      </c>
      <c r="CT356" s="23"/>
      <c r="CV356" s="48" t="n">
        <f aca="false">IFERROR(AVERAGE(CO356,CP356,CQ356,CR356,CS356),"n/m")</f>
        <v>0.136796404278175</v>
      </c>
      <c r="CW356" s="48" t="n">
        <f aca="false">IFERROR(AVERAGE(BK356,BQ356,BW356,CC356,CI356),"n/m")</f>
        <v>0.126408693790459</v>
      </c>
      <c r="CX356" s="48" t="n">
        <f aca="false">IFERROR(AVERAGE(AG356,AM356,AS356,AY356,BE356,BK356,BQ356,BW356,CC356,CI356),"n/m")</f>
        <v>0.129758765688368</v>
      </c>
      <c r="CY356" s="48" t="n">
        <f aca="false">IFERROR(AVERAGE(C356,D356,E356,F356,G356,H356,I356,O356,U356,AA356,AG356,AM356,AS356,AY356,BE356,BK356,BQ356,BW356,CC356,CI356),"n/m")</f>
        <v>0.148802300543846</v>
      </c>
    </row>
    <row r="357" customFormat="false" ht="15" hidden="false" customHeight="true" outlineLevel="0" collapsed="false">
      <c r="B357" s="13" t="s">
        <v>547</v>
      </c>
      <c r="C357" s="44" t="n">
        <f aca="false">IFERROR(C350/C95,"n/a")</f>
        <v>0.335744230329214</v>
      </c>
      <c r="D357" s="44" t="n">
        <f aca="false">IFERROR(D350/D95,"n/a")</f>
        <v>0.33890979974736</v>
      </c>
      <c r="E357" s="44" t="n">
        <f aca="false">IFERROR(E350/E95,"n/a")</f>
        <v>0.380896685061073</v>
      </c>
      <c r="F357" s="44" t="n">
        <f aca="false">IFERROR(F350/F95,"n/a")</f>
        <v>0.343751905432238</v>
      </c>
      <c r="G357" s="44" t="n">
        <f aca="false">IFERROR(G350/G95,"n/a")</f>
        <v>0.261743464038571</v>
      </c>
      <c r="H357" s="44" t="n">
        <f aca="false">IFERROR(H350/H95,"n/a")</f>
        <v>0.280813634975095</v>
      </c>
      <c r="I357" s="44" t="n">
        <f aca="false">IFERROR(I350/I95,"n/a")</f>
        <v>0.265906314575698</v>
      </c>
      <c r="J357" s="44"/>
      <c r="K357" s="44"/>
      <c r="L357" s="44"/>
      <c r="M357" s="44"/>
      <c r="N357" s="44"/>
      <c r="O357" s="44" t="n">
        <f aca="false">IFERROR(O350/O95,"n/a")</f>
        <v>0.281812483017867</v>
      </c>
      <c r="P357" s="44"/>
      <c r="Q357" s="44"/>
      <c r="R357" s="44"/>
      <c r="S357" s="44"/>
      <c r="T357" s="44"/>
      <c r="U357" s="44" t="n">
        <f aca="false">IFERROR(U350/U95,"n/a")</f>
        <v>0.287393186820953</v>
      </c>
      <c r="V357" s="44"/>
      <c r="W357" s="44"/>
      <c r="X357" s="44"/>
      <c r="Y357" s="44"/>
      <c r="Z357" s="44"/>
      <c r="AA357" s="44" t="n">
        <f aca="false">IFERROR(AA350/AA95,"n/a")</f>
        <v>0.330223406833051</v>
      </c>
      <c r="AB357" s="44"/>
      <c r="AC357" s="44"/>
      <c r="AD357" s="44"/>
      <c r="AE357" s="44"/>
      <c r="AF357" s="44"/>
      <c r="AG357" s="44" t="n">
        <f aca="false">IFERROR(AG350/AG95,"n/a")</f>
        <v>0.298775589473777</v>
      </c>
      <c r="AH357" s="44"/>
      <c r="AI357" s="44"/>
      <c r="AJ357" s="44"/>
      <c r="AK357" s="44"/>
      <c r="AL357" s="44"/>
      <c r="AM357" s="44" t="n">
        <f aca="false">IFERROR(AM350/AM95,"n/a")</f>
        <v>0.142948194536399</v>
      </c>
      <c r="AN357" s="44"/>
      <c r="AO357" s="44"/>
      <c r="AP357" s="44"/>
      <c r="AQ357" s="44"/>
      <c r="AR357" s="44"/>
      <c r="AS357" s="44" t="n">
        <f aca="false">IFERROR(AS350/AS95,"n/a")</f>
        <v>0.163002360631302</v>
      </c>
      <c r="AT357" s="44"/>
      <c r="AU357" s="44"/>
      <c r="AV357" s="44"/>
      <c r="AW357" s="44"/>
      <c r="AX357" s="44"/>
      <c r="AY357" s="44" t="n">
        <f aca="false">IFERROR(AY350/AY95,"n/a")</f>
        <v>0.200927318352759</v>
      </c>
      <c r="AZ357" s="44"/>
      <c r="BA357" s="44"/>
      <c r="BB357" s="44"/>
      <c r="BC357" s="44"/>
      <c r="BD357" s="44"/>
      <c r="BE357" s="44" t="n">
        <f aca="false">IFERROR(BE350/BE95,"n/a")</f>
        <v>0.232688090847044</v>
      </c>
      <c r="BF357" s="44"/>
      <c r="BG357" s="44"/>
      <c r="BH357" s="44"/>
      <c r="BI357" s="44"/>
      <c r="BJ357" s="44"/>
      <c r="BK357" s="44" t="n">
        <f aca="false">IFERROR(BK350/BK95,"n/a")</f>
        <v>0.229641255890205</v>
      </c>
      <c r="BL357" s="44"/>
      <c r="BM357" s="44"/>
      <c r="BN357" s="44"/>
      <c r="BO357" s="44"/>
      <c r="BP357" s="44"/>
      <c r="BQ357" s="44" t="n">
        <f aca="false">IFERROR(BQ350/BQ95,"n/a")</f>
        <v>0.23154063195002</v>
      </c>
      <c r="BR357" s="44"/>
      <c r="BS357" s="44"/>
      <c r="BT357" s="44"/>
      <c r="BU357" s="44"/>
      <c r="BV357" s="44"/>
      <c r="BW357" s="44" t="n">
        <f aca="false">IFERROR(BW350/BW95,"n/a")</f>
        <v>0.24643983041635</v>
      </c>
      <c r="BX357" s="44"/>
      <c r="BY357" s="44"/>
      <c r="BZ357" s="44"/>
      <c r="CA357" s="44"/>
      <c r="CB357" s="44"/>
      <c r="CC357" s="44" t="n">
        <f aca="false">IFERROR(CC350/CC95,"n/a")</f>
        <v>0.264506792399981</v>
      </c>
      <c r="CD357" s="44"/>
      <c r="CE357" s="44"/>
      <c r="CF357" s="44"/>
      <c r="CG357" s="44"/>
      <c r="CH357" s="44"/>
      <c r="CI357" s="44" t="n">
        <f aca="false">IFERROR(CI350/CI95,"n/a")</f>
        <v>0.261114862657111</v>
      </c>
      <c r="CJ357" s="44"/>
      <c r="CK357" s="44"/>
      <c r="CL357" s="44"/>
      <c r="CM357" s="35"/>
      <c r="CN357" s="35"/>
      <c r="CO357" s="35" t="n">
        <f aca="false">IFERROR(CO350/CO95,"n/a")</f>
        <v>0.260406390874852</v>
      </c>
      <c r="CP357" s="35" t="n">
        <f aca="false">IFERROR(CP350/CP95,"n/a")</f>
        <v>0.262</v>
      </c>
      <c r="CQ357" s="35" t="n">
        <f aca="false">IFERROR(CQ350/CQ95,"n/a")</f>
        <v>0.267</v>
      </c>
      <c r="CR357" s="35" t="n">
        <f aca="false">IFERROR(CR350/CR95,"n/a")</f>
        <v>0.272</v>
      </c>
      <c r="CS357" s="35" t="n">
        <f aca="false">IFERROR(CS350/CS95,"n/a")</f>
        <v>0.277</v>
      </c>
      <c r="CT357" s="23"/>
      <c r="CV357" s="7"/>
      <c r="CW357" s="7"/>
      <c r="CX357" s="7"/>
      <c r="CY357" s="7"/>
    </row>
    <row r="358" customFormat="false" ht="15" hidden="false" customHeight="true" outlineLevel="0" collapsed="false">
      <c r="B358" s="13" t="s">
        <v>548</v>
      </c>
      <c r="C358" s="58" t="n">
        <f aca="false">IFERROR(C95/C353,"n/a")</f>
        <v>1.07469970908667</v>
      </c>
      <c r="D358" s="58" t="n">
        <f aca="false">IFERROR(D95/D353,"n/a")</f>
        <v>0.945496322972178</v>
      </c>
      <c r="E358" s="58" t="n">
        <f aca="false">IFERROR(E95/E353,"n/a")</f>
        <v>0.834280904213046</v>
      </c>
      <c r="F358" s="58" t="n">
        <f aca="false">IFERROR(F95/F353,"n/a")</f>
        <v>0.676881197535162</v>
      </c>
      <c r="G358" s="58" t="n">
        <f aca="false">IFERROR(G95/G353,"n/a")</f>
        <v>0.550938480394046</v>
      </c>
      <c r="H358" s="58" t="n">
        <f aca="false">IFERROR(H95/H353,"n/a")</f>
        <v>0.60467683063663</v>
      </c>
      <c r="I358" s="58" t="n">
        <f aca="false">IFERROR(I95/I353,"n/a")</f>
        <v>0.60936599944901</v>
      </c>
      <c r="J358" s="58"/>
      <c r="K358" s="58"/>
      <c r="L358" s="58"/>
      <c r="M358" s="58"/>
      <c r="N358" s="58"/>
      <c r="O358" s="58" t="n">
        <f aca="false">IFERROR(O95/O353,"n/a")</f>
        <v>0.72825191059729</v>
      </c>
      <c r="P358" s="58"/>
      <c r="Q358" s="58"/>
      <c r="R358" s="58"/>
      <c r="S358" s="58"/>
      <c r="T358" s="58"/>
      <c r="U358" s="58" t="n">
        <f aca="false">IFERROR(U95/U353,"n/a")</f>
        <v>0.699178449299437</v>
      </c>
      <c r="V358" s="58"/>
      <c r="W358" s="58"/>
      <c r="X358" s="58"/>
      <c r="Y358" s="58"/>
      <c r="Z358" s="58"/>
      <c r="AA358" s="58" t="n">
        <f aca="false">IFERROR(AA95/AA353,"n/a")</f>
        <v>0.815920956693517</v>
      </c>
      <c r="AB358" s="58"/>
      <c r="AC358" s="58"/>
      <c r="AD358" s="58"/>
      <c r="AE358" s="58"/>
      <c r="AF358" s="58"/>
      <c r="AG358" s="58" t="n">
        <f aca="false">IFERROR(AG95/AG353,"n/a")</f>
        <v>0.511403292548922</v>
      </c>
      <c r="AH358" s="58"/>
      <c r="AI358" s="58"/>
      <c r="AJ358" s="58"/>
      <c r="AK358" s="58"/>
      <c r="AL358" s="58"/>
      <c r="AM358" s="58" t="n">
        <f aca="false">IFERROR(AM95/AM353,"n/a")</f>
        <v>0.743771658759425</v>
      </c>
      <c r="AN358" s="58"/>
      <c r="AO358" s="58"/>
      <c r="AP358" s="58"/>
      <c r="AQ358" s="58"/>
      <c r="AR358" s="58"/>
      <c r="AS358" s="58" t="n">
        <f aca="false">IFERROR(AS95/AS353,"n/a")</f>
        <v>0.879663900673868</v>
      </c>
      <c r="AT358" s="58"/>
      <c r="AU358" s="58"/>
      <c r="AV358" s="58"/>
      <c r="AW358" s="58"/>
      <c r="AX358" s="58"/>
      <c r="AY358" s="58" t="n">
        <f aca="false">IFERROR(AY95/AY353,"n/a")</f>
        <v>1.10115974754113</v>
      </c>
      <c r="AZ358" s="58"/>
      <c r="BA358" s="58"/>
      <c r="BB358" s="58"/>
      <c r="BC358" s="58"/>
      <c r="BD358" s="58"/>
      <c r="BE358" s="58" t="n">
        <f aca="false">IFERROR(BE95/BE353,"n/a")</f>
        <v>0.984160648723119</v>
      </c>
      <c r="BF358" s="58"/>
      <c r="BG358" s="58"/>
      <c r="BH358" s="58"/>
      <c r="BI358" s="58"/>
      <c r="BJ358" s="58"/>
      <c r="BK358" s="58" t="n">
        <f aca="false">IFERROR(BK95/BK353,"n/a")</f>
        <v>0.569399666872276</v>
      </c>
      <c r="BL358" s="58"/>
      <c r="BM358" s="58"/>
      <c r="BN358" s="58"/>
      <c r="BO358" s="58"/>
      <c r="BP358" s="58"/>
      <c r="BQ358" s="58" t="n">
        <f aca="false">IFERROR(BQ95/BQ353,"n/a")</f>
        <v>1.23282054928451</v>
      </c>
      <c r="BR358" s="58"/>
      <c r="BS358" s="58"/>
      <c r="BT358" s="58"/>
      <c r="BU358" s="58"/>
      <c r="BV358" s="58"/>
      <c r="BW358" s="58" t="n">
        <f aca="false">IFERROR(BW95/BW353,"n/a")</f>
        <v>0.458648584641081</v>
      </c>
      <c r="BX358" s="58"/>
      <c r="BY358" s="58"/>
      <c r="BZ358" s="58"/>
      <c r="CA358" s="58"/>
      <c r="CB358" s="58"/>
      <c r="CC358" s="58" t="n">
        <f aca="false">IFERROR(CC95/CC353,"n/a")</f>
        <v>0.54670511969782</v>
      </c>
      <c r="CD358" s="58"/>
      <c r="CE358" s="58"/>
      <c r="CF358" s="58"/>
      <c r="CG358" s="58"/>
      <c r="CH358" s="58"/>
      <c r="CI358" s="58" t="n">
        <f aca="false">IFERROR(CI95/CI353,"n/a")</f>
        <v>0.573285712501717</v>
      </c>
      <c r="CJ358" s="58"/>
      <c r="CK358" s="58"/>
      <c r="CL358" s="58"/>
      <c r="CM358" s="59"/>
      <c r="CN358" s="59"/>
      <c r="CO358" s="59" t="n">
        <f aca="false">IFERROR(CO95/CO353,"n/a")</f>
        <v>0.606653750021423</v>
      </c>
      <c r="CP358" s="59" t="n">
        <f aca="false">IFERROR(CP95/CP353,"n/a")</f>
        <v>0.641519693993252</v>
      </c>
      <c r="CQ358" s="59" t="n">
        <f aca="false">IFERROR(CQ95/CQ353,"n/a")</f>
        <v>0.673204566050526</v>
      </c>
      <c r="CR358" s="59" t="n">
        <f aca="false">IFERROR(CR95/CR353,"n/a")</f>
        <v>0.702315405574388</v>
      </c>
      <c r="CS358" s="59" t="n">
        <f aca="false">IFERROR(CS95/CS353,"n/a")</f>
        <v>0.733380003984226</v>
      </c>
      <c r="CT358" s="23"/>
      <c r="CV358" s="7"/>
      <c r="CW358" s="7"/>
      <c r="CX358" s="7"/>
      <c r="CY358" s="7"/>
    </row>
    <row r="359" customFormat="false" ht="15" hidden="false" customHeight="true" outlineLevel="0" collapsed="false">
      <c r="B359" s="13" t="s">
        <v>549</v>
      </c>
      <c r="C359" s="44" t="n">
        <f aca="false">IFERROR(1-C351,"n/a")</f>
        <v>0.621488931853236</v>
      </c>
      <c r="D359" s="44" t="n">
        <f aca="false">IFERROR(1-D351,"n/a")</f>
        <v>0.679056258099111</v>
      </c>
      <c r="E359" s="44" t="n">
        <f aca="false">IFERROR(1-E351,"n/a")</f>
        <v>0.728008960110278</v>
      </c>
      <c r="F359" s="44" t="n">
        <f aca="false">IFERROR(1-F351,"n/a")</f>
        <v>0.710537320468663</v>
      </c>
      <c r="G359" s="44" t="n">
        <f aca="false">IFERROR(1-G351,"n/a")</f>
        <v>0.726831049824033</v>
      </c>
      <c r="H359" s="44" t="n">
        <f aca="false">IFERROR(1-H351,"n/a")</f>
        <v>0.709466277831783</v>
      </c>
      <c r="I359" s="44" t="n">
        <f aca="false">IFERROR(1-I351,"n/a")</f>
        <v>0.710137035218498</v>
      </c>
      <c r="J359" s="44"/>
      <c r="K359" s="44"/>
      <c r="L359" s="44"/>
      <c r="M359" s="44"/>
      <c r="N359" s="44"/>
      <c r="O359" s="44" t="n">
        <f aca="false">IFERROR(1-O351,"n/a")</f>
        <v>0.700864531928314</v>
      </c>
      <c r="P359" s="44"/>
      <c r="Q359" s="44"/>
      <c r="R359" s="44"/>
      <c r="S359" s="44"/>
      <c r="T359" s="44"/>
      <c r="U359" s="44" t="n">
        <f aca="false">IFERROR(1-U351,"n/a")</f>
        <v>0.71733132875587</v>
      </c>
      <c r="V359" s="44"/>
      <c r="W359" s="44"/>
      <c r="X359" s="44"/>
      <c r="Y359" s="44"/>
      <c r="Z359" s="44"/>
      <c r="AA359" s="44" t="n">
        <f aca="false">IFERROR(1-AA351,"n/a")</f>
        <v>0.785412274139065</v>
      </c>
      <c r="AB359" s="44"/>
      <c r="AC359" s="44"/>
      <c r="AD359" s="44"/>
      <c r="AE359" s="44"/>
      <c r="AF359" s="44"/>
      <c r="AG359" s="44" t="n">
        <f aca="false">IFERROR(1-AG351,"n/a")</f>
        <v>0.716599996934725</v>
      </c>
      <c r="AH359" s="44"/>
      <c r="AI359" s="44"/>
      <c r="AJ359" s="44"/>
      <c r="AK359" s="44"/>
      <c r="AL359" s="44"/>
      <c r="AM359" s="44" t="n">
        <f aca="false">IFERROR(1-AM351,"n/a")</f>
        <v>0.973021164431351</v>
      </c>
      <c r="AN359" s="44"/>
      <c r="AO359" s="44"/>
      <c r="AP359" s="44"/>
      <c r="AQ359" s="44"/>
      <c r="AR359" s="44"/>
      <c r="AS359" s="44" t="n">
        <f aca="false">IFERROR(1-AS351,"n/a")</f>
        <v>0.796697964750315</v>
      </c>
      <c r="AT359" s="44"/>
      <c r="AU359" s="44"/>
      <c r="AV359" s="44"/>
      <c r="AW359" s="44"/>
      <c r="AX359" s="44"/>
      <c r="AY359" s="44" t="n">
        <f aca="false">IFERROR(1-AY351,"n/a")</f>
        <v>0.781807792915817</v>
      </c>
      <c r="AZ359" s="44"/>
      <c r="BA359" s="44"/>
      <c r="BB359" s="44"/>
      <c r="BC359" s="44"/>
      <c r="BD359" s="44"/>
      <c r="BE359" s="44" t="n">
        <f aca="false">IFERROR(1-BE351,"n/a")</f>
        <v>0.722198670555518</v>
      </c>
      <c r="BF359" s="44"/>
      <c r="BG359" s="44"/>
      <c r="BH359" s="44"/>
      <c r="BI359" s="44"/>
      <c r="BJ359" s="44"/>
      <c r="BK359" s="44" t="n">
        <f aca="false">IFERROR(1-BK351,"n/a")</f>
        <v>0.739913853590084</v>
      </c>
      <c r="BL359" s="44"/>
      <c r="BM359" s="44"/>
      <c r="BN359" s="44"/>
      <c r="BO359" s="44"/>
      <c r="BP359" s="44"/>
      <c r="BQ359" s="44" t="n">
        <f aca="false">IFERROR(1-BQ351,"n/a")</f>
        <v>0.787604559740682</v>
      </c>
      <c r="BR359" s="44"/>
      <c r="BS359" s="44"/>
      <c r="BT359" s="44"/>
      <c r="BU359" s="44"/>
      <c r="BV359" s="44"/>
      <c r="BW359" s="44" t="n">
        <f aca="false">IFERROR(1-BW351,"n/a")</f>
        <v>0.729461756373938</v>
      </c>
      <c r="BX359" s="44"/>
      <c r="BY359" s="44"/>
      <c r="BZ359" s="44"/>
      <c r="CA359" s="44"/>
      <c r="CB359" s="44"/>
      <c r="CC359" s="44" t="n">
        <f aca="false">IFERROR(1-CC351,"n/a")</f>
        <v>0.750409016542447</v>
      </c>
      <c r="CD359" s="44"/>
      <c r="CE359" s="44"/>
      <c r="CF359" s="44"/>
      <c r="CG359" s="44"/>
      <c r="CH359" s="44"/>
      <c r="CI359" s="44" t="n">
        <f aca="false">IFERROR(1-CI351,"n/a")</f>
        <v>0.798356982823002</v>
      </c>
      <c r="CJ359" s="44"/>
      <c r="CK359" s="44"/>
      <c r="CL359" s="44"/>
      <c r="CM359" s="35"/>
      <c r="CN359" s="35"/>
      <c r="CO359" s="35" t="n">
        <f aca="false">IFERROR(1-CO351,"n/a")</f>
        <v>0.76</v>
      </c>
      <c r="CP359" s="35" t="n">
        <f aca="false">IFERROR(1-CP351,"n/a")</f>
        <v>0.76</v>
      </c>
      <c r="CQ359" s="35" t="n">
        <f aca="false">IFERROR(1-CQ351,"n/a")</f>
        <v>0.76</v>
      </c>
      <c r="CR359" s="35" t="n">
        <f aca="false">IFERROR(1-CR351,"n/a")</f>
        <v>0.76</v>
      </c>
      <c r="CS359" s="35" t="n">
        <f aca="false">IFERROR(1-CS351,"n/a")</f>
        <v>0.76</v>
      </c>
      <c r="CT359" s="23"/>
      <c r="CV359" s="7"/>
      <c r="CW359" s="7"/>
      <c r="CX359" s="7"/>
      <c r="CY359" s="7"/>
    </row>
    <row r="360" customFormat="false" ht="15" hidden="false" customHeight="true" outlineLevel="0" collapsed="false">
      <c r="B360" s="13" t="s">
        <v>550</v>
      </c>
      <c r="C360" s="44" t="n">
        <f aca="false">IFERROR(C357*C358*C359,"n/a")</f>
        <v>0.224248263215143</v>
      </c>
      <c r="D360" s="44" t="n">
        <f aca="false">IFERROR(D357*D358*D359,"n/a")</f>
        <v>0.217595408508214</v>
      </c>
      <c r="E360" s="44" t="n">
        <f aca="false">IFERROR(E357*E358*E359,"n/a")</f>
        <v>0.231342924137767</v>
      </c>
      <c r="F360" s="44" t="n">
        <f aca="false">IFERROR(F357*F358*F359,"n/a")</f>
        <v>0.165327256294363</v>
      </c>
      <c r="G360" s="44" t="n">
        <f aca="false">IFERROR(G357*G358*G359,"n/a")</f>
        <v>0.104812341798784</v>
      </c>
      <c r="H360" s="44" t="n">
        <f aca="false">IFERROR(H357*H358*H359,"n/a")</f>
        <v>0.120468437321263</v>
      </c>
      <c r="I360" s="44" t="n">
        <f aca="false">IFERROR(I357*I358*I359,"n/a")</f>
        <v>0.11506653407147</v>
      </c>
      <c r="J360" s="44"/>
      <c r="K360" s="44"/>
      <c r="L360" s="44"/>
      <c r="M360" s="44"/>
      <c r="N360" s="44"/>
      <c r="O360" s="44" t="n">
        <f aca="false">IFERROR(O357*O358*O359,"n/a")</f>
        <v>0.143838763733471</v>
      </c>
      <c r="P360" s="44"/>
      <c r="Q360" s="44"/>
      <c r="R360" s="44"/>
      <c r="S360" s="44"/>
      <c r="T360" s="44"/>
      <c r="U360" s="44" t="n">
        <f aca="false">IFERROR(U357*U358*U359,"n/a")</f>
        <v>0.14413992788593</v>
      </c>
      <c r="V360" s="44"/>
      <c r="W360" s="44"/>
      <c r="X360" s="44"/>
      <c r="Y360" s="44"/>
      <c r="Z360" s="44"/>
      <c r="AA360" s="44" t="n">
        <f aca="false">IFERROR(AA357*AA358*AA359,"n/a")</f>
        <v>0.211618497026839</v>
      </c>
      <c r="AB360" s="44"/>
      <c r="AC360" s="44"/>
      <c r="AD360" s="44"/>
      <c r="AE360" s="44"/>
      <c r="AF360" s="44"/>
      <c r="AG360" s="44" t="n">
        <f aca="false">IFERROR(AG357*AG358*AG359,"n/a")</f>
        <v>0.109492767679892</v>
      </c>
      <c r="AH360" s="44"/>
      <c r="AI360" s="44"/>
      <c r="AJ360" s="44"/>
      <c r="AK360" s="44"/>
      <c r="AL360" s="44"/>
      <c r="AM360" s="44" t="n">
        <f aca="false">IFERROR(AM357*AM358*AM359,"n/a")</f>
        <v>0.1034524039609</v>
      </c>
      <c r="AN360" s="44"/>
      <c r="AO360" s="44"/>
      <c r="AP360" s="44"/>
      <c r="AQ360" s="44"/>
      <c r="AR360" s="44"/>
      <c r="AS360" s="44" t="n">
        <f aca="false">IFERROR(AS357*AS358*AS359,"n/a")</f>
        <v>0.114236364003815</v>
      </c>
      <c r="AT360" s="44"/>
      <c r="AU360" s="44"/>
      <c r="AV360" s="44"/>
      <c r="AW360" s="44"/>
      <c r="AX360" s="44"/>
      <c r="AY360" s="44" t="n">
        <f aca="false">IFERROR(AY357*AY358*AY359,"n/a")</f>
        <v>0.172977378359985</v>
      </c>
      <c r="AZ360" s="44"/>
      <c r="BA360" s="44"/>
      <c r="BB360" s="44"/>
      <c r="BC360" s="44"/>
      <c r="BD360" s="44"/>
      <c r="BE360" s="44" t="n">
        <f aca="false">IFERROR(BE357*BE358*BE359,"n/a")</f>
        <v>0.165385273926787</v>
      </c>
      <c r="BF360" s="44"/>
      <c r="BG360" s="44"/>
      <c r="BH360" s="44"/>
      <c r="BI360" s="44"/>
      <c r="BJ360" s="44"/>
      <c r="BK360" s="44" t="n">
        <f aca="false">IFERROR(BK357*BK358*BK359,"n/a")</f>
        <v>0.0967494001044572</v>
      </c>
      <c r="BL360" s="44"/>
      <c r="BM360" s="44"/>
      <c r="BN360" s="44"/>
      <c r="BO360" s="44"/>
      <c r="BP360" s="44"/>
      <c r="BQ360" s="44" t="n">
        <f aca="false">IFERROR(BQ357*BQ358*BQ359,"n/a")</f>
        <v>0.224820185010554</v>
      </c>
      <c r="BR360" s="44"/>
      <c r="BS360" s="44"/>
      <c r="BT360" s="44"/>
      <c r="BU360" s="44"/>
      <c r="BV360" s="44"/>
      <c r="BW360" s="44" t="n">
        <f aca="false">IFERROR(BW357*BW358*BW359,"n/a")</f>
        <v>0.0824505366871361</v>
      </c>
      <c r="BX360" s="44"/>
      <c r="BY360" s="44"/>
      <c r="BZ360" s="44"/>
      <c r="CA360" s="44"/>
      <c r="CB360" s="44"/>
      <c r="CC360" s="44" t="n">
        <f aca="false">IFERROR(CC357*CC358*CC359,"n/a")</f>
        <v>0.108514559944094</v>
      </c>
      <c r="CD360" s="44"/>
      <c r="CE360" s="44"/>
      <c r="CF360" s="44"/>
      <c r="CG360" s="44"/>
      <c r="CH360" s="44"/>
      <c r="CI360" s="44" t="n">
        <f aca="false">IFERROR(CI357*CI358*CI359,"n/a")</f>
        <v>0.119508787206056</v>
      </c>
      <c r="CJ360" s="44"/>
      <c r="CK360" s="44"/>
      <c r="CL360" s="44"/>
      <c r="CM360" s="35"/>
      <c r="CN360" s="35"/>
      <c r="CO360" s="35" t="n">
        <f aca="false">IFERROR(CO357*CO358*CO359,"n/a")</f>
        <v>0.120062150300868</v>
      </c>
      <c r="CP360" s="35" t="n">
        <f aca="false">IFERROR(CP357*CP358*CP359,"n/a")</f>
        <v>0.127739401467936</v>
      </c>
      <c r="CQ360" s="35" t="n">
        <f aca="false">IFERROR(CQ357*CQ358*CQ359,"n/a")</f>
        <v>0.136606670542973</v>
      </c>
      <c r="CR360" s="35" t="n">
        <f aca="false">IFERROR(CR357*CR358*CR359,"n/a")</f>
        <v>0.145182640640337</v>
      </c>
      <c r="CS360" s="35" t="n">
        <f aca="false">IFERROR(CS357*CS358*CS359,"n/a")</f>
        <v>0.154391158438759</v>
      </c>
      <c r="CT360" s="23"/>
      <c r="CV360" s="7"/>
      <c r="CW360" s="7"/>
      <c r="CX360" s="7"/>
      <c r="CY360" s="7"/>
    </row>
    <row r="361" customFormat="false" ht="15" hidden="false" customHeight="true" outlineLevel="0" collapsed="false">
      <c r="B361" s="13"/>
      <c r="CM361" s="7"/>
      <c r="CN361" s="7"/>
      <c r="CO361" s="7"/>
      <c r="CP361" s="7"/>
      <c r="CQ361" s="7"/>
      <c r="CR361" s="7"/>
      <c r="CS361" s="7"/>
      <c r="CT361" s="7"/>
    </row>
    <row r="362" customFormat="false" ht="15" hidden="false" customHeight="true" outlineLevel="0" collapsed="false">
      <c r="B362" s="17" t="s">
        <v>551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</row>
    <row r="363" customFormat="false" ht="15" hidden="false" customHeight="true" outlineLevel="0" collapsed="false">
      <c r="B363" s="13" t="s">
        <v>542</v>
      </c>
      <c r="C363" s="31" t="n">
        <f aca="false">C352</f>
        <v>53.8047827862621</v>
      </c>
      <c r="D363" s="31" t="n">
        <f aca="false">D352</f>
        <v>71.7816789311408</v>
      </c>
      <c r="E363" s="31" t="n">
        <f aca="false">E352</f>
        <v>98.389682949944</v>
      </c>
      <c r="F363" s="31" t="n">
        <f aca="false">F352</f>
        <v>92.1332427332102</v>
      </c>
      <c r="G363" s="31" t="n">
        <f aca="false">G352</f>
        <v>67.9870495694903</v>
      </c>
      <c r="H363" s="31" t="n">
        <f aca="false">H352</f>
        <v>78.9139340832292</v>
      </c>
      <c r="I363" s="31" t="n">
        <f aca="false">I352</f>
        <v>82.6990084363701</v>
      </c>
      <c r="J363" s="31"/>
      <c r="K363" s="31"/>
      <c r="L363" s="31"/>
      <c r="M363" s="31"/>
      <c r="N363" s="31"/>
      <c r="O363" s="31" t="n">
        <f aca="false">O352</f>
        <v>92.3178761455976</v>
      </c>
      <c r="P363" s="31"/>
      <c r="Q363" s="31"/>
      <c r="R363" s="31"/>
      <c r="S363" s="31"/>
      <c r="T363" s="31"/>
      <c r="U363" s="31" t="n">
        <f aca="false">U352</f>
        <v>99.1810988391017</v>
      </c>
      <c r="V363" s="31"/>
      <c r="W363" s="31"/>
      <c r="X363" s="31"/>
      <c r="Y363" s="31"/>
      <c r="Z363" s="31"/>
      <c r="AA363" s="31" t="n">
        <f aca="false">AA352</f>
        <v>133.798122548686</v>
      </c>
      <c r="AB363" s="31"/>
      <c r="AC363" s="31"/>
      <c r="AD363" s="31"/>
      <c r="AE363" s="31"/>
      <c r="AF363" s="31"/>
      <c r="AG363" s="31" t="n">
        <f aca="false">AG352</f>
        <v>121.266634481279</v>
      </c>
      <c r="AH363" s="31"/>
      <c r="AI363" s="31"/>
      <c r="AJ363" s="31"/>
      <c r="AK363" s="31"/>
      <c r="AL363" s="31"/>
      <c r="AM363" s="31" t="n">
        <f aca="false">AM352</f>
        <v>135.084528258005</v>
      </c>
      <c r="AN363" s="31"/>
      <c r="AO363" s="31"/>
      <c r="AP363" s="31"/>
      <c r="AQ363" s="31"/>
      <c r="AR363" s="31"/>
      <c r="AS363" s="31" t="n">
        <f aca="false">AS352</f>
        <v>151.943845743286</v>
      </c>
      <c r="AT363" s="31"/>
      <c r="AU363" s="31"/>
      <c r="AV363" s="31"/>
      <c r="AW363" s="31"/>
      <c r="AX363" s="31"/>
      <c r="AY363" s="31" t="n">
        <f aca="false">AY352</f>
        <v>207.140756540839</v>
      </c>
      <c r="AZ363" s="31"/>
      <c r="BA363" s="31"/>
      <c r="BB363" s="31"/>
      <c r="BC363" s="31"/>
      <c r="BD363" s="31"/>
      <c r="BE363" s="31" t="n">
        <f aca="false">BE352</f>
        <v>231.444452350268</v>
      </c>
      <c r="BF363" s="31"/>
      <c r="BG363" s="31"/>
      <c r="BH363" s="31"/>
      <c r="BI363" s="31"/>
      <c r="BJ363" s="31"/>
      <c r="BK363" s="31" t="n">
        <f aca="false">BK352</f>
        <v>240.764268388945</v>
      </c>
      <c r="BL363" s="31"/>
      <c r="BM363" s="31"/>
      <c r="BN363" s="31"/>
      <c r="BO363" s="31"/>
      <c r="BP363" s="31"/>
      <c r="BQ363" s="31" t="n">
        <f aca="false">BQ352</f>
        <v>316.181487694218</v>
      </c>
      <c r="BR363" s="31"/>
      <c r="BS363" s="31"/>
      <c r="BT363" s="31"/>
      <c r="BU363" s="31"/>
      <c r="BV363" s="31"/>
      <c r="BW363" s="31" t="n">
        <f aca="false">BW352</f>
        <v>661.475920679887</v>
      </c>
      <c r="BX363" s="31"/>
      <c r="BY363" s="31"/>
      <c r="BZ363" s="31"/>
      <c r="CA363" s="31"/>
      <c r="CB363" s="31"/>
      <c r="CC363" s="31" t="n">
        <f aca="false">CC352</f>
        <v>850.363497545901</v>
      </c>
      <c r="CD363" s="31"/>
      <c r="CE363" s="31"/>
      <c r="CF363" s="31"/>
      <c r="CG363" s="31"/>
      <c r="CH363" s="31"/>
      <c r="CI363" s="31" t="n">
        <f aca="false">CI352</f>
        <v>956.990515309933</v>
      </c>
      <c r="CJ363" s="31"/>
      <c r="CK363" s="31"/>
      <c r="CL363" s="31"/>
      <c r="CM363" s="32"/>
      <c r="CN363" s="32"/>
      <c r="CO363" s="32" t="n">
        <f aca="false">CO352</f>
        <v>990.742055166646</v>
      </c>
      <c r="CP363" s="32" t="n">
        <f aca="false">CP352</f>
        <v>1047.77757702411</v>
      </c>
      <c r="CQ363" s="32" t="n">
        <f aca="false">CQ352</f>
        <v>1118.75869670793</v>
      </c>
      <c r="CR363" s="32" t="n">
        <f aca="false">CR352</f>
        <v>1188.59988186905</v>
      </c>
      <c r="CS363" s="32" t="n">
        <f aca="false">CS352</f>
        <v>1262.38307838312</v>
      </c>
      <c r="CT363" s="23"/>
      <c r="CV363" s="7"/>
      <c r="CW363" s="7"/>
      <c r="CX363" s="7"/>
      <c r="CY363" s="7"/>
    </row>
    <row r="364" customFormat="false" ht="15" hidden="false" customHeight="true" outlineLevel="0" collapsed="false">
      <c r="B364" s="13" t="s">
        <v>552</v>
      </c>
      <c r="C364" s="31" t="n">
        <f aca="false">C289</f>
        <v>554.227</v>
      </c>
      <c r="D364" s="31" t="n">
        <f aca="false">D289</f>
        <v>672.887</v>
      </c>
      <c r="E364" s="31" t="n">
        <f aca="false">E289</f>
        <v>689.488</v>
      </c>
      <c r="F364" s="31" t="n">
        <f aca="false">F289</f>
        <v>857.821</v>
      </c>
      <c r="G364" s="31" t="n">
        <f aca="false">G289</f>
        <v>872.558</v>
      </c>
      <c r="H364" s="31" t="n">
        <f aca="false">H289</f>
        <v>967.241</v>
      </c>
      <c r="I364" s="31" t="n">
        <f aca="false">I289</f>
        <v>1132.498</v>
      </c>
      <c r="J364" s="31"/>
      <c r="K364" s="31"/>
      <c r="L364" s="31"/>
      <c r="M364" s="31"/>
      <c r="N364" s="31"/>
      <c r="O364" s="31" t="n">
        <f aca="false">O289</f>
        <v>1162.295</v>
      </c>
      <c r="P364" s="31"/>
      <c r="Q364" s="31"/>
      <c r="R364" s="31"/>
      <c r="S364" s="31"/>
      <c r="T364" s="31"/>
      <c r="U364" s="31" t="n">
        <f aca="false">U289</f>
        <v>1121.51</v>
      </c>
      <c r="V364" s="31"/>
      <c r="W364" s="31"/>
      <c r="X364" s="31"/>
      <c r="Y364" s="31"/>
      <c r="Z364" s="31"/>
      <c r="AA364" s="31" t="n">
        <f aca="false">AA289</f>
        <v>1120.115</v>
      </c>
      <c r="AB364" s="31"/>
      <c r="AC364" s="31"/>
      <c r="AD364" s="31"/>
      <c r="AE364" s="31"/>
      <c r="AF364" s="31"/>
      <c r="AG364" s="31" t="n">
        <f aca="false">AG289</f>
        <v>1599.533</v>
      </c>
      <c r="AH364" s="31"/>
      <c r="AI364" s="31"/>
      <c r="AJ364" s="31"/>
      <c r="AK364" s="31"/>
      <c r="AL364" s="31"/>
      <c r="AM364" s="31" t="n">
        <f aca="false">AM289</f>
        <v>2017.312</v>
      </c>
      <c r="AN364" s="31"/>
      <c r="AO364" s="31"/>
      <c r="AP364" s="31"/>
      <c r="AQ364" s="31"/>
      <c r="AR364" s="31"/>
      <c r="AS364" s="31" t="n">
        <f aca="false">AS289</f>
        <v>2052.396</v>
      </c>
      <c r="AT364" s="31"/>
      <c r="AU364" s="31"/>
      <c r="AV364" s="31"/>
      <c r="AW364" s="31"/>
      <c r="AX364" s="31"/>
      <c r="AY364" s="31" t="n">
        <f aca="false">AY289</f>
        <v>2229.43</v>
      </c>
      <c r="AZ364" s="31"/>
      <c r="BA364" s="31"/>
      <c r="BB364" s="31"/>
      <c r="BC364" s="31"/>
      <c r="BD364" s="31"/>
      <c r="BE364" s="31" t="n">
        <f aca="false">BE289</f>
        <v>2351.529</v>
      </c>
      <c r="BF364" s="31"/>
      <c r="BG364" s="31"/>
      <c r="BH364" s="31"/>
      <c r="BI364" s="31"/>
      <c r="BJ364" s="31"/>
      <c r="BK364" s="31" t="n">
        <f aca="false">BK289</f>
        <v>3592.914</v>
      </c>
      <c r="BL364" s="31"/>
      <c r="BM364" s="31"/>
      <c r="BN364" s="31"/>
      <c r="BO364" s="31"/>
      <c r="BP364" s="31"/>
      <c r="BQ364" s="31" t="n">
        <f aca="false">BQ289</f>
        <v>2863.7</v>
      </c>
      <c r="BR364" s="31"/>
      <c r="BS364" s="31"/>
      <c r="BT364" s="31"/>
      <c r="BU364" s="31"/>
      <c r="BV364" s="31"/>
      <c r="BW364" s="31" t="n">
        <f aca="false">BW289</f>
        <v>12037.4</v>
      </c>
      <c r="BX364" s="31"/>
      <c r="BY364" s="31"/>
      <c r="BZ364" s="31"/>
      <c r="CA364" s="31"/>
      <c r="CB364" s="31"/>
      <c r="CC364" s="31" t="n">
        <f aca="false">CC289</f>
        <v>11807</v>
      </c>
      <c r="CD364" s="31"/>
      <c r="CE364" s="31"/>
      <c r="CF364" s="31"/>
      <c r="CG364" s="31"/>
      <c r="CH364" s="31"/>
      <c r="CI364" s="31" t="n">
        <f aca="false">CI289</f>
        <v>12143</v>
      </c>
      <c r="CJ364" s="31"/>
      <c r="CK364" s="31"/>
      <c r="CL364" s="31"/>
      <c r="CM364" s="32"/>
      <c r="CN364" s="32"/>
      <c r="CO364" s="32" t="n">
        <f aca="false">CO289</f>
        <v>12532.9474379352</v>
      </c>
      <c r="CP364" s="32" t="n">
        <f aca="false">CP289</f>
        <v>12559.4955874239</v>
      </c>
      <c r="CQ364" s="32" t="n">
        <f aca="false">CQ289</f>
        <v>12699.7016701519</v>
      </c>
      <c r="CR364" s="32" t="n">
        <f aca="false">CR289</f>
        <v>12877.9549192552</v>
      </c>
      <c r="CS364" s="32" t="n">
        <f aca="false">CS289</f>
        <v>13092.3392178457</v>
      </c>
      <c r="CT364" s="23"/>
      <c r="CV364" s="7"/>
      <c r="CW364" s="7"/>
      <c r="CX364" s="7"/>
      <c r="CY364" s="7"/>
    </row>
    <row r="365" customFormat="false" ht="15" hidden="false" customHeight="true" outlineLevel="0" collapsed="false">
      <c r="B365" s="13" t="s">
        <v>553</v>
      </c>
      <c r="C365" s="31" t="n">
        <f aca="false">-(C287+C286)</f>
        <v>-39.537</v>
      </c>
      <c r="D365" s="31" t="n">
        <f aca="false">-(D287+D286)</f>
        <v>-42.612</v>
      </c>
      <c r="E365" s="31" t="n">
        <f aca="false">-(E287+E286)</f>
        <v>-40.233</v>
      </c>
      <c r="F365" s="31" t="n">
        <f aca="false">-(F287+F286)</f>
        <v>-45.593</v>
      </c>
      <c r="G365" s="31" t="n">
        <f aca="false">-(G287+G286)</f>
        <v>-46.254</v>
      </c>
      <c r="H365" s="31" t="n">
        <f aca="false">-(H287+H286)</f>
        <v>-45.957</v>
      </c>
      <c r="I365" s="31" t="n">
        <f aca="false">-(I287+I286)</f>
        <v>-109.817</v>
      </c>
      <c r="J365" s="31"/>
      <c r="K365" s="31"/>
      <c r="L365" s="31"/>
      <c r="M365" s="31"/>
      <c r="N365" s="31"/>
      <c r="O365" s="31" t="n">
        <f aca="false">-(O287+O286)</f>
        <v>-121.004</v>
      </c>
      <c r="P365" s="31"/>
      <c r="Q365" s="31"/>
      <c r="R365" s="31"/>
      <c r="S365" s="31"/>
      <c r="T365" s="31"/>
      <c r="U365" s="31" t="n">
        <f aca="false">-(U287+U286)</f>
        <v>-127.858</v>
      </c>
      <c r="V365" s="31"/>
      <c r="W365" s="31"/>
      <c r="X365" s="31"/>
      <c r="Y365" s="31"/>
      <c r="Z365" s="31"/>
      <c r="AA365" s="31" t="n">
        <f aca="false">-(AA287+AA286)</f>
        <v>-138.207</v>
      </c>
      <c r="AB365" s="31"/>
      <c r="AC365" s="31"/>
      <c r="AD365" s="31"/>
      <c r="AE365" s="31"/>
      <c r="AF365" s="31"/>
      <c r="AG365" s="31" t="n">
        <f aca="false">-(AG287+AG286)</f>
        <v>-169.841</v>
      </c>
      <c r="AH365" s="31"/>
      <c r="AI365" s="31"/>
      <c r="AJ365" s="31"/>
      <c r="AK365" s="31"/>
      <c r="AL365" s="31"/>
      <c r="AM365" s="31" t="n">
        <f aca="false">-(AM287+AM286)</f>
        <v>-932.016</v>
      </c>
      <c r="AN365" s="31"/>
      <c r="AO365" s="31"/>
      <c r="AP365" s="31"/>
      <c r="AQ365" s="31"/>
      <c r="AR365" s="31"/>
      <c r="AS365" s="31" t="n">
        <f aca="false">-(AS287+AS286)</f>
        <v>-917.216</v>
      </c>
      <c r="AT365" s="31"/>
      <c r="AU365" s="31"/>
      <c r="AV365" s="31"/>
      <c r="AW365" s="31"/>
      <c r="AX365" s="31"/>
      <c r="AY365" s="31" t="n">
        <f aca="false">-(AY287+AY286)</f>
        <v>-905.69</v>
      </c>
      <c r="AZ365" s="31"/>
      <c r="BA365" s="31"/>
      <c r="BB365" s="31"/>
      <c r="BC365" s="31"/>
      <c r="BD365" s="31"/>
      <c r="BE365" s="31" t="n">
        <f aca="false">-(BE287+BE286)</f>
        <v>-1141.558</v>
      </c>
      <c r="BF365" s="31"/>
      <c r="BG365" s="31"/>
      <c r="BH365" s="31"/>
      <c r="BI365" s="31"/>
      <c r="BJ365" s="31"/>
      <c r="BK365" s="31" t="n">
        <f aca="false">-(BK287+BK286)</f>
        <v>-1298.231</v>
      </c>
      <c r="BL365" s="31"/>
      <c r="BM365" s="31"/>
      <c r="BN365" s="31"/>
      <c r="BO365" s="31"/>
      <c r="BP365" s="31"/>
      <c r="BQ365" s="31" t="n">
        <f aca="false">-(BQ287+BQ286)</f>
        <v>-1271.5</v>
      </c>
      <c r="BR365" s="31"/>
      <c r="BS365" s="31"/>
      <c r="BT365" s="31"/>
      <c r="BU365" s="31"/>
      <c r="BV365" s="31"/>
      <c r="BW365" s="31" t="n">
        <f aca="false">-(BW287+BW286)</f>
        <v>-7451.1</v>
      </c>
      <c r="BX365" s="31"/>
      <c r="BY365" s="31"/>
      <c r="BZ365" s="31"/>
      <c r="CA365" s="31"/>
      <c r="CB365" s="31"/>
      <c r="CC365" s="31" t="n">
        <f aca="false">-(CC287+CC286)</f>
        <v>-7180.5</v>
      </c>
      <c r="CD365" s="31"/>
      <c r="CE365" s="31"/>
      <c r="CF365" s="31"/>
      <c r="CG365" s="31"/>
      <c r="CH365" s="31"/>
      <c r="CI365" s="31" t="n">
        <f aca="false">-(CI287+CI286)</f>
        <v>-7132.5</v>
      </c>
      <c r="CJ365" s="31"/>
      <c r="CK365" s="31"/>
      <c r="CL365" s="31"/>
      <c r="CM365" s="32"/>
      <c r="CN365" s="32"/>
      <c r="CO365" s="32" t="n">
        <f aca="false">-(CO287+CO286)</f>
        <v>-7191.74525108497</v>
      </c>
      <c r="CP365" s="32" t="n">
        <f aca="false">-(CP287+CP286)</f>
        <v>-6976.0342318432</v>
      </c>
      <c r="CQ365" s="32" t="n">
        <f aca="false">-(CQ287+CQ286)</f>
        <v>-6810.35341536867</v>
      </c>
      <c r="CR365" s="32" t="n">
        <f aca="false">-(CR287+CR286)</f>
        <v>-6662.34875769093</v>
      </c>
      <c r="CS365" s="32" t="n">
        <f aca="false">-(CS287+CS286)</f>
        <v>-6517.26474610626</v>
      </c>
      <c r="CT365" s="23"/>
      <c r="CV365" s="7"/>
      <c r="CW365" s="7"/>
      <c r="CX365" s="7"/>
      <c r="CY365" s="7"/>
    </row>
    <row r="366" customFormat="false" ht="15" hidden="false" customHeight="true" outlineLevel="0" collapsed="false">
      <c r="B366" s="13" t="s">
        <v>554</v>
      </c>
      <c r="C366" s="31" t="n">
        <f aca="false">-(C300-N(C297)-N(C298))</f>
        <v>-133.461</v>
      </c>
      <c r="D366" s="31" t="n">
        <f aca="false">-(D300-N(D297)-N(D298))</f>
        <v>-178.737</v>
      </c>
      <c r="E366" s="31" t="n">
        <f aca="false">-(E300-N(E297)-N(E298))</f>
        <v>-146.831</v>
      </c>
      <c r="F366" s="31" t="n">
        <f aca="false">-(F300-N(F297)-N(F298))</f>
        <v>-163.128</v>
      </c>
      <c r="G366" s="31" t="n">
        <f aca="false">-(G300-N(G297)-N(G298))</f>
        <v>-136.048</v>
      </c>
      <c r="H366" s="31" t="n">
        <f aca="false">-(H300-N(H297)-N(H298))</f>
        <v>-177.949</v>
      </c>
      <c r="I366" s="31" t="n">
        <f aca="false">-(I300-N(I297)-N(I298))</f>
        <v>-210.068</v>
      </c>
      <c r="J366" s="31"/>
      <c r="K366" s="31"/>
      <c r="L366" s="31"/>
      <c r="M366" s="31"/>
      <c r="N366" s="31"/>
      <c r="O366" s="31" t="n">
        <f aca="false">-(O300-N(O297)-N(O298))</f>
        <v>-253.94</v>
      </c>
      <c r="P366" s="31"/>
      <c r="Q366" s="31"/>
      <c r="R366" s="31"/>
      <c r="S366" s="31"/>
      <c r="T366" s="31"/>
      <c r="U366" s="31" t="n">
        <f aca="false">-(U300-N(U297)-N(U298))</f>
        <v>-246.252</v>
      </c>
      <c r="V366" s="31"/>
      <c r="W366" s="31"/>
      <c r="X366" s="31"/>
      <c r="Y366" s="31"/>
      <c r="Z366" s="31"/>
      <c r="AA366" s="31" t="n">
        <f aca="false">-(AA300-N(AA297)-N(AA298))</f>
        <v>-234.268</v>
      </c>
      <c r="AB366" s="31"/>
      <c r="AC366" s="31"/>
      <c r="AD366" s="31"/>
      <c r="AE366" s="31"/>
      <c r="AF366" s="31"/>
      <c r="AG366" s="31" t="n">
        <f aca="false">-(AG300-N(AG297)-N(AG298))</f>
        <v>-228.922</v>
      </c>
      <c r="AH366" s="31"/>
      <c r="AI366" s="31"/>
      <c r="AJ366" s="31"/>
      <c r="AK366" s="31"/>
      <c r="AL366" s="31"/>
      <c r="AM366" s="31" t="n">
        <f aca="false">-(AM300-N(AM297)-N(AM298))</f>
        <v>-364.53</v>
      </c>
      <c r="AN366" s="31"/>
      <c r="AO366" s="31"/>
      <c r="AP366" s="31"/>
      <c r="AQ366" s="31"/>
      <c r="AR366" s="31"/>
      <c r="AS366" s="31" t="n">
        <f aca="false">-(AS300-N(AS297)-N(AS298))</f>
        <v>-407.07</v>
      </c>
      <c r="AT366" s="31"/>
      <c r="AU366" s="31"/>
      <c r="AV366" s="31"/>
      <c r="AW366" s="31"/>
      <c r="AX366" s="31"/>
      <c r="AY366" s="31" t="n">
        <f aca="false">-(AY300-N(AY297)-N(AY298))</f>
        <v>-478.276</v>
      </c>
      <c r="AZ366" s="31"/>
      <c r="BA366" s="31"/>
      <c r="BB366" s="31"/>
      <c r="BC366" s="31"/>
      <c r="BD366" s="31"/>
      <c r="BE366" s="31" t="n">
        <f aca="false">-(BE300-N(BE297)-N(BE298))</f>
        <v>-475.072</v>
      </c>
      <c r="BF366" s="31"/>
      <c r="BG366" s="31"/>
      <c r="BH366" s="31"/>
      <c r="BI366" s="31"/>
      <c r="BJ366" s="31"/>
      <c r="BK366" s="31" t="n">
        <f aca="false">-(BK300-N(BK297)-N(BK298))</f>
        <v>-578.774</v>
      </c>
      <c r="BL366" s="31"/>
      <c r="BM366" s="31"/>
      <c r="BN366" s="31"/>
      <c r="BO366" s="31"/>
      <c r="BP366" s="31"/>
      <c r="BQ366" s="31" t="n">
        <f aca="false">-(BQ300-N(BQ297)-N(BQ298))</f>
        <v>-761.7</v>
      </c>
      <c r="BR366" s="31"/>
      <c r="BS366" s="31"/>
      <c r="BT366" s="31"/>
      <c r="BU366" s="31"/>
      <c r="BV366" s="31"/>
      <c r="BW366" s="31" t="n">
        <f aca="false">-(BW300-N(BW297)-N(BW298))</f>
        <v>-1314.8</v>
      </c>
      <c r="BX366" s="31"/>
      <c r="BY366" s="31"/>
      <c r="BZ366" s="31"/>
      <c r="CA366" s="31"/>
      <c r="CB366" s="31"/>
      <c r="CC366" s="31" t="n">
        <f aca="false">-(CC300-N(CC297)-N(CC298))</f>
        <v>-1299.5</v>
      </c>
      <c r="CD366" s="31"/>
      <c r="CE366" s="31"/>
      <c r="CF366" s="31"/>
      <c r="CG366" s="31"/>
      <c r="CH366" s="31"/>
      <c r="CI366" s="31" t="n">
        <f aca="false">-(CI300-N(CI297)-N(CI298))</f>
        <v>-1429.3</v>
      </c>
      <c r="CJ366" s="31"/>
      <c r="CK366" s="31"/>
      <c r="CL366" s="31"/>
      <c r="CM366" s="32"/>
      <c r="CN366" s="32"/>
      <c r="CO366" s="32" t="n">
        <f aca="false">-(CO300-N(CO297)-N(CO298))</f>
        <v>-1523.64938276851</v>
      </c>
      <c r="CP366" s="32" t="n">
        <f aca="false">-(CP300-N(CP297)-N(CP298))</f>
        <v>-1596.37778816958</v>
      </c>
      <c r="CQ366" s="32" t="n">
        <f aca="false">-(CQ300-N(CQ297)-N(CQ298))</f>
        <v>-1666.16224085565</v>
      </c>
      <c r="CR366" s="32" t="n">
        <f aca="false">-(CR300-N(CR297)-N(CR298))</f>
        <v>-1731.84952373504</v>
      </c>
      <c r="CS366" s="32" t="n">
        <f aca="false">-(CS300-N(CS297)-N(CS298))</f>
        <v>-1800.3661330598</v>
      </c>
      <c r="CT366" s="23"/>
      <c r="CV366" s="7"/>
      <c r="CW366" s="7"/>
      <c r="CX366" s="7"/>
      <c r="CY366" s="7"/>
    </row>
    <row r="367" customFormat="false" ht="15" hidden="false" customHeight="true" outlineLevel="0" collapsed="false">
      <c r="B367" s="13" t="s">
        <v>555</v>
      </c>
      <c r="C367" s="31" t="n">
        <f aca="false">SUM(C364:C366)</f>
        <v>381.229</v>
      </c>
      <c r="D367" s="31" t="n">
        <f aca="false">SUM(D364:D366)</f>
        <v>451.538</v>
      </c>
      <c r="E367" s="31" t="n">
        <f aca="false">SUM(E364:E366)</f>
        <v>502.424</v>
      </c>
      <c r="F367" s="31" t="n">
        <f aca="false">SUM(F364:F366)</f>
        <v>649.1</v>
      </c>
      <c r="G367" s="31" t="n">
        <f aca="false">SUM(G364:G366)</f>
        <v>690.256</v>
      </c>
      <c r="H367" s="31" t="n">
        <f aca="false">SUM(H364:H366)</f>
        <v>743.335</v>
      </c>
      <c r="I367" s="31" t="n">
        <f aca="false">SUM(I364:I366)</f>
        <v>812.613</v>
      </c>
      <c r="J367" s="31"/>
      <c r="K367" s="31"/>
      <c r="L367" s="31"/>
      <c r="M367" s="31"/>
      <c r="N367" s="31"/>
      <c r="O367" s="31" t="n">
        <f aca="false">SUM(O364:O366)</f>
        <v>787.351</v>
      </c>
      <c r="P367" s="31"/>
      <c r="Q367" s="31"/>
      <c r="R367" s="31"/>
      <c r="S367" s="31"/>
      <c r="T367" s="31"/>
      <c r="U367" s="31" t="n">
        <f aca="false">SUM(U364:U366)</f>
        <v>747.4</v>
      </c>
      <c r="V367" s="31"/>
      <c r="W367" s="31"/>
      <c r="X367" s="31"/>
      <c r="Y367" s="31"/>
      <c r="Z367" s="31"/>
      <c r="AA367" s="31" t="n">
        <f aca="false">SUM(AA364:AA366)</f>
        <v>747.64</v>
      </c>
      <c r="AB367" s="31"/>
      <c r="AC367" s="31"/>
      <c r="AD367" s="31"/>
      <c r="AE367" s="31"/>
      <c r="AF367" s="31"/>
      <c r="AG367" s="31" t="n">
        <f aca="false">SUM(AG364:AG366)</f>
        <v>1200.77</v>
      </c>
      <c r="AH367" s="31"/>
      <c r="AI367" s="31"/>
      <c r="AJ367" s="31"/>
      <c r="AK367" s="31"/>
      <c r="AL367" s="31"/>
      <c r="AM367" s="31" t="n">
        <f aca="false">SUM(AM364:AM366)</f>
        <v>720.766</v>
      </c>
      <c r="AN367" s="31"/>
      <c r="AO367" s="31"/>
      <c r="AP367" s="31"/>
      <c r="AQ367" s="31"/>
      <c r="AR367" s="31"/>
      <c r="AS367" s="31" t="n">
        <f aca="false">SUM(AS364:AS366)</f>
        <v>728.11</v>
      </c>
      <c r="AT367" s="31"/>
      <c r="AU367" s="31"/>
      <c r="AV367" s="31"/>
      <c r="AW367" s="31"/>
      <c r="AX367" s="31"/>
      <c r="AY367" s="31" t="n">
        <f aca="false">SUM(AY364:AY366)</f>
        <v>845.464</v>
      </c>
      <c r="AZ367" s="31"/>
      <c r="BA367" s="31"/>
      <c r="BB367" s="31"/>
      <c r="BC367" s="31"/>
      <c r="BD367" s="31"/>
      <c r="BE367" s="31" t="n">
        <f aca="false">SUM(BE364:BE366)</f>
        <v>734.899</v>
      </c>
      <c r="BF367" s="31"/>
      <c r="BG367" s="31"/>
      <c r="BH367" s="31"/>
      <c r="BI367" s="31"/>
      <c r="BJ367" s="31"/>
      <c r="BK367" s="31" t="n">
        <f aca="false">SUM(BK364:BK366)</f>
        <v>1715.909</v>
      </c>
      <c r="BL367" s="31"/>
      <c r="BM367" s="31"/>
      <c r="BN367" s="31"/>
      <c r="BO367" s="31"/>
      <c r="BP367" s="31"/>
      <c r="BQ367" s="31" t="n">
        <f aca="false">SUM(BQ364:BQ366)</f>
        <v>830.5</v>
      </c>
      <c r="BR367" s="31"/>
      <c r="BS367" s="31"/>
      <c r="BT367" s="31"/>
      <c r="BU367" s="31"/>
      <c r="BV367" s="31"/>
      <c r="BW367" s="31" t="n">
        <f aca="false">SUM(BW364:BW366)</f>
        <v>3271.5</v>
      </c>
      <c r="BX367" s="31"/>
      <c r="BY367" s="31"/>
      <c r="BZ367" s="31"/>
      <c r="CA367" s="31"/>
      <c r="CB367" s="31"/>
      <c r="CC367" s="31" t="n">
        <f aca="false">SUM(CC364:CC366)</f>
        <v>3327</v>
      </c>
      <c r="CD367" s="31"/>
      <c r="CE367" s="31"/>
      <c r="CF367" s="31"/>
      <c r="CG367" s="31"/>
      <c r="CH367" s="31"/>
      <c r="CI367" s="31" t="n">
        <f aca="false">SUM(CI364:CI366)</f>
        <v>3581.2</v>
      </c>
      <c r="CJ367" s="31"/>
      <c r="CK367" s="31"/>
      <c r="CL367" s="31"/>
      <c r="CM367" s="32"/>
      <c r="CN367" s="32"/>
      <c r="CO367" s="32" t="n">
        <f aca="false">SUM(CO364:CO366)</f>
        <v>3817.55280408168</v>
      </c>
      <c r="CP367" s="32" t="n">
        <f aca="false">SUM(CP364:CP366)</f>
        <v>3987.08356741113</v>
      </c>
      <c r="CQ367" s="32" t="n">
        <f aca="false">SUM(CQ364:CQ366)</f>
        <v>4223.18601392757</v>
      </c>
      <c r="CR367" s="32" t="n">
        <f aca="false">SUM(CR364:CR366)</f>
        <v>4483.7566378292</v>
      </c>
      <c r="CS367" s="32" t="n">
        <f aca="false">SUM(CS364:CS366)</f>
        <v>4774.70833867968</v>
      </c>
      <c r="CT367" s="23"/>
      <c r="CV367" s="7"/>
      <c r="CW367" s="7"/>
      <c r="CX367" s="7"/>
      <c r="CY367" s="7"/>
    </row>
    <row r="368" customFormat="false" ht="15" hidden="false" customHeight="true" outlineLevel="0" collapsed="false">
      <c r="B368" s="41" t="s">
        <v>556</v>
      </c>
      <c r="C368" s="65" t="n">
        <f aca="false">IFERROR(C363/C367,"n/a")</f>
        <v>0.141135073108977</v>
      </c>
      <c r="D368" s="65" t="n">
        <f aca="false">IFERROR(D363/D367,"n/a")</f>
        <v>0.158971512765572</v>
      </c>
      <c r="E368" s="65" t="n">
        <f aca="false">IFERROR(E363/E367,"n/a")</f>
        <v>0.195829982146442</v>
      </c>
      <c r="F368" s="65" t="n">
        <f aca="false">IFERROR(F363/F367,"n/a")</f>
        <v>0.141939982642444</v>
      </c>
      <c r="G368" s="65" t="n">
        <f aca="false">IFERROR(G363/G367,"n/a")</f>
        <v>0.0984954126722408</v>
      </c>
      <c r="H368" s="65" t="n">
        <f aca="false">IFERROR(H363/H367,"n/a")</f>
        <v>0.106162005129893</v>
      </c>
      <c r="I368" s="65" t="n">
        <f aca="false">IFERROR(I363/I367,"n/a")</f>
        <v>0.101769241245673</v>
      </c>
      <c r="J368" s="66"/>
      <c r="K368" s="66"/>
      <c r="L368" s="66"/>
      <c r="M368" s="66"/>
      <c r="N368" s="66"/>
      <c r="O368" s="65" t="n">
        <f aca="false">IFERROR(O363/O367,"n/a")</f>
        <v>0.117251233751653</v>
      </c>
      <c r="P368" s="66"/>
      <c r="Q368" s="66"/>
      <c r="R368" s="66"/>
      <c r="S368" s="66"/>
      <c r="T368" s="66"/>
      <c r="U368" s="65" t="n">
        <f aca="false">IFERROR(U363/U367,"n/a")</f>
        <v>0.132701496974982</v>
      </c>
      <c r="V368" s="66"/>
      <c r="W368" s="66"/>
      <c r="X368" s="66"/>
      <c r="Y368" s="66"/>
      <c r="Z368" s="66"/>
      <c r="AA368" s="65" t="n">
        <f aca="false">IFERROR(AA363/AA367,"n/a")</f>
        <v>0.178960626168592</v>
      </c>
      <c r="AB368" s="66"/>
      <c r="AC368" s="66"/>
      <c r="AD368" s="66"/>
      <c r="AE368" s="66"/>
      <c r="AF368" s="66"/>
      <c r="AG368" s="65" t="n">
        <f aca="false">IFERROR(AG363/AG367,"n/a")</f>
        <v>0.100990726351657</v>
      </c>
      <c r="AH368" s="66"/>
      <c r="AI368" s="66"/>
      <c r="AJ368" s="66"/>
      <c r="AK368" s="66"/>
      <c r="AL368" s="66"/>
      <c r="AM368" s="65" t="n">
        <f aca="false">IFERROR(AM363/AM367,"n/a")</f>
        <v>0.187418008421602</v>
      </c>
      <c r="AN368" s="66"/>
      <c r="AO368" s="66"/>
      <c r="AP368" s="66"/>
      <c r="AQ368" s="66"/>
      <c r="AR368" s="66"/>
      <c r="AS368" s="65" t="n">
        <f aca="false">IFERROR(AS363/AS367,"n/a")</f>
        <v>0.208682542120402</v>
      </c>
      <c r="AT368" s="66"/>
      <c r="AU368" s="66"/>
      <c r="AV368" s="66"/>
      <c r="AW368" s="66"/>
      <c r="AX368" s="66"/>
      <c r="AY368" s="65" t="n">
        <f aca="false">IFERROR(AY363/AY367,"n/a")</f>
        <v>0.245002456096107</v>
      </c>
      <c r="AZ368" s="66"/>
      <c r="BA368" s="66"/>
      <c r="BB368" s="66"/>
      <c r="BC368" s="66"/>
      <c r="BD368" s="66"/>
      <c r="BE368" s="65" t="n">
        <f aca="false">IFERROR(BE363/BE367,"n/a")</f>
        <v>0.314933687962928</v>
      </c>
      <c r="BF368" s="66"/>
      <c r="BG368" s="66"/>
      <c r="BH368" s="66"/>
      <c r="BI368" s="66"/>
      <c r="BJ368" s="66"/>
      <c r="BK368" s="65" t="n">
        <f aca="false">IFERROR(BK363/BK367,"n/a")</f>
        <v>0.140312958547886</v>
      </c>
      <c r="BL368" s="66"/>
      <c r="BM368" s="66"/>
      <c r="BN368" s="66"/>
      <c r="BO368" s="66"/>
      <c r="BP368" s="66"/>
      <c r="BQ368" s="65" t="n">
        <f aca="false">IFERROR(BQ363/BQ367,"n/a")</f>
        <v>0.380712206735963</v>
      </c>
      <c r="BR368" s="66"/>
      <c r="BS368" s="66"/>
      <c r="BT368" s="66"/>
      <c r="BU368" s="66"/>
      <c r="BV368" s="66"/>
      <c r="BW368" s="65" t="n">
        <f aca="false">IFERROR(BW363/BW367,"n/a")</f>
        <v>0.202193464979333</v>
      </c>
      <c r="BX368" s="66"/>
      <c r="BY368" s="66"/>
      <c r="BZ368" s="66"/>
      <c r="CA368" s="66"/>
      <c r="CB368" s="66"/>
      <c r="CC368" s="65" t="n">
        <f aca="false">IFERROR(CC363/CC367,"n/a")</f>
        <v>0.255594679154163</v>
      </c>
      <c r="CD368" s="66"/>
      <c r="CE368" s="66"/>
      <c r="CF368" s="66"/>
      <c r="CG368" s="66"/>
      <c r="CH368" s="66"/>
      <c r="CI368" s="65" t="n">
        <f aca="false">IFERROR(CI363/CI367,"n/a")</f>
        <v>0.267226213367009</v>
      </c>
      <c r="CJ368" s="66"/>
      <c r="CK368" s="66"/>
      <c r="CL368" s="66"/>
      <c r="CM368" s="65"/>
      <c r="CN368" s="65"/>
      <c r="CO368" s="65" t="n">
        <f aca="false">IFERROR(CO363/CO367,"n/a")</f>
        <v>0.259522816320276</v>
      </c>
      <c r="CP368" s="65" t="n">
        <f aca="false">IFERROR(CP363/CP367,"n/a")</f>
        <v>0.262792981212694</v>
      </c>
      <c r="CQ368" s="65" t="n">
        <f aca="false">IFERROR(CQ363/CQ367,"n/a")</f>
        <v>0.264908695240606</v>
      </c>
      <c r="CR368" s="65" t="n">
        <f aca="false">IFERROR(CR363/CR367,"n/a")</f>
        <v>0.265090186171324</v>
      </c>
      <c r="CS368" s="65" t="n">
        <f aca="false">IFERROR(CS363/CS367,"n/a")</f>
        <v>0.264389568710744</v>
      </c>
      <c r="CT368" s="23"/>
      <c r="CV368" s="48" t="n">
        <f aca="false">IFERROR(AVERAGE(CO368,CP368,CQ368,CR368,CS368),"n/m")</f>
        <v>0.263340849531129</v>
      </c>
      <c r="CW368" s="48" t="n">
        <f aca="false">IFERROR(AVERAGE(BK368,BQ368,BW368,CC368,CI368),"n/m")</f>
        <v>0.249207904556871</v>
      </c>
      <c r="CX368" s="48" t="n">
        <f aca="false">IFERROR(AVERAGE(AG368,AM368,AS368,AY368,BE368,BK368,BQ368,BW368,CC368,CI368),"n/m")</f>
        <v>0.230306694373705</v>
      </c>
      <c r="CY368" s="48" t="n">
        <f aca="false">IFERROR(AVERAGE(C368,D368,E368,F368,G368,H368,I368,O368,U368,AA368,AG368,AM368,AS368,AY368,BE368,BK368,BQ368,BW368,CC368,CI368),"n/m")</f>
        <v>0.183814175517176</v>
      </c>
    </row>
    <row r="369" customFormat="false" ht="15" hidden="false" customHeight="true" outlineLevel="0" collapsed="false">
      <c r="B369" s="13"/>
      <c r="CM369" s="7"/>
      <c r="CN369" s="7"/>
      <c r="CO369" s="7"/>
      <c r="CP369" s="7"/>
      <c r="CQ369" s="7"/>
      <c r="CR369" s="7"/>
      <c r="CS369" s="7"/>
      <c r="CT369" s="7"/>
    </row>
    <row r="370" customFormat="false" ht="15" hidden="false" customHeight="true" outlineLevel="0" collapsed="false">
      <c r="B370" s="17" t="s">
        <v>557</v>
      </c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</row>
    <row r="371" customFormat="false" ht="15" hidden="false" customHeight="true" outlineLevel="0" collapsed="false">
      <c r="B371" s="13" t="s">
        <v>558</v>
      </c>
      <c r="C371" s="31" t="n">
        <f aca="false">C121</f>
        <v>57.218</v>
      </c>
      <c r="D371" s="31" t="n">
        <f aca="false">D121</f>
        <v>75.983</v>
      </c>
      <c r="E371" s="31" t="n">
        <f aca="false">E121</f>
        <v>101.4</v>
      </c>
      <c r="F371" s="31" t="n">
        <f aca="false">F121</f>
        <v>93.452</v>
      </c>
      <c r="G371" s="31" t="n">
        <f aca="false">G121</f>
        <v>65.675</v>
      </c>
      <c r="H371" s="31" t="n">
        <f aca="false">H121</f>
        <v>76.633</v>
      </c>
      <c r="I371" s="31" t="n">
        <f aca="false">I121</f>
        <v>79.551</v>
      </c>
      <c r="J371" s="31"/>
      <c r="K371" s="31"/>
      <c r="L371" s="31"/>
      <c r="M371" s="31"/>
      <c r="N371" s="31"/>
      <c r="O371" s="31" t="n">
        <f aca="false">O121</f>
        <v>93.644</v>
      </c>
      <c r="P371" s="31"/>
      <c r="Q371" s="31"/>
      <c r="R371" s="31"/>
      <c r="S371" s="31"/>
      <c r="T371" s="31"/>
      <c r="U371" s="31" t="n">
        <f aca="false">U121</f>
        <v>90.981</v>
      </c>
      <c r="V371" s="31"/>
      <c r="W371" s="31"/>
      <c r="X371" s="31"/>
      <c r="Y371" s="31"/>
      <c r="Z371" s="31"/>
      <c r="AA371" s="31" t="n">
        <f aca="false">AA121</f>
        <v>136.214</v>
      </c>
      <c r="AB371" s="31"/>
      <c r="AC371" s="31"/>
      <c r="AD371" s="31"/>
      <c r="AE371" s="31"/>
      <c r="AF371" s="31"/>
      <c r="AG371" s="31" t="n">
        <f aca="false">AG121</f>
        <v>91.832</v>
      </c>
      <c r="AH371" s="31"/>
      <c r="AI371" s="31"/>
      <c r="AJ371" s="31"/>
      <c r="AK371" s="31"/>
      <c r="AL371" s="31"/>
      <c r="AM371" s="31" t="n">
        <f aca="false">AM121</f>
        <v>75.0270000000001</v>
      </c>
      <c r="AN371" s="31"/>
      <c r="AO371" s="31"/>
      <c r="AP371" s="31"/>
      <c r="AQ371" s="31"/>
      <c r="AR371" s="31"/>
      <c r="AS371" s="31" t="n">
        <f aca="false">AS121</f>
        <v>121.479</v>
      </c>
      <c r="AT371" s="31"/>
      <c r="AU371" s="31"/>
      <c r="AV371" s="31"/>
      <c r="AW371" s="31"/>
      <c r="AX371" s="31"/>
      <c r="AY371" s="31" t="n">
        <f aca="false">AY121</f>
        <v>149.039</v>
      </c>
      <c r="AZ371" s="31"/>
      <c r="BA371" s="31"/>
      <c r="BB371" s="31"/>
      <c r="BC371" s="31"/>
      <c r="BD371" s="31"/>
      <c r="BE371" s="31" t="n">
        <f aca="false">BE121</f>
        <v>170.095</v>
      </c>
      <c r="BF371" s="31"/>
      <c r="BG371" s="31"/>
      <c r="BH371" s="31"/>
      <c r="BI371" s="31"/>
      <c r="BJ371" s="31"/>
      <c r="BK371" s="31" t="n">
        <f aca="false">BK121</f>
        <v>151.868</v>
      </c>
      <c r="BL371" s="31"/>
      <c r="BM371" s="31"/>
      <c r="BN371" s="31"/>
      <c r="BO371" s="31"/>
      <c r="BP371" s="31"/>
      <c r="BQ371" s="31" t="n">
        <f aca="false">BQ121</f>
        <v>319.657</v>
      </c>
      <c r="BR371" s="31"/>
      <c r="BS371" s="31"/>
      <c r="BT371" s="31"/>
      <c r="BU371" s="31"/>
      <c r="BV371" s="31"/>
      <c r="BW371" s="31" t="n">
        <f aca="false">BW121</f>
        <v>174.9</v>
      </c>
      <c r="BX371" s="31"/>
      <c r="BY371" s="31"/>
      <c r="BZ371" s="31"/>
      <c r="CA371" s="31"/>
      <c r="CB371" s="31"/>
      <c r="CC371" s="31" t="n">
        <f aca="false">CC121</f>
        <v>372.7</v>
      </c>
      <c r="CD371" s="31"/>
      <c r="CE371" s="31"/>
      <c r="CF371" s="31"/>
      <c r="CG371" s="31"/>
      <c r="CH371" s="31"/>
      <c r="CI371" s="31" t="n">
        <f aca="false">CI121</f>
        <v>382.2</v>
      </c>
      <c r="CJ371" s="31"/>
      <c r="CK371" s="31"/>
      <c r="CL371" s="31"/>
      <c r="CM371" s="32"/>
      <c r="CN371" s="32"/>
      <c r="CO371" s="32" t="n">
        <f aca="false">CO121</f>
        <v>522.986055166646</v>
      </c>
      <c r="CP371" s="32" t="n">
        <f aca="false">CP121</f>
        <v>631.710664857692</v>
      </c>
      <c r="CQ371" s="32" t="n">
        <f aca="false">CQ121</f>
        <v>743.372945254485</v>
      </c>
      <c r="CR371" s="32" t="n">
        <f aca="false">CR121</f>
        <v>831.694491093761</v>
      </c>
      <c r="CS371" s="32" t="n">
        <f aca="false">CS121</f>
        <v>911.371033602155</v>
      </c>
      <c r="CT371" s="23"/>
      <c r="CV371" s="7"/>
      <c r="CW371" s="7"/>
      <c r="CX371" s="7"/>
      <c r="CY371" s="7"/>
    </row>
    <row r="372" customFormat="false" ht="15" hidden="false" customHeight="true" outlineLevel="0" collapsed="false">
      <c r="B372" s="13" t="s">
        <v>495</v>
      </c>
      <c r="C372" s="31" t="n">
        <f aca="false">C312</f>
        <v>368.637</v>
      </c>
      <c r="D372" s="31" t="n">
        <f aca="false">D312</f>
        <v>435.116</v>
      </c>
      <c r="E372" s="31" t="n">
        <f aca="false">E312</f>
        <v>465.162</v>
      </c>
      <c r="F372" s="31" t="n">
        <f aca="false">F312</f>
        <v>544.411</v>
      </c>
      <c r="G372" s="31" t="n">
        <f aca="false">G312</f>
        <v>579.867</v>
      </c>
      <c r="H372" s="31" t="n">
        <f aca="false">H312</f>
        <v>617.906</v>
      </c>
      <c r="I372" s="31" t="n">
        <f aca="false">I312</f>
        <v>656.798</v>
      </c>
      <c r="J372" s="31"/>
      <c r="K372" s="31"/>
      <c r="L372" s="31"/>
      <c r="M372" s="31"/>
      <c r="N372" s="31"/>
      <c r="O372" s="31" t="n">
        <f aca="false">O312</f>
        <v>694.017</v>
      </c>
      <c r="P372" s="31"/>
      <c r="Q372" s="31"/>
      <c r="R372" s="31"/>
      <c r="S372" s="31"/>
      <c r="T372" s="31"/>
      <c r="U372" s="31" t="n">
        <f aca="false">U312</f>
        <v>691.932</v>
      </c>
      <c r="V372" s="31"/>
      <c r="W372" s="31"/>
      <c r="X372" s="31"/>
      <c r="Y372" s="31"/>
      <c r="Z372" s="31"/>
      <c r="AA372" s="31" t="n">
        <f aca="false">AA312</f>
        <v>703.176</v>
      </c>
      <c r="AB372" s="31"/>
      <c r="AC372" s="31"/>
      <c r="AD372" s="31"/>
      <c r="AE372" s="31"/>
      <c r="AF372" s="31"/>
      <c r="AG372" s="31" t="n">
        <f aca="false">AG312</f>
        <v>687.057</v>
      </c>
      <c r="AH372" s="31"/>
      <c r="AI372" s="31"/>
      <c r="AJ372" s="31"/>
      <c r="AK372" s="31"/>
      <c r="AL372" s="31"/>
      <c r="AM372" s="31" t="n">
        <f aca="false">AM312</f>
        <v>739.682</v>
      </c>
      <c r="AN372" s="31"/>
      <c r="AO372" s="31"/>
      <c r="AP372" s="31"/>
      <c r="AQ372" s="31"/>
      <c r="AR372" s="31"/>
      <c r="AS372" s="31" t="n">
        <f aca="false">AS312</f>
        <v>830.643</v>
      </c>
      <c r="AT372" s="31"/>
      <c r="AU372" s="31"/>
      <c r="AV372" s="31"/>
      <c r="AW372" s="31"/>
      <c r="AX372" s="31"/>
      <c r="AY372" s="31" t="n">
        <f aca="false">AY312</f>
        <v>901.833</v>
      </c>
      <c r="AZ372" s="31"/>
      <c r="BA372" s="31"/>
      <c r="BB372" s="31"/>
      <c r="BC372" s="31"/>
      <c r="BD372" s="31"/>
      <c r="BE372" s="31" t="n">
        <f aca="false">BE312</f>
        <v>1007.245</v>
      </c>
      <c r="BF372" s="31"/>
      <c r="BG372" s="31"/>
      <c r="BH372" s="31"/>
      <c r="BI372" s="31"/>
      <c r="BJ372" s="31"/>
      <c r="BK372" s="31" t="n">
        <f aca="false">BK312</f>
        <v>1070.675</v>
      </c>
      <c r="BL372" s="31"/>
      <c r="BM372" s="31"/>
      <c r="BN372" s="31"/>
      <c r="BO372" s="31"/>
      <c r="BP372" s="31"/>
      <c r="BQ372" s="31" t="n">
        <f aca="false">BQ312</f>
        <v>1289.609</v>
      </c>
      <c r="BR372" s="31"/>
      <c r="BS372" s="31"/>
      <c r="BT372" s="31"/>
      <c r="BU372" s="31"/>
      <c r="BV372" s="31"/>
      <c r="BW372" s="31" t="n">
        <f aca="false">BW312</f>
        <v>5016.7</v>
      </c>
      <c r="BX372" s="31"/>
      <c r="BY372" s="31"/>
      <c r="BZ372" s="31"/>
      <c r="CA372" s="31"/>
      <c r="CB372" s="31"/>
      <c r="CC372" s="31" t="n">
        <f aca="false">CC312</f>
        <v>5224</v>
      </c>
      <c r="CD372" s="31"/>
      <c r="CE372" s="31"/>
      <c r="CF372" s="31"/>
      <c r="CG372" s="31"/>
      <c r="CH372" s="31"/>
      <c r="CI372" s="31" t="n">
        <f aca="false">CI312</f>
        <v>5571.4</v>
      </c>
      <c r="CJ372" s="31"/>
      <c r="CK372" s="31"/>
      <c r="CL372" s="31"/>
      <c r="CM372" s="32"/>
      <c r="CN372" s="32"/>
      <c r="CO372" s="32" t="n">
        <f aca="false">CO312</f>
        <v>5600.89805516665</v>
      </c>
      <c r="CP372" s="32" t="n">
        <f aca="false">CP312</f>
        <v>5699.71779925432</v>
      </c>
      <c r="CQ372" s="32" t="n">
        <f aca="false">CQ312</f>
        <v>5910.13942929625</v>
      </c>
      <c r="CR372" s="32" t="n">
        <f aca="false">CR312</f>
        <v>6157.70539552013</v>
      </c>
      <c r="CS372" s="32" t="n">
        <f aca="false">CS312</f>
        <v>6433.57308478594</v>
      </c>
      <c r="CT372" s="23"/>
      <c r="CV372" s="7"/>
      <c r="CW372" s="7"/>
      <c r="CX372" s="7"/>
      <c r="CY372" s="7"/>
    </row>
    <row r="373" customFormat="false" ht="15" hidden="false" customHeight="true" outlineLevel="0" collapsed="false">
      <c r="B373" s="41" t="s">
        <v>559</v>
      </c>
      <c r="C373" s="65" t="n">
        <f aca="false">IFERROR(C371/C372,"n/a")</f>
        <v>0.155215021823637</v>
      </c>
      <c r="D373" s="65" t="n">
        <f aca="false">IFERROR(D371/D372,"n/a")</f>
        <v>0.174626996019452</v>
      </c>
      <c r="E373" s="65" t="n">
        <f aca="false">IFERROR(E371/E372,"n/a")</f>
        <v>0.2179885717234</v>
      </c>
      <c r="F373" s="65" t="n">
        <f aca="false">IFERROR(F371/F372,"n/a")</f>
        <v>0.171657075261154</v>
      </c>
      <c r="G373" s="65" t="n">
        <f aca="false">IFERROR(G371/G372,"n/a")</f>
        <v>0.113258730019125</v>
      </c>
      <c r="H373" s="65" t="n">
        <f aca="false">IFERROR(H371/H372,"n/a")</f>
        <v>0.124020482079799</v>
      </c>
      <c r="I373" s="65" t="n">
        <f aca="false">IFERROR(I371/I372,"n/a")</f>
        <v>0.121119430936148</v>
      </c>
      <c r="J373" s="66"/>
      <c r="K373" s="66"/>
      <c r="L373" s="66"/>
      <c r="M373" s="66"/>
      <c r="N373" s="66"/>
      <c r="O373" s="65" t="n">
        <f aca="false">IFERROR(O371/O372,"n/a")</f>
        <v>0.13493041236742</v>
      </c>
      <c r="P373" s="66"/>
      <c r="Q373" s="66"/>
      <c r="R373" s="66"/>
      <c r="S373" s="66"/>
      <c r="T373" s="66"/>
      <c r="U373" s="65" t="n">
        <f aca="false">IFERROR(U371/U372,"n/a")</f>
        <v>0.131488354346959</v>
      </c>
      <c r="V373" s="66"/>
      <c r="W373" s="66"/>
      <c r="X373" s="66"/>
      <c r="Y373" s="66"/>
      <c r="Z373" s="66"/>
      <c r="AA373" s="65" t="n">
        <f aca="false">IFERROR(AA371/AA372,"n/a")</f>
        <v>0.193712527162474</v>
      </c>
      <c r="AB373" s="66"/>
      <c r="AC373" s="66"/>
      <c r="AD373" s="66"/>
      <c r="AE373" s="66"/>
      <c r="AF373" s="66"/>
      <c r="AG373" s="65" t="n">
        <f aca="false">IFERROR(AG371/AG372,"n/a")</f>
        <v>0.133659943789234</v>
      </c>
      <c r="AH373" s="66"/>
      <c r="AI373" s="66"/>
      <c r="AJ373" s="66"/>
      <c r="AK373" s="66"/>
      <c r="AL373" s="66"/>
      <c r="AM373" s="65" t="n">
        <f aca="false">IFERROR(AM371/AM372,"n/a")</f>
        <v>0.101431425937092</v>
      </c>
      <c r="AN373" s="66"/>
      <c r="AO373" s="66"/>
      <c r="AP373" s="66"/>
      <c r="AQ373" s="66"/>
      <c r="AR373" s="66"/>
      <c r="AS373" s="65" t="n">
        <f aca="false">IFERROR(AS371/AS372,"n/a")</f>
        <v>0.146246943632824</v>
      </c>
      <c r="AT373" s="66"/>
      <c r="AU373" s="66"/>
      <c r="AV373" s="66"/>
      <c r="AW373" s="66"/>
      <c r="AX373" s="66"/>
      <c r="AY373" s="65" t="n">
        <f aca="false">IFERROR(AY371/AY372,"n/a")</f>
        <v>0.165262304661728</v>
      </c>
      <c r="AZ373" s="66"/>
      <c r="BA373" s="66"/>
      <c r="BB373" s="66"/>
      <c r="BC373" s="66"/>
      <c r="BD373" s="66"/>
      <c r="BE373" s="65" t="n">
        <f aca="false">IFERROR(BE371/BE372,"n/a")</f>
        <v>0.168871525795611</v>
      </c>
      <c r="BF373" s="66"/>
      <c r="BG373" s="66"/>
      <c r="BH373" s="66"/>
      <c r="BI373" s="66"/>
      <c r="BJ373" s="66"/>
      <c r="BK373" s="65" t="n">
        <f aca="false">IFERROR(BK371/BK372,"n/a")</f>
        <v>0.141843229738249</v>
      </c>
      <c r="BL373" s="66"/>
      <c r="BM373" s="66"/>
      <c r="BN373" s="66"/>
      <c r="BO373" s="66"/>
      <c r="BP373" s="66"/>
      <c r="BQ373" s="65" t="n">
        <f aca="false">IFERROR(BQ371/BQ372,"n/a")</f>
        <v>0.247871254000243</v>
      </c>
      <c r="BR373" s="66"/>
      <c r="BS373" s="66"/>
      <c r="BT373" s="66"/>
      <c r="BU373" s="66"/>
      <c r="BV373" s="66"/>
      <c r="BW373" s="65" t="n">
        <f aca="false">IFERROR(BW371/BW372,"n/a")</f>
        <v>0.0348635557238822</v>
      </c>
      <c r="BX373" s="66"/>
      <c r="BY373" s="66"/>
      <c r="BZ373" s="66"/>
      <c r="CA373" s="66"/>
      <c r="CB373" s="66"/>
      <c r="CC373" s="65" t="n">
        <f aca="false">IFERROR(CC371/CC372,"n/a")</f>
        <v>0.0713437978560489</v>
      </c>
      <c r="CD373" s="66"/>
      <c r="CE373" s="66"/>
      <c r="CF373" s="66"/>
      <c r="CG373" s="66"/>
      <c r="CH373" s="66"/>
      <c r="CI373" s="65" t="n">
        <f aca="false">IFERROR(CI371/CI372,"n/a")</f>
        <v>0.0686003517966759</v>
      </c>
      <c r="CJ373" s="66"/>
      <c r="CK373" s="66"/>
      <c r="CL373" s="66"/>
      <c r="CM373" s="65"/>
      <c r="CN373" s="65"/>
      <c r="CO373" s="65" t="n">
        <f aca="false">IFERROR(CO371/CO372,"n/a")</f>
        <v>0.0933753926630048</v>
      </c>
      <c r="CP373" s="65" t="n">
        <f aca="false">IFERROR(CP371/CP372,"n/a")</f>
        <v>0.110831919597903</v>
      </c>
      <c r="CQ373" s="65" t="n">
        <f aca="false">IFERROR(CQ371/CQ372,"n/a")</f>
        <v>0.125779256842846</v>
      </c>
      <c r="CR373" s="65" t="n">
        <f aca="false">IFERROR(CR371/CR372,"n/a")</f>
        <v>0.13506565151669</v>
      </c>
      <c r="CS373" s="65" t="n">
        <f aca="false">IFERROR(CS371/CS372,"n/a")</f>
        <v>0.141658612032769</v>
      </c>
      <c r="CT373" s="23"/>
      <c r="CV373" s="48" t="n">
        <f aca="false">IFERROR(AVERAGE(CO373,CP373,CQ373,CR373,CS373),"n/m")</f>
        <v>0.121342166530642</v>
      </c>
      <c r="CW373" s="48" t="n">
        <f aca="false">IFERROR(AVERAGE(BK373,BQ373,BW373,CC373,CI373),"n/m")</f>
        <v>0.11290443782302</v>
      </c>
      <c r="CX373" s="48" t="n">
        <f aca="false">IFERROR(AVERAGE(AG373,AM373,AS373,AY373,BE373,BK373,BQ373,BW373,CC373,CI373),"n/m")</f>
        <v>0.127999433293159</v>
      </c>
      <c r="CY373" s="48" t="n">
        <f aca="false">IFERROR(AVERAGE(C373,D373,E373,F373,G373,H373,I373,O373,U373,AA373,AG373,AM373,AS373,AY373,BE373,BK373,BQ373,BW373,CC373,CI373),"n/m")</f>
        <v>0.140900596733558</v>
      </c>
    </row>
    <row r="374" customFormat="false" ht="15" hidden="false" customHeight="true" outlineLevel="0" collapsed="false">
      <c r="B374" s="13"/>
      <c r="CM374" s="7"/>
      <c r="CN374" s="7"/>
      <c r="CO374" s="7"/>
      <c r="CP374" s="7"/>
      <c r="CQ374" s="7"/>
      <c r="CR374" s="7"/>
      <c r="CS374" s="7"/>
      <c r="CT374" s="7"/>
    </row>
    <row r="375" customFormat="false" ht="15" hidden="false" customHeight="true" outlineLevel="0" collapsed="false">
      <c r="B375" s="17" t="s">
        <v>560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</row>
    <row r="376" customFormat="false" ht="15" hidden="false" customHeight="true" outlineLevel="0" collapsed="false">
      <c r="B376" s="13" t="s">
        <v>561</v>
      </c>
      <c r="C376" s="31" t="n">
        <f aca="false">C355</f>
        <v>-128.703</v>
      </c>
      <c r="D376" s="31" t="n">
        <f aca="false">D355</f>
        <v>-105.23</v>
      </c>
      <c r="E376" s="31" t="n">
        <f aca="false">E355</f>
        <v>-39.864</v>
      </c>
      <c r="F376" s="31" t="n">
        <f aca="false">F355</f>
        <v>12.867</v>
      </c>
      <c r="G376" s="31" t="n">
        <f aca="false">G355</f>
        <v>68.788</v>
      </c>
      <c r="H376" s="31" t="n">
        <f aca="false">H355</f>
        <v>37.153</v>
      </c>
      <c r="I376" s="31" t="n">
        <f aca="false">I355</f>
        <v>62.175</v>
      </c>
      <c r="J376" s="31"/>
      <c r="K376" s="31"/>
      <c r="L376" s="31"/>
      <c r="M376" s="31"/>
      <c r="N376" s="31"/>
      <c r="O376" s="31" t="n">
        <f aca="false">O355</f>
        <v>-52.736</v>
      </c>
      <c r="P376" s="31"/>
      <c r="Q376" s="31"/>
      <c r="R376" s="31"/>
      <c r="S376" s="31"/>
      <c r="T376" s="31"/>
      <c r="U376" s="31" t="n">
        <f aca="false">U355</f>
        <v>-21.13</v>
      </c>
      <c r="V376" s="31"/>
      <c r="W376" s="31"/>
      <c r="X376" s="31"/>
      <c r="Y376" s="31"/>
      <c r="Z376" s="31"/>
      <c r="AA376" s="31" t="n">
        <f aca="false">AA355</f>
        <v>-99.883</v>
      </c>
      <c r="AB376" s="31"/>
      <c r="AC376" s="31"/>
      <c r="AD376" s="31"/>
      <c r="AE376" s="31"/>
      <c r="AF376" s="31"/>
      <c r="AG376" s="31" t="n">
        <f aca="false">AG355</f>
        <v>411.751</v>
      </c>
      <c r="AH376" s="31"/>
      <c r="AI376" s="31"/>
      <c r="AJ376" s="31"/>
      <c r="AK376" s="31"/>
      <c r="AL376" s="31"/>
      <c r="AM376" s="31" t="n">
        <f aca="false">AM355</f>
        <v>552</v>
      </c>
      <c r="AN376" s="31"/>
      <c r="AO376" s="31"/>
      <c r="AP376" s="31"/>
      <c r="AQ376" s="31"/>
      <c r="AR376" s="31"/>
      <c r="AS376" s="31" t="n">
        <f aca="false">AS355</f>
        <v>493.45</v>
      </c>
      <c r="AT376" s="31"/>
      <c r="AU376" s="31"/>
      <c r="AV376" s="31"/>
      <c r="AW376" s="31"/>
      <c r="AX376" s="31"/>
      <c r="AY376" s="31" t="n">
        <f aca="false">AY355</f>
        <v>290.515</v>
      </c>
      <c r="AZ376" s="31"/>
      <c r="BA376" s="31"/>
      <c r="BB376" s="31"/>
      <c r="BC376" s="31"/>
      <c r="BD376" s="31"/>
      <c r="BE376" s="31" t="n">
        <f aca="false">BE355</f>
        <v>387.027</v>
      </c>
      <c r="BF376" s="31"/>
      <c r="BG376" s="31"/>
      <c r="BH376" s="31"/>
      <c r="BI376" s="31"/>
      <c r="BJ376" s="31"/>
      <c r="BK376" s="31" t="n">
        <f aca="false">BK355</f>
        <v>1417.472</v>
      </c>
      <c r="BL376" s="31"/>
      <c r="BM376" s="31"/>
      <c r="BN376" s="31"/>
      <c r="BO376" s="31"/>
      <c r="BP376" s="31"/>
      <c r="BQ376" s="31" t="n">
        <f aca="false">BQ355</f>
        <v>116.3</v>
      </c>
      <c r="BR376" s="31"/>
      <c r="BS376" s="31"/>
      <c r="BT376" s="31"/>
      <c r="BU376" s="31"/>
      <c r="BV376" s="31"/>
      <c r="BW376" s="31" t="n">
        <f aca="false">BW355</f>
        <v>2513.3</v>
      </c>
      <c r="BX376" s="31"/>
      <c r="BY376" s="31"/>
      <c r="BZ376" s="31"/>
      <c r="CA376" s="31"/>
      <c r="CB376" s="31"/>
      <c r="CC376" s="31" t="n">
        <f aca="false">CC355</f>
        <v>2120</v>
      </c>
      <c r="CD376" s="31"/>
      <c r="CE376" s="31"/>
      <c r="CF376" s="31"/>
      <c r="CG376" s="31"/>
      <c r="CH376" s="31"/>
      <c r="CI376" s="31" t="n">
        <f aca="false">CI355</f>
        <v>1940</v>
      </c>
      <c r="CJ376" s="31"/>
      <c r="CK376" s="31"/>
      <c r="CL376" s="31"/>
      <c r="CM376" s="32"/>
      <c r="CN376" s="32"/>
      <c r="CO376" s="32" t="n">
        <f aca="false">CO355</f>
        <v>2167.11191549363</v>
      </c>
      <c r="CP376" s="32" t="n">
        <f aca="false">CP355</f>
        <v>2018.84412700665</v>
      </c>
      <c r="CQ376" s="32" t="n">
        <f aca="false">CQ355</f>
        <v>1795.59503189939</v>
      </c>
      <c r="CR376" s="32" t="n">
        <f aca="false">CR355</f>
        <v>1545.32299086722</v>
      </c>
      <c r="CS376" s="32" t="n">
        <f aca="false">CS355</f>
        <v>1259.05134283438</v>
      </c>
      <c r="CT376" s="23"/>
      <c r="CV376" s="7"/>
      <c r="CW376" s="7"/>
      <c r="CX376" s="7"/>
      <c r="CY376" s="7"/>
    </row>
    <row r="377" customFormat="false" ht="15" hidden="false" customHeight="true" outlineLevel="0" collapsed="false">
      <c r="B377" s="13" t="s">
        <v>562</v>
      </c>
      <c r="C377" s="31" t="n">
        <f aca="false">C80</f>
        <v>101.591</v>
      </c>
      <c r="D377" s="31" t="n">
        <f aca="false">D80</f>
        <v>125.125</v>
      </c>
      <c r="E377" s="31" t="n">
        <f aca="false">E80</f>
        <v>159.913</v>
      </c>
      <c r="F377" s="31" t="n">
        <f aca="false">F80</f>
        <v>161.428</v>
      </c>
      <c r="G377" s="31" t="n">
        <f aca="false">G80</f>
        <v>131.352</v>
      </c>
      <c r="H377" s="31" t="n">
        <f aca="false">H80</f>
        <v>153.638</v>
      </c>
      <c r="I377" s="31" t="n">
        <f aca="false">I80</f>
        <v>157.593</v>
      </c>
      <c r="J377" s="31"/>
      <c r="K377" s="31"/>
      <c r="L377" s="31"/>
      <c r="M377" s="31"/>
      <c r="N377" s="31"/>
      <c r="O377" s="31" t="n">
        <f aca="false">O80</f>
        <v>175</v>
      </c>
      <c r="P377" s="31"/>
      <c r="Q377" s="31"/>
      <c r="R377" s="31"/>
      <c r="S377" s="31"/>
      <c r="T377" s="31"/>
      <c r="U377" s="31" t="n">
        <f aca="false">U80</f>
        <v>182.8</v>
      </c>
      <c r="V377" s="31"/>
      <c r="W377" s="31"/>
      <c r="X377" s="31"/>
      <c r="Y377" s="31"/>
      <c r="Z377" s="31"/>
      <c r="AA377" s="31" t="n">
        <f aca="false">AA80</f>
        <v>212.386</v>
      </c>
      <c r="AB377" s="31"/>
      <c r="AC377" s="31"/>
      <c r="AD377" s="31"/>
      <c r="AE377" s="31"/>
      <c r="AF377" s="31"/>
      <c r="AG377" s="31" t="n">
        <f aca="false">AG80</f>
        <v>210.086</v>
      </c>
      <c r="AH377" s="31"/>
      <c r="AI377" s="31"/>
      <c r="AJ377" s="31"/>
      <c r="AK377" s="31"/>
      <c r="AL377" s="31"/>
      <c r="AM377" s="31" t="n">
        <f aca="false">AM80</f>
        <v>191.524</v>
      </c>
      <c r="AN377" s="31"/>
      <c r="AO377" s="31"/>
      <c r="AP377" s="31"/>
      <c r="AQ377" s="31"/>
      <c r="AR377" s="31"/>
      <c r="AS377" s="31" t="n">
        <f aca="false">AS80</f>
        <v>257.331</v>
      </c>
      <c r="AT377" s="31"/>
      <c r="AU377" s="31"/>
      <c r="AV377" s="31"/>
      <c r="AW377" s="31"/>
      <c r="AX377" s="31"/>
      <c r="AY377" s="31" t="n">
        <f aca="false">AY80</f>
        <v>314.814</v>
      </c>
      <c r="AZ377" s="31"/>
      <c r="BA377" s="31"/>
      <c r="BB377" s="31"/>
      <c r="BC377" s="31"/>
      <c r="BD377" s="31"/>
      <c r="BE377" s="31" t="n">
        <f aca="false">BE80</f>
        <v>374.295</v>
      </c>
      <c r="BF377" s="31"/>
      <c r="BG377" s="31"/>
      <c r="BH377" s="31"/>
      <c r="BI377" s="31"/>
      <c r="BJ377" s="31"/>
      <c r="BK377" s="31" t="n">
        <f aca="false">BK80</f>
        <v>385.324</v>
      </c>
      <c r="BL377" s="31"/>
      <c r="BM377" s="31"/>
      <c r="BN377" s="31"/>
      <c r="BO377" s="31"/>
      <c r="BP377" s="31"/>
      <c r="BQ377" s="31" t="n">
        <f aca="false">BQ80</f>
        <v>465.215</v>
      </c>
      <c r="BR377" s="31"/>
      <c r="BS377" s="31"/>
      <c r="BT377" s="31"/>
      <c r="BU377" s="31"/>
      <c r="BV377" s="31"/>
      <c r="BW377" s="31" t="n">
        <f aca="false">BW80</f>
        <v>1032.8</v>
      </c>
      <c r="BX377" s="31"/>
      <c r="BY377" s="31"/>
      <c r="BZ377" s="31"/>
      <c r="CA377" s="31"/>
      <c r="CB377" s="31"/>
      <c r="CC377" s="31" t="n">
        <f aca="false">CC80</f>
        <v>1302.7</v>
      </c>
      <c r="CD377" s="31"/>
      <c r="CE377" s="31"/>
      <c r="CF377" s="31"/>
      <c r="CG377" s="31"/>
      <c r="CH377" s="31"/>
      <c r="CI377" s="31" t="n">
        <f aca="false">CI80</f>
        <v>1399.7</v>
      </c>
      <c r="CJ377" s="31"/>
      <c r="CK377" s="31"/>
      <c r="CL377" s="31"/>
      <c r="CM377" s="32"/>
      <c r="CN377" s="32"/>
      <c r="CO377" s="32" t="n">
        <f aca="false">CO80</f>
        <v>1520</v>
      </c>
      <c r="CP377" s="32" t="n">
        <f aca="false">CP80</f>
        <v>1604.9224638025</v>
      </c>
      <c r="CQ377" s="32" t="n">
        <f aca="false">CQ80</f>
        <v>1709.12278720411</v>
      </c>
      <c r="CR377" s="32" t="n">
        <f aca="false">CR80</f>
        <v>1811.18886797964</v>
      </c>
      <c r="CS377" s="32" t="n">
        <f aca="false">CS80</f>
        <v>1918.8798455377</v>
      </c>
      <c r="CT377" s="23"/>
      <c r="CV377" s="7"/>
      <c r="CW377" s="7"/>
      <c r="CX377" s="7"/>
      <c r="CY377" s="7"/>
    </row>
    <row r="378" customFormat="false" ht="15" hidden="false" customHeight="true" outlineLevel="0" collapsed="false">
      <c r="B378" s="41" t="s">
        <v>563</v>
      </c>
      <c r="C378" s="67" t="n">
        <f aca="false">IFERROR(C376/C377,"n/a")</f>
        <v>-1.26687403411719</v>
      </c>
      <c r="D378" s="67" t="n">
        <f aca="false">IFERROR(D376/D377,"n/a")</f>
        <v>-0.840999000999001</v>
      </c>
      <c r="E378" s="67" t="n">
        <f aca="false">IFERROR(E376/E377,"n/a")</f>
        <v>-0.249285549017278</v>
      </c>
      <c r="F378" s="67" t="n">
        <f aca="false">IFERROR(F376/F377,"n/a")</f>
        <v>0.0797073617959709</v>
      </c>
      <c r="G378" s="67" t="n">
        <f aca="false">IFERROR(G376/G377,"n/a")</f>
        <v>0.523692064072111</v>
      </c>
      <c r="H378" s="67" t="n">
        <f aca="false">IFERROR(H376/H377,"n/a")</f>
        <v>0.241821684739453</v>
      </c>
      <c r="I378" s="67" t="n">
        <f aca="false">IFERROR(I376/I377,"n/a")</f>
        <v>0.394528944813539</v>
      </c>
      <c r="J378" s="68"/>
      <c r="K378" s="68"/>
      <c r="L378" s="68"/>
      <c r="M378" s="68"/>
      <c r="N378" s="68"/>
      <c r="O378" s="67" t="n">
        <f aca="false">IFERROR(O376/O377,"n/a")</f>
        <v>-0.301348571428571</v>
      </c>
      <c r="P378" s="68"/>
      <c r="Q378" s="68"/>
      <c r="R378" s="68"/>
      <c r="S378" s="68"/>
      <c r="T378" s="68"/>
      <c r="U378" s="67" t="n">
        <f aca="false">IFERROR(U376/U377,"n/a")</f>
        <v>-0.115590809628009</v>
      </c>
      <c r="V378" s="68"/>
      <c r="W378" s="68"/>
      <c r="X378" s="68"/>
      <c r="Y378" s="68"/>
      <c r="Z378" s="68"/>
      <c r="AA378" s="67" t="n">
        <f aca="false">IFERROR(AA376/AA377,"n/a")</f>
        <v>-0.470289943781605</v>
      </c>
      <c r="AB378" s="68"/>
      <c r="AC378" s="68"/>
      <c r="AD378" s="68"/>
      <c r="AE378" s="68"/>
      <c r="AF378" s="68"/>
      <c r="AG378" s="67" t="n">
        <f aca="false">IFERROR(AG376/AG377,"n/a")</f>
        <v>1.95991641518235</v>
      </c>
      <c r="AH378" s="68"/>
      <c r="AI378" s="68"/>
      <c r="AJ378" s="68"/>
      <c r="AK378" s="68"/>
      <c r="AL378" s="68"/>
      <c r="AM378" s="67" t="n">
        <f aca="false">IFERROR(AM376/AM377,"n/a")</f>
        <v>2.88214531860237</v>
      </c>
      <c r="AN378" s="68"/>
      <c r="AO378" s="68"/>
      <c r="AP378" s="68"/>
      <c r="AQ378" s="68"/>
      <c r="AR378" s="68"/>
      <c r="AS378" s="67" t="n">
        <f aca="false">IFERROR(AS376/AS377,"n/a")</f>
        <v>1.917569200757</v>
      </c>
      <c r="AT378" s="68"/>
      <c r="AU378" s="68"/>
      <c r="AV378" s="68"/>
      <c r="AW378" s="68"/>
      <c r="AX378" s="68"/>
      <c r="AY378" s="67" t="n">
        <f aca="false">IFERROR(AY376/AY377,"n/a")</f>
        <v>0.92281474140286</v>
      </c>
      <c r="AZ378" s="68"/>
      <c r="BA378" s="68"/>
      <c r="BB378" s="68"/>
      <c r="BC378" s="68"/>
      <c r="BD378" s="68"/>
      <c r="BE378" s="67" t="n">
        <f aca="false">IFERROR(BE376/BE377,"n/a")</f>
        <v>1.03401594998597</v>
      </c>
      <c r="BF378" s="68"/>
      <c r="BG378" s="68"/>
      <c r="BH378" s="68"/>
      <c r="BI378" s="68"/>
      <c r="BJ378" s="68"/>
      <c r="BK378" s="67" t="n">
        <f aca="false">IFERROR(BK376/BK377,"n/a")</f>
        <v>3.67864965587402</v>
      </c>
      <c r="BL378" s="68"/>
      <c r="BM378" s="68"/>
      <c r="BN378" s="68"/>
      <c r="BO378" s="68"/>
      <c r="BP378" s="68"/>
      <c r="BQ378" s="67" t="n">
        <f aca="false">IFERROR(BQ376/BQ377,"n/a")</f>
        <v>0.249991939210903</v>
      </c>
      <c r="BR378" s="68"/>
      <c r="BS378" s="68"/>
      <c r="BT378" s="68"/>
      <c r="BU378" s="68"/>
      <c r="BV378" s="68"/>
      <c r="BW378" s="67" t="n">
        <f aca="false">IFERROR(BW376/BW377,"n/a")</f>
        <v>2.43348179705655</v>
      </c>
      <c r="BX378" s="68"/>
      <c r="BY378" s="68"/>
      <c r="BZ378" s="68"/>
      <c r="CA378" s="68"/>
      <c r="CB378" s="68"/>
      <c r="CC378" s="67" t="n">
        <f aca="false">IFERROR(CC376/CC377,"n/a")</f>
        <v>1.62738926844247</v>
      </c>
      <c r="CD378" s="68"/>
      <c r="CE378" s="68"/>
      <c r="CF378" s="68"/>
      <c r="CG378" s="68"/>
      <c r="CH378" s="68"/>
      <c r="CI378" s="67" t="n">
        <f aca="false">IFERROR(CI376/CI377,"n/a")</f>
        <v>1.38601128813317</v>
      </c>
      <c r="CJ378" s="68"/>
      <c r="CK378" s="68"/>
      <c r="CL378" s="68"/>
      <c r="CM378" s="67"/>
      <c r="CN378" s="67"/>
      <c r="CO378" s="67" t="n">
        <f aca="false">IFERROR(CO376/CO377,"n/a")</f>
        <v>1.42573152335108</v>
      </c>
      <c r="CP378" s="67" t="n">
        <f aca="false">IFERROR(CP376/CP377,"n/a")</f>
        <v>1.25790757655884</v>
      </c>
      <c r="CQ378" s="67" t="n">
        <f aca="false">IFERROR(CQ376/CQ377,"n/a")</f>
        <v>1.05059451862832</v>
      </c>
      <c r="CR378" s="67" t="n">
        <f aca="false">IFERROR(CR376/CR377,"n/a")</f>
        <v>0.853209192142953</v>
      </c>
      <c r="CS378" s="67" t="n">
        <f aca="false">IFERROR(CS376/CS377,"n/a")</f>
        <v>0.656138708091736</v>
      </c>
      <c r="CT378" s="23"/>
      <c r="CV378" s="7"/>
      <c r="CW378" s="7"/>
      <c r="CX378" s="7"/>
      <c r="CY378" s="7"/>
    </row>
    <row r="379" customFormat="false" ht="15" hidden="false" customHeight="true" outlineLevel="0" collapsed="false">
      <c r="B379" s="13"/>
      <c r="CM379" s="7"/>
      <c r="CN379" s="7"/>
      <c r="CO379" s="7"/>
      <c r="CP379" s="7"/>
      <c r="CQ379" s="7"/>
      <c r="CR379" s="7"/>
      <c r="CS379" s="7"/>
      <c r="CT379" s="7"/>
    </row>
    <row r="380" customFormat="false" ht="15" hidden="false" customHeight="true" outlineLevel="0" collapsed="false">
      <c r="B380" s="12" t="s">
        <v>564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 t="s">
        <v>565</v>
      </c>
    </row>
    <row r="381" customFormat="false" ht="15" hidden="false" customHeight="true" outlineLevel="0" collapsed="false">
      <c r="B381" s="64" t="s">
        <v>566</v>
      </c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4"/>
      <c r="CN381" s="54"/>
      <c r="CO381" s="55" t="n">
        <v>80</v>
      </c>
      <c r="CP381" s="54" t="n">
        <f aca="false">CO381</f>
        <v>80</v>
      </c>
      <c r="CQ381" s="54" t="n">
        <f aca="false">CP381</f>
        <v>80</v>
      </c>
      <c r="CR381" s="54" t="n">
        <f aca="false">CQ381</f>
        <v>80</v>
      </c>
      <c r="CS381" s="54" t="n">
        <f aca="false">CR381</f>
        <v>80</v>
      </c>
      <c r="CT381" s="23"/>
      <c r="CV381" s="7"/>
      <c r="CW381" s="7"/>
      <c r="CX381" s="7"/>
      <c r="CY381" s="7"/>
    </row>
    <row r="382" customFormat="false" ht="15" hidden="false" customHeight="true" outlineLevel="0" collapsed="false">
      <c r="B382" s="13" t="s">
        <v>567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8"/>
      <c r="CN382" s="28"/>
      <c r="CO382" s="28" t="n">
        <f aca="false">CO127</f>
        <v>186.1125</v>
      </c>
      <c r="CP382" s="28" t="n">
        <f aca="false">CP127</f>
        <v>182.363551401869</v>
      </c>
      <c r="CQ382" s="28" t="n">
        <f aca="false">CQ127</f>
        <v>178.443505983055</v>
      </c>
      <c r="CR382" s="28" t="n">
        <f aca="false">CR127</f>
        <v>174.564071383617</v>
      </c>
      <c r="CS382" s="28" t="n">
        <f aca="false">CS127</f>
        <v>170.484186067213</v>
      </c>
      <c r="CT382" s="23"/>
      <c r="CV382" s="7"/>
      <c r="CW382" s="7"/>
      <c r="CX382" s="7"/>
      <c r="CY382" s="7"/>
    </row>
    <row r="383" customFormat="false" ht="15" hidden="false" customHeight="true" outlineLevel="0" collapsed="false">
      <c r="B383" s="13" t="s">
        <v>568</v>
      </c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2"/>
      <c r="CN383" s="32"/>
      <c r="CO383" s="32" t="n">
        <f aca="false">IFERROR(CO381*CO382,"n/a")</f>
        <v>14889</v>
      </c>
      <c r="CP383" s="32" t="n">
        <f aca="false">IFERROR(CP381*CP382,"n/a")</f>
        <v>14589.0841121495</v>
      </c>
      <c r="CQ383" s="32" t="n">
        <f aca="false">IFERROR(CQ381*CQ382,"n/a")</f>
        <v>14275.4804786444</v>
      </c>
      <c r="CR383" s="32" t="n">
        <f aca="false">IFERROR(CR381*CR382,"n/a")</f>
        <v>13965.1257106893</v>
      </c>
      <c r="CS383" s="32" t="n">
        <f aca="false">IFERROR(CS381*CS382,"n/a")</f>
        <v>13638.734885377</v>
      </c>
      <c r="CT383" s="23"/>
      <c r="CV383" s="7"/>
      <c r="CW383" s="7"/>
      <c r="CX383" s="7"/>
      <c r="CY383" s="7"/>
    </row>
    <row r="384" customFormat="false" ht="15" hidden="false" customHeight="true" outlineLevel="0" collapsed="false">
      <c r="B384" s="13" t="s">
        <v>569</v>
      </c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2"/>
      <c r="CN384" s="32"/>
      <c r="CO384" s="32" t="n">
        <f aca="false">CO376</f>
        <v>2167.11191549363</v>
      </c>
      <c r="CP384" s="32" t="n">
        <f aca="false">CP376</f>
        <v>2018.84412700665</v>
      </c>
      <c r="CQ384" s="32" t="n">
        <f aca="false">CQ376</f>
        <v>1795.59503189939</v>
      </c>
      <c r="CR384" s="32" t="n">
        <f aca="false">CR376</f>
        <v>1545.32299086722</v>
      </c>
      <c r="CS384" s="32" t="n">
        <f aca="false">CS376</f>
        <v>1259.05134283438</v>
      </c>
      <c r="CT384" s="23"/>
      <c r="CV384" s="7"/>
      <c r="CW384" s="7"/>
      <c r="CX384" s="7"/>
      <c r="CY384" s="7"/>
    </row>
    <row r="385" customFormat="false" ht="15" hidden="false" customHeight="true" outlineLevel="0" collapsed="false">
      <c r="B385" s="13" t="s">
        <v>570</v>
      </c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2"/>
      <c r="CN385" s="32"/>
      <c r="CO385" s="32" t="n">
        <f aca="false">CO306+CO307+CO313</f>
        <v>483.9</v>
      </c>
      <c r="CP385" s="32" t="n">
        <f aca="false">CP306+CP307+CP313</f>
        <v>483.9</v>
      </c>
      <c r="CQ385" s="32" t="n">
        <f aca="false">CQ306+CQ307+CQ313</f>
        <v>483.9</v>
      </c>
      <c r="CR385" s="32" t="n">
        <f aca="false">CR306+CR307+CR313</f>
        <v>483.9</v>
      </c>
      <c r="CS385" s="32" t="n">
        <f aca="false">CS306+CS307+CS313</f>
        <v>483.9</v>
      </c>
      <c r="CT385" s="23"/>
      <c r="CV385" s="7"/>
      <c r="CW385" s="7"/>
      <c r="CX385" s="7"/>
      <c r="CY385" s="7"/>
    </row>
    <row r="386" customFormat="false" ht="15" hidden="false" customHeight="true" outlineLevel="0" collapsed="false">
      <c r="B386" s="19" t="s">
        <v>571</v>
      </c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2"/>
      <c r="CN386" s="22"/>
      <c r="CO386" s="22" t="n">
        <f aca="false">IFERROR(CO383+CO384+CO385,"n/a")</f>
        <v>17540.0119154936</v>
      </c>
      <c r="CP386" s="22" t="n">
        <f aca="false">IFERROR(CP383+CP384+CP385,"n/a")</f>
        <v>17091.8282391562</v>
      </c>
      <c r="CQ386" s="22" t="n">
        <f aca="false">IFERROR(CQ383+CQ384+CQ385,"n/a")</f>
        <v>16554.9755105438</v>
      </c>
      <c r="CR386" s="22" t="n">
        <f aca="false">IFERROR(CR383+CR384+CR385,"n/a")</f>
        <v>15994.3487015566</v>
      </c>
      <c r="CS386" s="22" t="n">
        <f aca="false">IFERROR(CS383+CS384+CS385,"n/a")</f>
        <v>15381.6862282114</v>
      </c>
      <c r="CT386" s="23"/>
      <c r="CV386" s="7"/>
      <c r="CW386" s="7"/>
      <c r="CX386" s="7"/>
      <c r="CY386" s="7"/>
    </row>
    <row r="387" customFormat="false" ht="15" hidden="false" customHeight="true" outlineLevel="0" collapsed="false">
      <c r="B387" s="17" t="s">
        <v>572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</row>
    <row r="388" customFormat="false" ht="15" hidden="false" customHeight="true" outlineLevel="0" collapsed="false">
      <c r="B388" s="13" t="s">
        <v>573</v>
      </c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  <c r="CJ388" s="58"/>
      <c r="CK388" s="58"/>
      <c r="CL388" s="58"/>
      <c r="CM388" s="59"/>
      <c r="CN388" s="59"/>
      <c r="CO388" s="59" t="n">
        <f aca="false">IFERROR(CO386/CO95,"n/a")</f>
        <v>3.50376134029757</v>
      </c>
      <c r="CP388" s="59" t="n">
        <f aca="false">IFERROR(CP386/CP95,"n/a")</f>
        <v>3.24813673589663</v>
      </c>
      <c r="CQ388" s="59" t="n">
        <f aca="false">IFERROR(CQ386/CQ95,"n/a")</f>
        <v>3.00273476352387</v>
      </c>
      <c r="CR388" s="59" t="n">
        <f aca="false">IFERROR(CR386/CR95,"n/a")</f>
        <v>2.78171974776456</v>
      </c>
      <c r="CS388" s="59" t="n">
        <f aca="false">IFERROR(CS386/CS95,"n/a")</f>
        <v>2.56511089241671</v>
      </c>
      <c r="CT388" s="23"/>
      <c r="CV388" s="7"/>
      <c r="CW388" s="7"/>
      <c r="CX388" s="7"/>
      <c r="CY388" s="7"/>
    </row>
    <row r="389" customFormat="false" ht="15" hidden="false" customHeight="true" outlineLevel="0" collapsed="false">
      <c r="B389" s="13" t="s">
        <v>574</v>
      </c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9"/>
      <c r="CN389" s="59"/>
      <c r="CO389" s="59" t="n">
        <f aca="false">IFERROR(CO386/CO39,"n/a")</f>
        <v>0.984172558633338</v>
      </c>
      <c r="CP389" s="59" t="n">
        <f aca="false">IFERROR(CP386/CP39,"n/a")</f>
        <v>0.909478286051056</v>
      </c>
      <c r="CQ389" s="59" t="n">
        <f aca="false">IFERROR(CQ386/CQ39,"n/a")</f>
        <v>0.840765733786683</v>
      </c>
      <c r="CR389" s="59" t="n">
        <f aca="false">IFERROR(CR386/CR39,"n/a")</f>
        <v>0.778881529374078</v>
      </c>
      <c r="CS389" s="59" t="n">
        <f aca="false">IFERROR(CS386/CS39,"n/a")</f>
        <v>0.718231049876678</v>
      </c>
      <c r="CT389" s="23"/>
      <c r="CV389" s="7"/>
      <c r="CW389" s="7"/>
      <c r="CX389" s="7"/>
      <c r="CY389" s="7"/>
    </row>
    <row r="390" customFormat="false" ht="15" hidden="false" customHeight="true" outlineLevel="0" collapsed="false">
      <c r="B390" s="13" t="s">
        <v>575</v>
      </c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9"/>
      <c r="CN390" s="59"/>
      <c r="CO390" s="59" t="n">
        <f aca="false">IFERROR(CO386/CO80,"n/a")</f>
        <v>11.5394815233511</v>
      </c>
      <c r="CP390" s="59" t="n">
        <f aca="false">IFERROR(CP386/CP80,"n/a")</f>
        <v>10.649628642284</v>
      </c>
      <c r="CQ390" s="59" t="n">
        <f aca="false">IFERROR(CQ386/CQ80,"n/a")</f>
        <v>9.68624117265763</v>
      </c>
      <c r="CR390" s="59" t="n">
        <f aca="false">IFERROR(CR386/CR80,"n/a")</f>
        <v>8.83085634210972</v>
      </c>
      <c r="CS390" s="59" t="n">
        <f aca="false">IFERROR(CS386/CS80,"n/a")</f>
        <v>8.01597153880221</v>
      </c>
      <c r="CT390" s="23"/>
      <c r="CV390" s="7"/>
      <c r="CW390" s="7"/>
      <c r="CX390" s="7"/>
      <c r="CY390" s="7"/>
    </row>
    <row r="391" customFormat="false" ht="15" hidden="false" customHeight="true" outlineLevel="0" collapsed="false">
      <c r="B391" s="13" t="s">
        <v>576</v>
      </c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9"/>
      <c r="CN391" s="59"/>
      <c r="CO391" s="59" t="n">
        <f aca="false">IFERROR(CO386/CO87,"n/a")</f>
        <v>13.454974467126</v>
      </c>
      <c r="CP391" s="59" t="n">
        <f aca="false">IFERROR(CP386/CP87,"n/a")</f>
        <v>12.3974684576207</v>
      </c>
      <c r="CQ391" s="59" t="n">
        <f aca="false">IFERROR(CQ386/CQ87,"n/a")</f>
        <v>11.2461976161943</v>
      </c>
      <c r="CR391" s="59" t="n">
        <f aca="false">IFERROR(CR386/CR87,"n/a")</f>
        <v>10.2269108373697</v>
      </c>
      <c r="CS391" s="59" t="n">
        <f aca="false">IFERROR(CS386/CS87,"n/a")</f>
        <v>9.26032813146826</v>
      </c>
      <c r="CT391" s="23"/>
      <c r="CV391" s="7"/>
      <c r="CW391" s="7"/>
      <c r="CX391" s="7"/>
      <c r="CY391" s="7"/>
    </row>
    <row r="392" customFormat="false" ht="15" hidden="false" customHeight="true" outlineLevel="0" collapsed="false">
      <c r="B392" s="13" t="s">
        <v>577</v>
      </c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9"/>
      <c r="CN392" s="59"/>
      <c r="CO392" s="59" t="n">
        <f aca="false">IFERROR(CO386/CO353,"n/a")</f>
        <v>2.12556995627161</v>
      </c>
      <c r="CP392" s="59" t="n">
        <f aca="false">IFERROR(CP386/CP353,"n/a")</f>
        <v>2.08374368486065</v>
      </c>
      <c r="CQ392" s="59" t="n">
        <f aca="false">IFERROR(CQ386/CQ353,"n/a")</f>
        <v>2.02145475344291</v>
      </c>
      <c r="CR392" s="59" t="n">
        <f aca="false">IFERROR(CR386/CR353,"n/a")</f>
        <v>1.95364463284555</v>
      </c>
      <c r="CS392" s="59" t="n">
        <f aca="false">IFERROR(CS386/CS353,"n/a")</f>
        <v>1.88120103650055</v>
      </c>
      <c r="CT392" s="23"/>
      <c r="CV392" s="7"/>
      <c r="CW392" s="7"/>
      <c r="CX392" s="7"/>
      <c r="CY392" s="7"/>
    </row>
    <row r="393" customFormat="false" ht="15" hidden="false" customHeight="true" outlineLevel="0" collapsed="false">
      <c r="B393" s="13" t="s">
        <v>578</v>
      </c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9"/>
      <c r="CN393" s="59"/>
      <c r="CO393" s="59" t="n">
        <f aca="false">IFERROR(CO381/CO129,"n/a")</f>
        <v>28.4692103219764</v>
      </c>
      <c r="CP393" s="59" t="n">
        <f aca="false">IFERROR(CP381/CP129,"n/a")</f>
        <v>23.0945667435203</v>
      </c>
      <c r="CQ393" s="59" t="n">
        <f aca="false">IFERROR(CQ381/CQ129,"n/a")</f>
        <v>19.2036589033482</v>
      </c>
      <c r="CR393" s="59" t="n">
        <f aca="false">IFERROR(CR381/CR129,"n/a")</f>
        <v>16.7911725522238</v>
      </c>
      <c r="CS393" s="59" t="n">
        <f aca="false">IFERROR(CS381/CS129,"n/a")</f>
        <v>14.9650739188742</v>
      </c>
      <c r="CT393" s="23"/>
      <c r="CV393" s="7"/>
      <c r="CW393" s="7"/>
      <c r="CX393" s="7"/>
      <c r="CY393" s="7"/>
    </row>
    <row r="394" customFormat="false" ht="15" hidden="false" customHeight="true" outlineLevel="0" collapsed="false">
      <c r="B394" s="13" t="s">
        <v>579</v>
      </c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9"/>
      <c r="CN394" s="59"/>
      <c r="CO394" s="59" t="n">
        <f aca="false">IFERROR(CO381/CO191,"n/a")</f>
        <v>18.1156498597377</v>
      </c>
      <c r="CP394" s="59" t="n">
        <f aca="false">IFERROR(CP381/CP191,"n/a")</f>
        <v>16.7168093934618</v>
      </c>
      <c r="CQ394" s="59" t="n">
        <f aca="false">IFERROR(CQ381/CQ191,"n/a")</f>
        <v>15.0439566982959</v>
      </c>
      <c r="CR394" s="59" t="n">
        <f aca="false">IFERROR(CR381/CR191,"n/a")</f>
        <v>13.6253670847564</v>
      </c>
      <c r="CS394" s="59" t="n">
        <f aca="false">IFERROR(CS381/CS191,"n/a")</f>
        <v>12.3632798001787</v>
      </c>
      <c r="CT394" s="23"/>
      <c r="CV394" s="7"/>
      <c r="CW394" s="7"/>
      <c r="CX394" s="7"/>
      <c r="CY394" s="7"/>
    </row>
    <row r="395" customFormat="false" ht="15" hidden="false" customHeight="true" outlineLevel="0" collapsed="false">
      <c r="B395" s="13" t="s">
        <v>580</v>
      </c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35"/>
      <c r="CN395" s="35"/>
      <c r="CO395" s="35" t="n">
        <f aca="false">IFERROR(CO251/CO383,"n/a")</f>
        <v>0.0480271398016231</v>
      </c>
      <c r="CP395" s="35" t="n">
        <f aca="false">IFERROR(CP251/CP383,"n/a")</f>
        <v>0.0552310541796116</v>
      </c>
      <c r="CQ395" s="35" t="n">
        <f aca="false">IFERROR(CQ251/CQ383,"n/a")</f>
        <v>0.0623350033430636</v>
      </c>
      <c r="CR395" s="35" t="n">
        <f aca="false">IFERROR(CR251/CR383,"n/a")</f>
        <v>0.0699074015727608</v>
      </c>
      <c r="CS395" s="35" t="n">
        <f aca="false">IFERROR(CS251/CS383,"n/a")</f>
        <v>0.0785651975296133</v>
      </c>
      <c r="CT395" s="23"/>
      <c r="CV395" s="7"/>
      <c r="CW395" s="7"/>
      <c r="CX395" s="7"/>
      <c r="CY395" s="7"/>
    </row>
    <row r="396" customFormat="false" ht="15" hidden="false" customHeight="true" outlineLevel="0" collapsed="false">
      <c r="B396" s="13" t="s">
        <v>581</v>
      </c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35"/>
      <c r="CN396" s="35"/>
      <c r="CO396" s="35" t="n">
        <f aca="false">IFERROR(CO131/CO381,"n/a")</f>
        <v>0.016</v>
      </c>
      <c r="CP396" s="35" t="n">
        <f aca="false">IFERROR(CP131/CP381,"n/a")</f>
        <v>0.01696</v>
      </c>
      <c r="CQ396" s="35" t="n">
        <f aca="false">IFERROR(CQ131/CQ381,"n/a")</f>
        <v>0.0179776</v>
      </c>
      <c r="CR396" s="35" t="n">
        <f aca="false">IFERROR(CR131/CR381,"n/a")</f>
        <v>0.019056256</v>
      </c>
      <c r="CS396" s="35" t="n">
        <f aca="false">IFERROR(CS131/CS381,"n/a")</f>
        <v>0.02019963136</v>
      </c>
      <c r="CT396" s="23"/>
      <c r="CV396" s="7"/>
      <c r="CW396" s="7"/>
      <c r="CX396" s="7"/>
      <c r="CY396" s="7"/>
    </row>
  </sheetData>
  <dataValidations count="1">
    <dataValidation allowBlank="false" errorStyle="stop" operator="between" showDropDown="false" showErrorMessage="false" showInputMessage="false" sqref="CT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9" min="9" style="1" width="13.6"/>
    <col collapsed="false" customWidth="true" hidden="false" outlineLevel="0" max="10" min="10" style="1" width="12.6"/>
    <col collapsed="false" customWidth="true" hidden="false" outlineLevel="0" max="14" min="14" style="1" width="41.4"/>
    <col collapsed="false" customWidth="true" hidden="false" outlineLevel="0" max="15" min="15" style="1" width="11.5"/>
    <col collapsed="false" customWidth="true" hidden="false" outlineLevel="0" max="26" min="26" style="1" width="41.4"/>
    <col collapsed="false" customWidth="true" hidden="false" outlineLevel="0" max="27" min="27" style="1" width="11.75"/>
  </cols>
  <sheetData>
    <row r="2" customFormat="false" ht="19.5" hidden="false" customHeight="true" outlineLevel="0" collapsed="false">
      <c r="B2" s="69" t="s">
        <v>582</v>
      </c>
      <c r="J2" s="12" t="s">
        <v>583</v>
      </c>
      <c r="K2" s="70" t="n">
        <f aca="false">Model!$CO$381</f>
        <v>80</v>
      </c>
    </row>
    <row r="3" customFormat="false" ht="15" hidden="false" customHeight="true" outlineLevel="0" collapsed="false">
      <c r="B3" s="5" t="s">
        <v>584</v>
      </c>
      <c r="J3" s="12" t="s">
        <v>585</v>
      </c>
      <c r="K3" s="71" t="n">
        <f aca="true">TODAY()</f>
        <v>46298</v>
      </c>
    </row>
    <row r="5" customFormat="false" ht="15" hidden="false" customHeight="true" outlineLevel="0" collapsed="false">
      <c r="B5" s="12" t="s">
        <v>586</v>
      </c>
      <c r="C5" s="72" t="str">
        <f aca="false">Model!CT2</f>
        <v>Base</v>
      </c>
      <c r="N5" s="73" t="s">
        <v>586</v>
      </c>
      <c r="O5" s="74" t="s">
        <v>94</v>
      </c>
      <c r="P5" s="5" t="s">
        <v>587</v>
      </c>
      <c r="Z5" s="73" t="s">
        <v>586</v>
      </c>
      <c r="AA5" s="74" t="s">
        <v>95</v>
      </c>
      <c r="AB5" s="5" t="s">
        <v>588</v>
      </c>
    </row>
    <row r="7" customFormat="false" ht="15" hidden="false" customHeight="true" outlineLevel="0" collapsed="false">
      <c r="B7" s="75" t="s">
        <v>589</v>
      </c>
      <c r="C7" s="76" t="s">
        <v>590</v>
      </c>
      <c r="D7" s="76" t="s">
        <v>78</v>
      </c>
      <c r="E7" s="76" t="s">
        <v>79</v>
      </c>
      <c r="F7" s="76" t="s">
        <v>80</v>
      </c>
      <c r="G7" s="76" t="s">
        <v>81</v>
      </c>
      <c r="H7" s="76" t="s">
        <v>82</v>
      </c>
      <c r="I7" s="76" t="s">
        <v>591</v>
      </c>
      <c r="J7" s="77" t="s">
        <v>592</v>
      </c>
      <c r="K7" s="77" t="s">
        <v>593</v>
      </c>
      <c r="L7" s="77" t="s">
        <v>594</v>
      </c>
      <c r="N7" s="75" t="s">
        <v>589</v>
      </c>
      <c r="O7" s="76" t="s">
        <v>590</v>
      </c>
      <c r="P7" s="76" t="s">
        <v>78</v>
      </c>
      <c r="Q7" s="76" t="s">
        <v>79</v>
      </c>
      <c r="R7" s="76" t="s">
        <v>80</v>
      </c>
      <c r="S7" s="76" t="s">
        <v>81</v>
      </c>
      <c r="T7" s="76" t="s">
        <v>82</v>
      </c>
      <c r="U7" s="76" t="s">
        <v>591</v>
      </c>
      <c r="V7" s="77" t="s">
        <v>592</v>
      </c>
      <c r="W7" s="77" t="s">
        <v>593</v>
      </c>
      <c r="X7" s="77" t="s">
        <v>594</v>
      </c>
      <c r="Z7" s="75" t="s">
        <v>589</v>
      </c>
      <c r="AA7" s="76" t="s">
        <v>590</v>
      </c>
      <c r="AB7" s="76" t="s">
        <v>78</v>
      </c>
      <c r="AC7" s="76" t="s">
        <v>79</v>
      </c>
      <c r="AD7" s="76" t="s">
        <v>80</v>
      </c>
      <c r="AE7" s="76" t="s">
        <v>81</v>
      </c>
      <c r="AF7" s="76" t="s">
        <v>82</v>
      </c>
      <c r="AG7" s="76" t="s">
        <v>591</v>
      </c>
      <c r="AH7" s="77" t="s">
        <v>592</v>
      </c>
      <c r="AI7" s="77" t="s">
        <v>593</v>
      </c>
      <c r="AJ7" s="77" t="s">
        <v>594</v>
      </c>
    </row>
    <row r="9" customFormat="false" ht="15" hidden="false" customHeight="true" outlineLevel="0" collapsed="false">
      <c r="B9" s="78" t="s">
        <v>595</v>
      </c>
      <c r="C9" s="79" t="n">
        <f aca="false">Model!CI95</f>
        <v>4590.7</v>
      </c>
      <c r="D9" s="80" t="n">
        <f aca="false">Model!CO95</f>
        <v>5006.05212854023</v>
      </c>
      <c r="E9" s="80" t="n">
        <f aca="false">Model!CP95</f>
        <v>5262.04086492624</v>
      </c>
      <c r="F9" s="80" t="n">
        <f aca="false">Model!CQ95</f>
        <v>5513.29931356164</v>
      </c>
      <c r="G9" s="80" t="n">
        <f aca="false">Model!CR95</f>
        <v>5749.8059300941</v>
      </c>
      <c r="H9" s="80" t="n">
        <f aca="false">Model!CS95</f>
        <v>5996.49951730531</v>
      </c>
      <c r="I9" s="81" t="n">
        <f aca="false">IFERROR((H9/C9)^(1/5)-1,"n/m")</f>
        <v>0.0548817480194668</v>
      </c>
      <c r="N9" s="78" t="s">
        <v>595</v>
      </c>
      <c r="O9" s="82" t="n">
        <v>4590.7</v>
      </c>
      <c r="P9" s="82" t="n">
        <v>5051.19626533484</v>
      </c>
      <c r="Q9" s="82" t="n">
        <v>5410.5894475884</v>
      </c>
      <c r="R9" s="82" t="n">
        <v>5777.15349767785</v>
      </c>
      <c r="S9" s="82" t="n">
        <v>6140.52207990415</v>
      </c>
      <c r="T9" s="82" t="n">
        <v>6526.78905961629</v>
      </c>
      <c r="U9" s="81" t="n">
        <v>0.072912074444738</v>
      </c>
      <c r="Z9" s="78" t="s">
        <v>595</v>
      </c>
      <c r="AA9" s="82" t="n">
        <v>4590.7</v>
      </c>
      <c r="AB9" s="82" t="n">
        <v>4960.90799174562</v>
      </c>
      <c r="AC9" s="82" t="n">
        <v>5043.7162776</v>
      </c>
      <c r="AD9" s="82" t="n">
        <v>5110.71270259597</v>
      </c>
      <c r="AE9" s="82" t="n">
        <v>5154.05983459993</v>
      </c>
      <c r="AF9" s="82" t="n">
        <v>5198.07184821441</v>
      </c>
      <c r="AG9" s="81" t="n">
        <v>0.0251624092654004</v>
      </c>
    </row>
    <row r="10" customFormat="false" ht="15" hidden="false" customHeight="true" outlineLevel="0" collapsed="false">
      <c r="B10" s="83" t="s">
        <v>596</v>
      </c>
      <c r="C10" s="84"/>
      <c r="D10" s="85" t="n">
        <f aca="false">IFERROR(D9/C9-1,"")</f>
        <v>0.090476861598499</v>
      </c>
      <c r="E10" s="85" t="n">
        <f aca="false">IFERROR(E9/D9-1,"")</f>
        <v>0.0511358511283926</v>
      </c>
      <c r="F10" s="85" t="n">
        <f aca="false">IFERROR(F9/E9-1,"")</f>
        <v>0.0477492393322432</v>
      </c>
      <c r="G10" s="85" t="n">
        <f aca="false">IFERROR(G9/F9-1,"")</f>
        <v>0.0428974744670037</v>
      </c>
      <c r="H10" s="85" t="n">
        <f aca="false">IFERROR(H9/G9-1,"")</f>
        <v>0.0429046806467039</v>
      </c>
      <c r="N10" s="83" t="s">
        <v>596</v>
      </c>
      <c r="O10" s="86"/>
      <c r="P10" s="86" t="n">
        <v>0.100310685807141</v>
      </c>
      <c r="Q10" s="86" t="n">
        <v>0.0711501124436584</v>
      </c>
      <c r="R10" s="86" t="n">
        <v>0.067749374377839</v>
      </c>
      <c r="S10" s="86" t="n">
        <v>0.0628975121350599</v>
      </c>
      <c r="T10" s="86" t="n">
        <v>0.0629045828165422</v>
      </c>
      <c r="Z10" s="83" t="s">
        <v>596</v>
      </c>
      <c r="AA10" s="86"/>
      <c r="AB10" s="86" t="n">
        <v>0.0806430373898575</v>
      </c>
      <c r="AC10" s="86" t="n">
        <v>0.0166921632072528</v>
      </c>
      <c r="AD10" s="86" t="n">
        <v>0.0132831470504231</v>
      </c>
      <c r="AE10" s="86" t="n">
        <v>0.00848162174757605</v>
      </c>
      <c r="AF10" s="86" t="n">
        <v>0.00853929038988421</v>
      </c>
    </row>
    <row r="11" customFormat="false" ht="15" hidden="false" customHeight="true" outlineLevel="0" collapsed="false">
      <c r="B11" s="78" t="s">
        <v>597</v>
      </c>
      <c r="C11" s="79" t="n">
        <f aca="false">Model!CI39</f>
        <v>16201.9</v>
      </c>
      <c r="D11" s="80" t="n">
        <f aca="false">Model!CO39</f>
        <v>17822.09</v>
      </c>
      <c r="E11" s="80" t="n">
        <f aca="false">Model!CP39</f>
        <v>18793.0030890223</v>
      </c>
      <c r="F11" s="80" t="n">
        <f aca="false">Model!CQ39</f>
        <v>19690.3546912916</v>
      </c>
      <c r="G11" s="80" t="n">
        <f aca="false">Model!CR39</f>
        <v>20535.0211789075</v>
      </c>
      <c r="H11" s="80" t="n">
        <f aca="false">Model!CS39</f>
        <v>21416.0697046618</v>
      </c>
      <c r="I11" s="81" t="n">
        <f aca="false">IFERROR((H11/C11)^(1/5)-1,"n/m")</f>
        <v>0.057388943375571</v>
      </c>
      <c r="N11" s="78" t="s">
        <v>597</v>
      </c>
      <c r="O11" s="82" t="n">
        <v>16201.9</v>
      </c>
      <c r="P11" s="82" t="n">
        <v>17984.109</v>
      </c>
      <c r="Q11" s="82" t="n">
        <v>19323.5337413872</v>
      </c>
      <c r="R11" s="82" t="n">
        <v>20632.6910631352</v>
      </c>
      <c r="S11" s="82" t="n">
        <v>21930.4359996577</v>
      </c>
      <c r="T11" s="82" t="n">
        <v>23309.960927201</v>
      </c>
      <c r="U11" s="81" t="n">
        <v>0.0754621234673951</v>
      </c>
      <c r="Z11" s="78" t="s">
        <v>597</v>
      </c>
      <c r="AA11" s="82" t="n">
        <v>16201.9</v>
      </c>
      <c r="AB11" s="82" t="n">
        <v>17660.071</v>
      </c>
      <c r="AC11" s="82" t="n">
        <v>18013.27242</v>
      </c>
      <c r="AD11" s="82" t="n">
        <v>18252.5453664142</v>
      </c>
      <c r="AE11" s="82" t="n">
        <v>18407.3565521426</v>
      </c>
      <c r="AF11" s="82" t="n">
        <v>18564.5423150515</v>
      </c>
      <c r="AG11" s="81" t="n">
        <v>0.027598969037705</v>
      </c>
    </row>
    <row r="12" customFormat="false" ht="15" hidden="false" customHeight="true" outlineLevel="0" collapsed="false">
      <c r="B12" s="78" t="s">
        <v>540</v>
      </c>
      <c r="C12" s="79" t="n">
        <f aca="false">Model!CI87</f>
        <v>1198.7</v>
      </c>
      <c r="D12" s="80" t="n">
        <f aca="false">Model!CO87</f>
        <v>1303.60796732453</v>
      </c>
      <c r="E12" s="80" t="n">
        <f aca="false">Model!CP87</f>
        <v>1378.65470661067</v>
      </c>
      <c r="F12" s="80" t="n">
        <f aca="false">Model!CQ87</f>
        <v>1472.05091672096</v>
      </c>
      <c r="G12" s="80" t="n">
        <f aca="false">Model!CR87</f>
        <v>1563.9472129856</v>
      </c>
      <c r="H12" s="80" t="n">
        <f aca="false">Model!CS87</f>
        <v>1661.03036629357</v>
      </c>
      <c r="I12" s="81" t="n">
        <f aca="false">IFERROR((H12/C12)^(1/5)-1,"n/m")</f>
        <v>0.067415274940446</v>
      </c>
      <c r="N12" s="78" t="s">
        <v>540</v>
      </c>
      <c r="O12" s="82" t="n">
        <v>1198.7</v>
      </c>
      <c r="P12" s="82" t="n">
        <v>1326.65656304956</v>
      </c>
      <c r="Q12" s="82" t="n">
        <v>1471.68032974405</v>
      </c>
      <c r="R12" s="82" t="n">
        <v>1600.27151885677</v>
      </c>
      <c r="S12" s="82" t="n">
        <v>1731.62722653297</v>
      </c>
      <c r="T12" s="82" t="n">
        <v>1873.18846010987</v>
      </c>
      <c r="U12" s="81" t="n">
        <v>0.0933877242837211</v>
      </c>
      <c r="Z12" s="78" t="s">
        <v>540</v>
      </c>
      <c r="AA12" s="82" t="n">
        <v>1198.7</v>
      </c>
      <c r="AB12" s="82" t="n">
        <v>1280.55937159951</v>
      </c>
      <c r="AC12" s="82" t="n">
        <v>1245.7979205672</v>
      </c>
      <c r="AD12" s="82" t="n">
        <v>1287.89960105419</v>
      </c>
      <c r="AE12" s="82" t="n">
        <v>1324.59337749218</v>
      </c>
      <c r="AF12" s="82" t="n">
        <v>1361.89482423218</v>
      </c>
      <c r="AG12" s="81" t="n">
        <v>0.0258564958673122</v>
      </c>
    </row>
    <row r="13" customFormat="false" ht="15" hidden="false" customHeight="true" outlineLevel="0" collapsed="false">
      <c r="B13" s="83" t="s">
        <v>598</v>
      </c>
      <c r="C13" s="87" t="n">
        <f aca="false">IFERROR(C12/C9,"")</f>
        <v>0.261114862657111</v>
      </c>
      <c r="D13" s="88" t="n">
        <f aca="false">IFERROR(D12/D9,"")</f>
        <v>0.260406390874852</v>
      </c>
      <c r="E13" s="88" t="n">
        <f aca="false">IFERROR(E12/E9,"")</f>
        <v>0.262</v>
      </c>
      <c r="F13" s="88" t="n">
        <f aca="false">IFERROR(F12/F9,"")</f>
        <v>0.267</v>
      </c>
      <c r="G13" s="88" t="n">
        <f aca="false">IFERROR(G12/G9,"")</f>
        <v>0.272</v>
      </c>
      <c r="H13" s="88" t="n">
        <f aca="false">IFERROR(H12/H9,"")</f>
        <v>0.277</v>
      </c>
      <c r="J13" s="89" t="n">
        <f aca="false">IFERROR(AVERAGE(Model!C88,Model!D88,Model!E88,Model!F88,Model!G88,Model!H88,Model!I88,Model!O88,Model!U88,Model!AA88,Model!AG88,Model!AM88,Model!AS88,Model!AY88,Model!BE88,Model!BK88,Model!BQ88,Model!BW88,Model!CC88,Model!CI88),"")</f>
        <v>0.268939001899303</v>
      </c>
      <c r="K13" s="89" t="n">
        <f aca="false">IFERROR(MIN(Model!C88,Model!D88,Model!E88,Model!F88,Model!G88,Model!H88,Model!I88,Model!O88,Model!U88,Model!AA88,Model!AG88,Model!AM88,Model!AS88,Model!AY88,Model!BE88,Model!BK88,Model!BQ88,Model!BW88,Model!CC88,Model!CI88),"")</f>
        <v>0.142948194536399</v>
      </c>
      <c r="L13" s="89" t="n">
        <f aca="false">IFERROR(MAX(Model!C88,Model!D88,Model!E88,Model!F88,Model!G88,Model!H88,Model!I88,Model!O88,Model!U88,Model!AA88,Model!AG88,Model!AM88,Model!AS88,Model!AY88,Model!BE88,Model!BK88,Model!BQ88,Model!BW88,Model!CC88,Model!CI88),"")</f>
        <v>0.380896685061073</v>
      </c>
      <c r="N13" s="83" t="s">
        <v>598</v>
      </c>
      <c r="O13" s="90" t="n">
        <v>0.261114862657111</v>
      </c>
      <c r="P13" s="90" t="n">
        <v>0.262642054151428</v>
      </c>
      <c r="Q13" s="90" t="n">
        <v>0.272</v>
      </c>
      <c r="R13" s="90" t="n">
        <v>0.277</v>
      </c>
      <c r="S13" s="90" t="n">
        <v>0.282</v>
      </c>
      <c r="T13" s="90" t="n">
        <v>0.287</v>
      </c>
      <c r="V13" s="89" t="n">
        <v>0.268939001899303</v>
      </c>
      <c r="W13" s="89" t="n">
        <v>0.142948194536399</v>
      </c>
      <c r="X13" s="89" t="n">
        <v>0.380896685061073</v>
      </c>
      <c r="Z13" s="83" t="s">
        <v>598</v>
      </c>
      <c r="AA13" s="90" t="n">
        <v>0.261114862657111</v>
      </c>
      <c r="AB13" s="90" t="n">
        <v>0.258130038640146</v>
      </c>
      <c r="AC13" s="90" t="n">
        <v>0.247</v>
      </c>
      <c r="AD13" s="90" t="n">
        <v>0.252</v>
      </c>
      <c r="AE13" s="90" t="n">
        <v>0.257</v>
      </c>
      <c r="AF13" s="90" t="n">
        <v>0.262</v>
      </c>
      <c r="AH13" s="89" t="n">
        <v>0.268939001899303</v>
      </c>
      <c r="AI13" s="89" t="n">
        <v>0.142948194536399</v>
      </c>
      <c r="AJ13" s="89" t="n">
        <v>0.380896685061073</v>
      </c>
    </row>
    <row r="15" customFormat="false" ht="15" hidden="false" customHeight="true" outlineLevel="0" collapsed="false">
      <c r="B15" s="78" t="s">
        <v>599</v>
      </c>
      <c r="C15" s="79" t="n">
        <f aca="false">Model!CI106</f>
        <v>713.4</v>
      </c>
      <c r="D15" s="80" t="n">
        <f aca="false">Model!CO106</f>
        <v>899.107967324534</v>
      </c>
      <c r="E15" s="80" t="n">
        <f aca="false">Model!CP106</f>
        <v>1045.65470661067</v>
      </c>
      <c r="F15" s="80" t="n">
        <f aca="false">Model!CQ106</f>
        <v>1188.05091672096</v>
      </c>
      <c r="G15" s="80" t="n">
        <f aca="false">Model!CR106</f>
        <v>1296.9472129856</v>
      </c>
      <c r="H15" s="80" t="n">
        <f aca="false">Model!CS106</f>
        <v>1396.03036629357</v>
      </c>
      <c r="I15" s="81" t="n">
        <f aca="false">IFERROR((H15/C15)^(1/5)-1,"n/m")</f>
        <v>0.143700608104324</v>
      </c>
      <c r="N15" s="78" t="s">
        <v>599</v>
      </c>
      <c r="O15" s="82" t="n">
        <v>713.4</v>
      </c>
      <c r="P15" s="82" t="n">
        <v>922.156563049561</v>
      </c>
      <c r="Q15" s="82" t="n">
        <v>1138.68032974404</v>
      </c>
      <c r="R15" s="82" t="n">
        <v>1316.27151885677</v>
      </c>
      <c r="S15" s="82" t="n">
        <v>1464.62722653297</v>
      </c>
      <c r="T15" s="82" t="n">
        <v>1608.18846010987</v>
      </c>
      <c r="U15" s="81" t="n">
        <v>0.176523936272706</v>
      </c>
      <c r="Z15" s="78" t="s">
        <v>599</v>
      </c>
      <c r="AA15" s="82" t="n">
        <v>713.4</v>
      </c>
      <c r="AB15" s="82" t="n">
        <v>876.059371599505</v>
      </c>
      <c r="AC15" s="82" t="n">
        <v>912.7979205672</v>
      </c>
      <c r="AD15" s="82" t="n">
        <v>1003.89960105419</v>
      </c>
      <c r="AE15" s="82" t="n">
        <v>1057.59337749218</v>
      </c>
      <c r="AF15" s="82" t="n">
        <v>1096.89482423218</v>
      </c>
      <c r="AG15" s="81" t="n">
        <v>0.0898491164542241</v>
      </c>
    </row>
    <row r="16" customFormat="false" ht="15" hidden="false" customHeight="true" outlineLevel="0" collapsed="false">
      <c r="B16" s="83" t="s">
        <v>600</v>
      </c>
      <c r="C16" s="84"/>
      <c r="D16" s="85" t="n">
        <f aca="false">IFERROR(D15/C15-1,"")</f>
        <v>0.260313943544342</v>
      </c>
      <c r="E16" s="85" t="n">
        <f aca="false">IFERROR(E15/D15-1,"")</f>
        <v>0.162991258683</v>
      </c>
      <c r="F16" s="85" t="n">
        <f aca="false">IFERROR(F15/E15-1,"")</f>
        <v>0.136178997913988</v>
      </c>
      <c r="G16" s="85" t="n">
        <f aca="false">IFERROR(G15/F15-1,"")</f>
        <v>0.0916596205869635</v>
      </c>
      <c r="H16" s="85" t="n">
        <f aca="false">IFERROR(H15/G15-1,"")</f>
        <v>0.0763972136382354</v>
      </c>
      <c r="N16" s="83" t="s">
        <v>600</v>
      </c>
      <c r="O16" s="86"/>
      <c r="P16" s="86" t="n">
        <v>0.292622039598488</v>
      </c>
      <c r="Q16" s="86" t="n">
        <v>0.234801524351182</v>
      </c>
      <c r="R16" s="86" t="n">
        <v>0.155962287635758</v>
      </c>
      <c r="S16" s="86" t="n">
        <v>0.112709046386612</v>
      </c>
      <c r="T16" s="86" t="n">
        <v>0.0980189572992851</v>
      </c>
      <c r="Z16" s="83" t="s">
        <v>600</v>
      </c>
      <c r="AA16" s="86"/>
      <c r="AB16" s="86" t="n">
        <v>0.228005847490195</v>
      </c>
      <c r="AC16" s="86" t="n">
        <v>0.0419361405844192</v>
      </c>
      <c r="AD16" s="86" t="n">
        <v>0.0998048729453467</v>
      </c>
      <c r="AE16" s="86" t="n">
        <v>0.0534852054743433</v>
      </c>
      <c r="AF16" s="86" t="n">
        <v>0.0371612072999066</v>
      </c>
    </row>
    <row r="17" customFormat="false" ht="15" hidden="false" customHeight="true" outlineLevel="0" collapsed="false">
      <c r="B17" s="83" t="s">
        <v>601</v>
      </c>
      <c r="C17" s="87" t="n">
        <f aca="false">IFERROR(C15/C9,"")</f>
        <v>0.155401137081491</v>
      </c>
      <c r="D17" s="88" t="n">
        <f aca="false">IFERROR(D15/D9,"")</f>
        <v>0.179604195928882</v>
      </c>
      <c r="E17" s="88" t="n">
        <f aca="false">IFERROR(E15/E9,"")</f>
        <v>0.198716568999</v>
      </c>
      <c r="F17" s="88" t="n">
        <f aca="false">IFERROR(F15/F9,"")</f>
        <v>0.215488194845251</v>
      </c>
      <c r="G17" s="88" t="n">
        <f aca="false">IFERROR(G15/G9,"")</f>
        <v>0.225563650104686</v>
      </c>
      <c r="H17" s="88" t="n">
        <f aca="false">IFERROR(H15/H9,"")</f>
        <v>0.232807550849419</v>
      </c>
      <c r="J17" s="89" t="n">
        <f aca="false">IFERROR(AVERAGE(Model!C210,Model!D210,Model!E210,Model!F210,Model!G210,Model!H210,Model!I210,Model!O210,Model!U210,Model!AA210,Model!AG210,Model!AM210,Model!AS210,Model!AY210,Model!BE210,Model!BK210,Model!BQ210,Model!BW210,Model!CC210,Model!CI210),"")</f>
        <v>0.23970622577682</v>
      </c>
      <c r="K17" s="89" t="n">
        <f aca="false">IFERROR(MIN(Model!C210,Model!D210,Model!E210,Model!F210,Model!G210,Model!H210,Model!I210,Model!O210,Model!U210,Model!AA210,Model!AG210,Model!AM210,Model!AS210,Model!AY210,Model!BE210,Model!BK210,Model!BQ210,Model!BW210,Model!CC210,Model!CI210),"")</f>
        <v>0.113276379208621</v>
      </c>
      <c r="L17" s="89" t="n">
        <f aca="false">IFERROR(MAX(Model!C210,Model!D210,Model!E210,Model!F210,Model!G210,Model!H210,Model!I210,Model!O210,Model!U210,Model!AA210,Model!AG210,Model!AM210,Model!AS210,Model!AY210,Model!BE210,Model!BK210,Model!BQ210,Model!BW210,Model!CC210,Model!CI210),"")</f>
        <v>0.344170814332982</v>
      </c>
      <c r="N17" s="83" t="s">
        <v>601</v>
      </c>
      <c r="O17" s="90" t="n">
        <v>0.155401137081491</v>
      </c>
      <c r="P17" s="90" t="n">
        <v>0.182562013948676</v>
      </c>
      <c r="Q17" s="90" t="n">
        <v>0.21045402553165</v>
      </c>
      <c r="R17" s="90" t="n">
        <v>0.227840842273941</v>
      </c>
      <c r="S17" s="90" t="n">
        <v>0.238518355194292</v>
      </c>
      <c r="T17" s="90" t="n">
        <v>0.246398105625988</v>
      </c>
      <c r="V17" s="89" t="n">
        <v>0.23970622577682</v>
      </c>
      <c r="W17" s="89" t="n">
        <v>0.113276379208621</v>
      </c>
      <c r="X17" s="89" t="n">
        <v>0.344170814332982</v>
      </c>
      <c r="Z17" s="83" t="s">
        <v>601</v>
      </c>
      <c r="AA17" s="90" t="n">
        <v>0.155401137081491</v>
      </c>
      <c r="AB17" s="90" t="n">
        <v>0.176592545771292</v>
      </c>
      <c r="AC17" s="90" t="n">
        <v>0.180977253740677</v>
      </c>
      <c r="AD17" s="90" t="n">
        <v>0.196430450990575</v>
      </c>
      <c r="AE17" s="90" t="n">
        <v>0.205196177660261</v>
      </c>
      <c r="AF17" s="90" t="n">
        <v>0.211019558071128</v>
      </c>
      <c r="AH17" s="89" t="n">
        <v>0.23970622577682</v>
      </c>
      <c r="AI17" s="89" t="n">
        <v>0.113276379208621</v>
      </c>
      <c r="AJ17" s="89" t="n">
        <v>0.344170814332982</v>
      </c>
    </row>
    <row r="19" customFormat="false" ht="15" hidden="false" customHeight="true" outlineLevel="0" collapsed="false">
      <c r="B19" s="78" t="s">
        <v>602</v>
      </c>
      <c r="C19" s="79" t="n">
        <f aca="false">Model!CI188</f>
        <v>747</v>
      </c>
      <c r="D19" s="80" t="n">
        <f aca="false">Model!CO188</f>
        <v>821.886055166646</v>
      </c>
      <c r="E19" s="80" t="n">
        <f aca="false">Model!CP188</f>
        <v>872.719414857692</v>
      </c>
      <c r="F19" s="80" t="n">
        <f aca="false">Model!CQ188</f>
        <v>948.917945254485</v>
      </c>
      <c r="G19" s="80" t="n">
        <f aca="false">Model!CR188</f>
        <v>1024.93574109376</v>
      </c>
      <c r="H19" s="80" t="n">
        <f aca="false">Model!CS188</f>
        <v>1103.16478360215</v>
      </c>
      <c r="I19" s="81" t="n">
        <f aca="false">IFERROR((H19/C19)^(1/5)-1,"n/m")</f>
        <v>0.0810952458106737</v>
      </c>
      <c r="N19" s="78" t="s">
        <v>602</v>
      </c>
      <c r="O19" s="82" t="n">
        <v>747</v>
      </c>
      <c r="P19" s="82" t="n">
        <v>839.402987917667</v>
      </c>
      <c r="Q19" s="82" t="n">
        <v>938.63091841031</v>
      </c>
      <c r="R19" s="82" t="n">
        <v>1039.27252578563</v>
      </c>
      <c r="S19" s="82" t="n">
        <v>1143.34144785717</v>
      </c>
      <c r="T19" s="82" t="n">
        <v>1253.85747496064</v>
      </c>
      <c r="U19" s="81" t="n">
        <v>0.109137819873801</v>
      </c>
      <c r="Z19" s="78" t="s">
        <v>602</v>
      </c>
      <c r="AA19" s="82" t="n">
        <v>747</v>
      </c>
      <c r="AB19" s="82" t="n">
        <v>804.369122415624</v>
      </c>
      <c r="AC19" s="82" t="n">
        <v>778.506985926805</v>
      </c>
      <c r="AD19" s="82" t="n">
        <v>818.747635831255</v>
      </c>
      <c r="AE19" s="82" t="n">
        <v>855.257714364394</v>
      </c>
      <c r="AF19" s="82" t="n">
        <v>889.857786462482</v>
      </c>
      <c r="AG19" s="81" t="n">
        <v>0.0356189785500238</v>
      </c>
    </row>
    <row r="21" customFormat="false" ht="15" hidden="false" customHeight="true" outlineLevel="0" collapsed="false">
      <c r="B21" s="78" t="s">
        <v>603</v>
      </c>
      <c r="C21" s="91" t="n">
        <f aca="false">Model!CI127</f>
        <v>186.9</v>
      </c>
      <c r="D21" s="92" t="n">
        <f aca="false">Model!CO127</f>
        <v>186.1125</v>
      </c>
      <c r="E21" s="92" t="n">
        <f aca="false">Model!CP127</f>
        <v>182.363551401869</v>
      </c>
      <c r="F21" s="92" t="n">
        <f aca="false">Model!CQ127</f>
        <v>178.443505983055</v>
      </c>
      <c r="G21" s="92" t="n">
        <f aca="false">Model!CR127</f>
        <v>174.564071383617</v>
      </c>
      <c r="H21" s="92" t="n">
        <f aca="false">Model!CS127</f>
        <v>170.484186067213</v>
      </c>
      <c r="I21" s="81" t="n">
        <f aca="false">IFERROR((H21/C21)^(1/5)-1,"n/m")</f>
        <v>-0.018218238844554</v>
      </c>
      <c r="N21" s="78" t="s">
        <v>603</v>
      </c>
      <c r="O21" s="93" t="n">
        <v>186.9</v>
      </c>
      <c r="P21" s="93" t="n">
        <v>185.409375</v>
      </c>
      <c r="Q21" s="93" t="n">
        <v>179.61238317757</v>
      </c>
      <c r="R21" s="93" t="n">
        <v>173.997320726701</v>
      </c>
      <c r="S21" s="93" t="n">
        <v>168.533758059921</v>
      </c>
      <c r="T21" s="93" t="n">
        <v>162.973379222637</v>
      </c>
      <c r="U21" s="81" t="n">
        <v>-0.0270254651520534</v>
      </c>
      <c r="Z21" s="78" t="s">
        <v>603</v>
      </c>
      <c r="AA21" s="93" t="n">
        <v>186.9</v>
      </c>
      <c r="AB21" s="93" t="n">
        <v>187.05</v>
      </c>
      <c r="AC21" s="93" t="n">
        <v>186.031775700935</v>
      </c>
      <c r="AD21" s="93" t="n">
        <v>184.371752991528</v>
      </c>
      <c r="AE21" s="93" t="n">
        <v>182.604489148544</v>
      </c>
      <c r="AF21" s="93" t="n">
        <v>180.498595193313</v>
      </c>
      <c r="AG21" s="81" t="n">
        <v>-0.00694590880327228</v>
      </c>
    </row>
    <row r="23" customFormat="false" ht="15" hidden="false" customHeight="true" outlineLevel="0" collapsed="false">
      <c r="B23" s="78" t="s">
        <v>604</v>
      </c>
      <c r="C23" s="94" t="n">
        <f aca="false">Model!CI191</f>
        <v>3.99678972712681</v>
      </c>
      <c r="D23" s="95" t="n">
        <f aca="false">Model!CO191</f>
        <v>4.41607122125943</v>
      </c>
      <c r="E23" s="95" t="n">
        <f aca="false">Model!CP191</f>
        <v>4.78560221134598</v>
      </c>
      <c r="F23" s="95" t="n">
        <f aca="false">Model!CQ191</f>
        <v>5.31774995131844</v>
      </c>
      <c r="G23" s="95" t="n">
        <f aca="false">Model!CR191</f>
        <v>5.87140144572702</v>
      </c>
      <c r="H23" s="95" t="n">
        <f aca="false">Model!CS191</f>
        <v>6.47077485044412</v>
      </c>
      <c r="I23" s="81" t="n">
        <f aca="false">IFERROR((H23/C23)^(1/5)-1,"n/m")</f>
        <v>0.101156375667793</v>
      </c>
      <c r="N23" s="78" t="s">
        <v>604</v>
      </c>
      <c r="O23" s="96" t="n">
        <v>3.99678972712681</v>
      </c>
      <c r="P23" s="96" t="n">
        <v>4.52729527790958</v>
      </c>
      <c r="Q23" s="96" t="n">
        <v>5.22586974129925</v>
      </c>
      <c r="R23" s="96" t="n">
        <v>5.9729225797564</v>
      </c>
      <c r="S23" s="96" t="n">
        <v>6.78405003851315</v>
      </c>
      <c r="T23" s="96" t="n">
        <v>7.69363365318544</v>
      </c>
      <c r="U23" s="81" t="n">
        <v>0.139945373850029</v>
      </c>
      <c r="Z23" s="78" t="s">
        <v>604</v>
      </c>
      <c r="AA23" s="96" t="n">
        <v>3.99678972712681</v>
      </c>
      <c r="AB23" s="96" t="n">
        <v>4.30028934731689</v>
      </c>
      <c r="AC23" s="96" t="n">
        <v>4.18480650949833</v>
      </c>
      <c r="AD23" s="96" t="n">
        <v>4.44074334894933</v>
      </c>
      <c r="AE23" s="96" t="n">
        <v>4.68366204112684</v>
      </c>
      <c r="AF23" s="96" t="n">
        <v>4.92999840530309</v>
      </c>
      <c r="AG23" s="81" t="n">
        <v>0.042862607113376</v>
      </c>
    </row>
    <row r="24" customFormat="false" ht="15" hidden="false" customHeight="true" outlineLevel="0" collapsed="false">
      <c r="B24" s="83" t="s">
        <v>605</v>
      </c>
      <c r="C24" s="84"/>
      <c r="D24" s="85" t="n">
        <f aca="false">IFERROR(D23/C23-1,"")</f>
        <v>0.104904566604267</v>
      </c>
      <c r="E24" s="85" t="n">
        <f aca="false">IFERROR(E23/D23-1,"")</f>
        <v>0.0836786753591279</v>
      </c>
      <c r="F24" s="85" t="n">
        <f aca="false">IFERROR(F23/E23-1,"")</f>
        <v>0.111197654228513</v>
      </c>
      <c r="G24" s="85" t="n">
        <f aca="false">IFERROR(G23/F23-1,"")</f>
        <v>0.104113863847868</v>
      </c>
      <c r="H24" s="85" t="n">
        <f aca="false">IFERROR(H23/G23-1,"")</f>
        <v>0.102083533251384</v>
      </c>
      <c r="N24" s="83" t="s">
        <v>605</v>
      </c>
      <c r="O24" s="86"/>
      <c r="P24" s="86" t="n">
        <v>0.132732914914726</v>
      </c>
      <c r="Q24" s="86" t="n">
        <v>0.154302827738736</v>
      </c>
      <c r="R24" s="86" t="n">
        <v>0.142952824207098</v>
      </c>
      <c r="S24" s="86" t="n">
        <v>0.135800765525716</v>
      </c>
      <c r="T24" s="86" t="n">
        <v>0.134076784444184</v>
      </c>
      <c r="Z24" s="83" t="s">
        <v>605</v>
      </c>
      <c r="AA24" s="86"/>
      <c r="AB24" s="86" t="n">
        <v>0.0759358487463535</v>
      </c>
      <c r="AC24" s="86" t="n">
        <v>-0.0268546668587799</v>
      </c>
      <c r="AD24" s="86" t="n">
        <v>0.0611585837648867</v>
      </c>
      <c r="AE24" s="86" t="n">
        <v>0.0547022588537986</v>
      </c>
      <c r="AF24" s="86" t="n">
        <v>0.0525948204659505</v>
      </c>
    </row>
    <row r="26" customFormat="false" ht="15" hidden="false" customHeight="true" outlineLevel="0" collapsed="false">
      <c r="B26" s="83" t="s">
        <v>606</v>
      </c>
      <c r="E26" s="97" t="n">
        <v>22</v>
      </c>
      <c r="F26" s="97" t="n">
        <f aca="false">E26</f>
        <v>22</v>
      </c>
      <c r="G26" s="97" t="n">
        <f aca="false">F26</f>
        <v>22</v>
      </c>
      <c r="H26" s="97" t="n">
        <f aca="false">G26</f>
        <v>22</v>
      </c>
      <c r="N26" s="83" t="s">
        <v>606</v>
      </c>
      <c r="Q26" s="97" t="n">
        <v>26</v>
      </c>
      <c r="R26" s="97" t="n">
        <f aca="false">Q26</f>
        <v>26</v>
      </c>
      <c r="S26" s="97" t="n">
        <f aca="false">R26</f>
        <v>26</v>
      </c>
      <c r="T26" s="97" t="n">
        <f aca="false">S26</f>
        <v>26</v>
      </c>
      <c r="Z26" s="83" t="s">
        <v>606</v>
      </c>
      <c r="AC26" s="97" t="n">
        <v>17</v>
      </c>
      <c r="AD26" s="97" t="n">
        <f aca="false">AC26</f>
        <v>17</v>
      </c>
      <c r="AE26" s="97" t="n">
        <f aca="false">AD26</f>
        <v>17</v>
      </c>
      <c r="AF26" s="97" t="n">
        <f aca="false">AE26</f>
        <v>17</v>
      </c>
    </row>
    <row r="27" customFormat="false" ht="15" hidden="false" customHeight="true" outlineLevel="0" collapsed="false">
      <c r="B27" s="12" t="s">
        <v>607</v>
      </c>
      <c r="E27" s="98" t="n">
        <f aca="false">E26*E23</f>
        <v>105.283248649612</v>
      </c>
      <c r="F27" s="98" t="n">
        <f aca="false">F26*F23</f>
        <v>116.990498929006</v>
      </c>
      <c r="G27" s="98" t="n">
        <f aca="false">G26*G23</f>
        <v>129.170831805994</v>
      </c>
      <c r="H27" s="98" t="n">
        <f aca="false">H26*H23</f>
        <v>142.357046709771</v>
      </c>
      <c r="N27" s="12" t="s">
        <v>607</v>
      </c>
      <c r="Q27" s="98" t="n">
        <f aca="false">Q26*Q23</f>
        <v>135.872613273781</v>
      </c>
      <c r="R27" s="98" t="n">
        <f aca="false">R26*R23</f>
        <v>155.295987073666</v>
      </c>
      <c r="S27" s="98" t="n">
        <f aca="false">S26*S23</f>
        <v>176.385301001342</v>
      </c>
      <c r="T27" s="98" t="n">
        <f aca="false">T26*T23</f>
        <v>200.034474982821</v>
      </c>
      <c r="Z27" s="12" t="s">
        <v>607</v>
      </c>
      <c r="AC27" s="98" t="n">
        <f aca="false">AC26*AC23</f>
        <v>71.1417106614716</v>
      </c>
      <c r="AD27" s="98" t="n">
        <f aca="false">AD26*AD23</f>
        <v>75.4926369321386</v>
      </c>
      <c r="AE27" s="98" t="n">
        <f aca="false">AE26*AE23</f>
        <v>79.6222546991563</v>
      </c>
      <c r="AF27" s="98" t="n">
        <f aca="false">AF26*AF23</f>
        <v>83.8099728901525</v>
      </c>
    </row>
    <row r="28" customFormat="false" ht="15" hidden="false" customHeight="true" outlineLevel="0" collapsed="false">
      <c r="B28" s="1" t="s">
        <v>608</v>
      </c>
      <c r="E28" s="86" t="n">
        <f aca="false">IFERROR(E27/$K$2-1,"")</f>
        <v>0.316040608120146</v>
      </c>
      <c r="F28" s="86" t="n">
        <f aca="false">IFERROR(F27/$K$2-1,"")</f>
        <v>0.462381236612572</v>
      </c>
      <c r="G28" s="86" t="n">
        <f aca="false">IFERROR(G27/$K$2-1,"")</f>
        <v>0.61463539757493</v>
      </c>
      <c r="H28" s="86" t="n">
        <f aca="false">IFERROR(H27/$K$2-1,"")</f>
        <v>0.779463083872132</v>
      </c>
      <c r="N28" s="1" t="s">
        <v>608</v>
      </c>
      <c r="Q28" s="86" t="n">
        <f aca="false">IFERROR(Q27/$K$2-1,"")</f>
        <v>0.698407665922256</v>
      </c>
      <c r="R28" s="86" t="n">
        <f aca="false">IFERROR(R27/$K$2-1,"")</f>
        <v>0.94119983842083</v>
      </c>
      <c r="S28" s="86" t="n">
        <f aca="false">IFERROR(S27/$K$2-1,"")</f>
        <v>1.20481626251677</v>
      </c>
      <c r="T28" s="86" t="n">
        <f aca="false">IFERROR(T27/$K$2-1,"")</f>
        <v>1.50043093728527</v>
      </c>
      <c r="Z28" s="1" t="s">
        <v>608</v>
      </c>
      <c r="AC28" s="86" t="n">
        <f aca="false">IFERROR(AC27/$K$2-1,"")</f>
        <v>-0.110728616731605</v>
      </c>
      <c r="AD28" s="86" t="n">
        <f aca="false">IFERROR(AD27/$K$2-1,"")</f>
        <v>-0.0563420383482673</v>
      </c>
      <c r="AE28" s="86" t="n">
        <f aca="false">IFERROR(AE27/$K$2-1,"")</f>
        <v>-0.00472181626054657</v>
      </c>
      <c r="AF28" s="86" t="n">
        <f aca="false">IFERROR(AF27/$K$2-1,"")</f>
        <v>0.0476246611269067</v>
      </c>
    </row>
    <row r="29" customFormat="false" ht="15" hidden="false" customHeight="true" outlineLevel="0" collapsed="false">
      <c r="B29" s="72" t="s">
        <v>609</v>
      </c>
      <c r="F29" s="99" t="n">
        <f aca="false">IFERROR((F27/$K$2)^(1/((DATE(2028-1,12,31)-$K$3)/365.25))-1,"")</f>
        <v>0.357668690046084</v>
      </c>
      <c r="G29" s="99" t="n">
        <f aca="false">IFERROR((G27/$K$2)^(1/((DATE(2029-1,12,31)-$K$3)/365.25))-1,"")</f>
        <v>0.237889704964074</v>
      </c>
      <c r="H29" s="99" t="n">
        <f aca="false">IFERROR((H27/$K$2)^(1/((DATE(2030-1,12,31)-$K$3)/365.25))-1,"")</f>
        <v>0.194389658788517</v>
      </c>
      <c r="N29" s="72" t="s">
        <v>609</v>
      </c>
      <c r="R29" s="99" t="n">
        <f aca="false">IFERROR((R27/$K$2)^(1/((DATE(2028-1,12,31)-$K$3)/365.25))-1,"")</f>
        <v>0.705127877838156</v>
      </c>
      <c r="S29" s="99" t="n">
        <f aca="false">IFERROR((S27/$K$2)^(1/((DATE(2029-1,12,31)-$K$3)/365.25))-1,"")</f>
        <v>0.422156141046987</v>
      </c>
      <c r="T29" s="99" t="n">
        <f aca="false">IFERROR((T27/$K$2)^(1/((DATE(2030-1,12,31)-$K$3)/365.25))-1,"")</f>
        <v>0.326414512609069</v>
      </c>
      <c r="Z29" s="72" t="s">
        <v>609</v>
      </c>
      <c r="AD29" s="99" t="n">
        <f aca="false">IFERROR((AD27/$K$2)^(1/((DATE(2028-1,12,31)-$K$3)/365.25))-1,"")</f>
        <v>-0.0455834443837641</v>
      </c>
      <c r="AE29" s="99" t="n">
        <f aca="false">IFERROR((AE27/$K$2)^(1/((DATE(2029-1,12,31)-$K$3)/365.25))-1,"")</f>
        <v>-0.00210598414652885</v>
      </c>
      <c r="AF29" s="99" t="n">
        <f aca="false">IFERROR((AF27/$K$2)^(1/((DATE(2030-1,12,31)-$K$3)/365.25))-1,"")</f>
        <v>0.0144437329436902</v>
      </c>
    </row>
    <row r="31" customFormat="false" ht="15" hidden="false" customHeight="true" outlineLevel="0" collapsed="false">
      <c r="B31" s="78" t="s">
        <v>610</v>
      </c>
      <c r="C31" s="79" t="n">
        <f aca="false">Model!CI251</f>
        <v>608</v>
      </c>
      <c r="D31" s="80" t="n">
        <f aca="false">Model!CO251</f>
        <v>715.076084506366</v>
      </c>
      <c r="E31" s="80" t="n">
        <f aca="false">Model!CP251</f>
        <v>805.770495029041</v>
      </c>
      <c r="F31" s="80" t="n">
        <f aca="false">Model!CQ251</f>
        <v>889.862123360139</v>
      </c>
      <c r="G31" s="80" t="n">
        <f aca="false">Model!CR251</f>
        <v>976.265651071246</v>
      </c>
      <c r="H31" s="80" t="n">
        <f aca="false">Model!CS251</f>
        <v>1071.52990032367</v>
      </c>
      <c r="I31" s="81" t="n">
        <f aca="false">IFERROR((H31/C31)^(1/5)-1,"n/m")</f>
        <v>0.120005468106811</v>
      </c>
      <c r="N31" s="78" t="s">
        <v>610</v>
      </c>
      <c r="O31" s="82" t="n">
        <v>608</v>
      </c>
      <c r="P31" s="82" t="n">
        <v>737.997276030983</v>
      </c>
      <c r="Q31" s="82" t="n">
        <v>877.376099845375</v>
      </c>
      <c r="R31" s="82" t="n">
        <v>985.01347469365</v>
      </c>
      <c r="S31" s="82" t="n">
        <v>1098.89738920077</v>
      </c>
      <c r="T31" s="82" t="n">
        <v>1226.47171128813</v>
      </c>
      <c r="U31" s="81" t="n">
        <v>0.150670002251042</v>
      </c>
      <c r="Z31" s="78" t="s">
        <v>610</v>
      </c>
      <c r="AA31" s="82" t="n">
        <v>608</v>
      </c>
      <c r="AB31" s="82" t="n">
        <v>692.154892981748</v>
      </c>
      <c r="AC31" s="82" t="n">
        <v>701.368078075754</v>
      </c>
      <c r="AD31" s="82" t="n">
        <v>751.718458411044</v>
      </c>
      <c r="AE31" s="82" t="n">
        <v>800.245834488529</v>
      </c>
      <c r="AF31" s="82" t="n">
        <v>852.560907510888</v>
      </c>
      <c r="AG31" s="81" t="n">
        <v>0.0699521780673018</v>
      </c>
    </row>
    <row r="32" customFormat="false" ht="15" hidden="false" customHeight="true" outlineLevel="0" collapsed="false">
      <c r="B32" s="83" t="s">
        <v>611</v>
      </c>
      <c r="C32" s="87" t="n">
        <f aca="false">IFERROR(C31/C9,"")</f>
        <v>0.132441675561461</v>
      </c>
      <c r="D32" s="88" t="n">
        <f aca="false">IFERROR(D31/D9,"")</f>
        <v>0.142842316888714</v>
      </c>
      <c r="E32" s="88" t="n">
        <f aca="false">IFERROR(E31/E9,"")</f>
        <v>0.153128893467903</v>
      </c>
      <c r="F32" s="88" t="n">
        <f aca="false">IFERROR(F31/F9,"")</f>
        <v>0.161402832088447</v>
      </c>
      <c r="G32" s="88" t="n">
        <f aca="false">IFERROR(G31/G9,"")</f>
        <v>0.169791061288093</v>
      </c>
      <c r="H32" s="88" t="n">
        <f aca="false">IFERROR(H31/H9,"")</f>
        <v>0.178692568427854</v>
      </c>
      <c r="J32" s="89" t="n">
        <f aca="false">IFERROR(AVERAGE(Model!C253,Model!D253,Model!E253,Model!F253,Model!G253,Model!H253,Model!I253,Model!O253,Model!U253,Model!AA253,Model!AG253,Model!AM253,Model!AS253,Model!AY253,Model!BE253,Model!BK253,Model!BQ253,Model!BW253,Model!CC253,Model!CI253),"")</f>
        <v>0.145425090730087</v>
      </c>
      <c r="K32" s="89" t="n">
        <f aca="false">IFERROR(MIN(Model!C253,Model!D253,Model!E253,Model!F253,Model!G253,Model!H253,Model!I253,Model!O253,Model!U253,Model!AA253,Model!AG253,Model!AM253,Model!AS253,Model!AY253,Model!BE253,Model!BK253,Model!BQ253,Model!BW253,Model!CC253,Model!CI253),"")</f>
        <v>-0.0578409212610409</v>
      </c>
      <c r="L32" s="89" t="n">
        <f aca="false">IFERROR(MAX(Model!C253,Model!D253,Model!E253,Model!F253,Model!G253,Model!H253,Model!I253,Model!O253,Model!U253,Model!AA253,Model!AG253,Model!AM253,Model!AS253,Model!AY253,Model!BE253,Model!BK253,Model!BQ253,Model!BW253,Model!CC253,Model!CI253),"")</f>
        <v>0.353393748485583</v>
      </c>
      <c r="N32" s="83" t="s">
        <v>611</v>
      </c>
      <c r="O32" s="90" t="n">
        <v>0.132441675561461</v>
      </c>
      <c r="P32" s="90" t="n">
        <v>0.146103464855579</v>
      </c>
      <c r="Q32" s="90" t="n">
        <v>0.162159060180853</v>
      </c>
      <c r="R32" s="90" t="n">
        <v>0.170501523819573</v>
      </c>
      <c r="S32" s="90" t="n">
        <v>0.178958299457483</v>
      </c>
      <c r="T32" s="90" t="n">
        <v>0.187913490092207</v>
      </c>
      <c r="V32" s="89" t="n">
        <v>0.145425090730087</v>
      </c>
      <c r="W32" s="89" t="n">
        <v>-0.0578409212610409</v>
      </c>
      <c r="X32" s="89" t="n">
        <v>0.353393748485583</v>
      </c>
      <c r="Z32" s="83" t="s">
        <v>611</v>
      </c>
      <c r="AA32" s="90" t="n">
        <v>0.132441675561461</v>
      </c>
      <c r="AB32" s="90" t="n">
        <v>0.139521816194417</v>
      </c>
      <c r="AC32" s="90" t="n">
        <v>0.13905779775731</v>
      </c>
      <c r="AD32" s="90" t="n">
        <v>0.147086815901275</v>
      </c>
      <c r="AE32" s="90" t="n">
        <v>0.15526514246427</v>
      </c>
      <c r="AF32" s="90" t="n">
        <v>0.164014837117681</v>
      </c>
      <c r="AH32" s="89" t="n">
        <v>0.145425090730087</v>
      </c>
      <c r="AI32" s="89" t="n">
        <v>-0.0578409212610409</v>
      </c>
      <c r="AJ32" s="89" t="n">
        <v>0.353393748485583</v>
      </c>
    </row>
    <row r="33" customFormat="false" ht="15" hidden="false" customHeight="true" outlineLevel="0" collapsed="false">
      <c r="B33" s="83" t="s">
        <v>612</v>
      </c>
      <c r="C33" s="100" t="n">
        <f aca="false">IFERROR(C31/C21,"")</f>
        <v>3.25307651150348</v>
      </c>
      <c r="D33" s="101" t="n">
        <f aca="false">IFERROR(D31/D21,"")</f>
        <v>3.84217118412984</v>
      </c>
      <c r="E33" s="101" t="n">
        <f aca="false">IFERROR(E31/E21,"")</f>
        <v>4.41848433436893</v>
      </c>
      <c r="F33" s="101" t="n">
        <f aca="false">IFERROR(F31/F21,"")</f>
        <v>4.98680026744509</v>
      </c>
      <c r="G33" s="101" t="n">
        <f aca="false">IFERROR(G31/G21,"")</f>
        <v>5.59259212582087</v>
      </c>
      <c r="H33" s="101" t="n">
        <f aca="false">IFERROR(H31/H21,"")</f>
        <v>6.28521580236906</v>
      </c>
      <c r="N33" s="83" t="s">
        <v>612</v>
      </c>
      <c r="O33" s="102" t="n">
        <v>3.25307651150348</v>
      </c>
      <c r="P33" s="102" t="n">
        <v>3.98036655930145</v>
      </c>
      <c r="Q33" s="102" t="n">
        <v>4.88483079130449</v>
      </c>
      <c r="R33" s="102" t="n">
        <v>5.66108415106471</v>
      </c>
      <c r="S33" s="102" t="n">
        <v>6.52033991201967</v>
      </c>
      <c r="T33" s="102" t="n">
        <v>7.52559538949395</v>
      </c>
      <c r="Z33" s="83" t="s">
        <v>612</v>
      </c>
      <c r="AA33" s="102" t="n">
        <v>3.25307651150348</v>
      </c>
      <c r="AB33" s="102" t="n">
        <v>3.70037365935177</v>
      </c>
      <c r="AC33" s="102" t="n">
        <v>3.77015203683953</v>
      </c>
      <c r="AD33" s="102" t="n">
        <v>4.0771888655069</v>
      </c>
      <c r="AE33" s="102" t="n">
        <v>4.38239956870693</v>
      </c>
      <c r="AF33" s="102" t="n">
        <v>4.72336588879154</v>
      </c>
    </row>
    <row r="34" customFormat="false" ht="15" hidden="false" customHeight="true" outlineLevel="0" collapsed="false">
      <c r="B34" s="83" t="s">
        <v>613</v>
      </c>
      <c r="E34" s="90" t="n">
        <f aca="false">IFERROR(E33/E$27,"")</f>
        <v>0.0419675911509331</v>
      </c>
      <c r="F34" s="90" t="n">
        <f aca="false">IFERROR(F33/F$27,"")</f>
        <v>0.0426256859582355</v>
      </c>
      <c r="G34" s="90" t="n">
        <f aca="false">IFERROR(G33/G$27,"")</f>
        <v>0.043296091289561</v>
      </c>
      <c r="H34" s="90" t="n">
        <f aca="false">IFERROR(H33/H$27,"")</f>
        <v>0.0441510690734053</v>
      </c>
      <c r="N34" s="83" t="s">
        <v>613</v>
      </c>
      <c r="Q34" s="90" t="n">
        <f aca="false">IFERROR(Q33/Q$27,"")</f>
        <v>0.0359515480979354</v>
      </c>
      <c r="R34" s="90" t="n">
        <f aca="false">IFERROR(R33/R$27,"")</f>
        <v>0.0364535121463204</v>
      </c>
      <c r="S34" s="90" t="n">
        <f aca="false">IFERROR(S33/S$27,"")</f>
        <v>0.0369664585144205</v>
      </c>
      <c r="T34" s="90" t="n">
        <f aca="false">IFERROR(T33/T$27,"")</f>
        <v>0.037621491946027</v>
      </c>
      <c r="Z34" s="83" t="s">
        <v>613</v>
      </c>
      <c r="AC34" s="90" t="n">
        <f aca="false">IFERROR(AC33/AC$27,"")</f>
        <v>0.0529949589598685</v>
      </c>
      <c r="AD34" s="90" t="n">
        <f aca="false">IFERROR(AD33/AD$27,"")</f>
        <v>0.0540077685877093</v>
      </c>
      <c r="AE34" s="90" t="n">
        <f aca="false">IFERROR(AE33/AE$27,"")</f>
        <v>0.0550398828225266</v>
      </c>
      <c r="AF34" s="90" t="n">
        <f aca="false">IFERROR(AF33/AF$27,"")</f>
        <v>0.0563580410052432</v>
      </c>
    </row>
    <row r="35" customFormat="false" ht="15" hidden="false" customHeight="true" outlineLevel="0" collapsed="false">
      <c r="B35" s="78" t="s">
        <v>562</v>
      </c>
      <c r="C35" s="79" t="n">
        <f aca="false">Model!CI80</f>
        <v>1399.7</v>
      </c>
      <c r="D35" s="80" t="n">
        <f aca="false">Model!CO80</f>
        <v>1520</v>
      </c>
      <c r="E35" s="80" t="n">
        <f aca="false">Model!CP80</f>
        <v>1604.9224638025</v>
      </c>
      <c r="F35" s="80" t="n">
        <f aca="false">Model!CQ80</f>
        <v>1709.12278720411</v>
      </c>
      <c r="G35" s="80" t="n">
        <f aca="false">Model!CR80</f>
        <v>1811.18886797964</v>
      </c>
      <c r="H35" s="80" t="n">
        <f aca="false">Model!CS80</f>
        <v>1918.8798455377</v>
      </c>
      <c r="I35" s="81" t="n">
        <f aca="false">IFERROR((H35/C35)^(1/5)-1,"n/m")</f>
        <v>0.0651298693857514</v>
      </c>
      <c r="N35" s="78" t="s">
        <v>562</v>
      </c>
      <c r="O35" s="82" t="n">
        <v>1399.7</v>
      </c>
      <c r="P35" s="82" t="n">
        <v>1545</v>
      </c>
      <c r="Q35" s="82" t="n">
        <v>1704.33567599035</v>
      </c>
      <c r="R35" s="82" t="n">
        <v>1848.68911925691</v>
      </c>
      <c r="S35" s="82" t="n">
        <v>1995.66967596885</v>
      </c>
      <c r="T35" s="82" t="n">
        <v>2153.84038967337</v>
      </c>
      <c r="U35" s="81" t="n">
        <v>0.0900231229247861</v>
      </c>
      <c r="Z35" s="78" t="s">
        <v>562</v>
      </c>
      <c r="AA35" s="82" t="n">
        <v>1399.7</v>
      </c>
      <c r="AB35" s="82" t="n">
        <v>1495</v>
      </c>
      <c r="AC35" s="82" t="n">
        <v>1462.677720504</v>
      </c>
      <c r="AD35" s="82" t="n">
        <v>1507.66024726581</v>
      </c>
      <c r="AE35" s="82" t="n">
        <v>1546.21795037998</v>
      </c>
      <c r="AF35" s="82" t="n">
        <v>1585.4119137054</v>
      </c>
      <c r="AG35" s="81" t="n">
        <v>0.0252302952196164</v>
      </c>
    </row>
    <row r="36" customFormat="false" ht="15" hidden="false" customHeight="true" outlineLevel="0" collapsed="false">
      <c r="B36" s="83" t="s">
        <v>614</v>
      </c>
      <c r="C36" s="87" t="n">
        <f aca="false">IFERROR(C35/C9,"")</f>
        <v>0.304899035005555</v>
      </c>
      <c r="D36" s="88" t="n">
        <f aca="false">IFERROR(D35/D9,"")</f>
        <v>0.303632475445923</v>
      </c>
      <c r="E36" s="88" t="n">
        <f aca="false">IFERROR(E35/E9,"")</f>
        <v>0.305</v>
      </c>
      <c r="F36" s="88" t="n">
        <f aca="false">IFERROR(F35/F9,"")</f>
        <v>0.31</v>
      </c>
      <c r="G36" s="88" t="n">
        <f aca="false">IFERROR(G35/G9,"")</f>
        <v>0.315</v>
      </c>
      <c r="H36" s="88" t="n">
        <f aca="false">IFERROR(H35/H9,"")</f>
        <v>0.32</v>
      </c>
      <c r="J36" s="89" t="n">
        <f aca="false">IFERROR(AVERAGE(Model!C209,Model!D209,Model!E209,Model!F209,Model!G209,Model!H209,Model!I209,Model!O209,Model!U209,Model!AA209,Model!AG209,Model!AM209,Model!AS209,Model!AY209,Model!BE209,Model!BK209,Model!BQ209,Model!BW209,Model!CC209,Model!CI209),"")</f>
        <v>0.33418027276741</v>
      </c>
      <c r="K36" s="89" t="n">
        <f aca="false">IFERROR(MIN(Model!C209,Model!D209,Model!E209,Model!F209,Model!G209,Model!H209,Model!I209,Model!O209,Model!U209,Model!AA209,Model!AG209,Model!AM209,Model!AS209,Model!AY209,Model!BE209,Model!BK209,Model!BQ209,Model!BW209,Model!CC209,Model!CI209),"")</f>
        <v>0.19720528711654</v>
      </c>
      <c r="L36" s="89" t="n">
        <f aca="false">IFERROR(MAX(Model!C209,Model!D209,Model!E209,Model!F209,Model!G209,Model!H209,Model!I209,Model!O209,Model!U209,Model!AA209,Model!AG209,Model!AM209,Model!AS209,Model!AY209,Model!BE209,Model!BK209,Model!BQ209,Model!BW209,Model!CC209,Model!CI209),"")</f>
        <v>0.450690213010614</v>
      </c>
      <c r="N36" s="83" t="s">
        <v>614</v>
      </c>
      <c r="O36" s="90" t="n">
        <v>0.304899035005555</v>
      </c>
      <c r="P36" s="90" t="n">
        <v>0.305868138722498</v>
      </c>
      <c r="Q36" s="90" t="n">
        <v>0.315</v>
      </c>
      <c r="R36" s="90" t="n">
        <v>0.32</v>
      </c>
      <c r="S36" s="90" t="n">
        <v>0.325</v>
      </c>
      <c r="T36" s="90" t="n">
        <v>0.33</v>
      </c>
      <c r="V36" s="89" t="n">
        <v>0.33418027276741</v>
      </c>
      <c r="W36" s="89" t="n">
        <v>0.19720528711654</v>
      </c>
      <c r="X36" s="89" t="n">
        <v>0.450690213010614</v>
      </c>
      <c r="Z36" s="83" t="s">
        <v>614</v>
      </c>
      <c r="AA36" s="90" t="n">
        <v>0.304899035005555</v>
      </c>
      <c r="AB36" s="90" t="n">
        <v>0.301356123211216</v>
      </c>
      <c r="AC36" s="90" t="n">
        <v>0.29</v>
      </c>
      <c r="AD36" s="90" t="n">
        <v>0.295</v>
      </c>
      <c r="AE36" s="90" t="n">
        <v>0.3</v>
      </c>
      <c r="AF36" s="90" t="n">
        <v>0.305</v>
      </c>
      <c r="AH36" s="89" t="n">
        <v>0.33418027276741</v>
      </c>
      <c r="AI36" s="89" t="n">
        <v>0.19720528711654</v>
      </c>
      <c r="AJ36" s="89" t="n">
        <v>0.450690213010614</v>
      </c>
    </row>
    <row r="38" customFormat="false" ht="15" hidden="false" customHeight="true" outlineLevel="0" collapsed="false">
      <c r="B38" s="78" t="s">
        <v>615</v>
      </c>
      <c r="C38" s="79" t="n">
        <f aca="false">Model!CI376</f>
        <v>1940</v>
      </c>
      <c r="D38" s="80" t="n">
        <f aca="false">Model!CO376</f>
        <v>2167.11191549363</v>
      </c>
      <c r="E38" s="80" t="n">
        <f aca="false">Model!CP376</f>
        <v>2018.84412700665</v>
      </c>
      <c r="F38" s="80" t="n">
        <f aca="false">Model!CQ376</f>
        <v>1795.59503189939</v>
      </c>
      <c r="G38" s="80" t="n">
        <f aca="false">Model!CR376</f>
        <v>1545.32299086722</v>
      </c>
      <c r="H38" s="80" t="n">
        <f aca="false">Model!CS376</f>
        <v>1259.05134283438</v>
      </c>
      <c r="N38" s="78" t="s">
        <v>615</v>
      </c>
      <c r="O38" s="82" t="n">
        <v>1940</v>
      </c>
      <c r="P38" s="82" t="n">
        <v>2293.29072396902</v>
      </c>
      <c r="Q38" s="82" t="n">
        <v>2219.68454561897</v>
      </c>
      <c r="R38" s="82" t="n">
        <v>2044.88955997303</v>
      </c>
      <c r="S38" s="82" t="n">
        <v>1812.79256525481</v>
      </c>
      <c r="T38" s="82" t="n">
        <v>1509.44186389938</v>
      </c>
      <c r="Z38" s="78" t="s">
        <v>615</v>
      </c>
      <c r="AA38" s="82" t="n">
        <v>1940</v>
      </c>
      <c r="AB38" s="82" t="n">
        <v>1991.23310701825</v>
      </c>
      <c r="AC38" s="82" t="n">
        <v>1752.34478221353</v>
      </c>
      <c r="AD38" s="82" t="n">
        <v>1475.76540432892</v>
      </c>
      <c r="AE38" s="82" t="n">
        <v>1213.7708006215</v>
      </c>
      <c r="AF38" s="82" t="n">
        <v>962.651135212278</v>
      </c>
    </row>
    <row r="39" customFormat="false" ht="15" hidden="false" customHeight="true" outlineLevel="0" collapsed="false">
      <c r="B39" s="83" t="s">
        <v>616</v>
      </c>
      <c r="C39" s="103" t="n">
        <f aca="false">IFERROR(C38/C35,"")</f>
        <v>1.38601128813317</v>
      </c>
      <c r="D39" s="104" t="n">
        <f aca="false">IFERROR(D38/D35,"")</f>
        <v>1.42573152335108</v>
      </c>
      <c r="E39" s="104" t="n">
        <f aca="false">IFERROR(E38/E35,"")</f>
        <v>1.25790757655884</v>
      </c>
      <c r="F39" s="104" t="n">
        <f aca="false">IFERROR(F38/F35,"")</f>
        <v>1.05059451862832</v>
      </c>
      <c r="G39" s="104" t="n">
        <f aca="false">IFERROR(G38/G35,"")</f>
        <v>0.853209192142953</v>
      </c>
      <c r="H39" s="104" t="n">
        <f aca="false">IFERROR(H38/H35,"")</f>
        <v>0.656138708091736</v>
      </c>
      <c r="N39" s="83" t="s">
        <v>616</v>
      </c>
      <c r="O39" s="105" t="n">
        <v>1.38601128813317</v>
      </c>
      <c r="P39" s="105" t="n">
        <v>1.48433056567574</v>
      </c>
      <c r="Q39" s="105" t="n">
        <v>1.3023752168593</v>
      </c>
      <c r="R39" s="105" t="n">
        <v>1.10612949396001</v>
      </c>
      <c r="S39" s="105" t="n">
        <v>0.908363035768804</v>
      </c>
      <c r="T39" s="105" t="n">
        <v>0.700814169488336</v>
      </c>
      <c r="Z39" s="83" t="s">
        <v>616</v>
      </c>
      <c r="AA39" s="105" t="n">
        <v>1.38601128813317</v>
      </c>
      <c r="AB39" s="105" t="n">
        <v>1.33192849967776</v>
      </c>
      <c r="AC39" s="105" t="n">
        <v>1.1980388828304</v>
      </c>
      <c r="AD39" s="105" t="n">
        <v>0.978844807379691</v>
      </c>
      <c r="AE39" s="105" t="n">
        <v>0.784993344776021</v>
      </c>
      <c r="AF39" s="105" t="n">
        <v>0.607193075118496</v>
      </c>
    </row>
    <row r="41" customFormat="false" ht="15" hidden="false" customHeight="true" outlineLevel="0" collapsed="false">
      <c r="B41" s="78" t="s">
        <v>617</v>
      </c>
      <c r="C41" s="106" t="n">
        <f aca="false">Model!CI356</f>
        <v>0.119508787206056</v>
      </c>
      <c r="D41" s="107" t="n">
        <f aca="false">Model!CO356</f>
        <v>0.120062150300868</v>
      </c>
      <c r="E41" s="107" t="n">
        <f aca="false">Model!CP356</f>
        <v>0.127739401467936</v>
      </c>
      <c r="F41" s="107" t="n">
        <f aca="false">Model!CQ356</f>
        <v>0.136606670542973</v>
      </c>
      <c r="G41" s="107" t="n">
        <f aca="false">Model!CR356</f>
        <v>0.145182640640337</v>
      </c>
      <c r="H41" s="107" t="n">
        <f aca="false">Model!CS356</f>
        <v>0.154391158438759</v>
      </c>
      <c r="J41" s="89" t="n">
        <f aca="false">IFERROR(AVERAGE(Model!C356,Model!D356,Model!E356,Model!F356,Model!G356,Model!H356,Model!I356,Model!O356,Model!U356,Model!AA356,Model!AG356,Model!AM356,Model!AS356,Model!AY356,Model!BE356,Model!BK356,Model!BQ356,Model!BW356,Model!CC356,Model!CI356),"")</f>
        <v>0.148802300543846</v>
      </c>
      <c r="K41" s="89" t="n">
        <f aca="false">IFERROR(MIN(Model!C356,Model!D356,Model!E356,Model!F356,Model!G356,Model!H356,Model!I356,Model!O356,Model!U356,Model!AA356,Model!AG356,Model!AM356,Model!AS356,Model!AY356,Model!BE356,Model!BK356,Model!BQ356,Model!BW356,Model!CC356,Model!CI356),"")</f>
        <v>0.0824505366871361</v>
      </c>
      <c r="L41" s="89" t="n">
        <f aca="false">IFERROR(MAX(Model!C356,Model!D356,Model!E356,Model!F356,Model!G356,Model!H356,Model!I356,Model!O356,Model!U356,Model!AA356,Model!AG356,Model!AM356,Model!AS356,Model!AY356,Model!BE356,Model!BK356,Model!BQ356,Model!BW356,Model!CC356,Model!CI356),"")</f>
        <v>0.231342924137767</v>
      </c>
      <c r="N41" s="78" t="s">
        <v>617</v>
      </c>
      <c r="O41" s="108" t="n">
        <v>0.119508787206056</v>
      </c>
      <c r="P41" s="108" t="n">
        <v>0.122264996004834</v>
      </c>
      <c r="Q41" s="108" t="n">
        <v>0.13650361380709</v>
      </c>
      <c r="R41" s="108" t="n">
        <v>0.148691262401143</v>
      </c>
      <c r="S41" s="108" t="n">
        <v>0.160948245647525</v>
      </c>
      <c r="T41" s="108" t="n">
        <v>0.17430167848881</v>
      </c>
      <c r="V41" s="89" t="n">
        <v>0.148802300543846</v>
      </c>
      <c r="W41" s="89" t="n">
        <v>0.0824505366871361</v>
      </c>
      <c r="X41" s="89" t="n">
        <v>0.231342924137767</v>
      </c>
      <c r="Z41" s="78" t="s">
        <v>617</v>
      </c>
      <c r="AA41" s="108" t="n">
        <v>0.119508787206056</v>
      </c>
      <c r="AB41" s="108" t="n">
        <v>0.117862188040087</v>
      </c>
      <c r="AC41" s="108" t="n">
        <v>0.115258431109324</v>
      </c>
      <c r="AD41" s="108" t="n">
        <v>0.119292636491622</v>
      </c>
      <c r="AE41" s="108" t="n">
        <v>0.122729093890389</v>
      </c>
      <c r="AF41" s="108" t="n">
        <v>0.126377485666022</v>
      </c>
      <c r="AH41" s="89" t="n">
        <v>0.148802300543846</v>
      </c>
      <c r="AI41" s="89" t="n">
        <v>0.0824505366871361</v>
      </c>
      <c r="AJ41" s="89" t="n">
        <v>0.231342924137767</v>
      </c>
    </row>
    <row r="42" customFormat="false" ht="15" hidden="false" customHeight="true" outlineLevel="0" collapsed="false">
      <c r="B42" s="78" t="s">
        <v>618</v>
      </c>
      <c r="C42" s="106" t="n">
        <f aca="false">Model!CI368</f>
        <v>0.267226213367009</v>
      </c>
      <c r="D42" s="107" t="n">
        <f aca="false">Model!CO368</f>
        <v>0.259522816320276</v>
      </c>
      <c r="E42" s="107" t="n">
        <f aca="false">Model!CP368</f>
        <v>0.262792981212694</v>
      </c>
      <c r="F42" s="107" t="n">
        <f aca="false">Model!CQ368</f>
        <v>0.264908695240606</v>
      </c>
      <c r="G42" s="107" t="n">
        <f aca="false">Model!CR368</f>
        <v>0.265090186171324</v>
      </c>
      <c r="H42" s="107" t="n">
        <f aca="false">Model!CS368</f>
        <v>0.264389568710744</v>
      </c>
      <c r="J42" s="89" t="n">
        <f aca="false">IFERROR(AVERAGE(Model!C368,Model!D368,Model!E368,Model!F368,Model!G368,Model!H368,Model!I368,Model!O368,Model!U368,Model!AA368,Model!AG368,Model!AM368,Model!AS368,Model!AY368,Model!BE368,Model!BK368,Model!BQ368,Model!BW368,Model!CC368,Model!CI368),"")</f>
        <v>0.183814175517176</v>
      </c>
      <c r="K42" s="89" t="n">
        <f aca="false">IFERROR(MIN(Model!C368,Model!D368,Model!E368,Model!F368,Model!G368,Model!H368,Model!I368,Model!O368,Model!U368,Model!AA368,Model!AG368,Model!AM368,Model!AS368,Model!AY368,Model!BE368,Model!BK368,Model!BQ368,Model!BW368,Model!CC368,Model!CI368),"")</f>
        <v>0.0984954126722408</v>
      </c>
      <c r="L42" s="89" t="n">
        <f aca="false">IFERROR(MAX(Model!C368,Model!D368,Model!E368,Model!F368,Model!G368,Model!H368,Model!I368,Model!O368,Model!U368,Model!AA368,Model!AG368,Model!AM368,Model!AS368,Model!AY368,Model!BE368,Model!BK368,Model!BQ368,Model!BW368,Model!CC368,Model!CI368),"")</f>
        <v>0.380712206735963</v>
      </c>
      <c r="N42" s="78" t="s">
        <v>618</v>
      </c>
      <c r="O42" s="108" t="n">
        <v>0.267226213367009</v>
      </c>
      <c r="P42" s="108" t="n">
        <v>0.273620109814661</v>
      </c>
      <c r="Q42" s="108" t="n">
        <v>0.296451266316884</v>
      </c>
      <c r="R42" s="108" t="n">
        <v>0.307691353360298</v>
      </c>
      <c r="S42" s="108" t="n">
        <v>0.314407328208706</v>
      </c>
      <c r="T42" s="108" t="n">
        <v>0.317610692172231</v>
      </c>
      <c r="V42" s="89" t="n">
        <v>0.183814175517176</v>
      </c>
      <c r="W42" s="89" t="n">
        <v>0.0984954126722408</v>
      </c>
      <c r="X42" s="89" t="n">
        <v>0.380712206735963</v>
      </c>
      <c r="Z42" s="78" t="s">
        <v>618</v>
      </c>
      <c r="AA42" s="108" t="n">
        <v>0.267226213367009</v>
      </c>
      <c r="AB42" s="108" t="n">
        <v>0.243311187544949</v>
      </c>
      <c r="AC42" s="108" t="n">
        <v>0.221626390689578</v>
      </c>
      <c r="AD42" s="108" t="n">
        <v>0.213972806342012</v>
      </c>
      <c r="AE42" s="108" t="n">
        <v>0.207086539001609</v>
      </c>
      <c r="AF42" s="108" t="n">
        <v>0.201601207990836</v>
      </c>
      <c r="AH42" s="89" t="n">
        <v>0.183814175517176</v>
      </c>
      <c r="AI42" s="89" t="n">
        <v>0.0984954126722408</v>
      </c>
      <c r="AJ42" s="89" t="n">
        <v>0.380712206735963</v>
      </c>
    </row>
    <row r="44" customFormat="false" ht="15" hidden="false" customHeight="true" outlineLevel="0" collapsed="false">
      <c r="B44" s="83" t="s">
        <v>619</v>
      </c>
      <c r="E44" s="109" t="n">
        <f aca="false">E27*E21</f>
        <v>19199.8271268692</v>
      </c>
      <c r="F44" s="109" t="n">
        <f aca="false">F27*F21</f>
        <v>20876.1947955987</v>
      </c>
      <c r="G44" s="109" t="n">
        <f aca="false">G27*G21</f>
        <v>22548.5863040628</v>
      </c>
      <c r="H44" s="109" t="n">
        <f aca="false">H27*H21</f>
        <v>24269.6252392474</v>
      </c>
      <c r="N44" s="83" t="s">
        <v>619</v>
      </c>
      <c r="Q44" s="109" t="n">
        <f aca="false">Q27*Q21</f>
        <v>24404.403878668</v>
      </c>
      <c r="R44" s="109" t="n">
        <f aca="false">R27*R21</f>
        <v>27021.0856704263</v>
      </c>
      <c r="S44" s="109" t="n">
        <f aca="false">S27*S21</f>
        <v>29726.8776442865</v>
      </c>
      <c r="T44" s="109" t="n">
        <f aca="false">T27*T21</f>
        <v>32600.2943489765</v>
      </c>
      <c r="Z44" s="83" t="s">
        <v>619</v>
      </c>
      <c r="AC44" s="109" t="n">
        <f aca="false">AC27*AC21</f>
        <v>13234.6187607557</v>
      </c>
      <c r="AD44" s="109" t="n">
        <f aca="false">AD27*AD21</f>
        <v>13918.7098091314</v>
      </c>
      <c r="AE44" s="109" t="n">
        <f aca="false">AE27*AE21</f>
        <v>14539.3811441947</v>
      </c>
      <c r="AF44" s="109" t="n">
        <f aca="false">AF27*AF21</f>
        <v>15127.5823698622</v>
      </c>
    </row>
    <row r="45" customFormat="false" ht="15" hidden="false" customHeight="true" outlineLevel="0" collapsed="false">
      <c r="B45" s="83" t="s">
        <v>620</v>
      </c>
      <c r="E45" s="109" t="n">
        <f aca="false">E38+Model!CP385</f>
        <v>2502.74412700665</v>
      </c>
      <c r="F45" s="109" t="n">
        <f aca="false">F38+Model!CQ385</f>
        <v>2279.49503189939</v>
      </c>
      <c r="G45" s="109" t="n">
        <f aca="false">G38+Model!CR385</f>
        <v>2029.22299086722</v>
      </c>
      <c r="H45" s="109" t="n">
        <f aca="false">H38+Model!CS385</f>
        <v>1742.95134283438</v>
      </c>
      <c r="N45" s="83" t="s">
        <v>620</v>
      </c>
      <c r="Q45" s="109" t="n">
        <f aca="false">Q38+Model!CP385</f>
        <v>2703.58454561897</v>
      </c>
      <c r="R45" s="109" t="n">
        <f aca="false">R38+Model!CQ385</f>
        <v>2528.78955997303</v>
      </c>
      <c r="S45" s="109" t="n">
        <f aca="false">S38+Model!CR385</f>
        <v>2296.69256525481</v>
      </c>
      <c r="T45" s="109" t="n">
        <f aca="false">T38+Model!CS385</f>
        <v>1993.34186389938</v>
      </c>
      <c r="Z45" s="83" t="s">
        <v>620</v>
      </c>
      <c r="AC45" s="109" t="n">
        <f aca="false">AC38+Model!CP385</f>
        <v>2236.24478221353</v>
      </c>
      <c r="AD45" s="109" t="n">
        <f aca="false">AD38+Model!CQ385</f>
        <v>1959.66540432892</v>
      </c>
      <c r="AE45" s="109" t="n">
        <f aca="false">AE38+Model!CR385</f>
        <v>1697.6708006215</v>
      </c>
      <c r="AF45" s="109" t="n">
        <f aca="false">AF38+Model!CS385</f>
        <v>1446.55113521228</v>
      </c>
    </row>
    <row r="46" customFormat="false" ht="15" hidden="false" customHeight="true" outlineLevel="0" collapsed="false">
      <c r="B46" s="83" t="s">
        <v>621</v>
      </c>
      <c r="E46" s="109" t="n">
        <f aca="false">E44+E45</f>
        <v>21702.5712538759</v>
      </c>
      <c r="F46" s="109" t="n">
        <f aca="false">F44+F45</f>
        <v>23155.689827498</v>
      </c>
      <c r="G46" s="109" t="n">
        <f aca="false">G44+G45</f>
        <v>24577.80929493</v>
      </c>
      <c r="H46" s="109" t="n">
        <f aca="false">H44+H45</f>
        <v>26012.5765820818</v>
      </c>
      <c r="N46" s="83" t="s">
        <v>621</v>
      </c>
      <c r="Q46" s="109" t="n">
        <f aca="false">Q44+Q45</f>
        <v>27107.988424287</v>
      </c>
      <c r="R46" s="109" t="n">
        <f aca="false">R44+R45</f>
        <v>29549.8752303994</v>
      </c>
      <c r="S46" s="109" t="n">
        <f aca="false">S44+S45</f>
        <v>32023.5702095413</v>
      </c>
      <c r="T46" s="109" t="n">
        <f aca="false">T44+T45</f>
        <v>34593.6362128758</v>
      </c>
      <c r="Z46" s="83" t="s">
        <v>621</v>
      </c>
      <c r="AC46" s="109" t="n">
        <f aca="false">AC44+AC45</f>
        <v>15470.8635429692</v>
      </c>
      <c r="AD46" s="109" t="n">
        <f aca="false">AD44+AD45</f>
        <v>15878.3752134603</v>
      </c>
      <c r="AE46" s="109" t="n">
        <f aca="false">AE44+AE45</f>
        <v>16237.0519448162</v>
      </c>
      <c r="AF46" s="109" t="n">
        <f aca="false">AF44+AF45</f>
        <v>16574.1335050745</v>
      </c>
    </row>
    <row r="47" customFormat="false" ht="15" hidden="false" customHeight="true" outlineLevel="0" collapsed="false">
      <c r="B47" s="83" t="s">
        <v>622</v>
      </c>
      <c r="E47" s="105" t="n">
        <f aca="false">IFERROR(E46/E35,"")</f>
        <v>13.5225045093185</v>
      </c>
      <c r="F47" s="105" t="n">
        <f aca="false">IFERROR(F46/F35,"")</f>
        <v>13.5482892164685</v>
      </c>
      <c r="G47" s="105" t="n">
        <f aca="false">IFERROR(G46/G35,"")</f>
        <v>13.5699869458375</v>
      </c>
      <c r="H47" s="105" t="n">
        <f aca="false">IFERROR(H46/H35,"")</f>
        <v>13.5561258004628</v>
      </c>
      <c r="N47" s="83" t="s">
        <v>622</v>
      </c>
      <c r="Q47" s="105" t="n">
        <f aca="false">IFERROR(Q46/Q35,"")</f>
        <v>15.9053106768625</v>
      </c>
      <c r="R47" s="105" t="n">
        <f aca="false">IFERROR(R46/R35,"")</f>
        <v>15.9842317037475</v>
      </c>
      <c r="S47" s="105" t="n">
        <f aca="false">IFERROR(S46/S35,"")</f>
        <v>16.0465284386278</v>
      </c>
      <c r="T47" s="105" t="n">
        <f aca="false">IFERROR(T46/T35,"")</f>
        <v>16.0613740826552</v>
      </c>
      <c r="Z47" s="83" t="s">
        <v>622</v>
      </c>
      <c r="AC47" s="105" t="n">
        <f aca="false">IFERROR(AC46/AC35,"")</f>
        <v>10.5770829254433</v>
      </c>
      <c r="AD47" s="105" t="n">
        <f aca="false">IFERROR(AD46/AD35,"")</f>
        <v>10.5317993508526</v>
      </c>
      <c r="AE47" s="105" t="n">
        <f aca="false">IFERROR(AE46/AE35,"")</f>
        <v>10.5011405027512</v>
      </c>
      <c r="AF47" s="105" t="n">
        <f aca="false">IFERROR(AF46/AF35,"")</f>
        <v>10.4541497145292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0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50"/>
    <col collapsed="false" customWidth="true" hidden="false" outlineLevel="0" max="14" min="3" style="1" width="12.6"/>
  </cols>
  <sheetData>
    <row r="2" customFormat="false" ht="17.25" hidden="false" customHeight="true" outlineLevel="0" collapsed="false">
      <c r="B2" s="110" t="s">
        <v>623</v>
      </c>
    </row>
    <row r="4" customFormat="false" ht="15" hidden="false" customHeight="true" outlineLevel="0" collapsed="false">
      <c r="B4" s="18" t="s">
        <v>624</v>
      </c>
    </row>
    <row r="5" customFormat="false" ht="15" hidden="false" customHeight="true" outlineLevel="0" collapsed="false">
      <c r="B5" s="13" t="s">
        <v>625</v>
      </c>
      <c r="C5" s="111" t="n">
        <v>0.0425</v>
      </c>
      <c r="D5" s="5" t="s">
        <v>626</v>
      </c>
    </row>
    <row r="6" customFormat="false" ht="15" hidden="false" customHeight="true" outlineLevel="0" collapsed="false">
      <c r="B6" s="13" t="s">
        <v>627</v>
      </c>
      <c r="C6" s="111" t="n">
        <v>0.055</v>
      </c>
      <c r="D6" s="5" t="s">
        <v>628</v>
      </c>
    </row>
    <row r="7" customFormat="false" ht="15" hidden="false" customHeight="true" outlineLevel="0" collapsed="false">
      <c r="B7" s="13" t="s">
        <v>629</v>
      </c>
      <c r="C7" s="112" t="n">
        <v>1.05</v>
      </c>
      <c r="D7" s="5" t="s">
        <v>630</v>
      </c>
    </row>
    <row r="8" customFormat="false" ht="15" hidden="false" customHeight="true" outlineLevel="0" collapsed="false">
      <c r="B8" s="13" t="s">
        <v>631</v>
      </c>
      <c r="C8" s="113" t="n">
        <f aca="false">C5+C7*C6</f>
        <v>0.10025</v>
      </c>
    </row>
    <row r="9" customFormat="false" ht="15" hidden="false" customHeight="true" outlineLevel="0" collapsed="false">
      <c r="B9" s="13" t="s">
        <v>632</v>
      </c>
      <c r="C9" s="111" t="n">
        <v>0.0625</v>
      </c>
      <c r="D9" s="5" t="s">
        <v>633</v>
      </c>
    </row>
    <row r="10" customFormat="false" ht="15" hidden="false" customHeight="true" outlineLevel="0" collapsed="false">
      <c r="B10" s="13" t="s">
        <v>634</v>
      </c>
      <c r="C10" s="111" t="n">
        <v>0.24</v>
      </c>
      <c r="D10" s="5" t="s">
        <v>635</v>
      </c>
    </row>
    <row r="11" customFormat="false" ht="15" hidden="false" customHeight="true" outlineLevel="0" collapsed="false">
      <c r="B11" s="13" t="s">
        <v>636</v>
      </c>
      <c r="C11" s="113" t="n">
        <f aca="false">C9*(1-C10)</f>
        <v>0.0475</v>
      </c>
    </row>
    <row r="12" customFormat="false" ht="15" hidden="false" customHeight="true" outlineLevel="0" collapsed="false">
      <c r="B12" s="13" t="s">
        <v>637</v>
      </c>
      <c r="C12" s="111" t="n">
        <v>0.2</v>
      </c>
      <c r="D12" s="5" t="s">
        <v>638</v>
      </c>
    </row>
    <row r="13" customFormat="false" ht="15" hidden="false" customHeight="true" outlineLevel="0" collapsed="false">
      <c r="B13" s="73" t="s">
        <v>639</v>
      </c>
      <c r="C13" s="114" t="n">
        <f aca="false">C8*(1-C12)+C11*C12</f>
        <v>0.0897</v>
      </c>
    </row>
    <row r="15" customFormat="false" ht="15" hidden="false" customHeight="true" outlineLevel="0" collapsed="false">
      <c r="B15" s="1" t="s">
        <v>640</v>
      </c>
      <c r="C15" s="71" t="n">
        <f aca="true">TODAY()</f>
        <v>46298</v>
      </c>
      <c r="D15" s="5" t="s">
        <v>641</v>
      </c>
    </row>
    <row r="16" customFormat="false" ht="15" hidden="false" customHeight="true" outlineLevel="0" collapsed="false">
      <c r="B16" s="18" t="s">
        <v>642</v>
      </c>
    </row>
    <row r="17" customFormat="false" ht="15" hidden="false" customHeight="true" outlineLevel="0" collapsed="false">
      <c r="D17" s="12" t="s">
        <v>78</v>
      </c>
      <c r="E17" s="12" t="s">
        <v>79</v>
      </c>
      <c r="F17" s="12" t="s">
        <v>80</v>
      </c>
      <c r="G17" s="12" t="s">
        <v>81</v>
      </c>
      <c r="H17" s="12" t="s">
        <v>82</v>
      </c>
      <c r="I17" s="12" t="s">
        <v>643</v>
      </c>
      <c r="J17" s="12" t="s">
        <v>644</v>
      </c>
      <c r="K17" s="12" t="s">
        <v>645</v>
      </c>
      <c r="L17" s="12" t="s">
        <v>646</v>
      </c>
      <c r="M17" s="12" t="s">
        <v>647</v>
      </c>
      <c r="N17" s="12" t="s">
        <v>648</v>
      </c>
    </row>
    <row r="18" customFormat="false" ht="15" hidden="false" customHeight="true" outlineLevel="0" collapsed="false">
      <c r="B18" s="1" t="s">
        <v>649</v>
      </c>
      <c r="D18" s="115" t="n">
        <f aca="false">Model!CO87</f>
        <v>1303.60796732453</v>
      </c>
      <c r="E18" s="115" t="n">
        <f aca="false">Model!CP87</f>
        <v>1378.65470661067</v>
      </c>
      <c r="F18" s="115" t="n">
        <f aca="false">Model!CQ87</f>
        <v>1472.05091672096</v>
      </c>
      <c r="G18" s="115" t="n">
        <f aca="false">Model!CR87</f>
        <v>1563.9472129856</v>
      </c>
      <c r="H18" s="115" t="n">
        <f aca="false">Model!CS87</f>
        <v>1661.03036629357</v>
      </c>
      <c r="I18" s="116" t="n">
        <f aca="false">H18*(1+I$29)</f>
        <v>1760.69218827119</v>
      </c>
      <c r="J18" s="116" t="n">
        <f aca="false">I18*(1+J$29)</f>
        <v>1857.5302586261</v>
      </c>
      <c r="K18" s="116" t="n">
        <f aca="false">J18*(1+K$29)</f>
        <v>1950.40677155741</v>
      </c>
      <c r="L18" s="116" t="n">
        <f aca="false">K18*(1+L$29)</f>
        <v>2038.17507627749</v>
      </c>
      <c r="M18" s="116" t="n">
        <f aca="false">L18*(1+M$29)</f>
        <v>2119.70207932859</v>
      </c>
    </row>
    <row r="19" customFormat="false" ht="15" hidden="false" customHeight="true" outlineLevel="0" collapsed="false">
      <c r="B19" s="1" t="s">
        <v>650</v>
      </c>
      <c r="D19" s="115" t="n">
        <f aca="false">-Model!CO143</f>
        <v>-69.2</v>
      </c>
      <c r="E19" s="115" t="n">
        <f aca="false">-Model!CP143</f>
        <v>-75</v>
      </c>
      <c r="F19" s="115" t="n">
        <f aca="false">-Model!CQ143</f>
        <v>-80</v>
      </c>
      <c r="G19" s="115" t="n">
        <f aca="false">-Model!CR143</f>
        <v>-85</v>
      </c>
      <c r="H19" s="115" t="n">
        <f aca="false">-Model!CS143</f>
        <v>-90</v>
      </c>
      <c r="I19" s="116" t="n">
        <f aca="false">H19*(1+I$29)</f>
        <v>-95.4</v>
      </c>
      <c r="J19" s="116" t="n">
        <f aca="false">I19*(1+J$29)</f>
        <v>-100.647</v>
      </c>
      <c r="K19" s="116" t="n">
        <f aca="false">J19*(1+K$29)</f>
        <v>-105.67935</v>
      </c>
      <c r="L19" s="116" t="n">
        <f aca="false">K19*(1+L$29)</f>
        <v>-110.43492075</v>
      </c>
      <c r="M19" s="116" t="n">
        <f aca="false">L19*(1+M$29)</f>
        <v>-114.85231758</v>
      </c>
    </row>
    <row r="20" customFormat="false" ht="15" hidden="false" customHeight="true" outlineLevel="0" collapsed="false">
      <c r="B20" s="1" t="s">
        <v>651</v>
      </c>
      <c r="D20" s="117" t="n">
        <f aca="false">1-$C$10</f>
        <v>0.76</v>
      </c>
      <c r="E20" s="117" t="n">
        <f aca="false">1-$C$10</f>
        <v>0.76</v>
      </c>
      <c r="F20" s="117" t="n">
        <f aca="false">1-$C$10</f>
        <v>0.76</v>
      </c>
      <c r="G20" s="117" t="n">
        <f aca="false">1-$C$10</f>
        <v>0.76</v>
      </c>
      <c r="H20" s="117" t="n">
        <f aca="false">1-$C$10</f>
        <v>0.76</v>
      </c>
      <c r="I20" s="117" t="n">
        <f aca="false">1-$C$10</f>
        <v>0.76</v>
      </c>
      <c r="J20" s="117" t="n">
        <f aca="false">1-$C$10</f>
        <v>0.76</v>
      </c>
      <c r="K20" s="117" t="n">
        <f aca="false">1-$C$10</f>
        <v>0.76</v>
      </c>
      <c r="L20" s="117" t="n">
        <f aca="false">1-$C$10</f>
        <v>0.76</v>
      </c>
      <c r="M20" s="117" t="n">
        <f aca="false">1-$C$10</f>
        <v>0.76</v>
      </c>
    </row>
    <row r="21" customFormat="false" ht="15" hidden="false" customHeight="true" outlineLevel="0" collapsed="false">
      <c r="B21" s="1" t="s">
        <v>652</v>
      </c>
      <c r="D21" s="116" t="n">
        <f aca="false">(D18+D19)*D20</f>
        <v>938.150055166646</v>
      </c>
      <c r="E21" s="116" t="n">
        <f aca="false">(E18+E19)*E20</f>
        <v>990.777577024112</v>
      </c>
      <c r="F21" s="116" t="n">
        <f aca="false">(F18+F19)*F20</f>
        <v>1057.95869670793</v>
      </c>
      <c r="G21" s="116" t="n">
        <f aca="false">(G18+G19)*G20</f>
        <v>1123.99988186905</v>
      </c>
      <c r="H21" s="116" t="n">
        <f aca="false">(H18+H19)*H20</f>
        <v>1193.98307838311</v>
      </c>
      <c r="I21" s="116" t="n">
        <f aca="false">(I18+I19)*I20</f>
        <v>1265.6220630861</v>
      </c>
      <c r="J21" s="116" t="n">
        <f aca="false">(J18+J19)*J20</f>
        <v>1335.23127655584</v>
      </c>
      <c r="K21" s="116" t="n">
        <f aca="false">(K18+K19)*K20</f>
        <v>1401.99284038363</v>
      </c>
      <c r="L21" s="116" t="n">
        <f aca="false">(L18+L19)*L20</f>
        <v>1465.08251820089</v>
      </c>
      <c r="M21" s="116" t="n">
        <f aca="false">(M18+M19)*M20</f>
        <v>1523.68581892893</v>
      </c>
    </row>
    <row r="22" customFormat="false" ht="15" hidden="false" customHeight="true" outlineLevel="0" collapsed="false">
      <c r="B22" s="1" t="s">
        <v>653</v>
      </c>
      <c r="D22" s="115" t="n">
        <f aca="false">Model!CO86</f>
        <v>216.392032675466</v>
      </c>
      <c r="E22" s="115" t="n">
        <f aca="false">Model!CP86</f>
        <v>226.267757191828</v>
      </c>
      <c r="F22" s="115" t="n">
        <f aca="false">Model!CQ86</f>
        <v>237.071870483151</v>
      </c>
      <c r="G22" s="115" t="n">
        <f aca="false">Model!CR86</f>
        <v>247.241654994046</v>
      </c>
      <c r="H22" s="115" t="n">
        <f aca="false">Model!CS86</f>
        <v>257.849479244129</v>
      </c>
      <c r="I22" s="116" t="n">
        <f aca="false">H22*(1+I$29)</f>
        <v>273.320447998776</v>
      </c>
      <c r="J22" s="116" t="n">
        <f aca="false">I22*(1+J$29)</f>
        <v>288.353072638709</v>
      </c>
      <c r="K22" s="116" t="n">
        <f aca="false">J22*(1+K$29)</f>
        <v>302.770726270644</v>
      </c>
      <c r="L22" s="116" t="n">
        <f aca="false">K22*(1+L$29)</f>
        <v>316.395408952823</v>
      </c>
      <c r="M22" s="116" t="n">
        <f aca="false">L22*(1+M$29)</f>
        <v>329.051225310936</v>
      </c>
    </row>
    <row r="23" customFormat="false" ht="15" hidden="false" customHeight="true" outlineLevel="0" collapsed="false">
      <c r="B23" s="1" t="s">
        <v>654</v>
      </c>
      <c r="D23" s="115" t="n">
        <f aca="false">Model!CO229+Model!CO230+Model!CO231</f>
        <v>-371.7</v>
      </c>
      <c r="E23" s="115" t="n">
        <f aca="false">Model!CP229+Model!CP230+Model!CP231</f>
        <v>-381.497962707152</v>
      </c>
      <c r="F23" s="115" t="n">
        <f aca="false">Model!CQ229+Model!CQ230+Model!CQ231</f>
        <v>-385.930951949315</v>
      </c>
      <c r="G23" s="115" t="n">
        <f aca="false">Model!CR229+Model!CR230+Model!CR231</f>
        <v>-388.111900281352</v>
      </c>
      <c r="H23" s="115" t="n">
        <f aca="false">Model!CS229+Model!CS230+Model!CS231</f>
        <v>-389.772468624845</v>
      </c>
      <c r="I23" s="116" t="n">
        <f aca="false">H23*(1+I$29)</f>
        <v>-413.158816742336</v>
      </c>
      <c r="J23" s="116" t="n">
        <f aca="false">I23*(1+J$29)</f>
        <v>-435.882551663165</v>
      </c>
      <c r="K23" s="116" t="n">
        <f aca="false">J23*(1+K$29)</f>
        <v>-457.676679246323</v>
      </c>
      <c r="L23" s="116" t="n">
        <f aca="false">K23*(1+L$29)</f>
        <v>-478.272129812407</v>
      </c>
      <c r="M23" s="116" t="n">
        <f aca="false">L23*(1+M$29)</f>
        <v>-497.403015004904</v>
      </c>
    </row>
    <row r="24" customFormat="false" ht="15" hidden="false" customHeight="true" outlineLevel="0" collapsed="false">
      <c r="B24" s="1" t="s">
        <v>655</v>
      </c>
      <c r="D24" s="115" t="n">
        <f aca="false">Model!CO227</f>
        <v>-3.90200333574614</v>
      </c>
      <c r="E24" s="115" t="n">
        <f aca="false">Model!CP227</f>
        <v>12.6782499146322</v>
      </c>
      <c r="F24" s="115" t="n">
        <f aca="false">Model!CQ227</f>
        <v>18.6865465315006</v>
      </c>
      <c r="G24" s="115" t="n">
        <f aca="false">Model!CR227</f>
        <v>17.5763200955867</v>
      </c>
      <c r="H24" s="115" t="n">
        <f aca="false">Model!CS227</f>
        <v>18.3269481477522</v>
      </c>
      <c r="I24" s="116" t="n">
        <f aca="false">H24*(1+I$29)</f>
        <v>19.4265650366173</v>
      </c>
      <c r="J24" s="116" t="n">
        <f aca="false">I24*(1+J$29)</f>
        <v>20.4950261136313</v>
      </c>
      <c r="K24" s="116" t="n">
        <f aca="false">J24*(1+K$29)</f>
        <v>21.5197774193128</v>
      </c>
      <c r="L24" s="116" t="n">
        <f aca="false">K24*(1+L$29)</f>
        <v>22.4881674031819</v>
      </c>
      <c r="M24" s="116" t="n">
        <f aca="false">L24*(1+M$29)</f>
        <v>23.3876940993092</v>
      </c>
    </row>
    <row r="25" customFormat="false" ht="15" hidden="false" customHeight="true" outlineLevel="0" collapsed="false">
      <c r="B25" s="118" t="s">
        <v>656</v>
      </c>
      <c r="D25" s="119" t="n">
        <f aca="false">D21+D22+D23+D24</f>
        <v>778.940084506366</v>
      </c>
      <c r="E25" s="119" t="n">
        <f aca="false">E21+E22+E23+E24</f>
        <v>848.22562142342</v>
      </c>
      <c r="F25" s="119" t="n">
        <f aca="false">F21+F22+F23+F24</f>
        <v>927.786161773265</v>
      </c>
      <c r="G25" s="119" t="n">
        <f aca="false">G21+G22+G23+G24</f>
        <v>1000.70595667733</v>
      </c>
      <c r="H25" s="119" t="n">
        <f aca="false">H21+H22+H23+H24</f>
        <v>1080.38703715015</v>
      </c>
      <c r="I25" s="119" t="n">
        <f aca="false">I21+I22+I23+I24</f>
        <v>1145.21025937916</v>
      </c>
      <c r="J25" s="119" t="n">
        <f aca="false">J21+J22+J23+J24</f>
        <v>1208.19682364501</v>
      </c>
      <c r="K25" s="119" t="n">
        <f aca="false">K21+K22+K23+K24</f>
        <v>1268.60666482726</v>
      </c>
      <c r="L25" s="119" t="n">
        <f aca="false">L21+L22+L23+L24</f>
        <v>1325.69396474449</v>
      </c>
      <c r="M25" s="119" t="n">
        <f aca="false">M21+M22+M23+M24</f>
        <v>1378.72172333427</v>
      </c>
      <c r="N25" s="119" t="n">
        <f aca="false">M25*(1+$C$30)</f>
        <v>1420.0833750343</v>
      </c>
    </row>
    <row r="26" customFormat="false" ht="15" hidden="false" customHeight="true" outlineLevel="0" collapsed="false">
      <c r="B26" s="1" t="s">
        <v>657</v>
      </c>
      <c r="N26" s="119" t="n">
        <f aca="false">N25/($C$13-$C$30)</f>
        <v>23786.9912066047</v>
      </c>
    </row>
    <row r="29" customFormat="false" ht="15" hidden="false" customHeight="true" outlineLevel="0" collapsed="false">
      <c r="B29" s="1" t="s">
        <v>658</v>
      </c>
      <c r="I29" s="120" t="n">
        <v>0.06</v>
      </c>
      <c r="J29" s="120" t="n">
        <v>0.055</v>
      </c>
      <c r="K29" s="120" t="n">
        <v>0.05</v>
      </c>
      <c r="L29" s="120" t="n">
        <v>0.045</v>
      </c>
      <c r="M29" s="120" t="n">
        <v>0.04</v>
      </c>
    </row>
    <row r="30" customFormat="false" ht="15" hidden="false" customHeight="true" outlineLevel="0" collapsed="false">
      <c r="B30" s="1" t="s">
        <v>659</v>
      </c>
      <c r="C30" s="121" t="n">
        <v>0.03</v>
      </c>
    </row>
    <row r="32" customFormat="false" ht="15" hidden="false" customHeight="true" outlineLevel="0" collapsed="false">
      <c r="B32" s="1" t="s">
        <v>660</v>
      </c>
      <c r="D32" s="122" t="n">
        <f aca="false">(DATE(2026,12,31)-$C$15)/365.25</f>
        <v>0.243668720054757</v>
      </c>
      <c r="E32" s="122" t="n">
        <f aca="false">(DATE(2027,12,31)-$C$15)/365.25</f>
        <v>1.24298425735797</v>
      </c>
      <c r="F32" s="122" t="n">
        <f aca="false">(DATE(2028,12,31)-$C$15)/365.25</f>
        <v>2.24503764544832</v>
      </c>
      <c r="G32" s="122" t="n">
        <f aca="false">(DATE(2029,12,31)-$C$15)/365.25</f>
        <v>3.24435318275154</v>
      </c>
      <c r="H32" s="122" t="n">
        <f aca="false">(DATE(2030,12,31)-$C$15)/365.25</f>
        <v>4.24366872005476</v>
      </c>
      <c r="I32" s="122" t="n">
        <f aca="false">(DATE(2031,12,31)-$C$15)/365.25</f>
        <v>5.24298425735797</v>
      </c>
      <c r="J32" s="122" t="n">
        <f aca="false">(DATE(2032,12,31)-$C$15)/365.25</f>
        <v>6.24503764544832</v>
      </c>
      <c r="K32" s="122" t="n">
        <f aca="false">(DATE(2033,12,31)-$C$15)/365.25</f>
        <v>7.24435318275154</v>
      </c>
      <c r="L32" s="122" t="n">
        <f aca="false">(DATE(2034,12,31)-$C$15)/365.25</f>
        <v>8.24366872005476</v>
      </c>
      <c r="M32" s="122" t="n">
        <f aca="false">(DATE(2035,12,31)-$C$15)/365.25</f>
        <v>9.24298425735798</v>
      </c>
      <c r="N32" s="122" t="n">
        <f aca="false">M32</f>
        <v>9.24298425735798</v>
      </c>
    </row>
    <row r="33" customFormat="false" ht="15" hidden="false" customHeight="true" outlineLevel="0" collapsed="false">
      <c r="B33" s="1" t="s">
        <v>661</v>
      </c>
      <c r="D33" s="123" t="n">
        <f aca="false">1/(1+$C$13)^D32</f>
        <v>0.979285813307996</v>
      </c>
      <c r="E33" s="123" t="n">
        <f aca="false">1/(1+$C$13)^E32</f>
        <v>0.898727534254177</v>
      </c>
      <c r="F33" s="123" t="n">
        <f aca="false">1/(1+$C$13)^F32</f>
        <v>0.824602203142264</v>
      </c>
      <c r="G33" s="123" t="n">
        <f aca="false">1/(1+$C$13)^G32</f>
        <v>0.756768549793672</v>
      </c>
      <c r="H33" s="123" t="n">
        <f aca="false">1/(1+$C$13)^H32</f>
        <v>0.69451504710328</v>
      </c>
      <c r="I33" s="123" t="n">
        <f aca="false">1/(1+$C$13)^I32</f>
        <v>0.637382659182098</v>
      </c>
      <c r="J33" s="123" t="n">
        <f aca="false">1/(1+$C$13)^J32</f>
        <v>0.584812554388244</v>
      </c>
      <c r="K33" s="123" t="n">
        <f aca="false">1/(1+$C$13)^K32</f>
        <v>0.536704543110674</v>
      </c>
      <c r="L33" s="123" t="n">
        <f aca="false">1/(1+$C$13)^L32</f>
        <v>0.492554006295163</v>
      </c>
      <c r="M33" s="123" t="n">
        <f aca="false">1/(1+$C$13)^M32</f>
        <v>0.452035393088497</v>
      </c>
      <c r="N33" s="123" t="n">
        <f aca="false">1/(1+$C$13)^N32</f>
        <v>0.452035393088497</v>
      </c>
    </row>
    <row r="34" customFormat="false" ht="15" hidden="false" customHeight="true" outlineLevel="0" collapsed="false">
      <c r="B34" s="1" t="s">
        <v>662</v>
      </c>
      <c r="D34" s="116" t="n">
        <f aca="false">D25*D33</f>
        <v>762.804974174015</v>
      </c>
      <c r="E34" s="116" t="n">
        <f aca="false">E25*E33</f>
        <v>762.323721233087</v>
      </c>
      <c r="F34" s="116" t="n">
        <f aca="false">F25*F33</f>
        <v>765.054513043139</v>
      </c>
      <c r="G34" s="116" t="n">
        <f aca="false">G25*G33</f>
        <v>757.302795604595</v>
      </c>
      <c r="H34" s="116" t="n">
        <f aca="false">H25*H33</f>
        <v>750.345053996109</v>
      </c>
      <c r="I34" s="116" t="n">
        <f aca="false">I25*I33</f>
        <v>729.937160445709</v>
      </c>
      <c r="J34" s="116" t="n">
        <f aca="false">J25*J33</f>
        <v>706.568670639602</v>
      </c>
      <c r="K34" s="116" t="n">
        <f aca="false">K25*K33</f>
        <v>680.866960433273</v>
      </c>
      <c r="L34" s="116" t="n">
        <f aca="false">L25*L33</f>
        <v>652.975873456218</v>
      </c>
      <c r="M34" s="116" t="n">
        <f aca="false">M25*M33</f>
        <v>623.231016167057</v>
      </c>
      <c r="N34" s="116" t="n">
        <f aca="false">N26*N33</f>
        <v>10752.5619204702</v>
      </c>
    </row>
    <row r="35" customFormat="false" ht="15" hidden="false" customHeight="true" outlineLevel="0" collapsed="false">
      <c r="D35" s="5" t="s">
        <v>663</v>
      </c>
    </row>
    <row r="37" customFormat="false" ht="15" hidden="false" customHeight="true" outlineLevel="0" collapsed="false">
      <c r="B37" s="18" t="s">
        <v>664</v>
      </c>
    </row>
    <row r="38" customFormat="false" ht="15" hidden="false" customHeight="true" outlineLevel="0" collapsed="false">
      <c r="B38" s="13" t="s">
        <v>665</v>
      </c>
      <c r="C38" s="116" t="n">
        <f aca="false">SUM(D34:M34)</f>
        <v>7191.4107391928</v>
      </c>
    </row>
    <row r="39" customFormat="false" ht="15" hidden="false" customHeight="true" outlineLevel="0" collapsed="false">
      <c r="B39" s="13" t="s">
        <v>666</v>
      </c>
      <c r="C39" s="116" t="n">
        <f aca="false">N34</f>
        <v>10752.5619204702</v>
      </c>
    </row>
    <row r="40" customFormat="false" ht="15" hidden="false" customHeight="true" outlineLevel="0" collapsed="false">
      <c r="B40" s="73" t="s">
        <v>667</v>
      </c>
      <c r="C40" s="119" t="n">
        <f aca="false">C38+C39</f>
        <v>17943.972659663</v>
      </c>
    </row>
    <row r="41" customFormat="false" ht="15" hidden="false" customHeight="true" outlineLevel="0" collapsed="false">
      <c r="B41" s="13" t="s">
        <v>668</v>
      </c>
      <c r="C41" s="116" t="n">
        <f aca="false">Model!CO376</f>
        <v>2167.11191549363</v>
      </c>
    </row>
    <row r="42" customFormat="false" ht="15" hidden="false" customHeight="true" outlineLevel="0" collapsed="false">
      <c r="B42" s="13" t="s">
        <v>669</v>
      </c>
      <c r="C42" s="116" t="n">
        <f aca="false">Model!CO385</f>
        <v>483.9</v>
      </c>
    </row>
    <row r="43" customFormat="false" ht="15" hidden="false" customHeight="true" outlineLevel="0" collapsed="false">
      <c r="B43" s="73" t="s">
        <v>670</v>
      </c>
      <c r="C43" s="119" t="n">
        <f aca="false">C40-C41-C42</f>
        <v>15292.9607441693</v>
      </c>
    </row>
    <row r="44" customFormat="false" ht="15" hidden="false" customHeight="true" outlineLevel="0" collapsed="false">
      <c r="B44" s="13" t="s">
        <v>671</v>
      </c>
      <c r="C44" s="124" t="n">
        <f aca="false">Model!CO127</f>
        <v>186.1125</v>
      </c>
    </row>
    <row r="45" customFormat="false" ht="15" hidden="false" customHeight="true" outlineLevel="0" collapsed="false">
      <c r="B45" s="73" t="s">
        <v>672</v>
      </c>
      <c r="C45" s="125" t="n">
        <f aca="false">C43/C44</f>
        <v>82.1705191439013</v>
      </c>
    </row>
    <row r="46" customFormat="false" ht="15" hidden="false" customHeight="true" outlineLevel="0" collapsed="false">
      <c r="B46" s="13" t="s">
        <v>673</v>
      </c>
      <c r="C46" s="126" t="n">
        <f aca="false">Model!CO381</f>
        <v>80</v>
      </c>
    </row>
    <row r="47" customFormat="false" ht="15" hidden="false" customHeight="true" outlineLevel="0" collapsed="false">
      <c r="B47" s="13" t="s">
        <v>674</v>
      </c>
      <c r="C47" s="127" t="n">
        <f aca="false">C45/C46-1</f>
        <v>0.027131489298766</v>
      </c>
    </row>
    <row r="50" customFormat="false" ht="15" hidden="false" customHeight="true" outlineLevel="0" collapsed="false">
      <c r="B50" s="18" t="s">
        <v>675</v>
      </c>
    </row>
    <row r="52" customFormat="false" ht="15" hidden="false" customHeight="true" outlineLevel="0" collapsed="false">
      <c r="B52" s="1" t="s">
        <v>676</v>
      </c>
    </row>
    <row r="53" customFormat="false" ht="15" hidden="false" customHeight="true" outlineLevel="0" collapsed="false">
      <c r="B53" s="1" t="s">
        <v>677</v>
      </c>
      <c r="D53" s="128" t="n">
        <v>0.07</v>
      </c>
      <c r="E53" s="128" t="n">
        <v>0.075</v>
      </c>
      <c r="F53" s="128" t="n">
        <v>0.08</v>
      </c>
      <c r="G53" s="128" t="n">
        <v>0.085</v>
      </c>
      <c r="H53" s="128" t="n">
        <v>0.09</v>
      </c>
    </row>
    <row r="54" customFormat="false" ht="15" hidden="false" customHeight="true" outlineLevel="0" collapsed="false">
      <c r="B54" s="128" t="n">
        <v>0.02</v>
      </c>
      <c r="D54" s="129" t="n">
        <f aca="false">IFERROR((SUMPRODUCT($D$25:$M$25/(1+D$53)^$D$32:$M$32)+($M$25*(1+$B54)/(D$53-$B54))/(1+D$53)^$M$32-$C$41-$C$42)/$C$44,"")</f>
        <v>108.666623896251</v>
      </c>
      <c r="E54" s="129" t="n">
        <f aca="false">IFERROR((SUMPRODUCT($D$25:$M$25/(1+E$53)^$D$32:$M$32)+($M$25*(1+$B54)/(E$53-$B54))/(1+E$53)^$M$32-$C$41-$C$42)/$C$44,"")</f>
        <v>97.3058365058829</v>
      </c>
      <c r="F54" s="129" t="n">
        <f aca="false">IFERROR((SUMPRODUCT($D$25:$M$25/(1+F$53)^$D$32:$M$32)+($M$25*(1+$B54)/(F$53-$B54))/(1+F$53)^$M$32-$C$41-$C$42)/$C$44,"")</f>
        <v>87.8499178006575</v>
      </c>
      <c r="G54" s="129" t="n">
        <f aca="false">IFERROR((SUMPRODUCT($D$25:$M$25/(1+G$53)^$D$32:$M$32)+($M$25*(1+$B54)/(G$53-$B54))/(1+G$53)^$M$32-$C$41-$C$42)/$C$44,"")</f>
        <v>79.858905316706</v>
      </c>
      <c r="H54" s="129" t="n">
        <f aca="false">IFERROR((SUMPRODUCT($D$25:$M$25/(1+H$53)^$D$32:$M$32)+($M$25*(1+$B54)/(H$53-$B54))/(1+H$53)^$M$32-$C$41-$C$42)/$C$44,"")</f>
        <v>73.0185547933026</v>
      </c>
    </row>
    <row r="55" customFormat="false" ht="15" hidden="false" customHeight="true" outlineLevel="0" collapsed="false">
      <c r="B55" s="128" t="n">
        <v>0.025</v>
      </c>
      <c r="D55" s="129" t="n">
        <f aca="false">IFERROR((SUMPRODUCT($D$25:$M$25/(1+D$53)^$D$32:$M$32)+($M$25*(1+$B55)/(D$53-$B55))/(1+D$53)^$M$32-$C$41-$C$42)/$C$44,"")</f>
        <v>118.091562827173</v>
      </c>
      <c r="E55" s="129" t="n">
        <f aca="false">IFERROR((SUMPRODUCT($D$25:$M$25/(1+E$53)^$D$32:$M$32)+($M$25*(1+$B55)/(E$53-$B55))/(1+E$53)^$M$32-$C$41-$C$42)/$C$44,"")</f>
        <v>104.726434586104</v>
      </c>
      <c r="F55" s="129" t="n">
        <f aca="false">IFERROR((SUMPRODUCT($D$25:$M$25/(1+F$53)^$D$32:$M$32)+($M$25*(1+$B55)/(F$53-$B55))/(1+F$53)^$M$32-$C$41-$C$42)/$C$44,"")</f>
        <v>93.8016810810949</v>
      </c>
      <c r="G55" s="129" t="n">
        <f aca="false">IFERROR((SUMPRODUCT($D$25:$M$25/(1+G$53)^$D$32:$M$32)+($M$25*(1+$B55)/(G$53-$B55))/(1+G$53)^$M$32-$C$41-$C$42)/$C$44,"")</f>
        <v>84.7068728056364</v>
      </c>
      <c r="H55" s="129" t="n">
        <f aca="false">IFERROR((SUMPRODUCT($D$25:$M$25/(1+H$53)^$D$32:$M$32)+($M$25*(1+$B55)/(H$53-$B55))/(1+H$53)^$M$32-$C$41-$C$42)/$C$44,"")</f>
        <v>77.0194175133742</v>
      </c>
    </row>
    <row r="56" customFormat="false" ht="15" hidden="false" customHeight="true" outlineLevel="0" collapsed="false">
      <c r="B56" s="128" t="n">
        <v>0.03</v>
      </c>
      <c r="D56" s="129" t="n">
        <f aca="false">IFERROR((SUMPRODUCT($D$25:$M$25/(1+D$53)^$D$32:$M$32)+($M$25*(1+$B56)/(D$53-$B56))/(1+D$53)^$M$32-$C$41-$C$42)/$C$44,"")</f>
        <v>129.872736490826</v>
      </c>
      <c r="E56" s="129" t="n">
        <f aca="false">IFERROR((SUMPRODUCT($D$25:$M$25/(1+E$53)^$D$32:$M$32)+($M$25*(1+$B56)/(E$53-$B56))/(1+E$53)^$M$32-$C$41-$C$42)/$C$44,"")</f>
        <v>113.79605446193</v>
      </c>
      <c r="F56" s="129" t="n">
        <f aca="false">IFERROR((SUMPRODUCT($D$25:$M$25/(1+F$53)^$D$32:$M$32)+($M$25*(1+$B56)/(F$53-$B56))/(1+F$53)^$M$32-$C$41-$C$42)/$C$44,"")</f>
        <v>100.94379701762</v>
      </c>
      <c r="G56" s="129" t="n">
        <f aca="false">IFERROR((SUMPRODUCT($D$25:$M$25/(1+G$53)^$D$32:$M$32)+($M$25*(1+$B56)/(G$53-$B56))/(1+G$53)^$M$32-$C$41-$C$42)/$C$44,"")</f>
        <v>90.4362889289179</v>
      </c>
      <c r="H56" s="129" t="n">
        <f aca="false">IFERROR((SUMPRODUCT($D$25:$M$25/(1+H$53)^$D$32:$M$32)+($M$25*(1+$B56)/(H$53-$B56))/(1+H$53)^$M$32-$C$41-$C$42)/$C$44,"")</f>
        <v>81.6870906867911</v>
      </c>
    </row>
    <row r="57" customFormat="false" ht="15" hidden="false" customHeight="true" outlineLevel="0" collapsed="false">
      <c r="B57" s="128" t="n">
        <v>0.035</v>
      </c>
      <c r="D57" s="129" t="n">
        <f aca="false">IFERROR((SUMPRODUCT($D$25:$M$25/(1+D$53)^$D$32:$M$32)+($M$25*(1+$B57)/(D$53-$B57))/(1+D$53)^$M$32-$C$41-$C$42)/$C$44,"")</f>
        <v>145.019959772665</v>
      </c>
      <c r="E57" s="129" t="n">
        <f aca="false">IFERROR((SUMPRODUCT($D$25:$M$25/(1+E$53)^$D$32:$M$32)+($M$25*(1+$B57)/(E$53-$B57))/(1+E$53)^$M$32-$C$41-$C$42)/$C$44,"")</f>
        <v>125.133079306713</v>
      </c>
      <c r="F57" s="129" t="n">
        <f aca="false">IFERROR((SUMPRODUCT($D$25:$M$25/(1+F$53)^$D$32:$M$32)+($M$25*(1+$B57)/(F$53-$B57))/(1+F$53)^$M$32-$C$41-$C$42)/$C$44,"")</f>
        <v>109.673049828928</v>
      </c>
      <c r="G57" s="129" t="n">
        <f aca="false">IFERROR((SUMPRODUCT($D$25:$M$25/(1+G$53)^$D$32:$M$32)+($M$25*(1+$B57)/(G$53-$B57))/(1+G$53)^$M$32-$C$41-$C$42)/$C$44,"")</f>
        <v>97.3115882768556</v>
      </c>
      <c r="H57" s="129" t="n">
        <f aca="false">IFERROR((SUMPRODUCT($D$25:$M$25/(1+H$53)^$D$32:$M$32)+($M$25*(1+$B57)/(H$53-$B57))/(1+H$53)^$M$32-$C$41-$C$42)/$C$44,"")</f>
        <v>87.2034317099201</v>
      </c>
    </row>
    <row r="58" customFormat="false" ht="15" hidden="false" customHeight="true" outlineLevel="0" collapsed="false">
      <c r="B58" s="128" t="n">
        <v>0.04</v>
      </c>
      <c r="D58" s="129" t="n">
        <f aca="false">IFERROR((SUMPRODUCT($D$25:$M$25/(1+D$53)^$D$32:$M$32)+($M$25*(1+$B58)/(D$53-$B58))/(1+D$53)^$M$32-$C$41-$C$42)/$C$44,"")</f>
        <v>165.216257481784</v>
      </c>
      <c r="E58" s="129" t="n">
        <f aca="false">IFERROR((SUMPRODUCT($D$25:$M$25/(1+E$53)^$D$32:$M$32)+($M$25*(1+$B58)/(E$53-$B58))/(1+E$53)^$M$32-$C$41-$C$42)/$C$44,"")</f>
        <v>139.709254107147</v>
      </c>
      <c r="F58" s="129" t="n">
        <f aca="false">IFERROR((SUMPRODUCT($D$25:$M$25/(1+F$53)^$D$32:$M$32)+($M$25*(1+$B58)/(F$53-$B58))/(1+F$53)^$M$32-$C$41-$C$42)/$C$44,"")</f>
        <v>120.584615843064</v>
      </c>
      <c r="G58" s="129" t="n">
        <f aca="false">IFERROR((SUMPRODUCT($D$25:$M$25/(1+G$53)^$D$32:$M$32)+($M$25*(1+$B58)/(G$53-$B58))/(1+G$53)^$M$32-$C$41-$C$42)/$C$44,"")</f>
        <v>105.714731924335</v>
      </c>
      <c r="H58" s="129" t="n">
        <f aca="false">IFERROR((SUMPRODUCT($D$25:$M$25/(1+H$53)^$D$32:$M$32)+($M$25*(1+$B58)/(H$53-$B58))/(1+H$53)^$M$32-$C$41-$C$42)/$C$44,"")</f>
        <v>93.823040937675</v>
      </c>
    </row>
    <row r="61" customFormat="false" ht="15" hidden="false" customHeight="true" outlineLevel="0" collapsed="false">
      <c r="B61" s="18" t="s">
        <v>678</v>
      </c>
    </row>
    <row r="62" customFormat="false" ht="15" hidden="false" customHeight="true" outlineLevel="0" collapsed="false">
      <c r="B62" s="5" t="s">
        <v>679</v>
      </c>
    </row>
    <row r="64" customFormat="false" ht="15" hidden="false" customHeight="true" outlineLevel="0" collapsed="false">
      <c r="B64" s="18" t="s">
        <v>680</v>
      </c>
    </row>
    <row r="65" customFormat="false" ht="15" hidden="false" customHeight="true" outlineLevel="0" collapsed="false">
      <c r="B65" s="5" t="s">
        <v>681</v>
      </c>
    </row>
    <row r="66" customFormat="false" ht="15" hidden="false" customHeight="true" outlineLevel="0" collapsed="false">
      <c r="B66" s="5" t="s">
        <v>682</v>
      </c>
    </row>
    <row r="68" customFormat="false" ht="15" hidden="false" customHeight="true" outlineLevel="0" collapsed="false">
      <c r="B68" s="18" t="s">
        <v>683</v>
      </c>
      <c r="C68" s="18" t="s">
        <v>684</v>
      </c>
      <c r="D68" s="18" t="s">
        <v>685</v>
      </c>
    </row>
    <row r="69" customFormat="false" ht="15" hidden="false" customHeight="true" outlineLevel="0" collapsed="false">
      <c r="B69" s="1" t="s">
        <v>686</v>
      </c>
      <c r="C69" s="130" t="n">
        <f aca="false">$C$13</f>
        <v>0.0897</v>
      </c>
      <c r="D69" s="5" t="s">
        <v>687</v>
      </c>
    </row>
    <row r="70" customFormat="false" ht="15" hidden="false" customHeight="true" outlineLevel="0" collapsed="false">
      <c r="B70" s="1" t="s">
        <v>688</v>
      </c>
      <c r="C70" s="111" t="n">
        <v>0.08</v>
      </c>
      <c r="D70" s="5" t="s">
        <v>689</v>
      </c>
    </row>
    <row r="71" customFormat="false" ht="15" hidden="false" customHeight="true" outlineLevel="0" collapsed="false">
      <c r="B71" s="1" t="s">
        <v>690</v>
      </c>
      <c r="C71" s="111" t="n">
        <v>0.15</v>
      </c>
      <c r="D71" s="5" t="s">
        <v>691</v>
      </c>
    </row>
    <row r="72" customFormat="false" ht="15" hidden="false" customHeight="true" outlineLevel="0" collapsed="false">
      <c r="B72" s="1" t="s">
        <v>692</v>
      </c>
      <c r="C72" s="131" t="n">
        <v>12</v>
      </c>
      <c r="D72" s="5" t="s">
        <v>693</v>
      </c>
    </row>
    <row r="74" customFormat="false" ht="15" hidden="false" customHeight="true" outlineLevel="0" collapsed="false">
      <c r="B74" s="18" t="s">
        <v>694</v>
      </c>
      <c r="C74" s="18" t="s">
        <v>684</v>
      </c>
    </row>
    <row r="75" customFormat="false" ht="15" hidden="false" customHeight="true" outlineLevel="0" collapsed="false">
      <c r="B75" s="1" t="s">
        <v>695</v>
      </c>
      <c r="C75" s="122" t="n">
        <f aca="false">1/C69</f>
        <v>11.1482720178372</v>
      </c>
    </row>
    <row r="76" customFormat="false" ht="15" hidden="false" customHeight="true" outlineLevel="0" collapsed="false">
      <c r="B76" s="1" t="s">
        <v>696</v>
      </c>
      <c r="C76" s="122" t="n">
        <f aca="false">1-C69/C71</f>
        <v>0.402</v>
      </c>
    </row>
    <row r="77" customFormat="false" ht="15" hidden="false" customHeight="true" outlineLevel="0" collapsed="false">
      <c r="B77" s="1" t="s">
        <v>697</v>
      </c>
      <c r="C77" s="122" t="n">
        <f aca="false">C70*C76/(C69*(C69-C70))</f>
        <v>36.9616936179016</v>
      </c>
    </row>
    <row r="78" customFormat="false" ht="15" hidden="false" customHeight="true" outlineLevel="0" collapsed="false">
      <c r="B78" s="1" t="s">
        <v>698</v>
      </c>
      <c r="C78" s="122" t="n">
        <f aca="false">1-((1+C70)/(1+C69))^C72</f>
        <v>0.101740839048612</v>
      </c>
    </row>
    <row r="79" customFormat="false" ht="15" hidden="false" customHeight="true" outlineLevel="0" collapsed="false">
      <c r="B79" s="1" t="s">
        <v>699</v>
      </c>
      <c r="C79" s="122" t="n">
        <f aca="false">C77*C78</f>
        <v>3.76051372134304</v>
      </c>
    </row>
    <row r="80" customFormat="false" ht="15" hidden="false" customHeight="true" outlineLevel="0" collapsed="false">
      <c r="B80" s="12" t="s">
        <v>700</v>
      </c>
      <c r="C80" s="132" t="n">
        <f aca="false">C75+C79</f>
        <v>14.9087857391803</v>
      </c>
    </row>
    <row r="82" customFormat="false" ht="15" hidden="false" customHeight="true" outlineLevel="0" collapsed="false">
      <c r="B82" s="18" t="s">
        <v>701</v>
      </c>
      <c r="C82" s="18" t="s">
        <v>702</v>
      </c>
    </row>
    <row r="83" customFormat="false" ht="15" hidden="false" customHeight="true" outlineLevel="0" collapsed="false">
      <c r="B83" s="1" t="s">
        <v>703</v>
      </c>
      <c r="C83" s="116" t="n">
        <f aca="false">Model!CQ87</f>
        <v>1472.05091672096</v>
      </c>
    </row>
    <row r="84" customFormat="false" ht="15" hidden="false" customHeight="true" outlineLevel="0" collapsed="false">
      <c r="B84" s="1" t="s">
        <v>704</v>
      </c>
      <c r="C84" s="116" t="n">
        <f aca="false">-Model!CQ143</f>
        <v>-80</v>
      </c>
    </row>
    <row r="85" customFormat="false" ht="15" hidden="false" customHeight="true" outlineLevel="0" collapsed="false">
      <c r="B85" s="1" t="s">
        <v>705</v>
      </c>
      <c r="C85" s="127" t="n">
        <f aca="false">$C$10</f>
        <v>0.24</v>
      </c>
    </row>
    <row r="86" customFormat="false" ht="15" hidden="false" customHeight="true" outlineLevel="0" collapsed="false">
      <c r="B86" s="1" t="s">
        <v>706</v>
      </c>
      <c r="C86" s="116" t="n">
        <f aca="false">(C83+C84)*(1-C85)</f>
        <v>1057.95869670793</v>
      </c>
    </row>
    <row r="87" customFormat="false" ht="15" hidden="false" customHeight="true" outlineLevel="0" collapsed="false">
      <c r="B87" s="1" t="s">
        <v>707</v>
      </c>
      <c r="C87" s="133" t="n">
        <f aca="false">C80</f>
        <v>14.9087857391803</v>
      </c>
    </row>
    <row r="88" customFormat="false" ht="15" hidden="false" customHeight="true" outlineLevel="0" collapsed="false">
      <c r="B88" s="1" t="s">
        <v>708</v>
      </c>
      <c r="C88" s="116" t="n">
        <f aca="false">C86*C87</f>
        <v>15772.8795301209</v>
      </c>
    </row>
    <row r="89" customFormat="false" ht="15" hidden="false" customHeight="true" outlineLevel="0" collapsed="false">
      <c r="B89" s="1" t="s">
        <v>709</v>
      </c>
      <c r="C89" s="116" t="n">
        <f aca="false">Model!CP376+Model!CP385</f>
        <v>2502.74412700665</v>
      </c>
    </row>
    <row r="90" customFormat="false" ht="15" hidden="false" customHeight="true" outlineLevel="0" collapsed="false">
      <c r="B90" s="1" t="s">
        <v>710</v>
      </c>
      <c r="C90" s="116" t="n">
        <f aca="false">C88-C89</f>
        <v>13270.1354031143</v>
      </c>
    </row>
    <row r="91" customFormat="false" ht="15" hidden="false" customHeight="true" outlineLevel="0" collapsed="false">
      <c r="B91" s="1" t="s">
        <v>711</v>
      </c>
      <c r="C91" s="116" t="n">
        <f aca="false">Model!CQ127</f>
        <v>178.443505983055</v>
      </c>
    </row>
    <row r="92" customFormat="false" ht="15" hidden="false" customHeight="true" outlineLevel="0" collapsed="false">
      <c r="B92" s="1" t="s">
        <v>712</v>
      </c>
      <c r="C92" s="126" t="n">
        <f aca="false">C90/C91</f>
        <v>74.3660315908295</v>
      </c>
    </row>
    <row r="94" customFormat="false" ht="15" hidden="false" customHeight="true" outlineLevel="0" collapsed="false">
      <c r="B94" s="1" t="s">
        <v>673</v>
      </c>
      <c r="C94" s="126" t="n">
        <f aca="false">C46</f>
        <v>80</v>
      </c>
    </row>
    <row r="95" customFormat="false" ht="15" hidden="false" customHeight="true" outlineLevel="0" collapsed="false">
      <c r="B95" s="1" t="s">
        <v>674</v>
      </c>
      <c r="C95" s="127" t="n">
        <f aca="false">C92/C94-1</f>
        <v>-0.0704246051146311</v>
      </c>
    </row>
    <row r="97" customFormat="false" ht="15" hidden="false" customHeight="true" outlineLevel="0" collapsed="false">
      <c r="B97" s="18" t="s">
        <v>713</v>
      </c>
      <c r="C97" s="18" t="s">
        <v>702</v>
      </c>
    </row>
    <row r="98" customFormat="false" ht="15" hidden="false" customHeight="true" outlineLevel="0" collapsed="false">
      <c r="B98" s="1" t="s">
        <v>714</v>
      </c>
      <c r="C98" s="116" t="n">
        <f aca="false">C46*C44</f>
        <v>14889</v>
      </c>
    </row>
    <row r="99" customFormat="false" ht="15" hidden="false" customHeight="true" outlineLevel="0" collapsed="false">
      <c r="B99" s="1" t="s">
        <v>715</v>
      </c>
      <c r="C99" s="116" t="n">
        <f aca="false">C41+C42</f>
        <v>2651.01191549363</v>
      </c>
    </row>
    <row r="100" customFormat="false" ht="15" hidden="false" customHeight="true" outlineLevel="0" collapsed="false">
      <c r="B100" s="1" t="s">
        <v>716</v>
      </c>
      <c r="C100" s="116" t="n">
        <f aca="false">C98+C99</f>
        <v>17540.0119154936</v>
      </c>
    </row>
    <row r="101" customFormat="false" ht="15" hidden="false" customHeight="true" outlineLevel="0" collapsed="false">
      <c r="B101" s="1" t="s">
        <v>717</v>
      </c>
      <c r="C101" s="133" t="n">
        <f aca="false">C100/C86</f>
        <v>16.5791084000474</v>
      </c>
    </row>
    <row r="103" customFormat="false" ht="15" hidden="false" customHeight="true" outlineLevel="0" collapsed="false">
      <c r="B103" s="1" t="s">
        <v>718</v>
      </c>
      <c r="C103" s="133" t="n">
        <f aca="false">C80-C101</f>
        <v>-1.67032266086714</v>
      </c>
    </row>
    <row r="104" customFormat="false" ht="15" hidden="false" customHeight="true" outlineLevel="0" collapsed="false">
      <c r="B104" s="1" t="s">
        <v>719</v>
      </c>
      <c r="C104" s="127" t="n">
        <f aca="false">C80/C101-1</f>
        <v>-0.100748642240759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0"/>
  </cols>
  <sheetData>
    <row r="2" customFormat="false" ht="17.25" hidden="false" customHeight="true" outlineLevel="0" collapsed="false">
      <c r="B2" s="134" t="s">
        <v>720</v>
      </c>
    </row>
    <row r="3" customFormat="false" ht="15" hidden="false" customHeight="true" outlineLevel="0" collapsed="false">
      <c r="B3" s="5" t="s">
        <v>721</v>
      </c>
    </row>
    <row r="7" customFormat="false" ht="15" hidden="false" customHeight="true" outlineLevel="0" collapsed="false">
      <c r="C7" s="12" t="n">
        <v>2006</v>
      </c>
      <c r="D7" s="12" t="n">
        <v>2007</v>
      </c>
      <c r="E7" s="12" t="n">
        <v>2008</v>
      </c>
      <c r="F7" s="12" t="n">
        <v>2009</v>
      </c>
      <c r="G7" s="12" t="n">
        <v>2010</v>
      </c>
      <c r="H7" s="12" t="n">
        <v>2011</v>
      </c>
      <c r="I7" s="12" t="n">
        <v>2012</v>
      </c>
      <c r="J7" s="12" t="n">
        <v>2013</v>
      </c>
      <c r="K7" s="12" t="n">
        <v>2014</v>
      </c>
      <c r="L7" s="12" t="n">
        <v>2015</v>
      </c>
      <c r="M7" s="12" t="n">
        <v>2016</v>
      </c>
      <c r="N7" s="12" t="n">
        <v>2017</v>
      </c>
      <c r="O7" s="12" t="n">
        <v>2018</v>
      </c>
      <c r="P7" s="12" t="n">
        <v>2019</v>
      </c>
      <c r="Q7" s="12" t="n">
        <v>2020</v>
      </c>
      <c r="R7" s="12" t="n">
        <v>2021</v>
      </c>
      <c r="S7" s="12" t="n">
        <v>2022</v>
      </c>
      <c r="T7" s="12" t="n">
        <v>2023</v>
      </c>
      <c r="U7" s="12" t="n">
        <v>2024</v>
      </c>
      <c r="V7" s="12" t="n">
        <v>2025</v>
      </c>
    </row>
    <row r="8" customFormat="false" ht="15" hidden="false" customHeight="true" outlineLevel="0" collapsed="false">
      <c r="B8" s="1" t="s">
        <v>722</v>
      </c>
      <c r="C8" s="135" t="n">
        <f aca="false">IFERROR(Model!C199+0,0)</f>
        <v>0</v>
      </c>
      <c r="D8" s="135" t="n">
        <f aca="false">IFERROR(Model!D199+0,0)</f>
        <v>0.209608426375859</v>
      </c>
      <c r="E8" s="135" t="n">
        <f aca="false">IFERROR(Model!E199+0,0)</f>
        <v>0.137579911896533</v>
      </c>
      <c r="F8" s="135" t="n">
        <f aca="false">IFERROR(Model!F199+0,0)</f>
        <v>0.063111228855357</v>
      </c>
      <c r="G8" s="135" t="n">
        <f aca="false">IFERROR(Model!G199+0,0)</f>
        <v>-0.0526018594367608</v>
      </c>
      <c r="H8" s="135" t="n">
        <f aca="false">IFERROR(Model!H199+0,0)</f>
        <v>0.108375376711466</v>
      </c>
      <c r="I8" s="135" t="n">
        <f aca="false">IFERROR(Model!I199+0,0)</f>
        <v>0.0809772304398647</v>
      </c>
      <c r="J8" s="135" t="n">
        <f aca="false">IFERROR(Model!O199+0,0)</f>
        <v>0.0672397849094086</v>
      </c>
      <c r="K8" s="135" t="n">
        <f aca="false">IFERROR(Model!U199+0,0)</f>
        <v>0.0292980575648851</v>
      </c>
      <c r="L8" s="135" t="n">
        <f aca="false">IFERROR(Model!AA199+0,0)</f>
        <v>0.0722889562811657</v>
      </c>
      <c r="M8" s="135" t="n">
        <f aca="false">IFERROR(Model!AG199+0,0)</f>
        <v>0.0979307002665375</v>
      </c>
      <c r="N8" s="135" t="n">
        <f aca="false">IFERROR(Model!AM199+0,0)</f>
        <v>0.714688512433902</v>
      </c>
      <c r="O8" s="135" t="n">
        <f aca="false">IFERROR(Model!AS199+0,0)</f>
        <v>0.204733157535439</v>
      </c>
      <c r="P8" s="135" t="n">
        <f aca="false">IFERROR(Model!AY199+0,0)</f>
        <v>0.127018544887037</v>
      </c>
      <c r="Q8" s="135" t="n">
        <f aca="false">IFERROR(Model!BE199+0,0)</f>
        <v>0.0444541008508002</v>
      </c>
      <c r="R8" s="135" t="n">
        <f aca="false">IFERROR(Model!BK199+0,0)</f>
        <v>0.00755921176829354</v>
      </c>
      <c r="S8" s="135" t="n">
        <f aca="false">IFERROR(Model!BQ199+0,0)</f>
        <v>0.223601612171315</v>
      </c>
      <c r="T8" s="135" t="n">
        <f aca="false">IFERROR(Model!BW199+0,0)</f>
        <v>0.108946319315633</v>
      </c>
      <c r="U8" s="135" t="n">
        <f aca="false">IFERROR(Model!CC199+0,0)</f>
        <v>0.164311338188934</v>
      </c>
      <c r="V8" s="135" t="n">
        <f aca="false">IFERROR(Model!CI199+0,0)</f>
        <v>0.0715419448205032</v>
      </c>
    </row>
    <row r="9" customFormat="false" ht="15" hidden="false" customHeight="true" outlineLevel="0" collapsed="false">
      <c r="B9" s="1" t="s">
        <v>723</v>
      </c>
      <c r="C9" s="135" t="n">
        <f aca="false">IFERROR(Model!C200+0,0)</f>
        <v>0</v>
      </c>
      <c r="D9" s="135" t="n">
        <f aca="false">IFERROR(Model!D200+0,0)</f>
        <v>0</v>
      </c>
      <c r="E9" s="135" t="n">
        <f aca="false">IFERROR(Model!E200+0,0)</f>
        <v>0</v>
      </c>
      <c r="F9" s="135" t="n">
        <f aca="false">IFERROR(Model!F200+0,0)</f>
        <v>0</v>
      </c>
      <c r="G9" s="135" t="n">
        <f aca="false">IFERROR(Model!G200+0,0)</f>
        <v>0</v>
      </c>
      <c r="H9" s="135" t="n">
        <f aca="false">IFERROR(Model!H200+0,0)</f>
        <v>0</v>
      </c>
      <c r="I9" s="135" t="n">
        <f aca="false">IFERROR(Model!I200+0,0)</f>
        <v>0.0246933216190902</v>
      </c>
      <c r="J9" s="135" t="n">
        <f aca="false">IFERROR(Model!O200+0,0)</f>
        <v>0</v>
      </c>
      <c r="K9" s="135" t="n">
        <f aca="false">IFERROR(Model!U200+0,0)</f>
        <v>0</v>
      </c>
      <c r="L9" s="135" t="n">
        <f aca="false">IFERROR(Model!AA200+0,0)</f>
        <v>0</v>
      </c>
      <c r="M9" s="135" t="n">
        <f aca="false">IFERROR(Model!AG200+0,0)</f>
        <v>0</v>
      </c>
      <c r="N9" s="135" t="n">
        <f aca="false">IFERROR(Model!AM200+0,0)</f>
        <v>0</v>
      </c>
      <c r="O9" s="135" t="n">
        <f aca="false">IFERROR(Model!AS200+0,0)</f>
        <v>0</v>
      </c>
      <c r="P9" s="135" t="n">
        <f aca="false">IFERROR(Model!AY200+0,0)</f>
        <v>0</v>
      </c>
      <c r="Q9" s="135" t="n">
        <f aca="false">IFERROR(Model!BE200+0,0)</f>
        <v>0</v>
      </c>
      <c r="R9" s="135" t="n">
        <f aca="false">IFERROR(Model!BK200+0,0)</f>
        <v>0.0212741239853042</v>
      </c>
      <c r="S9" s="135" t="n">
        <f aca="false">IFERROR(Model!BQ200+0,0)</f>
        <v>0</v>
      </c>
      <c r="T9" s="135" t="n">
        <f aca="false">IFERROR(Model!BW200+0,0)</f>
        <v>1.01331866042838</v>
      </c>
      <c r="U9" s="135" t="n">
        <f aca="false">IFERROR(Model!CC200+0,0)</f>
        <v>0</v>
      </c>
      <c r="V9" s="135" t="n">
        <f aca="false">IFERROR(Model!CI200+0,0)</f>
        <v>0</v>
      </c>
    </row>
    <row r="11" customFormat="false" ht="15" hidden="false" customHeight="true" outlineLevel="0" collapsed="false">
      <c r="C11" s="12" t="n">
        <f aca="false">C7</f>
        <v>2006</v>
      </c>
      <c r="D11" s="12" t="n">
        <f aca="false">D7</f>
        <v>2007</v>
      </c>
      <c r="E11" s="12" t="n">
        <f aca="false">E7</f>
        <v>2008</v>
      </c>
      <c r="F11" s="12" t="n">
        <f aca="false">F7</f>
        <v>2009</v>
      </c>
      <c r="G11" s="12" t="n">
        <f aca="false">G7</f>
        <v>2010</v>
      </c>
      <c r="H11" s="12" t="n">
        <f aca="false">H7</f>
        <v>2011</v>
      </c>
      <c r="I11" s="12" t="n">
        <f aca="false">I7</f>
        <v>2012</v>
      </c>
      <c r="J11" s="12" t="n">
        <f aca="false">J7</f>
        <v>2013</v>
      </c>
      <c r="K11" s="12" t="n">
        <f aca="false">K7</f>
        <v>2014</v>
      </c>
      <c r="L11" s="12" t="n">
        <f aca="false">L7</f>
        <v>2015</v>
      </c>
      <c r="M11" s="12" t="n">
        <f aca="false">M7</f>
        <v>2016</v>
      </c>
      <c r="N11" s="12" t="n">
        <f aca="false">N7</f>
        <v>2017</v>
      </c>
      <c r="O11" s="12" t="n">
        <f aca="false">O7</f>
        <v>2018</v>
      </c>
      <c r="P11" s="12" t="n">
        <f aca="false">P7</f>
        <v>2019</v>
      </c>
      <c r="Q11" s="12" t="n">
        <f aca="false">Q7</f>
        <v>2020</v>
      </c>
      <c r="R11" s="12" t="n">
        <f aca="false">R7</f>
        <v>2021</v>
      </c>
      <c r="S11" s="12" t="n">
        <f aca="false">S7</f>
        <v>2022</v>
      </c>
      <c r="T11" s="12" t="n">
        <f aca="false">T7</f>
        <v>2023</v>
      </c>
      <c r="U11" s="12" t="n">
        <f aca="false">U7</f>
        <v>2024</v>
      </c>
      <c r="V11" s="12" t="n">
        <f aca="false">V7</f>
        <v>2025</v>
      </c>
    </row>
    <row r="12" customFormat="false" ht="15" hidden="false" customHeight="true" outlineLevel="0" collapsed="false">
      <c r="B12" s="1" t="s">
        <v>562</v>
      </c>
      <c r="C12" s="115" t="n">
        <f aca="false">Model!C80</f>
        <v>101.591</v>
      </c>
      <c r="D12" s="115" t="n">
        <f aca="false">Model!D80</f>
        <v>125.125</v>
      </c>
      <c r="E12" s="115" t="n">
        <f aca="false">Model!E80</f>
        <v>159.913</v>
      </c>
      <c r="F12" s="115" t="n">
        <f aca="false">Model!F80</f>
        <v>161.428</v>
      </c>
      <c r="G12" s="115" t="n">
        <f aca="false">Model!G80</f>
        <v>131.352</v>
      </c>
      <c r="H12" s="115" t="n">
        <f aca="false">Model!H80</f>
        <v>153.638</v>
      </c>
      <c r="I12" s="115" t="n">
        <f aca="false">Model!I80</f>
        <v>157.593</v>
      </c>
      <c r="J12" s="115" t="n">
        <f aca="false">Model!O80</f>
        <v>175</v>
      </c>
      <c r="K12" s="115" t="n">
        <f aca="false">Model!U80</f>
        <v>182.8</v>
      </c>
      <c r="L12" s="115" t="n">
        <f aca="false">Model!AA80</f>
        <v>212.386</v>
      </c>
      <c r="M12" s="115" t="n">
        <f aca="false">Model!AG80</f>
        <v>210.086</v>
      </c>
      <c r="N12" s="115" t="n">
        <f aca="false">Model!AM80</f>
        <v>191.524</v>
      </c>
      <c r="O12" s="115" t="n">
        <f aca="false">Model!AS80</f>
        <v>257.331</v>
      </c>
      <c r="P12" s="115" t="n">
        <f aca="false">Model!AY80</f>
        <v>314.814</v>
      </c>
      <c r="Q12" s="115" t="n">
        <f aca="false">Model!BE80</f>
        <v>374.295</v>
      </c>
      <c r="R12" s="115" t="n">
        <f aca="false">Model!BK80</f>
        <v>385.324</v>
      </c>
      <c r="S12" s="115" t="n">
        <f aca="false">Model!BQ80</f>
        <v>465.215</v>
      </c>
      <c r="T12" s="115" t="n">
        <f aca="false">Model!BW80</f>
        <v>1032.8</v>
      </c>
      <c r="U12" s="115" t="n">
        <f aca="false">Model!CC80</f>
        <v>1302.7</v>
      </c>
      <c r="V12" s="115" t="n">
        <f aca="false">Model!CI80</f>
        <v>1399.7</v>
      </c>
    </row>
    <row r="13" customFormat="false" ht="15" hidden="false" customHeight="true" outlineLevel="0" collapsed="false">
      <c r="B13" s="1" t="s">
        <v>599</v>
      </c>
      <c r="C13" s="115" t="n">
        <f aca="false">Model!C106</f>
        <v>85.946</v>
      </c>
      <c r="D13" s="115" t="n">
        <f aca="false">Model!D106</f>
        <v>101.435</v>
      </c>
      <c r="E13" s="115" t="n">
        <f aca="false">Model!E106</f>
        <v>122.118</v>
      </c>
      <c r="F13" s="115" t="n">
        <f aca="false">Model!F106</f>
        <v>127.895</v>
      </c>
      <c r="G13" s="115" t="n">
        <f aca="false">Model!G106</f>
        <v>91.765</v>
      </c>
      <c r="H13" s="115" t="n">
        <f aca="false">Model!H106</f>
        <v>107.573</v>
      </c>
      <c r="I13" s="115" t="n">
        <f aca="false">Model!I106</f>
        <v>117.965</v>
      </c>
      <c r="J13" s="115" t="n">
        <f aca="false">Model!O106</f>
        <v>136.931</v>
      </c>
      <c r="K13" s="115" t="n">
        <f aca="false">Model!U106</f>
        <v>125.885</v>
      </c>
      <c r="L13" s="115" t="n">
        <f aca="false">Model!AA106</f>
        <v>172.518</v>
      </c>
      <c r="M13" s="115" t="n">
        <f aca="false">Model!AG106</f>
        <v>137.153</v>
      </c>
      <c r="N13" s="115" t="n">
        <f aca="false">Model!AM106</f>
        <v>110.013</v>
      </c>
      <c r="O13" s="115" t="n">
        <f aca="false">Model!AS106</f>
        <v>184.977</v>
      </c>
      <c r="P13" s="115" t="n">
        <f aca="false">Model!AY106</f>
        <v>220.265</v>
      </c>
      <c r="Q13" s="115" t="n">
        <f aca="false">Model!BE106</f>
        <v>264.772</v>
      </c>
      <c r="R13" s="115" t="n">
        <f aca="false">Model!BK106</f>
        <v>240.939</v>
      </c>
      <c r="S13" s="115" t="n">
        <f aca="false">Model!BQ106</f>
        <v>453.591</v>
      </c>
      <c r="T13" s="115" t="n">
        <f aca="false">Model!BW106</f>
        <v>471.3</v>
      </c>
      <c r="U13" s="115" t="n">
        <f aca="false">Model!CC106</f>
        <v>761.2</v>
      </c>
      <c r="V13" s="115" t="n">
        <f aca="false">Model!CI106</f>
        <v>713.4</v>
      </c>
    </row>
    <row r="14" customFormat="false" ht="15" hidden="false" customHeight="true" outlineLevel="0" collapsed="false">
      <c r="B14" s="1" t="s">
        <v>724</v>
      </c>
      <c r="C14" s="135" t="n">
        <f aca="false">Model!C209</f>
        <v>0.393981935724064</v>
      </c>
      <c r="D14" s="135" t="n">
        <f aca="false">Model!D209</f>
        <v>0.401162529736523</v>
      </c>
      <c r="E14" s="135" t="n">
        <f aca="false">Model!E209</f>
        <v>0.450690213010614</v>
      </c>
      <c r="F14" s="135" t="n">
        <f aca="false">Model!F209</f>
        <v>0.427951464830029</v>
      </c>
      <c r="G14" s="135" t="n">
        <f aca="false">Model!G209</f>
        <v>0.367552865525549</v>
      </c>
      <c r="H14" s="135" t="n">
        <f aca="false">Model!H209</f>
        <v>0.38787777803024</v>
      </c>
      <c r="I14" s="135" t="n">
        <f aca="false">Model!I209</f>
        <v>0.359838339555434</v>
      </c>
      <c r="J14" s="135" t="n">
        <f aca="false">Model!O209</f>
        <v>0.374409235713078</v>
      </c>
      <c r="K14" s="135" t="n">
        <f aca="false">Model!U209</f>
        <v>0.379964955092216</v>
      </c>
      <c r="L14" s="135" t="n">
        <f aca="false">Model!AA209</f>
        <v>0.411700508844197</v>
      </c>
      <c r="M14" s="135" t="n">
        <f aca="false">Model!AG209</f>
        <v>0.370917822367782</v>
      </c>
      <c r="N14" s="135" t="n">
        <f aca="false">Model!AM209</f>
        <v>0.19720528711654</v>
      </c>
      <c r="O14" s="135" t="n">
        <f aca="false">Model!AS209</f>
        <v>0.219936138171289</v>
      </c>
      <c r="P14" s="135" t="n">
        <f aca="false">Model!AY209</f>
        <v>0.238741249513704</v>
      </c>
      <c r="Q14" s="135" t="n">
        <f aca="false">Model!BE209</f>
        <v>0.271767857920799</v>
      </c>
      <c r="R14" s="135" t="n">
        <f aca="false">Model!BK209</f>
        <v>0.271934993729582</v>
      </c>
      <c r="S14" s="135" t="n">
        <f aca="false">Model!BQ209</f>
        <v>0.268319790888034</v>
      </c>
      <c r="T14" s="135" t="n">
        <f aca="false">Model!BW209</f>
        <v>0.280682682900315</v>
      </c>
      <c r="U14" s="135" t="n">
        <f aca="false">Model!CC209</f>
        <v>0.304070771672658</v>
      </c>
      <c r="V14" s="135" t="n">
        <f aca="false">Model!CI209</f>
        <v>0.304899035005555</v>
      </c>
    </row>
    <row r="15" customFormat="false" ht="15" hidden="false" customHeight="true" outlineLevel="0" collapsed="false">
      <c r="B15" s="1" t="s">
        <v>725</v>
      </c>
      <c r="C15" s="135" t="n">
        <f aca="false">Model!C210</f>
        <v>0.333308771916217</v>
      </c>
      <c r="D15" s="135" t="n">
        <f aca="false">Model!D210</f>
        <v>0.325210159471123</v>
      </c>
      <c r="E15" s="135" t="n">
        <f aca="false">Model!E210</f>
        <v>0.344170814332982</v>
      </c>
      <c r="F15" s="135" t="n">
        <f aca="false">Model!F210</f>
        <v>0.33905426936118</v>
      </c>
      <c r="G15" s="135" t="n">
        <f aca="false">Model!G210</f>
        <v>0.256779407279311</v>
      </c>
      <c r="H15" s="135" t="n">
        <f aca="false">Model!H210</f>
        <v>0.271581094625334</v>
      </c>
      <c r="I15" s="135" t="n">
        <f aca="false">Model!I210</f>
        <v>0.2693541573906</v>
      </c>
      <c r="J15" s="135" t="n">
        <f aca="false">Model!O210</f>
        <v>0.292961320316729</v>
      </c>
      <c r="K15" s="135" t="n">
        <f aca="false">Model!U210</f>
        <v>0.261662409036016</v>
      </c>
      <c r="L15" s="135" t="n">
        <f aca="false">Model!AA210</f>
        <v>0.334418221468379</v>
      </c>
      <c r="M15" s="135" t="n">
        <f aca="false">Model!AG210</f>
        <v>0.242150795822703</v>
      </c>
      <c r="N15" s="135" t="n">
        <f aca="false">Model!AM210</f>
        <v>0.113276379208621</v>
      </c>
      <c r="O15" s="135" t="n">
        <f aca="false">Model!AS210</f>
        <v>0.158096486744739</v>
      </c>
      <c r="P15" s="135" t="n">
        <f aca="false">Model!AY210</f>
        <v>0.167039398896288</v>
      </c>
      <c r="Q15" s="135" t="n">
        <f aca="false">Model!BE210</f>
        <v>0.192245472895459</v>
      </c>
      <c r="R15" s="135" t="n">
        <f aca="false">Model!BK210</f>
        <v>0.170038060059098</v>
      </c>
      <c r="S15" s="135" t="n">
        <f aca="false">Model!BQ210</f>
        <v>0.26161547299355</v>
      </c>
      <c r="T15" s="135" t="n">
        <f aca="false">Model!BW210</f>
        <v>0.128084574410262</v>
      </c>
      <c r="U15" s="135" t="n">
        <f aca="false">Model!CC210</f>
        <v>0.17767611222632</v>
      </c>
      <c r="V15" s="135" t="n">
        <f aca="false">Model!CI210</f>
        <v>0.155401137081491</v>
      </c>
    </row>
    <row r="17" customFormat="false" ht="15" hidden="false" customHeight="true" outlineLevel="0" collapsed="false">
      <c r="C17" s="12" t="n">
        <f aca="false">C7</f>
        <v>2006</v>
      </c>
      <c r="D17" s="12" t="n">
        <f aca="false">D7</f>
        <v>2007</v>
      </c>
      <c r="E17" s="12" t="n">
        <f aca="false">E7</f>
        <v>2008</v>
      </c>
      <c r="F17" s="12" t="n">
        <f aca="false">F7</f>
        <v>2009</v>
      </c>
      <c r="G17" s="12" t="n">
        <f aca="false">G7</f>
        <v>2010</v>
      </c>
      <c r="H17" s="12" t="n">
        <f aca="false">H7</f>
        <v>2011</v>
      </c>
      <c r="I17" s="12" t="n">
        <f aca="false">I7</f>
        <v>2012</v>
      </c>
      <c r="J17" s="12" t="n">
        <f aca="false">J7</f>
        <v>2013</v>
      </c>
      <c r="K17" s="12" t="n">
        <f aca="false">K7</f>
        <v>2014</v>
      </c>
      <c r="L17" s="12" t="n">
        <f aca="false">L7</f>
        <v>2015</v>
      </c>
      <c r="M17" s="12" t="n">
        <f aca="false">M7</f>
        <v>2016</v>
      </c>
      <c r="N17" s="12" t="n">
        <f aca="false">N7</f>
        <v>2017</v>
      </c>
      <c r="O17" s="12" t="n">
        <f aca="false">O7</f>
        <v>2018</v>
      </c>
      <c r="P17" s="12" t="n">
        <f aca="false">P7</f>
        <v>2019</v>
      </c>
      <c r="Q17" s="12" t="n">
        <f aca="false">Q7</f>
        <v>2020</v>
      </c>
      <c r="R17" s="12" t="n">
        <f aca="false">R7</f>
        <v>2021</v>
      </c>
      <c r="S17" s="12" t="n">
        <f aca="false">S7</f>
        <v>2022</v>
      </c>
      <c r="T17" s="12" t="n">
        <f aca="false">T7</f>
        <v>2023</v>
      </c>
      <c r="U17" s="12" t="n">
        <f aca="false">U7</f>
        <v>2024</v>
      </c>
      <c r="V17" s="12" t="n">
        <f aca="false">V7</f>
        <v>2025</v>
      </c>
    </row>
    <row r="18" customFormat="false" ht="15" hidden="false" customHeight="true" outlineLevel="0" collapsed="false">
      <c r="B18" s="1" t="s">
        <v>617</v>
      </c>
      <c r="C18" s="135" t="n">
        <f aca="false">IFERROR(Model!C356+0,NA())</f>
        <v>0.224248263215143</v>
      </c>
      <c r="D18" s="135" t="n">
        <f aca="false">IFERROR(Model!D356+0,NA())</f>
        <v>0.217595408508214</v>
      </c>
      <c r="E18" s="135" t="n">
        <f aca="false">IFERROR(Model!E356+0,NA())</f>
        <v>0.231342924137767</v>
      </c>
      <c r="F18" s="135" t="n">
        <f aca="false">IFERROR(Model!F356+0,NA())</f>
        <v>0.165327256294363</v>
      </c>
      <c r="G18" s="135" t="n">
        <f aca="false">IFERROR(Model!G356+0,NA())</f>
        <v>0.104812341798784</v>
      </c>
      <c r="H18" s="135" t="n">
        <f aca="false">IFERROR(Model!H356+0,NA())</f>
        <v>0.120468437321263</v>
      </c>
      <c r="I18" s="135" t="n">
        <f aca="false">IFERROR(Model!I356+0,NA())</f>
        <v>0.11506653407147</v>
      </c>
      <c r="J18" s="135" t="n">
        <f aca="false">IFERROR(Model!O356+0,NA())</f>
        <v>0.143838763733471</v>
      </c>
      <c r="K18" s="135" t="n">
        <f aca="false">IFERROR(Model!U356+0,NA())</f>
        <v>0.14413992788593</v>
      </c>
      <c r="L18" s="135" t="n">
        <f aca="false">IFERROR(Model!AA356+0,NA())</f>
        <v>0.211618497026839</v>
      </c>
      <c r="M18" s="135" t="n">
        <f aca="false">IFERROR(Model!AG356+0,NA())</f>
        <v>0.109492767679892</v>
      </c>
      <c r="N18" s="135" t="n">
        <f aca="false">IFERROR(Model!AM356+0,NA())</f>
        <v>0.1034524039609</v>
      </c>
      <c r="O18" s="135" t="n">
        <f aca="false">IFERROR(Model!AS356+0,NA())</f>
        <v>0.114236364003815</v>
      </c>
      <c r="P18" s="135" t="n">
        <f aca="false">IFERROR(Model!AY356+0,NA())</f>
        <v>0.172977378359985</v>
      </c>
      <c r="Q18" s="135" t="n">
        <f aca="false">IFERROR(Model!BE356+0,NA())</f>
        <v>0.165385273926787</v>
      </c>
      <c r="R18" s="135" t="n">
        <f aca="false">IFERROR(Model!BK356+0,NA())</f>
        <v>0.0967494001044572</v>
      </c>
      <c r="S18" s="135" t="n">
        <f aca="false">IFERROR(Model!BQ356+0,NA())</f>
        <v>0.224820185010554</v>
      </c>
      <c r="T18" s="135" t="n">
        <f aca="false">IFERROR(Model!BW356+0,NA())</f>
        <v>0.0824505366871361</v>
      </c>
      <c r="U18" s="135" t="n">
        <f aca="false">IFERROR(Model!CC356+0,NA())</f>
        <v>0.108514559944094</v>
      </c>
      <c r="V18" s="135" t="n">
        <f aca="false">IFERROR(Model!CI356+0,NA())</f>
        <v>0.119508787206056</v>
      </c>
    </row>
    <row r="19" customFormat="false" ht="15" hidden="false" customHeight="true" outlineLevel="0" collapsed="false">
      <c r="B19" s="1" t="s">
        <v>618</v>
      </c>
      <c r="C19" s="135" t="n">
        <f aca="false">IFERROR(Model!C368+0,NA())</f>
        <v>0.141135073108977</v>
      </c>
      <c r="D19" s="135" t="n">
        <f aca="false">IFERROR(Model!D368+0,NA())</f>
        <v>0.158971512765572</v>
      </c>
      <c r="E19" s="135" t="n">
        <f aca="false">IFERROR(Model!E368+0,NA())</f>
        <v>0.195829982146442</v>
      </c>
      <c r="F19" s="135" t="n">
        <f aca="false">IFERROR(Model!F368+0,NA())</f>
        <v>0.141939982642444</v>
      </c>
      <c r="G19" s="135" t="n">
        <f aca="false">IFERROR(Model!G368+0,NA())</f>
        <v>0.0984954126722408</v>
      </c>
      <c r="H19" s="135" t="n">
        <f aca="false">IFERROR(Model!H368+0,NA())</f>
        <v>0.106162005129893</v>
      </c>
      <c r="I19" s="135" t="n">
        <f aca="false">IFERROR(Model!I368+0,NA())</f>
        <v>0.101769241245673</v>
      </c>
      <c r="J19" s="135" t="n">
        <f aca="false">IFERROR(Model!O368+0,NA())</f>
        <v>0.117251233751653</v>
      </c>
      <c r="K19" s="135" t="n">
        <f aca="false">IFERROR(Model!U368+0,NA())</f>
        <v>0.132701496974982</v>
      </c>
      <c r="L19" s="135" t="n">
        <f aca="false">IFERROR(Model!AA368+0,NA())</f>
        <v>0.178960626168592</v>
      </c>
      <c r="M19" s="135" t="n">
        <f aca="false">IFERROR(Model!AG368+0,NA())</f>
        <v>0.100990726351657</v>
      </c>
      <c r="N19" s="135" t="n">
        <f aca="false">IFERROR(Model!AM368+0,NA())</f>
        <v>0.187418008421602</v>
      </c>
      <c r="O19" s="135" t="n">
        <f aca="false">IFERROR(Model!AS368+0,NA())</f>
        <v>0.208682542120402</v>
      </c>
      <c r="P19" s="135" t="n">
        <f aca="false">IFERROR(Model!AY368+0,NA())</f>
        <v>0.245002456096107</v>
      </c>
      <c r="Q19" s="135" t="n">
        <f aca="false">IFERROR(Model!BE368+0,NA())</f>
        <v>0.314933687962928</v>
      </c>
      <c r="R19" s="135" t="n">
        <f aca="false">IFERROR(Model!BK368+0,NA())</f>
        <v>0.140312958547886</v>
      </c>
      <c r="S19" s="135" t="n">
        <f aca="false">IFERROR(Model!BQ368+0,NA())</f>
        <v>0.380712206735963</v>
      </c>
      <c r="T19" s="135" t="n">
        <f aca="false">IFERROR(Model!BW368+0,NA())</f>
        <v>0.202193464979333</v>
      </c>
      <c r="U19" s="135" t="n">
        <f aca="false">IFERROR(Model!CC368+0,NA())</f>
        <v>0.255594679154163</v>
      </c>
      <c r="V19" s="135" t="n">
        <f aca="false">IFERROR(Model!CI368+0,NA())</f>
        <v>0.267226213367009</v>
      </c>
    </row>
    <row r="20" customFormat="false" ht="15" hidden="false" customHeight="true" outlineLevel="0" collapsed="false">
      <c r="B20" s="1" t="s">
        <v>726</v>
      </c>
      <c r="C20" s="135" t="n">
        <f aca="false">IFERROR(Model!C209+0,NA())</f>
        <v>0.393981935724064</v>
      </c>
      <c r="D20" s="135" t="n">
        <f aca="false">IFERROR(Model!D209+0,NA())</f>
        <v>0.401162529736523</v>
      </c>
      <c r="E20" s="135" t="n">
        <f aca="false">IFERROR(Model!E209+0,NA())</f>
        <v>0.450690213010614</v>
      </c>
      <c r="F20" s="135" t="n">
        <f aca="false">IFERROR(Model!F209+0,NA())</f>
        <v>0.427951464830029</v>
      </c>
      <c r="G20" s="135" t="n">
        <f aca="false">IFERROR(Model!G209+0,NA())</f>
        <v>0.367552865525549</v>
      </c>
      <c r="H20" s="135" t="n">
        <f aca="false">IFERROR(Model!H209+0,NA())</f>
        <v>0.38787777803024</v>
      </c>
      <c r="I20" s="135" t="n">
        <f aca="false">IFERROR(Model!I209+0,NA())</f>
        <v>0.359838339555434</v>
      </c>
      <c r="J20" s="135" t="n">
        <f aca="false">IFERROR(Model!O209+0,NA())</f>
        <v>0.374409235713078</v>
      </c>
      <c r="K20" s="135" t="n">
        <f aca="false">IFERROR(Model!U209+0,NA())</f>
        <v>0.379964955092216</v>
      </c>
      <c r="L20" s="135" t="n">
        <f aca="false">IFERROR(Model!AA209+0,NA())</f>
        <v>0.411700508844197</v>
      </c>
      <c r="M20" s="135" t="n">
        <f aca="false">IFERROR(Model!AG209+0,NA())</f>
        <v>0.370917822367782</v>
      </c>
      <c r="N20" s="135" t="n">
        <f aca="false">IFERROR(Model!AM209+0,NA())</f>
        <v>0.19720528711654</v>
      </c>
      <c r="O20" s="135" t="n">
        <f aca="false">IFERROR(Model!AS209+0,NA())</f>
        <v>0.219936138171289</v>
      </c>
      <c r="P20" s="135" t="n">
        <f aca="false">IFERROR(Model!AY209+0,NA())</f>
        <v>0.238741249513704</v>
      </c>
      <c r="Q20" s="135" t="n">
        <f aca="false">IFERROR(Model!BE209+0,NA())</f>
        <v>0.271767857920799</v>
      </c>
      <c r="R20" s="135" t="n">
        <f aca="false">IFERROR(Model!BK209+0,NA())</f>
        <v>0.271934993729582</v>
      </c>
      <c r="S20" s="135" t="n">
        <f aca="false">IFERROR(Model!BQ209+0,NA())</f>
        <v>0.268319790888034</v>
      </c>
      <c r="T20" s="135" t="n">
        <f aca="false">IFERROR(Model!BW209+0,NA())</f>
        <v>0.280682682900315</v>
      </c>
      <c r="U20" s="135" t="n">
        <f aca="false">IFERROR(Model!CC209+0,NA())</f>
        <v>0.304070771672658</v>
      </c>
      <c r="V20" s="135" t="n">
        <f aca="false">IFERROR(Model!CI209+0,NA())</f>
        <v>0.304899035005555</v>
      </c>
    </row>
    <row r="21" customFormat="false" ht="15" hidden="false" customHeight="true" outlineLevel="0" collapsed="false">
      <c r="B21" s="1" t="s">
        <v>727</v>
      </c>
      <c r="C21" s="135" t="n">
        <f aca="false">IFERROR(Model!C207+0,NA())</f>
        <v>0.094764726354757</v>
      </c>
      <c r="D21" s="135" t="n">
        <f aca="false">IFERROR(Model!D207+0,NA())</f>
        <v>0.0978840935288216</v>
      </c>
      <c r="E21" s="135" t="n">
        <f aca="false">IFERROR(Model!E207+0,NA())</f>
        <v>0.0994679240628399</v>
      </c>
      <c r="F21" s="135" t="n">
        <f aca="false">IFERROR(Model!F207+0,NA())</f>
        <v>0.10802082805344</v>
      </c>
      <c r="G21" s="135" t="n">
        <f aca="false">IFERROR(Model!G207+0,NA())</f>
        <v>0.109028055956319</v>
      </c>
      <c r="H21" s="135" t="n">
        <f aca="false">IFERROR(Model!H207+0,NA())</f>
        <v>0.106642173815067</v>
      </c>
      <c r="I21" s="135" t="n">
        <f aca="false">IFERROR(Model!I207+0,NA())</f>
        <v>0.112066532394778</v>
      </c>
      <c r="J21" s="135" t="n">
        <f aca="false">IFERROR(Model!O207+0,NA())</f>
        <v>0.122428308260662</v>
      </c>
      <c r="K21" s="135" t="n">
        <f aca="false">IFERROR(Model!U207+0,NA())</f>
        <v>0.114203180380194</v>
      </c>
      <c r="L21" s="135" t="n">
        <f aca="false">IFERROR(Model!AA207+0,NA())</f>
        <v>0.121449936258647</v>
      </c>
      <c r="M21" s="135" t="n">
        <f aca="false">IFERROR(Model!AG207+0,NA())</f>
        <v>0.130661862155594</v>
      </c>
      <c r="N21" s="135" t="n">
        <f aca="false">IFERROR(Model!AM207+0,NA())</f>
        <v>0.13975369641149</v>
      </c>
      <c r="O21" s="135" t="n">
        <f aca="false">IFERROR(Model!AS207+0,NA())</f>
        <v>0.150985110285416</v>
      </c>
      <c r="P21" s="135" t="n">
        <f aca="false">IFERROR(Model!AY207+0,NA())</f>
        <v>0.156407040674538</v>
      </c>
      <c r="Q21" s="135" t="n">
        <f aca="false">IFERROR(Model!BE207+0,NA())</f>
        <v>0.161072054387755</v>
      </c>
      <c r="R21" s="135" t="n">
        <f aca="false">IFERROR(Model!BK207+0,NA())</f>
        <v>0.165842147290958</v>
      </c>
      <c r="S21" s="135" t="n">
        <f aca="false">IFERROR(Model!BQ207+0,NA())</f>
        <v>0.174344897491474</v>
      </c>
      <c r="T21" s="135" t="n">
        <f aca="false">IFERROR(Model!BW207+0,NA())</f>
        <v>0.196150919558382</v>
      </c>
      <c r="U21" s="135" t="n">
        <f aca="false">IFERROR(Model!CC207+0,NA())</f>
        <v>0.211483325788441</v>
      </c>
      <c r="V21" s="135" t="n">
        <f aca="false">IFERROR(Model!CI207+0,NA())</f>
        <v>0.216159833105994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2026-10-03T12:07:39Z</dcterms:created>
  <dc:creator>openpyxl</dc:creator>
  <dc:description/>
  <dc:language>en-US</dc:language>
  <cp:lastModifiedBy/>
  <dcterms:modified xsi:type="dcterms:W3CDTF">2026-10-03T12:07:54Z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