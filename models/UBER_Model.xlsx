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;\(#,##0\);\-"/>
    <numFmt numFmtId="165" formatCode="0%;\(0%\);&quot;n/m&quot;"/>
    <numFmt numFmtId="166" formatCode="0.0%;\(0.0%\);\-"/>
    <numFmt numFmtId="167" formatCode="0.00;\(0.00\);\-"/>
    <numFmt numFmtId="168" formatCode="0.000"/>
    <numFmt numFmtId="169" formatCode="0.0\x;\(0.0&quot;x)&quot;;\-"/>
    <numFmt numFmtId="170" formatCode="\+0.0%;\-0.0%"/>
    <numFmt numFmtId="171" formatCode="\+#,##0;\-#,##0"/>
    <numFmt numFmtId="172" formatCode="#,##0.0;\(#,##0.0\);\-"/>
    <numFmt numFmtId="173" formatCode="dd-mmm-yy"/>
    <numFmt numFmtId="174" formatCode="0%;\(0%\);\-"/>
    <numFmt numFmtId="175" formatCode="0.0\x"/>
    <numFmt numFmtId="176" formatCode="0.0%;\(0.0%\)"/>
  </numFmts>
  <fonts count="32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color rgb="FF595959"/>
      <sz val="10"/>
    </font>
    <font>
      <name val="Calibri"/>
      <color rgb="FFC00000"/>
      <sz val="10"/>
    </font>
    <font>
      <name val="Calibri"/>
      <b val="1"/>
      <color rgb="FFC00000"/>
      <sz val="10"/>
    </font>
    <font>
      <name val="Calibri"/>
      <b val="1"/>
      <color rgb="FF0000FF"/>
      <sz val="12"/>
    </font>
    <font>
      <name val="Calibri"/>
      <b val="1"/>
      <color rgb="FFFFFFFF"/>
      <sz val="12"/>
    </font>
    <font>
      <name val="Calibri"/>
      <color rgb="FF666666"/>
      <sz val="9"/>
    </font>
    <font>
      <name val="Calibri"/>
      <b val="1"/>
      <color rgb="FFFFFFFF"/>
      <sz val="11"/>
    </font>
    <font>
      <name val="Calibri"/>
      <b val="1"/>
      <sz val="10"/>
    </font>
    <font>
      <name val="Calibri"/>
      <b val="1"/>
      <sz val="12"/>
    </font>
    <font>
      <name val="Calibri"/>
      <sz val="10"/>
    </font>
    <font>
      <name val="Calibri"/>
      <b val="1"/>
      <color rgb="FF000000"/>
      <sz val="12"/>
    </font>
    <font>
      <name val="Calibri"/>
      <color rgb="FF404040"/>
      <sz val="12"/>
    </font>
    <font>
      <name val="Calibri"/>
      <color rgb="FFA6A6A6"/>
      <sz val="12"/>
    </font>
    <font>
      <name val="Calibri"/>
      <color rgb="FF000000"/>
      <sz val="12"/>
    </font>
    <font>
      <name val="Calibri"/>
      <sz val="12"/>
    </font>
    <font>
      <name val="Calibri"/>
      <color rgb="FF0000FF"/>
      <sz val="12"/>
    </font>
    <font>
      <name val="Calibri"/>
      <b val="1"/>
      <color rgb="FF666666"/>
      <sz val="12"/>
    </font>
    <font>
      <name val="Calibri"/>
      <b val="1"/>
      <color rgb="FF595959"/>
      <sz val="12"/>
    </font>
    <font>
      <name val="Calibri"/>
      <b val="1"/>
      <color rgb="FFC00000"/>
      <sz val="11"/>
    </font>
    <font>
      <name val="Calibri"/>
      <b val="1"/>
      <color rgb="FF000000"/>
      <sz val="11"/>
    </font>
    <font>
      <name val="Calibri"/>
      <b val="1"/>
      <color rgb="FF2F3E46"/>
      <sz val="16"/>
    </font>
    <font>
      <name val="Calibri"/>
      <b val="1"/>
      <sz val="11"/>
    </font>
    <font>
      <name val="Calibri"/>
      <b val="1"/>
      <color rgb="FF2F3E46"/>
      <sz val="12"/>
    </font>
    <font>
      <name val="Calibri"/>
      <b val="1"/>
      <color rgb="FFFFFFFF"/>
      <sz val="9"/>
    </font>
    <font>
      <name val="Calibri"/>
      <b val="1"/>
      <color rgb="FF008000"/>
      <sz val="12"/>
    </font>
    <font>
      <name val="Calibri"/>
      <color rgb="FF595959"/>
      <sz val="12"/>
    </font>
    <font>
      <name val="Calibri"/>
      <color rgb="FF008000"/>
      <sz val="12"/>
    </font>
    <font>
      <name val="Calibri"/>
      <b val="1"/>
      <color rgb="FFFFFFFF"/>
      <sz val="14"/>
    </font>
    <font>
      <name val="Calibri"/>
      <color rgb="FF595959"/>
      <sz val="9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FDE7"/>
      </patternFill>
    </fill>
    <fill>
      <patternFill patternType="solid">
        <fgColor rgb="FFFFFF00"/>
      </patternFill>
    </fill>
    <fill>
      <patternFill patternType="solid">
        <fgColor rgb="FF2F3E46"/>
      </patternFill>
    </fill>
    <fill>
      <patternFill patternType="solid">
        <fgColor rgb="FF84A98C"/>
      </patternFill>
    </fill>
    <fill>
      <patternFill patternType="solid">
        <fgColor rgb="FF52796F"/>
      </patternFill>
    </fill>
    <fill>
      <patternFill patternType="solid">
        <fgColor rgb="FFCAD2C5"/>
      </patternFill>
    </fill>
    <fill>
      <patternFill patternType="solid">
        <fgColor rgb="FFE9ECEC"/>
      </patternFill>
    </fill>
    <fill>
      <patternFill patternType="solid">
        <fgColor rgb="FFF5F5F5"/>
      </patternFill>
    </fill>
    <fill>
      <patternFill patternType="solid">
        <fgColor rgb="FFF0F2F0"/>
      </patternFill>
    </fill>
    <fill>
      <patternFill patternType="solid">
        <fgColor rgb="FFFFF8DC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thin"/>
    </border>
    <border>
      <top style="thin"/>
    </border>
  </borders>
  <cellStyleXfs count="1">
    <xf numFmtId="0" fontId="0" fillId="0" borderId="0"/>
  </cellStyleXfs>
  <cellXfs count="174">
    <xf numFmtId="0" fontId="0" fillId="0" borderId="0" pivotButton="0" quotePrefix="0" xfId="0"/>
    <xf numFmtId="0" fontId="4" fillId="2" borderId="0" pivotButton="0" quotePrefix="0" xfId="0"/>
    <xf numFmtId="0" fontId="1" fillId="0" borderId="0" pivotButton="0" quotePrefix="0" xfId="0"/>
    <xf numFmtId="0" fontId="5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6" fillId="5" borderId="0" applyAlignment="1" pivotButton="0" quotePrefix="0" xfId="0">
      <alignment horizont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4" borderId="0" pivotButton="0" quotePrefix="0" xfId="0"/>
    <xf numFmtId="0" fontId="21" fillId="0" borderId="0" pivotButton="0" quotePrefix="0" xfId="0"/>
    <xf numFmtId="0" fontId="10" fillId="7" borderId="0" applyAlignment="1" pivotButton="0" quotePrefix="0" xfId="0">
      <alignment horizontal="center"/>
    </xf>
    <xf numFmtId="0" fontId="11" fillId="0" borderId="0" pivotButton="0" quotePrefix="0" xfId="0"/>
    <xf numFmtId="0" fontId="8" fillId="6" borderId="0" pivotButton="0" quotePrefix="0" xfId="0"/>
    <xf numFmtId="0" fontId="9" fillId="2" borderId="0" pivotButton="0" quotePrefix="0" xfId="0"/>
    <xf numFmtId="0" fontId="10" fillId="0" borderId="2" pivotButton="0" quotePrefix="0" xfId="0"/>
    <xf numFmtId="164" fontId="5" fillId="0" borderId="2" applyAlignment="1" pivotButton="0" quotePrefix="0" xfId="0">
      <alignment horizontal="right"/>
    </xf>
    <xf numFmtId="164" fontId="12" fillId="2" borderId="2" applyAlignment="1" pivotButton="0" quotePrefix="0" xfId="0">
      <alignment horizontal="right"/>
    </xf>
    <xf numFmtId="0" fontId="11" fillId="2" borderId="0" pivotButton="0" quotePrefix="0" xfId="0"/>
    <xf numFmtId="165" fontId="10" fillId="7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0" fillId="2" borderId="0" pivotButton="0" quotePrefix="0" xfId="0"/>
    <xf numFmtId="0" fontId="16" fillId="0" borderId="0" pivotButton="0" quotePrefix="0" xfId="0"/>
    <xf numFmtId="164" fontId="17" fillId="0" borderId="0" pivotButton="0" quotePrefix="0" xfId="0"/>
    <xf numFmtId="167" fontId="17" fillId="0" borderId="0" pivotButton="0" quotePrefix="0" xfId="0"/>
    <xf numFmtId="167" fontId="15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7" fillId="2" borderId="0" applyAlignment="1" pivotButton="0" quotePrefix="0" xfId="0">
      <alignment horizontal="right"/>
    </xf>
    <xf numFmtId="166" fontId="15" fillId="0" borderId="0" pivotButton="0" quotePrefix="0" xfId="0"/>
    <xf numFmtId="166" fontId="17" fillId="0" borderId="0" pivotButton="0" quotePrefix="0" xfId="0"/>
    <xf numFmtId="168" fontId="15" fillId="0" borderId="0" pivotButton="0" quotePrefix="0" xfId="0"/>
    <xf numFmtId="164" fontId="12" fillId="0" borderId="2" applyAlignment="1" pivotButton="0" quotePrefix="0" xfId="0">
      <alignment horizontal="right"/>
    </xf>
    <xf numFmtId="164" fontId="15" fillId="0" borderId="0" pivotButton="0" quotePrefix="0" xfId="0"/>
    <xf numFmtId="0" fontId="18" fillId="0" borderId="0" pivotButton="0" quotePrefix="0" xfId="0"/>
    <xf numFmtId="166" fontId="15" fillId="0" borderId="0" applyAlignment="1" pivotButton="0" quotePrefix="0" xfId="0">
      <alignment horizontal="right"/>
    </xf>
    <xf numFmtId="166" fontId="17" fillId="0" borderId="0" applyAlignment="1" pivotButton="0" quotePrefix="0" xfId="0">
      <alignment horizontal="right"/>
    </xf>
    <xf numFmtId="169" fontId="17" fillId="0" borderId="0" pivotButton="0" quotePrefix="0" xfId="0"/>
    <xf numFmtId="170" fontId="5" fillId="8" borderId="0" applyAlignment="1" pivotButton="0" quotePrefix="0" xfId="0">
      <alignment horizontal="center"/>
    </xf>
    <xf numFmtId="164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71" fontId="5" fillId="8" borderId="0" applyAlignment="1" pivotButton="0" quotePrefix="0" xfId="0">
      <alignment horizontal="center"/>
    </xf>
    <xf numFmtId="164" fontId="17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9" fontId="17" fillId="2" borderId="0" applyAlignment="1" pivotButton="0" quotePrefix="0" xfId="0">
      <alignment horizontal="right"/>
    </xf>
    <xf numFmtId="164" fontId="5" fillId="2" borderId="2" applyAlignment="1" pivotButton="0" quotePrefix="0" xfId="0">
      <alignment horizontal="right"/>
    </xf>
    <xf numFmtId="0" fontId="8" fillId="4" borderId="2" pivotButton="0" quotePrefix="0" xfId="0"/>
    <xf numFmtId="164" fontId="12" fillId="7" borderId="2" applyAlignment="1" pivotButton="0" quotePrefix="0" xfId="0">
      <alignment horizontal="right"/>
    </xf>
    <xf numFmtId="0" fontId="19" fillId="0" borderId="0" pivotButton="0" quotePrefix="0" xfId="0"/>
    <xf numFmtId="164" fontId="5" fillId="7" borderId="2" applyAlignment="1" pivotButton="0" quotePrefix="0" xfId="0">
      <alignment horizontal="right"/>
    </xf>
    <xf numFmtId="172" fontId="17" fillId="0" borderId="0" applyAlignment="1" pivotButton="0" quotePrefix="0" xfId="0">
      <alignment horizontal="right"/>
    </xf>
    <xf numFmtId="172" fontId="15" fillId="2" borderId="0" applyAlignment="1" pivotButton="0" quotePrefix="0" xfId="0">
      <alignment horizontal="right"/>
    </xf>
    <xf numFmtId="167" fontId="12" fillId="0" borderId="2" applyAlignment="1" pivotButton="0" quotePrefix="0" xfId="0">
      <alignment horizontal="right"/>
    </xf>
    <xf numFmtId="167" fontId="12" fillId="2" borderId="2" applyAlignment="1" pivotButton="0" quotePrefix="0" xfId="0">
      <alignment horizontal="right"/>
    </xf>
    <xf numFmtId="167" fontId="17" fillId="0" borderId="0" applyAlignment="1" pivotButton="0" quotePrefix="0" xfId="0">
      <alignment horizontal="right"/>
    </xf>
    <xf numFmtId="0" fontId="20" fillId="0" borderId="0" pivotButton="0" quotePrefix="0" xfId="0"/>
    <xf numFmtId="0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172" fontId="15" fillId="0" borderId="0" applyAlignment="1" pivotButton="0" quotePrefix="0" xfId="0">
      <alignment horizontal="right"/>
    </xf>
    <xf numFmtId="167" fontId="12" fillId="7" borderId="2" applyAlignment="1" pivotButton="0" quotePrefix="0" xfId="0">
      <alignment horizontal="right"/>
    </xf>
    <xf numFmtId="172" fontId="17" fillId="2" borderId="0" applyAlignment="1" pivotButton="0" quotePrefix="0" xfId="0">
      <alignment horizontal="right"/>
    </xf>
    <xf numFmtId="167" fontId="17" fillId="2" borderId="0" applyAlignment="1" pivotButton="0" quotePrefix="0" xfId="0">
      <alignment horizontal="right"/>
    </xf>
    <xf numFmtId="166" fontId="12" fillId="0" borderId="2" applyAlignment="1" pivotButton="0" quotePrefix="0" xfId="0">
      <alignment horizontal="right"/>
    </xf>
    <xf numFmtId="166" fontId="12" fillId="2" borderId="2" applyAlignment="1" pivotButton="0" quotePrefix="0" xfId="0">
      <alignment horizontal="right"/>
    </xf>
    <xf numFmtId="169" fontId="12" fillId="0" borderId="2" applyAlignment="1" pivotButton="0" quotePrefix="0" xfId="0">
      <alignment horizontal="right"/>
    </xf>
    <xf numFmtId="169" fontId="12" fillId="2" borderId="2" applyAlignment="1" pivotButton="0" quotePrefix="0" xfId="0">
      <alignment horizontal="right"/>
    </xf>
    <xf numFmtId="0" fontId="22" fillId="0" borderId="0" pivotButton="0" quotePrefix="0" xfId="0"/>
    <xf numFmtId="0" fontId="23" fillId="0" borderId="0" pivotButton="0" quotePrefix="0" xfId="0"/>
    <xf numFmtId="167" fontId="0" fillId="0" borderId="0" pivotButton="0" quotePrefix="0" xfId="0"/>
    <xf numFmtId="173" fontId="0" fillId="0" borderId="0" pivotButton="0" quotePrefix="0" xfId="0"/>
    <xf numFmtId="0" fontId="24" fillId="7" borderId="0" pivotButton="0" quotePrefix="0" xfId="0"/>
    <xf numFmtId="0" fontId="26" fillId="3" borderId="0" pivotButton="0" quotePrefix="0" xfId="0"/>
    <xf numFmtId="0" fontId="25" fillId="4" borderId="0" applyAlignment="1" pivotButton="0" quotePrefix="0" xfId="0">
      <alignment horizontal="left"/>
    </xf>
    <xf numFmtId="0" fontId="8" fillId="4" borderId="0" applyAlignment="1" pivotButton="0" quotePrefix="0" xfId="0">
      <alignment horizontal="center"/>
    </xf>
    <xf numFmtId="0" fontId="24" fillId="0" borderId="0" pivotButton="0" quotePrefix="0" xfId="0"/>
    <xf numFmtId="164" fontId="26" fillId="9" borderId="0" pivotButton="0" quotePrefix="0" xfId="0"/>
    <xf numFmtId="164" fontId="26" fillId="2" borderId="0" pivotButton="0" quotePrefix="0" xfId="0"/>
    <xf numFmtId="174" fontId="10" fillId="0" borderId="0" pivotButton="0" quotePrefix="0" xfId="0"/>
    <xf numFmtId="0" fontId="27" fillId="0" borderId="0" pivotButton="0" quotePrefix="0" xfId="0"/>
    <xf numFmtId="174" fontId="27" fillId="9" borderId="0" pivotButton="0" quotePrefix="0" xfId="0"/>
    <xf numFmtId="174" fontId="27" fillId="2" borderId="0" pivotButton="0" quotePrefix="0" xfId="0"/>
    <xf numFmtId="166" fontId="27" fillId="9" borderId="0" pivotButton="0" quotePrefix="0" xfId="0"/>
    <xf numFmtId="166" fontId="27" fillId="2" borderId="0" pivotButton="0" quotePrefix="0" xfId="0"/>
    <xf numFmtId="166" fontId="27" fillId="10" borderId="0" pivotButton="0" quotePrefix="0" xfId="0"/>
    <xf numFmtId="172" fontId="26" fillId="9" borderId="0" pivotButton="0" quotePrefix="0" xfId="0"/>
    <xf numFmtId="172" fontId="26" fillId="2" borderId="0" pivotButton="0" quotePrefix="0" xfId="0"/>
    <xf numFmtId="167" fontId="26" fillId="9" borderId="0" pivotButton="0" quotePrefix="0" xfId="0"/>
    <xf numFmtId="167" fontId="26" fillId="2" borderId="0" pivotButton="0" quotePrefix="0" xfId="0"/>
    <xf numFmtId="175" fontId="15" fillId="9" borderId="0" pivotButton="0" quotePrefix="0" xfId="0"/>
    <xf numFmtId="175" fontId="15" fillId="2" borderId="0" pivotButton="0" quotePrefix="0" xfId="0"/>
    <xf numFmtId="175" fontId="5" fillId="11" borderId="0" pivotButton="0" quotePrefix="0" xfId="0"/>
    <xf numFmtId="164" fontId="12" fillId="9" borderId="0" pivotButton="0" quotePrefix="0" xfId="0"/>
    <xf numFmtId="164" fontId="12" fillId="2" borderId="0" pivotButton="0" quotePrefix="0" xfId="0"/>
    <xf numFmtId="164" fontId="6" fillId="4" borderId="0" pivotButton="0" quotePrefix="0" xfId="0"/>
    <xf numFmtId="174" fontId="15" fillId="9" borderId="0" pivotButton="0" quotePrefix="0" xfId="0"/>
    <xf numFmtId="174" fontId="15" fillId="2" borderId="0" pivotButton="0" quotePrefix="0" xfId="0"/>
    <xf numFmtId="167" fontId="27" fillId="9" borderId="0" pivotButton="0" quotePrefix="0" xfId="0"/>
    <xf numFmtId="167" fontId="27" fillId="2" borderId="0" pivotButton="0" quotePrefix="0" xfId="0"/>
    <xf numFmtId="169" fontId="27" fillId="9" borderId="0" pivotButton="0" quotePrefix="0" xfId="0"/>
    <xf numFmtId="169" fontId="27" fillId="2" borderId="0" pivotButton="0" quotePrefix="0" xfId="0"/>
    <xf numFmtId="164" fontId="15" fillId="9" borderId="0" pivotButton="0" quotePrefix="0" xfId="0"/>
    <xf numFmtId="164" fontId="28" fillId="2" borderId="0" pivotButton="0" quotePrefix="0" xfId="0"/>
    <xf numFmtId="167" fontId="15" fillId="9" borderId="0" pivotButton="0" quotePrefix="0" xfId="0"/>
    <xf numFmtId="167" fontId="28" fillId="2" borderId="0" pivotButton="0" quotePrefix="0" xfId="0"/>
    <xf numFmtId="172" fontId="15" fillId="9" borderId="0" pivotButton="0" quotePrefix="0" xfId="0"/>
    <xf numFmtId="172" fontId="28" fillId="2" borderId="0" pivotButton="0" quotePrefix="0" xfId="0"/>
    <xf numFmtId="166" fontId="26" fillId="9" borderId="0" pivotButton="0" quotePrefix="0" xfId="0"/>
    <xf numFmtId="166" fontId="26" fillId="2" borderId="0" pivotButton="0" quotePrefix="0" xfId="0"/>
    <xf numFmtId="164" fontId="15" fillId="2" borderId="0" pivotButton="0" quotePrefix="0" xfId="0"/>
    <xf numFmtId="169" fontId="15" fillId="9" borderId="0" pivotButton="0" quotePrefix="0" xfId="0"/>
    <xf numFmtId="169" fontId="15" fillId="2" borderId="0" pivotButton="0" quotePrefix="0" xfId="0"/>
    <xf numFmtId="0" fontId="29" fillId="4" borderId="0" pivotButton="0" quotePrefix="0" xfId="0"/>
    <xf numFmtId="10" fontId="17" fillId="2" borderId="0" pivotButton="0" quotePrefix="0" xfId="0"/>
    <xf numFmtId="0" fontId="30" fillId="0" borderId="0" pivotButton="0" quotePrefix="0" xfId="0"/>
    <xf numFmtId="2" fontId="17" fillId="2" borderId="0" pivotButton="0" quotePrefix="0" xfId="0"/>
    <xf numFmtId="10" fontId="16" fillId="0" borderId="0" pivotButton="0" quotePrefix="0" xfId="0"/>
    <xf numFmtId="0" fontId="10" fillId="0" borderId="0" pivotButton="0" quotePrefix="0" xfId="0"/>
    <xf numFmtId="10" fontId="10" fillId="7" borderId="0" pivotButton="0" quotePrefix="0" xfId="0"/>
    <xf numFmtId="173" fontId="16" fillId="0" borderId="0" pivotButton="0" quotePrefix="0" xfId="0"/>
    <xf numFmtId="164" fontId="28" fillId="0" borderId="0" pivotButton="0" quotePrefix="0" xfId="0"/>
    <xf numFmtId="164" fontId="16" fillId="0" borderId="0" pivotButton="0" quotePrefix="0" xfId="0"/>
    <xf numFmtId="166" fontId="16" fillId="0" borderId="0" pivotButton="0" quotePrefix="0" xfId="0"/>
    <xf numFmtId="164" fontId="10" fillId="7" borderId="0" pivotButton="0" quotePrefix="0" xfId="0"/>
    <xf numFmtId="166" fontId="17" fillId="2" borderId="0" pivotButton="0" quotePrefix="0" xfId="0"/>
    <xf numFmtId="2" fontId="16" fillId="0" borderId="0" pivotButton="0" quotePrefix="0" xfId="0"/>
    <xf numFmtId="168" fontId="16" fillId="0" borderId="0" pivotButton="0" quotePrefix="0" xfId="0"/>
    <xf numFmtId="164" fontId="10" fillId="0" borderId="0" pivotButton="0" quotePrefix="0" xfId="0"/>
    <xf numFmtId="172" fontId="28" fillId="0" borderId="0" pivotButton="0" quotePrefix="0" xfId="0"/>
    <xf numFmtId="4" fontId="6" fillId="4" borderId="0" pivotButton="0" quotePrefix="0" xfId="0"/>
    <xf numFmtId="167" fontId="28" fillId="0" borderId="0" pivotButton="0" quotePrefix="0" xfId="0"/>
    <xf numFmtId="176" fontId="10" fillId="7" borderId="0" pivotButton="0" quotePrefix="0" xfId="0"/>
    <xf numFmtId="167" fontId="16" fillId="0" borderId="0" pivotButton="0" quotePrefix="0" xfId="0"/>
    <xf numFmtId="1" fontId="17" fillId="2" borderId="0" pivotButton="0" quotePrefix="0" xfId="0"/>
    <xf numFmtId="10" fontId="6" fillId="4" borderId="0" pivotButton="0" quotePrefix="0" xfId="0"/>
    <xf numFmtId="10" fontId="10" fillId="0" borderId="0" pivotButton="0" quotePrefix="0" xfId="0"/>
    <xf numFmtId="3" fontId="16" fillId="0" borderId="0" pivotButton="0" quotePrefix="0" xfId="0"/>
    <xf numFmtId="3" fontId="10" fillId="3" borderId="0" pivotButton="0" quotePrefix="0" xfId="0"/>
    <xf numFmtId="0" fontId="31" fillId="0" borderId="0" pivotButton="0" quotePrefix="0" xfId="0"/>
    <xf numFmtId="175" fontId="16" fillId="0" borderId="0" pivotButton="0" quotePrefix="0" xfId="0"/>
    <xf numFmtId="175" fontId="6" fillId="4" borderId="0" pivotButton="0" quotePrefix="0" xfId="0"/>
    <xf numFmtId="167" fontId="10" fillId="7" borderId="0" pivotButton="0" quotePrefix="0" xfId="0"/>
    <xf numFmtId="0" fontId="0" fillId="4" borderId="0" pivotButton="0" quotePrefix="0" xfId="0"/>
    <xf numFmtId="0" fontId="8" fillId="4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8" fontId="15" fillId="0" borderId="0" pivotButton="0" quotePrefix="0" xfId="0"/>
    <xf numFmtId="169" fontId="17" fillId="0" borderId="0" pivotButton="0" quotePrefix="0" xfId="0"/>
    <xf numFmtId="170" fontId="5" fillId="8" borderId="0" applyAlignment="1" pivotButton="0" quotePrefix="0" xfId="0">
      <alignment horizontal="center"/>
    </xf>
    <xf numFmtId="171" fontId="5" fillId="8" borderId="0" applyAlignment="1" pivotButton="0" quotePrefix="0" xfId="0">
      <alignment horizontal="center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9" fontId="17" fillId="2" borderId="0" applyAlignment="1" pivotButton="0" quotePrefix="0" xfId="0">
      <alignment horizontal="right"/>
    </xf>
    <xf numFmtId="172" fontId="17" fillId="0" borderId="0" applyAlignment="1" pivotButton="0" quotePrefix="0" xfId="0">
      <alignment horizontal="right"/>
    </xf>
    <xf numFmtId="172" fontId="15" fillId="2" borderId="0" applyAlignment="1" pivotButton="0" quotePrefix="0" xfId="0">
      <alignment horizontal="right"/>
    </xf>
    <xf numFmtId="172" fontId="15" fillId="0" borderId="0" applyAlignment="1" pivotButton="0" quotePrefix="0" xfId="0">
      <alignment horizontal="right"/>
    </xf>
    <xf numFmtId="172" fontId="17" fillId="2" borderId="0" applyAlignment="1" pivotButton="0" quotePrefix="0" xfId="0">
      <alignment horizontal="right"/>
    </xf>
    <xf numFmtId="169" fontId="12" fillId="0" borderId="2" applyAlignment="1" pivotButton="0" quotePrefix="0" xfId="0">
      <alignment horizontal="right"/>
    </xf>
    <xf numFmtId="169" fontId="12" fillId="2" borderId="2" applyAlignment="1" pivotButton="0" quotePrefix="0" xfId="0">
      <alignment horizontal="right"/>
    </xf>
    <xf numFmtId="172" fontId="26" fillId="9" borderId="0" pivotButton="0" quotePrefix="0" xfId="0"/>
    <xf numFmtId="172" fontId="26" fillId="2" borderId="0" pivotButton="0" quotePrefix="0" xfId="0"/>
    <xf numFmtId="169" fontId="27" fillId="9" borderId="0" pivotButton="0" quotePrefix="0" xfId="0"/>
    <xf numFmtId="169" fontId="27" fillId="2" borderId="0" pivotButton="0" quotePrefix="0" xfId="0"/>
    <xf numFmtId="172" fontId="15" fillId="9" borderId="0" pivotButton="0" quotePrefix="0" xfId="0"/>
    <xf numFmtId="172" fontId="28" fillId="2" borderId="0" pivotButton="0" quotePrefix="0" xfId="0"/>
    <xf numFmtId="169" fontId="15" fillId="9" borderId="0" pivotButton="0" quotePrefix="0" xfId="0"/>
    <xf numFmtId="169" fontId="15" fillId="2" borderId="0" pivotButton="0" quotePrefix="0" xfId="0"/>
    <xf numFmtId="168" fontId="16" fillId="0" borderId="0" pivotButton="0" quotePrefix="0" xfId="0"/>
    <xf numFmtId="172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Bookings Drivers: Trips (volume) vs Gross Bookings per Trip (price / mix), y/y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'Charts'!B8</f>
            </strRef>
          </tx>
          <spPr>
            <a:solidFill xmlns:a="http://schemas.openxmlformats.org/drawingml/2006/main">
              <a:srgbClr val="2F3E46"/>
            </a:solidFill>
            <a:ln xmlns:a="http://schemas.openxmlformats.org/drawingml/2006/main">
              <a:prstDash val="solid"/>
            </a:ln>
          </spPr>
          <cat>
            <numRef>
              <f>'Charts'!$C$7:$L$7</f>
            </numRef>
          </cat>
          <val>
            <numRef>
              <f>'Charts'!$C$8:$L$8</f>
            </numRef>
          </val>
        </ser>
        <ser>
          <idx val="1"/>
          <order val="1"/>
          <tx>
            <strRef>
              <f>'Charts'!B9</f>
            </strRef>
          </tx>
          <spPr>
            <a:solidFill xmlns:a="http://schemas.openxmlformats.org/drawingml/2006/main">
              <a:srgbClr val="84A98C"/>
            </a:solidFill>
            <a:ln xmlns:a="http://schemas.openxmlformats.org/drawingml/2006/main">
              <a:prstDash val="solid"/>
            </a:ln>
          </spPr>
          <cat>
            <numRef>
              <f>'Charts'!$C$7:$L$7</f>
            </numRef>
          </cat>
          <val>
            <numRef>
              <f>'Charts'!$C$9:$L$9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Adjusted EBITDA &amp; Income from Operations (USDm)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'Charts'!B12</f>
            </strRef>
          </tx>
          <spPr>
            <a:solidFill xmlns:a="http://schemas.openxmlformats.org/drawingml/2006/main">
              <a:srgbClr val="A8C5D6"/>
            </a:solidFill>
            <a:ln xmlns:a="http://schemas.openxmlformats.org/drawingml/2006/main">
              <a:prstDash val="solid"/>
            </a:ln>
          </spPr>
          <cat>
            <numRef>
              <f>'Charts'!$C$7:$L$7</f>
            </numRef>
          </cat>
          <val>
            <numRef>
              <f>'Charts'!$C$12:$L$12</f>
            </numRef>
          </val>
        </ser>
        <ser>
          <idx val="1"/>
          <order val="1"/>
          <tx>
            <strRef>
              <f>'Charts'!B13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'Charts'!$C$7:$L$7</f>
            </numRef>
          </cat>
          <val>
            <numRef>
              <f>'Charts'!$C$13:$L$13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'Charts'!B14</f>
            </strRef>
          </tx>
          <spPr>
            <a:ln xmlns:a="http://schemas.openxmlformats.org/drawingml/2006/main">
              <a:solidFill>
                <a:srgbClr val="2F3E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'Charts'!$C$7:$L$7</f>
            </numRef>
          </cat>
          <val>
            <numRef>
              <f>'Charts'!$C$14:$L$14</f>
            </numRef>
          </val>
        </ser>
        <ser>
          <idx val="3"/>
          <order val="3"/>
          <tx>
            <strRef>
              <f>'Charts'!B15</f>
            </strRef>
          </tx>
          <spPr>
            <a:ln xmlns:a="http://schemas.openxmlformats.org/drawingml/2006/main">
              <a:solidFill>
                <a:srgbClr val="C855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'Charts'!$C$7:$L$7</f>
            </numRef>
          </cat>
          <val>
            <numRef>
              <f>'Charts'!$C$15:$L$15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Returns Profile: ROIC, RONTA, Adjusted EBITDA % of GB &amp; FCF Margin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'Charts'!B18</f>
            </strRef>
          </tx>
          <spPr>
            <a:ln xmlns:a="http://schemas.openxmlformats.org/drawingml/2006/main">
              <a:solidFill>
                <a:srgbClr val="2F3E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'Charts'!$C$7:$L$7</f>
            </numRef>
          </cat>
          <val>
            <numRef>
              <f>'Charts'!$C$18:$L$18</f>
            </numRef>
          </val>
        </ser>
        <ser>
          <idx val="1"/>
          <order val="1"/>
          <tx>
            <strRef>
              <f>'Charts'!B19</f>
            </strRef>
          </tx>
          <spPr>
            <a:ln xmlns:a="http://schemas.openxmlformats.org/drawingml/2006/main">
              <a:solidFill>
                <a:srgbClr val="84A9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'Charts'!$C$7:$L$7</f>
            </numRef>
          </cat>
          <val>
            <numRef>
              <f>'Charts'!$C$19:$L$19</f>
            </numRef>
          </val>
        </ser>
        <ser>
          <idx val="2"/>
          <order val="2"/>
          <tx>
            <strRef>
              <f>'Charts'!B20</f>
            </strRef>
          </tx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'Charts'!$C$7:$L$7</f>
            </numRef>
          </cat>
          <val>
            <numRef>
              <f>'Charts'!$C$20:$L$20</f>
            </numRef>
          </val>
        </ser>
        <ser>
          <idx val="3"/>
          <order val="3"/>
          <tx>
            <strRef>
              <f>'Charts'!B21</f>
            </strRef>
          </tx>
          <spPr>
            <a:ln xmlns:a="http://schemas.openxmlformats.org/drawingml/2006/main">
              <a:solidFill>
                <a:srgbClr val="C855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'Charts'!$C$7:$L$7</f>
            </numRef>
          </cat>
          <val>
            <numRef>
              <f>'Charts'!$C$21:$L$21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BB2" authorId="0" shapeId="0">
      <text>
        <t>Scenario toggle. Choose Bull / Base / Bear. Drives: Q3-26 outlook end-points (Gross Bookings, Adjusted EBITDA calibration), 2H/26 buybacks, 2027E–30E Mobility / Delivery / Freight growth and incremental margins, Delivery Hero growth / margin / synergies, M&amp;A spend and the buyback floor. Delivery Hero on/off switch sits in the scenario table.</t>
      </text>
    </comment>
    <comment ref="B11" authorId="0" shapeId="0">
      <text>
        <t>Source: earnings releases (Form 8-K Ex. 99.1) key metrics; 2016–17 from the Form S-1 (Apr-2019). MAPCs = unique consumers completing a Mobility ride or receiving a Delivery order at least once in a month, averaged over the quarter.</t>
      </text>
    </comment>
    <comment ref="B13" authorId="0" shapeId="0">
      <text>
        <t>Source: earnings releases / S-1. Trips = completed Mobility rides + Delivery orders (UberX Share: one trip per paying consumer).</t>
      </text>
    </comment>
    <comment ref="B19" authorId="0" shapeId="0">
      <text>
        <t>Gross Bookings = total dollar value (incl. taxes, tolls, fees) of Mobility rides and Delivery orders before discounts, Driver and Merchant earnings and incentives, plus Freight revenue.</t>
      </text>
    </comment>
    <comment ref="B24" authorId="0" shapeId="0">
      <text>
        <t>Source: earnings releases (Gross Bookings by offering); 2016–18 quarterly split from S-1 charts. Q1/19 recast in the Q1/20 release (Vehicle Solutions moved into Rides).</t>
      </text>
    </comment>
    <comment ref="B27" authorId="0" shapeId="0">
      <text>
        <t>Source: earnings-release segment revenue. 2018–19 as originally reported (FY19 later restated for excess driver payments); 2022+ include UK business-model change (principal from Q1/22); 2026 reduced by new business-model changes (Q2/26: −8pp group revenue growth).</t>
      </text>
    </comment>
    <comment ref="B30" authorId="0" shapeId="0">
      <text>
        <t>Source: Form 8-K 12-Jan-2026 (recast Q1/24–Q3/25), Q4/25–Q2/26 releases. Segment OI = segment revenue less direct costs and any applicable Non-GAAP exclusions (after stock-based comp and D&amp;A).</t>
      </text>
    </comment>
    <comment ref="B39" authorId="0" shapeId="0">
      <text>
        <t>Source: earnings-release segment revenue (2019 as originally reported; FY19 Delivery later restated to $1.4bn for excess courier payments).</t>
      </text>
    </comment>
    <comment ref="B59" authorId="0" shapeId="0">
      <text>
        <t>Derived: consolidated revenue (as originally reported) less the segment revenues printed in the releases / S-1.</t>
      </text>
    </comment>
    <comment ref="B62" authorId="0" shapeId="0">
      <text>
        <t>Source: Uber investor presentation 16-Jul-2026 (Form 8-K Ex. 99.2, slide 4): $42B Gross Bookings, $1.1B Adj. EBITDA (IFRS), 49M MAPCs — Delivery Hero assets within acquisition scope, translated at 1.12 USD/EUR.</t>
      </text>
    </comment>
    <comment ref="B124" authorId="0" shapeId="0">
      <text>
        <t>Source: earnings releases (Segment Adjusted EBITDA tables); comparatives taken from the latest release that printed them (recast basis).</t>
      </text>
    </comment>
    <comment ref="B134" authorId="0" shapeId="0">
      <text>
        <t>Source: S-1 / 2019–20 releases. ANR = revenue + excess Driver incentives + Driver referrals (+ COVID driver assistance 2020). Discontinued Q4/20.</t>
      </text>
    </comment>
    <comment ref="B148" authorId="0" shapeId="0">
      <text>
        <t>Source: Forms 10-K / 10-Q (rendered XBRL statements); 2016 from the S-1. 2018–19 as originally reported (FY18 $11,270m / FY19 $14,147m); the 2020 10-K restated them to $10,433m / $13,000m (excess Driver/courier payments reclassified to contra-revenue; no effect on operating loss). 2020+ on the restated basis.</t>
      </text>
    </comment>
    <comment ref="B159" authorId="0" shapeId="0">
      <text>
        <t>Interest income per the other-income note (XBRL InvestmentIncomeInterest); presented on the face of the statement from the Q4/25 release / Jan-2026 recast 8-K.</t>
      </text>
    </comment>
    <comment ref="B162" authorId="0" shapeId="0">
      <text>
        <t>Q4/24 includes a $6.4bn benefit from the release of the US valuation allowance; FY25 a $5.0bn benefit (Q3/25 Netherlands VA release).</t>
      </text>
    </comment>
    <comment ref="B201" authorId="0" shapeId="0">
      <text>
        <t>Other reconciling items as published, e.g. Q2/19 driver appreciation award $299m, Q3/21 legacy auto insurance transfer $103m.</t>
      </text>
    </comment>
    <comment ref="B206" authorId="0" shapeId="0">
      <text>
        <t>Source: earnings-release non-GAAP reconciliations; 2016–17 from the S-1. From Q1/26 Adjusted EBITDA is no longer the headline measure but is still reconciled and used to translate guidance.</t>
      </text>
    </comment>
    <comment ref="B214" authorId="0" shapeId="0">
      <text>
        <t>Source: Form 8-K 12-Jan-2026 (recast Q1/24–Q3/25) and Q4/25–Q2/26 releases. Non-GAAP OI = income from operations excl. amortization of acquired intangibles, legal / non-income tax / regulatory reserves, impairments, acquisition-financing-divestiture costs, restructuring and other items (stock-based comp NOT excluded).</t>
      </text>
    </comment>
    <comment ref="B228" authorId="0" shapeId="0">
      <text>
        <t>Company: income tax effects of the adjustments plus exclusion of unpredictable items (Q4/24 $6.4bn and Q3/25 Netherlands valuation-allowance releases, stock loss, deferred US tax on equity securities).</t>
      </text>
    </comment>
    <comment ref="B230" authorId="0" shapeId="0">
      <text>
        <t>Plug in periods where Uber published Non-GAAP net income: = published − model bridge (mainly the rounded Non-GAAP ETR).</t>
      </text>
    </comment>
    <comment ref="B263" authorId="0" shapeId="0">
      <text>
        <t>Source: statements of cash flows (10-Q / 10-K; FY2016 from the S-1). Quarterly columns = discrete quarter (year-to-date less prior year-to-date). Cash includes restricted cash &amp; equivalents (ASU 2016-18).</t>
      </text>
    </comment>
    <comment ref="B269" authorId="0" shapeId="0">
      <text>
        <t>Derived: net cash from operating activities less the itemised lines (bad debt, unrealised FX, other).</t>
      </text>
    </comment>
    <comment ref="B283" authorId="0" shapeId="0">
      <text>
        <t>Derived: finance-lease principal payments, redemption / sale of subsidiary NCI, capped calls, other.</t>
      </text>
    </comment>
    <comment ref="B317" authorId="0" shapeId="0">
      <text>
        <t>Source: balance sheets (10-Q / 10-K rendered XBRL); Dec-2017 from the S-1.</t>
      </text>
    </comment>
    <comment ref="B322" authorId="0" shapeId="0">
      <text>
        <t>Derived: total current assets less the itemised lines (assets held for sale 2017–2020).</t>
      </text>
    </comment>
    <comment ref="B333" authorId="0" shapeId="0">
      <text>
        <t>Derived: total assets less the itemised lines.</t>
      </text>
    </comment>
    <comment ref="B345" authorId="0" shapeId="0">
      <text>
        <t>Derived: total liabilities less the itemised lines.</t>
      </text>
    </comment>
    <comment ref="B360" authorId="0" shapeId="0">
      <text>
        <t>Source: XBRL CommonStockSharesOutstanding (balance-sheet parenthetical). Pre-IPO (to Q1/19) common only — redeemable convertible preferred converted into ~1.0bn common shares at the IPO.</t>
      </text>
    </comment>
    <comment ref="B379" authorId="0" shapeId="0">
      <text>
        <t>Source: Uber press release 16-Jul-2026 (Form 8-K Ex. 99.1), footnote 1: 314 million fully diluted shares; $14.8bn equity value for 100%.</t>
      </text>
    </comment>
    <comment ref="B387" authorId="0" shapeId="0">
      <text>
        <t>Source: Q2/26 release cash-flow statement: 'Purchase of total return swaps' $(1,640)m in 1H/26.</t>
      </text>
    </comment>
    <comment ref="B389" authorId="0" shapeId="0">
      <text>
        <t>Deck slide 3 footnote: "Net debt and other equity-to-enterprise bridge items (including non-controlling interests) of $4.2 billion". Treated as prepayable debt refinanced by Uber.</t>
      </text>
    </comment>
    <comment ref="B409" authorId="0" shapeId="0">
      <text>
        <t>Form 8-K 15-Sep-2026: €750m 3.750% 2029, €1,000m 4.125% 2032, €1,000m 4.375% 2034, €1,000m 4.750% 2038, €750m 5.250% 2046.</t>
      </text>
    </comment>
    <comment ref="B463" authorId="0" shapeId="0">
      <text>
        <t>Input: $70.97 = price on Uber Form 4 filings dated 16-Sep-2026 (shares withheld for taxes, code F); CEO open-market purchase 10-Sep-2026 at $70.96. EDGAR is the only market-data source reachable from the build environment — update to the current market price.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108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43</row>
      <rowOff>0</rowOff>
    </from>
    <ext cx="108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64</row>
      <rowOff>0</rowOff>
    </from>
    <ext cx="108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479"/>
  <sheetViews>
    <sheetView showGridLines="0" zoomScale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3" customWidth="1" min="1" max="1"/>
    <col width="62" customWidth="1" min="2" max="2"/>
    <col width="14.14" customWidth="1" min="3" max="3"/>
    <col width="14.14" customWidth="1" min="4" max="4"/>
    <col hidden="1" outlineLevel="1" width="9.57" customWidth="1" min="5" max="8"/>
    <col width="14.14" customWidth="1" min="9" max="9"/>
    <col hidden="1" outlineLevel="1" width="9.57" customWidth="1" min="10" max="13"/>
    <col width="14.14" customWidth="1" min="14" max="14"/>
    <col hidden="1" outlineLevel="1" width="9.57" customWidth="1" min="15" max="18"/>
    <col width="14.14" customWidth="1" min="19" max="19"/>
    <col hidden="1" outlineLevel="1" width="9.57" customWidth="1" min="20" max="23"/>
    <col width="14.14" customWidth="1" min="24" max="24"/>
    <col hidden="1" outlineLevel="1" width="9.57" customWidth="1" min="25" max="28"/>
    <col width="14.14" customWidth="1" min="29" max="29"/>
    <col hidden="1" outlineLevel="1" width="9.57" customWidth="1" min="30" max="33"/>
    <col width="14.14" customWidth="1" min="34" max="34"/>
    <col hidden="1" outlineLevel="1" width="9.57" customWidth="1" min="35" max="38"/>
    <col width="14.14" customWidth="1" min="39" max="39"/>
    <col hidden="1" outlineLevel="1" width="9.57" customWidth="1" min="40" max="43"/>
    <col width="14.14" customWidth="1" min="44" max="44"/>
    <col hidden="1" outlineLevel="1" width="9.57" customWidth="1" min="45" max="48"/>
    <col width="14.14" customWidth="1" min="49" max="49"/>
    <col width="14.14" customWidth="1" min="50" max="50"/>
    <col width="14.14" customWidth="1" min="51" max="51"/>
    <col width="14.14" customWidth="1" min="52" max="52"/>
    <col width="14.14" customWidth="1" min="53" max="53"/>
    <col width="86.86" customWidth="1" min="54" max="54"/>
    <col width="2" customWidth="1" min="55" max="55"/>
    <col width="14.14" customWidth="1" min="56" max="56"/>
    <col width="12.43" customWidth="1" min="57" max="57"/>
    <col width="13.43" customWidth="1" min="58" max="58"/>
    <col width="13.43" customWidth="1" min="59" max="59"/>
    <col width="2" customWidth="1" min="60" max="60"/>
    <col width="6" customWidth="1" min="61" max="61"/>
    <col width="46" customWidth="1" min="62" max="62"/>
    <col width="11.57" customWidth="1" min="63" max="63"/>
    <col width="11.57" customWidth="1" min="64" max="64"/>
    <col width="11.57" customWidth="1" min="65" max="65"/>
    <col width="60" customWidth="1" min="66" max="66"/>
  </cols>
  <sheetData>
    <row r="1">
      <c r="BB1" s="1" t="inlineStr">
        <is>
          <t>SCENARIO SWITCH ▼ (Bull / Base / Bear) — drives all scenario-linked forecast drivers</t>
        </is>
      </c>
    </row>
    <row r="2">
      <c r="B2" s="2" t="inlineStr">
        <is>
          <t>Uber Technologies, Inc. (NYSE: UBER) — 3-Statement Financial Model</t>
        </is>
      </c>
      <c r="BB2" s="3" t="inlineStr">
        <is>
          <t>Base</t>
        </is>
      </c>
    </row>
    <row r="3">
      <c r="B3" s="4" t="inlineStr">
        <is>
          <t>US GAAP as reported · USD millions (per-share data in USD; Gross Bookings in USD millions; MAPCs, trips and shares in millions) · Source: Uber Form S-1 (Apr-2019), Forms 10-K / 10-Q and Form 8-K earnings releases (Ex. 99.1), Jan-2026 recast 8-K, deal 8-Ks (Delivery Hero 16-Jul-2026; term loan 6-Aug-2026; € notes 15-Sep-2026), SEC EDGAR CIK 0001543151 (investor.uber.com releases are the same documents as filed on EDGAR)</t>
        </is>
      </c>
    </row>
    <row r="4">
      <c r="B4" s="5" t="inlineStr">
        <is>
          <t>Basis notes: calendar fiscal year. IPO 10-May-2019 (pre-IPO EPS on pre-conversion common shares). 2018–19 revenue as originally reported (2020 10-K restated FY18/FY19 for excess Driver payments; no operating-income impact). Interest income shown separately for all periods (2026 presentation). Segments: Core Platform / Other Bets (2016–Q2/19) → Rides / Eats / Freight / Other Bets / ATG (Q3/19) → Mobility / Delivery / Freight (2020+); segment measure Segment Adjusted EBITDA to Q4/25, Segment Operating Income from Q1/26 (recast to Q1/24). Uber China discontinued 2016; Postmates Dec-2020; ATG sold Jan-2021; Transplace Nov-2021; Trendyol Go Jun-2025; Delivery Hero (BCA 16-Jul-2026) modelled as consolidated from an assumed 1-Oct-2027 closing (switch in scenario table) — excluded from company outlook.</t>
        </is>
      </c>
    </row>
    <row r="5">
      <c r="BD5" s="6" t="inlineStr">
        <is>
          <t>Forecast</t>
        </is>
      </c>
      <c r="BE5" s="6" t="inlineStr">
        <is>
          <t>Historical</t>
        </is>
      </c>
      <c r="BF5" s="6" t="inlineStr">
        <is>
          <t>Historical</t>
        </is>
      </c>
      <c r="BG5" s="6" t="inlineStr">
        <is>
          <t>Historical</t>
        </is>
      </c>
    </row>
    <row r="6">
      <c r="B6" s="7" t="inlineStr">
        <is>
          <t>(USDm)</t>
        </is>
      </c>
      <c r="C6" s="8" t="n">
        <v>2016</v>
      </c>
      <c r="D6" s="8" t="n">
        <v>2017</v>
      </c>
      <c r="E6" s="8" t="inlineStr">
        <is>
          <t>Q1/18</t>
        </is>
      </c>
      <c r="F6" s="8" t="inlineStr">
        <is>
          <t>Q2/18</t>
        </is>
      </c>
      <c r="G6" s="8" t="inlineStr">
        <is>
          <t>Q3/18</t>
        </is>
      </c>
      <c r="H6" s="8" t="inlineStr">
        <is>
          <t>Q4/18</t>
        </is>
      </c>
      <c r="I6" s="8" t="n">
        <v>2018</v>
      </c>
      <c r="J6" s="8" t="inlineStr">
        <is>
          <t>Q1/19</t>
        </is>
      </c>
      <c r="K6" s="8" t="inlineStr">
        <is>
          <t>Q2/19</t>
        </is>
      </c>
      <c r="L6" s="8" t="inlineStr">
        <is>
          <t>Q3/19</t>
        </is>
      </c>
      <c r="M6" s="8" t="inlineStr">
        <is>
          <t>Q4/19</t>
        </is>
      </c>
      <c r="N6" s="8" t="n">
        <v>2019</v>
      </c>
      <c r="O6" s="8" t="inlineStr">
        <is>
          <t>Q1/20</t>
        </is>
      </c>
      <c r="P6" s="8" t="inlineStr">
        <is>
          <t>Q2/20</t>
        </is>
      </c>
      <c r="Q6" s="8" t="inlineStr">
        <is>
          <t>Q3/20</t>
        </is>
      </c>
      <c r="R6" s="8" t="inlineStr">
        <is>
          <t>Q4/20</t>
        </is>
      </c>
      <c r="S6" s="8" t="n">
        <v>2020</v>
      </c>
      <c r="T6" s="8" t="inlineStr">
        <is>
          <t>Q1/21</t>
        </is>
      </c>
      <c r="U6" s="8" t="inlineStr">
        <is>
          <t>Q2/21</t>
        </is>
      </c>
      <c r="V6" s="8" t="inlineStr">
        <is>
          <t>Q3/21</t>
        </is>
      </c>
      <c r="W6" s="8" t="inlineStr">
        <is>
          <t>Q4/21</t>
        </is>
      </c>
      <c r="X6" s="8" t="n">
        <v>2021</v>
      </c>
      <c r="Y6" s="8" t="inlineStr">
        <is>
          <t>Q1/22</t>
        </is>
      </c>
      <c r="Z6" s="8" t="inlineStr">
        <is>
          <t>Q2/22</t>
        </is>
      </c>
      <c r="AA6" s="8" t="inlineStr">
        <is>
          <t>Q3/22</t>
        </is>
      </c>
      <c r="AB6" s="8" t="inlineStr">
        <is>
          <t>Q4/22</t>
        </is>
      </c>
      <c r="AC6" s="8" t="n">
        <v>2022</v>
      </c>
      <c r="AD6" s="8" t="inlineStr">
        <is>
          <t>Q1/23</t>
        </is>
      </c>
      <c r="AE6" s="8" t="inlineStr">
        <is>
          <t>Q2/23</t>
        </is>
      </c>
      <c r="AF6" s="8" t="inlineStr">
        <is>
          <t>Q3/23</t>
        </is>
      </c>
      <c r="AG6" s="8" t="inlineStr">
        <is>
          <t>Q4/23</t>
        </is>
      </c>
      <c r="AH6" s="8" t="n">
        <v>2023</v>
      </c>
      <c r="AI6" s="8" t="inlineStr">
        <is>
          <t>Q1/24</t>
        </is>
      </c>
      <c r="AJ6" s="8" t="inlineStr">
        <is>
          <t>Q2/24</t>
        </is>
      </c>
      <c r="AK6" s="8" t="inlineStr">
        <is>
          <t>Q3/24</t>
        </is>
      </c>
      <c r="AL6" s="8" t="inlineStr">
        <is>
          <t>Q4/24</t>
        </is>
      </c>
      <c r="AM6" s="8" t="n">
        <v>2024</v>
      </c>
      <c r="AN6" s="8" t="inlineStr">
        <is>
          <t>Q1/25</t>
        </is>
      </c>
      <c r="AO6" s="8" t="inlineStr">
        <is>
          <t>Q2/25</t>
        </is>
      </c>
      <c r="AP6" s="8" t="inlineStr">
        <is>
          <t>Q3/25</t>
        </is>
      </c>
      <c r="AQ6" s="8" t="inlineStr">
        <is>
          <t>Q4/25</t>
        </is>
      </c>
      <c r="AR6" s="8" t="n">
        <v>2025</v>
      </c>
      <c r="AS6" s="8" t="inlineStr">
        <is>
          <t>Q1/26</t>
        </is>
      </c>
      <c r="AT6" s="8" t="inlineStr">
        <is>
          <t>Q2/26</t>
        </is>
      </c>
      <c r="AU6" s="8" t="inlineStr">
        <is>
          <t>Q3/26E</t>
        </is>
      </c>
      <c r="AV6" s="8" t="inlineStr">
        <is>
          <t>Q4/26E</t>
        </is>
      </c>
      <c r="AW6" s="8" t="inlineStr">
        <is>
          <t>2026E</t>
        </is>
      </c>
      <c r="AX6" s="8" t="inlineStr">
        <is>
          <t>2027E</t>
        </is>
      </c>
      <c r="AY6" s="8" t="inlineStr">
        <is>
          <t>2028E</t>
        </is>
      </c>
      <c r="AZ6" s="8" t="inlineStr">
        <is>
          <t>2029E</t>
        </is>
      </c>
      <c r="BA6" s="8" t="inlineStr">
        <is>
          <t>2030E</t>
        </is>
      </c>
      <c r="BB6" s="8" t="inlineStr">
        <is>
          <t>Modelling Notes</t>
        </is>
      </c>
      <c r="BD6" s="6" t="inlineStr">
        <is>
          <t>5Y CAGR</t>
        </is>
      </c>
      <c r="BE6" s="6" t="inlineStr">
        <is>
          <t>5Y CAGR</t>
        </is>
      </c>
      <c r="BF6" s="6" t="inlineStr">
        <is>
          <t>7Y CAGR</t>
        </is>
      </c>
      <c r="BG6" s="6" t="inlineStr">
        <is>
          <t>9Y CAGR</t>
        </is>
      </c>
    </row>
    <row r="7">
      <c r="BD7" s="9" t="inlineStr">
        <is>
          <t>25-'30</t>
        </is>
      </c>
      <c r="BE7" s="9" t="inlineStr">
        <is>
          <t>20-'25</t>
        </is>
      </c>
      <c r="BF7" s="9" t="inlineStr">
        <is>
          <t>18-'25</t>
        </is>
      </c>
      <c r="BG7" s="9" t="inlineStr">
        <is>
          <t>16-'25</t>
        </is>
      </c>
    </row>
    <row r="8">
      <c r="B8" s="10" t="inlineStr">
        <is>
          <t>PLATFORM &amp; SEGMENT BUILD — MOBILITY · DELIVERY · FREIGHT  (Gross Bookings → revenue → Segment Operating Income → Non-GAAP Operating Income → Adjusted EBITDA)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inlineStr">
        <is>
          <t>PLATFORM &amp; SEGMENT BUILD — modelling logic (Gross Bookings × take rate → revenue; Segment Operating Income = GB × margin, incremental margin on ΔGB from 2027E)</t>
        </is>
      </c>
    </row>
    <row r="9">
      <c r="BJ9" s="11" t="inlineStr">
        <is>
          <t>SCENARIO INPUT TABLE — driver assumptions per Bull / Base / Bear</t>
        </is>
      </c>
      <c r="BK9" s="12" t="inlineStr">
        <is>
          <t>Bull</t>
        </is>
      </c>
      <c r="BL9" s="12" t="inlineStr">
        <is>
          <t>Base</t>
        </is>
      </c>
      <c r="BM9" s="12" t="inlineStr">
        <is>
          <t>Bear</t>
        </is>
      </c>
      <c r="BN9" s="13" t="inlineStr">
        <is>
          <t>Bull / Bear = Base + Δ (Δ inputs on each block header). Outlook block = high / mid / low end of the Q3-26 ranges.</t>
        </is>
      </c>
    </row>
    <row r="10">
      <c r="B10" s="14" t="inlineStr">
        <is>
          <t>Platform key metrics (company-reported; Uber standalone — Delivery Hero metrics not added)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5" t="inlineStr">
        <is>
          <t>PLATFORM KPIs — trips = Gross Bookings ÷ GB per trip; MAPCs = trips ÷ (monthly frequency × months)</t>
        </is>
      </c>
    </row>
    <row r="11">
      <c r="B11" s="16" t="inlineStr">
        <is>
          <t xml:space="preserve">  Monthly Active Platform Consumers — MAPCs (m; quarter = monthly average; FY = Q4)</t>
        </is>
      </c>
      <c r="C11" s="17" t="n">
        <v>45</v>
      </c>
      <c r="D11" s="17" t="n">
        <v>68</v>
      </c>
      <c r="E11" s="17" t="n">
        <v>70</v>
      </c>
      <c r="F11" s="17" t="n">
        <v>76</v>
      </c>
      <c r="G11" s="17" t="n">
        <v>82</v>
      </c>
      <c r="H11" s="17" t="n">
        <v>91</v>
      </c>
      <c r="I11" s="17" t="n">
        <v>91</v>
      </c>
      <c r="J11" s="17" t="n">
        <v>93</v>
      </c>
      <c r="K11" s="17" t="n">
        <v>99</v>
      </c>
      <c r="L11" s="17" t="n">
        <v>103</v>
      </c>
      <c r="M11" s="17" t="n">
        <v>111</v>
      </c>
      <c r="N11" s="17" t="n">
        <v>111</v>
      </c>
      <c r="O11" s="17" t="n">
        <v>103</v>
      </c>
      <c r="P11" s="17" t="n">
        <v>55</v>
      </c>
      <c r="Q11" s="17" t="n">
        <v>78</v>
      </c>
      <c r="R11" s="17" t="n">
        <v>93</v>
      </c>
      <c r="S11" s="17" t="n">
        <v>93</v>
      </c>
      <c r="T11" s="17" t="n">
        <v>98</v>
      </c>
      <c r="U11" s="17" t="n">
        <v>101</v>
      </c>
      <c r="V11" s="17" t="n">
        <v>109</v>
      </c>
      <c r="W11" s="17" t="n">
        <v>118</v>
      </c>
      <c r="X11" s="17" t="n">
        <v>118</v>
      </c>
      <c r="Y11" s="17" t="n">
        <v>115</v>
      </c>
      <c r="Z11" s="17" t="n">
        <v>122</v>
      </c>
      <c r="AA11" s="17" t="n">
        <v>124</v>
      </c>
      <c r="AB11" s="17" t="n">
        <v>131</v>
      </c>
      <c r="AC11" s="17" t="n">
        <v>131</v>
      </c>
      <c r="AD11" s="17" t="n">
        <v>130</v>
      </c>
      <c r="AE11" s="17" t="n">
        <v>137</v>
      </c>
      <c r="AF11" s="17" t="n">
        <v>142</v>
      </c>
      <c r="AG11" s="17" t="n">
        <v>150</v>
      </c>
      <c r="AH11" s="17" t="n">
        <v>150</v>
      </c>
      <c r="AI11" s="17" t="n">
        <v>149</v>
      </c>
      <c r="AJ11" s="17" t="n">
        <v>156</v>
      </c>
      <c r="AK11" s="17" t="n">
        <v>161</v>
      </c>
      <c r="AL11" s="17" t="n">
        <v>171</v>
      </c>
      <c r="AM11" s="17" t="n">
        <v>171</v>
      </c>
      <c r="AN11" s="17" t="n">
        <v>170</v>
      </c>
      <c r="AO11" s="17" t="n">
        <v>180</v>
      </c>
      <c r="AP11" s="17" t="n">
        <v>189</v>
      </c>
      <c r="AQ11" s="17" t="n">
        <v>202</v>
      </c>
      <c r="AR11" s="17" t="n">
        <v>202</v>
      </c>
      <c r="AS11" s="17" t="n">
        <v>199</v>
      </c>
      <c r="AT11" s="17" t="n">
        <v>208</v>
      </c>
      <c r="AU11" s="18">
        <f>AU13/(AU15*3)</f>
        <v/>
      </c>
      <c r="AV11" s="18">
        <f>AV13/(AV15*3)</f>
        <v/>
      </c>
      <c r="AW11" s="18">
        <f>AV11</f>
        <v/>
      </c>
      <c r="AX11" s="18">
        <f>AW11*(AX13/AW13)/(AX15/AW15)</f>
        <v/>
      </c>
      <c r="AY11" s="18">
        <f>AX11*(AY13/AX13)/(AY15/AX15)</f>
        <v/>
      </c>
      <c r="AZ11" s="18">
        <f>AY11*(AZ13/AY13)/(AZ15/AY15)</f>
        <v/>
      </c>
      <c r="BA11" s="18">
        <f>AZ11*(BA13/AZ13)/(BA15/AZ15)</f>
        <v/>
      </c>
      <c r="BB11" s="19" t="inlineStr">
        <is>
          <t>Q3/Q4-26E: trips ÷ (frequency × 3). 2027E+: grows with trips ÷ frequency (Q4 basis).</t>
        </is>
      </c>
      <c r="BD11" s="20">
        <f>IFERROR((BA11/AR11)^(1/5)-1,"")</f>
        <v/>
      </c>
      <c r="BE11" s="20">
        <f>IFERROR((AR11/S11)^(1/5)-1,"")</f>
        <v/>
      </c>
      <c r="BF11" s="20">
        <f>IFERROR((AR11/I11)^(1/7)-1,"")</f>
        <v/>
      </c>
      <c r="BG11" s="20">
        <f>IFERROR((AR11/C11)^(1/9)-1,"")</f>
        <v/>
      </c>
      <c r="BJ11" s="21" t="inlineStr">
        <is>
          <t>Q3-26 outlook — Q2-26 release (5-Aug-26); Uber standalone, excludes Delivery Hero</t>
        </is>
      </c>
      <c r="BK11" s="22" t="inlineStr">
        <is>
          <t>High</t>
        </is>
      </c>
      <c r="BL11" s="22" t="inlineStr">
        <is>
          <t>Mid</t>
        </is>
      </c>
      <c r="BM11" s="22" t="inlineStr">
        <is>
          <t>Low</t>
        </is>
      </c>
      <c r="BN11" s="13" t="inlineStr">
        <is>
          <t>Uber guides one quarter ahead: Gross Bookings and Non-GAAP EPS (with an Adjusted EBITDA translation).</t>
        </is>
      </c>
    </row>
    <row r="12">
      <c r="B12" s="23" t="inlineStr">
        <is>
          <t xml:space="preserve">  MAPCs y/y %</t>
        </is>
      </c>
      <c r="C12" s="24" t="n"/>
      <c r="D12" s="24">
        <f>IF(AND(ISNUMBER(D11),ISNUMBER(C11)),IFERROR(D11/C11-1,""),"")</f>
        <v/>
      </c>
      <c r="E12" s="24" t="n"/>
      <c r="F12" s="24" t="n"/>
      <c r="G12" s="24" t="n"/>
      <c r="H12" s="24" t="n"/>
      <c r="I12" s="24">
        <f>IF(AND(ISNUMBER(I11),ISNUMBER(D11)),IFERROR(I11/D11-1,""),"")</f>
        <v/>
      </c>
      <c r="J12" s="24">
        <f>IF(AND(ISNUMBER(J11),ISNUMBER(E11)),IFERROR(J11/E11-1,""),"")</f>
        <v/>
      </c>
      <c r="K12" s="24">
        <f>IF(AND(ISNUMBER(K11),ISNUMBER(F11)),IFERROR(K11/F11-1,""),"")</f>
        <v/>
      </c>
      <c r="L12" s="24">
        <f>IF(AND(ISNUMBER(L11),ISNUMBER(G11)),IFERROR(L11/G11-1,""),"")</f>
        <v/>
      </c>
      <c r="M12" s="24">
        <f>IF(AND(ISNUMBER(M11),ISNUMBER(H11)),IFERROR(M11/H11-1,""),"")</f>
        <v/>
      </c>
      <c r="N12" s="24">
        <f>IF(AND(ISNUMBER(N11),ISNUMBER(I11)),IFERROR(N11/I11-1,""),"")</f>
        <v/>
      </c>
      <c r="O12" s="24">
        <f>IF(AND(ISNUMBER(O11),ISNUMBER(J11)),IFERROR(O11/J11-1,""),"")</f>
        <v/>
      </c>
      <c r="P12" s="24">
        <f>IF(AND(ISNUMBER(P11),ISNUMBER(K11)),IFERROR(P11/K11-1,""),"")</f>
        <v/>
      </c>
      <c r="Q12" s="24">
        <f>IF(AND(ISNUMBER(Q11),ISNUMBER(L11)),IFERROR(Q11/L11-1,""),"")</f>
        <v/>
      </c>
      <c r="R12" s="24">
        <f>IF(AND(ISNUMBER(R11),ISNUMBER(M11)),IFERROR(R11/M11-1,""),"")</f>
        <v/>
      </c>
      <c r="S12" s="24">
        <f>IF(AND(ISNUMBER(S11),ISNUMBER(N11)),IFERROR(S11/N11-1,""),"")</f>
        <v/>
      </c>
      <c r="T12" s="24">
        <f>IF(AND(ISNUMBER(T11),ISNUMBER(O11)),IFERROR(T11/O11-1,""),"")</f>
        <v/>
      </c>
      <c r="U12" s="24">
        <f>IF(AND(ISNUMBER(U11),ISNUMBER(P11)),IFERROR(U11/P11-1,""),"")</f>
        <v/>
      </c>
      <c r="V12" s="24">
        <f>IF(AND(ISNUMBER(V11),ISNUMBER(Q11)),IFERROR(V11/Q11-1,""),"")</f>
        <v/>
      </c>
      <c r="W12" s="24">
        <f>IF(AND(ISNUMBER(W11),ISNUMBER(R11)),IFERROR(W11/R11-1,""),"")</f>
        <v/>
      </c>
      <c r="X12" s="24">
        <f>IF(AND(ISNUMBER(X11),ISNUMBER(S11)),IFERROR(X11/S11-1,""),"")</f>
        <v/>
      </c>
      <c r="Y12" s="24">
        <f>IF(AND(ISNUMBER(Y11),ISNUMBER(T11)),IFERROR(Y11/T11-1,""),"")</f>
        <v/>
      </c>
      <c r="Z12" s="24">
        <f>IF(AND(ISNUMBER(Z11),ISNUMBER(U11)),IFERROR(Z11/U11-1,""),"")</f>
        <v/>
      </c>
      <c r="AA12" s="24">
        <f>IF(AND(ISNUMBER(AA11),ISNUMBER(V11)),IFERROR(AA11/V11-1,""),"")</f>
        <v/>
      </c>
      <c r="AB12" s="24">
        <f>IF(AND(ISNUMBER(AB11),ISNUMBER(W11)),IFERROR(AB11/W11-1,""),"")</f>
        <v/>
      </c>
      <c r="AC12" s="24">
        <f>IF(AND(ISNUMBER(AC11),ISNUMBER(X11)),IFERROR(AC11/X11-1,""),"")</f>
        <v/>
      </c>
      <c r="AD12" s="24">
        <f>IF(AND(ISNUMBER(AD11),ISNUMBER(Y11)),IFERROR(AD11/Y11-1,""),"")</f>
        <v/>
      </c>
      <c r="AE12" s="24">
        <f>IF(AND(ISNUMBER(AE11),ISNUMBER(Z11)),IFERROR(AE11/Z11-1,""),"")</f>
        <v/>
      </c>
      <c r="AF12" s="24">
        <f>IF(AND(ISNUMBER(AF11),ISNUMBER(AA11)),IFERROR(AF11/AA11-1,""),"")</f>
        <v/>
      </c>
      <c r="AG12" s="24">
        <f>IF(AND(ISNUMBER(AG11),ISNUMBER(AB11)),IFERROR(AG11/AB11-1,""),"")</f>
        <v/>
      </c>
      <c r="AH12" s="24">
        <f>IF(AND(ISNUMBER(AH11),ISNUMBER(AC11)),IFERROR(AH11/AC11-1,""),"")</f>
        <v/>
      </c>
      <c r="AI12" s="24">
        <f>IF(AND(ISNUMBER(AI11),ISNUMBER(AD11)),IFERROR(AI11/AD11-1,""),"")</f>
        <v/>
      </c>
      <c r="AJ12" s="24">
        <f>IF(AND(ISNUMBER(AJ11),ISNUMBER(AE11)),IFERROR(AJ11/AE11-1,""),"")</f>
        <v/>
      </c>
      <c r="AK12" s="24">
        <f>IF(AND(ISNUMBER(AK11),ISNUMBER(AF11)),IFERROR(AK11/AF11-1,""),"")</f>
        <v/>
      </c>
      <c r="AL12" s="24">
        <f>IF(AND(ISNUMBER(AL11),ISNUMBER(AG11)),IFERROR(AL11/AG11-1,""),"")</f>
        <v/>
      </c>
      <c r="AM12" s="24">
        <f>IF(AND(ISNUMBER(AM11),ISNUMBER(AH11)),IFERROR(AM11/AH11-1,""),"")</f>
        <v/>
      </c>
      <c r="AN12" s="24">
        <f>IF(AND(ISNUMBER(AN11),ISNUMBER(AI11)),IFERROR(AN11/AI11-1,""),"")</f>
        <v/>
      </c>
      <c r="AO12" s="24">
        <f>IF(AND(ISNUMBER(AO11),ISNUMBER(AJ11)),IFERROR(AO11/AJ11-1,""),"")</f>
        <v/>
      </c>
      <c r="AP12" s="24">
        <f>IF(AND(ISNUMBER(AP11),ISNUMBER(AK11)),IFERROR(AP11/AK11-1,""),"")</f>
        <v/>
      </c>
      <c r="AQ12" s="24">
        <f>IF(AND(ISNUMBER(AQ11),ISNUMBER(AL11)),IFERROR(AQ11/AL11-1,""),"")</f>
        <v/>
      </c>
      <c r="AR12" s="24">
        <f>IF(AND(ISNUMBER(AR11),ISNUMBER(AM11)),IFERROR(AR11/AM11-1,""),"")</f>
        <v/>
      </c>
      <c r="AS12" s="24">
        <f>IF(AND(ISNUMBER(AS11),ISNUMBER(AN11)),IFERROR(AS11/AN11-1,""),"")</f>
        <v/>
      </c>
      <c r="AT12" s="24">
        <f>IF(AND(ISNUMBER(AT11),ISNUMBER(AO11)),IFERROR(AT11/AO11-1,""),"")</f>
        <v/>
      </c>
      <c r="AU12" s="25">
        <f>IFERROR(AU11/AP11-1,"")</f>
        <v/>
      </c>
      <c r="AV12" s="25">
        <f>IFERROR(AV11/AQ11-1,"")</f>
        <v/>
      </c>
      <c r="AW12" s="25">
        <f>IFERROR(AW11/AR11-1,"")</f>
        <v/>
      </c>
      <c r="AX12" s="25">
        <f>IFERROR(AX11/AW11-1,"")</f>
        <v/>
      </c>
      <c r="AY12" s="25">
        <f>IFERROR(AY11/AX11-1,"")</f>
        <v/>
      </c>
      <c r="AZ12" s="25">
        <f>IFERROR(AZ11/AY11-1,"")</f>
        <v/>
      </c>
      <c r="BA12" s="25">
        <f>IFERROR(BA11/AZ11-1,"")</f>
        <v/>
      </c>
      <c r="BB12" s="26" t="n"/>
      <c r="BJ12" s="27" t="inlineStr">
        <is>
          <t xml:space="preserve">  Q3-26 Gross Bookings ($m)</t>
        </is>
      </c>
      <c r="BK12" s="28" t="n">
        <v>60250</v>
      </c>
      <c r="BL12" s="28" t="n">
        <v>59250</v>
      </c>
      <c r="BM12" s="28" t="n">
        <v>58250</v>
      </c>
      <c r="BN12" s="13" t="inlineStr">
        <is>
          <t>+18–22% y/y constant currency; ~1pp FX headwind.</t>
        </is>
      </c>
    </row>
    <row r="13">
      <c r="B13" s="16" t="inlineStr">
        <is>
          <t xml:space="preserve">  Trips (m)</t>
        </is>
      </c>
      <c r="C13" s="17" t="n">
        <v>1818</v>
      </c>
      <c r="D13" s="17" t="n">
        <v>3736</v>
      </c>
      <c r="E13" s="17" t="n">
        <v>1136</v>
      </c>
      <c r="F13" s="17" t="n">
        <v>1242</v>
      </c>
      <c r="G13" s="17" t="n">
        <v>1348</v>
      </c>
      <c r="H13" s="17" t="n">
        <v>1493</v>
      </c>
      <c r="I13" s="17" t="n">
        <v>5220</v>
      </c>
      <c r="J13" s="17" t="n">
        <v>1550</v>
      </c>
      <c r="K13" s="17" t="n">
        <v>1677</v>
      </c>
      <c r="L13" s="17" t="n">
        <v>1770</v>
      </c>
      <c r="M13" s="17" t="n">
        <v>1907</v>
      </c>
      <c r="N13" s="17" t="n">
        <v>6904</v>
      </c>
      <c r="O13" s="17" t="n">
        <v>1661</v>
      </c>
      <c r="P13" s="17" t="n">
        <v>737</v>
      </c>
      <c r="Q13" s="17" t="n">
        <v>1184</v>
      </c>
      <c r="R13" s="17" t="n">
        <v>1443</v>
      </c>
      <c r="S13" s="17" t="n">
        <v>5025</v>
      </c>
      <c r="T13" s="17" t="n">
        <v>1447</v>
      </c>
      <c r="U13" s="17" t="n">
        <v>1511</v>
      </c>
      <c r="V13" s="17" t="n">
        <v>1641</v>
      </c>
      <c r="W13" s="17" t="n">
        <v>1769</v>
      </c>
      <c r="X13" s="17" t="n">
        <v>6368</v>
      </c>
      <c r="Y13" s="17" t="n">
        <v>1713</v>
      </c>
      <c r="Z13" s="17" t="n">
        <v>1872</v>
      </c>
      <c r="AA13" s="17" t="n">
        <v>1953</v>
      </c>
      <c r="AB13" s="17" t="n">
        <v>2104</v>
      </c>
      <c r="AC13" s="17" t="n">
        <v>7642</v>
      </c>
      <c r="AD13" s="17" t="n">
        <v>2124</v>
      </c>
      <c r="AE13" s="17" t="n">
        <v>2282</v>
      </c>
      <c r="AF13" s="17" t="n">
        <v>2441</v>
      </c>
      <c r="AG13" s="17" t="n">
        <v>2601</v>
      </c>
      <c r="AH13" s="17" t="n">
        <v>9448</v>
      </c>
      <c r="AI13" s="17" t="n">
        <v>2572</v>
      </c>
      <c r="AJ13" s="17" t="n">
        <v>2765</v>
      </c>
      <c r="AK13" s="17" t="n">
        <v>2868</v>
      </c>
      <c r="AL13" s="17" t="n">
        <v>3068</v>
      </c>
      <c r="AM13" s="17" t="n">
        <v>11273</v>
      </c>
      <c r="AN13" s="17" t="n">
        <v>3036</v>
      </c>
      <c r="AO13" s="17" t="n">
        <v>3268</v>
      </c>
      <c r="AP13" s="17" t="n">
        <v>3512</v>
      </c>
      <c r="AQ13" s="17" t="n">
        <v>3751</v>
      </c>
      <c r="AR13" s="17" t="n">
        <v>13567</v>
      </c>
      <c r="AS13" s="17" t="n">
        <v>3643</v>
      </c>
      <c r="AT13" s="17" t="n">
        <v>3867</v>
      </c>
      <c r="AU13" s="18">
        <f>AU19/AU17</f>
        <v/>
      </c>
      <c r="AV13" s="18">
        <f>AV19/AV17</f>
        <v/>
      </c>
      <c r="AW13" s="18">
        <f>SUM(AS13,AT13,AU13,AV13)</f>
        <v/>
      </c>
      <c r="AX13" s="18">
        <f>AX19/AX17</f>
        <v/>
      </c>
      <c r="AY13" s="18">
        <f>AY19/AY17</f>
        <v/>
      </c>
      <c r="AZ13" s="18">
        <f>AZ19/AZ17</f>
        <v/>
      </c>
      <c r="BA13" s="18">
        <f>BA19/BA17</f>
        <v/>
      </c>
      <c r="BB13" s="26" t="n"/>
      <c r="BD13" s="20">
        <f>IFERROR((BA13/AR13)^(1/5)-1,"")</f>
        <v/>
      </c>
      <c r="BE13" s="20">
        <f>IFERROR((AR13/S13)^(1/5)-1,"")</f>
        <v/>
      </c>
      <c r="BF13" s="20">
        <f>IFERROR((AR13/I13)^(1/7)-1,"")</f>
        <v/>
      </c>
      <c r="BG13" s="20">
        <f>IFERROR((AR13/C13)^(1/9)-1,"")</f>
        <v/>
      </c>
      <c r="BJ13" s="27" t="inlineStr">
        <is>
          <t xml:space="preserve">  Q3-26 Adjusted EBITDA translation ($m)</t>
        </is>
      </c>
      <c r="BK13" s="28" t="n">
        <v>2960</v>
      </c>
      <c r="BL13" s="28" t="n">
        <v>2910</v>
      </c>
      <c r="BM13" s="28" t="n">
        <v>2860</v>
      </c>
      <c r="BN13" s="13" t="inlineStr">
        <is>
          <t>Drives the Q3/Q4-26E segment-margin calibration.</t>
        </is>
      </c>
    </row>
    <row r="14">
      <c r="B14" s="23" t="inlineStr">
        <is>
          <t xml:space="preserve">  Trips y/y %</t>
        </is>
      </c>
      <c r="C14" s="24" t="n"/>
      <c r="D14" s="24">
        <f>IF(AND(ISNUMBER(D13),ISNUMBER(C13)),IFERROR(D13/C13-1,""),"")</f>
        <v/>
      </c>
      <c r="E14" s="24" t="n"/>
      <c r="F14" s="24" t="n"/>
      <c r="G14" s="24" t="n"/>
      <c r="H14" s="24" t="n"/>
      <c r="I14" s="24">
        <f>IF(AND(ISNUMBER(I13),ISNUMBER(D13)),IFERROR(I13/D13-1,""),"")</f>
        <v/>
      </c>
      <c r="J14" s="24">
        <f>IF(AND(ISNUMBER(J13),ISNUMBER(E13)),IFERROR(J13/E13-1,""),"")</f>
        <v/>
      </c>
      <c r="K14" s="24">
        <f>IF(AND(ISNUMBER(K13),ISNUMBER(F13)),IFERROR(K13/F13-1,""),"")</f>
        <v/>
      </c>
      <c r="L14" s="24">
        <f>IF(AND(ISNUMBER(L13),ISNUMBER(G13)),IFERROR(L13/G13-1,""),"")</f>
        <v/>
      </c>
      <c r="M14" s="24">
        <f>IF(AND(ISNUMBER(M13),ISNUMBER(H13)),IFERROR(M13/H13-1,""),"")</f>
        <v/>
      </c>
      <c r="N14" s="24">
        <f>IF(AND(ISNUMBER(N13),ISNUMBER(I13)),IFERROR(N13/I13-1,""),"")</f>
        <v/>
      </c>
      <c r="O14" s="24">
        <f>IF(AND(ISNUMBER(O13),ISNUMBER(J13)),IFERROR(O13/J13-1,""),"")</f>
        <v/>
      </c>
      <c r="P14" s="24">
        <f>IF(AND(ISNUMBER(P13),ISNUMBER(K13)),IFERROR(P13/K13-1,""),"")</f>
        <v/>
      </c>
      <c r="Q14" s="24">
        <f>IF(AND(ISNUMBER(Q13),ISNUMBER(L13)),IFERROR(Q13/L13-1,""),"")</f>
        <v/>
      </c>
      <c r="R14" s="24">
        <f>IF(AND(ISNUMBER(R13),ISNUMBER(M13)),IFERROR(R13/M13-1,""),"")</f>
        <v/>
      </c>
      <c r="S14" s="24">
        <f>IF(AND(ISNUMBER(S13),ISNUMBER(N13)),IFERROR(S13/N13-1,""),"")</f>
        <v/>
      </c>
      <c r="T14" s="24">
        <f>IF(AND(ISNUMBER(T13),ISNUMBER(O13)),IFERROR(T13/O13-1,""),"")</f>
        <v/>
      </c>
      <c r="U14" s="24">
        <f>IF(AND(ISNUMBER(U13),ISNUMBER(P13)),IFERROR(U13/P13-1,""),"")</f>
        <v/>
      </c>
      <c r="V14" s="24">
        <f>IF(AND(ISNUMBER(V13),ISNUMBER(Q13)),IFERROR(V13/Q13-1,""),"")</f>
        <v/>
      </c>
      <c r="W14" s="24">
        <f>IF(AND(ISNUMBER(W13),ISNUMBER(R13)),IFERROR(W13/R13-1,""),"")</f>
        <v/>
      </c>
      <c r="X14" s="24">
        <f>IF(AND(ISNUMBER(X13),ISNUMBER(S13)),IFERROR(X13/S13-1,""),"")</f>
        <v/>
      </c>
      <c r="Y14" s="24">
        <f>IF(AND(ISNUMBER(Y13),ISNUMBER(T13)),IFERROR(Y13/T13-1,""),"")</f>
        <v/>
      </c>
      <c r="Z14" s="24">
        <f>IF(AND(ISNUMBER(Z13),ISNUMBER(U13)),IFERROR(Z13/U13-1,""),"")</f>
        <v/>
      </c>
      <c r="AA14" s="24">
        <f>IF(AND(ISNUMBER(AA13),ISNUMBER(V13)),IFERROR(AA13/V13-1,""),"")</f>
        <v/>
      </c>
      <c r="AB14" s="24">
        <f>IF(AND(ISNUMBER(AB13),ISNUMBER(W13)),IFERROR(AB13/W13-1,""),"")</f>
        <v/>
      </c>
      <c r="AC14" s="24">
        <f>IF(AND(ISNUMBER(AC13),ISNUMBER(X13)),IFERROR(AC13/X13-1,""),"")</f>
        <v/>
      </c>
      <c r="AD14" s="24">
        <f>IF(AND(ISNUMBER(AD13),ISNUMBER(Y13)),IFERROR(AD13/Y13-1,""),"")</f>
        <v/>
      </c>
      <c r="AE14" s="24">
        <f>IF(AND(ISNUMBER(AE13),ISNUMBER(Z13)),IFERROR(AE13/Z13-1,""),"")</f>
        <v/>
      </c>
      <c r="AF14" s="24">
        <f>IF(AND(ISNUMBER(AF13),ISNUMBER(AA13)),IFERROR(AF13/AA13-1,""),"")</f>
        <v/>
      </c>
      <c r="AG14" s="24">
        <f>IF(AND(ISNUMBER(AG13),ISNUMBER(AB13)),IFERROR(AG13/AB13-1,""),"")</f>
        <v/>
      </c>
      <c r="AH14" s="24">
        <f>IF(AND(ISNUMBER(AH13),ISNUMBER(AC13)),IFERROR(AH13/AC13-1,""),"")</f>
        <v/>
      </c>
      <c r="AI14" s="24">
        <f>IF(AND(ISNUMBER(AI13),ISNUMBER(AD13)),IFERROR(AI13/AD13-1,""),"")</f>
        <v/>
      </c>
      <c r="AJ14" s="24">
        <f>IF(AND(ISNUMBER(AJ13),ISNUMBER(AE13)),IFERROR(AJ13/AE13-1,""),"")</f>
        <v/>
      </c>
      <c r="AK14" s="24">
        <f>IF(AND(ISNUMBER(AK13),ISNUMBER(AF13)),IFERROR(AK13/AF13-1,""),"")</f>
        <v/>
      </c>
      <c r="AL14" s="24">
        <f>IF(AND(ISNUMBER(AL13),ISNUMBER(AG13)),IFERROR(AL13/AG13-1,""),"")</f>
        <v/>
      </c>
      <c r="AM14" s="24">
        <f>IF(AND(ISNUMBER(AM13),ISNUMBER(AH13)),IFERROR(AM13/AH13-1,""),"")</f>
        <v/>
      </c>
      <c r="AN14" s="24">
        <f>IF(AND(ISNUMBER(AN13),ISNUMBER(AI13)),IFERROR(AN13/AI13-1,""),"")</f>
        <v/>
      </c>
      <c r="AO14" s="24">
        <f>IF(AND(ISNUMBER(AO13),ISNUMBER(AJ13)),IFERROR(AO13/AJ13-1,""),"")</f>
        <v/>
      </c>
      <c r="AP14" s="24">
        <f>IF(AND(ISNUMBER(AP13),ISNUMBER(AK13)),IFERROR(AP13/AK13-1,""),"")</f>
        <v/>
      </c>
      <c r="AQ14" s="24">
        <f>IF(AND(ISNUMBER(AQ13),ISNUMBER(AL13)),IFERROR(AQ13/AL13-1,""),"")</f>
        <v/>
      </c>
      <c r="AR14" s="24">
        <f>IF(AND(ISNUMBER(AR13),ISNUMBER(AM13)),IFERROR(AR13/AM13-1,""),"")</f>
        <v/>
      </c>
      <c r="AS14" s="24">
        <f>IF(AND(ISNUMBER(AS13),ISNUMBER(AN13)),IFERROR(AS13/AN13-1,""),"")</f>
        <v/>
      </c>
      <c r="AT14" s="24">
        <f>IF(AND(ISNUMBER(AT13),ISNUMBER(AO13)),IFERROR(AT13/AO13-1,""),"")</f>
        <v/>
      </c>
      <c r="AU14" s="25">
        <f>IFERROR(AU13/AP13-1,"")</f>
        <v/>
      </c>
      <c r="AV14" s="25">
        <f>IFERROR(AV13/AQ13-1,"")</f>
        <v/>
      </c>
      <c r="AW14" s="25">
        <f>IFERROR(AW13/AR13-1,"")</f>
        <v/>
      </c>
      <c r="AX14" s="25">
        <f>IFERROR(AX13/AW13-1,"")</f>
        <v/>
      </c>
      <c r="AY14" s="25">
        <f>IFERROR(AY13/AX13-1,"")</f>
        <v/>
      </c>
      <c r="AZ14" s="25">
        <f>IFERROR(AZ13/AY13-1,"")</f>
        <v/>
      </c>
      <c r="BA14" s="25">
        <f>IFERROR(BA13/AZ13-1,"")</f>
        <v/>
      </c>
      <c r="BB14" s="26" t="n"/>
      <c r="BJ14" s="27" t="inlineStr">
        <is>
          <t xml:space="preserve">  Q3-26 Non-GAAP EPS ($)</t>
        </is>
      </c>
      <c r="BK14" s="29" t="n">
        <v>0.88</v>
      </c>
      <c r="BL14" s="29" t="n">
        <v>0.86</v>
      </c>
      <c r="BM14" s="29" t="n">
        <v>0.84</v>
      </c>
      <c r="BN14" s="13" t="inlineStr">
        <is>
          <t>+28–35% y/y (memo; compared with the model).</t>
        </is>
      </c>
    </row>
    <row r="15">
      <c r="B15" s="27" t="inlineStr">
        <is>
          <t xml:space="preserve">  Monthly trips per MAPC (x)</t>
        </is>
      </c>
      <c r="C15" s="30" t="n"/>
      <c r="D15" s="30" t="n"/>
      <c r="E15" s="30">
        <f>IFERROR(E13/E11/3,"")</f>
        <v/>
      </c>
      <c r="F15" s="30">
        <f>IFERROR(F13/F11/3,"")</f>
        <v/>
      </c>
      <c r="G15" s="30">
        <f>IFERROR(G13/G11/3,"")</f>
        <v/>
      </c>
      <c r="H15" s="30">
        <f>IFERROR(H13/H11/3,"")</f>
        <v/>
      </c>
      <c r="I15" s="30">
        <f>IFERROR(I13/AVERAGE(E11,F11,G11,H11)/12,"")</f>
        <v/>
      </c>
      <c r="J15" s="30">
        <f>IFERROR(J13/J11/3,"")</f>
        <v/>
      </c>
      <c r="K15" s="30">
        <f>IFERROR(K13/K11/3,"")</f>
        <v/>
      </c>
      <c r="L15" s="30">
        <f>IFERROR(L13/L11/3,"")</f>
        <v/>
      </c>
      <c r="M15" s="30">
        <f>IFERROR(M13/M11/3,"")</f>
        <v/>
      </c>
      <c r="N15" s="30">
        <f>IFERROR(N13/AVERAGE(J11,K11,L11,M11)/12,"")</f>
        <v/>
      </c>
      <c r="O15" s="30">
        <f>IFERROR(O13/O11/3,"")</f>
        <v/>
      </c>
      <c r="P15" s="30">
        <f>IFERROR(P13/P11/3,"")</f>
        <v/>
      </c>
      <c r="Q15" s="30">
        <f>IFERROR(Q13/Q11/3,"")</f>
        <v/>
      </c>
      <c r="R15" s="30">
        <f>IFERROR(R13/R11/3,"")</f>
        <v/>
      </c>
      <c r="S15" s="30">
        <f>IFERROR(S13/AVERAGE(O11,P11,Q11,R11)/12,"")</f>
        <v/>
      </c>
      <c r="T15" s="30">
        <f>IFERROR(T13/T11/3,"")</f>
        <v/>
      </c>
      <c r="U15" s="30">
        <f>IFERROR(U13/U11/3,"")</f>
        <v/>
      </c>
      <c r="V15" s="30">
        <f>IFERROR(V13/V11/3,"")</f>
        <v/>
      </c>
      <c r="W15" s="30">
        <f>IFERROR(W13/W11/3,"")</f>
        <v/>
      </c>
      <c r="X15" s="30">
        <f>IFERROR(X13/AVERAGE(T11,U11,V11,W11)/12,"")</f>
        <v/>
      </c>
      <c r="Y15" s="30">
        <f>IFERROR(Y13/Y11/3,"")</f>
        <v/>
      </c>
      <c r="Z15" s="30">
        <f>IFERROR(Z13/Z11/3,"")</f>
        <v/>
      </c>
      <c r="AA15" s="30">
        <f>IFERROR(AA13/AA11/3,"")</f>
        <v/>
      </c>
      <c r="AB15" s="30">
        <f>IFERROR(AB13/AB11/3,"")</f>
        <v/>
      </c>
      <c r="AC15" s="30">
        <f>IFERROR(AC13/AVERAGE(Y11,Z11,AA11,AB11)/12,"")</f>
        <v/>
      </c>
      <c r="AD15" s="30">
        <f>IFERROR(AD13/AD11/3,"")</f>
        <v/>
      </c>
      <c r="AE15" s="30">
        <f>IFERROR(AE13/AE11/3,"")</f>
        <v/>
      </c>
      <c r="AF15" s="30">
        <f>IFERROR(AF13/AF11/3,"")</f>
        <v/>
      </c>
      <c r="AG15" s="30">
        <f>IFERROR(AG13/AG11/3,"")</f>
        <v/>
      </c>
      <c r="AH15" s="30">
        <f>IFERROR(AH13/AVERAGE(AD11,AE11,AF11,AG11)/12,"")</f>
        <v/>
      </c>
      <c r="AI15" s="30">
        <f>IFERROR(AI13/AI11/3,"")</f>
        <v/>
      </c>
      <c r="AJ15" s="30">
        <f>IFERROR(AJ13/AJ11/3,"")</f>
        <v/>
      </c>
      <c r="AK15" s="30">
        <f>IFERROR(AK13/AK11/3,"")</f>
        <v/>
      </c>
      <c r="AL15" s="30">
        <f>IFERROR(AL13/AL11/3,"")</f>
        <v/>
      </c>
      <c r="AM15" s="30">
        <f>IFERROR(AM13/AVERAGE(AI11,AJ11,AK11,AL11)/12,"")</f>
        <v/>
      </c>
      <c r="AN15" s="30">
        <f>IFERROR(AN13/AN11/3,"")</f>
        <v/>
      </c>
      <c r="AO15" s="30">
        <f>IFERROR(AO13/AO11/3,"")</f>
        <v/>
      </c>
      <c r="AP15" s="30">
        <f>IFERROR(AP13/AP11/3,"")</f>
        <v/>
      </c>
      <c r="AQ15" s="30">
        <f>IFERROR(AQ13/AQ11/3,"")</f>
        <v/>
      </c>
      <c r="AR15" s="30">
        <f>IFERROR(AR13/AVERAGE(AN11,AO11,AP11,AQ11)/12,"")</f>
        <v/>
      </c>
      <c r="AS15" s="30">
        <f>IFERROR(AS13/AS11/3,"")</f>
        <v/>
      </c>
      <c r="AT15" s="30">
        <f>IFERROR(AT13/AT11/3,"")</f>
        <v/>
      </c>
      <c r="AU15" s="31">
        <f>AP15*($AT$15/$AO$15)</f>
        <v/>
      </c>
      <c r="AV15" s="31">
        <f>AQ15*($AT$15/$AO$15)</f>
        <v/>
      </c>
      <c r="AW15" s="31">
        <f>IFERROR(AW13/AVERAGE(AS11,AT11,AU11,AV11)/12,"")</f>
        <v/>
      </c>
      <c r="AX15" s="31">
        <f>AW15*(1+AX16)</f>
        <v/>
      </c>
      <c r="AY15" s="31">
        <f>AX15*(1+AY16)</f>
        <v/>
      </c>
      <c r="AZ15" s="31">
        <f>AY15*(1+AZ16)</f>
        <v/>
      </c>
      <c r="BA15" s="31">
        <f>AZ15*(1+BA16)</f>
        <v/>
      </c>
      <c r="BB15" s="19" t="inlineStr">
        <is>
          <t>Q3/Q4-26E: prior-year quarter × Q2/26 y/y change. 2027E+: prior year × (1 + frequency growth input).</t>
        </is>
      </c>
      <c r="BJ15" s="21" t="inlineStr">
        <is>
          <t>Point estimates, switches &amp; capital allocation</t>
        </is>
      </c>
      <c r="BK15" s="21" t="n"/>
      <c r="BL15" s="21" t="n"/>
      <c r="BM15" s="21" t="n"/>
    </row>
    <row r="16">
      <c r="B16" s="23" t="inlineStr">
        <is>
          <t xml:space="preserve">  Monthly trips per MAPC y/y %</t>
        </is>
      </c>
      <c r="C16" s="24" t="n"/>
      <c r="D16" s="24">
        <f>IF(AND(ISNUMBER(D15),ISNUMBER(C15)),IFERROR(D15/C15-1,""),"")</f>
        <v/>
      </c>
      <c r="E16" s="24" t="n"/>
      <c r="F16" s="24" t="n"/>
      <c r="G16" s="24" t="n"/>
      <c r="H16" s="24" t="n"/>
      <c r="I16" s="24">
        <f>IF(AND(ISNUMBER(I15),ISNUMBER(D15)),IFERROR(I15/D15-1,""),"")</f>
        <v/>
      </c>
      <c r="J16" s="24">
        <f>IF(AND(ISNUMBER(J15),ISNUMBER(E15)),IFERROR(J15/E15-1,""),"")</f>
        <v/>
      </c>
      <c r="K16" s="24">
        <f>IF(AND(ISNUMBER(K15),ISNUMBER(F15)),IFERROR(K15/F15-1,""),"")</f>
        <v/>
      </c>
      <c r="L16" s="24">
        <f>IF(AND(ISNUMBER(L15),ISNUMBER(G15)),IFERROR(L15/G15-1,""),"")</f>
        <v/>
      </c>
      <c r="M16" s="24">
        <f>IF(AND(ISNUMBER(M15),ISNUMBER(H15)),IFERROR(M15/H15-1,""),"")</f>
        <v/>
      </c>
      <c r="N16" s="24">
        <f>IF(AND(ISNUMBER(N15),ISNUMBER(I15)),IFERROR(N15/I15-1,""),"")</f>
        <v/>
      </c>
      <c r="O16" s="24">
        <f>IF(AND(ISNUMBER(O15),ISNUMBER(J15)),IFERROR(O15/J15-1,""),"")</f>
        <v/>
      </c>
      <c r="P16" s="24">
        <f>IF(AND(ISNUMBER(P15),ISNUMBER(K15)),IFERROR(P15/K15-1,""),"")</f>
        <v/>
      </c>
      <c r="Q16" s="24">
        <f>IF(AND(ISNUMBER(Q15),ISNUMBER(L15)),IFERROR(Q15/L15-1,""),"")</f>
        <v/>
      </c>
      <c r="R16" s="24">
        <f>IF(AND(ISNUMBER(R15),ISNUMBER(M15)),IFERROR(R15/M15-1,""),"")</f>
        <v/>
      </c>
      <c r="S16" s="24">
        <f>IF(AND(ISNUMBER(S15),ISNUMBER(N15)),IFERROR(S15/N15-1,""),"")</f>
        <v/>
      </c>
      <c r="T16" s="24">
        <f>IF(AND(ISNUMBER(T15),ISNUMBER(O15)),IFERROR(T15/O15-1,""),"")</f>
        <v/>
      </c>
      <c r="U16" s="24">
        <f>IF(AND(ISNUMBER(U15),ISNUMBER(P15)),IFERROR(U15/P15-1,""),"")</f>
        <v/>
      </c>
      <c r="V16" s="24">
        <f>IF(AND(ISNUMBER(V15),ISNUMBER(Q15)),IFERROR(V15/Q15-1,""),"")</f>
        <v/>
      </c>
      <c r="W16" s="24">
        <f>IF(AND(ISNUMBER(W15),ISNUMBER(R15)),IFERROR(W15/R15-1,""),"")</f>
        <v/>
      </c>
      <c r="X16" s="24">
        <f>IF(AND(ISNUMBER(X15),ISNUMBER(S15)),IFERROR(X15/S15-1,""),"")</f>
        <v/>
      </c>
      <c r="Y16" s="24">
        <f>IF(AND(ISNUMBER(Y15),ISNUMBER(T15)),IFERROR(Y15/T15-1,""),"")</f>
        <v/>
      </c>
      <c r="Z16" s="24">
        <f>IF(AND(ISNUMBER(Z15),ISNUMBER(U15)),IFERROR(Z15/U15-1,""),"")</f>
        <v/>
      </c>
      <c r="AA16" s="24">
        <f>IF(AND(ISNUMBER(AA15),ISNUMBER(V15)),IFERROR(AA15/V15-1,""),"")</f>
        <v/>
      </c>
      <c r="AB16" s="24">
        <f>IF(AND(ISNUMBER(AB15),ISNUMBER(W15)),IFERROR(AB15/W15-1,""),"")</f>
        <v/>
      </c>
      <c r="AC16" s="24">
        <f>IF(AND(ISNUMBER(AC15),ISNUMBER(X15)),IFERROR(AC15/X15-1,""),"")</f>
        <v/>
      </c>
      <c r="AD16" s="24">
        <f>IF(AND(ISNUMBER(AD15),ISNUMBER(Y15)),IFERROR(AD15/Y15-1,""),"")</f>
        <v/>
      </c>
      <c r="AE16" s="24">
        <f>IF(AND(ISNUMBER(AE15),ISNUMBER(Z15)),IFERROR(AE15/Z15-1,""),"")</f>
        <v/>
      </c>
      <c r="AF16" s="24">
        <f>IF(AND(ISNUMBER(AF15),ISNUMBER(AA15)),IFERROR(AF15/AA15-1,""),"")</f>
        <v/>
      </c>
      <c r="AG16" s="24">
        <f>IF(AND(ISNUMBER(AG15),ISNUMBER(AB15)),IFERROR(AG15/AB15-1,""),"")</f>
        <v/>
      </c>
      <c r="AH16" s="24">
        <f>IF(AND(ISNUMBER(AH15),ISNUMBER(AC15)),IFERROR(AH15/AC15-1,""),"")</f>
        <v/>
      </c>
      <c r="AI16" s="24">
        <f>IF(AND(ISNUMBER(AI15),ISNUMBER(AD15)),IFERROR(AI15/AD15-1,""),"")</f>
        <v/>
      </c>
      <c r="AJ16" s="24">
        <f>IF(AND(ISNUMBER(AJ15),ISNUMBER(AE15)),IFERROR(AJ15/AE15-1,""),"")</f>
        <v/>
      </c>
      <c r="AK16" s="24">
        <f>IF(AND(ISNUMBER(AK15),ISNUMBER(AF15)),IFERROR(AK15/AF15-1,""),"")</f>
        <v/>
      </c>
      <c r="AL16" s="24">
        <f>IF(AND(ISNUMBER(AL15),ISNUMBER(AG15)),IFERROR(AL15/AG15-1,""),"")</f>
        <v/>
      </c>
      <c r="AM16" s="24">
        <f>IF(AND(ISNUMBER(AM15),ISNUMBER(AH15)),IFERROR(AM15/AH15-1,""),"")</f>
        <v/>
      </c>
      <c r="AN16" s="24">
        <f>IF(AND(ISNUMBER(AN15),ISNUMBER(AI15)),IFERROR(AN15/AI15-1,""),"")</f>
        <v/>
      </c>
      <c r="AO16" s="24">
        <f>IF(AND(ISNUMBER(AO15),ISNUMBER(AJ15)),IFERROR(AO15/AJ15-1,""),"")</f>
        <v/>
      </c>
      <c r="AP16" s="24">
        <f>IF(AND(ISNUMBER(AP15),ISNUMBER(AK15)),IFERROR(AP15/AK15-1,""),"")</f>
        <v/>
      </c>
      <c r="AQ16" s="24">
        <f>IF(AND(ISNUMBER(AQ15),ISNUMBER(AL15)),IFERROR(AQ15/AL15-1,""),"")</f>
        <v/>
      </c>
      <c r="AR16" s="24">
        <f>IF(AND(ISNUMBER(AR15),ISNUMBER(AM15)),IFERROR(AR15/AM15-1,""),"")</f>
        <v/>
      </c>
      <c r="AS16" s="24">
        <f>IF(AND(ISNUMBER(AS15),ISNUMBER(AN15)),IFERROR(AS15/AN15-1,""),"")</f>
        <v/>
      </c>
      <c r="AT16" s="24">
        <f>IF(AND(ISNUMBER(AT15),ISNUMBER(AO15)),IFERROR(AT15/AO15-1,""),"")</f>
        <v/>
      </c>
      <c r="AU16" s="25">
        <f>IFERROR(AU15/AP15-1,"")</f>
        <v/>
      </c>
      <c r="AV16" s="25">
        <f>IFERROR(AV15/AQ15-1,"")</f>
        <v/>
      </c>
      <c r="AW16" s="25">
        <f>IFERROR(AW15/AR15-1,"")</f>
        <v/>
      </c>
      <c r="AX16" s="32" t="n">
        <v>0.015</v>
      </c>
      <c r="AY16" s="32" t="n">
        <v>0.015</v>
      </c>
      <c r="AZ16" s="32" t="n">
        <v>0.015</v>
      </c>
      <c r="BA16" s="32" t="n">
        <v>0.015</v>
      </c>
      <c r="BB16" s="19" t="inlineStr">
        <is>
          <t>2027E+ input: +1.5% p.a. (Q2/26 +2%; cross-platform users and Uber One membership lift engagement).</t>
        </is>
      </c>
      <c r="BJ16" s="27" t="inlineStr">
        <is>
          <t xml:space="preserve">  Q3/Q4-26E tax rate (Non-GAAP &amp; GAAP)</t>
        </is>
      </c>
      <c r="BK16" s="33">
        <f>BL16</f>
        <v/>
      </c>
      <c r="BL16" s="34" t="n">
        <v>0.24</v>
      </c>
      <c r="BM16" s="33">
        <f>BL16</f>
        <v/>
      </c>
      <c r="BN16" s="13" t="inlineStr">
        <is>
          <t>1H/26 Non-GAAP ETR 24%.</t>
        </is>
      </c>
    </row>
    <row r="17">
      <c r="B17" s="27" t="inlineStr">
        <is>
          <t xml:space="preserve">  Gross Bookings per trip ($)</t>
        </is>
      </c>
      <c r="C17" s="30">
        <f>IF(AND(ISNUMBER(C19),ISNUMBER(C13)),IFERROR(C19/C13,""),"")</f>
        <v/>
      </c>
      <c r="D17" s="30">
        <f>IF(AND(ISNUMBER(D19),ISNUMBER(D13)),IFERROR(D19/D13,""),"")</f>
        <v/>
      </c>
      <c r="E17" s="30">
        <f>IF(AND(ISNUMBER(E19),ISNUMBER(E13)),IFERROR(E19/E13,""),"")</f>
        <v/>
      </c>
      <c r="F17" s="30">
        <f>IF(AND(ISNUMBER(F19),ISNUMBER(F13)),IFERROR(F19/F13,""),"")</f>
        <v/>
      </c>
      <c r="G17" s="30">
        <f>IF(AND(ISNUMBER(G19),ISNUMBER(G13)),IFERROR(G19/G13,""),"")</f>
        <v/>
      </c>
      <c r="H17" s="30">
        <f>IF(AND(ISNUMBER(H19),ISNUMBER(H13)),IFERROR(H19/H13,""),"")</f>
        <v/>
      </c>
      <c r="I17" s="30">
        <f>IF(AND(ISNUMBER(I19),ISNUMBER(I13)),IFERROR(I19/I13,""),"")</f>
        <v/>
      </c>
      <c r="J17" s="30">
        <f>IF(AND(ISNUMBER(J19),ISNUMBER(J13)),IFERROR(J19/J13,""),"")</f>
        <v/>
      </c>
      <c r="K17" s="30">
        <f>IF(AND(ISNUMBER(K19),ISNUMBER(K13)),IFERROR(K19/K13,""),"")</f>
        <v/>
      </c>
      <c r="L17" s="30">
        <f>IF(AND(ISNUMBER(L19),ISNUMBER(L13)),IFERROR(L19/L13,""),"")</f>
        <v/>
      </c>
      <c r="M17" s="30">
        <f>IF(AND(ISNUMBER(M19),ISNUMBER(M13)),IFERROR(M19/M13,""),"")</f>
        <v/>
      </c>
      <c r="N17" s="30">
        <f>IF(AND(ISNUMBER(N19),ISNUMBER(N13)),IFERROR(N19/N13,""),"")</f>
        <v/>
      </c>
      <c r="O17" s="30">
        <f>IF(AND(ISNUMBER(O19),ISNUMBER(O13)),IFERROR(O19/O13,""),"")</f>
        <v/>
      </c>
      <c r="P17" s="30">
        <f>IF(AND(ISNUMBER(P19),ISNUMBER(P13)),IFERROR(P19/P13,""),"")</f>
        <v/>
      </c>
      <c r="Q17" s="30">
        <f>IF(AND(ISNUMBER(Q19),ISNUMBER(Q13)),IFERROR(Q19/Q13,""),"")</f>
        <v/>
      </c>
      <c r="R17" s="30">
        <f>IF(AND(ISNUMBER(R19),ISNUMBER(R13)),IFERROR(R19/R13,""),"")</f>
        <v/>
      </c>
      <c r="S17" s="30">
        <f>IF(AND(ISNUMBER(S19),ISNUMBER(S13)),IFERROR(S19/S13,""),"")</f>
        <v/>
      </c>
      <c r="T17" s="30">
        <f>IF(AND(ISNUMBER(T19),ISNUMBER(T13)),IFERROR(T19/T13,""),"")</f>
        <v/>
      </c>
      <c r="U17" s="30">
        <f>IF(AND(ISNUMBER(U19),ISNUMBER(U13)),IFERROR(U19/U13,""),"")</f>
        <v/>
      </c>
      <c r="V17" s="30">
        <f>IF(AND(ISNUMBER(V19),ISNUMBER(V13)),IFERROR(V19/V13,""),"")</f>
        <v/>
      </c>
      <c r="W17" s="30">
        <f>IF(AND(ISNUMBER(W19),ISNUMBER(W13)),IFERROR(W19/W13,""),"")</f>
        <v/>
      </c>
      <c r="X17" s="30">
        <f>IF(AND(ISNUMBER(X19),ISNUMBER(X13)),IFERROR(X19/X13,""),"")</f>
        <v/>
      </c>
      <c r="Y17" s="30">
        <f>IF(AND(ISNUMBER(Y19),ISNUMBER(Y13)),IFERROR(Y19/Y13,""),"")</f>
        <v/>
      </c>
      <c r="Z17" s="30">
        <f>IF(AND(ISNUMBER(Z19),ISNUMBER(Z13)),IFERROR(Z19/Z13,""),"")</f>
        <v/>
      </c>
      <c r="AA17" s="30">
        <f>IF(AND(ISNUMBER(AA19),ISNUMBER(AA13)),IFERROR(AA19/AA13,""),"")</f>
        <v/>
      </c>
      <c r="AB17" s="30">
        <f>IF(AND(ISNUMBER(AB19),ISNUMBER(AB13)),IFERROR(AB19/AB13,""),"")</f>
        <v/>
      </c>
      <c r="AC17" s="30">
        <f>IF(AND(ISNUMBER(AC19),ISNUMBER(AC13)),IFERROR(AC19/AC13,""),"")</f>
        <v/>
      </c>
      <c r="AD17" s="30">
        <f>IF(AND(ISNUMBER(AD19),ISNUMBER(AD13)),IFERROR(AD19/AD13,""),"")</f>
        <v/>
      </c>
      <c r="AE17" s="30">
        <f>IF(AND(ISNUMBER(AE19),ISNUMBER(AE13)),IFERROR(AE19/AE13,""),"")</f>
        <v/>
      </c>
      <c r="AF17" s="30">
        <f>IF(AND(ISNUMBER(AF19),ISNUMBER(AF13)),IFERROR(AF19/AF13,""),"")</f>
        <v/>
      </c>
      <c r="AG17" s="30">
        <f>IF(AND(ISNUMBER(AG19),ISNUMBER(AG13)),IFERROR(AG19/AG13,""),"")</f>
        <v/>
      </c>
      <c r="AH17" s="30">
        <f>IF(AND(ISNUMBER(AH19),ISNUMBER(AH13)),IFERROR(AH19/AH13,""),"")</f>
        <v/>
      </c>
      <c r="AI17" s="30">
        <f>IF(AND(ISNUMBER(AI19),ISNUMBER(AI13)),IFERROR(AI19/AI13,""),"")</f>
        <v/>
      </c>
      <c r="AJ17" s="30">
        <f>IF(AND(ISNUMBER(AJ19),ISNUMBER(AJ13)),IFERROR(AJ19/AJ13,""),"")</f>
        <v/>
      </c>
      <c r="AK17" s="30">
        <f>IF(AND(ISNUMBER(AK19),ISNUMBER(AK13)),IFERROR(AK19/AK13,""),"")</f>
        <v/>
      </c>
      <c r="AL17" s="30">
        <f>IF(AND(ISNUMBER(AL19),ISNUMBER(AL13)),IFERROR(AL19/AL13,""),"")</f>
        <v/>
      </c>
      <c r="AM17" s="30">
        <f>IF(AND(ISNUMBER(AM19),ISNUMBER(AM13)),IFERROR(AM19/AM13,""),"")</f>
        <v/>
      </c>
      <c r="AN17" s="30">
        <f>IF(AND(ISNUMBER(AN19),ISNUMBER(AN13)),IFERROR(AN19/AN13,""),"")</f>
        <v/>
      </c>
      <c r="AO17" s="30">
        <f>IF(AND(ISNUMBER(AO19),ISNUMBER(AO13)),IFERROR(AO19/AO13,""),"")</f>
        <v/>
      </c>
      <c r="AP17" s="30">
        <f>IF(AND(ISNUMBER(AP19),ISNUMBER(AP13)),IFERROR(AP19/AP13,""),"")</f>
        <v/>
      </c>
      <c r="AQ17" s="30">
        <f>IF(AND(ISNUMBER(AQ19),ISNUMBER(AQ13)),IFERROR(AQ19/AQ13,""),"")</f>
        <v/>
      </c>
      <c r="AR17" s="30">
        <f>IF(AND(ISNUMBER(AR19),ISNUMBER(AR13)),IFERROR(AR19/AR13,""),"")</f>
        <v/>
      </c>
      <c r="AS17" s="30">
        <f>IF(AND(ISNUMBER(AS19),ISNUMBER(AS13)),IFERROR(AS19/AS13,""),"")</f>
        <v/>
      </c>
      <c r="AT17" s="30">
        <f>IF(AND(ISNUMBER(AT19),ISNUMBER(AT13)),IFERROR(AT19/AT13,""),"")</f>
        <v/>
      </c>
      <c r="AU17" s="31">
        <f>AP17*($AT$17/$AO$17)</f>
        <v/>
      </c>
      <c r="AV17" s="31">
        <f>AQ17*($AT$17/$AO$17)</f>
        <v/>
      </c>
      <c r="AW17" s="31">
        <f>IFERROR(AW19/AW13,"")</f>
        <v/>
      </c>
      <c r="AX17" s="31">
        <f>AW17*(1+AX18)</f>
        <v/>
      </c>
      <c r="AY17" s="31">
        <f>AX17*(1+AY18)</f>
        <v/>
      </c>
      <c r="AZ17" s="31">
        <f>AY17*(1+AZ18)</f>
        <v/>
      </c>
      <c r="BA17" s="31">
        <f>AZ17*(1+BA18)</f>
        <v/>
      </c>
      <c r="BB17" s="26" t="n"/>
      <c r="BJ17" s="27" t="inlineStr">
        <is>
          <t xml:space="preserve">  USD per EUR (deal-implied)</t>
        </is>
      </c>
      <c r="BK17" s="151">
        <f>BL17</f>
        <v/>
      </c>
      <c r="BL17" s="151">
        <f>14800/(314*41.5)</f>
        <v/>
      </c>
      <c r="BM17" s="151">
        <f>BL17</f>
        <v/>
      </c>
      <c r="BN17" s="13" t="inlineStr">
        <is>
          <t>$14.8bn equity value ÷ (314m shares × €41.50) = 1.136.</t>
        </is>
      </c>
    </row>
    <row r="18">
      <c r="B18" s="23" t="inlineStr">
        <is>
          <t xml:space="preserve">  Gross Bookings per trip y/y %</t>
        </is>
      </c>
      <c r="C18" s="24" t="n"/>
      <c r="D18" s="24">
        <f>IF(AND(ISNUMBER(D17),ISNUMBER(C17)),IFERROR(D17/C17-1,""),"")</f>
        <v/>
      </c>
      <c r="E18" s="24" t="n"/>
      <c r="F18" s="24" t="n"/>
      <c r="G18" s="24" t="n"/>
      <c r="H18" s="24" t="n"/>
      <c r="I18" s="24">
        <f>IF(AND(ISNUMBER(I17),ISNUMBER(D17)),IFERROR(I17/D17-1,""),"")</f>
        <v/>
      </c>
      <c r="J18" s="24">
        <f>IF(AND(ISNUMBER(J17),ISNUMBER(E17)),IFERROR(J17/E17-1,""),"")</f>
        <v/>
      </c>
      <c r="K18" s="24">
        <f>IF(AND(ISNUMBER(K17),ISNUMBER(F17)),IFERROR(K17/F17-1,""),"")</f>
        <v/>
      </c>
      <c r="L18" s="24">
        <f>IF(AND(ISNUMBER(L17),ISNUMBER(G17)),IFERROR(L17/G17-1,""),"")</f>
        <v/>
      </c>
      <c r="M18" s="24">
        <f>IF(AND(ISNUMBER(M17),ISNUMBER(H17)),IFERROR(M17/H17-1,""),"")</f>
        <v/>
      </c>
      <c r="N18" s="24">
        <f>IF(AND(ISNUMBER(N17),ISNUMBER(I17)),IFERROR(N17/I17-1,""),"")</f>
        <v/>
      </c>
      <c r="O18" s="24">
        <f>IF(AND(ISNUMBER(O17),ISNUMBER(J17)),IFERROR(O17/J17-1,""),"")</f>
        <v/>
      </c>
      <c r="P18" s="24">
        <f>IF(AND(ISNUMBER(P17),ISNUMBER(K17)),IFERROR(P17/K17-1,""),"")</f>
        <v/>
      </c>
      <c r="Q18" s="24">
        <f>IF(AND(ISNUMBER(Q17),ISNUMBER(L17)),IFERROR(Q17/L17-1,""),"")</f>
        <v/>
      </c>
      <c r="R18" s="24">
        <f>IF(AND(ISNUMBER(R17),ISNUMBER(M17)),IFERROR(R17/M17-1,""),"")</f>
        <v/>
      </c>
      <c r="S18" s="24">
        <f>IF(AND(ISNUMBER(S17),ISNUMBER(N17)),IFERROR(S17/N17-1,""),"")</f>
        <v/>
      </c>
      <c r="T18" s="24">
        <f>IF(AND(ISNUMBER(T17),ISNUMBER(O17)),IFERROR(T17/O17-1,""),"")</f>
        <v/>
      </c>
      <c r="U18" s="24">
        <f>IF(AND(ISNUMBER(U17),ISNUMBER(P17)),IFERROR(U17/P17-1,""),"")</f>
        <v/>
      </c>
      <c r="V18" s="24">
        <f>IF(AND(ISNUMBER(V17),ISNUMBER(Q17)),IFERROR(V17/Q17-1,""),"")</f>
        <v/>
      </c>
      <c r="W18" s="24">
        <f>IF(AND(ISNUMBER(W17),ISNUMBER(R17)),IFERROR(W17/R17-1,""),"")</f>
        <v/>
      </c>
      <c r="X18" s="24">
        <f>IF(AND(ISNUMBER(X17),ISNUMBER(S17)),IFERROR(X17/S17-1,""),"")</f>
        <v/>
      </c>
      <c r="Y18" s="24">
        <f>IF(AND(ISNUMBER(Y17),ISNUMBER(T17)),IFERROR(Y17/T17-1,""),"")</f>
        <v/>
      </c>
      <c r="Z18" s="24">
        <f>IF(AND(ISNUMBER(Z17),ISNUMBER(U17)),IFERROR(Z17/U17-1,""),"")</f>
        <v/>
      </c>
      <c r="AA18" s="24">
        <f>IF(AND(ISNUMBER(AA17),ISNUMBER(V17)),IFERROR(AA17/V17-1,""),"")</f>
        <v/>
      </c>
      <c r="AB18" s="24">
        <f>IF(AND(ISNUMBER(AB17),ISNUMBER(W17)),IFERROR(AB17/W17-1,""),"")</f>
        <v/>
      </c>
      <c r="AC18" s="24">
        <f>IF(AND(ISNUMBER(AC17),ISNUMBER(X17)),IFERROR(AC17/X17-1,""),"")</f>
        <v/>
      </c>
      <c r="AD18" s="24">
        <f>IF(AND(ISNUMBER(AD17),ISNUMBER(Y17)),IFERROR(AD17/Y17-1,""),"")</f>
        <v/>
      </c>
      <c r="AE18" s="24">
        <f>IF(AND(ISNUMBER(AE17),ISNUMBER(Z17)),IFERROR(AE17/Z17-1,""),"")</f>
        <v/>
      </c>
      <c r="AF18" s="24">
        <f>IF(AND(ISNUMBER(AF17),ISNUMBER(AA17)),IFERROR(AF17/AA17-1,""),"")</f>
        <v/>
      </c>
      <c r="AG18" s="24">
        <f>IF(AND(ISNUMBER(AG17),ISNUMBER(AB17)),IFERROR(AG17/AB17-1,""),"")</f>
        <v/>
      </c>
      <c r="AH18" s="24">
        <f>IF(AND(ISNUMBER(AH17),ISNUMBER(AC17)),IFERROR(AH17/AC17-1,""),"")</f>
        <v/>
      </c>
      <c r="AI18" s="24">
        <f>IF(AND(ISNUMBER(AI17),ISNUMBER(AD17)),IFERROR(AI17/AD17-1,""),"")</f>
        <v/>
      </c>
      <c r="AJ18" s="24">
        <f>IF(AND(ISNUMBER(AJ17),ISNUMBER(AE17)),IFERROR(AJ17/AE17-1,""),"")</f>
        <v/>
      </c>
      <c r="AK18" s="24">
        <f>IF(AND(ISNUMBER(AK17),ISNUMBER(AF17)),IFERROR(AK17/AF17-1,""),"")</f>
        <v/>
      </c>
      <c r="AL18" s="24">
        <f>IF(AND(ISNUMBER(AL17),ISNUMBER(AG17)),IFERROR(AL17/AG17-1,""),"")</f>
        <v/>
      </c>
      <c r="AM18" s="24">
        <f>IF(AND(ISNUMBER(AM17),ISNUMBER(AH17)),IFERROR(AM17/AH17-1,""),"")</f>
        <v/>
      </c>
      <c r="AN18" s="24">
        <f>IF(AND(ISNUMBER(AN17),ISNUMBER(AI17)),IFERROR(AN17/AI17-1,""),"")</f>
        <v/>
      </c>
      <c r="AO18" s="24">
        <f>IF(AND(ISNUMBER(AO17),ISNUMBER(AJ17)),IFERROR(AO17/AJ17-1,""),"")</f>
        <v/>
      </c>
      <c r="AP18" s="24">
        <f>IF(AND(ISNUMBER(AP17),ISNUMBER(AK17)),IFERROR(AP17/AK17-1,""),"")</f>
        <v/>
      </c>
      <c r="AQ18" s="24">
        <f>IF(AND(ISNUMBER(AQ17),ISNUMBER(AL17)),IFERROR(AQ17/AL17-1,""),"")</f>
        <v/>
      </c>
      <c r="AR18" s="24">
        <f>IF(AND(ISNUMBER(AR17),ISNUMBER(AM17)),IFERROR(AR17/AM17-1,""),"")</f>
        <v/>
      </c>
      <c r="AS18" s="24">
        <f>IF(AND(ISNUMBER(AS17),ISNUMBER(AN17)),IFERROR(AS17/AN17-1,""),"")</f>
        <v/>
      </c>
      <c r="AT18" s="24">
        <f>IF(AND(ISNUMBER(AT17),ISNUMBER(AO17)),IFERROR(AT17/AO17-1,""),"")</f>
        <v/>
      </c>
      <c r="AU18" s="25">
        <f>IFERROR(AU17/AP17-1,"")</f>
        <v/>
      </c>
      <c r="AV18" s="25">
        <f>IFERROR(AV17/AQ17-1,"")</f>
        <v/>
      </c>
      <c r="AW18" s="25">
        <f>IFERROR(AW17/AR17-1,"")</f>
        <v/>
      </c>
      <c r="AX18" s="32" t="n">
        <v>0.02</v>
      </c>
      <c r="AY18" s="32" t="n">
        <v>0.02</v>
      </c>
      <c r="AZ18" s="32" t="n">
        <v>0.02</v>
      </c>
      <c r="BA18" s="32" t="n">
        <v>0.02</v>
      </c>
      <c r="BB18" s="19" t="inlineStr">
        <is>
          <t>2027E+ input: +2.0% p.a. (pricing / mix; Q2/26 +4.9% incl. FX).</t>
        </is>
      </c>
      <c r="BJ18" s="27" t="inlineStr">
        <is>
          <t xml:space="preserve">  2H/26 share repurchases ($m)</t>
        </is>
      </c>
      <c r="BK18" s="28" t="n">
        <v>3000</v>
      </c>
      <c r="BL18" s="28" t="n">
        <v>1500</v>
      </c>
      <c r="BM18" s="28" t="n">
        <v>500</v>
      </c>
      <c r="BN18" s="13" t="inlineStr">
        <is>
          <t>1H/26 $3.5bn (Q1 $3.0bn, Q2 $0.5bn after the Delivery Hero announcement).</t>
        </is>
      </c>
    </row>
    <row r="19">
      <c r="B19" s="16" t="inlineStr">
        <is>
          <t>Gross Bookings — Uber standalone (Mobility + Delivery + Freight + Other Bets)</t>
        </is>
      </c>
      <c r="C19" s="36">
        <f>N(C24)+N(C36)+N(C48)+N(C55)+N(C58)</f>
        <v/>
      </c>
      <c r="D19" s="36">
        <f>N(D24)+N(D36)+N(D48)+N(D55)+N(D58)</f>
        <v/>
      </c>
      <c r="E19" s="36">
        <f>N(E24)+N(E36)+N(E48)+N(E55)+N(E58)</f>
        <v/>
      </c>
      <c r="F19" s="36">
        <f>N(F24)+N(F36)+N(F48)+N(F55)+N(F58)</f>
        <v/>
      </c>
      <c r="G19" s="36">
        <f>N(G24)+N(G36)+N(G48)+N(G55)+N(G58)</f>
        <v/>
      </c>
      <c r="H19" s="36">
        <f>N(H24)+N(H36)+N(H48)+N(H55)+N(H58)</f>
        <v/>
      </c>
      <c r="I19" s="36">
        <f>N(I24)+N(I36)+N(I48)+N(I55)+N(I58)</f>
        <v/>
      </c>
      <c r="J19" s="36">
        <f>N(J24)+N(J36)+N(J48)+N(J55)+N(J58)</f>
        <v/>
      </c>
      <c r="K19" s="36">
        <f>N(K24)+N(K36)+N(K48)+N(K55)+N(K58)</f>
        <v/>
      </c>
      <c r="L19" s="36">
        <f>N(L24)+N(L36)+N(L48)+N(L55)+N(L58)</f>
        <v/>
      </c>
      <c r="M19" s="36">
        <f>N(M24)+N(M36)+N(M48)+N(M55)+N(M58)</f>
        <v/>
      </c>
      <c r="N19" s="36">
        <f>N(N24)+N(N36)+N(N48)+N(N55)+N(N58)</f>
        <v/>
      </c>
      <c r="O19" s="36">
        <f>N(O24)+N(O36)+N(O48)+N(O55)+N(O58)</f>
        <v/>
      </c>
      <c r="P19" s="36">
        <f>N(P24)+N(P36)+N(P48)+N(P55)+N(P58)</f>
        <v/>
      </c>
      <c r="Q19" s="36">
        <f>N(Q24)+N(Q36)+N(Q48)+N(Q55)+N(Q58)</f>
        <v/>
      </c>
      <c r="R19" s="36">
        <f>N(R24)+N(R36)+N(R48)+N(R55)+N(R58)</f>
        <v/>
      </c>
      <c r="S19" s="36">
        <f>N(S24)+N(S36)+N(S48)+N(S55)+N(S58)</f>
        <v/>
      </c>
      <c r="T19" s="36">
        <f>N(T24)+N(T36)+N(T48)+N(T55)+N(T58)</f>
        <v/>
      </c>
      <c r="U19" s="36">
        <f>N(U24)+N(U36)+N(U48)+N(U55)+N(U58)</f>
        <v/>
      </c>
      <c r="V19" s="36">
        <f>N(V24)+N(V36)+N(V48)+N(V55)+N(V58)</f>
        <v/>
      </c>
      <c r="W19" s="36">
        <f>N(W24)+N(W36)+N(W48)+N(W55)+N(W58)</f>
        <v/>
      </c>
      <c r="X19" s="36">
        <f>N(X24)+N(X36)+N(X48)+N(X55)+N(X58)</f>
        <v/>
      </c>
      <c r="Y19" s="36">
        <f>N(Y24)+N(Y36)+N(Y48)+N(Y55)+N(Y58)</f>
        <v/>
      </c>
      <c r="Z19" s="36">
        <f>N(Z24)+N(Z36)+N(Z48)+N(Z55)+N(Z58)</f>
        <v/>
      </c>
      <c r="AA19" s="36">
        <f>N(AA24)+N(AA36)+N(AA48)+N(AA55)+N(AA58)</f>
        <v/>
      </c>
      <c r="AB19" s="36">
        <f>N(AB24)+N(AB36)+N(AB48)+N(AB55)+N(AB58)</f>
        <v/>
      </c>
      <c r="AC19" s="36">
        <f>N(AC24)+N(AC36)+N(AC48)+N(AC55)+N(AC58)</f>
        <v/>
      </c>
      <c r="AD19" s="36">
        <f>N(AD24)+N(AD36)+N(AD48)+N(AD55)+N(AD58)</f>
        <v/>
      </c>
      <c r="AE19" s="36">
        <f>N(AE24)+N(AE36)+N(AE48)+N(AE55)+N(AE58)</f>
        <v/>
      </c>
      <c r="AF19" s="36">
        <f>N(AF24)+N(AF36)+N(AF48)+N(AF55)+N(AF58)</f>
        <v/>
      </c>
      <c r="AG19" s="36">
        <f>N(AG24)+N(AG36)+N(AG48)+N(AG55)+N(AG58)</f>
        <v/>
      </c>
      <c r="AH19" s="36">
        <f>N(AH24)+N(AH36)+N(AH48)+N(AH55)+N(AH58)</f>
        <v/>
      </c>
      <c r="AI19" s="36">
        <f>N(AI24)+N(AI36)+N(AI48)+N(AI55)+N(AI58)</f>
        <v/>
      </c>
      <c r="AJ19" s="36">
        <f>N(AJ24)+N(AJ36)+N(AJ48)+N(AJ55)+N(AJ58)</f>
        <v/>
      </c>
      <c r="AK19" s="36">
        <f>N(AK24)+N(AK36)+N(AK48)+N(AK55)+N(AK58)</f>
        <v/>
      </c>
      <c r="AL19" s="36">
        <f>N(AL24)+N(AL36)+N(AL48)+N(AL55)+N(AL58)</f>
        <v/>
      </c>
      <c r="AM19" s="36">
        <f>N(AM24)+N(AM36)+N(AM48)+N(AM55)+N(AM58)</f>
        <v/>
      </c>
      <c r="AN19" s="36">
        <f>N(AN24)+N(AN36)+N(AN48)+N(AN55)+N(AN58)</f>
        <v/>
      </c>
      <c r="AO19" s="36">
        <f>N(AO24)+N(AO36)+N(AO48)+N(AO55)+N(AO58)</f>
        <v/>
      </c>
      <c r="AP19" s="36">
        <f>N(AP24)+N(AP36)+N(AP48)+N(AP55)+N(AP58)</f>
        <v/>
      </c>
      <c r="AQ19" s="36">
        <f>N(AQ24)+N(AQ36)+N(AQ48)+N(AQ55)+N(AQ58)</f>
        <v/>
      </c>
      <c r="AR19" s="36">
        <f>N(AR24)+N(AR36)+N(AR48)+N(AR55)+N(AR58)</f>
        <v/>
      </c>
      <c r="AS19" s="36">
        <f>N(AS24)+N(AS36)+N(AS48)+N(AS55)+N(AS58)</f>
        <v/>
      </c>
      <c r="AT19" s="36">
        <f>N(AT24)+N(AT36)+N(AT48)+N(AT55)+N(AT58)</f>
        <v/>
      </c>
      <c r="AU19" s="18">
        <f>N(AU24)+N(AU36)+N(AU48)</f>
        <v/>
      </c>
      <c r="AV19" s="18">
        <f>N(AV24)+N(AV36)+N(AV48)</f>
        <v/>
      </c>
      <c r="AW19" s="18">
        <f>N(AW24)+N(AW36)+N(AW48)</f>
        <v/>
      </c>
      <c r="AX19" s="18">
        <f>N(AX24)+N(AX36)+N(AX48)</f>
        <v/>
      </c>
      <c r="AY19" s="18">
        <f>N(AY24)+N(AY36)+N(AY48)</f>
        <v/>
      </c>
      <c r="AZ19" s="18">
        <f>N(AZ24)+N(AZ36)+N(AZ48)</f>
        <v/>
      </c>
      <c r="BA19" s="18">
        <f>N(BA24)+N(BA36)+N(BA48)</f>
        <v/>
      </c>
      <c r="BB19" s="26" t="n"/>
      <c r="BD19" s="20">
        <f>IFERROR((BA19/AR19)^(1/5)-1,"")</f>
        <v/>
      </c>
      <c r="BE19" s="20">
        <f>IFERROR((AR19/S19)^(1/5)-1,"")</f>
        <v/>
      </c>
      <c r="BF19" s="20">
        <f>IFERROR((AR19/I19)^(1/7)-1,"")</f>
        <v/>
      </c>
      <c r="BG19" s="20">
        <f>IFERROR((AR19/C19)^(1/9)-1,"")</f>
        <v/>
      </c>
      <c r="BJ19" s="27" t="inlineStr">
        <is>
          <t xml:space="preserve">  Delivery Hero consolidation switch (1 = on, 0 = Uber standalone)</t>
        </is>
      </c>
      <c r="BK19" s="37">
        <f>BL19</f>
        <v/>
      </c>
      <c r="BL19" s="28" t="n">
        <v>1</v>
      </c>
      <c r="BM19" s="37">
        <f>BL19</f>
        <v/>
      </c>
      <c r="BN19" s="13" t="inlineStr">
        <is>
          <t>All scenarios. 0 removes the deal (no consolidation, no consideration).</t>
        </is>
      </c>
    </row>
    <row r="20">
      <c r="B20" s="23" t="inlineStr">
        <is>
          <t xml:space="preserve">  Gross Bookings y/y % (reported)</t>
        </is>
      </c>
      <c r="C20" s="24" t="n"/>
      <c r="D20" s="24">
        <f>IF(AND(ISNUMBER(D19),ISNUMBER(C19)),IFERROR(D19/C19-1,""),"")</f>
        <v/>
      </c>
      <c r="E20" s="24" t="n"/>
      <c r="F20" s="24" t="n"/>
      <c r="G20" s="24" t="n"/>
      <c r="H20" s="24" t="n"/>
      <c r="I20" s="24">
        <f>IF(AND(ISNUMBER(I19),ISNUMBER(D19)),IFERROR(I19/D19-1,""),"")</f>
        <v/>
      </c>
      <c r="J20" s="24">
        <f>IF(AND(ISNUMBER(J19),ISNUMBER(E19)),IFERROR(J19/E19-1,""),"")</f>
        <v/>
      </c>
      <c r="K20" s="24">
        <f>IF(AND(ISNUMBER(K19),ISNUMBER(F19)),IFERROR(K19/F19-1,""),"")</f>
        <v/>
      </c>
      <c r="L20" s="24">
        <f>IF(AND(ISNUMBER(L19),ISNUMBER(G19)),IFERROR(L19/G19-1,""),"")</f>
        <v/>
      </c>
      <c r="M20" s="24">
        <f>IF(AND(ISNUMBER(M19),ISNUMBER(H19)),IFERROR(M19/H19-1,""),"")</f>
        <v/>
      </c>
      <c r="N20" s="24">
        <f>IF(AND(ISNUMBER(N19),ISNUMBER(I19)),IFERROR(N19/I19-1,""),"")</f>
        <v/>
      </c>
      <c r="O20" s="24">
        <f>IF(AND(ISNUMBER(O19),ISNUMBER(J19)),IFERROR(O19/J19-1,""),"")</f>
        <v/>
      </c>
      <c r="P20" s="24">
        <f>IF(AND(ISNUMBER(P19),ISNUMBER(K19)),IFERROR(P19/K19-1,""),"")</f>
        <v/>
      </c>
      <c r="Q20" s="24">
        <f>IF(AND(ISNUMBER(Q19),ISNUMBER(L19)),IFERROR(Q19/L19-1,""),"")</f>
        <v/>
      </c>
      <c r="R20" s="24">
        <f>IF(AND(ISNUMBER(R19),ISNUMBER(M19)),IFERROR(R19/M19-1,""),"")</f>
        <v/>
      </c>
      <c r="S20" s="24">
        <f>IF(AND(ISNUMBER(S19),ISNUMBER(N19)),IFERROR(S19/N19-1,""),"")</f>
        <v/>
      </c>
      <c r="T20" s="24">
        <f>IF(AND(ISNUMBER(T19),ISNUMBER(O19)),IFERROR(T19/O19-1,""),"")</f>
        <v/>
      </c>
      <c r="U20" s="24">
        <f>IF(AND(ISNUMBER(U19),ISNUMBER(P19)),IFERROR(U19/P19-1,""),"")</f>
        <v/>
      </c>
      <c r="V20" s="24">
        <f>IF(AND(ISNUMBER(V19),ISNUMBER(Q19)),IFERROR(V19/Q19-1,""),"")</f>
        <v/>
      </c>
      <c r="W20" s="24">
        <f>IF(AND(ISNUMBER(W19),ISNUMBER(R19)),IFERROR(W19/R19-1,""),"")</f>
        <v/>
      </c>
      <c r="X20" s="24">
        <f>IF(AND(ISNUMBER(X19),ISNUMBER(S19)),IFERROR(X19/S19-1,""),"")</f>
        <v/>
      </c>
      <c r="Y20" s="24">
        <f>IF(AND(ISNUMBER(Y19),ISNUMBER(T19)),IFERROR(Y19/T19-1,""),"")</f>
        <v/>
      </c>
      <c r="Z20" s="24">
        <f>IF(AND(ISNUMBER(Z19),ISNUMBER(U19)),IFERROR(Z19/U19-1,""),"")</f>
        <v/>
      </c>
      <c r="AA20" s="24">
        <f>IF(AND(ISNUMBER(AA19),ISNUMBER(V19)),IFERROR(AA19/V19-1,""),"")</f>
        <v/>
      </c>
      <c r="AB20" s="24">
        <f>IF(AND(ISNUMBER(AB19),ISNUMBER(W19)),IFERROR(AB19/W19-1,""),"")</f>
        <v/>
      </c>
      <c r="AC20" s="24">
        <f>IF(AND(ISNUMBER(AC19),ISNUMBER(X19)),IFERROR(AC19/X19-1,""),"")</f>
        <v/>
      </c>
      <c r="AD20" s="24">
        <f>IF(AND(ISNUMBER(AD19),ISNUMBER(Y19)),IFERROR(AD19/Y19-1,""),"")</f>
        <v/>
      </c>
      <c r="AE20" s="24">
        <f>IF(AND(ISNUMBER(AE19),ISNUMBER(Z19)),IFERROR(AE19/Z19-1,""),"")</f>
        <v/>
      </c>
      <c r="AF20" s="24">
        <f>IF(AND(ISNUMBER(AF19),ISNUMBER(AA19)),IFERROR(AF19/AA19-1,""),"")</f>
        <v/>
      </c>
      <c r="AG20" s="24">
        <f>IF(AND(ISNUMBER(AG19),ISNUMBER(AB19)),IFERROR(AG19/AB19-1,""),"")</f>
        <v/>
      </c>
      <c r="AH20" s="24">
        <f>IF(AND(ISNUMBER(AH19),ISNUMBER(AC19)),IFERROR(AH19/AC19-1,""),"")</f>
        <v/>
      </c>
      <c r="AI20" s="24">
        <f>IF(AND(ISNUMBER(AI19),ISNUMBER(AD19)),IFERROR(AI19/AD19-1,""),"")</f>
        <v/>
      </c>
      <c r="AJ20" s="24">
        <f>IF(AND(ISNUMBER(AJ19),ISNUMBER(AE19)),IFERROR(AJ19/AE19-1,""),"")</f>
        <v/>
      </c>
      <c r="AK20" s="24">
        <f>IF(AND(ISNUMBER(AK19),ISNUMBER(AF19)),IFERROR(AK19/AF19-1,""),"")</f>
        <v/>
      </c>
      <c r="AL20" s="24">
        <f>IF(AND(ISNUMBER(AL19),ISNUMBER(AG19)),IFERROR(AL19/AG19-1,""),"")</f>
        <v/>
      </c>
      <c r="AM20" s="24">
        <f>IF(AND(ISNUMBER(AM19),ISNUMBER(AH19)),IFERROR(AM19/AH19-1,""),"")</f>
        <v/>
      </c>
      <c r="AN20" s="24">
        <f>IF(AND(ISNUMBER(AN19),ISNUMBER(AI19)),IFERROR(AN19/AI19-1,""),"")</f>
        <v/>
      </c>
      <c r="AO20" s="24">
        <f>IF(AND(ISNUMBER(AO19),ISNUMBER(AJ19)),IFERROR(AO19/AJ19-1,""),"")</f>
        <v/>
      </c>
      <c r="AP20" s="24">
        <f>IF(AND(ISNUMBER(AP19),ISNUMBER(AK19)),IFERROR(AP19/AK19-1,""),"")</f>
        <v/>
      </c>
      <c r="AQ20" s="24">
        <f>IF(AND(ISNUMBER(AQ19),ISNUMBER(AL19)),IFERROR(AQ19/AL19-1,""),"")</f>
        <v/>
      </c>
      <c r="AR20" s="24">
        <f>IF(AND(ISNUMBER(AR19),ISNUMBER(AM19)),IFERROR(AR19/AM19-1,""),"")</f>
        <v/>
      </c>
      <c r="AS20" s="24">
        <f>IF(AND(ISNUMBER(AS19),ISNUMBER(AN19)),IFERROR(AS19/AN19-1,""),"")</f>
        <v/>
      </c>
      <c r="AT20" s="24">
        <f>IF(AND(ISNUMBER(AT19),ISNUMBER(AO19)),IFERROR(AT19/AO19-1,""),"")</f>
        <v/>
      </c>
      <c r="AU20" s="25">
        <f>IFERROR(AU19/AP19-1,"")</f>
        <v/>
      </c>
      <c r="AV20" s="25">
        <f>IFERROR(AV19/AQ19-1,"")</f>
        <v/>
      </c>
      <c r="AW20" s="25">
        <f>IFERROR(AW19/AR19-1,"")</f>
        <v/>
      </c>
      <c r="AX20" s="25">
        <f>IFERROR(AX19/AW19-1,"")</f>
        <v/>
      </c>
      <c r="AY20" s="25">
        <f>IFERROR(AY19/AX19-1,"")</f>
        <v/>
      </c>
      <c r="AZ20" s="25">
        <f>IFERROR(AZ19/AY19-1,"")</f>
        <v/>
      </c>
      <c r="BA20" s="25">
        <f>IFERROR(BA19/AZ19-1,"")</f>
        <v/>
      </c>
      <c r="BB20" s="26" t="n"/>
      <c r="BJ20" s="27" t="inlineStr">
        <is>
          <t xml:space="preserve">  Delivery Hero: Uber ownership after the offer</t>
        </is>
      </c>
      <c r="BK20" s="33">
        <f>BL20</f>
        <v/>
      </c>
      <c r="BL20" s="34" t="n">
        <v>0.75</v>
      </c>
      <c r="BM20" s="33">
        <f>BL20</f>
        <v/>
      </c>
      <c r="BN20" s="13" t="inlineStr">
        <is>
          <t>Committed ~53% incl. Prosus; assumes ~half of the free float tenders.</t>
        </is>
      </c>
    </row>
    <row r="21">
      <c r="B21" s="38" t="inlineStr">
        <is>
          <t xml:space="preserve">  Memo: Gross Bookings y/y % at constant currency (company)</t>
        </is>
      </c>
      <c r="C21" s="39" t="n"/>
      <c r="D21" s="39" t="n"/>
      <c r="E21" s="39" t="n"/>
      <c r="F21" s="39" t="n"/>
      <c r="G21" s="39" t="n"/>
      <c r="H21" s="39" t="n"/>
      <c r="I21" s="39" t="n"/>
      <c r="J21" s="40" t="n">
        <v>0.41</v>
      </c>
      <c r="K21" s="40" t="n">
        <v>0.37</v>
      </c>
      <c r="L21" s="40" t="n">
        <v>0.32</v>
      </c>
      <c r="M21" s="40" t="n">
        <v>0.3</v>
      </c>
      <c r="N21" s="40" t="n">
        <v>0.35</v>
      </c>
      <c r="O21" s="40" t="n">
        <v>0.1</v>
      </c>
      <c r="P21" s="40" t="n">
        <v>-0.32</v>
      </c>
      <c r="Q21" s="40" t="n">
        <v>-0.08</v>
      </c>
      <c r="R21" s="40" t="n">
        <v>-0.04</v>
      </c>
      <c r="S21" s="40" t="n">
        <v>-0.09</v>
      </c>
      <c r="T21" s="40" t="n">
        <v>0.22</v>
      </c>
      <c r="U21" s="40" t="n">
        <v>1.04</v>
      </c>
      <c r="V21" s="40" t="n">
        <v>0.53</v>
      </c>
      <c r="W21" s="40" t="n">
        <v>0.5</v>
      </c>
      <c r="X21" s="40" t="n">
        <v>0.53</v>
      </c>
      <c r="Y21" s="40" t="n">
        <v>0.39</v>
      </c>
      <c r="Z21" s="40" t="n">
        <v>0.36</v>
      </c>
      <c r="AA21" s="40" t="n">
        <v>0.32</v>
      </c>
      <c r="AB21" s="40" t="n">
        <v>0.26</v>
      </c>
      <c r="AC21" s="40" t="n">
        <v>0.33</v>
      </c>
      <c r="AD21" s="40" t="n">
        <v>0.22</v>
      </c>
      <c r="AE21" s="40" t="n">
        <v>0.18</v>
      </c>
      <c r="AF21" s="40" t="n">
        <v>0.2</v>
      </c>
      <c r="AG21" s="40" t="n">
        <v>0.21</v>
      </c>
      <c r="AH21" s="40" t="n">
        <v>0.2</v>
      </c>
      <c r="AI21" s="40" t="n">
        <v>0.21</v>
      </c>
      <c r="AJ21" s="40" t="n">
        <v>0.21</v>
      </c>
      <c r="AK21" s="40" t="n">
        <v>0.2</v>
      </c>
      <c r="AL21" s="40" t="n">
        <v>0.21</v>
      </c>
      <c r="AM21" s="40" t="n">
        <v>0.21</v>
      </c>
      <c r="AN21" s="40" t="n">
        <v>0.18</v>
      </c>
      <c r="AO21" s="40" t="n">
        <v>0.18</v>
      </c>
      <c r="AP21" s="40" t="n">
        <v>0.21</v>
      </c>
      <c r="AQ21" s="40" t="n">
        <v>0.22</v>
      </c>
      <c r="AR21" s="40" t="n">
        <v>0.2</v>
      </c>
      <c r="AS21" s="40" t="n">
        <v>0.21</v>
      </c>
      <c r="AT21" s="40" t="n">
        <v>0.22</v>
      </c>
      <c r="AU21" s="25" t="n"/>
      <c r="AV21" s="25" t="n"/>
      <c r="AW21" s="25" t="n"/>
      <c r="AX21" s="25" t="n"/>
      <c r="AY21" s="25" t="n"/>
      <c r="AZ21" s="25" t="n"/>
      <c r="BA21" s="25" t="n"/>
      <c r="BB21" s="26" t="n"/>
      <c r="BJ21" s="27" t="inlineStr">
        <is>
          <t xml:space="preserve">  Delivery Hero run-rate synergies ($m)</t>
        </is>
      </c>
      <c r="BK21" s="37">
        <f>BL21</f>
        <v/>
      </c>
      <c r="BL21" s="28" t="n">
        <v>1200</v>
      </c>
      <c r="BM21" s="37">
        <f>BL21</f>
        <v/>
      </c>
      <c r="BN21" s="13" t="inlineStr">
        <is>
          <t>Deck: annualised synergies of over $1.2bn within 18 months of closing.</t>
        </is>
      </c>
    </row>
    <row r="22">
      <c r="BJ22" s="27" t="inlineStr">
        <is>
          <t xml:space="preserve">  Minimum net debt / Adjusted EBITDA (x) — buyback floor 2027E+</t>
        </is>
      </c>
      <c r="BK22" s="152" t="n">
        <v>0.5</v>
      </c>
      <c r="BL22" s="152" t="n">
        <v>0.25</v>
      </c>
      <c r="BM22" s="152" t="n">
        <v>0</v>
      </c>
      <c r="BN22" s="13" t="inlineStr">
        <is>
          <t>Uber: gross leverage &lt; 2x, investment grade.</t>
        </is>
      </c>
    </row>
    <row r="23">
      <c r="B23" s="14" t="inlineStr">
        <is>
          <t>Mobility (ride-hailing incl. Moto, Reserve, Uber for Business, AV partnerships; "Rides" 2019; Core Platform ridesharing 2016–18)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5" t="inlineStr">
        <is>
          <t>MOBILITY — modelling logic</t>
        </is>
      </c>
      <c r="BJ23" s="27" t="inlineStr">
        <is>
          <t xml:space="preserve">  Minimum share repurchases % of FCF — 2027E+</t>
        </is>
      </c>
      <c r="BK23" s="34" t="n">
        <v>0.75</v>
      </c>
      <c r="BL23" s="34" t="n">
        <v>0.5</v>
      </c>
      <c r="BM23" s="34" t="n">
        <v>0.25</v>
      </c>
      <c r="BN23" s="13" t="inlineStr">
        <is>
          <t>Uber returned ~67% of FY25 FCF ($6.5bn of $9.8bn).</t>
        </is>
      </c>
    </row>
    <row r="24">
      <c r="B24" s="16" t="inlineStr">
        <is>
          <t xml:space="preserve">  Gross Bookings</t>
        </is>
      </c>
      <c r="C24" s="36" t="n"/>
      <c r="D24" s="17" t="n">
        <v>31384</v>
      </c>
      <c r="E24" s="17" t="n">
        <v>9380</v>
      </c>
      <c r="F24" s="17" t="n">
        <v>10166</v>
      </c>
      <c r="G24" s="17" t="n">
        <v>10488</v>
      </c>
      <c r="H24" s="17" t="n">
        <v>11479</v>
      </c>
      <c r="I24" s="17" t="n">
        <v>41513</v>
      </c>
      <c r="J24" s="17" t="n">
        <v>11446</v>
      </c>
      <c r="K24" s="17" t="n">
        <v>12188</v>
      </c>
      <c r="L24" s="17" t="n">
        <v>12554</v>
      </c>
      <c r="M24" s="17" t="n">
        <v>13512</v>
      </c>
      <c r="N24" s="36" t="n"/>
      <c r="O24" s="17" t="n">
        <v>10874</v>
      </c>
      <c r="P24" s="17" t="n">
        <v>3046</v>
      </c>
      <c r="Q24" s="17" t="n">
        <v>5905</v>
      </c>
      <c r="R24" s="17" t="n">
        <v>6789</v>
      </c>
      <c r="S24" s="36" t="n"/>
      <c r="T24" s="17" t="n">
        <v>6773</v>
      </c>
      <c r="U24" s="17" t="n">
        <v>8640</v>
      </c>
      <c r="V24" s="17" t="n">
        <v>9883</v>
      </c>
      <c r="W24" s="17" t="n">
        <v>11340</v>
      </c>
      <c r="X24" s="36" t="n"/>
      <c r="Y24" s="17" t="n">
        <v>10723</v>
      </c>
      <c r="Z24" s="17" t="n">
        <v>13364</v>
      </c>
      <c r="AA24" s="17" t="n">
        <v>13684</v>
      </c>
      <c r="AB24" s="17" t="n">
        <v>14894</v>
      </c>
      <c r="AC24" s="36" t="n"/>
      <c r="AD24" s="17" t="n">
        <v>14981</v>
      </c>
      <c r="AE24" s="17" t="n">
        <v>16728</v>
      </c>
      <c r="AF24" s="17" t="n">
        <v>17903</v>
      </c>
      <c r="AG24" s="17" t="n">
        <v>19285</v>
      </c>
      <c r="AH24" s="36" t="n"/>
      <c r="AI24" s="17" t="n">
        <v>18670</v>
      </c>
      <c r="AJ24" s="17" t="n">
        <v>20554</v>
      </c>
      <c r="AK24" s="17" t="n">
        <v>21002</v>
      </c>
      <c r="AL24" s="17" t="n">
        <v>22798</v>
      </c>
      <c r="AM24" s="36" t="n"/>
      <c r="AN24" s="17" t="n">
        <v>21182</v>
      </c>
      <c r="AO24" s="17" t="n">
        <v>23762</v>
      </c>
      <c r="AP24" s="17" t="n">
        <v>25111</v>
      </c>
      <c r="AQ24" s="17" t="n">
        <v>27442</v>
      </c>
      <c r="AR24" s="36" t="n"/>
      <c r="AS24" s="17" t="n">
        <v>26394</v>
      </c>
      <c r="AT24" s="17" t="n">
        <v>28988</v>
      </c>
      <c r="AU24" s="18">
        <f>AP24*(1+AU25)</f>
        <v/>
      </c>
      <c r="AV24" s="18">
        <f>AQ24*(1+AV25)</f>
        <v/>
      </c>
      <c r="AW24" s="18">
        <f>SUM(AS24,AT24,AU24,AV24)</f>
        <v/>
      </c>
      <c r="AX24" s="18">
        <f>AW24*(1+AX25)</f>
        <v/>
      </c>
      <c r="AY24" s="18">
        <f>AX24*(1+AY25)</f>
        <v/>
      </c>
      <c r="AZ24" s="18">
        <f>AY24*(1+AZ25)</f>
        <v/>
      </c>
      <c r="BA24" s="18">
        <f>AZ24*(1+BA25)</f>
        <v/>
      </c>
      <c r="BB24" s="19" t="inlineStr">
        <is>
          <t>Q3/Q4-26E: prior-year quarter × (1 + y/y growth). 2027E+: prior year × (1 + scenario lever MOB_GB).</t>
        </is>
      </c>
      <c r="BD24" s="20">
        <f>IFERROR((BA24/AR24)^(1/5)-1,"")</f>
        <v/>
      </c>
      <c r="BE24" s="20">
        <f>IFERROR((AR24/S24)^(1/5)-1,"")</f>
        <v/>
      </c>
      <c r="BF24" s="20">
        <f>IFERROR((AR24/I24)^(1/7)-1,"")</f>
        <v/>
      </c>
      <c r="BG24" s="20">
        <f>IFERROR((AR24/C24)^(1/9)-1,"")</f>
        <v/>
      </c>
    </row>
    <row r="25">
      <c r="B25" s="23" t="inlineStr">
        <is>
          <t xml:space="preserve">  Gross Bookings y/y %</t>
        </is>
      </c>
      <c r="C25" s="24" t="n"/>
      <c r="D25" s="24">
        <f>IF(AND(ISNUMBER(D24),ISNUMBER(C24)),IFERROR(D24/C24-1,""),"")</f>
        <v/>
      </c>
      <c r="E25" s="24" t="n"/>
      <c r="F25" s="24" t="n"/>
      <c r="G25" s="24" t="n"/>
      <c r="H25" s="24" t="n"/>
      <c r="I25" s="24">
        <f>IF(AND(ISNUMBER(I24),ISNUMBER(D24)),IFERROR(I24/D24-1,""),"")</f>
        <v/>
      </c>
      <c r="J25" s="24">
        <f>IF(AND(ISNUMBER(J24),ISNUMBER(E24)),IFERROR(J24/E24-1,""),"")</f>
        <v/>
      </c>
      <c r="K25" s="24">
        <f>IF(AND(ISNUMBER(K24),ISNUMBER(F24)),IFERROR(K24/F24-1,""),"")</f>
        <v/>
      </c>
      <c r="L25" s="24">
        <f>IF(AND(ISNUMBER(L24),ISNUMBER(G24)),IFERROR(L24/G24-1,""),"")</f>
        <v/>
      </c>
      <c r="M25" s="24">
        <f>IF(AND(ISNUMBER(M24),ISNUMBER(H24)),IFERROR(M24/H24-1,""),"")</f>
        <v/>
      </c>
      <c r="N25" s="24">
        <f>IF(AND(ISNUMBER(N24),ISNUMBER(I24)),IFERROR(N24/I24-1,""),"")</f>
        <v/>
      </c>
      <c r="O25" s="24">
        <f>IF(AND(ISNUMBER(O24),ISNUMBER(J24)),IFERROR(O24/J24-1,""),"")</f>
        <v/>
      </c>
      <c r="P25" s="24">
        <f>IF(AND(ISNUMBER(P24),ISNUMBER(K24)),IFERROR(P24/K24-1,""),"")</f>
        <v/>
      </c>
      <c r="Q25" s="24">
        <f>IF(AND(ISNUMBER(Q24),ISNUMBER(L24)),IFERROR(Q24/L24-1,""),"")</f>
        <v/>
      </c>
      <c r="R25" s="24">
        <f>IF(AND(ISNUMBER(R24),ISNUMBER(M24)),IFERROR(R24/M24-1,""),"")</f>
        <v/>
      </c>
      <c r="S25" s="24">
        <f>IF(AND(ISNUMBER(S24),ISNUMBER(N24)),IFERROR(S24/N24-1,""),"")</f>
        <v/>
      </c>
      <c r="T25" s="24">
        <f>IF(AND(ISNUMBER(T24),ISNUMBER(O24)),IFERROR(T24/O24-1,""),"")</f>
        <v/>
      </c>
      <c r="U25" s="24">
        <f>IF(AND(ISNUMBER(U24),ISNUMBER(P24)),IFERROR(U24/P24-1,""),"")</f>
        <v/>
      </c>
      <c r="V25" s="24">
        <f>IF(AND(ISNUMBER(V24),ISNUMBER(Q24)),IFERROR(V24/Q24-1,""),"")</f>
        <v/>
      </c>
      <c r="W25" s="24">
        <f>IF(AND(ISNUMBER(W24),ISNUMBER(R24)),IFERROR(W24/R24-1,""),"")</f>
        <v/>
      </c>
      <c r="X25" s="24">
        <f>IF(AND(ISNUMBER(X24),ISNUMBER(S24)),IFERROR(X24/S24-1,""),"")</f>
        <v/>
      </c>
      <c r="Y25" s="24">
        <f>IF(AND(ISNUMBER(Y24),ISNUMBER(T24)),IFERROR(Y24/T24-1,""),"")</f>
        <v/>
      </c>
      <c r="Z25" s="24">
        <f>IF(AND(ISNUMBER(Z24),ISNUMBER(U24)),IFERROR(Z24/U24-1,""),"")</f>
        <v/>
      </c>
      <c r="AA25" s="24">
        <f>IF(AND(ISNUMBER(AA24),ISNUMBER(V24)),IFERROR(AA24/V24-1,""),"")</f>
        <v/>
      </c>
      <c r="AB25" s="24">
        <f>IF(AND(ISNUMBER(AB24),ISNUMBER(W24)),IFERROR(AB24/W24-1,""),"")</f>
        <v/>
      </c>
      <c r="AC25" s="24">
        <f>IF(AND(ISNUMBER(AC24),ISNUMBER(X24)),IFERROR(AC24/X24-1,""),"")</f>
        <v/>
      </c>
      <c r="AD25" s="24">
        <f>IF(AND(ISNUMBER(AD24),ISNUMBER(Y24)),IFERROR(AD24/Y24-1,""),"")</f>
        <v/>
      </c>
      <c r="AE25" s="24">
        <f>IF(AND(ISNUMBER(AE24),ISNUMBER(Z24)),IFERROR(AE24/Z24-1,""),"")</f>
        <v/>
      </c>
      <c r="AF25" s="24">
        <f>IF(AND(ISNUMBER(AF24),ISNUMBER(AA24)),IFERROR(AF24/AA24-1,""),"")</f>
        <v/>
      </c>
      <c r="AG25" s="24">
        <f>IF(AND(ISNUMBER(AG24),ISNUMBER(AB24)),IFERROR(AG24/AB24-1,""),"")</f>
        <v/>
      </c>
      <c r="AH25" s="24">
        <f>IF(AND(ISNUMBER(AH24),ISNUMBER(AC24)),IFERROR(AH24/AC24-1,""),"")</f>
        <v/>
      </c>
      <c r="AI25" s="24">
        <f>IF(AND(ISNUMBER(AI24),ISNUMBER(AD24)),IFERROR(AI24/AD24-1,""),"")</f>
        <v/>
      </c>
      <c r="AJ25" s="24">
        <f>IF(AND(ISNUMBER(AJ24),ISNUMBER(AE24)),IFERROR(AJ24/AE24-1,""),"")</f>
        <v/>
      </c>
      <c r="AK25" s="24">
        <f>IF(AND(ISNUMBER(AK24),ISNUMBER(AF24)),IFERROR(AK24/AF24-1,""),"")</f>
        <v/>
      </c>
      <c r="AL25" s="24">
        <f>IF(AND(ISNUMBER(AL24),ISNUMBER(AG24)),IFERROR(AL24/AG24-1,""),"")</f>
        <v/>
      </c>
      <c r="AM25" s="24">
        <f>IF(AND(ISNUMBER(AM24),ISNUMBER(AH24)),IFERROR(AM24/AH24-1,""),"")</f>
        <v/>
      </c>
      <c r="AN25" s="24">
        <f>IF(AND(ISNUMBER(AN24),ISNUMBER(AI24)),IFERROR(AN24/AI24-1,""),"")</f>
        <v/>
      </c>
      <c r="AO25" s="24">
        <f>IF(AND(ISNUMBER(AO24),ISNUMBER(AJ24)),IFERROR(AO24/AJ24-1,""),"")</f>
        <v/>
      </c>
      <c r="AP25" s="24">
        <f>IF(AND(ISNUMBER(AP24),ISNUMBER(AK24)),IFERROR(AP24/AK24-1,""),"")</f>
        <v/>
      </c>
      <c r="AQ25" s="24">
        <f>IF(AND(ISNUMBER(AQ24),ISNUMBER(AL24)),IFERROR(AQ24/AL24-1,""),"")</f>
        <v/>
      </c>
      <c r="AR25" s="24">
        <f>IF(AND(ISNUMBER(AR24),ISNUMBER(AM24)),IFERROR(AR24/AM24-1,""),"")</f>
        <v/>
      </c>
      <c r="AS25" s="24">
        <f>IF(AND(ISNUMBER(AS24),ISNUMBER(AN24)),IFERROR(AS24/AN24-1,""),"")</f>
        <v/>
      </c>
      <c r="AT25" s="24">
        <f>IF(AND(ISNUMBER(AT24),ISNUMBER(AO24)),IFERROR(AT24/AO24-1,""),"")</f>
        <v/>
      </c>
      <c r="AU25" s="25">
        <f>$AT$25+$AU$114</f>
        <v/>
      </c>
      <c r="AV25" s="25">
        <f>$AT$25+$AU$114</f>
        <v/>
      </c>
      <c r="AW25" s="25">
        <f>IFERROR(AW24/AR24-1,"")</f>
        <v/>
      </c>
      <c r="AX25" s="25">
        <f>CHOOSE(MATCH($BB$2,{"Bull","Base","Bear"},0),$BK$26,$BL$26,$BM$26)</f>
        <v/>
      </c>
      <c r="AY25" s="25">
        <f>CHOOSE(MATCH($BB$2,{"Bull","Base","Bear"},0),$BK$27,$BL$27,$BM$27)</f>
        <v/>
      </c>
      <c r="AZ25" s="25">
        <f>CHOOSE(MATCH($BB$2,{"Bull","Base","Bear"},0),$BK$28,$BL$28,$BM$28)</f>
        <v/>
      </c>
      <c r="BA25" s="25">
        <f>CHOOSE(MATCH($BB$2,{"Bull","Base","Bear"},0),$BK$29,$BL$29,$BM$29)</f>
        <v/>
      </c>
      <c r="BB25" s="19" t="inlineStr">
        <is>
          <t>Q3/Q4-26E: Q2/26 y/y + outlook calibration Δ (Group block). 2027E–30E: scenario lever MOB_GB (table →).</t>
        </is>
      </c>
      <c r="BJ25" s="21" t="inlineStr">
        <is>
          <t>MOB_GB (Mobility Gross Bookings y/y)</t>
        </is>
      </c>
      <c r="BK25" s="153" t="n">
        <v>0.03</v>
      </c>
      <c r="BL25" s="22" t="inlineStr">
        <is>
          <t>Δ →</t>
        </is>
      </c>
      <c r="BM25" s="153" t="n">
        <v>-0.03</v>
      </c>
      <c r="BN25" s="13" t="inlineStr">
        <is>
          <t>FY25 +17%; Q2/26 +22% (+20% cc). AV partnerships, Moto, Reserve, new markets vs maturing US.</t>
        </is>
      </c>
    </row>
    <row r="26">
      <c r="B26" s="38" t="inlineStr">
        <is>
          <t xml:space="preserve">  Memo: Gross Bookings y/y % at constant currency (company)</t>
        </is>
      </c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40" t="n">
        <v>0.22</v>
      </c>
      <c r="M26" s="40" t="n">
        <v>0.2</v>
      </c>
      <c r="N26" s="39" t="n"/>
      <c r="O26" s="40" t="n">
        <v>-0.03</v>
      </c>
      <c r="P26" s="40" t="n">
        <v>-0.73</v>
      </c>
      <c r="Q26" s="40" t="n">
        <v>-0.5</v>
      </c>
      <c r="R26" s="40" t="n">
        <v>-0.47</v>
      </c>
      <c r="S26" s="39" t="n"/>
      <c r="T26" s="40" t="n">
        <v>-0.36</v>
      </c>
      <c r="U26" s="40" t="n">
        <v>1.74</v>
      </c>
      <c r="V26" s="40" t="n">
        <v>0.63</v>
      </c>
      <c r="W26" s="40" t="n">
        <v>0.67</v>
      </c>
      <c r="X26" s="39" t="n"/>
      <c r="Y26" s="40" t="n">
        <v>0.62</v>
      </c>
      <c r="Z26" s="40" t="n">
        <v>0.57</v>
      </c>
      <c r="AA26" s="40" t="n">
        <v>0.45</v>
      </c>
      <c r="AB26" s="40" t="n">
        <v>0.37</v>
      </c>
      <c r="AC26" s="39" t="n"/>
      <c r="AD26" s="40" t="n">
        <v>0.43</v>
      </c>
      <c r="AE26" s="40" t="n">
        <v>0.28</v>
      </c>
      <c r="AF26" s="40" t="n">
        <v>0.3</v>
      </c>
      <c r="AG26" s="40" t="n">
        <v>0.28</v>
      </c>
      <c r="AH26" s="39" t="n"/>
      <c r="AI26" s="40" t="n">
        <v>0.26</v>
      </c>
      <c r="AJ26" s="40" t="n">
        <v>0.27</v>
      </c>
      <c r="AK26" s="40" t="n">
        <v>0.24</v>
      </c>
      <c r="AL26" s="40" t="n">
        <v>0.24</v>
      </c>
      <c r="AM26" s="39" t="n"/>
      <c r="AN26" s="40" t="n">
        <v>0.2</v>
      </c>
      <c r="AO26" s="40" t="n">
        <v>0.18</v>
      </c>
      <c r="AP26" s="40" t="n">
        <v>0.19</v>
      </c>
      <c r="AQ26" s="40" t="n">
        <v>0.19</v>
      </c>
      <c r="AR26" s="39" t="n"/>
      <c r="AS26" s="40" t="n">
        <v>0.2</v>
      </c>
      <c r="AT26" s="40" t="n">
        <v>0.2</v>
      </c>
      <c r="AU26" s="25" t="n"/>
      <c r="AV26" s="25" t="n"/>
      <c r="AW26" s="25" t="n"/>
      <c r="AX26" s="25" t="n"/>
      <c r="AY26" s="25" t="n"/>
      <c r="AZ26" s="25" t="n"/>
      <c r="BA26" s="25" t="n"/>
      <c r="BB26" s="26" t="n"/>
      <c r="BJ26" s="27" t="inlineStr">
        <is>
          <t xml:space="preserve">  2027E</t>
        </is>
      </c>
      <c r="BK26" s="33">
        <f>BL26+$BK$25</f>
        <v/>
      </c>
      <c r="BL26" s="34" t="n">
        <v>0.16</v>
      </c>
      <c r="BM26" s="33">
        <f>BL26+$BM$25</f>
        <v/>
      </c>
    </row>
    <row r="27">
      <c r="B27" s="16" t="inlineStr">
        <is>
          <t xml:space="preserve">  Revenue</t>
        </is>
      </c>
      <c r="C27" s="17" t="n">
        <v>3535</v>
      </c>
      <c r="D27" s="17" t="n">
        <v>6888</v>
      </c>
      <c r="E27" s="17" t="n">
        <v>2180</v>
      </c>
      <c r="F27" s="17" t="n">
        <v>2291</v>
      </c>
      <c r="G27" s="17" t="n">
        <v>2425</v>
      </c>
      <c r="H27" s="17" t="n">
        <v>2400</v>
      </c>
      <c r="I27" s="17" t="n">
        <v>9437</v>
      </c>
      <c r="J27" s="17" t="n">
        <v>2418</v>
      </c>
      <c r="K27" s="17" t="n">
        <v>2376</v>
      </c>
      <c r="L27" s="17" t="n">
        <v>2895</v>
      </c>
      <c r="M27" s="17" t="n">
        <v>3056</v>
      </c>
      <c r="N27" s="17" t="n">
        <v>10745</v>
      </c>
      <c r="O27" s="17" t="n">
        <v>2467</v>
      </c>
      <c r="P27" s="17" t="n">
        <v>787</v>
      </c>
      <c r="Q27" s="17" t="n">
        <v>1364</v>
      </c>
      <c r="R27" s="17" t="n">
        <v>1471</v>
      </c>
      <c r="S27" s="36" t="n"/>
      <c r="T27" s="17" t="n">
        <v>853</v>
      </c>
      <c r="U27" s="17" t="n">
        <v>1618</v>
      </c>
      <c r="V27" s="17" t="n">
        <v>2205</v>
      </c>
      <c r="W27" s="17" t="n">
        <v>2278</v>
      </c>
      <c r="X27" s="36" t="n"/>
      <c r="Y27" s="17" t="n">
        <v>2518</v>
      </c>
      <c r="Z27" s="17" t="n">
        <v>3553</v>
      </c>
      <c r="AA27" s="17" t="n">
        <v>3822</v>
      </c>
      <c r="AB27" s="17" t="n">
        <v>4136</v>
      </c>
      <c r="AC27" s="36" t="n"/>
      <c r="AD27" s="17" t="n">
        <v>4330</v>
      </c>
      <c r="AE27" s="17" t="n">
        <v>4894</v>
      </c>
      <c r="AF27" s="17" t="n">
        <v>5071</v>
      </c>
      <c r="AG27" s="17" t="n">
        <v>5537</v>
      </c>
      <c r="AH27" s="36" t="n"/>
      <c r="AI27" s="17" t="n">
        <v>5633</v>
      </c>
      <c r="AJ27" s="17" t="n">
        <v>6134</v>
      </c>
      <c r="AK27" s="17" t="n">
        <v>6409</v>
      </c>
      <c r="AL27" s="17" t="n">
        <v>6911</v>
      </c>
      <c r="AM27" s="36" t="n"/>
      <c r="AN27" s="17" t="n">
        <v>6496</v>
      </c>
      <c r="AO27" s="17" t="n">
        <v>7288</v>
      </c>
      <c r="AP27" s="17" t="n">
        <v>7682</v>
      </c>
      <c r="AQ27" s="17" t="n">
        <v>8204</v>
      </c>
      <c r="AR27" s="36" t="n"/>
      <c r="AS27" s="17" t="n">
        <v>6798</v>
      </c>
      <c r="AT27" s="17" t="n">
        <v>7363</v>
      </c>
      <c r="AU27" s="18">
        <f>AU24*AU29</f>
        <v/>
      </c>
      <c r="AV27" s="18">
        <f>AV24*AV29</f>
        <v/>
      </c>
      <c r="AW27" s="18">
        <f>SUM(AS27,AT27,AU27,AV27)</f>
        <v/>
      </c>
      <c r="AX27" s="18">
        <f>AX24*AX29</f>
        <v/>
      </c>
      <c r="AY27" s="18">
        <f>AY24*AY29</f>
        <v/>
      </c>
      <c r="AZ27" s="18">
        <f>AZ24*AZ29</f>
        <v/>
      </c>
      <c r="BA27" s="18">
        <f>BA24*BA29</f>
        <v/>
      </c>
      <c r="BB27" s="26" t="n"/>
      <c r="BD27" s="20">
        <f>IFERROR((BA27/AR27)^(1/5)-1,"")</f>
        <v/>
      </c>
      <c r="BE27" s="20">
        <f>IFERROR((AR27/S27)^(1/5)-1,"")</f>
        <v/>
      </c>
      <c r="BF27" s="20">
        <f>IFERROR((AR27/I27)^(1/7)-1,"")</f>
        <v/>
      </c>
      <c r="BG27" s="20">
        <f>IFERROR((AR27/C27)^(1/9)-1,"")</f>
        <v/>
      </c>
      <c r="BJ27" s="27" t="inlineStr">
        <is>
          <t xml:space="preserve">  2028E</t>
        </is>
      </c>
      <c r="BK27" s="33">
        <f>BL27+$BK$25</f>
        <v/>
      </c>
      <c r="BL27" s="34" t="n">
        <v>0.15</v>
      </c>
      <c r="BM27" s="33">
        <f>BL27+$BM$25</f>
        <v/>
      </c>
    </row>
    <row r="28">
      <c r="B28" s="23" t="inlineStr">
        <is>
          <t xml:space="preserve">  Revenue y/y %</t>
        </is>
      </c>
      <c r="C28" s="24" t="n"/>
      <c r="D28" s="24">
        <f>IF(AND(ISNUMBER(D27),ISNUMBER(C27)),IFERROR(D27/C27-1,""),"")</f>
        <v/>
      </c>
      <c r="E28" s="24" t="n"/>
      <c r="F28" s="24" t="n"/>
      <c r="G28" s="24" t="n"/>
      <c r="H28" s="24" t="n"/>
      <c r="I28" s="24">
        <f>IF(AND(ISNUMBER(I27),ISNUMBER(D27)),IFERROR(I27/D27-1,""),"")</f>
        <v/>
      </c>
      <c r="J28" s="24">
        <f>IF(AND(ISNUMBER(J27),ISNUMBER(E27)),IFERROR(J27/E27-1,""),"")</f>
        <v/>
      </c>
      <c r="K28" s="24">
        <f>IF(AND(ISNUMBER(K27),ISNUMBER(F27)),IFERROR(K27/F27-1,""),"")</f>
        <v/>
      </c>
      <c r="L28" s="24">
        <f>IF(AND(ISNUMBER(L27),ISNUMBER(G27)),IFERROR(L27/G27-1,""),"")</f>
        <v/>
      </c>
      <c r="M28" s="24">
        <f>IF(AND(ISNUMBER(M27),ISNUMBER(H27)),IFERROR(M27/H27-1,""),"")</f>
        <v/>
      </c>
      <c r="N28" s="24">
        <f>IF(AND(ISNUMBER(N27),ISNUMBER(I27)),IFERROR(N27/I27-1,""),"")</f>
        <v/>
      </c>
      <c r="O28" s="24">
        <f>IF(AND(ISNUMBER(O27),ISNUMBER(J27)),IFERROR(O27/J27-1,""),"")</f>
        <v/>
      </c>
      <c r="P28" s="24">
        <f>IF(AND(ISNUMBER(P27),ISNUMBER(K27)),IFERROR(P27/K27-1,""),"")</f>
        <v/>
      </c>
      <c r="Q28" s="24">
        <f>IF(AND(ISNUMBER(Q27),ISNUMBER(L27)),IFERROR(Q27/L27-1,""),"")</f>
        <v/>
      </c>
      <c r="R28" s="24">
        <f>IF(AND(ISNUMBER(R27),ISNUMBER(M27)),IFERROR(R27/M27-1,""),"")</f>
        <v/>
      </c>
      <c r="S28" s="24">
        <f>IF(AND(ISNUMBER(S27),ISNUMBER(N27)),IFERROR(S27/N27-1,""),"")</f>
        <v/>
      </c>
      <c r="T28" s="24">
        <f>IF(AND(ISNUMBER(T27),ISNUMBER(O27)),IFERROR(T27/O27-1,""),"")</f>
        <v/>
      </c>
      <c r="U28" s="24">
        <f>IF(AND(ISNUMBER(U27),ISNUMBER(P27)),IFERROR(U27/P27-1,""),"")</f>
        <v/>
      </c>
      <c r="V28" s="24">
        <f>IF(AND(ISNUMBER(V27),ISNUMBER(Q27)),IFERROR(V27/Q27-1,""),"")</f>
        <v/>
      </c>
      <c r="W28" s="24">
        <f>IF(AND(ISNUMBER(W27),ISNUMBER(R27)),IFERROR(W27/R27-1,""),"")</f>
        <v/>
      </c>
      <c r="X28" s="24">
        <f>IF(AND(ISNUMBER(X27),ISNUMBER(S27)),IFERROR(X27/S27-1,""),"")</f>
        <v/>
      </c>
      <c r="Y28" s="24">
        <f>IF(AND(ISNUMBER(Y27),ISNUMBER(T27)),IFERROR(Y27/T27-1,""),"")</f>
        <v/>
      </c>
      <c r="Z28" s="24">
        <f>IF(AND(ISNUMBER(Z27),ISNUMBER(U27)),IFERROR(Z27/U27-1,""),"")</f>
        <v/>
      </c>
      <c r="AA28" s="24">
        <f>IF(AND(ISNUMBER(AA27),ISNUMBER(V27)),IFERROR(AA27/V27-1,""),"")</f>
        <v/>
      </c>
      <c r="AB28" s="24">
        <f>IF(AND(ISNUMBER(AB27),ISNUMBER(W27)),IFERROR(AB27/W27-1,""),"")</f>
        <v/>
      </c>
      <c r="AC28" s="24">
        <f>IF(AND(ISNUMBER(AC27),ISNUMBER(X27)),IFERROR(AC27/X27-1,""),"")</f>
        <v/>
      </c>
      <c r="AD28" s="24">
        <f>IF(AND(ISNUMBER(AD27),ISNUMBER(Y27)),IFERROR(AD27/Y27-1,""),"")</f>
        <v/>
      </c>
      <c r="AE28" s="24">
        <f>IF(AND(ISNUMBER(AE27),ISNUMBER(Z27)),IFERROR(AE27/Z27-1,""),"")</f>
        <v/>
      </c>
      <c r="AF28" s="24">
        <f>IF(AND(ISNUMBER(AF27),ISNUMBER(AA27)),IFERROR(AF27/AA27-1,""),"")</f>
        <v/>
      </c>
      <c r="AG28" s="24">
        <f>IF(AND(ISNUMBER(AG27),ISNUMBER(AB27)),IFERROR(AG27/AB27-1,""),"")</f>
        <v/>
      </c>
      <c r="AH28" s="24">
        <f>IF(AND(ISNUMBER(AH27),ISNUMBER(AC27)),IFERROR(AH27/AC27-1,""),"")</f>
        <v/>
      </c>
      <c r="AI28" s="24">
        <f>IF(AND(ISNUMBER(AI27),ISNUMBER(AD27)),IFERROR(AI27/AD27-1,""),"")</f>
        <v/>
      </c>
      <c r="AJ28" s="24">
        <f>IF(AND(ISNUMBER(AJ27),ISNUMBER(AE27)),IFERROR(AJ27/AE27-1,""),"")</f>
        <v/>
      </c>
      <c r="AK28" s="24">
        <f>IF(AND(ISNUMBER(AK27),ISNUMBER(AF27)),IFERROR(AK27/AF27-1,""),"")</f>
        <v/>
      </c>
      <c r="AL28" s="24">
        <f>IF(AND(ISNUMBER(AL27),ISNUMBER(AG27)),IFERROR(AL27/AG27-1,""),"")</f>
        <v/>
      </c>
      <c r="AM28" s="24">
        <f>IF(AND(ISNUMBER(AM27),ISNUMBER(AH27)),IFERROR(AM27/AH27-1,""),"")</f>
        <v/>
      </c>
      <c r="AN28" s="24">
        <f>IF(AND(ISNUMBER(AN27),ISNUMBER(AI27)),IFERROR(AN27/AI27-1,""),"")</f>
        <v/>
      </c>
      <c r="AO28" s="24">
        <f>IF(AND(ISNUMBER(AO27),ISNUMBER(AJ27)),IFERROR(AO27/AJ27-1,""),"")</f>
        <v/>
      </c>
      <c r="AP28" s="24">
        <f>IF(AND(ISNUMBER(AP27),ISNUMBER(AK27)),IFERROR(AP27/AK27-1,""),"")</f>
        <v/>
      </c>
      <c r="AQ28" s="24">
        <f>IF(AND(ISNUMBER(AQ27),ISNUMBER(AL27)),IFERROR(AQ27/AL27-1,""),"")</f>
        <v/>
      </c>
      <c r="AR28" s="24">
        <f>IF(AND(ISNUMBER(AR27),ISNUMBER(AM27)),IFERROR(AR27/AM27-1,""),"")</f>
        <v/>
      </c>
      <c r="AS28" s="24">
        <f>IF(AND(ISNUMBER(AS27),ISNUMBER(AN27)),IFERROR(AS27/AN27-1,""),"")</f>
        <v/>
      </c>
      <c r="AT28" s="24">
        <f>IF(AND(ISNUMBER(AT27),ISNUMBER(AO27)),IFERROR(AT27/AO27-1,""),"")</f>
        <v/>
      </c>
      <c r="AU28" s="25">
        <f>IFERROR(AU27/AP27-1,"")</f>
        <v/>
      </c>
      <c r="AV28" s="25">
        <f>IFERROR(AV27/AQ27-1,"")</f>
        <v/>
      </c>
      <c r="AW28" s="25">
        <f>IFERROR(AW27/AR27-1,"")</f>
        <v/>
      </c>
      <c r="AX28" s="25">
        <f>IFERROR(AX27/AW27-1,"")</f>
        <v/>
      </c>
      <c r="AY28" s="25">
        <f>IFERROR(AY27/AX27-1,"")</f>
        <v/>
      </c>
      <c r="AZ28" s="25">
        <f>IFERROR(AZ27/AY27-1,"")</f>
        <v/>
      </c>
      <c r="BA28" s="25">
        <f>IFERROR(BA27/AZ27-1,"")</f>
        <v/>
      </c>
      <c r="BB28" s="26" t="n"/>
      <c r="BJ28" s="27" t="inlineStr">
        <is>
          <t xml:space="preserve">  2029E</t>
        </is>
      </c>
      <c r="BK28" s="33">
        <f>BL28+$BK$25</f>
        <v/>
      </c>
      <c r="BL28" s="34" t="n">
        <v>0.14</v>
      </c>
      <c r="BM28" s="33">
        <f>BL28+$BM$25</f>
        <v/>
      </c>
    </row>
    <row r="29">
      <c r="B29" s="27" t="inlineStr">
        <is>
          <t xml:space="preserve">  Take rate — revenue ÷ Gross Bookings %</t>
        </is>
      </c>
      <c r="C29" s="39">
        <f>IF(AND(ISNUMBER(C27),ISNUMBER(C24)),IFERROR(C27/C24,""),"")</f>
        <v/>
      </c>
      <c r="D29" s="39">
        <f>IF(AND(ISNUMBER(D27),ISNUMBER(D24)),IFERROR(D27/D24,""),"")</f>
        <v/>
      </c>
      <c r="E29" s="39">
        <f>IF(AND(ISNUMBER(E27),ISNUMBER(E24)),IFERROR(E27/E24,""),"")</f>
        <v/>
      </c>
      <c r="F29" s="39">
        <f>IF(AND(ISNUMBER(F27),ISNUMBER(F24)),IFERROR(F27/F24,""),"")</f>
        <v/>
      </c>
      <c r="G29" s="39">
        <f>IF(AND(ISNUMBER(G27),ISNUMBER(G24)),IFERROR(G27/G24,""),"")</f>
        <v/>
      </c>
      <c r="H29" s="39">
        <f>IF(AND(ISNUMBER(H27),ISNUMBER(H24)),IFERROR(H27/H24,""),"")</f>
        <v/>
      </c>
      <c r="I29" s="39">
        <f>IF(AND(ISNUMBER(I27),ISNUMBER(I24)),IFERROR(I27/I24,""),"")</f>
        <v/>
      </c>
      <c r="J29" s="39">
        <f>IF(AND(ISNUMBER(J27),ISNUMBER(J24)),IFERROR(J27/J24,""),"")</f>
        <v/>
      </c>
      <c r="K29" s="39">
        <f>IF(AND(ISNUMBER(K27),ISNUMBER(K24)),IFERROR(K27/K24,""),"")</f>
        <v/>
      </c>
      <c r="L29" s="39">
        <f>IF(AND(ISNUMBER(L27),ISNUMBER(L24)),IFERROR(L27/L24,""),"")</f>
        <v/>
      </c>
      <c r="M29" s="39">
        <f>IF(AND(ISNUMBER(M27),ISNUMBER(M24)),IFERROR(M27/M24,""),"")</f>
        <v/>
      </c>
      <c r="N29" s="39">
        <f>IF(AND(ISNUMBER(N27),ISNUMBER(N24)),IFERROR(N27/N24,""),"")</f>
        <v/>
      </c>
      <c r="O29" s="39">
        <f>IF(AND(ISNUMBER(O27),ISNUMBER(O24)),IFERROR(O27/O24,""),"")</f>
        <v/>
      </c>
      <c r="P29" s="39">
        <f>IF(AND(ISNUMBER(P27),ISNUMBER(P24)),IFERROR(P27/P24,""),"")</f>
        <v/>
      </c>
      <c r="Q29" s="39">
        <f>IF(AND(ISNUMBER(Q27),ISNUMBER(Q24)),IFERROR(Q27/Q24,""),"")</f>
        <v/>
      </c>
      <c r="R29" s="39">
        <f>IF(AND(ISNUMBER(R27),ISNUMBER(R24)),IFERROR(R27/R24,""),"")</f>
        <v/>
      </c>
      <c r="S29" s="39">
        <f>IF(AND(ISNUMBER(S27),ISNUMBER(S24)),IFERROR(S27/S24,""),"")</f>
        <v/>
      </c>
      <c r="T29" s="39">
        <f>IF(AND(ISNUMBER(T27),ISNUMBER(T24)),IFERROR(T27/T24,""),"")</f>
        <v/>
      </c>
      <c r="U29" s="39">
        <f>IF(AND(ISNUMBER(U27),ISNUMBER(U24)),IFERROR(U27/U24,""),"")</f>
        <v/>
      </c>
      <c r="V29" s="39">
        <f>IF(AND(ISNUMBER(V27),ISNUMBER(V24)),IFERROR(V27/V24,""),"")</f>
        <v/>
      </c>
      <c r="W29" s="39">
        <f>IF(AND(ISNUMBER(W27),ISNUMBER(W24)),IFERROR(W27/W24,""),"")</f>
        <v/>
      </c>
      <c r="X29" s="39">
        <f>IF(AND(ISNUMBER(X27),ISNUMBER(X24)),IFERROR(X27/X24,""),"")</f>
        <v/>
      </c>
      <c r="Y29" s="39">
        <f>IF(AND(ISNUMBER(Y27),ISNUMBER(Y24)),IFERROR(Y27/Y24,""),"")</f>
        <v/>
      </c>
      <c r="Z29" s="39">
        <f>IF(AND(ISNUMBER(Z27),ISNUMBER(Z24)),IFERROR(Z27/Z24,""),"")</f>
        <v/>
      </c>
      <c r="AA29" s="39">
        <f>IF(AND(ISNUMBER(AA27),ISNUMBER(AA24)),IFERROR(AA27/AA24,""),"")</f>
        <v/>
      </c>
      <c r="AB29" s="39">
        <f>IF(AND(ISNUMBER(AB27),ISNUMBER(AB24)),IFERROR(AB27/AB24,""),"")</f>
        <v/>
      </c>
      <c r="AC29" s="39">
        <f>IF(AND(ISNUMBER(AC27),ISNUMBER(AC24)),IFERROR(AC27/AC24,""),"")</f>
        <v/>
      </c>
      <c r="AD29" s="39">
        <f>IF(AND(ISNUMBER(AD27),ISNUMBER(AD24)),IFERROR(AD27/AD24,""),"")</f>
        <v/>
      </c>
      <c r="AE29" s="39">
        <f>IF(AND(ISNUMBER(AE27),ISNUMBER(AE24)),IFERROR(AE27/AE24,""),"")</f>
        <v/>
      </c>
      <c r="AF29" s="39">
        <f>IF(AND(ISNUMBER(AF27),ISNUMBER(AF24)),IFERROR(AF27/AF24,""),"")</f>
        <v/>
      </c>
      <c r="AG29" s="39">
        <f>IF(AND(ISNUMBER(AG27),ISNUMBER(AG24)),IFERROR(AG27/AG24,""),"")</f>
        <v/>
      </c>
      <c r="AH29" s="39">
        <f>IF(AND(ISNUMBER(AH27),ISNUMBER(AH24)),IFERROR(AH27/AH24,""),"")</f>
        <v/>
      </c>
      <c r="AI29" s="39">
        <f>IF(AND(ISNUMBER(AI27),ISNUMBER(AI24)),IFERROR(AI27/AI24,""),"")</f>
        <v/>
      </c>
      <c r="AJ29" s="39">
        <f>IF(AND(ISNUMBER(AJ27),ISNUMBER(AJ24)),IFERROR(AJ27/AJ24,""),"")</f>
        <v/>
      </c>
      <c r="AK29" s="39">
        <f>IF(AND(ISNUMBER(AK27),ISNUMBER(AK24)),IFERROR(AK27/AK24,""),"")</f>
        <v/>
      </c>
      <c r="AL29" s="39">
        <f>IF(AND(ISNUMBER(AL27),ISNUMBER(AL24)),IFERROR(AL27/AL24,""),"")</f>
        <v/>
      </c>
      <c r="AM29" s="39">
        <f>IF(AND(ISNUMBER(AM27),ISNUMBER(AM24)),IFERROR(AM27/AM24,""),"")</f>
        <v/>
      </c>
      <c r="AN29" s="39">
        <f>IF(AND(ISNUMBER(AN27),ISNUMBER(AN24)),IFERROR(AN27/AN24,""),"")</f>
        <v/>
      </c>
      <c r="AO29" s="39">
        <f>IF(AND(ISNUMBER(AO27),ISNUMBER(AO24)),IFERROR(AO27/AO24,""),"")</f>
        <v/>
      </c>
      <c r="AP29" s="39">
        <f>IF(AND(ISNUMBER(AP27),ISNUMBER(AP24)),IFERROR(AP27/AP24,""),"")</f>
        <v/>
      </c>
      <c r="AQ29" s="39">
        <f>IF(AND(ISNUMBER(AQ27),ISNUMBER(AQ24)),IFERROR(AQ27/AQ24,""),"")</f>
        <v/>
      </c>
      <c r="AR29" s="39">
        <f>IF(AND(ISNUMBER(AR27),ISNUMBER(AR24)),IFERROR(AR27/AR24,""),"")</f>
        <v/>
      </c>
      <c r="AS29" s="39">
        <f>IF(AND(ISNUMBER(AS27),ISNUMBER(AS24)),IFERROR(AS27/AS24,""),"")</f>
        <v/>
      </c>
      <c r="AT29" s="39">
        <f>IF(AND(ISNUMBER(AT27),ISNUMBER(AT24)),IFERROR(AT27/AT24,""),"")</f>
        <v/>
      </c>
      <c r="AU29" s="25">
        <f>AP29*($AT$29/$AO$29)</f>
        <v/>
      </c>
      <c r="AV29" s="25">
        <f>AQ29*($AT$29/$AO$29)</f>
        <v/>
      </c>
      <c r="AW29" s="25">
        <f>IF(AND(ISNUMBER(AW27),ISNUMBER(AW24)),IFERROR(AW27/AW24,""),"")</f>
        <v/>
      </c>
      <c r="AX29" s="25">
        <f>AW29</f>
        <v/>
      </c>
      <c r="AY29" s="25">
        <f>AX29</f>
        <v/>
      </c>
      <c r="AZ29" s="25">
        <f>AY29</f>
        <v/>
      </c>
      <c r="BA29" s="25">
        <f>AZ29</f>
        <v/>
      </c>
      <c r="BB29" s="19" t="inlineStr">
        <is>
          <t>Q3/Q4-26E: prior-year quarter × (Q2/26 ÷ Q2/25 take rate) — carries the 2026 business-model changes. 2027E+: held at 2026E.</t>
        </is>
      </c>
      <c r="BJ29" s="27" t="inlineStr">
        <is>
          <t xml:space="preserve">  2030E</t>
        </is>
      </c>
      <c r="BK29" s="33">
        <f>BL29+$BK$25</f>
        <v/>
      </c>
      <c r="BL29" s="34" t="n">
        <v>0.13</v>
      </c>
      <c r="BM29" s="33">
        <f>BL29+$BM$25</f>
        <v/>
      </c>
    </row>
    <row r="30">
      <c r="B30" s="16" t="inlineStr">
        <is>
          <t xml:space="preserve">  Segment Operating Income (2026 measure; recast from Q1/24)</t>
        </is>
      </c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17" t="n">
        <v>1310</v>
      </c>
      <c r="AJ30" s="17" t="n">
        <v>1392</v>
      </c>
      <c r="AK30" s="17" t="n">
        <v>1514</v>
      </c>
      <c r="AL30" s="17" t="n">
        <v>1608</v>
      </c>
      <c r="AM30" s="17" t="n">
        <v>5824</v>
      </c>
      <c r="AN30" s="17" t="n">
        <v>1587</v>
      </c>
      <c r="AO30" s="17" t="n">
        <v>1729</v>
      </c>
      <c r="AP30" s="17" t="n">
        <v>1864</v>
      </c>
      <c r="AQ30" s="17" t="n">
        <v>2027</v>
      </c>
      <c r="AR30" s="17" t="n">
        <v>7207</v>
      </c>
      <c r="AS30" s="17" t="n">
        <v>2029</v>
      </c>
      <c r="AT30" s="17" t="n">
        <v>2215</v>
      </c>
      <c r="AU30" s="18">
        <f>AU24*AU32</f>
        <v/>
      </c>
      <c r="AV30" s="18">
        <f>AV24*AV32</f>
        <v/>
      </c>
      <c r="AW30" s="18">
        <f>SUM(AS30,AT30,AU30,AV30)</f>
        <v/>
      </c>
      <c r="AX30" s="18">
        <f>AW30+(AX24-AW24)*AX33</f>
        <v/>
      </c>
      <c r="AY30" s="18">
        <f>AX30+(AY24-AX24)*AY33</f>
        <v/>
      </c>
      <c r="AZ30" s="18">
        <f>AY30+(AZ24-AY24)*AZ33</f>
        <v/>
      </c>
      <c r="BA30" s="18">
        <f>AZ30+(BA24-AZ24)*BA33</f>
        <v/>
      </c>
      <c r="BB30" s="19" t="inlineStr">
        <is>
          <t>2027E+: prior-year Segment OI + Δ Gross Bookings × incremental margin (scenario lever MOB_INC). 2026E = sum of quarters.</t>
        </is>
      </c>
    </row>
    <row r="31">
      <c r="B31" s="27" t="inlineStr">
        <is>
          <t xml:space="preserve">  Segment OI % of GB before outlook calibration (Q3/Q4-26E helper)</t>
        </is>
      </c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  <c r="AG31" s="39" t="n"/>
      <c r="AH31" s="39" t="n"/>
      <c r="AI31" s="39" t="n"/>
      <c r="AJ31" s="39" t="n"/>
      <c r="AK31" s="39" t="n"/>
      <c r="AL31" s="39" t="n"/>
      <c r="AM31" s="39" t="n"/>
      <c r="AN31" s="39" t="n"/>
      <c r="AO31" s="39" t="n"/>
      <c r="AP31" s="39" t="n"/>
      <c r="AQ31" s="39" t="n"/>
      <c r="AR31" s="39" t="n"/>
      <c r="AS31" s="39" t="n"/>
      <c r="AT31" s="39" t="n"/>
      <c r="AU31" s="25">
        <f>AP32+($AS$30+$AT$30)/($AS$24+$AT$24)-($AN$30+$AO$30)/($AN$24+$AO$24)</f>
        <v/>
      </c>
      <c r="AV31" s="25">
        <f>AQ32+($AS$30+$AT$30)/($AS$24+$AT$24)-($AN$30+$AO$30)/($AN$24+$AO$24)</f>
        <v/>
      </c>
      <c r="AW31" s="25" t="n"/>
      <c r="AX31" s="25" t="n"/>
      <c r="AY31" s="25" t="n"/>
      <c r="AZ31" s="25" t="n"/>
      <c r="BA31" s="25" t="n"/>
      <c r="BB31" s="19" t="inlineStr">
        <is>
          <t>Q3/Q4-26E: prior-year quarter margin + (1H/26 − 1H/25 margin drift).</t>
        </is>
      </c>
      <c r="BJ31" s="21" t="inlineStr">
        <is>
          <t>DEL_GB (Delivery Gross Bookings y/y)</t>
        </is>
      </c>
      <c r="BK31" s="153" t="n">
        <v>0.03</v>
      </c>
      <c r="BL31" s="22" t="inlineStr">
        <is>
          <t>Δ →</t>
        </is>
      </c>
      <c r="BM31" s="153" t="n">
        <v>-0.03</v>
      </c>
      <c r="BN31" s="13" t="inlineStr">
        <is>
          <t>FY25 +22%; Q2/26 +26% (incl. Trendyol Go). Grocery &amp; retail, advertising, Uber One.</t>
        </is>
      </c>
    </row>
    <row r="32">
      <c r="B32" s="27" t="inlineStr">
        <is>
          <t xml:space="preserve">  Segment Operating Income % of Gross Bookings</t>
        </is>
      </c>
      <c r="C32" s="39">
        <f>IF(AND(ISNUMBER(C30),ISNUMBER(C24)),IFERROR(C30/C24,""),"")</f>
        <v/>
      </c>
      <c r="D32" s="39">
        <f>IF(AND(ISNUMBER(D30),ISNUMBER(D24)),IFERROR(D30/D24,""),"")</f>
        <v/>
      </c>
      <c r="E32" s="39">
        <f>IF(AND(ISNUMBER(E30),ISNUMBER(E24)),IFERROR(E30/E24,""),"")</f>
        <v/>
      </c>
      <c r="F32" s="39">
        <f>IF(AND(ISNUMBER(F30),ISNUMBER(F24)),IFERROR(F30/F24,""),"")</f>
        <v/>
      </c>
      <c r="G32" s="39">
        <f>IF(AND(ISNUMBER(G30),ISNUMBER(G24)),IFERROR(G30/G24,""),"")</f>
        <v/>
      </c>
      <c r="H32" s="39">
        <f>IF(AND(ISNUMBER(H30),ISNUMBER(H24)),IFERROR(H30/H24,""),"")</f>
        <v/>
      </c>
      <c r="I32" s="39">
        <f>IF(AND(ISNUMBER(I30),ISNUMBER(I24)),IFERROR(I30/I24,""),"")</f>
        <v/>
      </c>
      <c r="J32" s="39">
        <f>IF(AND(ISNUMBER(J30),ISNUMBER(J24)),IFERROR(J30/J24,""),"")</f>
        <v/>
      </c>
      <c r="K32" s="39">
        <f>IF(AND(ISNUMBER(K30),ISNUMBER(K24)),IFERROR(K30/K24,""),"")</f>
        <v/>
      </c>
      <c r="L32" s="39">
        <f>IF(AND(ISNUMBER(L30),ISNUMBER(L24)),IFERROR(L30/L24,""),"")</f>
        <v/>
      </c>
      <c r="M32" s="39">
        <f>IF(AND(ISNUMBER(M30),ISNUMBER(M24)),IFERROR(M30/M24,""),"")</f>
        <v/>
      </c>
      <c r="N32" s="39">
        <f>IF(AND(ISNUMBER(N30),ISNUMBER(N24)),IFERROR(N30/N24,""),"")</f>
        <v/>
      </c>
      <c r="O32" s="39">
        <f>IF(AND(ISNUMBER(O30),ISNUMBER(O24)),IFERROR(O30/O24,""),"")</f>
        <v/>
      </c>
      <c r="P32" s="39">
        <f>IF(AND(ISNUMBER(P30),ISNUMBER(P24)),IFERROR(P30/P24,""),"")</f>
        <v/>
      </c>
      <c r="Q32" s="39">
        <f>IF(AND(ISNUMBER(Q30),ISNUMBER(Q24)),IFERROR(Q30/Q24,""),"")</f>
        <v/>
      </c>
      <c r="R32" s="39">
        <f>IF(AND(ISNUMBER(R30),ISNUMBER(R24)),IFERROR(R30/R24,""),"")</f>
        <v/>
      </c>
      <c r="S32" s="39">
        <f>IF(AND(ISNUMBER(S30),ISNUMBER(S24)),IFERROR(S30/S24,""),"")</f>
        <v/>
      </c>
      <c r="T32" s="39">
        <f>IF(AND(ISNUMBER(T30),ISNUMBER(T24)),IFERROR(T30/T24,""),"")</f>
        <v/>
      </c>
      <c r="U32" s="39">
        <f>IF(AND(ISNUMBER(U30),ISNUMBER(U24)),IFERROR(U30/U24,""),"")</f>
        <v/>
      </c>
      <c r="V32" s="39">
        <f>IF(AND(ISNUMBER(V30),ISNUMBER(V24)),IFERROR(V30/V24,""),"")</f>
        <v/>
      </c>
      <c r="W32" s="39">
        <f>IF(AND(ISNUMBER(W30),ISNUMBER(W24)),IFERROR(W30/W24,""),"")</f>
        <v/>
      </c>
      <c r="X32" s="39">
        <f>IF(AND(ISNUMBER(X30),ISNUMBER(X24)),IFERROR(X30/X24,""),"")</f>
        <v/>
      </c>
      <c r="Y32" s="39">
        <f>IF(AND(ISNUMBER(Y30),ISNUMBER(Y24)),IFERROR(Y30/Y24,""),"")</f>
        <v/>
      </c>
      <c r="Z32" s="39">
        <f>IF(AND(ISNUMBER(Z30),ISNUMBER(Z24)),IFERROR(Z30/Z24,""),"")</f>
        <v/>
      </c>
      <c r="AA32" s="39">
        <f>IF(AND(ISNUMBER(AA30),ISNUMBER(AA24)),IFERROR(AA30/AA24,""),"")</f>
        <v/>
      </c>
      <c r="AB32" s="39">
        <f>IF(AND(ISNUMBER(AB30),ISNUMBER(AB24)),IFERROR(AB30/AB24,""),"")</f>
        <v/>
      </c>
      <c r="AC32" s="39">
        <f>IF(AND(ISNUMBER(AC30),ISNUMBER(AC24)),IFERROR(AC30/AC24,""),"")</f>
        <v/>
      </c>
      <c r="AD32" s="39">
        <f>IF(AND(ISNUMBER(AD30),ISNUMBER(AD24)),IFERROR(AD30/AD24,""),"")</f>
        <v/>
      </c>
      <c r="AE32" s="39">
        <f>IF(AND(ISNUMBER(AE30),ISNUMBER(AE24)),IFERROR(AE30/AE24,""),"")</f>
        <v/>
      </c>
      <c r="AF32" s="39">
        <f>IF(AND(ISNUMBER(AF30),ISNUMBER(AF24)),IFERROR(AF30/AF24,""),"")</f>
        <v/>
      </c>
      <c r="AG32" s="39">
        <f>IF(AND(ISNUMBER(AG30),ISNUMBER(AG24)),IFERROR(AG30/AG24,""),"")</f>
        <v/>
      </c>
      <c r="AH32" s="39">
        <f>IF(AND(ISNUMBER(AH30),ISNUMBER(AH24)),IFERROR(AH30/AH24,""),"")</f>
        <v/>
      </c>
      <c r="AI32" s="39">
        <f>IF(AND(ISNUMBER(AI30),ISNUMBER(AI24)),IFERROR(AI30/AI24,""),"")</f>
        <v/>
      </c>
      <c r="AJ32" s="39">
        <f>IF(AND(ISNUMBER(AJ30),ISNUMBER(AJ24)),IFERROR(AJ30/AJ24,""),"")</f>
        <v/>
      </c>
      <c r="AK32" s="39">
        <f>IF(AND(ISNUMBER(AK30),ISNUMBER(AK24)),IFERROR(AK30/AK24,""),"")</f>
        <v/>
      </c>
      <c r="AL32" s="39">
        <f>IF(AND(ISNUMBER(AL30),ISNUMBER(AL24)),IFERROR(AL30/AL24,""),"")</f>
        <v/>
      </c>
      <c r="AM32" s="39">
        <f>IF(AND(ISNUMBER(AM30),ISNUMBER(AM24)),IFERROR(AM30/AM24,""),"")</f>
        <v/>
      </c>
      <c r="AN32" s="39">
        <f>IF(AND(ISNUMBER(AN30),ISNUMBER(AN24)),IFERROR(AN30/AN24,""),"")</f>
        <v/>
      </c>
      <c r="AO32" s="39">
        <f>IF(AND(ISNUMBER(AO30),ISNUMBER(AO24)),IFERROR(AO30/AO24,""),"")</f>
        <v/>
      </c>
      <c r="AP32" s="39">
        <f>IF(AND(ISNUMBER(AP30),ISNUMBER(AP24)),IFERROR(AP30/AP24,""),"")</f>
        <v/>
      </c>
      <c r="AQ32" s="39">
        <f>IF(AND(ISNUMBER(AQ30),ISNUMBER(AQ24)),IFERROR(AQ30/AQ24,""),"")</f>
        <v/>
      </c>
      <c r="AR32" s="39">
        <f>IF(AND(ISNUMBER(AR30),ISNUMBER(AR24)),IFERROR(AR30/AR24,""),"")</f>
        <v/>
      </c>
      <c r="AS32" s="39">
        <f>IF(AND(ISNUMBER(AS30),ISNUMBER(AS24)),IFERROR(AS30/AS24,""),"")</f>
        <v/>
      </c>
      <c r="AT32" s="39">
        <f>IF(AND(ISNUMBER(AT30),ISNUMBER(AT24)),IFERROR(AT30/AT24,""),"")</f>
        <v/>
      </c>
      <c r="AU32" s="25">
        <f>AU31+$AU$117</f>
        <v/>
      </c>
      <c r="AV32" s="25">
        <f>AV31+$AU$117</f>
        <v/>
      </c>
      <c r="AW32" s="25">
        <f>IF(AND(ISNUMBER(AW30),ISNUMBER(AW24)),IFERROR(AW30/AW24,""),"")</f>
        <v/>
      </c>
      <c r="AX32" s="25">
        <f>IF(AND(ISNUMBER(AX30),ISNUMBER(AX24)),IFERROR(AX30/AX24,""),"")</f>
        <v/>
      </c>
      <c r="AY32" s="25">
        <f>IF(AND(ISNUMBER(AY30),ISNUMBER(AY24)),IFERROR(AY30/AY24,""),"")</f>
        <v/>
      </c>
      <c r="AZ32" s="25">
        <f>IF(AND(ISNUMBER(AZ30),ISNUMBER(AZ24)),IFERROR(AZ30/AZ24,""),"")</f>
        <v/>
      </c>
      <c r="BA32" s="25">
        <f>IF(AND(ISNUMBER(BA30),ISNUMBER(BA24)),IFERROR(BA30/BA24,""),"")</f>
        <v/>
      </c>
      <c r="BB32" s="19" t="inlineStr">
        <is>
          <t>Q3/Q4-26E: margin before calibration + outlook calibration Δ (Group block). 2027E+: output.</t>
        </is>
      </c>
      <c r="BJ32" s="27" t="inlineStr">
        <is>
          <t xml:space="preserve">  2027E</t>
        </is>
      </c>
      <c r="BK32" s="33">
        <f>BL32+$BK$31</f>
        <v/>
      </c>
      <c r="BL32" s="34" t="n">
        <v>0.16</v>
      </c>
      <c r="BM32" s="33">
        <f>BL32+$BM$31</f>
        <v/>
      </c>
    </row>
    <row r="33">
      <c r="B33" s="27" t="inlineStr">
        <is>
          <t xml:space="preserve">  Incremental Segment OI margin on Δ Gross Bookings (y/y) %</t>
        </is>
      </c>
      <c r="C33" s="39" t="n"/>
      <c r="D33" s="39">
        <f>IF(AND(ISNUMBER(D30),ISNUMBER(C30)),IFERROR((D30-C30)/(D24-C24),""),"")</f>
        <v/>
      </c>
      <c r="E33" s="39" t="n"/>
      <c r="F33" s="39" t="n"/>
      <c r="G33" s="39" t="n"/>
      <c r="H33" s="39" t="n"/>
      <c r="I33" s="39">
        <f>IF(AND(ISNUMBER(I30),ISNUMBER(D30)),IFERROR((I30-D30)/(I24-D24),""),"")</f>
        <v/>
      </c>
      <c r="J33" s="39">
        <f>IF(AND(ISNUMBER(J30),ISNUMBER(E30)),IFERROR((J30-E30)/(J24-E24),""),"")</f>
        <v/>
      </c>
      <c r="K33" s="39">
        <f>IF(AND(ISNUMBER(K30),ISNUMBER(F30)),IFERROR((K30-F30)/(K24-F24),""),"")</f>
        <v/>
      </c>
      <c r="L33" s="39">
        <f>IF(AND(ISNUMBER(L30),ISNUMBER(G30)),IFERROR((L30-G30)/(L24-G24),""),"")</f>
        <v/>
      </c>
      <c r="M33" s="39">
        <f>IF(AND(ISNUMBER(M30),ISNUMBER(H30)),IFERROR((M30-H30)/(M24-H24),""),"")</f>
        <v/>
      </c>
      <c r="N33" s="39">
        <f>IF(AND(ISNUMBER(N30),ISNUMBER(I30)),IFERROR((N30-I30)/(N24-I24),""),"")</f>
        <v/>
      </c>
      <c r="O33" s="39">
        <f>IF(AND(ISNUMBER(O30),ISNUMBER(J30)),IFERROR((O30-J30)/(O24-J24),""),"")</f>
        <v/>
      </c>
      <c r="P33" s="39">
        <f>IF(AND(ISNUMBER(P30),ISNUMBER(K30)),IFERROR((P30-K30)/(P24-K24),""),"")</f>
        <v/>
      </c>
      <c r="Q33" s="39">
        <f>IF(AND(ISNUMBER(Q30),ISNUMBER(L30)),IFERROR((Q30-L30)/(Q24-L24),""),"")</f>
        <v/>
      </c>
      <c r="R33" s="39">
        <f>IF(AND(ISNUMBER(R30),ISNUMBER(M30)),IFERROR((R30-M30)/(R24-M24),""),"")</f>
        <v/>
      </c>
      <c r="S33" s="39">
        <f>IF(AND(ISNUMBER(S30),ISNUMBER(N30)),IFERROR((S30-N30)/(S24-N24),""),"")</f>
        <v/>
      </c>
      <c r="T33" s="39">
        <f>IF(AND(ISNUMBER(T30),ISNUMBER(O30)),IFERROR((T30-O30)/(T24-O24),""),"")</f>
        <v/>
      </c>
      <c r="U33" s="39">
        <f>IF(AND(ISNUMBER(U30),ISNUMBER(P30)),IFERROR((U30-P30)/(U24-P24),""),"")</f>
        <v/>
      </c>
      <c r="V33" s="39">
        <f>IF(AND(ISNUMBER(V30),ISNUMBER(Q30)),IFERROR((V30-Q30)/(V24-Q24),""),"")</f>
        <v/>
      </c>
      <c r="W33" s="39">
        <f>IF(AND(ISNUMBER(W30),ISNUMBER(R30)),IFERROR((W30-R30)/(W24-R24),""),"")</f>
        <v/>
      </c>
      <c r="X33" s="39">
        <f>IF(AND(ISNUMBER(X30),ISNUMBER(S30)),IFERROR((X30-S30)/(X24-S24),""),"")</f>
        <v/>
      </c>
      <c r="Y33" s="39">
        <f>IF(AND(ISNUMBER(Y30),ISNUMBER(T30)),IFERROR((Y30-T30)/(Y24-T24),""),"")</f>
        <v/>
      </c>
      <c r="Z33" s="39">
        <f>IF(AND(ISNUMBER(Z30),ISNUMBER(U30)),IFERROR((Z30-U30)/(Z24-U24),""),"")</f>
        <v/>
      </c>
      <c r="AA33" s="39">
        <f>IF(AND(ISNUMBER(AA30),ISNUMBER(V30)),IFERROR((AA30-V30)/(AA24-V24),""),"")</f>
        <v/>
      </c>
      <c r="AB33" s="39">
        <f>IF(AND(ISNUMBER(AB30),ISNUMBER(W30)),IFERROR((AB30-W30)/(AB24-W24),""),"")</f>
        <v/>
      </c>
      <c r="AC33" s="39">
        <f>IF(AND(ISNUMBER(AC30),ISNUMBER(X30)),IFERROR((AC30-X30)/(AC24-X24),""),"")</f>
        <v/>
      </c>
      <c r="AD33" s="39">
        <f>IF(AND(ISNUMBER(AD30),ISNUMBER(Y30)),IFERROR((AD30-Y30)/(AD24-Y24),""),"")</f>
        <v/>
      </c>
      <c r="AE33" s="39">
        <f>IF(AND(ISNUMBER(AE30),ISNUMBER(Z30)),IFERROR((AE30-Z30)/(AE24-Z24),""),"")</f>
        <v/>
      </c>
      <c r="AF33" s="39">
        <f>IF(AND(ISNUMBER(AF30),ISNUMBER(AA30)),IFERROR((AF30-AA30)/(AF24-AA24),""),"")</f>
        <v/>
      </c>
      <c r="AG33" s="39">
        <f>IF(AND(ISNUMBER(AG30),ISNUMBER(AB30)),IFERROR((AG30-AB30)/(AG24-AB24),""),"")</f>
        <v/>
      </c>
      <c r="AH33" s="39">
        <f>IF(AND(ISNUMBER(AH30),ISNUMBER(AC30)),IFERROR((AH30-AC30)/(AH24-AC24),""),"")</f>
        <v/>
      </c>
      <c r="AI33" s="39">
        <f>IF(AND(ISNUMBER(AI30),ISNUMBER(AD30)),IFERROR((AI30-AD30)/(AI24-AD24),""),"")</f>
        <v/>
      </c>
      <c r="AJ33" s="39">
        <f>IF(AND(ISNUMBER(AJ30),ISNUMBER(AE30)),IFERROR((AJ30-AE30)/(AJ24-AE24),""),"")</f>
        <v/>
      </c>
      <c r="AK33" s="39">
        <f>IF(AND(ISNUMBER(AK30),ISNUMBER(AF30)),IFERROR((AK30-AF30)/(AK24-AF24),""),"")</f>
        <v/>
      </c>
      <c r="AL33" s="39">
        <f>IF(AND(ISNUMBER(AL30),ISNUMBER(AG30)),IFERROR((AL30-AG30)/(AL24-AG24),""),"")</f>
        <v/>
      </c>
      <c r="AM33" s="39">
        <f>IF(AND(ISNUMBER(AM30),ISNUMBER(AH30)),IFERROR((AM30-AH30)/(AM24-AH24),""),"")</f>
        <v/>
      </c>
      <c r="AN33" s="39">
        <f>IF(AND(ISNUMBER(AN30),ISNUMBER(AI30)),IFERROR((AN30-AI30)/(AN24-AI24),""),"")</f>
        <v/>
      </c>
      <c r="AO33" s="39">
        <f>IF(AND(ISNUMBER(AO30),ISNUMBER(AJ30)),IFERROR((AO30-AJ30)/(AO24-AJ24),""),"")</f>
        <v/>
      </c>
      <c r="AP33" s="39">
        <f>IF(AND(ISNUMBER(AP30),ISNUMBER(AK30)),IFERROR((AP30-AK30)/(AP24-AK24),""),"")</f>
        <v/>
      </c>
      <c r="AQ33" s="39">
        <f>IF(AND(ISNUMBER(AQ30),ISNUMBER(AL30)),IFERROR((AQ30-AL30)/(AQ24-AL24),""),"")</f>
        <v/>
      </c>
      <c r="AR33" s="39">
        <f>IF(AND(ISNUMBER(AR30),ISNUMBER(AM30)),IFERROR((AR30-AM30)/(AR24-AM24),""),"")</f>
        <v/>
      </c>
      <c r="AS33" s="39">
        <f>IF(AND(ISNUMBER(AS30),ISNUMBER(AN30)),IFERROR((AS30-AN30)/(AS24-AN24),""),"")</f>
        <v/>
      </c>
      <c r="AT33" s="39">
        <f>IF(AND(ISNUMBER(AT30),ISNUMBER(AO30)),IFERROR((AT30-AO30)/(AT24-AO24),""),"")</f>
        <v/>
      </c>
      <c r="AU33" s="25">
        <f>IFERROR((AU30-AP30)/(AU24-AP24),"")</f>
        <v/>
      </c>
      <c r="AV33" s="25">
        <f>IFERROR((AV30-AQ30)/(AV24-AQ24),"")</f>
        <v/>
      </c>
      <c r="AW33" s="25">
        <f>IFERROR((AW30-AR30)/(AW24-AR24),"")</f>
        <v/>
      </c>
      <c r="AX33" s="25">
        <f>CHOOSE(MATCH($BB$2,{"Bull","Base","Bear"},0),$BK$38,$BL$38,$BM$38)</f>
        <v/>
      </c>
      <c r="AY33" s="25">
        <f>CHOOSE(MATCH($BB$2,{"Bull","Base","Bear"},0),$BK$39,$BL$39,$BM$39)</f>
        <v/>
      </c>
      <c r="AZ33" s="25">
        <f>CHOOSE(MATCH($BB$2,{"Bull","Base","Bear"},0),$BK$40,$BL$40,$BM$40)</f>
        <v/>
      </c>
      <c r="BA33" s="25">
        <f>CHOOSE(MATCH($BB$2,{"Bull","Base","Bear"},0),$BK$41,$BL$41,$BM$41)</f>
        <v/>
      </c>
      <c r="BB33" s="19" t="inlineStr">
        <is>
          <t>FY25 9.6% (ΔSOI $1.38bn ÷ ΔGB $14.5bn). 2027E+: scenario lever MOB_INC.</t>
        </is>
      </c>
      <c r="BJ33" s="27" t="inlineStr">
        <is>
          <t xml:space="preserve">  2028E</t>
        </is>
      </c>
      <c r="BK33" s="33">
        <f>BL33+$BK$31</f>
        <v/>
      </c>
      <c r="BL33" s="34" t="n">
        <v>0.15</v>
      </c>
      <c r="BM33" s="33">
        <f>BL33+$BM$31</f>
        <v/>
      </c>
    </row>
    <row r="34">
      <c r="BJ34" s="27" t="inlineStr">
        <is>
          <t xml:space="preserve">  2029E</t>
        </is>
      </c>
      <c r="BK34" s="33">
        <f>BL34+$BK$31</f>
        <v/>
      </c>
      <c r="BL34" s="34" t="n">
        <v>0.14</v>
      </c>
      <c r="BM34" s="33">
        <f>BL34+$BM$31</f>
        <v/>
      </c>
    </row>
    <row r="35">
      <c r="B35" s="14" t="inlineStr">
        <is>
          <t>Delivery (Uber Eats incl. Grocery &amp; Retail, Postmates from Dec-20, Cornershop, Drizly (closed 2024), Trendyol Go from Jun-25; "Eats" 2019)</t>
        </is>
      </c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  <c r="BA35" s="14" t="n"/>
      <c r="BB35" s="15" t="inlineStr">
        <is>
          <t>DELIVERY — modelling logic (same mechanics as Mobility)</t>
        </is>
      </c>
      <c r="BJ35" s="27" t="inlineStr">
        <is>
          <t xml:space="preserve">  2030E</t>
        </is>
      </c>
      <c r="BK35" s="33">
        <f>BL35+$BK$31</f>
        <v/>
      </c>
      <c r="BL35" s="34" t="n">
        <v>0.13</v>
      </c>
      <c r="BM35" s="33">
        <f>BL35+$BM$31</f>
        <v/>
      </c>
    </row>
    <row r="36">
      <c r="B36" s="16" t="inlineStr">
        <is>
          <t xml:space="preserve">  Gross Bookings</t>
        </is>
      </c>
      <c r="C36" s="36" t="n"/>
      <c r="D36" s="17" t="n">
        <v>2958</v>
      </c>
      <c r="E36" s="17" t="n">
        <v>1473</v>
      </c>
      <c r="F36" s="17" t="n">
        <v>1774</v>
      </c>
      <c r="G36" s="17" t="n">
        <v>2111</v>
      </c>
      <c r="H36" s="17" t="n">
        <v>2561</v>
      </c>
      <c r="I36" s="17" t="n">
        <v>7919</v>
      </c>
      <c r="J36" s="17" t="n">
        <v>3071</v>
      </c>
      <c r="K36" s="17" t="n">
        <v>3386</v>
      </c>
      <c r="L36" s="17" t="n">
        <v>3658</v>
      </c>
      <c r="M36" s="17" t="n">
        <v>4374</v>
      </c>
      <c r="N36" s="36" t="n"/>
      <c r="O36" s="17" t="n">
        <v>4683</v>
      </c>
      <c r="P36" s="17" t="n">
        <v>6961</v>
      </c>
      <c r="Q36" s="17" t="n">
        <v>8550</v>
      </c>
      <c r="R36" s="17" t="n">
        <v>10050</v>
      </c>
      <c r="S36" s="36" t="n"/>
      <c r="T36" s="17" t="n">
        <v>12461</v>
      </c>
      <c r="U36" s="17" t="n">
        <v>12912</v>
      </c>
      <c r="V36" s="17" t="n">
        <v>12828</v>
      </c>
      <c r="W36" s="17" t="n">
        <v>13444</v>
      </c>
      <c r="X36" s="36" t="n"/>
      <c r="Y36" s="17" t="n">
        <v>13903</v>
      </c>
      <c r="Z36" s="17" t="n">
        <v>13876</v>
      </c>
      <c r="AA36" s="17" t="n">
        <v>13684</v>
      </c>
      <c r="AB36" s="17" t="n">
        <v>14315</v>
      </c>
      <c r="AC36" s="36" t="n"/>
      <c r="AD36" s="17" t="n">
        <v>15026</v>
      </c>
      <c r="AE36" s="17" t="n">
        <v>15595</v>
      </c>
      <c r="AF36" s="17" t="n">
        <v>16094</v>
      </c>
      <c r="AG36" s="17" t="n">
        <v>17011</v>
      </c>
      <c r="AH36" s="36" t="n"/>
      <c r="AI36" s="17" t="n">
        <v>17699</v>
      </c>
      <c r="AJ36" s="17" t="n">
        <v>18126</v>
      </c>
      <c r="AK36" s="17" t="n">
        <v>18663</v>
      </c>
      <c r="AL36" s="17" t="n">
        <v>20126</v>
      </c>
      <c r="AM36" s="36" t="n"/>
      <c r="AN36" s="17" t="n">
        <v>20377</v>
      </c>
      <c r="AO36" s="17" t="n">
        <v>21734</v>
      </c>
      <c r="AP36" s="17" t="n">
        <v>23322</v>
      </c>
      <c r="AQ36" s="17" t="n">
        <v>25431</v>
      </c>
      <c r="AR36" s="36" t="n"/>
      <c r="AS36" s="17" t="n">
        <v>25992</v>
      </c>
      <c r="AT36" s="17" t="n">
        <v>27463</v>
      </c>
      <c r="AU36" s="18">
        <f>AP36*(1+AU37)</f>
        <v/>
      </c>
      <c r="AV36" s="18">
        <f>AQ36*(1+AV37)</f>
        <v/>
      </c>
      <c r="AW36" s="18">
        <f>SUM(AS36,AT36,AU36,AV36)</f>
        <v/>
      </c>
      <c r="AX36" s="18">
        <f>AW36*(1+AX37)</f>
        <v/>
      </c>
      <c r="AY36" s="18">
        <f>AX36*(1+AY37)</f>
        <v/>
      </c>
      <c r="AZ36" s="18">
        <f>AY36*(1+AZ37)</f>
        <v/>
      </c>
      <c r="BA36" s="18">
        <f>AZ36*(1+BA37)</f>
        <v/>
      </c>
      <c r="BB36" s="19" t="inlineStr">
        <is>
          <t>Q3/Q4-26E: prior-year quarter × (1 + y/y growth). 2027E+: scenario lever DEL_GB.</t>
        </is>
      </c>
      <c r="BD36" s="20">
        <f>IFERROR((BA36/AR36)^(1/5)-1,"")</f>
        <v/>
      </c>
      <c r="BE36" s="20">
        <f>IFERROR((AR36/S36)^(1/5)-1,"")</f>
        <v/>
      </c>
      <c r="BF36" s="20">
        <f>IFERROR((AR36/I36)^(1/7)-1,"")</f>
        <v/>
      </c>
      <c r="BG36" s="20">
        <f>IFERROR((AR36/C36)^(1/9)-1,"")</f>
        <v/>
      </c>
    </row>
    <row r="37">
      <c r="B37" s="23" t="inlineStr">
        <is>
          <t xml:space="preserve">  Gross Bookings y/y %</t>
        </is>
      </c>
      <c r="C37" s="24" t="n"/>
      <c r="D37" s="24">
        <f>IF(AND(ISNUMBER(D36),ISNUMBER(C36)),IFERROR(D36/C36-1,""),"")</f>
        <v/>
      </c>
      <c r="E37" s="24" t="n"/>
      <c r="F37" s="24" t="n"/>
      <c r="G37" s="24" t="n"/>
      <c r="H37" s="24" t="n"/>
      <c r="I37" s="24">
        <f>IF(AND(ISNUMBER(I36),ISNUMBER(D36)),IFERROR(I36/D36-1,""),"")</f>
        <v/>
      </c>
      <c r="J37" s="24">
        <f>IF(AND(ISNUMBER(J36),ISNUMBER(E36)),IFERROR(J36/E36-1,""),"")</f>
        <v/>
      </c>
      <c r="K37" s="24">
        <f>IF(AND(ISNUMBER(K36),ISNUMBER(F36)),IFERROR(K36/F36-1,""),"")</f>
        <v/>
      </c>
      <c r="L37" s="24">
        <f>IF(AND(ISNUMBER(L36),ISNUMBER(G36)),IFERROR(L36/G36-1,""),"")</f>
        <v/>
      </c>
      <c r="M37" s="24">
        <f>IF(AND(ISNUMBER(M36),ISNUMBER(H36)),IFERROR(M36/H36-1,""),"")</f>
        <v/>
      </c>
      <c r="N37" s="24">
        <f>IF(AND(ISNUMBER(N36),ISNUMBER(I36)),IFERROR(N36/I36-1,""),"")</f>
        <v/>
      </c>
      <c r="O37" s="24">
        <f>IF(AND(ISNUMBER(O36),ISNUMBER(J36)),IFERROR(O36/J36-1,""),"")</f>
        <v/>
      </c>
      <c r="P37" s="24">
        <f>IF(AND(ISNUMBER(P36),ISNUMBER(K36)),IFERROR(P36/K36-1,""),"")</f>
        <v/>
      </c>
      <c r="Q37" s="24">
        <f>IF(AND(ISNUMBER(Q36),ISNUMBER(L36)),IFERROR(Q36/L36-1,""),"")</f>
        <v/>
      </c>
      <c r="R37" s="24">
        <f>IF(AND(ISNUMBER(R36),ISNUMBER(M36)),IFERROR(R36/M36-1,""),"")</f>
        <v/>
      </c>
      <c r="S37" s="24">
        <f>IF(AND(ISNUMBER(S36),ISNUMBER(N36)),IFERROR(S36/N36-1,""),"")</f>
        <v/>
      </c>
      <c r="T37" s="24">
        <f>IF(AND(ISNUMBER(T36),ISNUMBER(O36)),IFERROR(T36/O36-1,""),"")</f>
        <v/>
      </c>
      <c r="U37" s="24">
        <f>IF(AND(ISNUMBER(U36),ISNUMBER(P36)),IFERROR(U36/P36-1,""),"")</f>
        <v/>
      </c>
      <c r="V37" s="24">
        <f>IF(AND(ISNUMBER(V36),ISNUMBER(Q36)),IFERROR(V36/Q36-1,""),"")</f>
        <v/>
      </c>
      <c r="W37" s="24">
        <f>IF(AND(ISNUMBER(W36),ISNUMBER(R36)),IFERROR(W36/R36-1,""),"")</f>
        <v/>
      </c>
      <c r="X37" s="24">
        <f>IF(AND(ISNUMBER(X36),ISNUMBER(S36)),IFERROR(X36/S36-1,""),"")</f>
        <v/>
      </c>
      <c r="Y37" s="24">
        <f>IF(AND(ISNUMBER(Y36),ISNUMBER(T36)),IFERROR(Y36/T36-1,""),"")</f>
        <v/>
      </c>
      <c r="Z37" s="24">
        <f>IF(AND(ISNUMBER(Z36),ISNUMBER(U36)),IFERROR(Z36/U36-1,""),"")</f>
        <v/>
      </c>
      <c r="AA37" s="24">
        <f>IF(AND(ISNUMBER(AA36),ISNUMBER(V36)),IFERROR(AA36/V36-1,""),"")</f>
        <v/>
      </c>
      <c r="AB37" s="24">
        <f>IF(AND(ISNUMBER(AB36),ISNUMBER(W36)),IFERROR(AB36/W36-1,""),"")</f>
        <v/>
      </c>
      <c r="AC37" s="24">
        <f>IF(AND(ISNUMBER(AC36),ISNUMBER(X36)),IFERROR(AC36/X36-1,""),"")</f>
        <v/>
      </c>
      <c r="AD37" s="24">
        <f>IF(AND(ISNUMBER(AD36),ISNUMBER(Y36)),IFERROR(AD36/Y36-1,""),"")</f>
        <v/>
      </c>
      <c r="AE37" s="24">
        <f>IF(AND(ISNUMBER(AE36),ISNUMBER(Z36)),IFERROR(AE36/Z36-1,""),"")</f>
        <v/>
      </c>
      <c r="AF37" s="24">
        <f>IF(AND(ISNUMBER(AF36),ISNUMBER(AA36)),IFERROR(AF36/AA36-1,""),"")</f>
        <v/>
      </c>
      <c r="AG37" s="24">
        <f>IF(AND(ISNUMBER(AG36),ISNUMBER(AB36)),IFERROR(AG36/AB36-1,""),"")</f>
        <v/>
      </c>
      <c r="AH37" s="24">
        <f>IF(AND(ISNUMBER(AH36),ISNUMBER(AC36)),IFERROR(AH36/AC36-1,""),"")</f>
        <v/>
      </c>
      <c r="AI37" s="24">
        <f>IF(AND(ISNUMBER(AI36),ISNUMBER(AD36)),IFERROR(AI36/AD36-1,""),"")</f>
        <v/>
      </c>
      <c r="AJ37" s="24">
        <f>IF(AND(ISNUMBER(AJ36),ISNUMBER(AE36)),IFERROR(AJ36/AE36-1,""),"")</f>
        <v/>
      </c>
      <c r="AK37" s="24">
        <f>IF(AND(ISNUMBER(AK36),ISNUMBER(AF36)),IFERROR(AK36/AF36-1,""),"")</f>
        <v/>
      </c>
      <c r="AL37" s="24">
        <f>IF(AND(ISNUMBER(AL36),ISNUMBER(AG36)),IFERROR(AL36/AG36-1,""),"")</f>
        <v/>
      </c>
      <c r="AM37" s="24">
        <f>IF(AND(ISNUMBER(AM36),ISNUMBER(AH36)),IFERROR(AM36/AH36-1,""),"")</f>
        <v/>
      </c>
      <c r="AN37" s="24">
        <f>IF(AND(ISNUMBER(AN36),ISNUMBER(AI36)),IFERROR(AN36/AI36-1,""),"")</f>
        <v/>
      </c>
      <c r="AO37" s="24">
        <f>IF(AND(ISNUMBER(AO36),ISNUMBER(AJ36)),IFERROR(AO36/AJ36-1,""),"")</f>
        <v/>
      </c>
      <c r="AP37" s="24">
        <f>IF(AND(ISNUMBER(AP36),ISNUMBER(AK36)),IFERROR(AP36/AK36-1,""),"")</f>
        <v/>
      </c>
      <c r="AQ37" s="24">
        <f>IF(AND(ISNUMBER(AQ36),ISNUMBER(AL36)),IFERROR(AQ36/AL36-1,""),"")</f>
        <v/>
      </c>
      <c r="AR37" s="24">
        <f>IF(AND(ISNUMBER(AR36),ISNUMBER(AM36)),IFERROR(AR36/AM36-1,""),"")</f>
        <v/>
      </c>
      <c r="AS37" s="24">
        <f>IF(AND(ISNUMBER(AS36),ISNUMBER(AN36)),IFERROR(AS36/AN36-1,""),"")</f>
        <v/>
      </c>
      <c r="AT37" s="24">
        <f>IF(AND(ISNUMBER(AT36),ISNUMBER(AO36)),IFERROR(AT36/AO36-1,""),"")</f>
        <v/>
      </c>
      <c r="AU37" s="25">
        <f>$AT$37+$AU$114</f>
        <v/>
      </c>
      <c r="AV37" s="25">
        <f>$AT$37+$AU$114</f>
        <v/>
      </c>
      <c r="AW37" s="25">
        <f>IFERROR(AW36/AR36-1,"")</f>
        <v/>
      </c>
      <c r="AX37" s="25">
        <f>CHOOSE(MATCH($BB$2,{"Bull","Base","Bear"},0),$BK$32,$BL$32,$BM$32)</f>
        <v/>
      </c>
      <c r="AY37" s="25">
        <f>CHOOSE(MATCH($BB$2,{"Bull","Base","Bear"},0),$BK$33,$BL$33,$BM$33)</f>
        <v/>
      </c>
      <c r="AZ37" s="25">
        <f>CHOOSE(MATCH($BB$2,{"Bull","Base","Bear"},0),$BK$34,$BL$34,$BM$34)</f>
        <v/>
      </c>
      <c r="BA37" s="25">
        <f>CHOOSE(MATCH($BB$2,{"Bull","Base","Bear"},0),$BK$35,$BL$35,$BM$35)</f>
        <v/>
      </c>
      <c r="BB37" s="19" t="inlineStr">
        <is>
          <t>Q2/26 +26% includes Trendyol Go (anniversaries Jun-26); calibration Δ brings Q3/26E to the outlook end-point.</t>
        </is>
      </c>
      <c r="BJ37" s="21" t="inlineStr">
        <is>
          <t>MOB_INC (Mobility incremental Segment OI margin on ΔGB)</t>
        </is>
      </c>
      <c r="BK37" s="153" t="n">
        <v>0.015</v>
      </c>
      <c r="BL37" s="22" t="inlineStr">
        <is>
          <t>Δ →</t>
        </is>
      </c>
      <c r="BM37" s="153" t="n">
        <v>-0.015</v>
      </c>
      <c r="BN37" s="13" t="inlineStr">
        <is>
          <t>FY25 9.6%; Q2/26 y/y 9.3%. Segment OI margin 7.4% of GB (FY25).</t>
        </is>
      </c>
    </row>
    <row r="38">
      <c r="B38" s="38" t="inlineStr">
        <is>
          <t xml:space="preserve">  Memo: Gross Bookings y/y % at constant currency (company)</t>
        </is>
      </c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40" t="n">
        <v>0.77</v>
      </c>
      <c r="M38" s="40" t="n">
        <v>0.73</v>
      </c>
      <c r="N38" s="39" t="n"/>
      <c r="O38" s="40" t="n">
        <v>0.54</v>
      </c>
      <c r="P38" s="40" t="n">
        <v>1.13</v>
      </c>
      <c r="Q38" s="40" t="n">
        <v>1.35</v>
      </c>
      <c r="R38" s="40" t="n">
        <v>1.28</v>
      </c>
      <c r="S38" s="39" t="n"/>
      <c r="T38" s="40" t="n">
        <v>1.57</v>
      </c>
      <c r="U38" s="40" t="n">
        <v>0.75</v>
      </c>
      <c r="V38" s="40" t="n">
        <v>0.46</v>
      </c>
      <c r="W38" s="40" t="n">
        <v>0.33</v>
      </c>
      <c r="X38" s="39" t="n"/>
      <c r="Y38" s="40" t="n">
        <v>0.15</v>
      </c>
      <c r="Z38" s="40" t="n">
        <v>0.12</v>
      </c>
      <c r="AA38" s="40" t="n">
        <v>0.13</v>
      </c>
      <c r="AB38" s="40" t="n">
        <v>0.14</v>
      </c>
      <c r="AC38" s="39" t="n"/>
      <c r="AD38" s="40" t="n">
        <v>0.12</v>
      </c>
      <c r="AE38" s="40" t="n">
        <v>0.14</v>
      </c>
      <c r="AF38" s="40" t="n">
        <v>0.16</v>
      </c>
      <c r="AG38" s="40" t="n">
        <v>0.17</v>
      </c>
      <c r="AH38" s="39" t="n"/>
      <c r="AI38" s="40" t="n">
        <v>0.17</v>
      </c>
      <c r="AJ38" s="40" t="n">
        <v>0.17</v>
      </c>
      <c r="AK38" s="40" t="n">
        <v>0.17</v>
      </c>
      <c r="AL38" s="40" t="n">
        <v>0.18</v>
      </c>
      <c r="AM38" s="39" t="n"/>
      <c r="AN38" s="40" t="n">
        <v>0.18</v>
      </c>
      <c r="AO38" s="40" t="n">
        <v>0.2</v>
      </c>
      <c r="AP38" s="40" t="n">
        <v>0.24</v>
      </c>
      <c r="AQ38" s="40" t="n">
        <v>0.26</v>
      </c>
      <c r="AR38" s="39" t="n"/>
      <c r="AS38" s="40" t="n">
        <v>0.23</v>
      </c>
      <c r="AT38" s="40" t="n">
        <v>0.25</v>
      </c>
      <c r="AU38" s="25" t="n"/>
      <c r="AV38" s="25" t="n"/>
      <c r="AW38" s="25" t="n"/>
      <c r="AX38" s="25" t="n"/>
      <c r="AY38" s="25" t="n"/>
      <c r="AZ38" s="25" t="n"/>
      <c r="BA38" s="25" t="n"/>
      <c r="BB38" s="26" t="n"/>
      <c r="BJ38" s="27" t="inlineStr">
        <is>
          <t xml:space="preserve">  2027E</t>
        </is>
      </c>
      <c r="BK38" s="33">
        <f>BL38+$BK$37</f>
        <v/>
      </c>
      <c r="BL38" s="34" t="n">
        <v>0.095</v>
      </c>
      <c r="BM38" s="33">
        <f>BL38+$BM$37</f>
        <v/>
      </c>
    </row>
    <row r="39">
      <c r="B39" s="16" t="inlineStr">
        <is>
          <t xml:space="preserve">  Revenue</t>
        </is>
      </c>
      <c r="C39" s="17" t="n">
        <v>103</v>
      </c>
      <c r="D39" s="17" t="n">
        <v>587</v>
      </c>
      <c r="E39" s="17" t="n">
        <v>283</v>
      </c>
      <c r="F39" s="17" t="n">
        <v>346</v>
      </c>
      <c r="G39" s="17" t="n">
        <v>394</v>
      </c>
      <c r="H39" s="17" t="n">
        <v>437</v>
      </c>
      <c r="I39" s="17" t="n">
        <v>1460</v>
      </c>
      <c r="J39" s="17" t="n">
        <v>536</v>
      </c>
      <c r="K39" s="17" t="n">
        <v>595</v>
      </c>
      <c r="L39" s="17" t="n">
        <v>645</v>
      </c>
      <c r="M39" s="17" t="n">
        <v>734</v>
      </c>
      <c r="N39" s="17" t="n">
        <v>2510</v>
      </c>
      <c r="O39" s="17" t="n">
        <v>527</v>
      </c>
      <c r="P39" s="17" t="n">
        <v>886</v>
      </c>
      <c r="Q39" s="17" t="n">
        <v>1136</v>
      </c>
      <c r="R39" s="17" t="n">
        <v>1356</v>
      </c>
      <c r="S39" s="36" t="n"/>
      <c r="T39" s="17" t="n">
        <v>1741</v>
      </c>
      <c r="U39" s="17" t="n">
        <v>1963</v>
      </c>
      <c r="V39" s="17" t="n">
        <v>2238</v>
      </c>
      <c r="W39" s="17" t="n">
        <v>2420</v>
      </c>
      <c r="X39" s="36" t="n"/>
      <c r="Y39" s="17" t="n">
        <v>2512</v>
      </c>
      <c r="Z39" s="17" t="n">
        <v>2688</v>
      </c>
      <c r="AA39" s="17" t="n">
        <v>2770</v>
      </c>
      <c r="AB39" s="17" t="n">
        <v>2931</v>
      </c>
      <c r="AC39" s="36" t="n"/>
      <c r="AD39" s="17" t="n">
        <v>3093</v>
      </c>
      <c r="AE39" s="17" t="n">
        <v>3057</v>
      </c>
      <c r="AF39" s="17" t="n">
        <v>2935</v>
      </c>
      <c r="AG39" s="17" t="n">
        <v>3119</v>
      </c>
      <c r="AH39" s="36" t="n"/>
      <c r="AI39" s="17" t="n">
        <v>3214</v>
      </c>
      <c r="AJ39" s="17" t="n">
        <v>3293</v>
      </c>
      <c r="AK39" s="17" t="n">
        <v>3470</v>
      </c>
      <c r="AL39" s="17" t="n">
        <v>3773</v>
      </c>
      <c r="AM39" s="36" t="n"/>
      <c r="AN39" s="17" t="n">
        <v>3777</v>
      </c>
      <c r="AO39" s="17" t="n">
        <v>4102</v>
      </c>
      <c r="AP39" s="17" t="n">
        <v>4477</v>
      </c>
      <c r="AQ39" s="17" t="n">
        <v>4892</v>
      </c>
      <c r="AR39" s="36" t="n"/>
      <c r="AS39" s="17" t="n">
        <v>5068</v>
      </c>
      <c r="AT39" s="17" t="n">
        <v>5245</v>
      </c>
      <c r="AU39" s="18">
        <f>AU36*AU41</f>
        <v/>
      </c>
      <c r="AV39" s="18">
        <f>AV36*AV41</f>
        <v/>
      </c>
      <c r="AW39" s="18">
        <f>SUM(AS39,AT39,AU39,AV39)</f>
        <v/>
      </c>
      <c r="AX39" s="18">
        <f>AX36*AX41</f>
        <v/>
      </c>
      <c r="AY39" s="18">
        <f>AY36*AY41</f>
        <v/>
      </c>
      <c r="AZ39" s="18">
        <f>AZ36*AZ41</f>
        <v/>
      </c>
      <c r="BA39" s="18">
        <f>BA36*BA41</f>
        <v/>
      </c>
      <c r="BB39" s="26" t="n"/>
      <c r="BD39" s="20">
        <f>IFERROR((BA39/AR39)^(1/5)-1,"")</f>
        <v/>
      </c>
      <c r="BE39" s="20">
        <f>IFERROR((AR39/S39)^(1/5)-1,"")</f>
        <v/>
      </c>
      <c r="BF39" s="20">
        <f>IFERROR((AR39/I39)^(1/7)-1,"")</f>
        <v/>
      </c>
      <c r="BG39" s="20">
        <f>IFERROR((AR39/C39)^(1/9)-1,"")</f>
        <v/>
      </c>
      <c r="BJ39" s="27" t="inlineStr">
        <is>
          <t xml:space="preserve">  2028E</t>
        </is>
      </c>
      <c r="BK39" s="33">
        <f>BL39+$BK$37</f>
        <v/>
      </c>
      <c r="BL39" s="34" t="n">
        <v>0.095</v>
      </c>
      <c r="BM39" s="33">
        <f>BL39+$BM$37</f>
        <v/>
      </c>
    </row>
    <row r="40">
      <c r="B40" s="23" t="inlineStr">
        <is>
          <t xml:space="preserve">  Revenue y/y %</t>
        </is>
      </c>
      <c r="C40" s="24" t="n"/>
      <c r="D40" s="24">
        <f>IF(AND(ISNUMBER(D39),ISNUMBER(C39)),IFERROR(D39/C39-1,""),"")</f>
        <v/>
      </c>
      <c r="E40" s="24" t="n"/>
      <c r="F40" s="24" t="n"/>
      <c r="G40" s="24" t="n"/>
      <c r="H40" s="24" t="n"/>
      <c r="I40" s="24">
        <f>IF(AND(ISNUMBER(I39),ISNUMBER(D39)),IFERROR(I39/D39-1,""),"")</f>
        <v/>
      </c>
      <c r="J40" s="24">
        <f>IF(AND(ISNUMBER(J39),ISNUMBER(E39)),IFERROR(J39/E39-1,""),"")</f>
        <v/>
      </c>
      <c r="K40" s="24">
        <f>IF(AND(ISNUMBER(K39),ISNUMBER(F39)),IFERROR(K39/F39-1,""),"")</f>
        <v/>
      </c>
      <c r="L40" s="24">
        <f>IF(AND(ISNUMBER(L39),ISNUMBER(G39)),IFERROR(L39/G39-1,""),"")</f>
        <v/>
      </c>
      <c r="M40" s="24">
        <f>IF(AND(ISNUMBER(M39),ISNUMBER(H39)),IFERROR(M39/H39-1,""),"")</f>
        <v/>
      </c>
      <c r="N40" s="24">
        <f>IF(AND(ISNUMBER(N39),ISNUMBER(I39)),IFERROR(N39/I39-1,""),"")</f>
        <v/>
      </c>
      <c r="O40" s="24">
        <f>IF(AND(ISNUMBER(O39),ISNUMBER(J39)),IFERROR(O39/J39-1,""),"")</f>
        <v/>
      </c>
      <c r="P40" s="24">
        <f>IF(AND(ISNUMBER(P39),ISNUMBER(K39)),IFERROR(P39/K39-1,""),"")</f>
        <v/>
      </c>
      <c r="Q40" s="24">
        <f>IF(AND(ISNUMBER(Q39),ISNUMBER(L39)),IFERROR(Q39/L39-1,""),"")</f>
        <v/>
      </c>
      <c r="R40" s="24">
        <f>IF(AND(ISNUMBER(R39),ISNUMBER(M39)),IFERROR(R39/M39-1,""),"")</f>
        <v/>
      </c>
      <c r="S40" s="24">
        <f>IF(AND(ISNUMBER(S39),ISNUMBER(N39)),IFERROR(S39/N39-1,""),"")</f>
        <v/>
      </c>
      <c r="T40" s="24">
        <f>IF(AND(ISNUMBER(T39),ISNUMBER(O39)),IFERROR(T39/O39-1,""),"")</f>
        <v/>
      </c>
      <c r="U40" s="24">
        <f>IF(AND(ISNUMBER(U39),ISNUMBER(P39)),IFERROR(U39/P39-1,""),"")</f>
        <v/>
      </c>
      <c r="V40" s="24">
        <f>IF(AND(ISNUMBER(V39),ISNUMBER(Q39)),IFERROR(V39/Q39-1,""),"")</f>
        <v/>
      </c>
      <c r="W40" s="24">
        <f>IF(AND(ISNUMBER(W39),ISNUMBER(R39)),IFERROR(W39/R39-1,""),"")</f>
        <v/>
      </c>
      <c r="X40" s="24">
        <f>IF(AND(ISNUMBER(X39),ISNUMBER(S39)),IFERROR(X39/S39-1,""),"")</f>
        <v/>
      </c>
      <c r="Y40" s="24">
        <f>IF(AND(ISNUMBER(Y39),ISNUMBER(T39)),IFERROR(Y39/T39-1,""),"")</f>
        <v/>
      </c>
      <c r="Z40" s="24">
        <f>IF(AND(ISNUMBER(Z39),ISNUMBER(U39)),IFERROR(Z39/U39-1,""),"")</f>
        <v/>
      </c>
      <c r="AA40" s="24">
        <f>IF(AND(ISNUMBER(AA39),ISNUMBER(V39)),IFERROR(AA39/V39-1,""),"")</f>
        <v/>
      </c>
      <c r="AB40" s="24">
        <f>IF(AND(ISNUMBER(AB39),ISNUMBER(W39)),IFERROR(AB39/W39-1,""),"")</f>
        <v/>
      </c>
      <c r="AC40" s="24">
        <f>IF(AND(ISNUMBER(AC39),ISNUMBER(X39)),IFERROR(AC39/X39-1,""),"")</f>
        <v/>
      </c>
      <c r="AD40" s="24">
        <f>IF(AND(ISNUMBER(AD39),ISNUMBER(Y39)),IFERROR(AD39/Y39-1,""),"")</f>
        <v/>
      </c>
      <c r="AE40" s="24">
        <f>IF(AND(ISNUMBER(AE39),ISNUMBER(Z39)),IFERROR(AE39/Z39-1,""),"")</f>
        <v/>
      </c>
      <c r="AF40" s="24">
        <f>IF(AND(ISNUMBER(AF39),ISNUMBER(AA39)),IFERROR(AF39/AA39-1,""),"")</f>
        <v/>
      </c>
      <c r="AG40" s="24">
        <f>IF(AND(ISNUMBER(AG39),ISNUMBER(AB39)),IFERROR(AG39/AB39-1,""),"")</f>
        <v/>
      </c>
      <c r="AH40" s="24">
        <f>IF(AND(ISNUMBER(AH39),ISNUMBER(AC39)),IFERROR(AH39/AC39-1,""),"")</f>
        <v/>
      </c>
      <c r="AI40" s="24">
        <f>IF(AND(ISNUMBER(AI39),ISNUMBER(AD39)),IFERROR(AI39/AD39-1,""),"")</f>
        <v/>
      </c>
      <c r="AJ40" s="24">
        <f>IF(AND(ISNUMBER(AJ39),ISNUMBER(AE39)),IFERROR(AJ39/AE39-1,""),"")</f>
        <v/>
      </c>
      <c r="AK40" s="24">
        <f>IF(AND(ISNUMBER(AK39),ISNUMBER(AF39)),IFERROR(AK39/AF39-1,""),"")</f>
        <v/>
      </c>
      <c r="AL40" s="24">
        <f>IF(AND(ISNUMBER(AL39),ISNUMBER(AG39)),IFERROR(AL39/AG39-1,""),"")</f>
        <v/>
      </c>
      <c r="AM40" s="24">
        <f>IF(AND(ISNUMBER(AM39),ISNUMBER(AH39)),IFERROR(AM39/AH39-1,""),"")</f>
        <v/>
      </c>
      <c r="AN40" s="24">
        <f>IF(AND(ISNUMBER(AN39),ISNUMBER(AI39)),IFERROR(AN39/AI39-1,""),"")</f>
        <v/>
      </c>
      <c r="AO40" s="24">
        <f>IF(AND(ISNUMBER(AO39),ISNUMBER(AJ39)),IFERROR(AO39/AJ39-1,""),"")</f>
        <v/>
      </c>
      <c r="AP40" s="24">
        <f>IF(AND(ISNUMBER(AP39),ISNUMBER(AK39)),IFERROR(AP39/AK39-1,""),"")</f>
        <v/>
      </c>
      <c r="AQ40" s="24">
        <f>IF(AND(ISNUMBER(AQ39),ISNUMBER(AL39)),IFERROR(AQ39/AL39-1,""),"")</f>
        <v/>
      </c>
      <c r="AR40" s="24">
        <f>IF(AND(ISNUMBER(AR39),ISNUMBER(AM39)),IFERROR(AR39/AM39-1,""),"")</f>
        <v/>
      </c>
      <c r="AS40" s="24">
        <f>IF(AND(ISNUMBER(AS39),ISNUMBER(AN39)),IFERROR(AS39/AN39-1,""),"")</f>
        <v/>
      </c>
      <c r="AT40" s="24">
        <f>IF(AND(ISNUMBER(AT39),ISNUMBER(AO39)),IFERROR(AT39/AO39-1,""),"")</f>
        <v/>
      </c>
      <c r="AU40" s="25">
        <f>IFERROR(AU39/AP39-1,"")</f>
        <v/>
      </c>
      <c r="AV40" s="25">
        <f>IFERROR(AV39/AQ39-1,"")</f>
        <v/>
      </c>
      <c r="AW40" s="25">
        <f>IFERROR(AW39/AR39-1,"")</f>
        <v/>
      </c>
      <c r="AX40" s="25">
        <f>IFERROR(AX39/AW39-1,"")</f>
        <v/>
      </c>
      <c r="AY40" s="25">
        <f>IFERROR(AY39/AX39-1,"")</f>
        <v/>
      </c>
      <c r="AZ40" s="25">
        <f>IFERROR(AZ39/AY39-1,"")</f>
        <v/>
      </c>
      <c r="BA40" s="25">
        <f>IFERROR(BA39/AZ39-1,"")</f>
        <v/>
      </c>
      <c r="BB40" s="26" t="n"/>
      <c r="BJ40" s="27" t="inlineStr">
        <is>
          <t xml:space="preserve">  2029E</t>
        </is>
      </c>
      <c r="BK40" s="33">
        <f>BL40+$BK$37</f>
        <v/>
      </c>
      <c r="BL40" s="34" t="n">
        <v>0.09</v>
      </c>
      <c r="BM40" s="33">
        <f>BL40+$BM$37</f>
        <v/>
      </c>
    </row>
    <row r="41">
      <c r="B41" s="27" t="inlineStr">
        <is>
          <t xml:space="preserve">  Take rate — revenue ÷ Gross Bookings %</t>
        </is>
      </c>
      <c r="C41" s="39">
        <f>IF(AND(ISNUMBER(C39),ISNUMBER(C36)),IFERROR(C39/C36,""),"")</f>
        <v/>
      </c>
      <c r="D41" s="39">
        <f>IF(AND(ISNUMBER(D39),ISNUMBER(D36)),IFERROR(D39/D36,""),"")</f>
        <v/>
      </c>
      <c r="E41" s="39">
        <f>IF(AND(ISNUMBER(E39),ISNUMBER(E36)),IFERROR(E39/E36,""),"")</f>
        <v/>
      </c>
      <c r="F41" s="39">
        <f>IF(AND(ISNUMBER(F39),ISNUMBER(F36)),IFERROR(F39/F36,""),"")</f>
        <v/>
      </c>
      <c r="G41" s="39">
        <f>IF(AND(ISNUMBER(G39),ISNUMBER(G36)),IFERROR(G39/G36,""),"")</f>
        <v/>
      </c>
      <c r="H41" s="39">
        <f>IF(AND(ISNUMBER(H39),ISNUMBER(H36)),IFERROR(H39/H36,""),"")</f>
        <v/>
      </c>
      <c r="I41" s="39">
        <f>IF(AND(ISNUMBER(I39),ISNUMBER(I36)),IFERROR(I39/I36,""),"")</f>
        <v/>
      </c>
      <c r="J41" s="39">
        <f>IF(AND(ISNUMBER(J39),ISNUMBER(J36)),IFERROR(J39/J36,""),"")</f>
        <v/>
      </c>
      <c r="K41" s="39">
        <f>IF(AND(ISNUMBER(K39),ISNUMBER(K36)),IFERROR(K39/K36,""),"")</f>
        <v/>
      </c>
      <c r="L41" s="39">
        <f>IF(AND(ISNUMBER(L39),ISNUMBER(L36)),IFERROR(L39/L36,""),"")</f>
        <v/>
      </c>
      <c r="M41" s="39">
        <f>IF(AND(ISNUMBER(M39),ISNUMBER(M36)),IFERROR(M39/M36,""),"")</f>
        <v/>
      </c>
      <c r="N41" s="39">
        <f>IF(AND(ISNUMBER(N39),ISNUMBER(N36)),IFERROR(N39/N36,""),"")</f>
        <v/>
      </c>
      <c r="O41" s="39">
        <f>IF(AND(ISNUMBER(O39),ISNUMBER(O36)),IFERROR(O39/O36,""),"")</f>
        <v/>
      </c>
      <c r="P41" s="39">
        <f>IF(AND(ISNUMBER(P39),ISNUMBER(P36)),IFERROR(P39/P36,""),"")</f>
        <v/>
      </c>
      <c r="Q41" s="39">
        <f>IF(AND(ISNUMBER(Q39),ISNUMBER(Q36)),IFERROR(Q39/Q36,""),"")</f>
        <v/>
      </c>
      <c r="R41" s="39">
        <f>IF(AND(ISNUMBER(R39),ISNUMBER(R36)),IFERROR(R39/R36,""),"")</f>
        <v/>
      </c>
      <c r="S41" s="39">
        <f>IF(AND(ISNUMBER(S39),ISNUMBER(S36)),IFERROR(S39/S36,""),"")</f>
        <v/>
      </c>
      <c r="T41" s="39">
        <f>IF(AND(ISNUMBER(T39),ISNUMBER(T36)),IFERROR(T39/T36,""),"")</f>
        <v/>
      </c>
      <c r="U41" s="39">
        <f>IF(AND(ISNUMBER(U39),ISNUMBER(U36)),IFERROR(U39/U36,""),"")</f>
        <v/>
      </c>
      <c r="V41" s="39">
        <f>IF(AND(ISNUMBER(V39),ISNUMBER(V36)),IFERROR(V39/V36,""),"")</f>
        <v/>
      </c>
      <c r="W41" s="39">
        <f>IF(AND(ISNUMBER(W39),ISNUMBER(W36)),IFERROR(W39/W36,""),"")</f>
        <v/>
      </c>
      <c r="X41" s="39">
        <f>IF(AND(ISNUMBER(X39),ISNUMBER(X36)),IFERROR(X39/X36,""),"")</f>
        <v/>
      </c>
      <c r="Y41" s="39">
        <f>IF(AND(ISNUMBER(Y39),ISNUMBER(Y36)),IFERROR(Y39/Y36,""),"")</f>
        <v/>
      </c>
      <c r="Z41" s="39">
        <f>IF(AND(ISNUMBER(Z39),ISNUMBER(Z36)),IFERROR(Z39/Z36,""),"")</f>
        <v/>
      </c>
      <c r="AA41" s="39">
        <f>IF(AND(ISNUMBER(AA39),ISNUMBER(AA36)),IFERROR(AA39/AA36,""),"")</f>
        <v/>
      </c>
      <c r="AB41" s="39">
        <f>IF(AND(ISNUMBER(AB39),ISNUMBER(AB36)),IFERROR(AB39/AB36,""),"")</f>
        <v/>
      </c>
      <c r="AC41" s="39">
        <f>IF(AND(ISNUMBER(AC39),ISNUMBER(AC36)),IFERROR(AC39/AC36,""),"")</f>
        <v/>
      </c>
      <c r="AD41" s="39">
        <f>IF(AND(ISNUMBER(AD39),ISNUMBER(AD36)),IFERROR(AD39/AD36,""),"")</f>
        <v/>
      </c>
      <c r="AE41" s="39">
        <f>IF(AND(ISNUMBER(AE39),ISNUMBER(AE36)),IFERROR(AE39/AE36,""),"")</f>
        <v/>
      </c>
      <c r="AF41" s="39">
        <f>IF(AND(ISNUMBER(AF39),ISNUMBER(AF36)),IFERROR(AF39/AF36,""),"")</f>
        <v/>
      </c>
      <c r="AG41" s="39">
        <f>IF(AND(ISNUMBER(AG39),ISNUMBER(AG36)),IFERROR(AG39/AG36,""),"")</f>
        <v/>
      </c>
      <c r="AH41" s="39">
        <f>IF(AND(ISNUMBER(AH39),ISNUMBER(AH36)),IFERROR(AH39/AH36,""),"")</f>
        <v/>
      </c>
      <c r="AI41" s="39">
        <f>IF(AND(ISNUMBER(AI39),ISNUMBER(AI36)),IFERROR(AI39/AI36,""),"")</f>
        <v/>
      </c>
      <c r="AJ41" s="39">
        <f>IF(AND(ISNUMBER(AJ39),ISNUMBER(AJ36)),IFERROR(AJ39/AJ36,""),"")</f>
        <v/>
      </c>
      <c r="AK41" s="39">
        <f>IF(AND(ISNUMBER(AK39),ISNUMBER(AK36)),IFERROR(AK39/AK36,""),"")</f>
        <v/>
      </c>
      <c r="AL41" s="39">
        <f>IF(AND(ISNUMBER(AL39),ISNUMBER(AL36)),IFERROR(AL39/AL36,""),"")</f>
        <v/>
      </c>
      <c r="AM41" s="39">
        <f>IF(AND(ISNUMBER(AM39),ISNUMBER(AM36)),IFERROR(AM39/AM36,""),"")</f>
        <v/>
      </c>
      <c r="AN41" s="39">
        <f>IF(AND(ISNUMBER(AN39),ISNUMBER(AN36)),IFERROR(AN39/AN36,""),"")</f>
        <v/>
      </c>
      <c r="AO41" s="39">
        <f>IF(AND(ISNUMBER(AO39),ISNUMBER(AO36)),IFERROR(AO39/AO36,""),"")</f>
        <v/>
      </c>
      <c r="AP41" s="39">
        <f>IF(AND(ISNUMBER(AP39),ISNUMBER(AP36)),IFERROR(AP39/AP36,""),"")</f>
        <v/>
      </c>
      <c r="AQ41" s="39">
        <f>IF(AND(ISNUMBER(AQ39),ISNUMBER(AQ36)),IFERROR(AQ39/AQ36,""),"")</f>
        <v/>
      </c>
      <c r="AR41" s="39">
        <f>IF(AND(ISNUMBER(AR39),ISNUMBER(AR36)),IFERROR(AR39/AR36,""),"")</f>
        <v/>
      </c>
      <c r="AS41" s="39">
        <f>IF(AND(ISNUMBER(AS39),ISNUMBER(AS36)),IFERROR(AS39/AS36,""),"")</f>
        <v/>
      </c>
      <c r="AT41" s="39">
        <f>IF(AND(ISNUMBER(AT39),ISNUMBER(AT36)),IFERROR(AT39/AT36,""),"")</f>
        <v/>
      </c>
      <c r="AU41" s="25">
        <f>AP41*($AT$41/$AO$41)</f>
        <v/>
      </c>
      <c r="AV41" s="25">
        <f>AQ41*($AT$41/$AO$41)</f>
        <v/>
      </c>
      <c r="AW41" s="25">
        <f>IF(AND(ISNUMBER(AW39),ISNUMBER(AW36)),IFERROR(AW39/AW36,""),"")</f>
        <v/>
      </c>
      <c r="AX41" s="25">
        <f>AW41</f>
        <v/>
      </c>
      <c r="AY41" s="25">
        <f>AX41</f>
        <v/>
      </c>
      <c r="AZ41" s="25">
        <f>AY41</f>
        <v/>
      </c>
      <c r="BA41" s="25">
        <f>AZ41</f>
        <v/>
      </c>
      <c r="BB41" s="26" t="n"/>
      <c r="BJ41" s="27" t="inlineStr">
        <is>
          <t xml:space="preserve">  2030E</t>
        </is>
      </c>
      <c r="BK41" s="33">
        <f>BL41+$BK$37</f>
        <v/>
      </c>
      <c r="BL41" s="34" t="n">
        <v>0.09</v>
      </c>
      <c r="BM41" s="33">
        <f>BL41+$BM$37</f>
        <v/>
      </c>
    </row>
    <row r="42">
      <c r="B42" s="16" t="inlineStr">
        <is>
          <t xml:space="preserve">  Segment Operating Income (2026 measure; recast from Q1/24)</t>
        </is>
      </c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17" t="n">
        <v>428</v>
      </c>
      <c r="AJ42" s="17" t="n">
        <v>514</v>
      </c>
      <c r="AK42" s="17" t="n">
        <v>544</v>
      </c>
      <c r="AL42" s="17" t="n">
        <v>639</v>
      </c>
      <c r="AM42" s="17" t="n">
        <v>2125</v>
      </c>
      <c r="AN42" s="17" t="n">
        <v>671</v>
      </c>
      <c r="AO42" s="17" t="n">
        <v>766</v>
      </c>
      <c r="AP42" s="17" t="n">
        <v>811</v>
      </c>
      <c r="AQ42" s="17" t="n">
        <v>905</v>
      </c>
      <c r="AR42" s="17" t="n">
        <v>3153</v>
      </c>
      <c r="AS42" s="17" t="n">
        <v>961</v>
      </c>
      <c r="AT42" s="17" t="n">
        <v>1055</v>
      </c>
      <c r="AU42" s="18">
        <f>AU36*AU44</f>
        <v/>
      </c>
      <c r="AV42" s="18">
        <f>AV36*AV44</f>
        <v/>
      </c>
      <c r="AW42" s="18">
        <f>SUM(AS42,AT42,AU42,AV42)</f>
        <v/>
      </c>
      <c r="AX42" s="18">
        <f>AW42+(AX36-AW36)*AX45</f>
        <v/>
      </c>
      <c r="AY42" s="18">
        <f>AX42+(AY36-AX36)*AY45</f>
        <v/>
      </c>
      <c r="AZ42" s="18">
        <f>AY42+(AZ36-AY36)*AZ45</f>
        <v/>
      </c>
      <c r="BA42" s="18">
        <f>AZ42+(BA36-AZ36)*BA45</f>
        <v/>
      </c>
      <c r="BB42" s="26" t="n"/>
    </row>
    <row r="43">
      <c r="B43" s="27" t="inlineStr">
        <is>
          <t xml:space="preserve">  Segment OI % of GB before outlook calibration (Q3/Q4-26E helper)</t>
        </is>
      </c>
      <c r="C43" s="39" t="n"/>
      <c r="D43" s="39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  <c r="AG43" s="39" t="n"/>
      <c r="AH43" s="39" t="n"/>
      <c r="AI43" s="39" t="n"/>
      <c r="AJ43" s="39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25">
        <f>AP44+($AS$42+$AT$42)/($AS$36+$AT$36)-($AN$42+$AO$42)/($AN$36+$AO$36)</f>
        <v/>
      </c>
      <c r="AV43" s="25">
        <f>AQ44+($AS$42+$AT$42)/($AS$36+$AT$36)-($AN$42+$AO$42)/($AN$36+$AO$36)</f>
        <v/>
      </c>
      <c r="AW43" s="25" t="n"/>
      <c r="AX43" s="25" t="n"/>
      <c r="AY43" s="25" t="n"/>
      <c r="AZ43" s="25" t="n"/>
      <c r="BA43" s="25" t="n"/>
      <c r="BB43" s="26" t="n"/>
      <c r="BJ43" s="21" t="inlineStr">
        <is>
          <t>DEL_INC (Delivery incremental Segment OI margin on ΔGB)</t>
        </is>
      </c>
      <c r="BK43" s="153" t="n">
        <v>0.015</v>
      </c>
      <c r="BL43" s="22" t="inlineStr">
        <is>
          <t>Δ →</t>
        </is>
      </c>
      <c r="BM43" s="153" t="n">
        <v>-0.015</v>
      </c>
      <c r="BN43" s="13" t="inlineStr">
        <is>
          <t>FY25 6.3%; Q2/26 y/y 5.0%. Segment OI margin 3.5% of GB (FY25).</t>
        </is>
      </c>
    </row>
    <row r="44">
      <c r="B44" s="27" t="inlineStr">
        <is>
          <t xml:space="preserve">  Segment Operating Income % of Gross Bookings</t>
        </is>
      </c>
      <c r="C44" s="39">
        <f>IF(AND(ISNUMBER(C42),ISNUMBER(C36)),IFERROR(C42/C36,""),"")</f>
        <v/>
      </c>
      <c r="D44" s="39">
        <f>IF(AND(ISNUMBER(D42),ISNUMBER(D36)),IFERROR(D42/D36,""),"")</f>
        <v/>
      </c>
      <c r="E44" s="39">
        <f>IF(AND(ISNUMBER(E42),ISNUMBER(E36)),IFERROR(E42/E36,""),"")</f>
        <v/>
      </c>
      <c r="F44" s="39">
        <f>IF(AND(ISNUMBER(F42),ISNUMBER(F36)),IFERROR(F42/F36,""),"")</f>
        <v/>
      </c>
      <c r="G44" s="39">
        <f>IF(AND(ISNUMBER(G42),ISNUMBER(G36)),IFERROR(G42/G36,""),"")</f>
        <v/>
      </c>
      <c r="H44" s="39">
        <f>IF(AND(ISNUMBER(H42),ISNUMBER(H36)),IFERROR(H42/H36,""),"")</f>
        <v/>
      </c>
      <c r="I44" s="39">
        <f>IF(AND(ISNUMBER(I42),ISNUMBER(I36)),IFERROR(I42/I36,""),"")</f>
        <v/>
      </c>
      <c r="J44" s="39">
        <f>IF(AND(ISNUMBER(J42),ISNUMBER(J36)),IFERROR(J42/J36,""),"")</f>
        <v/>
      </c>
      <c r="K44" s="39">
        <f>IF(AND(ISNUMBER(K42),ISNUMBER(K36)),IFERROR(K42/K36,""),"")</f>
        <v/>
      </c>
      <c r="L44" s="39">
        <f>IF(AND(ISNUMBER(L42),ISNUMBER(L36)),IFERROR(L42/L36,""),"")</f>
        <v/>
      </c>
      <c r="M44" s="39">
        <f>IF(AND(ISNUMBER(M42),ISNUMBER(M36)),IFERROR(M42/M36,""),"")</f>
        <v/>
      </c>
      <c r="N44" s="39">
        <f>IF(AND(ISNUMBER(N42),ISNUMBER(N36)),IFERROR(N42/N36,""),"")</f>
        <v/>
      </c>
      <c r="O44" s="39">
        <f>IF(AND(ISNUMBER(O42),ISNUMBER(O36)),IFERROR(O42/O36,""),"")</f>
        <v/>
      </c>
      <c r="P44" s="39">
        <f>IF(AND(ISNUMBER(P42),ISNUMBER(P36)),IFERROR(P42/P36,""),"")</f>
        <v/>
      </c>
      <c r="Q44" s="39">
        <f>IF(AND(ISNUMBER(Q42),ISNUMBER(Q36)),IFERROR(Q42/Q36,""),"")</f>
        <v/>
      </c>
      <c r="R44" s="39">
        <f>IF(AND(ISNUMBER(R42),ISNUMBER(R36)),IFERROR(R42/R36,""),"")</f>
        <v/>
      </c>
      <c r="S44" s="39">
        <f>IF(AND(ISNUMBER(S42),ISNUMBER(S36)),IFERROR(S42/S36,""),"")</f>
        <v/>
      </c>
      <c r="T44" s="39">
        <f>IF(AND(ISNUMBER(T42),ISNUMBER(T36)),IFERROR(T42/T36,""),"")</f>
        <v/>
      </c>
      <c r="U44" s="39">
        <f>IF(AND(ISNUMBER(U42),ISNUMBER(U36)),IFERROR(U42/U36,""),"")</f>
        <v/>
      </c>
      <c r="V44" s="39">
        <f>IF(AND(ISNUMBER(V42),ISNUMBER(V36)),IFERROR(V42/V36,""),"")</f>
        <v/>
      </c>
      <c r="W44" s="39">
        <f>IF(AND(ISNUMBER(W42),ISNUMBER(W36)),IFERROR(W42/W36,""),"")</f>
        <v/>
      </c>
      <c r="X44" s="39">
        <f>IF(AND(ISNUMBER(X42),ISNUMBER(X36)),IFERROR(X42/X36,""),"")</f>
        <v/>
      </c>
      <c r="Y44" s="39">
        <f>IF(AND(ISNUMBER(Y42),ISNUMBER(Y36)),IFERROR(Y42/Y36,""),"")</f>
        <v/>
      </c>
      <c r="Z44" s="39">
        <f>IF(AND(ISNUMBER(Z42),ISNUMBER(Z36)),IFERROR(Z42/Z36,""),"")</f>
        <v/>
      </c>
      <c r="AA44" s="39">
        <f>IF(AND(ISNUMBER(AA42),ISNUMBER(AA36)),IFERROR(AA42/AA36,""),"")</f>
        <v/>
      </c>
      <c r="AB44" s="39">
        <f>IF(AND(ISNUMBER(AB42),ISNUMBER(AB36)),IFERROR(AB42/AB36,""),"")</f>
        <v/>
      </c>
      <c r="AC44" s="39">
        <f>IF(AND(ISNUMBER(AC42),ISNUMBER(AC36)),IFERROR(AC42/AC36,""),"")</f>
        <v/>
      </c>
      <c r="AD44" s="39">
        <f>IF(AND(ISNUMBER(AD42),ISNUMBER(AD36)),IFERROR(AD42/AD36,""),"")</f>
        <v/>
      </c>
      <c r="AE44" s="39">
        <f>IF(AND(ISNUMBER(AE42),ISNUMBER(AE36)),IFERROR(AE42/AE36,""),"")</f>
        <v/>
      </c>
      <c r="AF44" s="39">
        <f>IF(AND(ISNUMBER(AF42),ISNUMBER(AF36)),IFERROR(AF42/AF36,""),"")</f>
        <v/>
      </c>
      <c r="AG44" s="39">
        <f>IF(AND(ISNUMBER(AG42),ISNUMBER(AG36)),IFERROR(AG42/AG36,""),"")</f>
        <v/>
      </c>
      <c r="AH44" s="39">
        <f>IF(AND(ISNUMBER(AH42),ISNUMBER(AH36)),IFERROR(AH42/AH36,""),"")</f>
        <v/>
      </c>
      <c r="AI44" s="39">
        <f>IF(AND(ISNUMBER(AI42),ISNUMBER(AI36)),IFERROR(AI42/AI36,""),"")</f>
        <v/>
      </c>
      <c r="AJ44" s="39">
        <f>IF(AND(ISNUMBER(AJ42),ISNUMBER(AJ36)),IFERROR(AJ42/AJ36,""),"")</f>
        <v/>
      </c>
      <c r="AK44" s="39">
        <f>IF(AND(ISNUMBER(AK42),ISNUMBER(AK36)),IFERROR(AK42/AK36,""),"")</f>
        <v/>
      </c>
      <c r="AL44" s="39">
        <f>IF(AND(ISNUMBER(AL42),ISNUMBER(AL36)),IFERROR(AL42/AL36,""),"")</f>
        <v/>
      </c>
      <c r="AM44" s="39">
        <f>IF(AND(ISNUMBER(AM42),ISNUMBER(AM36)),IFERROR(AM42/AM36,""),"")</f>
        <v/>
      </c>
      <c r="AN44" s="39">
        <f>IF(AND(ISNUMBER(AN42),ISNUMBER(AN36)),IFERROR(AN42/AN36,""),"")</f>
        <v/>
      </c>
      <c r="AO44" s="39">
        <f>IF(AND(ISNUMBER(AO42),ISNUMBER(AO36)),IFERROR(AO42/AO36,""),"")</f>
        <v/>
      </c>
      <c r="AP44" s="39">
        <f>IF(AND(ISNUMBER(AP42),ISNUMBER(AP36)),IFERROR(AP42/AP36,""),"")</f>
        <v/>
      </c>
      <c r="AQ44" s="39">
        <f>IF(AND(ISNUMBER(AQ42),ISNUMBER(AQ36)),IFERROR(AQ42/AQ36,""),"")</f>
        <v/>
      </c>
      <c r="AR44" s="39">
        <f>IF(AND(ISNUMBER(AR42),ISNUMBER(AR36)),IFERROR(AR42/AR36,""),"")</f>
        <v/>
      </c>
      <c r="AS44" s="39">
        <f>IF(AND(ISNUMBER(AS42),ISNUMBER(AS36)),IFERROR(AS42/AS36,""),"")</f>
        <v/>
      </c>
      <c r="AT44" s="39">
        <f>IF(AND(ISNUMBER(AT42),ISNUMBER(AT36)),IFERROR(AT42/AT36,""),"")</f>
        <v/>
      </c>
      <c r="AU44" s="25">
        <f>AU43+$AU$117</f>
        <v/>
      </c>
      <c r="AV44" s="25">
        <f>AV43+$AU$117</f>
        <v/>
      </c>
      <c r="AW44" s="25">
        <f>IF(AND(ISNUMBER(AW42),ISNUMBER(AW36)),IFERROR(AW42/AW36,""),"")</f>
        <v/>
      </c>
      <c r="AX44" s="25">
        <f>IF(AND(ISNUMBER(AX42),ISNUMBER(AX36)),IFERROR(AX42/AX36,""),"")</f>
        <v/>
      </c>
      <c r="AY44" s="25">
        <f>IF(AND(ISNUMBER(AY42),ISNUMBER(AY36)),IFERROR(AY42/AY36,""),"")</f>
        <v/>
      </c>
      <c r="AZ44" s="25">
        <f>IF(AND(ISNUMBER(AZ42),ISNUMBER(AZ36)),IFERROR(AZ42/AZ36,""),"")</f>
        <v/>
      </c>
      <c r="BA44" s="25">
        <f>IF(AND(ISNUMBER(BA42),ISNUMBER(BA36)),IFERROR(BA42/BA36,""),"")</f>
        <v/>
      </c>
      <c r="BB44" s="26" t="n"/>
      <c r="BJ44" s="27" t="inlineStr">
        <is>
          <t xml:space="preserve">  2027E</t>
        </is>
      </c>
      <c r="BK44" s="33">
        <f>BL44+$BK$43</f>
        <v/>
      </c>
      <c r="BL44" s="34" t="n">
        <v>0.06</v>
      </c>
      <c r="BM44" s="33">
        <f>BL44+$BM$43</f>
        <v/>
      </c>
    </row>
    <row r="45">
      <c r="B45" s="27" t="inlineStr">
        <is>
          <t xml:space="preserve">  Incremental Segment OI margin on Δ Gross Bookings (y/y) %</t>
        </is>
      </c>
      <c r="C45" s="39" t="n"/>
      <c r="D45" s="39">
        <f>IF(AND(ISNUMBER(D42),ISNUMBER(C42)),IFERROR((D42-C42)/(D36-C36),""),"")</f>
        <v/>
      </c>
      <c r="E45" s="39" t="n"/>
      <c r="F45" s="39" t="n"/>
      <c r="G45" s="39" t="n"/>
      <c r="H45" s="39" t="n"/>
      <c r="I45" s="39">
        <f>IF(AND(ISNUMBER(I42),ISNUMBER(D42)),IFERROR((I42-D42)/(I36-D36),""),"")</f>
        <v/>
      </c>
      <c r="J45" s="39">
        <f>IF(AND(ISNUMBER(J42),ISNUMBER(E42)),IFERROR((J42-E42)/(J36-E36),""),"")</f>
        <v/>
      </c>
      <c r="K45" s="39">
        <f>IF(AND(ISNUMBER(K42),ISNUMBER(F42)),IFERROR((K42-F42)/(K36-F36),""),"")</f>
        <v/>
      </c>
      <c r="L45" s="39">
        <f>IF(AND(ISNUMBER(L42),ISNUMBER(G42)),IFERROR((L42-G42)/(L36-G36),""),"")</f>
        <v/>
      </c>
      <c r="M45" s="39">
        <f>IF(AND(ISNUMBER(M42),ISNUMBER(H42)),IFERROR((M42-H42)/(M36-H36),""),"")</f>
        <v/>
      </c>
      <c r="N45" s="39">
        <f>IF(AND(ISNUMBER(N42),ISNUMBER(I42)),IFERROR((N42-I42)/(N36-I36),""),"")</f>
        <v/>
      </c>
      <c r="O45" s="39">
        <f>IF(AND(ISNUMBER(O42),ISNUMBER(J42)),IFERROR((O42-J42)/(O36-J36),""),"")</f>
        <v/>
      </c>
      <c r="P45" s="39">
        <f>IF(AND(ISNUMBER(P42),ISNUMBER(K42)),IFERROR((P42-K42)/(P36-K36),""),"")</f>
        <v/>
      </c>
      <c r="Q45" s="39">
        <f>IF(AND(ISNUMBER(Q42),ISNUMBER(L42)),IFERROR((Q42-L42)/(Q36-L36),""),"")</f>
        <v/>
      </c>
      <c r="R45" s="39">
        <f>IF(AND(ISNUMBER(R42),ISNUMBER(M42)),IFERROR((R42-M42)/(R36-M36),""),"")</f>
        <v/>
      </c>
      <c r="S45" s="39">
        <f>IF(AND(ISNUMBER(S42),ISNUMBER(N42)),IFERROR((S42-N42)/(S36-N36),""),"")</f>
        <v/>
      </c>
      <c r="T45" s="39">
        <f>IF(AND(ISNUMBER(T42),ISNUMBER(O42)),IFERROR((T42-O42)/(T36-O36),""),"")</f>
        <v/>
      </c>
      <c r="U45" s="39">
        <f>IF(AND(ISNUMBER(U42),ISNUMBER(P42)),IFERROR((U42-P42)/(U36-P36),""),"")</f>
        <v/>
      </c>
      <c r="V45" s="39">
        <f>IF(AND(ISNUMBER(V42),ISNUMBER(Q42)),IFERROR((V42-Q42)/(V36-Q36),""),"")</f>
        <v/>
      </c>
      <c r="W45" s="39">
        <f>IF(AND(ISNUMBER(W42),ISNUMBER(R42)),IFERROR((W42-R42)/(W36-R36),""),"")</f>
        <v/>
      </c>
      <c r="X45" s="39">
        <f>IF(AND(ISNUMBER(X42),ISNUMBER(S42)),IFERROR((X42-S42)/(X36-S36),""),"")</f>
        <v/>
      </c>
      <c r="Y45" s="39">
        <f>IF(AND(ISNUMBER(Y42),ISNUMBER(T42)),IFERROR((Y42-T42)/(Y36-T36),""),"")</f>
        <v/>
      </c>
      <c r="Z45" s="39">
        <f>IF(AND(ISNUMBER(Z42),ISNUMBER(U42)),IFERROR((Z42-U42)/(Z36-U36),""),"")</f>
        <v/>
      </c>
      <c r="AA45" s="39">
        <f>IF(AND(ISNUMBER(AA42),ISNUMBER(V42)),IFERROR((AA42-V42)/(AA36-V36),""),"")</f>
        <v/>
      </c>
      <c r="AB45" s="39">
        <f>IF(AND(ISNUMBER(AB42),ISNUMBER(W42)),IFERROR((AB42-W42)/(AB36-W36),""),"")</f>
        <v/>
      </c>
      <c r="AC45" s="39">
        <f>IF(AND(ISNUMBER(AC42),ISNUMBER(X42)),IFERROR((AC42-X42)/(AC36-X36),""),"")</f>
        <v/>
      </c>
      <c r="AD45" s="39">
        <f>IF(AND(ISNUMBER(AD42),ISNUMBER(Y42)),IFERROR((AD42-Y42)/(AD36-Y36),""),"")</f>
        <v/>
      </c>
      <c r="AE45" s="39">
        <f>IF(AND(ISNUMBER(AE42),ISNUMBER(Z42)),IFERROR((AE42-Z42)/(AE36-Z36),""),"")</f>
        <v/>
      </c>
      <c r="AF45" s="39">
        <f>IF(AND(ISNUMBER(AF42),ISNUMBER(AA42)),IFERROR((AF42-AA42)/(AF36-AA36),""),"")</f>
        <v/>
      </c>
      <c r="AG45" s="39">
        <f>IF(AND(ISNUMBER(AG42),ISNUMBER(AB42)),IFERROR((AG42-AB42)/(AG36-AB36),""),"")</f>
        <v/>
      </c>
      <c r="AH45" s="39">
        <f>IF(AND(ISNUMBER(AH42),ISNUMBER(AC42)),IFERROR((AH42-AC42)/(AH36-AC36),""),"")</f>
        <v/>
      </c>
      <c r="AI45" s="39">
        <f>IF(AND(ISNUMBER(AI42),ISNUMBER(AD42)),IFERROR((AI42-AD42)/(AI36-AD36),""),"")</f>
        <v/>
      </c>
      <c r="AJ45" s="39">
        <f>IF(AND(ISNUMBER(AJ42),ISNUMBER(AE42)),IFERROR((AJ42-AE42)/(AJ36-AE36),""),"")</f>
        <v/>
      </c>
      <c r="AK45" s="39">
        <f>IF(AND(ISNUMBER(AK42),ISNUMBER(AF42)),IFERROR((AK42-AF42)/(AK36-AF36),""),"")</f>
        <v/>
      </c>
      <c r="AL45" s="39">
        <f>IF(AND(ISNUMBER(AL42),ISNUMBER(AG42)),IFERROR((AL42-AG42)/(AL36-AG36),""),"")</f>
        <v/>
      </c>
      <c r="AM45" s="39">
        <f>IF(AND(ISNUMBER(AM42),ISNUMBER(AH42)),IFERROR((AM42-AH42)/(AM36-AH36),""),"")</f>
        <v/>
      </c>
      <c r="AN45" s="39">
        <f>IF(AND(ISNUMBER(AN42),ISNUMBER(AI42)),IFERROR((AN42-AI42)/(AN36-AI36),""),"")</f>
        <v/>
      </c>
      <c r="AO45" s="39">
        <f>IF(AND(ISNUMBER(AO42),ISNUMBER(AJ42)),IFERROR((AO42-AJ42)/(AO36-AJ36),""),"")</f>
        <v/>
      </c>
      <c r="AP45" s="39">
        <f>IF(AND(ISNUMBER(AP42),ISNUMBER(AK42)),IFERROR((AP42-AK42)/(AP36-AK36),""),"")</f>
        <v/>
      </c>
      <c r="AQ45" s="39">
        <f>IF(AND(ISNUMBER(AQ42),ISNUMBER(AL42)),IFERROR((AQ42-AL42)/(AQ36-AL36),""),"")</f>
        <v/>
      </c>
      <c r="AR45" s="39">
        <f>IF(AND(ISNUMBER(AR42),ISNUMBER(AM42)),IFERROR((AR42-AM42)/(AR36-AM36),""),"")</f>
        <v/>
      </c>
      <c r="AS45" s="39">
        <f>IF(AND(ISNUMBER(AS42),ISNUMBER(AN42)),IFERROR((AS42-AN42)/(AS36-AN36),""),"")</f>
        <v/>
      </c>
      <c r="AT45" s="39">
        <f>IF(AND(ISNUMBER(AT42),ISNUMBER(AO42)),IFERROR((AT42-AO42)/(AT36-AO36),""),"")</f>
        <v/>
      </c>
      <c r="AU45" s="25">
        <f>IFERROR((AU42-AP42)/(AU36-AP36),"")</f>
        <v/>
      </c>
      <c r="AV45" s="25">
        <f>IFERROR((AV42-AQ42)/(AV36-AQ36),"")</f>
        <v/>
      </c>
      <c r="AW45" s="25">
        <f>IFERROR((AW42-AR42)/(AW36-AR36),"")</f>
        <v/>
      </c>
      <c r="AX45" s="25">
        <f>CHOOSE(MATCH($BB$2,{"Bull","Base","Bear"},0),$BK$44,$BL$44,$BM$44)</f>
        <v/>
      </c>
      <c r="AY45" s="25">
        <f>CHOOSE(MATCH($BB$2,{"Bull","Base","Bear"},0),$BK$45,$BL$45,$BM$45)</f>
        <v/>
      </c>
      <c r="AZ45" s="25">
        <f>CHOOSE(MATCH($BB$2,{"Bull","Base","Bear"},0),$BK$46,$BL$46,$BM$46)</f>
        <v/>
      </c>
      <c r="BA45" s="25">
        <f>CHOOSE(MATCH($BB$2,{"Bull","Base","Bear"},0),$BK$47,$BL$47,$BM$47)</f>
        <v/>
      </c>
      <c r="BB45" s="19" t="inlineStr">
        <is>
          <t>FY25 6.3% (advertising, Uber One, grocery scale). 2027E+: scenario lever DEL_INC.</t>
        </is>
      </c>
      <c r="BJ45" s="27" t="inlineStr">
        <is>
          <t xml:space="preserve">  2028E</t>
        </is>
      </c>
      <c r="BK45" s="33">
        <f>BL45+$BK$43</f>
        <v/>
      </c>
      <c r="BL45" s="34" t="n">
        <v>0.06</v>
      </c>
      <c r="BM45" s="33">
        <f>BL45+$BM$43</f>
        <v/>
      </c>
    </row>
    <row r="46">
      <c r="BJ46" s="27" t="inlineStr">
        <is>
          <t xml:space="preserve">  2029E</t>
        </is>
      </c>
      <c r="BK46" s="33">
        <f>BL46+$BK$43</f>
        <v/>
      </c>
      <c r="BL46" s="34" t="n">
        <v>0.06</v>
      </c>
      <c r="BM46" s="33">
        <f>BL46+$BM$43</f>
        <v/>
      </c>
    </row>
    <row r="47">
      <c r="B47" s="14" t="inlineStr">
        <is>
          <t>Freight (Uber Freight brokerage &amp; managed transportation; Transplace from Nov-21; Gross Bookings = revenue)</t>
        </is>
      </c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  <c r="BA47" s="14" t="n"/>
      <c r="BB47" s="15" t="inlineStr">
        <is>
          <t>FREIGHT — modelling logic</t>
        </is>
      </c>
      <c r="BJ47" s="27" t="inlineStr">
        <is>
          <t xml:space="preserve">  2030E</t>
        </is>
      </c>
      <c r="BK47" s="33">
        <f>BL47+$BK$43</f>
        <v/>
      </c>
      <c r="BL47" s="34" t="n">
        <v>0.06</v>
      </c>
      <c r="BM47" s="33">
        <f>BL47+$BM$43</f>
        <v/>
      </c>
    </row>
    <row r="48">
      <c r="B48" s="16" t="inlineStr">
        <is>
          <t xml:space="preserve">  Gross Bookings (= revenue)</t>
        </is>
      </c>
      <c r="C48" s="36" t="n"/>
      <c r="D48" s="36" t="n"/>
      <c r="E48" s="36" t="n"/>
      <c r="F48" s="36" t="n"/>
      <c r="G48" s="17" t="n">
        <v>123</v>
      </c>
      <c r="H48" s="17" t="n">
        <v>126</v>
      </c>
      <c r="I48" s="36" t="n"/>
      <c r="J48" s="17" t="n">
        <v>128</v>
      </c>
      <c r="K48" s="17" t="n">
        <v>167</v>
      </c>
      <c r="L48" s="17" t="n">
        <v>223</v>
      </c>
      <c r="M48" s="17" t="n">
        <v>219</v>
      </c>
      <c r="N48" s="36" t="n"/>
      <c r="O48" s="17" t="n">
        <v>198</v>
      </c>
      <c r="P48" s="17" t="n">
        <v>212</v>
      </c>
      <c r="Q48" s="17" t="n">
        <v>290</v>
      </c>
      <c r="R48" s="17" t="n">
        <v>313</v>
      </c>
      <c r="S48" s="36" t="n"/>
      <c r="T48" s="17" t="n">
        <v>302</v>
      </c>
      <c r="U48" s="17" t="n">
        <v>348</v>
      </c>
      <c r="V48" s="17" t="n">
        <v>402</v>
      </c>
      <c r="W48" s="17" t="n">
        <v>1082</v>
      </c>
      <c r="X48" s="36" t="n"/>
      <c r="Y48" s="17" t="n">
        <v>1823</v>
      </c>
      <c r="Z48" s="17" t="n">
        <v>1838</v>
      </c>
      <c r="AA48" s="17" t="n">
        <v>1751</v>
      </c>
      <c r="AB48" s="17" t="n">
        <v>1540</v>
      </c>
      <c r="AC48" s="36" t="n"/>
      <c r="AD48" s="17" t="n">
        <v>1401</v>
      </c>
      <c r="AE48" s="17" t="n">
        <v>1278</v>
      </c>
      <c r="AF48" s="17" t="n">
        <v>1284</v>
      </c>
      <c r="AG48" s="17" t="n">
        <v>1279</v>
      </c>
      <c r="AH48" s="36" t="n"/>
      <c r="AI48" s="17" t="n">
        <v>1282</v>
      </c>
      <c r="AJ48" s="17" t="n">
        <v>1272</v>
      </c>
      <c r="AK48" s="17" t="n">
        <v>1308</v>
      </c>
      <c r="AL48" s="17" t="n">
        <v>1273</v>
      </c>
      <c r="AM48" s="36" t="n"/>
      <c r="AN48" s="17" t="n">
        <v>1259</v>
      </c>
      <c r="AO48" s="17" t="n">
        <v>1260</v>
      </c>
      <c r="AP48" s="17" t="n">
        <v>1307</v>
      </c>
      <c r="AQ48" s="17" t="n">
        <v>1267</v>
      </c>
      <c r="AR48" s="36" t="n"/>
      <c r="AS48" s="17" t="n">
        <v>1334</v>
      </c>
      <c r="AT48" s="17" t="n">
        <v>1571</v>
      </c>
      <c r="AU48" s="18">
        <f>AP48*(1+AU49)</f>
        <v/>
      </c>
      <c r="AV48" s="18">
        <f>AQ48*(1+AV49)</f>
        <v/>
      </c>
      <c r="AW48" s="18">
        <f>SUM(AS48,AT48,AU48,AV48)</f>
        <v/>
      </c>
      <c r="AX48" s="18">
        <f>AW48*(1+AX49)</f>
        <v/>
      </c>
      <c r="AY48" s="18">
        <f>AX48*(1+AY49)</f>
        <v/>
      </c>
      <c r="AZ48" s="18">
        <f>AY48*(1+AZ49)</f>
        <v/>
      </c>
      <c r="BA48" s="18">
        <f>AZ48*(1+BA49)</f>
        <v/>
      </c>
      <c r="BB48" s="26" t="n"/>
      <c r="BD48" s="20">
        <f>IFERROR((BA48/AR48)^(1/5)-1,"")</f>
        <v/>
      </c>
      <c r="BE48" s="20">
        <f>IFERROR((AR48/S48)^(1/5)-1,"")</f>
        <v/>
      </c>
      <c r="BF48" s="20">
        <f>IFERROR((AR48/I48)^(1/7)-1,"")</f>
        <v/>
      </c>
      <c r="BG48" s="20">
        <f>IFERROR((AR48/C48)^(1/9)-1,"")</f>
        <v/>
      </c>
    </row>
    <row r="49">
      <c r="B49" s="23" t="inlineStr">
        <is>
          <t xml:space="preserve">  Gross Bookings y/y %</t>
        </is>
      </c>
      <c r="C49" s="24" t="n"/>
      <c r="D49" s="24">
        <f>IF(AND(ISNUMBER(D48),ISNUMBER(C48)),IFERROR(D48/C48-1,""),"")</f>
        <v/>
      </c>
      <c r="E49" s="24" t="n"/>
      <c r="F49" s="24" t="n"/>
      <c r="G49" s="24" t="n"/>
      <c r="H49" s="24" t="n"/>
      <c r="I49" s="24">
        <f>IF(AND(ISNUMBER(I48),ISNUMBER(D48)),IFERROR(I48/D48-1,""),"")</f>
        <v/>
      </c>
      <c r="J49" s="24">
        <f>IF(AND(ISNUMBER(J48),ISNUMBER(E48)),IFERROR(J48/E48-1,""),"")</f>
        <v/>
      </c>
      <c r="K49" s="24">
        <f>IF(AND(ISNUMBER(K48),ISNUMBER(F48)),IFERROR(K48/F48-1,""),"")</f>
        <v/>
      </c>
      <c r="L49" s="24">
        <f>IF(AND(ISNUMBER(L48),ISNUMBER(G48)),IFERROR(L48/G48-1,""),"")</f>
        <v/>
      </c>
      <c r="M49" s="24">
        <f>IF(AND(ISNUMBER(M48),ISNUMBER(H48)),IFERROR(M48/H48-1,""),"")</f>
        <v/>
      </c>
      <c r="N49" s="24">
        <f>IF(AND(ISNUMBER(N48),ISNUMBER(I48)),IFERROR(N48/I48-1,""),"")</f>
        <v/>
      </c>
      <c r="O49" s="24">
        <f>IF(AND(ISNUMBER(O48),ISNUMBER(J48)),IFERROR(O48/J48-1,""),"")</f>
        <v/>
      </c>
      <c r="P49" s="24">
        <f>IF(AND(ISNUMBER(P48),ISNUMBER(K48)),IFERROR(P48/K48-1,""),"")</f>
        <v/>
      </c>
      <c r="Q49" s="24">
        <f>IF(AND(ISNUMBER(Q48),ISNUMBER(L48)),IFERROR(Q48/L48-1,""),"")</f>
        <v/>
      </c>
      <c r="R49" s="24">
        <f>IF(AND(ISNUMBER(R48),ISNUMBER(M48)),IFERROR(R48/M48-1,""),"")</f>
        <v/>
      </c>
      <c r="S49" s="24">
        <f>IF(AND(ISNUMBER(S48),ISNUMBER(N48)),IFERROR(S48/N48-1,""),"")</f>
        <v/>
      </c>
      <c r="T49" s="24">
        <f>IF(AND(ISNUMBER(T48),ISNUMBER(O48)),IFERROR(T48/O48-1,""),"")</f>
        <v/>
      </c>
      <c r="U49" s="24">
        <f>IF(AND(ISNUMBER(U48),ISNUMBER(P48)),IFERROR(U48/P48-1,""),"")</f>
        <v/>
      </c>
      <c r="V49" s="24">
        <f>IF(AND(ISNUMBER(V48),ISNUMBER(Q48)),IFERROR(V48/Q48-1,""),"")</f>
        <v/>
      </c>
      <c r="W49" s="24">
        <f>IF(AND(ISNUMBER(W48),ISNUMBER(R48)),IFERROR(W48/R48-1,""),"")</f>
        <v/>
      </c>
      <c r="X49" s="24">
        <f>IF(AND(ISNUMBER(X48),ISNUMBER(S48)),IFERROR(X48/S48-1,""),"")</f>
        <v/>
      </c>
      <c r="Y49" s="24">
        <f>IF(AND(ISNUMBER(Y48),ISNUMBER(T48)),IFERROR(Y48/T48-1,""),"")</f>
        <v/>
      </c>
      <c r="Z49" s="24">
        <f>IF(AND(ISNUMBER(Z48),ISNUMBER(U48)),IFERROR(Z48/U48-1,""),"")</f>
        <v/>
      </c>
      <c r="AA49" s="24">
        <f>IF(AND(ISNUMBER(AA48),ISNUMBER(V48)),IFERROR(AA48/V48-1,""),"")</f>
        <v/>
      </c>
      <c r="AB49" s="24">
        <f>IF(AND(ISNUMBER(AB48),ISNUMBER(W48)),IFERROR(AB48/W48-1,""),"")</f>
        <v/>
      </c>
      <c r="AC49" s="24">
        <f>IF(AND(ISNUMBER(AC48),ISNUMBER(X48)),IFERROR(AC48/X48-1,""),"")</f>
        <v/>
      </c>
      <c r="AD49" s="24">
        <f>IF(AND(ISNUMBER(AD48),ISNUMBER(Y48)),IFERROR(AD48/Y48-1,""),"")</f>
        <v/>
      </c>
      <c r="AE49" s="24">
        <f>IF(AND(ISNUMBER(AE48),ISNUMBER(Z48)),IFERROR(AE48/Z48-1,""),"")</f>
        <v/>
      </c>
      <c r="AF49" s="24">
        <f>IF(AND(ISNUMBER(AF48),ISNUMBER(AA48)),IFERROR(AF48/AA48-1,""),"")</f>
        <v/>
      </c>
      <c r="AG49" s="24">
        <f>IF(AND(ISNUMBER(AG48),ISNUMBER(AB48)),IFERROR(AG48/AB48-1,""),"")</f>
        <v/>
      </c>
      <c r="AH49" s="24">
        <f>IF(AND(ISNUMBER(AH48),ISNUMBER(AC48)),IFERROR(AH48/AC48-1,""),"")</f>
        <v/>
      </c>
      <c r="AI49" s="24">
        <f>IF(AND(ISNUMBER(AI48),ISNUMBER(AD48)),IFERROR(AI48/AD48-1,""),"")</f>
        <v/>
      </c>
      <c r="AJ49" s="24">
        <f>IF(AND(ISNUMBER(AJ48),ISNUMBER(AE48)),IFERROR(AJ48/AE48-1,""),"")</f>
        <v/>
      </c>
      <c r="AK49" s="24">
        <f>IF(AND(ISNUMBER(AK48),ISNUMBER(AF48)),IFERROR(AK48/AF48-1,""),"")</f>
        <v/>
      </c>
      <c r="AL49" s="24">
        <f>IF(AND(ISNUMBER(AL48),ISNUMBER(AG48)),IFERROR(AL48/AG48-1,""),"")</f>
        <v/>
      </c>
      <c r="AM49" s="24">
        <f>IF(AND(ISNUMBER(AM48),ISNUMBER(AH48)),IFERROR(AM48/AH48-1,""),"")</f>
        <v/>
      </c>
      <c r="AN49" s="24">
        <f>IF(AND(ISNUMBER(AN48),ISNUMBER(AI48)),IFERROR(AN48/AI48-1,""),"")</f>
        <v/>
      </c>
      <c r="AO49" s="24">
        <f>IF(AND(ISNUMBER(AO48),ISNUMBER(AJ48)),IFERROR(AO48/AJ48-1,""),"")</f>
        <v/>
      </c>
      <c r="AP49" s="24">
        <f>IF(AND(ISNUMBER(AP48),ISNUMBER(AK48)),IFERROR(AP48/AK48-1,""),"")</f>
        <v/>
      </c>
      <c r="AQ49" s="24">
        <f>IF(AND(ISNUMBER(AQ48),ISNUMBER(AL48)),IFERROR(AQ48/AL48-1,""),"")</f>
        <v/>
      </c>
      <c r="AR49" s="24">
        <f>IF(AND(ISNUMBER(AR48),ISNUMBER(AM48)),IFERROR(AR48/AM48-1,""),"")</f>
        <v/>
      </c>
      <c r="AS49" s="24">
        <f>IF(AND(ISNUMBER(AS48),ISNUMBER(AN48)),IFERROR(AS48/AN48-1,""),"")</f>
        <v/>
      </c>
      <c r="AT49" s="24">
        <f>IF(AND(ISNUMBER(AT48),ISNUMBER(AO48)),IFERROR(AT48/AO48-1,""),"")</f>
        <v/>
      </c>
      <c r="AU49" s="25">
        <f>$AT$49</f>
        <v/>
      </c>
      <c r="AV49" s="25">
        <f>$AT$49</f>
        <v/>
      </c>
      <c r="AW49" s="25">
        <f>IFERROR(AW48/AR48-1,"")</f>
        <v/>
      </c>
      <c r="AX49" s="25">
        <f>CHOOSE(MATCH($BB$2,{"Bull","Base","Bear"},0),$BK$50,$BL$50,$BM$50)</f>
        <v/>
      </c>
      <c r="AY49" s="25">
        <f>CHOOSE(MATCH($BB$2,{"Bull","Base","Bear"},0),$BK$51,$BL$51,$BM$51)</f>
        <v/>
      </c>
      <c r="AZ49" s="25">
        <f>CHOOSE(MATCH($BB$2,{"Bull","Base","Bear"},0),$BK$52,$BL$52,$BM$52)</f>
        <v/>
      </c>
      <c r="BA49" s="25">
        <f>CHOOSE(MATCH($BB$2,{"Bull","Base","Bear"},0),$BK$53,$BL$53,$BM$53)</f>
        <v/>
      </c>
      <c r="BB49" s="19" t="inlineStr">
        <is>
          <t>Q3/Q4-26E: Q2/26 y/y (not calibrated). 2027E+: scenario lever FRT_GR.</t>
        </is>
      </c>
      <c r="BJ49" s="21" t="inlineStr">
        <is>
          <t>FRT_GR (Freight revenue y/y)</t>
        </is>
      </c>
      <c r="BK49" s="153" t="n">
        <v>0.04</v>
      </c>
      <c r="BL49" s="22" t="inlineStr">
        <is>
          <t>Δ →</t>
        </is>
      </c>
      <c r="BM49" s="153" t="n">
        <v>-0.04</v>
      </c>
      <c r="BN49" s="13" t="inlineStr">
        <is>
          <t>FY25 −1%; Q2/26 +25% (freight-cycle recovery, acquisitions).</t>
        </is>
      </c>
    </row>
    <row r="50">
      <c r="B50" s="16" t="inlineStr">
        <is>
          <t xml:space="preserve">  Revenue</t>
        </is>
      </c>
      <c r="C50" s="36" t="n"/>
      <c r="D50" s="36" t="n"/>
      <c r="E50" s="36" t="n"/>
      <c r="F50" s="36" t="n"/>
      <c r="G50" s="17" t="n">
        <v>122</v>
      </c>
      <c r="H50" s="17" t="n">
        <v>125</v>
      </c>
      <c r="I50" s="36" t="n"/>
      <c r="J50" s="17" t="n">
        <v>127</v>
      </c>
      <c r="K50" s="17" t="n">
        <v>167</v>
      </c>
      <c r="L50" s="17" t="n">
        <v>218</v>
      </c>
      <c r="M50" s="17" t="n">
        <v>219</v>
      </c>
      <c r="N50" s="36" t="n"/>
      <c r="O50" s="17" t="n">
        <v>199</v>
      </c>
      <c r="P50" s="17" t="n">
        <v>211</v>
      </c>
      <c r="Q50" s="17" t="n">
        <v>288</v>
      </c>
      <c r="R50" s="17" t="n">
        <v>313</v>
      </c>
      <c r="S50" s="36" t="n"/>
      <c r="T50" s="17" t="n">
        <v>301</v>
      </c>
      <c r="U50" s="17" t="n">
        <v>348</v>
      </c>
      <c r="V50" s="17" t="n">
        <v>402</v>
      </c>
      <c r="W50" s="17" t="n">
        <v>1080</v>
      </c>
      <c r="X50" s="36" t="n"/>
      <c r="Y50" s="17" t="n">
        <v>1824</v>
      </c>
      <c r="Z50" s="17" t="n">
        <v>1832</v>
      </c>
      <c r="AA50" s="17" t="n">
        <v>1751</v>
      </c>
      <c r="AB50" s="17" t="n">
        <v>1540</v>
      </c>
      <c r="AC50" s="36" t="n"/>
      <c r="AD50" s="17" t="n">
        <v>1400</v>
      </c>
      <c r="AE50" s="17" t="n">
        <v>1279</v>
      </c>
      <c r="AF50" s="17" t="n">
        <v>1286</v>
      </c>
      <c r="AG50" s="17" t="n">
        <v>1280</v>
      </c>
      <c r="AH50" s="36" t="n"/>
      <c r="AI50" s="17" t="n">
        <v>1284</v>
      </c>
      <c r="AJ50" s="17" t="n">
        <v>1273</v>
      </c>
      <c r="AK50" s="17" t="n">
        <v>1309</v>
      </c>
      <c r="AL50" s="17" t="n">
        <v>1275</v>
      </c>
      <c r="AM50" s="36" t="n"/>
      <c r="AN50" s="17" t="n">
        <v>1260</v>
      </c>
      <c r="AO50" s="17" t="n">
        <v>1261</v>
      </c>
      <c r="AP50" s="17" t="n">
        <v>1308</v>
      </c>
      <c r="AQ50" s="17" t="n">
        <v>1270</v>
      </c>
      <c r="AR50" s="36" t="n"/>
      <c r="AS50" s="17" t="n">
        <v>1337</v>
      </c>
      <c r="AT50" s="17" t="n">
        <v>1583</v>
      </c>
      <c r="AU50" s="18">
        <f>AU48</f>
        <v/>
      </c>
      <c r="AV50" s="18">
        <f>AV48</f>
        <v/>
      </c>
      <c r="AW50" s="18">
        <f>SUM(AS50,AT50,AU50,AV50)</f>
        <v/>
      </c>
      <c r="AX50" s="18">
        <f>AX48</f>
        <v/>
      </c>
      <c r="AY50" s="18">
        <f>AY48</f>
        <v/>
      </c>
      <c r="AZ50" s="18">
        <f>AZ48</f>
        <v/>
      </c>
      <c r="BA50" s="18">
        <f>BA48</f>
        <v/>
      </c>
      <c r="BB50" s="26" t="n"/>
      <c r="BJ50" s="27" t="inlineStr">
        <is>
          <t xml:space="preserve">  2027E</t>
        </is>
      </c>
      <c r="BK50" s="33">
        <f>BL50+$BK$49</f>
        <v/>
      </c>
      <c r="BL50" s="34" t="n">
        <v>0.08</v>
      </c>
      <c r="BM50" s="33">
        <f>BL50+$BM$49</f>
        <v/>
      </c>
    </row>
    <row r="51">
      <c r="B51" s="16" t="inlineStr">
        <is>
          <t xml:space="preserve">  Segment Operating Income (2026 measure; recast from Q1/24)</t>
        </is>
      </c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17" t="n">
        <v>-42</v>
      </c>
      <c r="AJ51" s="17" t="n">
        <v>-33</v>
      </c>
      <c r="AK51" s="17" t="n">
        <v>-39</v>
      </c>
      <c r="AL51" s="17" t="n">
        <v>-41</v>
      </c>
      <c r="AM51" s="17" t="n">
        <v>-155</v>
      </c>
      <c r="AN51" s="17" t="n">
        <v>-25</v>
      </c>
      <c r="AO51" s="17" t="n">
        <v>-26</v>
      </c>
      <c r="AP51" s="17" t="n">
        <v>-40</v>
      </c>
      <c r="AQ51" s="17" t="n">
        <v>-18</v>
      </c>
      <c r="AR51" s="17" t="n">
        <v>-109</v>
      </c>
      <c r="AS51" s="17" t="n">
        <v>-30</v>
      </c>
      <c r="AT51" s="17" t="n">
        <v>-24</v>
      </c>
      <c r="AU51" s="18">
        <f>AU50*AU52</f>
        <v/>
      </c>
      <c r="AV51" s="18">
        <f>AV50*AV52</f>
        <v/>
      </c>
      <c r="AW51" s="18">
        <f>SUM(AS51,AT51,AU51,AV51)</f>
        <v/>
      </c>
      <c r="AX51" s="18">
        <f>AX50*AX52</f>
        <v/>
      </c>
      <c r="AY51" s="18">
        <f>AY50*AY52</f>
        <v/>
      </c>
      <c r="AZ51" s="18">
        <f>AZ50*AZ52</f>
        <v/>
      </c>
      <c r="BA51" s="18">
        <f>BA50*BA52</f>
        <v/>
      </c>
      <c r="BB51" s="26" t="n"/>
      <c r="BJ51" s="27" t="inlineStr">
        <is>
          <t xml:space="preserve">  2028E</t>
        </is>
      </c>
      <c r="BK51" s="33">
        <f>BL51+$BK$49</f>
        <v/>
      </c>
      <c r="BL51" s="34" t="n">
        <v>0.07000000000000001</v>
      </c>
      <c r="BM51" s="33">
        <f>BL51+$BM$49</f>
        <v/>
      </c>
    </row>
    <row r="52">
      <c r="B52" s="27" t="inlineStr">
        <is>
          <t xml:space="preserve">  Segment Operating Income % of revenue</t>
        </is>
      </c>
      <c r="C52" s="39">
        <f>IF(AND(ISNUMBER(C51),ISNUMBER(C50)),IFERROR(C51/C50,""),"")</f>
        <v/>
      </c>
      <c r="D52" s="39">
        <f>IF(AND(ISNUMBER(D51),ISNUMBER(D50)),IFERROR(D51/D50,""),"")</f>
        <v/>
      </c>
      <c r="E52" s="39">
        <f>IF(AND(ISNUMBER(E51),ISNUMBER(E50)),IFERROR(E51/E50,""),"")</f>
        <v/>
      </c>
      <c r="F52" s="39">
        <f>IF(AND(ISNUMBER(F51),ISNUMBER(F50)),IFERROR(F51/F50,""),"")</f>
        <v/>
      </c>
      <c r="G52" s="39">
        <f>IF(AND(ISNUMBER(G51),ISNUMBER(G50)),IFERROR(G51/G50,""),"")</f>
        <v/>
      </c>
      <c r="H52" s="39">
        <f>IF(AND(ISNUMBER(H51),ISNUMBER(H50)),IFERROR(H51/H50,""),"")</f>
        <v/>
      </c>
      <c r="I52" s="39">
        <f>IF(AND(ISNUMBER(I51),ISNUMBER(I50)),IFERROR(I51/I50,""),"")</f>
        <v/>
      </c>
      <c r="J52" s="39">
        <f>IF(AND(ISNUMBER(J51),ISNUMBER(J50)),IFERROR(J51/J50,""),"")</f>
        <v/>
      </c>
      <c r="K52" s="39">
        <f>IF(AND(ISNUMBER(K51),ISNUMBER(K50)),IFERROR(K51/K50,""),"")</f>
        <v/>
      </c>
      <c r="L52" s="39">
        <f>IF(AND(ISNUMBER(L51),ISNUMBER(L50)),IFERROR(L51/L50,""),"")</f>
        <v/>
      </c>
      <c r="M52" s="39">
        <f>IF(AND(ISNUMBER(M51),ISNUMBER(M50)),IFERROR(M51/M50,""),"")</f>
        <v/>
      </c>
      <c r="N52" s="39">
        <f>IF(AND(ISNUMBER(N51),ISNUMBER(N50)),IFERROR(N51/N50,""),"")</f>
        <v/>
      </c>
      <c r="O52" s="39">
        <f>IF(AND(ISNUMBER(O51),ISNUMBER(O50)),IFERROR(O51/O50,""),"")</f>
        <v/>
      </c>
      <c r="P52" s="39">
        <f>IF(AND(ISNUMBER(P51),ISNUMBER(P50)),IFERROR(P51/P50,""),"")</f>
        <v/>
      </c>
      <c r="Q52" s="39">
        <f>IF(AND(ISNUMBER(Q51),ISNUMBER(Q50)),IFERROR(Q51/Q50,""),"")</f>
        <v/>
      </c>
      <c r="R52" s="39">
        <f>IF(AND(ISNUMBER(R51),ISNUMBER(R50)),IFERROR(R51/R50,""),"")</f>
        <v/>
      </c>
      <c r="S52" s="39">
        <f>IF(AND(ISNUMBER(S51),ISNUMBER(S50)),IFERROR(S51/S50,""),"")</f>
        <v/>
      </c>
      <c r="T52" s="39">
        <f>IF(AND(ISNUMBER(T51),ISNUMBER(T50)),IFERROR(T51/T50,""),"")</f>
        <v/>
      </c>
      <c r="U52" s="39">
        <f>IF(AND(ISNUMBER(U51),ISNUMBER(U50)),IFERROR(U51/U50,""),"")</f>
        <v/>
      </c>
      <c r="V52" s="39">
        <f>IF(AND(ISNUMBER(V51),ISNUMBER(V50)),IFERROR(V51/V50,""),"")</f>
        <v/>
      </c>
      <c r="W52" s="39">
        <f>IF(AND(ISNUMBER(W51),ISNUMBER(W50)),IFERROR(W51/W50,""),"")</f>
        <v/>
      </c>
      <c r="X52" s="39">
        <f>IF(AND(ISNUMBER(X51),ISNUMBER(X50)),IFERROR(X51/X50,""),"")</f>
        <v/>
      </c>
      <c r="Y52" s="39">
        <f>IF(AND(ISNUMBER(Y51),ISNUMBER(Y50)),IFERROR(Y51/Y50,""),"")</f>
        <v/>
      </c>
      <c r="Z52" s="39">
        <f>IF(AND(ISNUMBER(Z51),ISNUMBER(Z50)),IFERROR(Z51/Z50,""),"")</f>
        <v/>
      </c>
      <c r="AA52" s="39">
        <f>IF(AND(ISNUMBER(AA51),ISNUMBER(AA50)),IFERROR(AA51/AA50,""),"")</f>
        <v/>
      </c>
      <c r="AB52" s="39">
        <f>IF(AND(ISNUMBER(AB51),ISNUMBER(AB50)),IFERROR(AB51/AB50,""),"")</f>
        <v/>
      </c>
      <c r="AC52" s="39">
        <f>IF(AND(ISNUMBER(AC51),ISNUMBER(AC50)),IFERROR(AC51/AC50,""),"")</f>
        <v/>
      </c>
      <c r="AD52" s="39">
        <f>IF(AND(ISNUMBER(AD51),ISNUMBER(AD50)),IFERROR(AD51/AD50,""),"")</f>
        <v/>
      </c>
      <c r="AE52" s="39">
        <f>IF(AND(ISNUMBER(AE51),ISNUMBER(AE50)),IFERROR(AE51/AE50,""),"")</f>
        <v/>
      </c>
      <c r="AF52" s="39">
        <f>IF(AND(ISNUMBER(AF51),ISNUMBER(AF50)),IFERROR(AF51/AF50,""),"")</f>
        <v/>
      </c>
      <c r="AG52" s="39">
        <f>IF(AND(ISNUMBER(AG51),ISNUMBER(AG50)),IFERROR(AG51/AG50,""),"")</f>
        <v/>
      </c>
      <c r="AH52" s="39">
        <f>IF(AND(ISNUMBER(AH51),ISNUMBER(AH50)),IFERROR(AH51/AH50,""),"")</f>
        <v/>
      </c>
      <c r="AI52" s="39">
        <f>IF(AND(ISNUMBER(AI51),ISNUMBER(AI50)),IFERROR(AI51/AI50,""),"")</f>
        <v/>
      </c>
      <c r="AJ52" s="39">
        <f>IF(AND(ISNUMBER(AJ51),ISNUMBER(AJ50)),IFERROR(AJ51/AJ50,""),"")</f>
        <v/>
      </c>
      <c r="AK52" s="39">
        <f>IF(AND(ISNUMBER(AK51),ISNUMBER(AK50)),IFERROR(AK51/AK50,""),"")</f>
        <v/>
      </c>
      <c r="AL52" s="39">
        <f>IF(AND(ISNUMBER(AL51),ISNUMBER(AL50)),IFERROR(AL51/AL50,""),"")</f>
        <v/>
      </c>
      <c r="AM52" s="39">
        <f>IF(AND(ISNUMBER(AM51),ISNUMBER(AM50)),IFERROR(AM51/AM50,""),"")</f>
        <v/>
      </c>
      <c r="AN52" s="39">
        <f>IF(AND(ISNUMBER(AN51),ISNUMBER(AN50)),IFERROR(AN51/AN50,""),"")</f>
        <v/>
      </c>
      <c r="AO52" s="39">
        <f>IF(AND(ISNUMBER(AO51),ISNUMBER(AO50)),IFERROR(AO51/AO50,""),"")</f>
        <v/>
      </c>
      <c r="AP52" s="39">
        <f>IF(AND(ISNUMBER(AP51),ISNUMBER(AP50)),IFERROR(AP51/AP50,""),"")</f>
        <v/>
      </c>
      <c r="AQ52" s="39">
        <f>IF(AND(ISNUMBER(AQ51),ISNUMBER(AQ50)),IFERROR(AQ51/AQ50,""),"")</f>
        <v/>
      </c>
      <c r="AR52" s="39">
        <f>IF(AND(ISNUMBER(AR51),ISNUMBER(AR50)),IFERROR(AR51/AR50,""),"")</f>
        <v/>
      </c>
      <c r="AS52" s="39">
        <f>IF(AND(ISNUMBER(AS51),ISNUMBER(AS50)),IFERROR(AS51/AS50,""),"")</f>
        <v/>
      </c>
      <c r="AT52" s="39">
        <f>IF(AND(ISNUMBER(AT51),ISNUMBER(AT50)),IFERROR(AT51/AT50,""),"")</f>
        <v/>
      </c>
      <c r="AU52" s="25">
        <f>AP52+($AS$51+$AT$51)/($AS$50+$AT$50)-($AN$51+$AO$51)/($AN$50+$AO$50)</f>
        <v/>
      </c>
      <c r="AV52" s="25">
        <f>AQ52+($AS$51+$AT$51)/($AS$50+$AT$50)-($AN$51+$AO$51)/($AN$50+$AO$50)</f>
        <v/>
      </c>
      <c r="AW52" s="25">
        <f>IF(AND(ISNUMBER(AW51),ISNUMBER(AW50)),IFERROR(AW51/AW50,""),"")</f>
        <v/>
      </c>
      <c r="AX52" s="25">
        <f>CHOOSE(MATCH($BB$2,{"Bull","Base","Bear"},0),$BK$56,$BL$56,$BM$56)</f>
        <v/>
      </c>
      <c r="AY52" s="25">
        <f>CHOOSE(MATCH($BB$2,{"Bull","Base","Bear"},0),$BK$57,$BL$57,$BM$57)</f>
        <v/>
      </c>
      <c r="AZ52" s="25">
        <f>CHOOSE(MATCH($BB$2,{"Bull","Base","Bear"},0),$BK$58,$BL$58,$BM$58)</f>
        <v/>
      </c>
      <c r="BA52" s="25">
        <f>CHOOSE(MATCH($BB$2,{"Bull","Base","Bear"},0),$BK$59,$BL$59,$BM$59)</f>
        <v/>
      </c>
      <c r="BB52" s="19" t="inlineStr">
        <is>
          <t>Q3/Q4-26E: prior-year quarter + 1H drift. 2027E+: scenario lever FRT_M (freight-cycle recovery).</t>
        </is>
      </c>
      <c r="BJ52" s="27" t="inlineStr">
        <is>
          <t xml:space="preserve">  2029E</t>
        </is>
      </c>
      <c r="BK52" s="33">
        <f>BL52+$BK$49</f>
        <v/>
      </c>
      <c r="BL52" s="34" t="n">
        <v>0.06</v>
      </c>
      <c r="BM52" s="33">
        <f>BL52+$BM$49</f>
        <v/>
      </c>
    </row>
    <row r="53">
      <c r="BJ53" s="27" t="inlineStr">
        <is>
          <t xml:space="preserve">  2030E</t>
        </is>
      </c>
      <c r="BK53" s="33">
        <f>BL53+$BK$49</f>
        <v/>
      </c>
      <c r="BL53" s="34" t="n">
        <v>0.05</v>
      </c>
      <c r="BM53" s="33">
        <f>BL53+$BM$49</f>
        <v/>
      </c>
    </row>
    <row r="54">
      <c r="B54" s="14" t="inlineStr">
        <is>
          <t>Other Bets, ATG &amp; items not allocated to segments (legacy 2016–2020)</t>
        </is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5" t="inlineStr">
        <is>
          <t>LEGACY — historical only; JUMP to Lime (May-20), ATG to Aurora (Jan-21), Other Bets wound down 2020</t>
        </is>
      </c>
    </row>
    <row r="55" outlineLevel="1">
      <c r="B55" s="27" t="inlineStr">
        <is>
          <t xml:space="preserve">  Other Bets — Gross Bookings (JUMP, Transit, other; to Q2/20)</t>
        </is>
      </c>
      <c r="C55" s="43" t="n"/>
      <c r="D55" s="44" t="n">
        <v>67</v>
      </c>
      <c r="E55" s="44" t="n">
        <v>40</v>
      </c>
      <c r="F55" s="44" t="n">
        <v>72</v>
      </c>
      <c r="G55" s="44" t="n">
        <v>3</v>
      </c>
      <c r="H55" s="44" t="n">
        <v>3</v>
      </c>
      <c r="I55" s="44" t="n">
        <v>367</v>
      </c>
      <c r="J55" s="44" t="n">
        <v>4</v>
      </c>
      <c r="K55" s="44" t="n">
        <v>15</v>
      </c>
      <c r="L55" s="44" t="n">
        <v>30</v>
      </c>
      <c r="M55" s="44" t="n">
        <v>26</v>
      </c>
      <c r="N55" s="43" t="n"/>
      <c r="O55" s="44" t="n">
        <v>21</v>
      </c>
      <c r="P55" s="44" t="n">
        <v>5</v>
      </c>
      <c r="Q55" s="44" t="n">
        <v>0</v>
      </c>
      <c r="R55" s="44" t="n">
        <v>0</v>
      </c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  <c r="AO55" s="43" t="n"/>
      <c r="AP55" s="43" t="n"/>
      <c r="AQ55" s="43" t="n"/>
      <c r="AR55" s="43" t="n"/>
      <c r="AS55" s="43" t="n"/>
      <c r="AT55" s="43" t="n"/>
      <c r="AU55" s="45" t="n"/>
      <c r="AV55" s="45" t="n"/>
      <c r="AW55" s="45" t="n"/>
      <c r="AX55" s="45" t="n"/>
      <c r="AY55" s="45" t="n"/>
      <c r="AZ55" s="45" t="n"/>
      <c r="BA55" s="45" t="n"/>
      <c r="BB55" s="26" t="n"/>
      <c r="BJ55" s="21" t="inlineStr">
        <is>
          <t>FRT_M (Freight Segment OI % of revenue)</t>
        </is>
      </c>
      <c r="BK55" s="153" t="n">
        <v>0.01</v>
      </c>
      <c r="BL55" s="22" t="inlineStr">
        <is>
          <t>Δ →</t>
        </is>
      </c>
      <c r="BM55" s="153" t="n">
        <v>-0.01</v>
      </c>
      <c r="BN55" s="13" t="inlineStr">
        <is>
          <t>FY25 −2.1%; 1H/26 −1.9%.</t>
        </is>
      </c>
    </row>
    <row r="56" outlineLevel="1">
      <c r="B56" s="27" t="inlineStr">
        <is>
          <t xml:space="preserve">  Other Bets — revenue</t>
        </is>
      </c>
      <c r="C56" s="44" t="n">
        <v>1</v>
      </c>
      <c r="D56" s="44" t="n">
        <v>67</v>
      </c>
      <c r="E56" s="44" t="n">
        <v>40</v>
      </c>
      <c r="F56" s="44" t="n">
        <v>71</v>
      </c>
      <c r="G56" s="44" t="n">
        <v>3</v>
      </c>
      <c r="H56" s="44" t="n">
        <v>12</v>
      </c>
      <c r="I56" s="44" t="n">
        <v>373</v>
      </c>
      <c r="J56" s="44" t="n">
        <v>18</v>
      </c>
      <c r="K56" s="44" t="n">
        <v>28</v>
      </c>
      <c r="L56" s="44" t="n">
        <v>38</v>
      </c>
      <c r="M56" s="44" t="n">
        <v>35</v>
      </c>
      <c r="N56" s="43" t="n"/>
      <c r="O56" s="44" t="n">
        <v>30</v>
      </c>
      <c r="P56" s="44" t="n">
        <v>4</v>
      </c>
      <c r="Q56" s="44" t="n">
        <v>0</v>
      </c>
      <c r="R56" s="44" t="n">
        <v>0</v>
      </c>
      <c r="S56" s="43" t="n"/>
      <c r="T56" s="43" t="n"/>
      <c r="U56" s="43" t="n"/>
      <c r="V56" s="43" t="n"/>
      <c r="W56" s="43" t="n"/>
      <c r="X56" s="43" t="n"/>
      <c r="Y56" s="43" t="n"/>
      <c r="Z56" s="43" t="n"/>
      <c r="AA56" s="43" t="n"/>
      <c r="AB56" s="43" t="n"/>
      <c r="AC56" s="43" t="n"/>
      <c r="AD56" s="43" t="n"/>
      <c r="AE56" s="43" t="n"/>
      <c r="AF56" s="43" t="n"/>
      <c r="AG56" s="43" t="n"/>
      <c r="AH56" s="43" t="n"/>
      <c r="AI56" s="43" t="n"/>
      <c r="AJ56" s="43" t="n"/>
      <c r="AK56" s="43" t="n"/>
      <c r="AL56" s="43" t="n"/>
      <c r="AM56" s="43" t="n"/>
      <c r="AN56" s="43" t="n"/>
      <c r="AO56" s="43" t="n"/>
      <c r="AP56" s="43" t="n"/>
      <c r="AQ56" s="43" t="n"/>
      <c r="AR56" s="43" t="n"/>
      <c r="AS56" s="43" t="n"/>
      <c r="AT56" s="43" t="n"/>
      <c r="AU56" s="45" t="n"/>
      <c r="AV56" s="45" t="n"/>
      <c r="AW56" s="45" t="n"/>
      <c r="AX56" s="45" t="n"/>
      <c r="AY56" s="45" t="n"/>
      <c r="AZ56" s="45" t="n"/>
      <c r="BA56" s="45" t="n"/>
      <c r="BB56" s="26" t="n"/>
      <c r="BJ56" s="27" t="inlineStr">
        <is>
          <t xml:space="preserve">  2027E</t>
        </is>
      </c>
      <c r="BK56" s="33">
        <f>BL56+$BK$55</f>
        <v/>
      </c>
      <c r="BL56" s="34" t="n">
        <v>-0.01</v>
      </c>
      <c r="BM56" s="33">
        <f>BL56+$BM$55</f>
        <v/>
      </c>
    </row>
    <row r="57" outlineLevel="1">
      <c r="B57" s="27" t="inlineStr">
        <is>
          <t xml:space="preserve">  ATG &amp; Other Technology Programs — revenue (to Q4/20)</t>
        </is>
      </c>
      <c r="C57" s="43" t="n"/>
      <c r="D57" s="43" t="n"/>
      <c r="E57" s="43" t="n"/>
      <c r="F57" s="43" t="n"/>
      <c r="G57" s="44" t="n">
        <v>0</v>
      </c>
      <c r="H57" s="44" t="n">
        <v>0</v>
      </c>
      <c r="I57" s="43" t="n"/>
      <c r="J57" s="44" t="n">
        <v>0</v>
      </c>
      <c r="K57" s="44" t="n">
        <v>0</v>
      </c>
      <c r="L57" s="44" t="n">
        <v>17</v>
      </c>
      <c r="M57" s="44" t="n">
        <v>25</v>
      </c>
      <c r="N57" s="43" t="n"/>
      <c r="O57" s="44" t="n">
        <v>25</v>
      </c>
      <c r="P57" s="44" t="n">
        <v>25</v>
      </c>
      <c r="Q57" s="44" t="n">
        <v>25</v>
      </c>
      <c r="R57" s="44" t="n">
        <v>25</v>
      </c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  <c r="AJ57" s="43" t="n"/>
      <c r="AK57" s="43" t="n"/>
      <c r="AL57" s="43" t="n"/>
      <c r="AM57" s="43" t="n"/>
      <c r="AN57" s="43" t="n"/>
      <c r="AO57" s="43" t="n"/>
      <c r="AP57" s="43" t="n"/>
      <c r="AQ57" s="43" t="n"/>
      <c r="AR57" s="43" t="n"/>
      <c r="AS57" s="43" t="n"/>
      <c r="AT57" s="43" t="n"/>
      <c r="AU57" s="45" t="n"/>
      <c r="AV57" s="45" t="n"/>
      <c r="AW57" s="45" t="n"/>
      <c r="AX57" s="45" t="n"/>
      <c r="AY57" s="45" t="n"/>
      <c r="AZ57" s="45" t="n"/>
      <c r="BA57" s="45" t="n"/>
      <c r="BB57" s="26" t="n"/>
      <c r="BJ57" s="27" t="inlineStr">
        <is>
          <t xml:space="preserve">  2028E</t>
        </is>
      </c>
      <c r="BK57" s="33">
        <f>BL57+$BK$55</f>
        <v/>
      </c>
      <c r="BL57" s="34" t="n">
        <v>-0.005</v>
      </c>
      <c r="BM57" s="33">
        <f>BL57+$BM$55</f>
        <v/>
      </c>
    </row>
    <row r="58" outlineLevel="1">
      <c r="B58" s="27" t="inlineStr">
        <is>
          <t xml:space="preserve">  Gross Bookings not split by segment (2016 annual; S-1 segment split quarterly from 2017)</t>
        </is>
      </c>
      <c r="C58" s="44" t="n">
        <v>19236</v>
      </c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4" t="n">
        <v>65001</v>
      </c>
      <c r="O58" s="43" t="n"/>
      <c r="P58" s="43" t="n"/>
      <c r="Q58" s="43" t="n"/>
      <c r="R58" s="43" t="n"/>
      <c r="S58" s="44" t="n">
        <v>57897</v>
      </c>
      <c r="T58" s="43" t="n"/>
      <c r="U58" s="43" t="n"/>
      <c r="V58" s="43" t="n"/>
      <c r="W58" s="43" t="n"/>
      <c r="X58" s="44" t="n">
        <v>90415</v>
      </c>
      <c r="Y58" s="43" t="n"/>
      <c r="Z58" s="43" t="n"/>
      <c r="AA58" s="43" t="n"/>
      <c r="AB58" s="43" t="n"/>
      <c r="AC58" s="44" t="n">
        <v>115395</v>
      </c>
      <c r="AD58" s="43" t="n"/>
      <c r="AE58" s="43" t="n"/>
      <c r="AF58" s="43" t="n"/>
      <c r="AG58" s="43" t="n"/>
      <c r="AH58" s="44" t="n">
        <v>137865</v>
      </c>
      <c r="AI58" s="43" t="n"/>
      <c r="AJ58" s="43" t="n"/>
      <c r="AK58" s="43" t="n"/>
      <c r="AL58" s="43" t="n"/>
      <c r="AM58" s="44" t="n">
        <v>162773</v>
      </c>
      <c r="AN58" s="43" t="n"/>
      <c r="AO58" s="43" t="n"/>
      <c r="AP58" s="43" t="n"/>
      <c r="AQ58" s="43" t="n"/>
      <c r="AR58" s="44" t="n">
        <v>193454</v>
      </c>
      <c r="AS58" s="43" t="n"/>
      <c r="AT58" s="43" t="n"/>
      <c r="AU58" s="45" t="n"/>
      <c r="AV58" s="45" t="n"/>
      <c r="AW58" s="45" t="n"/>
      <c r="AX58" s="45" t="n"/>
      <c r="AY58" s="45" t="n"/>
      <c r="AZ58" s="45" t="n"/>
      <c r="BA58" s="45" t="n"/>
      <c r="BB58" s="26" t="n"/>
      <c r="BJ58" s="27" t="inlineStr">
        <is>
          <t xml:space="preserve">  2029E</t>
        </is>
      </c>
      <c r="BK58" s="33">
        <f>BL58+$BK$55</f>
        <v/>
      </c>
      <c r="BL58" s="34" t="n">
        <v>0</v>
      </c>
      <c r="BM58" s="33">
        <f>BL58+$BM$55</f>
        <v/>
      </c>
    </row>
    <row r="59" outlineLevel="1">
      <c r="B59" s="27" t="inlineStr">
        <is>
          <t xml:space="preserve">  Revenue not allocated to segments (Core Platform other revenue 2016–18, Freight within Other Bets to Q2/18, Q4/18–19 rounding)</t>
        </is>
      </c>
      <c r="C59" s="44" t="n">
        <v>206</v>
      </c>
      <c r="D59" s="44" t="n">
        <v>390</v>
      </c>
      <c r="E59" s="44" t="n">
        <v>81</v>
      </c>
      <c r="F59" s="44" t="n">
        <v>60</v>
      </c>
      <c r="G59" s="43" t="n"/>
      <c r="H59" s="43" t="n"/>
      <c r="I59" s="43" t="n"/>
      <c r="J59" s="43" t="n"/>
      <c r="K59" s="43" t="n"/>
      <c r="L59" s="43" t="n"/>
      <c r="M59" s="43" t="n"/>
      <c r="N59" s="44" t="n">
        <v>892</v>
      </c>
      <c r="O59" s="43" t="n"/>
      <c r="P59" s="43" t="n"/>
      <c r="Q59" s="43" t="n"/>
      <c r="R59" s="43" t="n"/>
      <c r="S59" s="44" t="n">
        <v>11139</v>
      </c>
      <c r="T59" s="44" t="n">
        <v>8</v>
      </c>
      <c r="U59" s="43" t="n"/>
      <c r="V59" s="43" t="n"/>
      <c r="W59" s="43" t="n"/>
      <c r="X59" s="44" t="n">
        <v>17455</v>
      </c>
      <c r="Y59" s="43" t="n"/>
      <c r="Z59" s="43" t="n"/>
      <c r="AA59" s="43" t="n"/>
      <c r="AB59" s="43" t="n"/>
      <c r="AC59" s="44" t="n">
        <v>31877</v>
      </c>
      <c r="AD59" s="43" t="n"/>
      <c r="AE59" s="43" t="n"/>
      <c r="AF59" s="43" t="n"/>
      <c r="AG59" s="43" t="n"/>
      <c r="AH59" s="44" t="n">
        <v>37281</v>
      </c>
      <c r="AI59" s="43" t="n"/>
      <c r="AJ59" s="43" t="n"/>
      <c r="AK59" s="43" t="n"/>
      <c r="AL59" s="43" t="n"/>
      <c r="AM59" s="44" t="n">
        <v>43978</v>
      </c>
      <c r="AN59" s="43" t="n"/>
      <c r="AO59" s="43" t="n"/>
      <c r="AP59" s="43" t="n"/>
      <c r="AQ59" s="43" t="n"/>
      <c r="AR59" s="44" t="n">
        <v>52017</v>
      </c>
      <c r="AS59" s="43" t="n"/>
      <c r="AT59" s="43" t="n"/>
      <c r="AU59" s="45" t="n"/>
      <c r="AV59" s="45" t="n"/>
      <c r="AW59" s="45" t="n"/>
      <c r="AX59" s="45" t="n"/>
      <c r="AY59" s="45" t="n"/>
      <c r="AZ59" s="45" t="n"/>
      <c r="BA59" s="45" t="n"/>
      <c r="BB59" s="26" t="n"/>
      <c r="BJ59" s="27" t="inlineStr">
        <is>
          <t xml:space="preserve">  2030E</t>
        </is>
      </c>
      <c r="BK59" s="33">
        <f>BL59+$BK$55</f>
        <v/>
      </c>
      <c r="BL59" s="34" t="n">
        <v>0.005</v>
      </c>
      <c r="BM59" s="33">
        <f>BL59+$BM$55</f>
        <v/>
      </c>
    </row>
    <row r="61">
      <c r="B61" s="14" t="inlineStr">
        <is>
          <t>Delivery Hero — acquired perimeter (Baemin, talabat, PedidosYa, foodpanda Asia, Glovo ex-SSW markets, HungerStation) — consolidated from assumed closing 1-Oct-2027; switch in scenario table</t>
        </is>
      </c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  <c r="AH61" s="14" t="n"/>
      <c r="AI61" s="14" t="n"/>
      <c r="AJ61" s="14" t="n"/>
      <c r="AK61" s="14" t="n"/>
      <c r="AL61" s="14" t="n"/>
      <c r="AM61" s="14" t="n"/>
      <c r="AN61" s="14" t="n"/>
      <c r="AO61" s="14" t="n"/>
      <c r="AP61" s="14" t="n"/>
      <c r="AQ61" s="14" t="n"/>
      <c r="AR61" s="14" t="n"/>
      <c r="AS61" s="14" t="n"/>
      <c r="AT61" s="14" t="n"/>
      <c r="AU61" s="14" t="n"/>
      <c r="AV61" s="14" t="n"/>
      <c r="AW61" s="14" t="n"/>
      <c r="AX61" s="14" t="n"/>
      <c r="AY61" s="14" t="n"/>
      <c r="AZ61" s="14" t="n"/>
      <c r="BA61" s="14" t="n"/>
      <c r="BB61" s="15" t="inlineStr">
        <is>
          <t>DELIVERY HERO — modelling logic (BCA 16-Jul-2026, €41.50/share cash tender; closing expected 2H/27; NOT in company outlook)</t>
        </is>
      </c>
      <c r="BJ61" s="21" t="inlineStr">
        <is>
          <t>DH_GR (Delivery Hero Gross Bookings y/y)</t>
        </is>
      </c>
      <c r="BK61" s="153" t="n">
        <v>0.03</v>
      </c>
      <c r="BL61" s="22" t="inlineStr">
        <is>
          <t>Δ →</t>
        </is>
      </c>
      <c r="BM61" s="153" t="n">
        <v>-0.03</v>
      </c>
      <c r="BN61" s="13" t="inlineStr">
        <is>
          <t>Acquired perimeter ~high-single / low-double-digit growth (talabat +28% cc 2025; Baemin slower).</t>
        </is>
      </c>
    </row>
    <row r="62">
      <c r="B62" s="38" t="inlineStr">
        <is>
          <t xml:space="preserve">  Memo: 2025 Gross Bookings — acquired perimeter (GMV proxy; EUR at 1.12)</t>
        </is>
      </c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  <c r="AJ62" s="43" t="n"/>
      <c r="AK62" s="43" t="n"/>
      <c r="AL62" s="43" t="n"/>
      <c r="AM62" s="43" t="n"/>
      <c r="AN62" s="43" t="n"/>
      <c r="AO62" s="43" t="n"/>
      <c r="AP62" s="43" t="n"/>
      <c r="AQ62" s="43" t="n"/>
      <c r="AR62" s="44" t="n">
        <v>42000</v>
      </c>
      <c r="AS62" s="43" t="n"/>
      <c r="AT62" s="43" t="n"/>
      <c r="AU62" s="45" t="n"/>
      <c r="AV62" s="45" t="n"/>
      <c r="AW62" s="45" t="n"/>
      <c r="AX62" s="45" t="n"/>
      <c r="AY62" s="45" t="n"/>
      <c r="AZ62" s="45" t="n"/>
      <c r="BA62" s="45" t="n"/>
      <c r="BB62" s="26" t="n"/>
      <c r="BJ62" s="27" t="inlineStr">
        <is>
          <t xml:space="preserve">  2027E</t>
        </is>
      </c>
      <c r="BK62" s="33">
        <f>BL62+$BK$61</f>
        <v/>
      </c>
      <c r="BL62" s="34" t="n">
        <v>0.1</v>
      </c>
      <c r="BM62" s="33">
        <f>BL62+$BM$61</f>
        <v/>
      </c>
    </row>
    <row r="63">
      <c r="B63" s="38" t="inlineStr">
        <is>
          <t xml:space="preserve">  Memo: 2025 Adjusted EBITDA — acquired perimeter (IFRS)</t>
        </is>
      </c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  <c r="AA63" s="43" t="n"/>
      <c r="AB63" s="43" t="n"/>
      <c r="AC63" s="43" t="n"/>
      <c r="AD63" s="43" t="n"/>
      <c r="AE63" s="43" t="n"/>
      <c r="AF63" s="43" t="n"/>
      <c r="AG63" s="43" t="n"/>
      <c r="AH63" s="43" t="n"/>
      <c r="AI63" s="43" t="n"/>
      <c r="AJ63" s="43" t="n"/>
      <c r="AK63" s="43" t="n"/>
      <c r="AL63" s="43" t="n"/>
      <c r="AM63" s="43" t="n"/>
      <c r="AN63" s="43" t="n"/>
      <c r="AO63" s="43" t="n"/>
      <c r="AP63" s="43" t="n"/>
      <c r="AQ63" s="43" t="n"/>
      <c r="AR63" s="44" t="n">
        <v>1100</v>
      </c>
      <c r="AS63" s="43" t="n"/>
      <c r="AT63" s="43" t="n"/>
      <c r="AU63" s="45" t="n"/>
      <c r="AV63" s="45" t="n"/>
      <c r="AW63" s="45" t="n"/>
      <c r="AX63" s="45" t="n"/>
      <c r="AY63" s="45" t="n"/>
      <c r="AZ63" s="45" t="n"/>
      <c r="BA63" s="45" t="n"/>
      <c r="BB63" s="26" t="n"/>
      <c r="BJ63" s="27" t="inlineStr">
        <is>
          <t xml:space="preserve">  2028E</t>
        </is>
      </c>
      <c r="BK63" s="33">
        <f>BL63+$BK$61</f>
        <v/>
      </c>
      <c r="BL63" s="34" t="n">
        <v>0.1</v>
      </c>
      <c r="BM63" s="33">
        <f>BL63+$BM$61</f>
        <v/>
      </c>
    </row>
    <row r="64">
      <c r="B64" s="27" t="inlineStr">
        <is>
          <t xml:space="preserve">  Days consolidated in period (× consolidation switch)</t>
        </is>
      </c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  <c r="AA64" s="43" t="n"/>
      <c r="AB64" s="43" t="n"/>
      <c r="AC64" s="43" t="n"/>
      <c r="AD64" s="43" t="n"/>
      <c r="AE64" s="43" t="n"/>
      <c r="AF64" s="43" t="n"/>
      <c r="AG64" s="43" t="n"/>
      <c r="AH64" s="43" t="n"/>
      <c r="AI64" s="43" t="n"/>
      <c r="AJ64" s="43" t="n"/>
      <c r="AK64" s="43" t="n"/>
      <c r="AL64" s="43" t="n"/>
      <c r="AM64" s="43" t="n"/>
      <c r="AN64" s="43" t="n"/>
      <c r="AO64" s="43" t="n"/>
      <c r="AP64" s="43" t="n"/>
      <c r="AQ64" s="43" t="n"/>
      <c r="AR64" s="43" t="n"/>
      <c r="AS64" s="43" t="n"/>
      <c r="AT64" s="43" t="n"/>
      <c r="AU64" s="45" t="n"/>
      <c r="AV64" s="45" t="n"/>
      <c r="AW64" s="45" t="n"/>
      <c r="AX64" s="45">
        <f>92*$BL$19</f>
        <v/>
      </c>
      <c r="AY64" s="45">
        <f>365*$BL$19</f>
        <v/>
      </c>
      <c r="AZ64" s="45">
        <f>365*$BL$19</f>
        <v/>
      </c>
      <c r="BA64" s="45">
        <f>365*$BL$19</f>
        <v/>
      </c>
      <c r="BB64" s="19" t="inlineStr">
        <is>
          <t>Assumed closing 1-Oct-2027 (company: "second half of 2027"; long-stop 10-May-2028). Switch = 0 shows Uber standalone.</t>
        </is>
      </c>
      <c r="BJ64" s="27" t="inlineStr">
        <is>
          <t xml:space="preserve">  2029E</t>
        </is>
      </c>
      <c r="BK64" s="33">
        <f>BL64+$BK$61</f>
        <v/>
      </c>
      <c r="BL64" s="34" t="n">
        <v>0.09</v>
      </c>
      <c r="BM64" s="33">
        <f>BL64+$BM$61</f>
        <v/>
      </c>
    </row>
    <row r="65">
      <c r="B65" s="27" t="inlineStr">
        <is>
          <t xml:space="preserve">  Annual Gross Bookings run-rate (standalone basis)</t>
        </is>
      </c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5" t="n"/>
      <c r="AV65" s="45" t="n"/>
      <c r="AW65" s="45">
        <f>AR62*(1+AW66)</f>
        <v/>
      </c>
      <c r="AX65" s="45">
        <f>AW65*(1+AX66)</f>
        <v/>
      </c>
      <c r="AY65" s="45">
        <f>AX65*(1+AY66)</f>
        <v/>
      </c>
      <c r="AZ65" s="45">
        <f>AY65*(1+AZ66)</f>
        <v/>
      </c>
      <c r="BA65" s="45">
        <f>AZ65*(1+BA66)</f>
        <v/>
      </c>
      <c r="BB65" s="26" t="n"/>
      <c r="BJ65" s="27" t="inlineStr">
        <is>
          <t xml:space="preserve">  2030E</t>
        </is>
      </c>
      <c r="BK65" s="33">
        <f>BL65+$BK$61</f>
        <v/>
      </c>
      <c r="BL65" s="34" t="n">
        <v>0.09</v>
      </c>
      <c r="BM65" s="33">
        <f>BL65+$BM$61</f>
        <v/>
      </c>
    </row>
    <row r="66">
      <c r="B66" s="23" t="inlineStr">
        <is>
          <t xml:space="preserve">  Gross Bookings growth y/y %</t>
        </is>
      </c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  <c r="AD66" s="24" t="n"/>
      <c r="AE66" s="24" t="n"/>
      <c r="AF66" s="24" t="n"/>
      <c r="AG66" s="24" t="n"/>
      <c r="AH66" s="24" t="n"/>
      <c r="AI66" s="24" t="n"/>
      <c r="AJ66" s="24" t="n"/>
      <c r="AK66" s="24" t="n"/>
      <c r="AL66" s="24" t="n"/>
      <c r="AM66" s="24" t="n"/>
      <c r="AN66" s="24" t="n"/>
      <c r="AO66" s="24" t="n"/>
      <c r="AP66" s="24" t="n"/>
      <c r="AQ66" s="24" t="n"/>
      <c r="AR66" s="24" t="n"/>
      <c r="AS66" s="24" t="n"/>
      <c r="AT66" s="24" t="n"/>
      <c r="AU66" s="25" t="n"/>
      <c r="AV66" s="25" t="n"/>
      <c r="AW66" s="32" t="n">
        <v>0.1</v>
      </c>
      <c r="AX66" s="25">
        <f>CHOOSE(MATCH($BB$2,{"Bull","Base","Bear"},0),$BK$62,$BL$62,$BM$62)</f>
        <v/>
      </c>
      <c r="AY66" s="25">
        <f>CHOOSE(MATCH($BB$2,{"Bull","Base","Bear"},0),$BK$63,$BL$63,$BM$63)</f>
        <v/>
      </c>
      <c r="AZ66" s="25">
        <f>CHOOSE(MATCH($BB$2,{"Bull","Base","Bear"},0),$BK$64,$BL$64,$BM$64)</f>
        <v/>
      </c>
      <c r="BA66" s="25">
        <f>CHOOSE(MATCH($BB$2,{"Bull","Base","Bear"},0),$BK$65,$BL$65,$BM$65)</f>
        <v/>
      </c>
      <c r="BB66" s="19" t="inlineStr">
        <is>
          <t>2026E input +10% (talabat ~+28%, Baemin low growth). 2027E+: scenario lever DH_GR.</t>
        </is>
      </c>
    </row>
    <row r="67">
      <c r="B67" s="16" t="inlineStr">
        <is>
          <t xml:space="preserve">  Gross Bookings (consolidated from closing)</t>
        </is>
      </c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  <c r="AU67" s="18" t="n"/>
      <c r="AV67" s="18" t="n"/>
      <c r="AW67" s="18" t="n"/>
      <c r="AX67" s="18">
        <f>AX65*AX64/365</f>
        <v/>
      </c>
      <c r="AY67" s="18">
        <f>AY65*AY64/365</f>
        <v/>
      </c>
      <c r="AZ67" s="18">
        <f>AZ65*AZ64/365</f>
        <v/>
      </c>
      <c r="BA67" s="18">
        <f>BA65*BA64/365</f>
        <v/>
      </c>
      <c r="BB67" s="26" t="n"/>
      <c r="BJ67" s="21" t="inlineStr">
        <is>
          <t>DH_M (Delivery Hero standalone Adj. EBITDA % of GB)</t>
        </is>
      </c>
      <c r="BK67" s="153" t="n">
        <v>0.005</v>
      </c>
      <c r="BL67" s="22" t="inlineStr">
        <is>
          <t>Δ →</t>
        </is>
      </c>
      <c r="BM67" s="153" t="n">
        <v>-0.005</v>
      </c>
      <c r="BN67" s="13" t="inlineStr">
        <is>
          <t>2025 IFRS 2.6%; US GAAP ~2.3% (deck-implied ~$1.2bn 2027E standalone).</t>
        </is>
      </c>
    </row>
    <row r="68">
      <c r="B68" s="27" t="inlineStr">
        <is>
          <t xml:space="preserve">  Revenue ÷ Gross Bookings % (assumption)</t>
        </is>
      </c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39" t="n"/>
      <c r="AQ68" s="39" t="n"/>
      <c r="AR68" s="39" t="n"/>
      <c r="AS68" s="39" t="n"/>
      <c r="AT68" s="39" t="n"/>
      <c r="AU68" s="25" t="n"/>
      <c r="AV68" s="25" t="n"/>
      <c r="AW68" s="25" t="n"/>
      <c r="AX68" s="32" t="n">
        <v>0.24</v>
      </c>
      <c r="AY68" s="25">
        <f>AX68</f>
        <v/>
      </c>
      <c r="AZ68" s="25">
        <f>AY68</f>
        <v/>
      </c>
      <c r="BA68" s="25">
        <f>AZ68</f>
        <v/>
      </c>
      <c r="BB68" s="19" t="inlineStr">
        <is>
          <t>Assumption ~24%: Delivery Hero reports IFRS revenue / GMV in the mid-20s% (own delivery, Dmarts); not verifiable from EDGAR — refine on the offer document.</t>
        </is>
      </c>
      <c r="BJ68" s="27" t="inlineStr">
        <is>
          <t xml:space="preserve">  2027E</t>
        </is>
      </c>
      <c r="BK68" s="33">
        <f>BL68+$BK$67</f>
        <v/>
      </c>
      <c r="BL68" s="34" t="n">
        <v>0.023</v>
      </c>
      <c r="BM68" s="33">
        <f>BL68+$BM$67</f>
        <v/>
      </c>
    </row>
    <row r="69">
      <c r="B69" s="16" t="inlineStr">
        <is>
          <t xml:space="preserve">  Revenue (consolidated)</t>
        </is>
      </c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  <c r="AU69" s="18" t="n"/>
      <c r="AV69" s="18" t="n"/>
      <c r="AW69" s="18" t="n"/>
      <c r="AX69" s="18">
        <f>AX67*AX68</f>
        <v/>
      </c>
      <c r="AY69" s="18">
        <f>AY67*AY68</f>
        <v/>
      </c>
      <c r="AZ69" s="18">
        <f>AZ67*AZ68</f>
        <v/>
      </c>
      <c r="BA69" s="18">
        <f>BA67*BA68</f>
        <v/>
      </c>
      <c r="BB69" s="26" t="n"/>
      <c r="BJ69" s="27" t="inlineStr">
        <is>
          <t xml:space="preserve">  2028E</t>
        </is>
      </c>
      <c r="BK69" s="33">
        <f>BL69+$BK$67</f>
        <v/>
      </c>
      <c r="BL69" s="34" t="n">
        <v>0.026</v>
      </c>
      <c r="BM69" s="33">
        <f>BL69+$BM$67</f>
        <v/>
      </c>
    </row>
    <row r="70">
      <c r="B70" s="27" t="inlineStr">
        <is>
          <t xml:space="preserve">  Standalone Adjusted EBITDA % of Gross Bookings (US GAAP basis, before synergies)</t>
        </is>
      </c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39" t="n"/>
      <c r="AU70" s="25" t="n"/>
      <c r="AV70" s="25" t="n"/>
      <c r="AW70" s="25" t="n"/>
      <c r="AX70" s="25">
        <f>CHOOSE(MATCH($BB$2,{"Bull","Base","Bear"},0),$BK$68,$BL$68,$BM$68)</f>
        <v/>
      </c>
      <c r="AY70" s="25">
        <f>CHOOSE(MATCH($BB$2,{"Bull","Base","Bear"},0),$BK$69,$BL$69,$BM$69)</f>
        <v/>
      </c>
      <c r="AZ70" s="25">
        <f>CHOOSE(MATCH($BB$2,{"Bull","Base","Bear"},0),$BK$70,$BL$70,$BM$70)</f>
        <v/>
      </c>
      <c r="BA70" s="25">
        <f>CHOOSE(MATCH($BB$2,{"Bull","Base","Bear"},0),$BK$71,$BL$71,$BM$71)</f>
        <v/>
      </c>
      <c r="BB70" s="19" t="inlineStr">
        <is>
          <t>2025 IFRS 2.6% ($1.1bn / $42bn); US GAAP lower (leases expensed). Deck: ~8x EV / 2027E Adj. EBITDA incl. &gt;$1.2bn synergies ⇒ ~$1.2bn standalone 2027E. Lever DH_M.</t>
        </is>
      </c>
      <c r="BJ70" s="27" t="inlineStr">
        <is>
          <t xml:space="preserve">  2029E</t>
        </is>
      </c>
      <c r="BK70" s="33">
        <f>BL70+$BK$67</f>
        <v/>
      </c>
      <c r="BL70" s="34" t="n">
        <v>0.029</v>
      </c>
      <c r="BM70" s="33">
        <f>BL70+$BM$67</f>
        <v/>
      </c>
    </row>
    <row r="71">
      <c r="B71" s="27" t="inlineStr">
        <is>
          <t xml:space="preserve">  (+) Synergies realised (&gt;$1.2bn annualised within 18 months of closing)</t>
        </is>
      </c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  <c r="AA71" s="43" t="n"/>
      <c r="AB71" s="43" t="n"/>
      <c r="AC71" s="43" t="n"/>
      <c r="AD71" s="43" t="n"/>
      <c r="AE71" s="43" t="n"/>
      <c r="AF71" s="43" t="n"/>
      <c r="AG71" s="43" t="n"/>
      <c r="AH71" s="43" t="n"/>
      <c r="AI71" s="43" t="n"/>
      <c r="AJ71" s="43" t="n"/>
      <c r="AK71" s="43" t="n"/>
      <c r="AL71" s="43" t="n"/>
      <c r="AM71" s="43" t="n"/>
      <c r="AN71" s="43" t="n"/>
      <c r="AO71" s="43" t="n"/>
      <c r="AP71" s="43" t="n"/>
      <c r="AQ71" s="43" t="n"/>
      <c r="AR71" s="43" t="n"/>
      <c r="AS71" s="43" t="n"/>
      <c r="AT71" s="43" t="n"/>
      <c r="AU71" s="45" t="n"/>
      <c r="AV71" s="45" t="n"/>
      <c r="AW71" s="45" t="n"/>
      <c r="AX71" s="45">
        <f>$BL$21*MIN(1,MAX(0,CHOOSE(MATCH($BB$2,{"Bull","Base","Bear"},0),$BK$74,$BL$74,$BM$74)))*AX64/365</f>
        <v/>
      </c>
      <c r="AY71" s="45">
        <f>$BL$21*MIN(1,MAX(0,CHOOSE(MATCH($BB$2,{"Bull","Base","Bear"},0),$BK$75,$BL$75,$BM$75)))*AY64/365</f>
        <v/>
      </c>
      <c r="AZ71" s="45">
        <f>$BL$21*MIN(1,MAX(0,CHOOSE(MATCH($BB$2,{"Bull","Base","Bear"},0),$BK$76,$BL$76,$BM$76)))*AZ64/365</f>
        <v/>
      </c>
      <c r="BA71" s="45">
        <f>$BL$21*MIN(1,MAX(0,CHOOSE(MATCH($BB$2,{"Bull","Base","Bear"},0),$BK$77,$BL$77,$BM$77)))*BA64/365</f>
        <v/>
      </c>
      <c r="BB71" s="19" t="inlineStr">
        <is>
          <t>Deck slide 11: annualised synergies of over $1.2bn within 18 months of closing. Realisation % per scenario lever DH_SYN.</t>
        </is>
      </c>
      <c r="BJ71" s="27" t="inlineStr">
        <is>
          <t xml:space="preserve">  2030E</t>
        </is>
      </c>
      <c r="BK71" s="33">
        <f>BL71+$BK$67</f>
        <v/>
      </c>
      <c r="BL71" s="34" t="n">
        <v>0.032</v>
      </c>
      <c r="BM71" s="33">
        <f>BL71+$BM$67</f>
        <v/>
      </c>
    </row>
    <row r="72">
      <c r="B72" s="16" t="inlineStr">
        <is>
          <t xml:space="preserve">  Adjusted EBITDA contribution</t>
        </is>
      </c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  <c r="AU72" s="18" t="n"/>
      <c r="AV72" s="18" t="n"/>
      <c r="AW72" s="18" t="n"/>
      <c r="AX72" s="18">
        <f>AX67*AX70+AX71</f>
        <v/>
      </c>
      <c r="AY72" s="18">
        <f>AY67*AY70+AY71</f>
        <v/>
      </c>
      <c r="AZ72" s="18">
        <f>AZ67*AZ70+AZ71</f>
        <v/>
      </c>
      <c r="BA72" s="18">
        <f>BA67*BA70+BA71</f>
        <v/>
      </c>
      <c r="BB72" s="26" t="n"/>
    </row>
    <row r="73">
      <c r="B73" s="27" t="inlineStr">
        <is>
          <t xml:space="preserve">  Adjusted EBITDA % of Gross Bookings</t>
        </is>
      </c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  <c r="AG73" s="39" t="n"/>
      <c r="AH73" s="39" t="n"/>
      <c r="AI73" s="39" t="n"/>
      <c r="AJ73" s="39" t="n"/>
      <c r="AK73" s="39" t="n"/>
      <c r="AL73" s="39" t="n"/>
      <c r="AM73" s="39" t="n"/>
      <c r="AN73" s="39" t="n"/>
      <c r="AO73" s="39" t="n"/>
      <c r="AP73" s="39" t="n"/>
      <c r="AQ73" s="39" t="n"/>
      <c r="AR73" s="39" t="n"/>
      <c r="AS73" s="39" t="n"/>
      <c r="AT73" s="39" t="n"/>
      <c r="AU73" s="25" t="n"/>
      <c r="AV73" s="25" t="n"/>
      <c r="AW73" s="25" t="n"/>
      <c r="AX73" s="25">
        <f>IFERROR(AX72/AX67,"")</f>
        <v/>
      </c>
      <c r="AY73" s="25">
        <f>IFERROR(AY72/AY67,"")</f>
        <v/>
      </c>
      <c r="AZ73" s="25">
        <f>IFERROR(AZ72/AZ67,"")</f>
        <v/>
      </c>
      <c r="BA73" s="25">
        <f>IFERROR(BA72/BA67,"")</f>
        <v/>
      </c>
      <c r="BB73" s="26" t="n"/>
      <c r="BJ73" s="21" t="inlineStr">
        <is>
          <t>DH_SYN (synergy realisation % of run-rate)</t>
        </is>
      </c>
      <c r="BK73" s="153" t="n">
        <v>0.25</v>
      </c>
      <c r="BL73" s="22" t="inlineStr">
        <is>
          <t>Δ →</t>
        </is>
      </c>
      <c r="BM73" s="153" t="n">
        <v>-0.25</v>
      </c>
      <c r="BN73" s="13" t="inlineStr">
        <is>
          <t>Run-rate within 18 months of closing (Q4/27 close → full run-rate 2029E). Capped at 100%.</t>
        </is>
      </c>
    </row>
    <row r="74">
      <c r="B74" s="27" t="inlineStr">
        <is>
          <t xml:space="preserve">  D&amp;A excl. purchase accounting % of Gross Bookings (assumption)</t>
        </is>
      </c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25" t="n"/>
      <c r="AV74" s="25" t="n"/>
      <c r="AW74" s="25" t="n"/>
      <c r="AX74" s="32" t="n">
        <v>0.008</v>
      </c>
      <c r="AY74" s="25">
        <f>AX74</f>
        <v/>
      </c>
      <c r="AZ74" s="25">
        <f>AY74</f>
        <v/>
      </c>
      <c r="BA74" s="25">
        <f>AZ74</f>
        <v/>
      </c>
      <c r="BB74" s="26" t="n"/>
      <c r="BJ74" s="27" t="inlineStr">
        <is>
          <t xml:space="preserve">  2027E</t>
        </is>
      </c>
      <c r="BK74" s="33">
        <f>BL74+$BK$73</f>
        <v/>
      </c>
      <c r="BL74" s="34" t="n">
        <v>0.1</v>
      </c>
      <c r="BM74" s="33">
        <f>BL74+$BM$73</f>
        <v/>
      </c>
    </row>
    <row r="75">
      <c r="B75" s="27" t="inlineStr">
        <is>
          <t xml:space="preserve">  (−) D&amp;A excl. purchase accounting</t>
        </is>
      </c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  <c r="AA75" s="43" t="n"/>
      <c r="AB75" s="43" t="n"/>
      <c r="AC75" s="43" t="n"/>
      <c r="AD75" s="43" t="n"/>
      <c r="AE75" s="43" t="n"/>
      <c r="AF75" s="43" t="n"/>
      <c r="AG75" s="43" t="n"/>
      <c r="AH75" s="43" t="n"/>
      <c r="AI75" s="43" t="n"/>
      <c r="AJ75" s="43" t="n"/>
      <c r="AK75" s="43" t="n"/>
      <c r="AL75" s="43" t="n"/>
      <c r="AM75" s="43" t="n"/>
      <c r="AN75" s="43" t="n"/>
      <c r="AO75" s="43" t="n"/>
      <c r="AP75" s="43" t="n"/>
      <c r="AQ75" s="43" t="n"/>
      <c r="AR75" s="43" t="n"/>
      <c r="AS75" s="43" t="n"/>
      <c r="AT75" s="43" t="n"/>
      <c r="AU75" s="45" t="n"/>
      <c r="AV75" s="45" t="n"/>
      <c r="AW75" s="45" t="n"/>
      <c r="AX75" s="45">
        <f>AX67*AX74</f>
        <v/>
      </c>
      <c r="AY75" s="45">
        <f>AY67*AY74</f>
        <v/>
      </c>
      <c r="AZ75" s="45">
        <f>AZ67*AZ74</f>
        <v/>
      </c>
      <c r="BA75" s="45">
        <f>BA67*BA74</f>
        <v/>
      </c>
      <c r="BB75" s="26" t="n"/>
      <c r="BJ75" s="27" t="inlineStr">
        <is>
          <t xml:space="preserve">  2028E</t>
        </is>
      </c>
      <c r="BK75" s="33">
        <f>BL75+$BK$73</f>
        <v/>
      </c>
      <c r="BL75" s="34" t="n">
        <v>0.6</v>
      </c>
      <c r="BM75" s="33">
        <f>BL75+$BM$73</f>
        <v/>
      </c>
    </row>
    <row r="76">
      <c r="B76" s="27" t="inlineStr">
        <is>
          <t xml:space="preserve">  Stock-based compensation % of Gross Bookings (assumption)</t>
        </is>
      </c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  <c r="AG76" s="39" t="n"/>
      <c r="AH76" s="39" t="n"/>
      <c r="AI76" s="39" t="n"/>
      <c r="AJ76" s="39" t="n"/>
      <c r="AK76" s="39" t="n"/>
      <c r="AL76" s="39" t="n"/>
      <c r="AM76" s="39" t="n"/>
      <c r="AN76" s="39" t="n"/>
      <c r="AO76" s="39" t="n"/>
      <c r="AP76" s="39" t="n"/>
      <c r="AQ76" s="39" t="n"/>
      <c r="AR76" s="39" t="n"/>
      <c r="AS76" s="39" t="n"/>
      <c r="AT76" s="39" t="n"/>
      <c r="AU76" s="25" t="n"/>
      <c r="AV76" s="25" t="n"/>
      <c r="AW76" s="25" t="n"/>
      <c r="AX76" s="32" t="n">
        <v>0.002</v>
      </c>
      <c r="AY76" s="25">
        <f>AX76</f>
        <v/>
      </c>
      <c r="AZ76" s="25">
        <f>AY76</f>
        <v/>
      </c>
      <c r="BA76" s="25">
        <f>AZ76</f>
        <v/>
      </c>
      <c r="BB76" s="26" t="n"/>
      <c r="BJ76" s="27" t="inlineStr">
        <is>
          <t xml:space="preserve">  2029E</t>
        </is>
      </c>
      <c r="BK76" s="33">
        <f>BL76+$BK$73</f>
        <v/>
      </c>
      <c r="BL76" s="34" t="n">
        <v>1</v>
      </c>
      <c r="BM76" s="33">
        <f>BL76+$BM$73</f>
        <v/>
      </c>
    </row>
    <row r="77">
      <c r="B77" s="27" t="inlineStr">
        <is>
          <t xml:space="preserve">  (−) Stock-based compensation</t>
        </is>
      </c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  <c r="AA77" s="43" t="n"/>
      <c r="AB77" s="43" t="n"/>
      <c r="AC77" s="43" t="n"/>
      <c r="AD77" s="43" t="n"/>
      <c r="AE77" s="43" t="n"/>
      <c r="AF77" s="43" t="n"/>
      <c r="AG77" s="43" t="n"/>
      <c r="AH77" s="43" t="n"/>
      <c r="AI77" s="43" t="n"/>
      <c r="AJ77" s="43" t="n"/>
      <c r="AK77" s="43" t="n"/>
      <c r="AL77" s="43" t="n"/>
      <c r="AM77" s="43" t="n"/>
      <c r="AN77" s="43" t="n"/>
      <c r="AO77" s="43" t="n"/>
      <c r="AP77" s="43" t="n"/>
      <c r="AQ77" s="43" t="n"/>
      <c r="AR77" s="43" t="n"/>
      <c r="AS77" s="43" t="n"/>
      <c r="AT77" s="43" t="n"/>
      <c r="AU77" s="45" t="n"/>
      <c r="AV77" s="45" t="n"/>
      <c r="AW77" s="45" t="n"/>
      <c r="AX77" s="45">
        <f>AX67*AX76</f>
        <v/>
      </c>
      <c r="AY77" s="45">
        <f>AY67*AY76</f>
        <v/>
      </c>
      <c r="AZ77" s="45">
        <f>AZ67*AZ76</f>
        <v/>
      </c>
      <c r="BA77" s="45">
        <f>BA67*BA76</f>
        <v/>
      </c>
      <c r="BB77" s="26" t="n"/>
      <c r="BJ77" s="27" t="inlineStr">
        <is>
          <t xml:space="preserve">  2030E</t>
        </is>
      </c>
      <c r="BK77" s="33">
        <f>BL77+$BK$73</f>
        <v/>
      </c>
      <c r="BL77" s="34" t="n">
        <v>1</v>
      </c>
      <c r="BM77" s="33">
        <f>BL77+$BM$73</f>
        <v/>
      </c>
    </row>
    <row r="78">
      <c r="B78" s="16" t="inlineStr">
        <is>
          <t xml:space="preserve">  Segment Operating Income (Delivery Hero)</t>
        </is>
      </c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  <c r="AU78" s="18" t="n"/>
      <c r="AV78" s="18" t="n"/>
      <c r="AW78" s="18" t="n"/>
      <c r="AX78" s="18">
        <f>AX72-AX75-AX77</f>
        <v/>
      </c>
      <c r="AY78" s="18">
        <f>AY72-AY75-AY77</f>
        <v/>
      </c>
      <c r="AZ78" s="18">
        <f>AZ72-AZ75-AZ77</f>
        <v/>
      </c>
      <c r="BA78" s="18">
        <f>BA72-BA75-BA77</f>
        <v/>
      </c>
      <c r="BB78" s="26" t="n"/>
    </row>
    <row r="79">
      <c r="B79" s="38" t="inlineStr">
        <is>
          <t xml:space="preserve">  Memo: amortization of acquired DH intangibles (PPA; excluded from Non-GAAP)</t>
        </is>
      </c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  <c r="AA79" s="43" t="n"/>
      <c r="AB79" s="43" t="n"/>
      <c r="AC79" s="43" t="n"/>
      <c r="AD79" s="43" t="n"/>
      <c r="AE79" s="43" t="n"/>
      <c r="AF79" s="43" t="n"/>
      <c r="AG79" s="43" t="n"/>
      <c r="AH79" s="43" t="n"/>
      <c r="AI79" s="43" t="n"/>
      <c r="AJ79" s="43" t="n"/>
      <c r="AK79" s="43" t="n"/>
      <c r="AL79" s="43" t="n"/>
      <c r="AM79" s="43" t="n"/>
      <c r="AN79" s="43" t="n"/>
      <c r="AO79" s="43" t="n"/>
      <c r="AP79" s="43" t="n"/>
      <c r="AQ79" s="43" t="n"/>
      <c r="AR79" s="43" t="n"/>
      <c r="AS79" s="43" t="n"/>
      <c r="AT79" s="43" t="n"/>
      <c r="AU79" s="45" t="n"/>
      <c r="AV79" s="45" t="n"/>
      <c r="AW79" s="45" t="n"/>
      <c r="AX79" s="45">
        <f>IFERROR($AX$392/$AX$393*AX64/365,0)</f>
        <v/>
      </c>
      <c r="AY79" s="45">
        <f>IFERROR($AX$392/$AX$393*AY64/365,0)</f>
        <v/>
      </c>
      <c r="AZ79" s="45">
        <f>IFERROR($AX$392/$AX$393*AZ64/365,0)</f>
        <v/>
      </c>
      <c r="BA79" s="45">
        <f>IFERROR($AX$392/$AX$393*BA64/365,0)</f>
        <v/>
      </c>
      <c r="BB79" s="26" t="n"/>
      <c r="BJ79" s="21" t="inlineStr">
        <is>
          <t>MA (bolt-on acquisitions, $m)</t>
        </is>
      </c>
      <c r="BK79" s="154" t="n">
        <v>1000</v>
      </c>
      <c r="BL79" s="22" t="inlineStr">
        <is>
          <t>Δ →</t>
        </is>
      </c>
      <c r="BM79" s="154" t="n">
        <v>-1000</v>
      </c>
      <c r="BN79" s="13" t="inlineStr">
        <is>
          <t>Base: no bolt-ons while integrating Delivery Hero (2027–28E), $1bn p.a. thereafter. Floored at 0.</t>
        </is>
      </c>
    </row>
    <row r="80">
      <c r="B80" s="38" t="inlineStr">
        <is>
          <t xml:space="preserve">  Memo: net income attributable to Delivery Hero minority holders (NCI)</t>
        </is>
      </c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  <c r="AA80" s="43" t="n"/>
      <c r="AB80" s="43" t="n"/>
      <c r="AC80" s="43" t="n"/>
      <c r="AD80" s="43" t="n"/>
      <c r="AE80" s="43" t="n"/>
      <c r="AF80" s="43" t="n"/>
      <c r="AG80" s="43" t="n"/>
      <c r="AH80" s="43" t="n"/>
      <c r="AI80" s="43" t="n"/>
      <c r="AJ80" s="43" t="n"/>
      <c r="AK80" s="43" t="n"/>
      <c r="AL80" s="43" t="n"/>
      <c r="AM80" s="43" t="n"/>
      <c r="AN80" s="43" t="n"/>
      <c r="AO80" s="43" t="n"/>
      <c r="AP80" s="43" t="n"/>
      <c r="AQ80" s="43" t="n"/>
      <c r="AR80" s="43" t="n"/>
      <c r="AS80" s="43" t="n"/>
      <c r="AT80" s="43" t="n"/>
      <c r="AU80" s="45" t="n"/>
      <c r="AV80" s="45" t="n"/>
      <c r="AW80" s="45" t="n"/>
      <c r="AX80" s="45">
        <f>(1-$AX$384)*(AX78-AX79)*(1-AX163)</f>
        <v/>
      </c>
      <c r="AY80" s="45">
        <f>(1-$AX$384)*(AY78-AY79)*(1-AY163)</f>
        <v/>
      </c>
      <c r="AZ80" s="45">
        <f>(1-$AX$384)*(AZ78-AZ79)*(1-AZ163)</f>
        <v/>
      </c>
      <c r="BA80" s="45">
        <f>(1-$AX$384)*(BA78-BA79)*(1-BA163)</f>
        <v/>
      </c>
      <c r="BB80" s="19" t="inlineStr">
        <is>
          <t>(1 − Uber ownership) × (DH Segment OI − PPA amortization) × (1 − tax). Simplified: DH interest sits in Uber group debt.</t>
        </is>
      </c>
      <c r="BJ80" s="27" t="inlineStr">
        <is>
          <t xml:space="preserve">  2027E</t>
        </is>
      </c>
      <c r="BK80" s="37">
        <f>BL80+$BK$79</f>
        <v/>
      </c>
      <c r="BL80" s="28" t="n">
        <v>0</v>
      </c>
      <c r="BM80" s="37">
        <f>BL80+$BM$79</f>
        <v/>
      </c>
    </row>
    <row r="81">
      <c r="BJ81" s="27" t="inlineStr">
        <is>
          <t xml:space="preserve">  2028E</t>
        </is>
      </c>
      <c r="BK81" s="37">
        <f>BL81+$BK$79</f>
        <v/>
      </c>
      <c r="BL81" s="28" t="n">
        <v>0</v>
      </c>
      <c r="BM81" s="37">
        <f>BL81+$BM$79</f>
        <v/>
      </c>
    </row>
    <row r="82">
      <c r="B82" s="14" t="inlineStr">
        <is>
          <t>Future acquisitions (M&amp;A lever — bolt-ons, unallocated; deals close mid-year)</t>
        </is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4" t="n"/>
      <c r="AK82" s="14" t="n"/>
      <c r="AL82" s="14" t="n"/>
      <c r="AM82" s="14" t="n"/>
      <c r="AN82" s="14" t="n"/>
      <c r="AO82" s="14" t="n"/>
      <c r="AP82" s="14" t="n"/>
      <c r="AQ82" s="14" t="n"/>
      <c r="AR82" s="14" t="n"/>
      <c r="AS82" s="14" t="n"/>
      <c r="AT82" s="14" t="n"/>
      <c r="AU82" s="14" t="n"/>
      <c r="AV82" s="14" t="n"/>
      <c r="AW82" s="14" t="n"/>
      <c r="AX82" s="14" t="n"/>
      <c r="AY82" s="14" t="n"/>
      <c r="AZ82" s="14" t="n"/>
      <c r="BA82" s="14" t="n"/>
      <c r="BB82" s="15" t="inlineStr">
        <is>
          <t>M&amp;A LEVER — acquired revenue = spend ÷ EV/revenue; mid-year convention</t>
        </is>
      </c>
      <c r="BJ82" s="27" t="inlineStr">
        <is>
          <t xml:space="preserve">  2029E</t>
        </is>
      </c>
      <c r="BK82" s="37">
        <f>BL82+$BK$79</f>
        <v/>
      </c>
      <c r="BL82" s="28" t="n">
        <v>1000</v>
      </c>
      <c r="BM82" s="37">
        <f>BL82+$BM$79</f>
        <v/>
      </c>
    </row>
    <row r="83">
      <c r="B83" s="27" t="inlineStr">
        <is>
          <t xml:space="preserve">  Acquisition spend (USDm, scenario)</t>
        </is>
      </c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  <c r="AA83" s="43" t="n"/>
      <c r="AB83" s="43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  <c r="AL83" s="43" t="n"/>
      <c r="AM83" s="43" t="n"/>
      <c r="AN83" s="43" t="n"/>
      <c r="AO83" s="43" t="n"/>
      <c r="AP83" s="43" t="n"/>
      <c r="AQ83" s="43" t="n"/>
      <c r="AR83" s="43" t="n"/>
      <c r="AS83" s="43" t="n"/>
      <c r="AT83" s="43" t="n"/>
      <c r="AU83" s="45" t="n"/>
      <c r="AV83" s="45" t="n"/>
      <c r="AW83" s="47" t="n">
        <v>0</v>
      </c>
      <c r="AX83" s="45">
        <f>MAX(0,CHOOSE(MATCH($BB$2,{"Bull","Base","Bear"},0),$BK$80,$BL$80,$BM$80))</f>
        <v/>
      </c>
      <c r="AY83" s="45">
        <f>MAX(0,CHOOSE(MATCH($BB$2,{"Bull","Base","Bear"},0),$BK$81,$BL$81,$BM$81))</f>
        <v/>
      </c>
      <c r="AZ83" s="45">
        <f>MAX(0,CHOOSE(MATCH($BB$2,{"Bull","Base","Bear"},0),$BK$82,$BL$82,$BM$82))</f>
        <v/>
      </c>
      <c r="BA83" s="45">
        <f>MAX(0,CHOOSE(MATCH($BB$2,{"Bull","Base","Bear"},0),$BK$83,$BL$83,$BM$83))</f>
        <v/>
      </c>
      <c r="BB83" s="19" t="inlineStr">
        <is>
          <t>Scenario lever MA. Uber deployed $0.1–2.7bn p.a. on acquisitions 2020–25 (Careem, Postmates, Transplace, Drizly, Trendyol Go) plus Delivery Hero (2027).</t>
        </is>
      </c>
      <c r="BJ83" s="27" t="inlineStr">
        <is>
          <t xml:space="preserve">  2030E</t>
        </is>
      </c>
      <c r="BK83" s="37">
        <f>BL83+$BK$79</f>
        <v/>
      </c>
      <c r="BL83" s="28" t="n">
        <v>1000</v>
      </c>
      <c r="BM83" s="37">
        <f>BL83+$BM$79</f>
        <v/>
      </c>
    </row>
    <row r="84">
      <c r="B84" s="27" t="inlineStr">
        <is>
          <t xml:space="preserve">  Purchase multiple — EV / revenue (x)</t>
        </is>
      </c>
      <c r="C84" s="155" t="n"/>
      <c r="D84" s="155" t="n"/>
      <c r="E84" s="155" t="n"/>
      <c r="F84" s="155" t="n"/>
      <c r="G84" s="155" t="n"/>
      <c r="H84" s="155" t="n"/>
      <c r="I84" s="155" t="n"/>
      <c r="J84" s="155" t="n"/>
      <c r="K84" s="155" t="n"/>
      <c r="L84" s="155" t="n"/>
      <c r="M84" s="155" t="n"/>
      <c r="N84" s="155" t="n"/>
      <c r="O84" s="155" t="n"/>
      <c r="P84" s="155" t="n"/>
      <c r="Q84" s="155" t="n"/>
      <c r="R84" s="155" t="n"/>
      <c r="S84" s="155" t="n"/>
      <c r="T84" s="155" t="n"/>
      <c r="U84" s="155" t="n"/>
      <c r="V84" s="155" t="n"/>
      <c r="W84" s="155" t="n"/>
      <c r="X84" s="155" t="n"/>
      <c r="Y84" s="155" t="n"/>
      <c r="Z84" s="155" t="n"/>
      <c r="AA84" s="155" t="n"/>
      <c r="AB84" s="155" t="n"/>
      <c r="AC84" s="155" t="n"/>
      <c r="AD84" s="155" t="n"/>
      <c r="AE84" s="155" t="n"/>
      <c r="AF84" s="155" t="n"/>
      <c r="AG84" s="155" t="n"/>
      <c r="AH84" s="155" t="n"/>
      <c r="AI84" s="155" t="n"/>
      <c r="AJ84" s="155" t="n"/>
      <c r="AK84" s="155" t="n"/>
      <c r="AL84" s="155" t="n"/>
      <c r="AM84" s="155" t="n"/>
      <c r="AN84" s="155" t="n"/>
      <c r="AO84" s="155" t="n"/>
      <c r="AP84" s="155" t="n"/>
      <c r="AQ84" s="155" t="n"/>
      <c r="AR84" s="155" t="n"/>
      <c r="AS84" s="155" t="n"/>
      <c r="AT84" s="155" t="n"/>
      <c r="AU84" s="156" t="n"/>
      <c r="AV84" s="156" t="n"/>
      <c r="AW84" s="157" t="n">
        <v>0</v>
      </c>
      <c r="AX84" s="157" t="n">
        <v>2.5</v>
      </c>
      <c r="AY84" s="157" t="n">
        <v>2.5</v>
      </c>
      <c r="AZ84" s="157" t="n">
        <v>2.5</v>
      </c>
      <c r="BA84" s="157" t="n">
        <v>2.5</v>
      </c>
      <c r="BB84" s="26" t="n"/>
    </row>
    <row r="85">
      <c r="B85" s="27" t="inlineStr">
        <is>
          <t xml:space="preserve">  Annualised revenue acquired in the year</t>
        </is>
      </c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  <c r="AA85" s="43" t="n"/>
      <c r="AB85" s="43" t="n"/>
      <c r="AC85" s="43" t="n"/>
      <c r="AD85" s="43" t="n"/>
      <c r="AE85" s="43" t="n"/>
      <c r="AF85" s="43" t="n"/>
      <c r="AG85" s="43" t="n"/>
      <c r="AH85" s="43" t="n"/>
      <c r="AI85" s="43" t="n"/>
      <c r="AJ85" s="43" t="n"/>
      <c r="AK85" s="43" t="n"/>
      <c r="AL85" s="43" t="n"/>
      <c r="AM85" s="43" t="n"/>
      <c r="AN85" s="43" t="n"/>
      <c r="AO85" s="43" t="n"/>
      <c r="AP85" s="43" t="n"/>
      <c r="AQ85" s="43" t="n"/>
      <c r="AR85" s="43" t="n"/>
      <c r="AS85" s="43" t="n"/>
      <c r="AT85" s="43" t="n"/>
      <c r="AU85" s="45" t="n"/>
      <c r="AV85" s="45" t="n"/>
      <c r="AW85" s="47" t="n">
        <v>0</v>
      </c>
      <c r="AX85" s="45">
        <f>IFERROR(AX83/AX84,0)</f>
        <v/>
      </c>
      <c r="AY85" s="45">
        <f>IFERROR(AY83/AY84,0)</f>
        <v/>
      </c>
      <c r="AZ85" s="45">
        <f>IFERROR(AZ83/AZ84,0)</f>
        <v/>
      </c>
      <c r="BA85" s="45">
        <f>IFERROR(BA83/BA84,0)</f>
        <v/>
      </c>
      <c r="BB85" s="26" t="n"/>
    </row>
    <row r="86">
      <c r="B86" s="27" t="inlineStr">
        <is>
          <t xml:space="preserve">  Growth of acquired businesses after acquisition %</t>
        </is>
      </c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  <c r="AD86" s="39" t="n"/>
      <c r="AE86" s="39" t="n"/>
      <c r="AF86" s="39" t="n"/>
      <c r="AG86" s="39" t="n"/>
      <c r="AH86" s="39" t="n"/>
      <c r="AI86" s="39" t="n"/>
      <c r="AJ86" s="39" t="n"/>
      <c r="AK86" s="39" t="n"/>
      <c r="AL86" s="39" t="n"/>
      <c r="AM86" s="39" t="n"/>
      <c r="AN86" s="39" t="n"/>
      <c r="AO86" s="39" t="n"/>
      <c r="AP86" s="39" t="n"/>
      <c r="AQ86" s="39" t="n"/>
      <c r="AR86" s="39" t="n"/>
      <c r="AS86" s="39" t="n"/>
      <c r="AT86" s="39" t="n"/>
      <c r="AU86" s="25" t="n"/>
      <c r="AV86" s="25" t="n"/>
      <c r="AW86" s="32" t="n">
        <v>0</v>
      </c>
      <c r="AX86" s="32" t="n">
        <v>0.1</v>
      </c>
      <c r="AY86" s="32" t="n">
        <v>0.1</v>
      </c>
      <c r="AZ86" s="32" t="n">
        <v>0.1</v>
      </c>
      <c r="BA86" s="32" t="n">
        <v>0.1</v>
      </c>
      <c r="BB86" s="26" t="n"/>
    </row>
    <row r="87">
      <c r="B87" s="27" t="inlineStr">
        <is>
          <t xml:space="preserve">  Run-rate revenue of businesses acquired (year end)</t>
        </is>
      </c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  <c r="AA87" s="43" t="n"/>
      <c r="AB87" s="43" t="n"/>
      <c r="AC87" s="43" t="n"/>
      <c r="AD87" s="43" t="n"/>
      <c r="AE87" s="43" t="n"/>
      <c r="AF87" s="43" t="n"/>
      <c r="AG87" s="43" t="n"/>
      <c r="AH87" s="43" t="n"/>
      <c r="AI87" s="43" t="n"/>
      <c r="AJ87" s="43" t="n"/>
      <c r="AK87" s="43" t="n"/>
      <c r="AL87" s="43" t="n"/>
      <c r="AM87" s="43" t="n"/>
      <c r="AN87" s="43" t="n"/>
      <c r="AO87" s="43" t="n"/>
      <c r="AP87" s="43" t="n"/>
      <c r="AQ87" s="43" t="n"/>
      <c r="AR87" s="43" t="n"/>
      <c r="AS87" s="43" t="n"/>
      <c r="AT87" s="43" t="n"/>
      <c r="AU87" s="45" t="n"/>
      <c r="AV87" s="45" t="n"/>
      <c r="AW87" s="47" t="n">
        <v>0</v>
      </c>
      <c r="AX87" s="45">
        <f>AW87*(1+AX86)+AX85</f>
        <v/>
      </c>
      <c r="AY87" s="45">
        <f>AX87*(1+AY86)+AY85</f>
        <v/>
      </c>
      <c r="AZ87" s="45">
        <f>AY87*(1+AZ86)+AZ85</f>
        <v/>
      </c>
      <c r="BA87" s="45">
        <f>AZ87*(1+BA86)+BA85</f>
        <v/>
      </c>
      <c r="BB87" s="26" t="n"/>
    </row>
    <row r="88">
      <c r="B88" s="16" t="inlineStr">
        <is>
          <t xml:space="preserve">  Revenue from future acquisitions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18" t="n"/>
      <c r="AV88" s="18" t="n"/>
      <c r="AW88" s="51" t="n">
        <v>0</v>
      </c>
      <c r="AX88" s="18">
        <f>AW87*(1+AX86)+0.5*AX85</f>
        <v/>
      </c>
      <c r="AY88" s="18">
        <f>AX87*(1+AY86)+0.5*AY85</f>
        <v/>
      </c>
      <c r="AZ88" s="18">
        <f>AY87*(1+AZ86)+0.5*AZ85</f>
        <v/>
      </c>
      <c r="BA88" s="18">
        <f>AZ87*(1+BA86)+0.5*BA85</f>
        <v/>
      </c>
      <c r="BB88" s="26" t="n"/>
    </row>
    <row r="89">
      <c r="B89" s="27" t="inlineStr">
        <is>
          <t xml:space="preserve">  Segment OI margin of acquired businesses % of revenue</t>
        </is>
      </c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39" t="n"/>
      <c r="AG89" s="39" t="n"/>
      <c r="AH89" s="39" t="n"/>
      <c r="AI89" s="39" t="n"/>
      <c r="AJ89" s="39" t="n"/>
      <c r="AK89" s="39" t="n"/>
      <c r="AL89" s="39" t="n"/>
      <c r="AM89" s="39" t="n"/>
      <c r="AN89" s="39" t="n"/>
      <c r="AO89" s="39" t="n"/>
      <c r="AP89" s="39" t="n"/>
      <c r="AQ89" s="39" t="n"/>
      <c r="AR89" s="39" t="n"/>
      <c r="AS89" s="39" t="n"/>
      <c r="AT89" s="39" t="n"/>
      <c r="AU89" s="25" t="n"/>
      <c r="AV89" s="25" t="n"/>
      <c r="AW89" s="32" t="n">
        <v>0</v>
      </c>
      <c r="AX89" s="32" t="n">
        <v>0.05</v>
      </c>
      <c r="AY89" s="32" t="n">
        <v>0.05</v>
      </c>
      <c r="AZ89" s="32" t="n">
        <v>0.05</v>
      </c>
      <c r="BA89" s="32" t="n">
        <v>0.05</v>
      </c>
      <c r="BB89" s="26" t="n"/>
    </row>
    <row r="90">
      <c r="B90" s="27" t="inlineStr">
        <is>
          <t xml:space="preserve">  Segment Operating Income from future acquisitions</t>
        </is>
      </c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  <c r="AB90" s="43" t="n"/>
      <c r="AC90" s="43" t="n"/>
      <c r="AD90" s="43" t="n"/>
      <c r="AE90" s="43" t="n"/>
      <c r="AF90" s="43" t="n"/>
      <c r="AG90" s="43" t="n"/>
      <c r="AH90" s="43" t="n"/>
      <c r="AI90" s="43" t="n"/>
      <c r="AJ90" s="43" t="n"/>
      <c r="AK90" s="43" t="n"/>
      <c r="AL90" s="43" t="n"/>
      <c r="AM90" s="43" t="n"/>
      <c r="AN90" s="43" t="n"/>
      <c r="AO90" s="43" t="n"/>
      <c r="AP90" s="43" t="n"/>
      <c r="AQ90" s="43" t="n"/>
      <c r="AR90" s="43" t="n"/>
      <c r="AS90" s="43" t="n"/>
      <c r="AT90" s="43" t="n"/>
      <c r="AU90" s="45" t="n"/>
      <c r="AV90" s="45" t="n"/>
      <c r="AW90" s="47" t="n">
        <v>0</v>
      </c>
      <c r="AX90" s="45">
        <f>AX88*AX89</f>
        <v/>
      </c>
      <c r="AY90" s="45">
        <f>AY88*AY89</f>
        <v/>
      </c>
      <c r="AZ90" s="45">
        <f>AZ88*AZ89</f>
        <v/>
      </c>
      <c r="BA90" s="45">
        <f>BA88*BA89</f>
        <v/>
      </c>
      <c r="BB90" s="26" t="n"/>
    </row>
    <row r="91">
      <c r="B91" s="27" t="inlineStr">
        <is>
          <t xml:space="preserve">  D&amp;A of acquired businesses % of revenue (excl. intangibles)</t>
        </is>
      </c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  <c r="AD91" s="39" t="n"/>
      <c r="AE91" s="39" t="n"/>
      <c r="AF91" s="39" t="n"/>
      <c r="AG91" s="39" t="n"/>
      <c r="AH91" s="39" t="n"/>
      <c r="AI91" s="39" t="n"/>
      <c r="AJ91" s="39" t="n"/>
      <c r="AK91" s="39" t="n"/>
      <c r="AL91" s="39" t="n"/>
      <c r="AM91" s="39" t="n"/>
      <c r="AN91" s="39" t="n"/>
      <c r="AO91" s="39" t="n"/>
      <c r="AP91" s="39" t="n"/>
      <c r="AQ91" s="39" t="n"/>
      <c r="AR91" s="39" t="n"/>
      <c r="AS91" s="39" t="n"/>
      <c r="AT91" s="39" t="n"/>
      <c r="AU91" s="25" t="n"/>
      <c r="AV91" s="25" t="n"/>
      <c r="AW91" s="32" t="n">
        <v>0</v>
      </c>
      <c r="AX91" s="32" t="n">
        <v>0.02</v>
      </c>
      <c r="AY91" s="32" t="n">
        <v>0.02</v>
      </c>
      <c r="AZ91" s="32" t="n">
        <v>0.02</v>
      </c>
      <c r="BA91" s="32" t="n">
        <v>0.02</v>
      </c>
      <c r="BB91" s="26" t="n"/>
    </row>
    <row r="92">
      <c r="B92" s="27" t="inlineStr">
        <is>
          <t xml:space="preserve">  D&amp;A from future acquisitions</t>
        </is>
      </c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  <c r="AA92" s="43" t="n"/>
      <c r="AB92" s="43" t="n"/>
      <c r="AC92" s="43" t="n"/>
      <c r="AD92" s="43" t="n"/>
      <c r="AE92" s="43" t="n"/>
      <c r="AF92" s="43" t="n"/>
      <c r="AG92" s="43" t="n"/>
      <c r="AH92" s="43" t="n"/>
      <c r="AI92" s="43" t="n"/>
      <c r="AJ92" s="43" t="n"/>
      <c r="AK92" s="43" t="n"/>
      <c r="AL92" s="43" t="n"/>
      <c r="AM92" s="43" t="n"/>
      <c r="AN92" s="43" t="n"/>
      <c r="AO92" s="43" t="n"/>
      <c r="AP92" s="43" t="n"/>
      <c r="AQ92" s="43" t="n"/>
      <c r="AR92" s="43" t="n"/>
      <c r="AS92" s="43" t="n"/>
      <c r="AT92" s="43" t="n"/>
      <c r="AU92" s="45" t="n"/>
      <c r="AV92" s="45" t="n"/>
      <c r="AW92" s="47" t="n">
        <v>0</v>
      </c>
      <c r="AX92" s="45">
        <f>AX88*AX91</f>
        <v/>
      </c>
      <c r="AY92" s="45">
        <f>AY88*AY91</f>
        <v/>
      </c>
      <c r="AZ92" s="45">
        <f>AZ88*AZ91</f>
        <v/>
      </c>
      <c r="BA92" s="45">
        <f>BA88*BA91</f>
        <v/>
      </c>
      <c r="BB92" s="26" t="n"/>
    </row>
    <row r="93">
      <c r="B93" s="27" t="inlineStr">
        <is>
          <t xml:space="preserve">  Acquired intangibles % of spend</t>
        </is>
      </c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  <c r="AE93" s="39" t="n"/>
      <c r="AF93" s="39" t="n"/>
      <c r="AG93" s="39" t="n"/>
      <c r="AH93" s="39" t="n"/>
      <c r="AI93" s="39" t="n"/>
      <c r="AJ93" s="39" t="n"/>
      <c r="AK93" s="39" t="n"/>
      <c r="AL93" s="39" t="n"/>
      <c r="AM93" s="39" t="n"/>
      <c r="AN93" s="39" t="n"/>
      <c r="AO93" s="39" t="n"/>
      <c r="AP93" s="39" t="n"/>
      <c r="AQ93" s="39" t="n"/>
      <c r="AR93" s="39" t="n"/>
      <c r="AS93" s="39" t="n"/>
      <c r="AT93" s="39" t="n"/>
      <c r="AU93" s="25" t="n"/>
      <c r="AV93" s="25" t="n"/>
      <c r="AW93" s="32" t="n">
        <v>0</v>
      </c>
      <c r="AX93" s="32" t="n">
        <v>0.25</v>
      </c>
      <c r="AY93" s="32" t="n">
        <v>0.25</v>
      </c>
      <c r="AZ93" s="32" t="n">
        <v>0.25</v>
      </c>
      <c r="BA93" s="32" t="n">
        <v>0.25</v>
      </c>
      <c r="BB93" s="26" t="n"/>
    </row>
    <row r="94">
      <c r="B94" s="27" t="inlineStr">
        <is>
          <t xml:space="preserve">  Intangible amortization life (years)</t>
        </is>
      </c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  <c r="AA94" s="43" t="n"/>
      <c r="AB94" s="43" t="n"/>
      <c r="AC94" s="43" t="n"/>
      <c r="AD94" s="43" t="n"/>
      <c r="AE94" s="43" t="n"/>
      <c r="AF94" s="43" t="n"/>
      <c r="AG94" s="43" t="n"/>
      <c r="AH94" s="43" t="n"/>
      <c r="AI94" s="43" t="n"/>
      <c r="AJ94" s="43" t="n"/>
      <c r="AK94" s="43" t="n"/>
      <c r="AL94" s="43" t="n"/>
      <c r="AM94" s="43" t="n"/>
      <c r="AN94" s="43" t="n"/>
      <c r="AO94" s="43" t="n"/>
      <c r="AP94" s="43" t="n"/>
      <c r="AQ94" s="43" t="n"/>
      <c r="AR94" s="43" t="n"/>
      <c r="AS94" s="43" t="n"/>
      <c r="AT94" s="43" t="n"/>
      <c r="AU94" s="45" t="n"/>
      <c r="AV94" s="45" t="n"/>
      <c r="AW94" s="47" t="n">
        <v>0</v>
      </c>
      <c r="AX94" s="47" t="n">
        <v>8</v>
      </c>
      <c r="AY94" s="47" t="n">
        <v>8</v>
      </c>
      <c r="AZ94" s="47" t="n">
        <v>8</v>
      </c>
      <c r="BA94" s="47" t="n">
        <v>8</v>
      </c>
      <c r="BB94" s="26" t="n"/>
    </row>
    <row r="95">
      <c r="B95" s="27" t="inlineStr">
        <is>
          <t xml:space="preserve">  Cumulative acquired intangibles (gross)</t>
        </is>
      </c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  <c r="AA95" s="43" t="n"/>
      <c r="AB95" s="43" t="n"/>
      <c r="AC95" s="43" t="n"/>
      <c r="AD95" s="43" t="n"/>
      <c r="AE95" s="43" t="n"/>
      <c r="AF95" s="43" t="n"/>
      <c r="AG95" s="43" t="n"/>
      <c r="AH95" s="43" t="n"/>
      <c r="AI95" s="43" t="n"/>
      <c r="AJ95" s="43" t="n"/>
      <c r="AK95" s="43" t="n"/>
      <c r="AL95" s="43" t="n"/>
      <c r="AM95" s="43" t="n"/>
      <c r="AN95" s="43" t="n"/>
      <c r="AO95" s="43" t="n"/>
      <c r="AP95" s="43" t="n"/>
      <c r="AQ95" s="43" t="n"/>
      <c r="AR95" s="43" t="n"/>
      <c r="AS95" s="43" t="n"/>
      <c r="AT95" s="43" t="n"/>
      <c r="AU95" s="45" t="n"/>
      <c r="AV95" s="45" t="n"/>
      <c r="AW95" s="47" t="n">
        <v>0</v>
      </c>
      <c r="AX95" s="45">
        <f>AW95+AX83*AX93</f>
        <v/>
      </c>
      <c r="AY95" s="45">
        <f>AX95+AY83*AY93</f>
        <v/>
      </c>
      <c r="AZ95" s="45">
        <f>AY95+AZ83*AZ93</f>
        <v/>
      </c>
      <c r="BA95" s="45">
        <f>AZ95+BA83*BA93</f>
        <v/>
      </c>
      <c r="BB95" s="26" t="n"/>
    </row>
    <row r="96">
      <c r="B96" s="27" t="inlineStr">
        <is>
          <t xml:space="preserve">  Amortization of future-acquisition intangibles (excluded from Non-GAAP)</t>
        </is>
      </c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  <c r="AA96" s="43" t="n"/>
      <c r="AB96" s="43" t="n"/>
      <c r="AC96" s="43" t="n"/>
      <c r="AD96" s="43" t="n"/>
      <c r="AE96" s="43" t="n"/>
      <c r="AF96" s="43" t="n"/>
      <c r="AG96" s="43" t="n"/>
      <c r="AH96" s="43" t="n"/>
      <c r="AI96" s="43" t="n"/>
      <c r="AJ96" s="43" t="n"/>
      <c r="AK96" s="43" t="n"/>
      <c r="AL96" s="43" t="n"/>
      <c r="AM96" s="43" t="n"/>
      <c r="AN96" s="43" t="n"/>
      <c r="AO96" s="43" t="n"/>
      <c r="AP96" s="43" t="n"/>
      <c r="AQ96" s="43" t="n"/>
      <c r="AR96" s="43" t="n"/>
      <c r="AS96" s="43" t="n"/>
      <c r="AT96" s="43" t="n"/>
      <c r="AU96" s="45" t="n"/>
      <c r="AV96" s="45" t="n"/>
      <c r="AW96" s="47" t="n">
        <v>0</v>
      </c>
      <c r="AX96" s="45">
        <f>(AW95+0.5*AX83*AX93)/AX94</f>
        <v/>
      </c>
      <c r="AY96" s="45">
        <f>(AX95+0.5*AY83*AY93)/AY94</f>
        <v/>
      </c>
      <c r="AZ96" s="45">
        <f>(AY95+0.5*AZ83*AZ93)/AZ94</f>
        <v/>
      </c>
      <c r="BA96" s="45">
        <f>(AZ95+0.5*BA83*BA93)/BA94</f>
        <v/>
      </c>
      <c r="BB96" s="26" t="n"/>
    </row>
    <row r="98">
      <c r="B98" s="14" t="inlineStr">
        <is>
          <t>Group total → Non-GAAP Operating Income → outlook calibration</t>
        </is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  <c r="AH98" s="14" t="n"/>
      <c r="AI98" s="14" t="n"/>
      <c r="AJ98" s="14" t="n"/>
      <c r="AK98" s="14" t="n"/>
      <c r="AL98" s="14" t="n"/>
      <c r="AM98" s="14" t="n"/>
      <c r="AN98" s="14" t="n"/>
      <c r="AO98" s="14" t="n"/>
      <c r="AP98" s="14" t="n"/>
      <c r="AQ98" s="14" t="n"/>
      <c r="AR98" s="14" t="n"/>
      <c r="AS98" s="14" t="n"/>
      <c r="AT98" s="14" t="n"/>
      <c r="AU98" s="14" t="n"/>
      <c r="AV98" s="14" t="n"/>
      <c r="AW98" s="14" t="n"/>
      <c r="AX98" s="14" t="n"/>
      <c r="AY98" s="14" t="n"/>
      <c r="AZ98" s="14" t="n"/>
      <c r="BA98" s="14" t="n"/>
      <c r="BB98" s="15" t="inlineStr">
        <is>
          <t>GROUP TOTAL (CONSOLIDATED) — modelling logic</t>
        </is>
      </c>
    </row>
    <row r="99">
      <c r="B99" s="52" t="inlineStr">
        <is>
          <t>Gross Bookings — total (incl. Delivery Hero from closing)</t>
        </is>
      </c>
      <c r="C99" s="53">
        <f>C19</f>
        <v/>
      </c>
      <c r="D99" s="53">
        <f>D19</f>
        <v/>
      </c>
      <c r="E99" s="53">
        <f>E19</f>
        <v/>
      </c>
      <c r="F99" s="53">
        <f>F19</f>
        <v/>
      </c>
      <c r="G99" s="53">
        <f>G19</f>
        <v/>
      </c>
      <c r="H99" s="53">
        <f>H19</f>
        <v/>
      </c>
      <c r="I99" s="53">
        <f>I19</f>
        <v/>
      </c>
      <c r="J99" s="53">
        <f>J19</f>
        <v/>
      </c>
      <c r="K99" s="53">
        <f>K19</f>
        <v/>
      </c>
      <c r="L99" s="53">
        <f>L19</f>
        <v/>
      </c>
      <c r="M99" s="53">
        <f>M19</f>
        <v/>
      </c>
      <c r="N99" s="53">
        <f>N19</f>
        <v/>
      </c>
      <c r="O99" s="53">
        <f>O19</f>
        <v/>
      </c>
      <c r="P99" s="53">
        <f>P19</f>
        <v/>
      </c>
      <c r="Q99" s="53">
        <f>Q19</f>
        <v/>
      </c>
      <c r="R99" s="53">
        <f>R19</f>
        <v/>
      </c>
      <c r="S99" s="53">
        <f>S19</f>
        <v/>
      </c>
      <c r="T99" s="53">
        <f>T19</f>
        <v/>
      </c>
      <c r="U99" s="53">
        <f>U19</f>
        <v/>
      </c>
      <c r="V99" s="53">
        <f>V19</f>
        <v/>
      </c>
      <c r="W99" s="53">
        <f>W19</f>
        <v/>
      </c>
      <c r="X99" s="53">
        <f>X19</f>
        <v/>
      </c>
      <c r="Y99" s="53">
        <f>Y19</f>
        <v/>
      </c>
      <c r="Z99" s="53">
        <f>Z19</f>
        <v/>
      </c>
      <c r="AA99" s="53">
        <f>AA19</f>
        <v/>
      </c>
      <c r="AB99" s="53">
        <f>AB19</f>
        <v/>
      </c>
      <c r="AC99" s="53">
        <f>AC19</f>
        <v/>
      </c>
      <c r="AD99" s="53">
        <f>AD19</f>
        <v/>
      </c>
      <c r="AE99" s="53">
        <f>AE19</f>
        <v/>
      </c>
      <c r="AF99" s="53">
        <f>AF19</f>
        <v/>
      </c>
      <c r="AG99" s="53">
        <f>AG19</f>
        <v/>
      </c>
      <c r="AH99" s="53">
        <f>AH19</f>
        <v/>
      </c>
      <c r="AI99" s="53">
        <f>AI19</f>
        <v/>
      </c>
      <c r="AJ99" s="53">
        <f>AJ19</f>
        <v/>
      </c>
      <c r="AK99" s="53">
        <f>AK19</f>
        <v/>
      </c>
      <c r="AL99" s="53">
        <f>AL19</f>
        <v/>
      </c>
      <c r="AM99" s="53">
        <f>AM19</f>
        <v/>
      </c>
      <c r="AN99" s="53">
        <f>AN19</f>
        <v/>
      </c>
      <c r="AO99" s="53">
        <f>AO19</f>
        <v/>
      </c>
      <c r="AP99" s="53">
        <f>AP19</f>
        <v/>
      </c>
      <c r="AQ99" s="53">
        <f>AQ19</f>
        <v/>
      </c>
      <c r="AR99" s="53">
        <f>AR19</f>
        <v/>
      </c>
      <c r="AS99" s="53">
        <f>AS19</f>
        <v/>
      </c>
      <c r="AT99" s="53">
        <f>AT19</f>
        <v/>
      </c>
      <c r="AU99" s="53">
        <f>AU19+N(AU67)</f>
        <v/>
      </c>
      <c r="AV99" s="53">
        <f>AV19+N(AV67)</f>
        <v/>
      </c>
      <c r="AW99" s="53">
        <f>AW19+N(AW67)</f>
        <v/>
      </c>
      <c r="AX99" s="53">
        <f>AX19+N(AX67)</f>
        <v/>
      </c>
      <c r="AY99" s="53">
        <f>AY19+N(AY67)</f>
        <v/>
      </c>
      <c r="AZ99" s="53">
        <f>AZ19+N(AZ67)</f>
        <v/>
      </c>
      <c r="BA99" s="53">
        <f>BA19+N(BA67)</f>
        <v/>
      </c>
      <c r="BB99" s="26" t="n"/>
      <c r="BD99" s="20">
        <f>IFERROR((BA99/AR99)^(1/5)-1,"")</f>
        <v/>
      </c>
      <c r="BE99" s="20">
        <f>IFERROR((AR99/S99)^(1/5)-1,"")</f>
        <v/>
      </c>
      <c r="BF99" s="20">
        <f>IFERROR((AR99/I99)^(1/7)-1,"")</f>
        <v/>
      </c>
      <c r="BG99" s="20">
        <f>IFERROR((AR99/C99)^(1/9)-1,"")</f>
        <v/>
      </c>
    </row>
    <row r="100">
      <c r="B100" s="23" t="inlineStr">
        <is>
          <t xml:space="preserve">  Gross Bookings y/y %</t>
        </is>
      </c>
      <c r="C100" s="24" t="n"/>
      <c r="D100" s="24">
        <f>IF(AND(ISNUMBER(D99),ISNUMBER(C99)),IFERROR(D99/C99-1,""),"")</f>
        <v/>
      </c>
      <c r="E100" s="24" t="n"/>
      <c r="F100" s="24" t="n"/>
      <c r="G100" s="24" t="n"/>
      <c r="H100" s="24" t="n"/>
      <c r="I100" s="24">
        <f>IF(AND(ISNUMBER(I99),ISNUMBER(D99)),IFERROR(I99/D99-1,""),"")</f>
        <v/>
      </c>
      <c r="J100" s="24">
        <f>IF(AND(ISNUMBER(J99),ISNUMBER(E99)),IFERROR(J99/E99-1,""),"")</f>
        <v/>
      </c>
      <c r="K100" s="24">
        <f>IF(AND(ISNUMBER(K99),ISNUMBER(F99)),IFERROR(K99/F99-1,""),"")</f>
        <v/>
      </c>
      <c r="L100" s="24">
        <f>IF(AND(ISNUMBER(L99),ISNUMBER(G99)),IFERROR(L99/G99-1,""),"")</f>
        <v/>
      </c>
      <c r="M100" s="24">
        <f>IF(AND(ISNUMBER(M99),ISNUMBER(H99)),IFERROR(M99/H99-1,""),"")</f>
        <v/>
      </c>
      <c r="N100" s="24">
        <f>IF(AND(ISNUMBER(N99),ISNUMBER(I99)),IFERROR(N99/I99-1,""),"")</f>
        <v/>
      </c>
      <c r="O100" s="24">
        <f>IF(AND(ISNUMBER(O99),ISNUMBER(J99)),IFERROR(O99/J99-1,""),"")</f>
        <v/>
      </c>
      <c r="P100" s="24">
        <f>IF(AND(ISNUMBER(P99),ISNUMBER(K99)),IFERROR(P99/K99-1,""),"")</f>
        <v/>
      </c>
      <c r="Q100" s="24">
        <f>IF(AND(ISNUMBER(Q99),ISNUMBER(L99)),IFERROR(Q99/L99-1,""),"")</f>
        <v/>
      </c>
      <c r="R100" s="24">
        <f>IF(AND(ISNUMBER(R99),ISNUMBER(M99)),IFERROR(R99/M99-1,""),"")</f>
        <v/>
      </c>
      <c r="S100" s="24">
        <f>IF(AND(ISNUMBER(S99),ISNUMBER(N99)),IFERROR(S99/N99-1,""),"")</f>
        <v/>
      </c>
      <c r="T100" s="24">
        <f>IF(AND(ISNUMBER(T99),ISNUMBER(O99)),IFERROR(T99/O99-1,""),"")</f>
        <v/>
      </c>
      <c r="U100" s="24">
        <f>IF(AND(ISNUMBER(U99),ISNUMBER(P99)),IFERROR(U99/P99-1,""),"")</f>
        <v/>
      </c>
      <c r="V100" s="24">
        <f>IF(AND(ISNUMBER(V99),ISNUMBER(Q99)),IFERROR(V99/Q99-1,""),"")</f>
        <v/>
      </c>
      <c r="W100" s="24">
        <f>IF(AND(ISNUMBER(W99),ISNUMBER(R99)),IFERROR(W99/R99-1,""),"")</f>
        <v/>
      </c>
      <c r="X100" s="24">
        <f>IF(AND(ISNUMBER(X99),ISNUMBER(S99)),IFERROR(X99/S99-1,""),"")</f>
        <v/>
      </c>
      <c r="Y100" s="24">
        <f>IF(AND(ISNUMBER(Y99),ISNUMBER(T99)),IFERROR(Y99/T99-1,""),"")</f>
        <v/>
      </c>
      <c r="Z100" s="24">
        <f>IF(AND(ISNUMBER(Z99),ISNUMBER(U99)),IFERROR(Z99/U99-1,""),"")</f>
        <v/>
      </c>
      <c r="AA100" s="24">
        <f>IF(AND(ISNUMBER(AA99),ISNUMBER(V99)),IFERROR(AA99/V99-1,""),"")</f>
        <v/>
      </c>
      <c r="AB100" s="24">
        <f>IF(AND(ISNUMBER(AB99),ISNUMBER(W99)),IFERROR(AB99/W99-1,""),"")</f>
        <v/>
      </c>
      <c r="AC100" s="24">
        <f>IF(AND(ISNUMBER(AC99),ISNUMBER(X99)),IFERROR(AC99/X99-1,""),"")</f>
        <v/>
      </c>
      <c r="AD100" s="24">
        <f>IF(AND(ISNUMBER(AD99),ISNUMBER(Y99)),IFERROR(AD99/Y99-1,""),"")</f>
        <v/>
      </c>
      <c r="AE100" s="24">
        <f>IF(AND(ISNUMBER(AE99),ISNUMBER(Z99)),IFERROR(AE99/Z99-1,""),"")</f>
        <v/>
      </c>
      <c r="AF100" s="24">
        <f>IF(AND(ISNUMBER(AF99),ISNUMBER(AA99)),IFERROR(AF99/AA99-1,""),"")</f>
        <v/>
      </c>
      <c r="AG100" s="24">
        <f>IF(AND(ISNUMBER(AG99),ISNUMBER(AB99)),IFERROR(AG99/AB99-1,""),"")</f>
        <v/>
      </c>
      <c r="AH100" s="24">
        <f>IF(AND(ISNUMBER(AH99),ISNUMBER(AC99)),IFERROR(AH99/AC99-1,""),"")</f>
        <v/>
      </c>
      <c r="AI100" s="24">
        <f>IF(AND(ISNUMBER(AI99),ISNUMBER(AD99)),IFERROR(AI99/AD99-1,""),"")</f>
        <v/>
      </c>
      <c r="AJ100" s="24">
        <f>IF(AND(ISNUMBER(AJ99),ISNUMBER(AE99)),IFERROR(AJ99/AE99-1,""),"")</f>
        <v/>
      </c>
      <c r="AK100" s="24">
        <f>IF(AND(ISNUMBER(AK99),ISNUMBER(AF99)),IFERROR(AK99/AF99-1,""),"")</f>
        <v/>
      </c>
      <c r="AL100" s="24">
        <f>IF(AND(ISNUMBER(AL99),ISNUMBER(AG99)),IFERROR(AL99/AG99-1,""),"")</f>
        <v/>
      </c>
      <c r="AM100" s="24">
        <f>IF(AND(ISNUMBER(AM99),ISNUMBER(AH99)),IFERROR(AM99/AH99-1,""),"")</f>
        <v/>
      </c>
      <c r="AN100" s="24">
        <f>IF(AND(ISNUMBER(AN99),ISNUMBER(AI99)),IFERROR(AN99/AI99-1,""),"")</f>
        <v/>
      </c>
      <c r="AO100" s="24">
        <f>IF(AND(ISNUMBER(AO99),ISNUMBER(AJ99)),IFERROR(AO99/AJ99-1,""),"")</f>
        <v/>
      </c>
      <c r="AP100" s="24">
        <f>IF(AND(ISNUMBER(AP99),ISNUMBER(AK99)),IFERROR(AP99/AK99-1,""),"")</f>
        <v/>
      </c>
      <c r="AQ100" s="24">
        <f>IF(AND(ISNUMBER(AQ99),ISNUMBER(AL99)),IFERROR(AQ99/AL99-1,""),"")</f>
        <v/>
      </c>
      <c r="AR100" s="24">
        <f>IF(AND(ISNUMBER(AR99),ISNUMBER(AM99)),IFERROR(AR99/AM99-1,""),"")</f>
        <v/>
      </c>
      <c r="AS100" s="24">
        <f>IF(AND(ISNUMBER(AS99),ISNUMBER(AN99)),IFERROR(AS99/AN99-1,""),"")</f>
        <v/>
      </c>
      <c r="AT100" s="24">
        <f>IF(AND(ISNUMBER(AT99),ISNUMBER(AO99)),IFERROR(AT99/AO99-1,""),"")</f>
        <v/>
      </c>
      <c r="AU100" s="25">
        <f>IFERROR(AU99/AP99-1,"")</f>
        <v/>
      </c>
      <c r="AV100" s="25">
        <f>IFERROR(AV99/AQ99-1,"")</f>
        <v/>
      </c>
      <c r="AW100" s="25">
        <f>IFERROR(AW99/AR99-1,"")</f>
        <v/>
      </c>
      <c r="AX100" s="25">
        <f>IFERROR(AX99/AW99-1,"")</f>
        <v/>
      </c>
      <c r="AY100" s="25">
        <f>IFERROR(AY99/AX99-1,"")</f>
        <v/>
      </c>
      <c r="AZ100" s="25">
        <f>IFERROR(AZ99/AY99-1,"")</f>
        <v/>
      </c>
      <c r="BA100" s="25">
        <f>IFERROR(BA99/AZ99-1,"")</f>
        <v/>
      </c>
      <c r="BB100" s="26" t="n"/>
    </row>
    <row r="101">
      <c r="B101" s="52" t="inlineStr">
        <is>
          <t>Revenue (segment build)</t>
        </is>
      </c>
      <c r="C101" s="53">
        <f>N(C27)+N(C39)+N(C50)+N(C56)+N(C57)+N(C59)</f>
        <v/>
      </c>
      <c r="D101" s="53">
        <f>N(D27)+N(D39)+N(D50)+N(D56)+N(D57)+N(D59)</f>
        <v/>
      </c>
      <c r="E101" s="53">
        <f>N(E27)+N(E39)+N(E50)+N(E56)+N(E57)+N(E59)</f>
        <v/>
      </c>
      <c r="F101" s="53">
        <f>N(F27)+N(F39)+N(F50)+N(F56)+N(F57)+N(F59)</f>
        <v/>
      </c>
      <c r="G101" s="53">
        <f>N(G27)+N(G39)+N(G50)+N(G56)+N(G57)+N(G59)</f>
        <v/>
      </c>
      <c r="H101" s="53">
        <f>N(H27)+N(H39)+N(H50)+N(H56)+N(H57)+N(H59)</f>
        <v/>
      </c>
      <c r="I101" s="53">
        <f>N(I27)+N(I39)+N(I50)+N(I56)+N(I57)+N(I59)</f>
        <v/>
      </c>
      <c r="J101" s="53">
        <f>N(J27)+N(J39)+N(J50)+N(J56)+N(J57)+N(J59)</f>
        <v/>
      </c>
      <c r="K101" s="53">
        <f>N(K27)+N(K39)+N(K50)+N(K56)+N(K57)+N(K59)</f>
        <v/>
      </c>
      <c r="L101" s="53">
        <f>N(L27)+N(L39)+N(L50)+N(L56)+N(L57)+N(L59)</f>
        <v/>
      </c>
      <c r="M101" s="53">
        <f>N(M27)+N(M39)+N(M50)+N(M56)+N(M57)+N(M59)</f>
        <v/>
      </c>
      <c r="N101" s="53">
        <f>N(N27)+N(N39)+N(N50)+N(N56)+N(N57)+N(N59)</f>
        <v/>
      </c>
      <c r="O101" s="53">
        <f>N(O27)+N(O39)+N(O50)+N(O56)+N(O57)+N(O59)</f>
        <v/>
      </c>
      <c r="P101" s="53">
        <f>N(P27)+N(P39)+N(P50)+N(P56)+N(P57)+N(P59)</f>
        <v/>
      </c>
      <c r="Q101" s="53">
        <f>N(Q27)+N(Q39)+N(Q50)+N(Q56)+N(Q57)+N(Q59)</f>
        <v/>
      </c>
      <c r="R101" s="53">
        <f>N(R27)+N(R39)+N(R50)+N(R56)+N(R57)+N(R59)</f>
        <v/>
      </c>
      <c r="S101" s="53">
        <f>N(S27)+N(S39)+N(S50)+N(S56)+N(S57)+N(S59)</f>
        <v/>
      </c>
      <c r="T101" s="53">
        <f>N(T27)+N(T39)+N(T50)+N(T56)+N(T57)+N(T59)</f>
        <v/>
      </c>
      <c r="U101" s="53">
        <f>N(U27)+N(U39)+N(U50)+N(U56)+N(U57)+N(U59)</f>
        <v/>
      </c>
      <c r="V101" s="53">
        <f>N(V27)+N(V39)+N(V50)+N(V56)+N(V57)+N(V59)</f>
        <v/>
      </c>
      <c r="W101" s="53">
        <f>N(W27)+N(W39)+N(W50)+N(W56)+N(W57)+N(W59)</f>
        <v/>
      </c>
      <c r="X101" s="53">
        <f>N(X27)+N(X39)+N(X50)+N(X56)+N(X57)+N(X59)</f>
        <v/>
      </c>
      <c r="Y101" s="53">
        <f>N(Y27)+N(Y39)+N(Y50)+N(Y56)+N(Y57)+N(Y59)</f>
        <v/>
      </c>
      <c r="Z101" s="53">
        <f>N(Z27)+N(Z39)+N(Z50)+N(Z56)+N(Z57)+N(Z59)</f>
        <v/>
      </c>
      <c r="AA101" s="53">
        <f>N(AA27)+N(AA39)+N(AA50)+N(AA56)+N(AA57)+N(AA59)</f>
        <v/>
      </c>
      <c r="AB101" s="53">
        <f>N(AB27)+N(AB39)+N(AB50)+N(AB56)+N(AB57)+N(AB59)</f>
        <v/>
      </c>
      <c r="AC101" s="53">
        <f>N(AC27)+N(AC39)+N(AC50)+N(AC56)+N(AC57)+N(AC59)</f>
        <v/>
      </c>
      <c r="AD101" s="53">
        <f>N(AD27)+N(AD39)+N(AD50)+N(AD56)+N(AD57)+N(AD59)</f>
        <v/>
      </c>
      <c r="AE101" s="53">
        <f>N(AE27)+N(AE39)+N(AE50)+N(AE56)+N(AE57)+N(AE59)</f>
        <v/>
      </c>
      <c r="AF101" s="53">
        <f>N(AF27)+N(AF39)+N(AF50)+N(AF56)+N(AF57)+N(AF59)</f>
        <v/>
      </c>
      <c r="AG101" s="53">
        <f>N(AG27)+N(AG39)+N(AG50)+N(AG56)+N(AG57)+N(AG59)</f>
        <v/>
      </c>
      <c r="AH101" s="53">
        <f>N(AH27)+N(AH39)+N(AH50)+N(AH56)+N(AH57)+N(AH59)</f>
        <v/>
      </c>
      <c r="AI101" s="53">
        <f>N(AI27)+N(AI39)+N(AI50)+N(AI56)+N(AI57)+N(AI59)</f>
        <v/>
      </c>
      <c r="AJ101" s="53">
        <f>N(AJ27)+N(AJ39)+N(AJ50)+N(AJ56)+N(AJ57)+N(AJ59)</f>
        <v/>
      </c>
      <c r="AK101" s="53">
        <f>N(AK27)+N(AK39)+N(AK50)+N(AK56)+N(AK57)+N(AK59)</f>
        <v/>
      </c>
      <c r="AL101" s="53">
        <f>N(AL27)+N(AL39)+N(AL50)+N(AL56)+N(AL57)+N(AL59)</f>
        <v/>
      </c>
      <c r="AM101" s="53">
        <f>N(AM27)+N(AM39)+N(AM50)+N(AM56)+N(AM57)+N(AM59)</f>
        <v/>
      </c>
      <c r="AN101" s="53">
        <f>N(AN27)+N(AN39)+N(AN50)+N(AN56)+N(AN57)+N(AN59)</f>
        <v/>
      </c>
      <c r="AO101" s="53">
        <f>N(AO27)+N(AO39)+N(AO50)+N(AO56)+N(AO57)+N(AO59)</f>
        <v/>
      </c>
      <c r="AP101" s="53">
        <f>N(AP27)+N(AP39)+N(AP50)+N(AP56)+N(AP57)+N(AP59)</f>
        <v/>
      </c>
      <c r="AQ101" s="53">
        <f>N(AQ27)+N(AQ39)+N(AQ50)+N(AQ56)+N(AQ57)+N(AQ59)</f>
        <v/>
      </c>
      <c r="AR101" s="53">
        <f>N(AR27)+N(AR39)+N(AR50)+N(AR56)+N(AR57)+N(AR59)</f>
        <v/>
      </c>
      <c r="AS101" s="53">
        <f>N(AS27)+N(AS39)+N(AS50)+N(AS56)+N(AS57)+N(AS59)</f>
        <v/>
      </c>
      <c r="AT101" s="53">
        <f>N(AT27)+N(AT39)+N(AT50)+N(AT56)+N(AT57)+N(AT59)</f>
        <v/>
      </c>
      <c r="AU101" s="53">
        <f>N(AU27)+N(AU39)+N(AU50)+N(AU69)+N(AU88)</f>
        <v/>
      </c>
      <c r="AV101" s="53">
        <f>N(AV27)+N(AV39)+N(AV50)+N(AV69)+N(AV88)</f>
        <v/>
      </c>
      <c r="AW101" s="53">
        <f>N(AW27)+N(AW39)+N(AW50)+N(AW69)+N(AW88)</f>
        <v/>
      </c>
      <c r="AX101" s="53">
        <f>N(AX27)+N(AX39)+N(AX50)+N(AX69)+N(AX88)</f>
        <v/>
      </c>
      <c r="AY101" s="53">
        <f>N(AY27)+N(AY39)+N(AY50)+N(AY69)+N(AY88)</f>
        <v/>
      </c>
      <c r="AZ101" s="53">
        <f>N(AZ27)+N(AZ39)+N(AZ50)+N(AZ69)+N(AZ88)</f>
        <v/>
      </c>
      <c r="BA101" s="53">
        <f>N(BA27)+N(BA39)+N(BA50)+N(BA69)+N(BA88)</f>
        <v/>
      </c>
      <c r="BB101" s="26" t="n"/>
    </row>
    <row r="102">
      <c r="B102" s="27" t="inlineStr">
        <is>
          <t xml:space="preserve">  Revenue ÷ Gross Bookings % (group take rate)</t>
        </is>
      </c>
      <c r="C102" s="39">
        <f>IF(AND(ISNUMBER(C101),ISNUMBER(C99)),IFERROR(C101/C99,""),"")</f>
        <v/>
      </c>
      <c r="D102" s="39">
        <f>IF(AND(ISNUMBER(D101),ISNUMBER(D99)),IFERROR(D101/D99,""),"")</f>
        <v/>
      </c>
      <c r="E102" s="39">
        <f>IF(AND(ISNUMBER(E101),ISNUMBER(E99)),IFERROR(E101/E99,""),"")</f>
        <v/>
      </c>
      <c r="F102" s="39">
        <f>IF(AND(ISNUMBER(F101),ISNUMBER(F99)),IFERROR(F101/F99,""),"")</f>
        <v/>
      </c>
      <c r="G102" s="39">
        <f>IF(AND(ISNUMBER(G101),ISNUMBER(G99)),IFERROR(G101/G99,""),"")</f>
        <v/>
      </c>
      <c r="H102" s="39">
        <f>IF(AND(ISNUMBER(H101),ISNUMBER(H99)),IFERROR(H101/H99,""),"")</f>
        <v/>
      </c>
      <c r="I102" s="39">
        <f>IF(AND(ISNUMBER(I101),ISNUMBER(I99)),IFERROR(I101/I99,""),"")</f>
        <v/>
      </c>
      <c r="J102" s="39">
        <f>IF(AND(ISNUMBER(J101),ISNUMBER(J99)),IFERROR(J101/J99,""),"")</f>
        <v/>
      </c>
      <c r="K102" s="39">
        <f>IF(AND(ISNUMBER(K101),ISNUMBER(K99)),IFERROR(K101/K99,""),"")</f>
        <v/>
      </c>
      <c r="L102" s="39">
        <f>IF(AND(ISNUMBER(L101),ISNUMBER(L99)),IFERROR(L101/L99,""),"")</f>
        <v/>
      </c>
      <c r="M102" s="39">
        <f>IF(AND(ISNUMBER(M101),ISNUMBER(M99)),IFERROR(M101/M99,""),"")</f>
        <v/>
      </c>
      <c r="N102" s="39">
        <f>IF(AND(ISNUMBER(N101),ISNUMBER(N99)),IFERROR(N101/N99,""),"")</f>
        <v/>
      </c>
      <c r="O102" s="39">
        <f>IF(AND(ISNUMBER(O101),ISNUMBER(O99)),IFERROR(O101/O99,""),"")</f>
        <v/>
      </c>
      <c r="P102" s="39">
        <f>IF(AND(ISNUMBER(P101),ISNUMBER(P99)),IFERROR(P101/P99,""),"")</f>
        <v/>
      </c>
      <c r="Q102" s="39">
        <f>IF(AND(ISNUMBER(Q101),ISNUMBER(Q99)),IFERROR(Q101/Q99,""),"")</f>
        <v/>
      </c>
      <c r="R102" s="39">
        <f>IF(AND(ISNUMBER(R101),ISNUMBER(R99)),IFERROR(R101/R99,""),"")</f>
        <v/>
      </c>
      <c r="S102" s="39">
        <f>IF(AND(ISNUMBER(S101),ISNUMBER(S99)),IFERROR(S101/S99,""),"")</f>
        <v/>
      </c>
      <c r="T102" s="39">
        <f>IF(AND(ISNUMBER(T101),ISNUMBER(T99)),IFERROR(T101/T99,""),"")</f>
        <v/>
      </c>
      <c r="U102" s="39">
        <f>IF(AND(ISNUMBER(U101),ISNUMBER(U99)),IFERROR(U101/U99,""),"")</f>
        <v/>
      </c>
      <c r="V102" s="39">
        <f>IF(AND(ISNUMBER(V101),ISNUMBER(V99)),IFERROR(V101/V99,""),"")</f>
        <v/>
      </c>
      <c r="W102" s="39">
        <f>IF(AND(ISNUMBER(W101),ISNUMBER(W99)),IFERROR(W101/W99,""),"")</f>
        <v/>
      </c>
      <c r="X102" s="39">
        <f>IF(AND(ISNUMBER(X101),ISNUMBER(X99)),IFERROR(X101/X99,""),"")</f>
        <v/>
      </c>
      <c r="Y102" s="39">
        <f>IF(AND(ISNUMBER(Y101),ISNUMBER(Y99)),IFERROR(Y101/Y99,""),"")</f>
        <v/>
      </c>
      <c r="Z102" s="39">
        <f>IF(AND(ISNUMBER(Z101),ISNUMBER(Z99)),IFERROR(Z101/Z99,""),"")</f>
        <v/>
      </c>
      <c r="AA102" s="39">
        <f>IF(AND(ISNUMBER(AA101),ISNUMBER(AA99)),IFERROR(AA101/AA99,""),"")</f>
        <v/>
      </c>
      <c r="AB102" s="39">
        <f>IF(AND(ISNUMBER(AB101),ISNUMBER(AB99)),IFERROR(AB101/AB99,""),"")</f>
        <v/>
      </c>
      <c r="AC102" s="39">
        <f>IF(AND(ISNUMBER(AC101),ISNUMBER(AC99)),IFERROR(AC101/AC99,""),"")</f>
        <v/>
      </c>
      <c r="AD102" s="39">
        <f>IF(AND(ISNUMBER(AD101),ISNUMBER(AD99)),IFERROR(AD101/AD99,""),"")</f>
        <v/>
      </c>
      <c r="AE102" s="39">
        <f>IF(AND(ISNUMBER(AE101),ISNUMBER(AE99)),IFERROR(AE101/AE99,""),"")</f>
        <v/>
      </c>
      <c r="AF102" s="39">
        <f>IF(AND(ISNUMBER(AF101),ISNUMBER(AF99)),IFERROR(AF101/AF99,""),"")</f>
        <v/>
      </c>
      <c r="AG102" s="39">
        <f>IF(AND(ISNUMBER(AG101),ISNUMBER(AG99)),IFERROR(AG101/AG99,""),"")</f>
        <v/>
      </c>
      <c r="AH102" s="39">
        <f>IF(AND(ISNUMBER(AH101),ISNUMBER(AH99)),IFERROR(AH101/AH99,""),"")</f>
        <v/>
      </c>
      <c r="AI102" s="39">
        <f>IF(AND(ISNUMBER(AI101),ISNUMBER(AI99)),IFERROR(AI101/AI99,""),"")</f>
        <v/>
      </c>
      <c r="AJ102" s="39">
        <f>IF(AND(ISNUMBER(AJ101),ISNUMBER(AJ99)),IFERROR(AJ101/AJ99,""),"")</f>
        <v/>
      </c>
      <c r="AK102" s="39">
        <f>IF(AND(ISNUMBER(AK101),ISNUMBER(AK99)),IFERROR(AK101/AK99,""),"")</f>
        <v/>
      </c>
      <c r="AL102" s="39">
        <f>IF(AND(ISNUMBER(AL101),ISNUMBER(AL99)),IFERROR(AL101/AL99,""),"")</f>
        <v/>
      </c>
      <c r="AM102" s="39">
        <f>IF(AND(ISNUMBER(AM101),ISNUMBER(AM99)),IFERROR(AM101/AM99,""),"")</f>
        <v/>
      </c>
      <c r="AN102" s="39">
        <f>IF(AND(ISNUMBER(AN101),ISNUMBER(AN99)),IFERROR(AN101/AN99,""),"")</f>
        <v/>
      </c>
      <c r="AO102" s="39">
        <f>IF(AND(ISNUMBER(AO101),ISNUMBER(AO99)),IFERROR(AO101/AO99,""),"")</f>
        <v/>
      </c>
      <c r="AP102" s="39">
        <f>IF(AND(ISNUMBER(AP101),ISNUMBER(AP99)),IFERROR(AP101/AP99,""),"")</f>
        <v/>
      </c>
      <c r="AQ102" s="39">
        <f>IF(AND(ISNUMBER(AQ101),ISNUMBER(AQ99)),IFERROR(AQ101/AQ99,""),"")</f>
        <v/>
      </c>
      <c r="AR102" s="39">
        <f>IF(AND(ISNUMBER(AR101),ISNUMBER(AR99)),IFERROR(AR101/AR99,""),"")</f>
        <v/>
      </c>
      <c r="AS102" s="39">
        <f>IF(AND(ISNUMBER(AS101),ISNUMBER(AS99)),IFERROR(AS101/AS99,""),"")</f>
        <v/>
      </c>
      <c r="AT102" s="39">
        <f>IF(AND(ISNUMBER(AT101),ISNUMBER(AT99)),IFERROR(AT101/AT99,""),"")</f>
        <v/>
      </c>
      <c r="AU102" s="25">
        <f>IFERROR(AU101/AU99,"")</f>
        <v/>
      </c>
      <c r="AV102" s="25">
        <f>IFERROR(AV101/AV99,"")</f>
        <v/>
      </c>
      <c r="AW102" s="25">
        <f>IFERROR(AW101/AW99,"")</f>
        <v/>
      </c>
      <c r="AX102" s="25">
        <f>IFERROR(AX101/AX99,"")</f>
        <v/>
      </c>
      <c r="AY102" s="25">
        <f>IFERROR(AY101/AY99,"")</f>
        <v/>
      </c>
      <c r="AZ102" s="25">
        <f>IFERROR(AZ101/AZ99,"")</f>
        <v/>
      </c>
      <c r="BA102" s="25">
        <f>IFERROR(BA101/BA99,"")</f>
        <v/>
      </c>
      <c r="BB102" s="26" t="n"/>
    </row>
    <row r="103">
      <c r="B103" s="54" t="inlineStr">
        <is>
          <t xml:space="preserve">  Check: segment build vs consolidated revenue (should be 0)</t>
        </is>
      </c>
      <c r="C103" s="43">
        <f>IF(ISNUMBER(C148),ROUND(C101-C148,1),"")</f>
        <v/>
      </c>
      <c r="D103" s="43">
        <f>IF(ISNUMBER(D148),ROUND(D101-D148,1),"")</f>
        <v/>
      </c>
      <c r="E103" s="43">
        <f>IF(ISNUMBER(E148),ROUND(E101-E148,1),"")</f>
        <v/>
      </c>
      <c r="F103" s="43">
        <f>IF(ISNUMBER(F148),ROUND(F101-F148,1),"")</f>
        <v/>
      </c>
      <c r="G103" s="43">
        <f>IF(ISNUMBER(G148),ROUND(G101-G148,1),"")</f>
        <v/>
      </c>
      <c r="H103" s="43">
        <f>IF(ISNUMBER(H148),ROUND(H101-H148,1),"")</f>
        <v/>
      </c>
      <c r="I103" s="43">
        <f>IF(ISNUMBER(I148),ROUND(I101-I148,1),"")</f>
        <v/>
      </c>
      <c r="J103" s="43">
        <f>IF(ISNUMBER(J148),ROUND(J101-J148,1),"")</f>
        <v/>
      </c>
      <c r="K103" s="43">
        <f>IF(ISNUMBER(K148),ROUND(K101-K148,1),"")</f>
        <v/>
      </c>
      <c r="L103" s="43">
        <f>IF(ISNUMBER(L148),ROUND(L101-L148,1),"")</f>
        <v/>
      </c>
      <c r="M103" s="43">
        <f>IF(ISNUMBER(M148),ROUND(M101-M148,1),"")</f>
        <v/>
      </c>
      <c r="N103" s="43">
        <f>IF(ISNUMBER(N148),ROUND(N101-N148,1),"")</f>
        <v/>
      </c>
      <c r="O103" s="43">
        <f>IF(ISNUMBER(O148),ROUND(O101-O148,1),"")</f>
        <v/>
      </c>
      <c r="P103" s="43">
        <f>IF(ISNUMBER(P148),ROUND(P101-P148,1),"")</f>
        <v/>
      </c>
      <c r="Q103" s="43">
        <f>IF(ISNUMBER(Q148),ROUND(Q101-Q148,1),"")</f>
        <v/>
      </c>
      <c r="R103" s="43">
        <f>IF(ISNUMBER(R148),ROUND(R101-R148,1),"")</f>
        <v/>
      </c>
      <c r="S103" s="43">
        <f>IF(ISNUMBER(S148),ROUND(S101-S148,1),"")</f>
        <v/>
      </c>
      <c r="T103" s="43">
        <f>IF(ISNUMBER(T148),ROUND(T101-T148,1),"")</f>
        <v/>
      </c>
      <c r="U103" s="43">
        <f>IF(ISNUMBER(U148),ROUND(U101-U148,1),"")</f>
        <v/>
      </c>
      <c r="V103" s="43">
        <f>IF(ISNUMBER(V148),ROUND(V101-V148,1),"")</f>
        <v/>
      </c>
      <c r="W103" s="43">
        <f>IF(ISNUMBER(W148),ROUND(W101-W148,1),"")</f>
        <v/>
      </c>
      <c r="X103" s="43">
        <f>IF(ISNUMBER(X148),ROUND(X101-X148,1),"")</f>
        <v/>
      </c>
      <c r="Y103" s="43">
        <f>IF(ISNUMBER(Y148),ROUND(Y101-Y148,1),"")</f>
        <v/>
      </c>
      <c r="Z103" s="43">
        <f>IF(ISNUMBER(Z148),ROUND(Z101-Z148,1),"")</f>
        <v/>
      </c>
      <c r="AA103" s="43">
        <f>IF(ISNUMBER(AA148),ROUND(AA101-AA148,1),"")</f>
        <v/>
      </c>
      <c r="AB103" s="43">
        <f>IF(ISNUMBER(AB148),ROUND(AB101-AB148,1),"")</f>
        <v/>
      </c>
      <c r="AC103" s="43">
        <f>IF(ISNUMBER(AC148),ROUND(AC101-AC148,1),"")</f>
        <v/>
      </c>
      <c r="AD103" s="43">
        <f>IF(ISNUMBER(AD148),ROUND(AD101-AD148,1),"")</f>
        <v/>
      </c>
      <c r="AE103" s="43">
        <f>IF(ISNUMBER(AE148),ROUND(AE101-AE148,1),"")</f>
        <v/>
      </c>
      <c r="AF103" s="43">
        <f>IF(ISNUMBER(AF148),ROUND(AF101-AF148,1),"")</f>
        <v/>
      </c>
      <c r="AG103" s="43">
        <f>IF(ISNUMBER(AG148),ROUND(AG101-AG148,1),"")</f>
        <v/>
      </c>
      <c r="AH103" s="43">
        <f>IF(ISNUMBER(AH148),ROUND(AH101-AH148,1),"")</f>
        <v/>
      </c>
      <c r="AI103" s="43">
        <f>IF(ISNUMBER(AI148),ROUND(AI101-AI148,1),"")</f>
        <v/>
      </c>
      <c r="AJ103" s="43">
        <f>IF(ISNUMBER(AJ148),ROUND(AJ101-AJ148,1),"")</f>
        <v/>
      </c>
      <c r="AK103" s="43">
        <f>IF(ISNUMBER(AK148),ROUND(AK101-AK148,1),"")</f>
        <v/>
      </c>
      <c r="AL103" s="43">
        <f>IF(ISNUMBER(AL148),ROUND(AL101-AL148,1),"")</f>
        <v/>
      </c>
      <c r="AM103" s="43">
        <f>IF(ISNUMBER(AM148),ROUND(AM101-AM148,1),"")</f>
        <v/>
      </c>
      <c r="AN103" s="43">
        <f>IF(ISNUMBER(AN148),ROUND(AN101-AN148,1),"")</f>
        <v/>
      </c>
      <c r="AO103" s="43">
        <f>IF(ISNUMBER(AO148),ROUND(AO101-AO148,1),"")</f>
        <v/>
      </c>
      <c r="AP103" s="43">
        <f>IF(ISNUMBER(AP148),ROUND(AP101-AP148,1),"")</f>
        <v/>
      </c>
      <c r="AQ103" s="43">
        <f>IF(ISNUMBER(AQ148),ROUND(AQ101-AQ148,1),"")</f>
        <v/>
      </c>
      <c r="AR103" s="43">
        <f>IF(ISNUMBER(AR148),ROUND(AR101-AR148,1),"")</f>
        <v/>
      </c>
      <c r="AS103" s="43">
        <f>IF(ISNUMBER(AS148),ROUND(AS101-AS148,1),"")</f>
        <v/>
      </c>
      <c r="AT103" s="43">
        <f>IF(ISNUMBER(AT148),ROUND(AT101-AT148,1),"")</f>
        <v/>
      </c>
      <c r="AU103" s="45">
        <f>ROUND(AU101-AU148,1)</f>
        <v/>
      </c>
      <c r="AV103" s="45">
        <f>ROUND(AV101-AV148,1)</f>
        <v/>
      </c>
      <c r="AW103" s="45">
        <f>ROUND(AW101-AW148,1)</f>
        <v/>
      </c>
      <c r="AX103" s="45">
        <f>ROUND(AX101-AX148,1)</f>
        <v/>
      </c>
      <c r="AY103" s="45">
        <f>ROUND(AY101-AY148,1)</f>
        <v/>
      </c>
      <c r="AZ103" s="45">
        <f>ROUND(AZ101-AZ148,1)</f>
        <v/>
      </c>
      <c r="BA103" s="45">
        <f>ROUND(BA101-BA148,1)</f>
        <v/>
      </c>
      <c r="BB103" s="26" t="n"/>
    </row>
    <row r="104">
      <c r="B104" s="16" t="inlineStr">
        <is>
          <t xml:space="preserve">  Corporate G&amp;A and Platform R&amp;D (Segment OI basis; negative)</t>
        </is>
      </c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17" t="n">
        <v>-875</v>
      </c>
      <c r="AJ104" s="17" t="n">
        <v>-848</v>
      </c>
      <c r="AK104" s="17" t="n">
        <v>-873</v>
      </c>
      <c r="AL104" s="17" t="n">
        <v>-888</v>
      </c>
      <c r="AM104" s="17" t="n">
        <v>-3484</v>
      </c>
      <c r="AN104" s="17" t="n">
        <v>-907</v>
      </c>
      <c r="AO104" s="17" t="n">
        <v>-935</v>
      </c>
      <c r="AP104" s="17" t="n">
        <v>-960</v>
      </c>
      <c r="AQ104" s="17" t="n">
        <v>-996</v>
      </c>
      <c r="AR104" s="17" t="n">
        <v>-3798</v>
      </c>
      <c r="AS104" s="17" t="n">
        <v>-1077</v>
      </c>
      <c r="AT104" s="17" t="n">
        <v>-1103</v>
      </c>
      <c r="AU104" s="18">
        <f>AP104*($AS$104+$AT$104)/($AN$104+$AO$104)</f>
        <v/>
      </c>
      <c r="AV104" s="18">
        <f>AQ104*($AS$104+$AT$104)/($AN$104+$AO$104)</f>
        <v/>
      </c>
      <c r="AW104" s="18">
        <f>SUM(AS104,AT104,AU104,AV104)</f>
        <v/>
      </c>
      <c r="AX104" s="18">
        <f>-AX19*AX105</f>
        <v/>
      </c>
      <c r="AY104" s="18">
        <f>-AY19*AY105</f>
        <v/>
      </c>
      <c r="AZ104" s="18">
        <f>-AZ19*AZ105</f>
        <v/>
      </c>
      <c r="BA104" s="18">
        <f>-BA19*BA105</f>
        <v/>
      </c>
      <c r="BB104" s="19" t="inlineStr">
        <is>
          <t>Q3/Q4-26E: prior-year quarter × 1H/26 y/y growth. 2027E+: −Gross Bookings (standalone) × input %.</t>
        </is>
      </c>
    </row>
    <row r="105">
      <c r="B105" s="27" t="inlineStr">
        <is>
          <t xml:space="preserve">  Corporate G&amp;A and Platform R&amp;D % of Gross Bookings (standalone)</t>
        </is>
      </c>
      <c r="C105" s="39">
        <f>IF(ISNUMBER(C104),IFERROR(-C104/C19,""),"")</f>
        <v/>
      </c>
      <c r="D105" s="39">
        <f>IF(ISNUMBER(D104),IFERROR(-D104/D19,""),"")</f>
        <v/>
      </c>
      <c r="E105" s="39">
        <f>IF(ISNUMBER(E104),IFERROR(-E104/E19,""),"")</f>
        <v/>
      </c>
      <c r="F105" s="39">
        <f>IF(ISNUMBER(F104),IFERROR(-F104/F19,""),"")</f>
        <v/>
      </c>
      <c r="G105" s="39">
        <f>IF(ISNUMBER(G104),IFERROR(-G104/G19,""),"")</f>
        <v/>
      </c>
      <c r="H105" s="39">
        <f>IF(ISNUMBER(H104),IFERROR(-H104/H19,""),"")</f>
        <v/>
      </c>
      <c r="I105" s="39">
        <f>IF(ISNUMBER(I104),IFERROR(-I104/I19,""),"")</f>
        <v/>
      </c>
      <c r="J105" s="39">
        <f>IF(ISNUMBER(J104),IFERROR(-J104/J19,""),"")</f>
        <v/>
      </c>
      <c r="K105" s="39">
        <f>IF(ISNUMBER(K104),IFERROR(-K104/K19,""),"")</f>
        <v/>
      </c>
      <c r="L105" s="39">
        <f>IF(ISNUMBER(L104),IFERROR(-L104/L19,""),"")</f>
        <v/>
      </c>
      <c r="M105" s="39">
        <f>IF(ISNUMBER(M104),IFERROR(-M104/M19,""),"")</f>
        <v/>
      </c>
      <c r="N105" s="39">
        <f>IF(ISNUMBER(N104),IFERROR(-N104/N19,""),"")</f>
        <v/>
      </c>
      <c r="O105" s="39">
        <f>IF(ISNUMBER(O104),IFERROR(-O104/O19,""),"")</f>
        <v/>
      </c>
      <c r="P105" s="39">
        <f>IF(ISNUMBER(P104),IFERROR(-P104/P19,""),"")</f>
        <v/>
      </c>
      <c r="Q105" s="39">
        <f>IF(ISNUMBER(Q104),IFERROR(-Q104/Q19,""),"")</f>
        <v/>
      </c>
      <c r="R105" s="39">
        <f>IF(ISNUMBER(R104),IFERROR(-R104/R19,""),"")</f>
        <v/>
      </c>
      <c r="S105" s="39">
        <f>IF(ISNUMBER(S104),IFERROR(-S104/S19,""),"")</f>
        <v/>
      </c>
      <c r="T105" s="39">
        <f>IF(ISNUMBER(T104),IFERROR(-T104/T19,""),"")</f>
        <v/>
      </c>
      <c r="U105" s="39">
        <f>IF(ISNUMBER(U104),IFERROR(-U104/U19,""),"")</f>
        <v/>
      </c>
      <c r="V105" s="39">
        <f>IF(ISNUMBER(V104),IFERROR(-V104/V19,""),"")</f>
        <v/>
      </c>
      <c r="W105" s="39">
        <f>IF(ISNUMBER(W104),IFERROR(-W104/W19,""),"")</f>
        <v/>
      </c>
      <c r="X105" s="39">
        <f>IF(ISNUMBER(X104),IFERROR(-X104/X19,""),"")</f>
        <v/>
      </c>
      <c r="Y105" s="39">
        <f>IF(ISNUMBER(Y104),IFERROR(-Y104/Y19,""),"")</f>
        <v/>
      </c>
      <c r="Z105" s="39">
        <f>IF(ISNUMBER(Z104),IFERROR(-Z104/Z19,""),"")</f>
        <v/>
      </c>
      <c r="AA105" s="39">
        <f>IF(ISNUMBER(AA104),IFERROR(-AA104/AA19,""),"")</f>
        <v/>
      </c>
      <c r="AB105" s="39">
        <f>IF(ISNUMBER(AB104),IFERROR(-AB104/AB19,""),"")</f>
        <v/>
      </c>
      <c r="AC105" s="39">
        <f>IF(ISNUMBER(AC104),IFERROR(-AC104/AC19,""),"")</f>
        <v/>
      </c>
      <c r="AD105" s="39">
        <f>IF(ISNUMBER(AD104),IFERROR(-AD104/AD19,""),"")</f>
        <v/>
      </c>
      <c r="AE105" s="39">
        <f>IF(ISNUMBER(AE104),IFERROR(-AE104/AE19,""),"")</f>
        <v/>
      </c>
      <c r="AF105" s="39">
        <f>IF(ISNUMBER(AF104),IFERROR(-AF104/AF19,""),"")</f>
        <v/>
      </c>
      <c r="AG105" s="39">
        <f>IF(ISNUMBER(AG104),IFERROR(-AG104/AG19,""),"")</f>
        <v/>
      </c>
      <c r="AH105" s="39">
        <f>IF(ISNUMBER(AH104),IFERROR(-AH104/AH19,""),"")</f>
        <v/>
      </c>
      <c r="AI105" s="39">
        <f>IF(ISNUMBER(AI104),IFERROR(-AI104/AI19,""),"")</f>
        <v/>
      </c>
      <c r="AJ105" s="39">
        <f>IF(ISNUMBER(AJ104),IFERROR(-AJ104/AJ19,""),"")</f>
        <v/>
      </c>
      <c r="AK105" s="39">
        <f>IF(ISNUMBER(AK104),IFERROR(-AK104/AK19,""),"")</f>
        <v/>
      </c>
      <c r="AL105" s="39">
        <f>IF(ISNUMBER(AL104),IFERROR(-AL104/AL19,""),"")</f>
        <v/>
      </c>
      <c r="AM105" s="39">
        <f>IF(ISNUMBER(AM104),IFERROR(-AM104/AM19,""),"")</f>
        <v/>
      </c>
      <c r="AN105" s="39">
        <f>IF(ISNUMBER(AN104),IFERROR(-AN104/AN19,""),"")</f>
        <v/>
      </c>
      <c r="AO105" s="39">
        <f>IF(ISNUMBER(AO104),IFERROR(-AO104/AO19,""),"")</f>
        <v/>
      </c>
      <c r="AP105" s="39">
        <f>IF(ISNUMBER(AP104),IFERROR(-AP104/AP19,""),"")</f>
        <v/>
      </c>
      <c r="AQ105" s="39">
        <f>IF(ISNUMBER(AQ104),IFERROR(-AQ104/AQ19,""),"")</f>
        <v/>
      </c>
      <c r="AR105" s="39">
        <f>IF(ISNUMBER(AR104),IFERROR(-AR104/AR19,""),"")</f>
        <v/>
      </c>
      <c r="AS105" s="39">
        <f>IF(ISNUMBER(AS104),IFERROR(-AS104/AS19,""),"")</f>
        <v/>
      </c>
      <c r="AT105" s="39">
        <f>IF(ISNUMBER(AT104),IFERROR(-AT104/AT19,""),"")</f>
        <v/>
      </c>
      <c r="AU105" s="25">
        <f>IFERROR(-AU104/AU19,"")</f>
        <v/>
      </c>
      <c r="AV105" s="25">
        <f>IFERROR(-AV104/AV19,"")</f>
        <v/>
      </c>
      <c r="AW105" s="25">
        <f>IFERROR(-AW104/AW19,"")</f>
        <v/>
      </c>
      <c r="AX105" s="32" t="n">
        <v>0.0185</v>
      </c>
      <c r="AY105" s="32" t="n">
        <v>0.018</v>
      </c>
      <c r="AZ105" s="32" t="n">
        <v>0.0175</v>
      </c>
      <c r="BA105" s="32" t="n">
        <v>0.017</v>
      </c>
      <c r="BB105" s="19" t="inlineStr">
        <is>
          <t>FY24 2.14%, FY25 1.96%, 1H/26 1.95%. 2027E+ input: −5bp p.a. operating leverage (AV / AI investment absorbs part).</t>
        </is>
      </c>
    </row>
    <row r="106">
      <c r="B106" s="52" t="inlineStr">
        <is>
          <t>Non-GAAP Operating Income (segment build)</t>
        </is>
      </c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53" t="n"/>
      <c r="AG106" s="53" t="n"/>
      <c r="AH106" s="53" t="n"/>
      <c r="AI106" s="53">
        <f>N(AI30)+N(AI42)+N(AI51)+N(AI104)</f>
        <v/>
      </c>
      <c r="AJ106" s="53">
        <f>N(AJ30)+N(AJ42)+N(AJ51)+N(AJ104)</f>
        <v/>
      </c>
      <c r="AK106" s="53">
        <f>N(AK30)+N(AK42)+N(AK51)+N(AK104)</f>
        <v/>
      </c>
      <c r="AL106" s="53">
        <f>N(AL30)+N(AL42)+N(AL51)+N(AL104)</f>
        <v/>
      </c>
      <c r="AM106" s="53">
        <f>N(AM30)+N(AM42)+N(AM51)+N(AM104)</f>
        <v/>
      </c>
      <c r="AN106" s="53">
        <f>N(AN30)+N(AN42)+N(AN51)+N(AN104)</f>
        <v/>
      </c>
      <c r="AO106" s="53">
        <f>N(AO30)+N(AO42)+N(AO51)+N(AO104)</f>
        <v/>
      </c>
      <c r="AP106" s="53">
        <f>N(AP30)+N(AP42)+N(AP51)+N(AP104)</f>
        <v/>
      </c>
      <c r="AQ106" s="53">
        <f>N(AQ30)+N(AQ42)+N(AQ51)+N(AQ104)</f>
        <v/>
      </c>
      <c r="AR106" s="53">
        <f>N(AR30)+N(AR42)+N(AR51)+N(AR104)</f>
        <v/>
      </c>
      <c r="AS106" s="53">
        <f>N(AS30)+N(AS42)+N(AS51)+N(AS104)</f>
        <v/>
      </c>
      <c r="AT106" s="53">
        <f>N(AT30)+N(AT42)+N(AT51)+N(AT104)</f>
        <v/>
      </c>
      <c r="AU106" s="53">
        <f>N(AU30)+N(AU42)+N(AU51)+N(AU78)+N(AU90)+N(AU104)</f>
        <v/>
      </c>
      <c r="AV106" s="53">
        <f>N(AV30)+N(AV42)+N(AV51)+N(AV78)+N(AV90)+N(AV104)</f>
        <v/>
      </c>
      <c r="AW106" s="53">
        <f>N(AW30)+N(AW42)+N(AW51)+N(AW78)+N(AW90)+N(AW104)</f>
        <v/>
      </c>
      <c r="AX106" s="53">
        <f>N(AX30)+N(AX42)+N(AX51)+N(AX78)+N(AX90)+N(AX104)</f>
        <v/>
      </c>
      <c r="AY106" s="53">
        <f>N(AY30)+N(AY42)+N(AY51)+N(AY78)+N(AY90)+N(AY104)</f>
        <v/>
      </c>
      <c r="AZ106" s="53">
        <f>N(AZ30)+N(AZ42)+N(AZ51)+N(AZ78)+N(AZ90)+N(AZ104)</f>
        <v/>
      </c>
      <c r="BA106" s="53">
        <f>N(BA30)+N(BA42)+N(BA51)+N(BA78)+N(BA90)+N(BA104)</f>
        <v/>
      </c>
      <c r="BB106" s="26" t="n"/>
    </row>
    <row r="107">
      <c r="B107" s="27" t="inlineStr">
        <is>
          <t xml:space="preserve">  Non-GAAP Operating Income % of Gross Bookings</t>
        </is>
      </c>
      <c r="C107" s="39">
        <f>IF(AND(ISNUMBER(C106),ISNUMBER(C99)),IFERROR(C106/C99,""),"")</f>
        <v/>
      </c>
      <c r="D107" s="39">
        <f>IF(AND(ISNUMBER(D106),ISNUMBER(D99)),IFERROR(D106/D99,""),"")</f>
        <v/>
      </c>
      <c r="E107" s="39">
        <f>IF(AND(ISNUMBER(E106),ISNUMBER(E99)),IFERROR(E106/E99,""),"")</f>
        <v/>
      </c>
      <c r="F107" s="39">
        <f>IF(AND(ISNUMBER(F106),ISNUMBER(F99)),IFERROR(F106/F99,""),"")</f>
        <v/>
      </c>
      <c r="G107" s="39">
        <f>IF(AND(ISNUMBER(G106),ISNUMBER(G99)),IFERROR(G106/G99,""),"")</f>
        <v/>
      </c>
      <c r="H107" s="39">
        <f>IF(AND(ISNUMBER(H106),ISNUMBER(H99)),IFERROR(H106/H99,""),"")</f>
        <v/>
      </c>
      <c r="I107" s="39">
        <f>IF(AND(ISNUMBER(I106),ISNUMBER(I99)),IFERROR(I106/I99,""),"")</f>
        <v/>
      </c>
      <c r="J107" s="39">
        <f>IF(AND(ISNUMBER(J106),ISNUMBER(J99)),IFERROR(J106/J99,""),"")</f>
        <v/>
      </c>
      <c r="K107" s="39">
        <f>IF(AND(ISNUMBER(K106),ISNUMBER(K99)),IFERROR(K106/K99,""),"")</f>
        <v/>
      </c>
      <c r="L107" s="39">
        <f>IF(AND(ISNUMBER(L106),ISNUMBER(L99)),IFERROR(L106/L99,""),"")</f>
        <v/>
      </c>
      <c r="M107" s="39">
        <f>IF(AND(ISNUMBER(M106),ISNUMBER(M99)),IFERROR(M106/M99,""),"")</f>
        <v/>
      </c>
      <c r="N107" s="39">
        <f>IF(AND(ISNUMBER(N106),ISNUMBER(N99)),IFERROR(N106/N99,""),"")</f>
        <v/>
      </c>
      <c r="O107" s="39">
        <f>IF(AND(ISNUMBER(O106),ISNUMBER(O99)),IFERROR(O106/O99,""),"")</f>
        <v/>
      </c>
      <c r="P107" s="39">
        <f>IF(AND(ISNUMBER(P106),ISNUMBER(P99)),IFERROR(P106/P99,""),"")</f>
        <v/>
      </c>
      <c r="Q107" s="39">
        <f>IF(AND(ISNUMBER(Q106),ISNUMBER(Q99)),IFERROR(Q106/Q99,""),"")</f>
        <v/>
      </c>
      <c r="R107" s="39">
        <f>IF(AND(ISNUMBER(R106),ISNUMBER(R99)),IFERROR(R106/R99,""),"")</f>
        <v/>
      </c>
      <c r="S107" s="39">
        <f>IF(AND(ISNUMBER(S106),ISNUMBER(S99)),IFERROR(S106/S99,""),"")</f>
        <v/>
      </c>
      <c r="T107" s="39">
        <f>IF(AND(ISNUMBER(T106),ISNUMBER(T99)),IFERROR(T106/T99,""),"")</f>
        <v/>
      </c>
      <c r="U107" s="39">
        <f>IF(AND(ISNUMBER(U106),ISNUMBER(U99)),IFERROR(U106/U99,""),"")</f>
        <v/>
      </c>
      <c r="V107" s="39">
        <f>IF(AND(ISNUMBER(V106),ISNUMBER(V99)),IFERROR(V106/V99,""),"")</f>
        <v/>
      </c>
      <c r="W107" s="39">
        <f>IF(AND(ISNUMBER(W106),ISNUMBER(W99)),IFERROR(W106/W99,""),"")</f>
        <v/>
      </c>
      <c r="X107" s="39">
        <f>IF(AND(ISNUMBER(X106),ISNUMBER(X99)),IFERROR(X106/X99,""),"")</f>
        <v/>
      </c>
      <c r="Y107" s="39">
        <f>IF(AND(ISNUMBER(Y106),ISNUMBER(Y99)),IFERROR(Y106/Y99,""),"")</f>
        <v/>
      </c>
      <c r="Z107" s="39">
        <f>IF(AND(ISNUMBER(Z106),ISNUMBER(Z99)),IFERROR(Z106/Z99,""),"")</f>
        <v/>
      </c>
      <c r="AA107" s="39">
        <f>IF(AND(ISNUMBER(AA106),ISNUMBER(AA99)),IFERROR(AA106/AA99,""),"")</f>
        <v/>
      </c>
      <c r="AB107" s="39">
        <f>IF(AND(ISNUMBER(AB106),ISNUMBER(AB99)),IFERROR(AB106/AB99,""),"")</f>
        <v/>
      </c>
      <c r="AC107" s="39">
        <f>IF(AND(ISNUMBER(AC106),ISNUMBER(AC99)),IFERROR(AC106/AC99,""),"")</f>
        <v/>
      </c>
      <c r="AD107" s="39">
        <f>IF(AND(ISNUMBER(AD106),ISNUMBER(AD99)),IFERROR(AD106/AD99,""),"")</f>
        <v/>
      </c>
      <c r="AE107" s="39">
        <f>IF(AND(ISNUMBER(AE106),ISNUMBER(AE99)),IFERROR(AE106/AE99,""),"")</f>
        <v/>
      </c>
      <c r="AF107" s="39">
        <f>IF(AND(ISNUMBER(AF106),ISNUMBER(AF99)),IFERROR(AF106/AF99,""),"")</f>
        <v/>
      </c>
      <c r="AG107" s="39">
        <f>IF(AND(ISNUMBER(AG106),ISNUMBER(AG99)),IFERROR(AG106/AG99,""),"")</f>
        <v/>
      </c>
      <c r="AH107" s="39">
        <f>IF(AND(ISNUMBER(AH106),ISNUMBER(AH99)),IFERROR(AH106/AH99,""),"")</f>
        <v/>
      </c>
      <c r="AI107" s="39">
        <f>IF(AND(ISNUMBER(AI106),ISNUMBER(AI99)),IFERROR(AI106/AI99,""),"")</f>
        <v/>
      </c>
      <c r="AJ107" s="39">
        <f>IF(AND(ISNUMBER(AJ106),ISNUMBER(AJ99)),IFERROR(AJ106/AJ99,""),"")</f>
        <v/>
      </c>
      <c r="AK107" s="39">
        <f>IF(AND(ISNUMBER(AK106),ISNUMBER(AK99)),IFERROR(AK106/AK99,""),"")</f>
        <v/>
      </c>
      <c r="AL107" s="39">
        <f>IF(AND(ISNUMBER(AL106),ISNUMBER(AL99)),IFERROR(AL106/AL99,""),"")</f>
        <v/>
      </c>
      <c r="AM107" s="39">
        <f>IF(AND(ISNUMBER(AM106),ISNUMBER(AM99)),IFERROR(AM106/AM99,""),"")</f>
        <v/>
      </c>
      <c r="AN107" s="39">
        <f>IF(AND(ISNUMBER(AN106),ISNUMBER(AN99)),IFERROR(AN106/AN99,""),"")</f>
        <v/>
      </c>
      <c r="AO107" s="39">
        <f>IF(AND(ISNUMBER(AO106),ISNUMBER(AO99)),IFERROR(AO106/AO99,""),"")</f>
        <v/>
      </c>
      <c r="AP107" s="39">
        <f>IF(AND(ISNUMBER(AP106),ISNUMBER(AP99)),IFERROR(AP106/AP99,""),"")</f>
        <v/>
      </c>
      <c r="AQ107" s="39">
        <f>IF(AND(ISNUMBER(AQ106),ISNUMBER(AQ99)),IFERROR(AQ106/AQ99,""),"")</f>
        <v/>
      </c>
      <c r="AR107" s="39">
        <f>IF(AND(ISNUMBER(AR106),ISNUMBER(AR99)),IFERROR(AR106/AR99,""),"")</f>
        <v/>
      </c>
      <c r="AS107" s="39">
        <f>IF(AND(ISNUMBER(AS106),ISNUMBER(AS99)),IFERROR(AS106/AS99,""),"")</f>
        <v/>
      </c>
      <c r="AT107" s="39">
        <f>IF(AND(ISNUMBER(AT106),ISNUMBER(AT99)),IFERROR(AT106/AT99,""),"")</f>
        <v/>
      </c>
      <c r="AU107" s="25">
        <f>IFERROR(AU106/AU99,"")</f>
        <v/>
      </c>
      <c r="AV107" s="25">
        <f>IFERROR(AV106/AV99,"")</f>
        <v/>
      </c>
      <c r="AW107" s="25">
        <f>IFERROR(AW106/AW99,"")</f>
        <v/>
      </c>
      <c r="AX107" s="25">
        <f>IFERROR(AX106/AX99,"")</f>
        <v/>
      </c>
      <c r="AY107" s="25">
        <f>IFERROR(AY106/AY99,"")</f>
        <v/>
      </c>
      <c r="AZ107" s="25">
        <f>IFERROR(AZ106/AZ99,"")</f>
        <v/>
      </c>
      <c r="BA107" s="25">
        <f>IFERROR(BA106/BA99,"")</f>
        <v/>
      </c>
      <c r="BB107" s="26" t="n"/>
    </row>
    <row r="108">
      <c r="B108" s="54" t="inlineStr">
        <is>
          <t xml:space="preserve">  Check: segment build vs Non-GAAP Operating Income bridge (should be 0)</t>
        </is>
      </c>
      <c r="C108" s="43">
        <f>IF(ISNUMBER(C106),ROUND(C106-C212,1),"")</f>
        <v/>
      </c>
      <c r="D108" s="43">
        <f>IF(ISNUMBER(D106),ROUND(D106-D212,1),"")</f>
        <v/>
      </c>
      <c r="E108" s="43">
        <f>IF(ISNUMBER(E106),ROUND(E106-E212,1),"")</f>
        <v/>
      </c>
      <c r="F108" s="43">
        <f>IF(ISNUMBER(F106),ROUND(F106-F212,1),"")</f>
        <v/>
      </c>
      <c r="G108" s="43">
        <f>IF(ISNUMBER(G106),ROUND(G106-G212,1),"")</f>
        <v/>
      </c>
      <c r="H108" s="43">
        <f>IF(ISNUMBER(H106),ROUND(H106-H212,1),"")</f>
        <v/>
      </c>
      <c r="I108" s="43">
        <f>IF(ISNUMBER(I106),ROUND(I106-I212,1),"")</f>
        <v/>
      </c>
      <c r="J108" s="43">
        <f>IF(ISNUMBER(J106),ROUND(J106-J212,1),"")</f>
        <v/>
      </c>
      <c r="K108" s="43">
        <f>IF(ISNUMBER(K106),ROUND(K106-K212,1),"")</f>
        <v/>
      </c>
      <c r="L108" s="43">
        <f>IF(ISNUMBER(L106),ROUND(L106-L212,1),"")</f>
        <v/>
      </c>
      <c r="M108" s="43">
        <f>IF(ISNUMBER(M106),ROUND(M106-M212,1),"")</f>
        <v/>
      </c>
      <c r="N108" s="43">
        <f>IF(ISNUMBER(N106),ROUND(N106-N212,1),"")</f>
        <v/>
      </c>
      <c r="O108" s="43">
        <f>IF(ISNUMBER(O106),ROUND(O106-O212,1),"")</f>
        <v/>
      </c>
      <c r="P108" s="43">
        <f>IF(ISNUMBER(P106),ROUND(P106-P212,1),"")</f>
        <v/>
      </c>
      <c r="Q108" s="43">
        <f>IF(ISNUMBER(Q106),ROUND(Q106-Q212,1),"")</f>
        <v/>
      </c>
      <c r="R108" s="43">
        <f>IF(ISNUMBER(R106),ROUND(R106-R212,1),"")</f>
        <v/>
      </c>
      <c r="S108" s="43">
        <f>IF(ISNUMBER(S106),ROUND(S106-S212,1),"")</f>
        <v/>
      </c>
      <c r="T108" s="43">
        <f>IF(ISNUMBER(T106),ROUND(T106-T212,1),"")</f>
        <v/>
      </c>
      <c r="U108" s="43">
        <f>IF(ISNUMBER(U106),ROUND(U106-U212,1),"")</f>
        <v/>
      </c>
      <c r="V108" s="43">
        <f>IF(ISNUMBER(V106),ROUND(V106-V212,1),"")</f>
        <v/>
      </c>
      <c r="W108" s="43">
        <f>IF(ISNUMBER(W106),ROUND(W106-W212,1),"")</f>
        <v/>
      </c>
      <c r="X108" s="43">
        <f>IF(ISNUMBER(X106),ROUND(X106-X212,1),"")</f>
        <v/>
      </c>
      <c r="Y108" s="43">
        <f>IF(ISNUMBER(Y106),ROUND(Y106-Y212,1),"")</f>
        <v/>
      </c>
      <c r="Z108" s="43">
        <f>IF(ISNUMBER(Z106),ROUND(Z106-Z212,1),"")</f>
        <v/>
      </c>
      <c r="AA108" s="43">
        <f>IF(ISNUMBER(AA106),ROUND(AA106-AA212,1),"")</f>
        <v/>
      </c>
      <c r="AB108" s="43">
        <f>IF(ISNUMBER(AB106),ROUND(AB106-AB212,1),"")</f>
        <v/>
      </c>
      <c r="AC108" s="43">
        <f>IF(ISNUMBER(AC106),ROUND(AC106-AC212,1),"")</f>
        <v/>
      </c>
      <c r="AD108" s="43">
        <f>IF(ISNUMBER(AD106),ROUND(AD106-AD212,1),"")</f>
        <v/>
      </c>
      <c r="AE108" s="43">
        <f>IF(ISNUMBER(AE106),ROUND(AE106-AE212,1),"")</f>
        <v/>
      </c>
      <c r="AF108" s="43">
        <f>IF(ISNUMBER(AF106),ROUND(AF106-AF212,1),"")</f>
        <v/>
      </c>
      <c r="AG108" s="43">
        <f>IF(ISNUMBER(AG106),ROUND(AG106-AG212,1),"")</f>
        <v/>
      </c>
      <c r="AH108" s="43">
        <f>IF(ISNUMBER(AH106),ROUND(AH106-AH212,1),"")</f>
        <v/>
      </c>
      <c r="AI108" s="43">
        <f>IF(ISNUMBER(AI106),ROUND(AI106-AI212,1),"")</f>
        <v/>
      </c>
      <c r="AJ108" s="43">
        <f>IF(ISNUMBER(AJ106),ROUND(AJ106-AJ212,1),"")</f>
        <v/>
      </c>
      <c r="AK108" s="43">
        <f>IF(ISNUMBER(AK106),ROUND(AK106-AK212,1),"")</f>
        <v/>
      </c>
      <c r="AL108" s="43">
        <f>IF(ISNUMBER(AL106),ROUND(AL106-AL212,1),"")</f>
        <v/>
      </c>
      <c r="AM108" s="43">
        <f>IF(ISNUMBER(AM106),ROUND(AM106-AM212,1),"")</f>
        <v/>
      </c>
      <c r="AN108" s="43">
        <f>IF(ISNUMBER(AN106),ROUND(AN106-AN212,1),"")</f>
        <v/>
      </c>
      <c r="AO108" s="43">
        <f>IF(ISNUMBER(AO106),ROUND(AO106-AO212,1),"")</f>
        <v/>
      </c>
      <c r="AP108" s="43">
        <f>IF(ISNUMBER(AP106),ROUND(AP106-AP212,1),"")</f>
        <v/>
      </c>
      <c r="AQ108" s="43">
        <f>IF(ISNUMBER(AQ106),ROUND(AQ106-AQ212,1),"")</f>
        <v/>
      </c>
      <c r="AR108" s="43">
        <f>IF(ISNUMBER(AR106),ROUND(AR106-AR212,1),"")</f>
        <v/>
      </c>
      <c r="AS108" s="43">
        <f>IF(ISNUMBER(AS106),ROUND(AS106-AS212,1),"")</f>
        <v/>
      </c>
      <c r="AT108" s="43">
        <f>IF(ISNUMBER(AT106),ROUND(AT106-AT212,1),"")</f>
        <v/>
      </c>
      <c r="AU108" s="45">
        <f>ROUND(AU106-AU212,1)</f>
        <v/>
      </c>
      <c r="AV108" s="45">
        <f>ROUND(AV106-AV212,1)</f>
        <v/>
      </c>
      <c r="AW108" s="45">
        <f>ROUND(AW106-AW212,1)</f>
        <v/>
      </c>
      <c r="AX108" s="45">
        <f>ROUND(AX106-AX212,1)</f>
        <v/>
      </c>
      <c r="AY108" s="45">
        <f>ROUND(AY106-AY212,1)</f>
        <v/>
      </c>
      <c r="AZ108" s="45">
        <f>ROUND(AZ106-AZ212,1)</f>
        <v/>
      </c>
      <c r="BA108" s="45">
        <f>ROUND(BA106-BA212,1)</f>
        <v/>
      </c>
      <c r="BB108" s="26" t="n"/>
    </row>
    <row r="109">
      <c r="B109" s="38" t="inlineStr">
        <is>
          <t xml:space="preserve">  Memo: company outlook for the quarter — Gross Bookings mid-point (given in the prior release)</t>
        </is>
      </c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4" t="n">
        <v>23000</v>
      </c>
      <c r="W109" s="44" t="n">
        <v>25500</v>
      </c>
      <c r="X109" s="43" t="n"/>
      <c r="Y109" s="44" t="n">
        <v>25500</v>
      </c>
      <c r="Z109" s="44" t="n">
        <v>29000</v>
      </c>
      <c r="AA109" s="44" t="n">
        <v>29500</v>
      </c>
      <c r="AB109" s="44" t="n">
        <v>30500</v>
      </c>
      <c r="AC109" s="43" t="n"/>
      <c r="AD109" s="44" t="n">
        <v>31500</v>
      </c>
      <c r="AE109" s="44" t="n">
        <v>33500</v>
      </c>
      <c r="AF109" s="44" t="n">
        <v>34500</v>
      </c>
      <c r="AG109" s="44" t="n">
        <v>37000</v>
      </c>
      <c r="AH109" s="43" t="n"/>
      <c r="AI109" s="44" t="n">
        <v>37750</v>
      </c>
      <c r="AJ109" s="44" t="n">
        <v>39500</v>
      </c>
      <c r="AK109" s="44" t="n">
        <v>41000</v>
      </c>
      <c r="AL109" s="44" t="n">
        <v>43500</v>
      </c>
      <c r="AM109" s="43" t="n"/>
      <c r="AN109" s="44" t="n">
        <v>42750</v>
      </c>
      <c r="AO109" s="44" t="n">
        <v>46500</v>
      </c>
      <c r="AP109" s="44" t="n">
        <v>49000</v>
      </c>
      <c r="AQ109" s="44" t="n">
        <v>53000</v>
      </c>
      <c r="AR109" s="43" t="n"/>
      <c r="AS109" s="44" t="n">
        <v>52750</v>
      </c>
      <c r="AT109" s="44" t="n">
        <v>57000</v>
      </c>
      <c r="AU109" s="45" t="n"/>
      <c r="AV109" s="45" t="n"/>
      <c r="AW109" s="45" t="n"/>
      <c r="AX109" s="45" t="n"/>
      <c r="AY109" s="45" t="n"/>
      <c r="AZ109" s="45" t="n"/>
      <c r="BA109" s="45" t="n"/>
      <c r="BB109" s="19" t="inlineStr">
        <is>
          <t>Outlook history from each earnings release (next-quarter guidance), shown in the guided quarter.</t>
        </is>
      </c>
    </row>
    <row r="110">
      <c r="B110" s="38" t="inlineStr">
        <is>
          <t xml:space="preserve">  Memo: company outlook for the quarter — Adjusted EBITDA mid-point</t>
        </is>
      </c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4" t="n">
        <v>-2850</v>
      </c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4" t="n">
        <v>50</v>
      </c>
      <c r="X110" s="43" t="n"/>
      <c r="Y110" s="44" t="n">
        <v>115</v>
      </c>
      <c r="Z110" s="44" t="n">
        <v>255</v>
      </c>
      <c r="AA110" s="44" t="n">
        <v>455</v>
      </c>
      <c r="AB110" s="44" t="n">
        <v>615</v>
      </c>
      <c r="AC110" s="43" t="n"/>
      <c r="AD110" s="44" t="n">
        <v>680</v>
      </c>
      <c r="AE110" s="44" t="n">
        <v>825</v>
      </c>
      <c r="AF110" s="44" t="n">
        <v>1000</v>
      </c>
      <c r="AG110" s="44" t="n">
        <v>1210</v>
      </c>
      <c r="AH110" s="43" t="n"/>
      <c r="AI110" s="44" t="n">
        <v>1300</v>
      </c>
      <c r="AJ110" s="44" t="n">
        <v>1490</v>
      </c>
      <c r="AK110" s="44" t="n">
        <v>1630</v>
      </c>
      <c r="AL110" s="44" t="n">
        <v>1830</v>
      </c>
      <c r="AM110" s="43" t="n"/>
      <c r="AN110" s="44" t="n">
        <v>1840</v>
      </c>
      <c r="AO110" s="44" t="n">
        <v>2070</v>
      </c>
      <c r="AP110" s="44" t="n">
        <v>2240</v>
      </c>
      <c r="AQ110" s="44" t="n">
        <v>2460</v>
      </c>
      <c r="AR110" s="43" t="n"/>
      <c r="AS110" s="44" t="n">
        <v>2420</v>
      </c>
      <c r="AT110" s="44" t="n">
        <v>2750</v>
      </c>
      <c r="AU110" s="45" t="n"/>
      <c r="AV110" s="45" t="n"/>
      <c r="AW110" s="45" t="n"/>
      <c r="AX110" s="45" t="n"/>
      <c r="AY110" s="45" t="n"/>
      <c r="AZ110" s="45" t="n"/>
      <c r="BA110" s="45" t="n"/>
      <c r="BB110" s="26" t="n"/>
    </row>
    <row r="111">
      <c r="B111" s="38" t="inlineStr">
        <is>
          <t xml:space="preserve">  Memo: Q3-26 Gross Bookings outlook — scenario end-point (High / Mid / Low)</t>
        </is>
      </c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  <c r="AA111" s="43" t="n"/>
      <c r="AB111" s="43" t="n"/>
      <c r="AC111" s="43" t="n"/>
      <c r="AD111" s="43" t="n"/>
      <c r="AE111" s="43" t="n"/>
      <c r="AF111" s="43" t="n"/>
      <c r="AG111" s="43" t="n"/>
      <c r="AH111" s="43" t="n"/>
      <c r="AI111" s="43" t="n"/>
      <c r="AJ111" s="43" t="n"/>
      <c r="AK111" s="43" t="n"/>
      <c r="AL111" s="43" t="n"/>
      <c r="AM111" s="43" t="n"/>
      <c r="AN111" s="43" t="n"/>
      <c r="AO111" s="43" t="n"/>
      <c r="AP111" s="43" t="n"/>
      <c r="AQ111" s="43" t="n"/>
      <c r="AR111" s="43" t="n"/>
      <c r="AS111" s="43" t="n"/>
      <c r="AT111" s="43" t="n"/>
      <c r="AU111" s="45">
        <f>CHOOSE(MATCH($BB$2,{"Bull","Base","Bear"},0),$BK$12,$BL$12,$BM$12)</f>
        <v/>
      </c>
      <c r="AV111" s="45" t="n"/>
      <c r="AW111" s="45" t="n"/>
      <c r="AX111" s="45" t="n"/>
      <c r="AY111" s="45" t="n"/>
      <c r="AZ111" s="45" t="n"/>
      <c r="BA111" s="45" t="n"/>
      <c r="BB111" s="19" t="inlineStr">
        <is>
          <t>Q2-26 release (5-Aug-2026): Q3-26 Gross Bookings $58.25–60.25bn (+18–22% cc; ~1pp FX headwind). Excludes Delivery Hero.</t>
        </is>
      </c>
    </row>
    <row r="112">
      <c r="B112" s="27" t="inlineStr">
        <is>
          <t xml:space="preserve">  Gross Bookings before outlook calibration (Q3/26E helper)</t>
        </is>
      </c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  <c r="AA112" s="43" t="n"/>
      <c r="AB112" s="43" t="n"/>
      <c r="AC112" s="43" t="n"/>
      <c r="AD112" s="43" t="n"/>
      <c r="AE112" s="43" t="n"/>
      <c r="AF112" s="43" t="n"/>
      <c r="AG112" s="43" t="n"/>
      <c r="AH112" s="43" t="n"/>
      <c r="AI112" s="43" t="n"/>
      <c r="AJ112" s="43" t="n"/>
      <c r="AK112" s="43" t="n"/>
      <c r="AL112" s="43" t="n"/>
      <c r="AM112" s="43" t="n"/>
      <c r="AN112" s="43" t="n"/>
      <c r="AO112" s="43" t="n"/>
      <c r="AP112" s="43" t="n"/>
      <c r="AQ112" s="43" t="n"/>
      <c r="AR112" s="43" t="n"/>
      <c r="AS112" s="43" t="n"/>
      <c r="AT112" s="43" t="n"/>
      <c r="AU112" s="45">
        <f>AP24*(1+$AT$25)+AP36*(1+$AT$37)+AU48</f>
        <v/>
      </c>
      <c r="AV112" s="45" t="n"/>
      <c r="AW112" s="45" t="n"/>
      <c r="AX112" s="45" t="n"/>
      <c r="AY112" s="45" t="n"/>
      <c r="AZ112" s="45" t="n"/>
      <c r="BA112" s="45" t="n"/>
      <c r="BB112" s="26" t="n"/>
    </row>
    <row r="113">
      <c r="B113" s="27" t="inlineStr">
        <is>
          <t xml:space="preserve">  Gross Bookings sensitivity to +1.00 of growth (Q3/26E helper)</t>
        </is>
      </c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  <c r="AA113" s="43" t="n"/>
      <c r="AB113" s="43" t="n"/>
      <c r="AC113" s="43" t="n"/>
      <c r="AD113" s="43" t="n"/>
      <c r="AE113" s="43" t="n"/>
      <c r="AF113" s="43" t="n"/>
      <c r="AG113" s="43" t="n"/>
      <c r="AH113" s="43" t="n"/>
      <c r="AI113" s="43" t="n"/>
      <c r="AJ113" s="43" t="n"/>
      <c r="AK113" s="43" t="n"/>
      <c r="AL113" s="43" t="n"/>
      <c r="AM113" s="43" t="n"/>
      <c r="AN113" s="43" t="n"/>
      <c r="AO113" s="43" t="n"/>
      <c r="AP113" s="43" t="n"/>
      <c r="AQ113" s="43" t="n"/>
      <c r="AR113" s="43" t="n"/>
      <c r="AS113" s="43" t="n"/>
      <c r="AT113" s="43" t="n"/>
      <c r="AU113" s="45">
        <f>AP24+AP36</f>
        <v/>
      </c>
      <c r="AV113" s="45" t="n"/>
      <c r="AW113" s="45" t="n"/>
      <c r="AX113" s="45" t="n"/>
      <c r="AY113" s="45" t="n"/>
      <c r="AZ113" s="45" t="n"/>
      <c r="BA113" s="45" t="n"/>
      <c r="BB113" s="26" t="n"/>
    </row>
    <row r="114">
      <c r="B114" s="27" t="inlineStr">
        <is>
          <t xml:space="preserve">  Outlook calibration: Δ y/y growth applied to Mobility &amp; Delivery (Q3/Q4-26E)</t>
        </is>
      </c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E114" s="39" t="n"/>
      <c r="AF114" s="39" t="n"/>
      <c r="AG114" s="39" t="n"/>
      <c r="AH114" s="39" t="n"/>
      <c r="AI114" s="39" t="n"/>
      <c r="AJ114" s="39" t="n"/>
      <c r="AK114" s="39" t="n"/>
      <c r="AL114" s="39" t="n"/>
      <c r="AM114" s="39" t="n"/>
      <c r="AN114" s="39" t="n"/>
      <c r="AO114" s="39" t="n"/>
      <c r="AP114" s="39" t="n"/>
      <c r="AQ114" s="39" t="n"/>
      <c r="AR114" s="39" t="n"/>
      <c r="AS114" s="39" t="n"/>
      <c r="AT114" s="39" t="n"/>
      <c r="AU114" s="25">
        <f>(AU111-AU112)/AU113</f>
        <v/>
      </c>
      <c r="AV114" s="25" t="n"/>
      <c r="AW114" s="25" t="n"/>
      <c r="AX114" s="25" t="n"/>
      <c r="AY114" s="25" t="n"/>
      <c r="AZ114" s="25" t="n"/>
      <c r="BA114" s="25" t="n"/>
      <c r="BB114" s="19" t="inlineStr">
        <is>
          <t>Solves the uniform growth shift (vs Q2/26 y/y trend) so that Q3/26E Gross Bookings = outlook end-point for the active scenario; also applied to Q4/26E.</t>
        </is>
      </c>
    </row>
    <row r="115">
      <c r="B115" s="54" t="inlineStr">
        <is>
          <t xml:space="preserve">  Check: Q3/26E Gross Bookings vs outlook end-point (should be 0)</t>
        </is>
      </c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  <c r="AA115" s="43" t="n"/>
      <c r="AB115" s="43" t="n"/>
      <c r="AC115" s="43" t="n"/>
      <c r="AD115" s="43" t="n"/>
      <c r="AE115" s="43" t="n"/>
      <c r="AF115" s="43" t="n"/>
      <c r="AG115" s="43" t="n"/>
      <c r="AH115" s="43" t="n"/>
      <c r="AI115" s="43" t="n"/>
      <c r="AJ115" s="43" t="n"/>
      <c r="AK115" s="43" t="n"/>
      <c r="AL115" s="43" t="n"/>
      <c r="AM115" s="43" t="n"/>
      <c r="AN115" s="43" t="n"/>
      <c r="AO115" s="43" t="n"/>
      <c r="AP115" s="43" t="n"/>
      <c r="AQ115" s="43" t="n"/>
      <c r="AR115" s="43" t="n"/>
      <c r="AS115" s="43" t="n"/>
      <c r="AT115" s="43" t="n"/>
      <c r="AU115" s="45">
        <f>ROUND(AU99-AU111,1)</f>
        <v/>
      </c>
      <c r="AV115" s="45" t="n"/>
      <c r="AW115" s="45" t="n"/>
      <c r="AX115" s="45" t="n"/>
      <c r="AY115" s="45" t="n"/>
      <c r="AZ115" s="45" t="n"/>
      <c r="BA115" s="45" t="n"/>
      <c r="BB115" s="26" t="n"/>
    </row>
    <row r="116">
      <c r="B116" s="27" t="inlineStr">
        <is>
          <t xml:space="preserve">  Adjusted EBITDA before margin calibration (Q3/26E helper)</t>
        </is>
      </c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  <c r="AA116" s="43" t="n"/>
      <c r="AB116" s="43" t="n"/>
      <c r="AC116" s="43" t="n"/>
      <c r="AD116" s="43" t="n"/>
      <c r="AE116" s="43" t="n"/>
      <c r="AF116" s="43" t="n"/>
      <c r="AG116" s="43" t="n"/>
      <c r="AH116" s="43" t="n"/>
      <c r="AI116" s="43" t="n"/>
      <c r="AJ116" s="43" t="n"/>
      <c r="AK116" s="43" t="n"/>
      <c r="AL116" s="43" t="n"/>
      <c r="AM116" s="43" t="n"/>
      <c r="AN116" s="43" t="n"/>
      <c r="AO116" s="43" t="n"/>
      <c r="AP116" s="43" t="n"/>
      <c r="AQ116" s="43" t="n"/>
      <c r="AR116" s="43" t="n"/>
      <c r="AS116" s="43" t="n"/>
      <c r="AT116" s="43" t="n"/>
      <c r="AU116" s="45">
        <f>AU24*AU31+AU36*AU43+AU51+AU104+AU171+AU155-AU172</f>
        <v/>
      </c>
      <c r="AV116" s="45" t="n"/>
      <c r="AW116" s="45" t="n"/>
      <c r="AX116" s="45" t="n"/>
      <c r="AY116" s="45" t="n"/>
      <c r="AZ116" s="45" t="n"/>
      <c r="BA116" s="45" t="n"/>
      <c r="BB116" s="19" t="inlineStr">
        <is>
          <t>Adj. EBITDA = Non-GAAP OI + stock-based comp + D&amp;A excl. amortization of acquired intangibles.</t>
        </is>
      </c>
    </row>
    <row r="117">
      <c r="B117" s="27" t="inlineStr">
        <is>
          <t xml:space="preserve">  Outlook calibration: Δ Segment OI margin (% GB) applied to Mobility &amp; Delivery</t>
        </is>
      </c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  <c r="AD117" s="39" t="n"/>
      <c r="AE117" s="39" t="n"/>
      <c r="AF117" s="39" t="n"/>
      <c r="AG117" s="39" t="n"/>
      <c r="AH117" s="39" t="n"/>
      <c r="AI117" s="39" t="n"/>
      <c r="AJ117" s="39" t="n"/>
      <c r="AK117" s="39" t="n"/>
      <c r="AL117" s="39" t="n"/>
      <c r="AM117" s="39" t="n"/>
      <c r="AN117" s="39" t="n"/>
      <c r="AO117" s="39" t="n"/>
      <c r="AP117" s="39" t="n"/>
      <c r="AQ117" s="39" t="n"/>
      <c r="AR117" s="39" t="n"/>
      <c r="AS117" s="39" t="n"/>
      <c r="AT117" s="39" t="n"/>
      <c r="AU117" s="25">
        <f>(AU118-AU116)/(AU24+AU36)</f>
        <v/>
      </c>
      <c r="AV117" s="25" t="n"/>
      <c r="AW117" s="25" t="n"/>
      <c r="AX117" s="25" t="n"/>
      <c r="AY117" s="25" t="n"/>
      <c r="AZ117" s="25" t="n"/>
      <c r="BA117" s="25" t="n"/>
      <c r="BB117" s="19" t="inlineStr">
        <is>
          <t>Solves the uniform margin shift so that Q3/26E Adjusted EBITDA = outlook translation end-point; also applied to Q4/26E.</t>
        </is>
      </c>
    </row>
    <row r="118">
      <c r="B118" s="38" t="inlineStr">
        <is>
          <t xml:space="preserve">  Memo: Q3-26 Adjusted EBITDA outlook translation — scenario end-point</t>
        </is>
      </c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  <c r="AA118" s="43" t="n"/>
      <c r="AB118" s="43" t="n"/>
      <c r="AC118" s="43" t="n"/>
      <c r="AD118" s="43" t="n"/>
      <c r="AE118" s="43" t="n"/>
      <c r="AF118" s="43" t="n"/>
      <c r="AG118" s="43" t="n"/>
      <c r="AH118" s="43" t="n"/>
      <c r="AI118" s="43" t="n"/>
      <c r="AJ118" s="43" t="n"/>
      <c r="AK118" s="43" t="n"/>
      <c r="AL118" s="43" t="n"/>
      <c r="AM118" s="43" t="n"/>
      <c r="AN118" s="43" t="n"/>
      <c r="AO118" s="43" t="n"/>
      <c r="AP118" s="43" t="n"/>
      <c r="AQ118" s="43" t="n"/>
      <c r="AR118" s="43" t="n"/>
      <c r="AS118" s="43" t="n"/>
      <c r="AT118" s="43" t="n"/>
      <c r="AU118" s="45">
        <f>CHOOSE(MATCH($BB$2,{"Bull","Base","Bear"},0),$BK$13,$BL$13,$BM$13)</f>
        <v/>
      </c>
      <c r="AV118" s="45" t="n"/>
      <c r="AW118" s="45" t="n"/>
      <c r="AX118" s="45" t="n"/>
      <c r="AY118" s="45" t="n"/>
      <c r="AZ118" s="45" t="n"/>
      <c r="BA118" s="45" t="n"/>
      <c r="BB118" s="19" t="inlineStr">
        <is>
          <t>Q2-26 release: Non-GAAP EPS $0.84–0.88 "translates to Adjusted EBITDA of $2.86–2.96bn".</t>
        </is>
      </c>
    </row>
    <row r="119">
      <c r="B119" s="54" t="inlineStr">
        <is>
          <t xml:space="preserve">  Check: Q3/26E Adjusted EBITDA vs outlook end-point (should be 0)</t>
        </is>
      </c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  <c r="AA119" s="43" t="n"/>
      <c r="AB119" s="43" t="n"/>
      <c r="AC119" s="43" t="n"/>
      <c r="AD119" s="43" t="n"/>
      <c r="AE119" s="43" t="n"/>
      <c r="AF119" s="43" t="n"/>
      <c r="AG119" s="43" t="n"/>
      <c r="AH119" s="43" t="n"/>
      <c r="AI119" s="43" t="n"/>
      <c r="AJ119" s="43" t="n"/>
      <c r="AK119" s="43" t="n"/>
      <c r="AL119" s="43" t="n"/>
      <c r="AM119" s="43" t="n"/>
      <c r="AN119" s="43" t="n"/>
      <c r="AO119" s="43" t="n"/>
      <c r="AP119" s="43" t="n"/>
      <c r="AQ119" s="43" t="n"/>
      <c r="AR119" s="43" t="n"/>
      <c r="AS119" s="43" t="n"/>
      <c r="AT119" s="43" t="n"/>
      <c r="AU119" s="45">
        <f>ROUND(AU203-AU118,1)</f>
        <v/>
      </c>
      <c r="AV119" s="45" t="n"/>
      <c r="AW119" s="45" t="n"/>
      <c r="AX119" s="45" t="n"/>
      <c r="AY119" s="45" t="n"/>
      <c r="AZ119" s="45" t="n"/>
      <c r="BA119" s="45" t="n"/>
      <c r="BB119" s="26" t="n"/>
    </row>
    <row r="120">
      <c r="B120" s="38" t="inlineStr">
        <is>
          <t xml:space="preserve">  Memo: Q3-26 Non-GAAP EPS outlook — scenario end-point ($)</t>
        </is>
      </c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  <c r="AA120" s="30" t="n"/>
      <c r="AB120" s="30" t="n"/>
      <c r="AC120" s="30" t="n"/>
      <c r="AD120" s="30" t="n"/>
      <c r="AE120" s="30" t="n"/>
      <c r="AF120" s="30" t="n"/>
      <c r="AG120" s="30" t="n"/>
      <c r="AH120" s="30" t="n"/>
      <c r="AI120" s="30" t="n"/>
      <c r="AJ120" s="30" t="n"/>
      <c r="AK120" s="30" t="n"/>
      <c r="AL120" s="30" t="n"/>
      <c r="AM120" s="30" t="n"/>
      <c r="AN120" s="30" t="n"/>
      <c r="AO120" s="30" t="n"/>
      <c r="AP120" s="30" t="n"/>
      <c r="AQ120" s="30" t="n"/>
      <c r="AR120" s="30" t="n"/>
      <c r="AS120" s="30" t="n"/>
      <c r="AT120" s="30" t="n"/>
      <c r="AU120" s="31">
        <f>CHOOSE(MATCH($BB$2,{"Bull","Base","Bear"},0),$BK$14,$BL$14,$BM$14)</f>
        <v/>
      </c>
      <c r="AV120" s="31" t="n"/>
      <c r="AW120" s="31" t="n"/>
      <c r="AX120" s="31" t="n"/>
      <c r="AY120" s="31" t="n"/>
      <c r="AZ120" s="31" t="n"/>
      <c r="BA120" s="31" t="n"/>
      <c r="BB120" s="26" t="n"/>
    </row>
    <row r="121">
      <c r="B121" s="38" t="inlineStr">
        <is>
          <t xml:space="preserve">  Memo: model Non-GAAP EPS less outlook end-point ($; not forced)</t>
        </is>
      </c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1">
        <f>AU236-AU120</f>
        <v/>
      </c>
      <c r="AV121" s="31" t="n"/>
      <c r="AW121" s="31" t="n"/>
      <c r="AX121" s="31" t="n"/>
      <c r="AY121" s="31" t="n"/>
      <c r="AZ121" s="31" t="n"/>
      <c r="BA121" s="31" t="n"/>
      <c r="BB121" s="19" t="inlineStr">
        <is>
          <t>Not calibrated: EPS follows from the Adj. EBITDA calibration, interest, tax (24% Non-GAAP ETR) and share count.</t>
        </is>
      </c>
    </row>
    <row r="123">
      <c r="B123" s="10" t="inlineStr">
        <is>
          <t>REPORTABLE SEGMENTS — LEGACY MEASURE (memo; Segment Adjusted EBITDA Q3/18–Q4/25; replaced by Segment Operating Income from Q1/26)</t>
        </is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n"/>
      <c r="AN123" s="10" t="n"/>
      <c r="AO123" s="10" t="n"/>
      <c r="AP123" s="10" t="n"/>
      <c r="AQ123" s="10" t="n"/>
      <c r="AR123" s="10" t="n"/>
      <c r="AS123" s="10" t="n"/>
      <c r="AT123" s="10" t="n"/>
      <c r="AU123" s="10" t="n"/>
      <c r="AV123" s="10" t="n"/>
      <c r="AW123" s="10" t="n"/>
      <c r="AX123" s="10" t="n"/>
      <c r="AY123" s="10" t="n"/>
      <c r="AZ123" s="10" t="n"/>
      <c r="BA123" s="10" t="n"/>
      <c r="BB123" s="10" t="inlineStr">
        <is>
          <t>SEGMENTS (legacy) — historical disclosure only (not forecast). 2019: Rides / Eats / Freight / Other Bets / ATG; 2020: Mobility / Delivery; 2021+: Mobility / Delivery / Freight</t>
        </is>
      </c>
    </row>
    <row r="124" outlineLevel="1">
      <c r="B124" s="27" t="inlineStr">
        <is>
          <t xml:space="preserve">  Mobility (Rides) — Segment Adjusted EBITDA</t>
        </is>
      </c>
      <c r="C124" s="43" t="n"/>
      <c r="D124" s="43" t="n"/>
      <c r="E124" s="43" t="n"/>
      <c r="F124" s="43" t="n"/>
      <c r="G124" s="44" t="n">
        <v>416</v>
      </c>
      <c r="H124" s="44" t="n">
        <v>195</v>
      </c>
      <c r="I124" s="44" t="n">
        <v>1541</v>
      </c>
      <c r="J124" s="44" t="n">
        <v>192</v>
      </c>
      <c r="K124" s="44" t="n">
        <v>506</v>
      </c>
      <c r="L124" s="44" t="n">
        <v>631</v>
      </c>
      <c r="M124" s="44" t="n">
        <v>742</v>
      </c>
      <c r="N124" s="44" t="n">
        <v>2071</v>
      </c>
      <c r="O124" s="44" t="n">
        <v>581</v>
      </c>
      <c r="P124" s="44" t="n">
        <v>50</v>
      </c>
      <c r="Q124" s="44" t="n">
        <v>245</v>
      </c>
      <c r="R124" s="44" t="n">
        <v>293</v>
      </c>
      <c r="S124" s="44" t="n">
        <v>1169</v>
      </c>
      <c r="T124" s="44" t="n">
        <v>298</v>
      </c>
      <c r="U124" s="44" t="n">
        <v>179</v>
      </c>
      <c r="V124" s="44" t="n">
        <v>544</v>
      </c>
      <c r="W124" s="44" t="n">
        <v>575</v>
      </c>
      <c r="X124" s="44" t="n">
        <v>1596</v>
      </c>
      <c r="Y124" s="44" t="n">
        <v>618</v>
      </c>
      <c r="Z124" s="44" t="n">
        <v>771</v>
      </c>
      <c r="AA124" s="44" t="n">
        <v>898</v>
      </c>
      <c r="AB124" s="44" t="n">
        <v>1012</v>
      </c>
      <c r="AC124" s="44" t="n">
        <v>3299</v>
      </c>
      <c r="AD124" s="44" t="n">
        <v>1060</v>
      </c>
      <c r="AE124" s="44" t="n">
        <v>1170</v>
      </c>
      <c r="AF124" s="44" t="n">
        <v>1287</v>
      </c>
      <c r="AG124" s="44" t="n">
        <v>1446</v>
      </c>
      <c r="AH124" s="43" t="n"/>
      <c r="AI124" s="44" t="n">
        <v>1479</v>
      </c>
      <c r="AJ124" s="44" t="n">
        <v>1567</v>
      </c>
      <c r="AK124" s="44" t="n">
        <v>1682</v>
      </c>
      <c r="AL124" s="44" t="n">
        <v>1769</v>
      </c>
      <c r="AM124" s="43" t="n"/>
      <c r="AN124" s="44" t="n">
        <v>1753</v>
      </c>
      <c r="AO124" s="44" t="n">
        <v>1905</v>
      </c>
      <c r="AP124" s="44" t="n">
        <v>2038</v>
      </c>
      <c r="AQ124" s="44" t="n">
        <v>2203</v>
      </c>
      <c r="AR124" s="43" t="n"/>
      <c r="AS124" s="43" t="n"/>
      <c r="AT124" s="43" t="n"/>
      <c r="AU124" s="45" t="n"/>
      <c r="AV124" s="45" t="n"/>
      <c r="AW124" s="45" t="n"/>
      <c r="AX124" s="45" t="n"/>
      <c r="AY124" s="45" t="n"/>
      <c r="AZ124" s="45" t="n"/>
      <c r="BA124" s="45" t="n"/>
      <c r="BB124" s="26" t="n"/>
    </row>
    <row r="125" outlineLevel="1">
      <c r="B125" s="27" t="inlineStr">
        <is>
          <t xml:space="preserve">  Delivery (Eats) — Segment Adjusted EBITDA</t>
        </is>
      </c>
      <c r="C125" s="43" t="n"/>
      <c r="D125" s="43" t="n"/>
      <c r="E125" s="43" t="n"/>
      <c r="F125" s="43" t="n"/>
      <c r="G125" s="44" t="n">
        <v>-189</v>
      </c>
      <c r="H125" s="44" t="n">
        <v>-278</v>
      </c>
      <c r="I125" s="43" t="n"/>
      <c r="J125" s="44" t="n">
        <v>-309</v>
      </c>
      <c r="K125" s="44" t="n">
        <v>-286</v>
      </c>
      <c r="L125" s="44" t="n">
        <v>-316</v>
      </c>
      <c r="M125" s="44" t="n">
        <v>-461</v>
      </c>
      <c r="N125" s="44" t="n">
        <v>-1372</v>
      </c>
      <c r="O125" s="44" t="n">
        <v>-313</v>
      </c>
      <c r="P125" s="44" t="n">
        <v>-232</v>
      </c>
      <c r="Q125" s="44" t="n">
        <v>-183</v>
      </c>
      <c r="R125" s="44" t="n">
        <v>-145</v>
      </c>
      <c r="S125" s="44" t="n">
        <v>-873</v>
      </c>
      <c r="T125" s="44" t="n">
        <v>-200</v>
      </c>
      <c r="U125" s="44" t="n">
        <v>-161</v>
      </c>
      <c r="V125" s="44" t="n">
        <v>-12</v>
      </c>
      <c r="W125" s="44" t="n">
        <v>25</v>
      </c>
      <c r="X125" s="44" t="n">
        <v>-348</v>
      </c>
      <c r="Y125" s="44" t="n">
        <v>30</v>
      </c>
      <c r="Z125" s="44" t="n">
        <v>99</v>
      </c>
      <c r="AA125" s="44" t="n">
        <v>181</v>
      </c>
      <c r="AB125" s="44" t="n">
        <v>241</v>
      </c>
      <c r="AC125" s="44" t="n">
        <v>551</v>
      </c>
      <c r="AD125" s="44" t="n">
        <v>288</v>
      </c>
      <c r="AE125" s="44" t="n">
        <v>329</v>
      </c>
      <c r="AF125" s="44" t="n">
        <v>413</v>
      </c>
      <c r="AG125" s="44" t="n">
        <v>476</v>
      </c>
      <c r="AH125" s="43" t="n"/>
      <c r="AI125" s="44" t="n">
        <v>528</v>
      </c>
      <c r="AJ125" s="44" t="n">
        <v>588</v>
      </c>
      <c r="AK125" s="44" t="n">
        <v>628</v>
      </c>
      <c r="AL125" s="44" t="n">
        <v>727</v>
      </c>
      <c r="AM125" s="43" t="n"/>
      <c r="AN125" s="44" t="n">
        <v>763</v>
      </c>
      <c r="AO125" s="44" t="n">
        <v>873</v>
      </c>
      <c r="AP125" s="44" t="n">
        <v>921</v>
      </c>
      <c r="AQ125" s="44" t="n">
        <v>1015</v>
      </c>
      <c r="AR125" s="43" t="n"/>
      <c r="AS125" s="43" t="n"/>
      <c r="AT125" s="43" t="n"/>
      <c r="AU125" s="45" t="n"/>
      <c r="AV125" s="45" t="n"/>
      <c r="AW125" s="45" t="n"/>
      <c r="AX125" s="45" t="n"/>
      <c r="AY125" s="45" t="n"/>
      <c r="AZ125" s="45" t="n"/>
      <c r="BA125" s="45" t="n"/>
      <c r="BB125" s="26" t="n"/>
    </row>
    <row r="126" outlineLevel="1">
      <c r="B126" s="27" t="inlineStr">
        <is>
          <t xml:space="preserve">  Freight — Segment Adjusted EBITDA</t>
        </is>
      </c>
      <c r="C126" s="43" t="n"/>
      <c r="D126" s="43" t="n"/>
      <c r="E126" s="43" t="n"/>
      <c r="F126" s="43" t="n"/>
      <c r="G126" s="44" t="n">
        <v>-31</v>
      </c>
      <c r="H126" s="44" t="n">
        <v>-23</v>
      </c>
      <c r="I126" s="43" t="n"/>
      <c r="J126" s="44" t="n">
        <v>-29</v>
      </c>
      <c r="K126" s="44" t="n">
        <v>-52</v>
      </c>
      <c r="L126" s="44" t="n">
        <v>-81</v>
      </c>
      <c r="M126" s="44" t="n">
        <v>-55</v>
      </c>
      <c r="N126" s="43" t="n"/>
      <c r="O126" s="44" t="n">
        <v>-64</v>
      </c>
      <c r="P126" s="44" t="n">
        <v>-49</v>
      </c>
      <c r="Q126" s="44" t="n">
        <v>-73</v>
      </c>
      <c r="R126" s="44" t="n">
        <v>-41</v>
      </c>
      <c r="S126" s="43" t="n"/>
      <c r="T126" s="44" t="n">
        <v>-29</v>
      </c>
      <c r="U126" s="44" t="n">
        <v>-41</v>
      </c>
      <c r="V126" s="44" t="n">
        <v>-35</v>
      </c>
      <c r="W126" s="44" t="n">
        <v>-25</v>
      </c>
      <c r="X126" s="43" t="n"/>
      <c r="Y126" s="44" t="n">
        <v>2</v>
      </c>
      <c r="Z126" s="44" t="n">
        <v>5</v>
      </c>
      <c r="AA126" s="44" t="n">
        <v>1</v>
      </c>
      <c r="AB126" s="44" t="n">
        <v>-8</v>
      </c>
      <c r="AC126" s="43" t="n"/>
      <c r="AD126" s="44" t="n">
        <v>-23</v>
      </c>
      <c r="AE126" s="44" t="n">
        <v>-14</v>
      </c>
      <c r="AF126" s="44" t="n">
        <v>-13</v>
      </c>
      <c r="AG126" s="44" t="n">
        <v>-14</v>
      </c>
      <c r="AH126" s="43" t="n"/>
      <c r="AI126" s="44" t="n">
        <v>-21</v>
      </c>
      <c r="AJ126" s="44" t="n">
        <v>-12</v>
      </c>
      <c r="AK126" s="44" t="n">
        <v>-19</v>
      </c>
      <c r="AL126" s="44" t="n">
        <v>-22</v>
      </c>
      <c r="AM126" s="43" t="n"/>
      <c r="AN126" s="44" t="n">
        <v>-7</v>
      </c>
      <c r="AO126" s="44" t="n">
        <v>-6</v>
      </c>
      <c r="AP126" s="44" t="n">
        <v>-20</v>
      </c>
      <c r="AQ126" s="44" t="n">
        <v>0</v>
      </c>
      <c r="AR126" s="43" t="n"/>
      <c r="AS126" s="43" t="n"/>
      <c r="AT126" s="43" t="n"/>
      <c r="AU126" s="45" t="n"/>
      <c r="AV126" s="45" t="n"/>
      <c r="AW126" s="45" t="n"/>
      <c r="AX126" s="45" t="n"/>
      <c r="AY126" s="45" t="n"/>
      <c r="AZ126" s="45" t="n"/>
      <c r="BA126" s="45" t="n"/>
      <c r="BB126" s="26" t="n"/>
    </row>
    <row r="127" outlineLevel="1">
      <c r="B127" s="27" t="inlineStr">
        <is>
          <t xml:space="preserve">  Other Bets — Segment Adjusted EBITDA</t>
        </is>
      </c>
      <c r="C127" s="43" t="n"/>
      <c r="D127" s="43" t="n"/>
      <c r="E127" s="43" t="n"/>
      <c r="F127" s="43" t="n"/>
      <c r="G127" s="44" t="n">
        <v>-12</v>
      </c>
      <c r="H127" s="44" t="n">
        <v>-38</v>
      </c>
      <c r="I127" s="43" t="n"/>
      <c r="J127" s="44" t="n">
        <v>-42</v>
      </c>
      <c r="K127" s="44" t="n">
        <v>-70</v>
      </c>
      <c r="L127" s="44" t="n">
        <v>-72</v>
      </c>
      <c r="M127" s="44" t="n">
        <v>-67</v>
      </c>
      <c r="N127" s="43" t="n"/>
      <c r="O127" s="44" t="n">
        <v>-63</v>
      </c>
      <c r="P127" s="44" t="n">
        <v>-23</v>
      </c>
      <c r="Q127" s="44" t="n">
        <v>0</v>
      </c>
      <c r="R127" s="44" t="n">
        <v>0</v>
      </c>
      <c r="S127" s="43" t="n"/>
      <c r="T127" s="43" t="n"/>
      <c r="U127" s="43" t="n"/>
      <c r="V127" s="43" t="n"/>
      <c r="W127" s="43" t="n"/>
      <c r="X127" s="43" t="n"/>
      <c r="Y127" s="43" t="n"/>
      <c r="Z127" s="43" t="n"/>
      <c r="AA127" s="43" t="n"/>
      <c r="AB127" s="43" t="n"/>
      <c r="AC127" s="43" t="n"/>
      <c r="AD127" s="43" t="n"/>
      <c r="AE127" s="43" t="n"/>
      <c r="AF127" s="43" t="n"/>
      <c r="AG127" s="43" t="n"/>
      <c r="AH127" s="43" t="n"/>
      <c r="AI127" s="43" t="n"/>
      <c r="AJ127" s="43" t="n"/>
      <c r="AK127" s="43" t="n"/>
      <c r="AL127" s="43" t="n"/>
      <c r="AM127" s="43" t="n"/>
      <c r="AN127" s="43" t="n"/>
      <c r="AO127" s="43" t="n"/>
      <c r="AP127" s="43" t="n"/>
      <c r="AQ127" s="43" t="n"/>
      <c r="AR127" s="43" t="n"/>
      <c r="AS127" s="43" t="n"/>
      <c r="AT127" s="43" t="n"/>
      <c r="AU127" s="45" t="n"/>
      <c r="AV127" s="45" t="n"/>
      <c r="AW127" s="45" t="n"/>
      <c r="AX127" s="45" t="n"/>
      <c r="AY127" s="45" t="n"/>
      <c r="AZ127" s="45" t="n"/>
      <c r="BA127" s="45" t="n"/>
      <c r="BB127" s="26" t="n"/>
    </row>
    <row r="128" outlineLevel="1">
      <c r="B128" s="27" t="inlineStr">
        <is>
          <t xml:space="preserve">  ATG &amp; Other Technology Programs — Segment Adjusted EBITDA</t>
        </is>
      </c>
      <c r="C128" s="43" t="n"/>
      <c r="D128" s="43" t="n"/>
      <c r="E128" s="43" t="n"/>
      <c r="F128" s="43" t="n"/>
      <c r="G128" s="44" t="n">
        <v>-132</v>
      </c>
      <c r="H128" s="44" t="n">
        <v>-105</v>
      </c>
      <c r="I128" s="43" t="n"/>
      <c r="J128" s="44" t="n">
        <v>-113</v>
      </c>
      <c r="K128" s="44" t="n">
        <v>-132</v>
      </c>
      <c r="L128" s="44" t="n">
        <v>-124</v>
      </c>
      <c r="M128" s="44" t="n">
        <v>-130</v>
      </c>
      <c r="N128" s="43" t="n"/>
      <c r="O128" s="44" t="n">
        <v>-108</v>
      </c>
      <c r="P128" s="44" t="n">
        <v>-91</v>
      </c>
      <c r="Q128" s="44" t="n">
        <v>-104</v>
      </c>
      <c r="R128" s="44" t="n">
        <v>-72</v>
      </c>
      <c r="S128" s="43" t="n"/>
      <c r="T128" s="43" t="n"/>
      <c r="U128" s="43" t="n"/>
      <c r="V128" s="43" t="n"/>
      <c r="W128" s="43" t="n"/>
      <c r="X128" s="43" t="n"/>
      <c r="Y128" s="43" t="n"/>
      <c r="Z128" s="43" t="n"/>
      <c r="AA128" s="43" t="n"/>
      <c r="AB128" s="43" t="n"/>
      <c r="AC128" s="43" t="n"/>
      <c r="AD128" s="43" t="n"/>
      <c r="AE128" s="43" t="n"/>
      <c r="AF128" s="43" t="n"/>
      <c r="AG128" s="43" t="n"/>
      <c r="AH128" s="43" t="n"/>
      <c r="AI128" s="43" t="n"/>
      <c r="AJ128" s="43" t="n"/>
      <c r="AK128" s="43" t="n"/>
      <c r="AL128" s="43" t="n"/>
      <c r="AM128" s="43" t="n"/>
      <c r="AN128" s="43" t="n"/>
      <c r="AO128" s="43" t="n"/>
      <c r="AP128" s="43" t="n"/>
      <c r="AQ128" s="43" t="n"/>
      <c r="AR128" s="43" t="n"/>
      <c r="AS128" s="43" t="n"/>
      <c r="AT128" s="43" t="n"/>
      <c r="AU128" s="45" t="n"/>
      <c r="AV128" s="45" t="n"/>
      <c r="AW128" s="45" t="n"/>
      <c r="AX128" s="45" t="n"/>
      <c r="AY128" s="45" t="n"/>
      <c r="AZ128" s="45" t="n"/>
      <c r="BA128" s="45" t="n"/>
      <c r="BB128" s="26" t="n"/>
    </row>
    <row r="129" outlineLevel="1">
      <c r="B129" s="27" t="inlineStr">
        <is>
          <t xml:space="preserve">  Corporate G&amp;A and Platform R&amp;D (Adj. EBITDA basis) — Segment Adjusted EBITDA</t>
        </is>
      </c>
      <c r="C129" s="43" t="n"/>
      <c r="D129" s="43" t="n"/>
      <c r="E129" s="43" t="n"/>
      <c r="F129" s="43" t="n"/>
      <c r="G129" s="44" t="n">
        <v>-501</v>
      </c>
      <c r="H129" s="44" t="n">
        <v>-568</v>
      </c>
      <c r="I129" s="43" t="n"/>
      <c r="J129" s="44" t="n">
        <v>-568</v>
      </c>
      <c r="K129" s="44" t="n">
        <v>-622</v>
      </c>
      <c r="L129" s="44" t="n">
        <v>-623</v>
      </c>
      <c r="M129" s="44" t="n">
        <v>-644</v>
      </c>
      <c r="N129" s="43" t="n"/>
      <c r="O129" s="44" t="n">
        <v>-645</v>
      </c>
      <c r="P129" s="44" t="n">
        <v>-492</v>
      </c>
      <c r="Q129" s="44" t="n">
        <v>-510</v>
      </c>
      <c r="R129" s="44" t="n">
        <v>-489</v>
      </c>
      <c r="S129" s="43" t="n"/>
      <c r="T129" s="44" t="n">
        <v>-417</v>
      </c>
      <c r="U129" s="44" t="n">
        <v>-486</v>
      </c>
      <c r="V129" s="44" t="n">
        <v>-489</v>
      </c>
      <c r="W129" s="44" t="n">
        <v>-489</v>
      </c>
      <c r="X129" s="43" t="n"/>
      <c r="Y129" s="44" t="n">
        <v>-482</v>
      </c>
      <c r="Z129" s="44" t="n">
        <v>-511</v>
      </c>
      <c r="AA129" s="44" t="n">
        <v>-564</v>
      </c>
      <c r="AB129" s="44" t="n">
        <v>-580</v>
      </c>
      <c r="AC129" s="43" t="n"/>
      <c r="AD129" s="44" t="n">
        <v>-564</v>
      </c>
      <c r="AE129" s="44" t="n">
        <v>-569</v>
      </c>
      <c r="AF129" s="44" t="n">
        <v>-595</v>
      </c>
      <c r="AG129" s="44" t="n">
        <v>-625</v>
      </c>
      <c r="AH129" s="43" t="n"/>
      <c r="AI129" s="44" t="n">
        <v>-604</v>
      </c>
      <c r="AJ129" s="44" t="n">
        <v>-573</v>
      </c>
      <c r="AK129" s="44" t="n">
        <v>-601</v>
      </c>
      <c r="AL129" s="44" t="n">
        <v>-632</v>
      </c>
      <c r="AM129" s="43" t="n"/>
      <c r="AN129" s="44" t="n">
        <v>-641</v>
      </c>
      <c r="AO129" s="44" t="n">
        <v>-653</v>
      </c>
      <c r="AP129" s="44" t="n">
        <v>-683</v>
      </c>
      <c r="AQ129" s="44" t="n">
        <v>-731</v>
      </c>
      <c r="AR129" s="43" t="n"/>
      <c r="AS129" s="43" t="n"/>
      <c r="AT129" s="43" t="n"/>
      <c r="AU129" s="45" t="n"/>
      <c r="AV129" s="45" t="n"/>
      <c r="AW129" s="45" t="n"/>
      <c r="AX129" s="45" t="n"/>
      <c r="AY129" s="45" t="n"/>
      <c r="AZ129" s="45" t="n"/>
      <c r="BA129" s="45" t="n"/>
      <c r="BB129" s="26" t="n"/>
    </row>
    <row r="130" outlineLevel="1">
      <c r="B130" s="27" t="inlineStr">
        <is>
          <t xml:space="preserve">  Mobility — Segment Adjusted EBITDA % of Gross Bookings</t>
        </is>
      </c>
      <c r="C130" s="39">
        <f>IF(AND(ISNUMBER(C124),ISNUMBER(C24)),IFERROR(C124/C24,""),"")</f>
        <v/>
      </c>
      <c r="D130" s="39">
        <f>IF(AND(ISNUMBER(D124),ISNUMBER(D24)),IFERROR(D124/D24,""),"")</f>
        <v/>
      </c>
      <c r="E130" s="39">
        <f>IF(AND(ISNUMBER(E124),ISNUMBER(E24)),IFERROR(E124/E24,""),"")</f>
        <v/>
      </c>
      <c r="F130" s="39">
        <f>IF(AND(ISNUMBER(F124),ISNUMBER(F24)),IFERROR(F124/F24,""),"")</f>
        <v/>
      </c>
      <c r="G130" s="39">
        <f>IF(AND(ISNUMBER(G124),ISNUMBER(G24)),IFERROR(G124/G24,""),"")</f>
        <v/>
      </c>
      <c r="H130" s="39">
        <f>IF(AND(ISNUMBER(H124),ISNUMBER(H24)),IFERROR(H124/H24,""),"")</f>
        <v/>
      </c>
      <c r="I130" s="39">
        <f>IF(AND(ISNUMBER(I124),ISNUMBER(I24)),IFERROR(I124/I24,""),"")</f>
        <v/>
      </c>
      <c r="J130" s="39">
        <f>IF(AND(ISNUMBER(J124),ISNUMBER(J24)),IFERROR(J124/J24,""),"")</f>
        <v/>
      </c>
      <c r="K130" s="39">
        <f>IF(AND(ISNUMBER(K124),ISNUMBER(K24)),IFERROR(K124/K24,""),"")</f>
        <v/>
      </c>
      <c r="L130" s="39">
        <f>IF(AND(ISNUMBER(L124),ISNUMBER(L24)),IFERROR(L124/L24,""),"")</f>
        <v/>
      </c>
      <c r="M130" s="39">
        <f>IF(AND(ISNUMBER(M124),ISNUMBER(M24)),IFERROR(M124/M24,""),"")</f>
        <v/>
      </c>
      <c r="N130" s="39">
        <f>IF(AND(ISNUMBER(N124),ISNUMBER(N24)),IFERROR(N124/N24,""),"")</f>
        <v/>
      </c>
      <c r="O130" s="39">
        <f>IF(AND(ISNUMBER(O124),ISNUMBER(O24)),IFERROR(O124/O24,""),"")</f>
        <v/>
      </c>
      <c r="P130" s="39">
        <f>IF(AND(ISNUMBER(P124),ISNUMBER(P24)),IFERROR(P124/P24,""),"")</f>
        <v/>
      </c>
      <c r="Q130" s="39">
        <f>IF(AND(ISNUMBER(Q124),ISNUMBER(Q24)),IFERROR(Q124/Q24,""),"")</f>
        <v/>
      </c>
      <c r="R130" s="39">
        <f>IF(AND(ISNUMBER(R124),ISNUMBER(R24)),IFERROR(R124/R24,""),"")</f>
        <v/>
      </c>
      <c r="S130" s="39">
        <f>IF(AND(ISNUMBER(S124),ISNUMBER(S24)),IFERROR(S124/S24,""),"")</f>
        <v/>
      </c>
      <c r="T130" s="39">
        <f>IF(AND(ISNUMBER(T124),ISNUMBER(T24)),IFERROR(T124/T24,""),"")</f>
        <v/>
      </c>
      <c r="U130" s="39">
        <f>IF(AND(ISNUMBER(U124),ISNUMBER(U24)),IFERROR(U124/U24,""),"")</f>
        <v/>
      </c>
      <c r="V130" s="39">
        <f>IF(AND(ISNUMBER(V124),ISNUMBER(V24)),IFERROR(V124/V24,""),"")</f>
        <v/>
      </c>
      <c r="W130" s="39">
        <f>IF(AND(ISNUMBER(W124),ISNUMBER(W24)),IFERROR(W124/W24,""),"")</f>
        <v/>
      </c>
      <c r="X130" s="39">
        <f>IF(AND(ISNUMBER(X124),ISNUMBER(X24)),IFERROR(X124/X24,""),"")</f>
        <v/>
      </c>
      <c r="Y130" s="39">
        <f>IF(AND(ISNUMBER(Y124),ISNUMBER(Y24)),IFERROR(Y124/Y24,""),"")</f>
        <v/>
      </c>
      <c r="Z130" s="39">
        <f>IF(AND(ISNUMBER(Z124),ISNUMBER(Z24)),IFERROR(Z124/Z24,""),"")</f>
        <v/>
      </c>
      <c r="AA130" s="39">
        <f>IF(AND(ISNUMBER(AA124),ISNUMBER(AA24)),IFERROR(AA124/AA24,""),"")</f>
        <v/>
      </c>
      <c r="AB130" s="39">
        <f>IF(AND(ISNUMBER(AB124),ISNUMBER(AB24)),IFERROR(AB124/AB24,""),"")</f>
        <v/>
      </c>
      <c r="AC130" s="39">
        <f>IF(AND(ISNUMBER(AC124),ISNUMBER(AC24)),IFERROR(AC124/AC24,""),"")</f>
        <v/>
      </c>
      <c r="AD130" s="39">
        <f>IF(AND(ISNUMBER(AD124),ISNUMBER(AD24)),IFERROR(AD124/AD24,""),"")</f>
        <v/>
      </c>
      <c r="AE130" s="39">
        <f>IF(AND(ISNUMBER(AE124),ISNUMBER(AE24)),IFERROR(AE124/AE24,""),"")</f>
        <v/>
      </c>
      <c r="AF130" s="39">
        <f>IF(AND(ISNUMBER(AF124),ISNUMBER(AF24)),IFERROR(AF124/AF24,""),"")</f>
        <v/>
      </c>
      <c r="AG130" s="39">
        <f>IF(AND(ISNUMBER(AG124),ISNUMBER(AG24)),IFERROR(AG124/AG24,""),"")</f>
        <v/>
      </c>
      <c r="AH130" s="39">
        <f>IF(AND(ISNUMBER(AH124),ISNUMBER(AH24)),IFERROR(AH124/AH24,""),"")</f>
        <v/>
      </c>
      <c r="AI130" s="39">
        <f>IF(AND(ISNUMBER(AI124),ISNUMBER(AI24)),IFERROR(AI124/AI24,""),"")</f>
        <v/>
      </c>
      <c r="AJ130" s="39">
        <f>IF(AND(ISNUMBER(AJ124),ISNUMBER(AJ24)),IFERROR(AJ124/AJ24,""),"")</f>
        <v/>
      </c>
      <c r="AK130" s="39">
        <f>IF(AND(ISNUMBER(AK124),ISNUMBER(AK24)),IFERROR(AK124/AK24,""),"")</f>
        <v/>
      </c>
      <c r="AL130" s="39">
        <f>IF(AND(ISNUMBER(AL124),ISNUMBER(AL24)),IFERROR(AL124/AL24,""),"")</f>
        <v/>
      </c>
      <c r="AM130" s="39">
        <f>IF(AND(ISNUMBER(AM124),ISNUMBER(AM24)),IFERROR(AM124/AM24,""),"")</f>
        <v/>
      </c>
      <c r="AN130" s="39">
        <f>IF(AND(ISNUMBER(AN124),ISNUMBER(AN24)),IFERROR(AN124/AN24,""),"")</f>
        <v/>
      </c>
      <c r="AO130" s="39">
        <f>IF(AND(ISNUMBER(AO124),ISNUMBER(AO24)),IFERROR(AO124/AO24,""),"")</f>
        <v/>
      </c>
      <c r="AP130" s="39">
        <f>IF(AND(ISNUMBER(AP124),ISNUMBER(AP24)),IFERROR(AP124/AP24,""),"")</f>
        <v/>
      </c>
      <c r="AQ130" s="39">
        <f>IF(AND(ISNUMBER(AQ124),ISNUMBER(AQ24)),IFERROR(AQ124/AQ24,""),"")</f>
        <v/>
      </c>
      <c r="AR130" s="39">
        <f>IF(AND(ISNUMBER(AR124),ISNUMBER(AR24)),IFERROR(AR124/AR24,""),"")</f>
        <v/>
      </c>
      <c r="AS130" s="39">
        <f>IF(AND(ISNUMBER(AS124),ISNUMBER(AS24)),IFERROR(AS124/AS24,""),"")</f>
        <v/>
      </c>
      <c r="AT130" s="39">
        <f>IF(AND(ISNUMBER(AT124),ISNUMBER(AT24)),IFERROR(AT124/AT24,""),"")</f>
        <v/>
      </c>
      <c r="AU130" s="25" t="n"/>
      <c r="AV130" s="25" t="n"/>
      <c r="AW130" s="25" t="n"/>
      <c r="AX130" s="25" t="n"/>
      <c r="AY130" s="25" t="n"/>
      <c r="AZ130" s="25" t="n"/>
      <c r="BA130" s="25" t="n"/>
      <c r="BB130" s="26" t="n"/>
    </row>
    <row r="131" outlineLevel="1">
      <c r="B131" s="27" t="inlineStr">
        <is>
          <t xml:space="preserve">  Delivery — Segment Adjusted EBITDA % of Gross Bookings</t>
        </is>
      </c>
      <c r="C131" s="39">
        <f>IF(AND(ISNUMBER(C125),ISNUMBER(C36)),IFERROR(C125/C36,""),"")</f>
        <v/>
      </c>
      <c r="D131" s="39">
        <f>IF(AND(ISNUMBER(D125),ISNUMBER(D36)),IFERROR(D125/D36,""),"")</f>
        <v/>
      </c>
      <c r="E131" s="39">
        <f>IF(AND(ISNUMBER(E125),ISNUMBER(E36)),IFERROR(E125/E36,""),"")</f>
        <v/>
      </c>
      <c r="F131" s="39">
        <f>IF(AND(ISNUMBER(F125),ISNUMBER(F36)),IFERROR(F125/F36,""),"")</f>
        <v/>
      </c>
      <c r="G131" s="39">
        <f>IF(AND(ISNUMBER(G125),ISNUMBER(G36)),IFERROR(G125/G36,""),"")</f>
        <v/>
      </c>
      <c r="H131" s="39">
        <f>IF(AND(ISNUMBER(H125),ISNUMBER(H36)),IFERROR(H125/H36,""),"")</f>
        <v/>
      </c>
      <c r="I131" s="39">
        <f>IF(AND(ISNUMBER(I125),ISNUMBER(I36)),IFERROR(I125/I36,""),"")</f>
        <v/>
      </c>
      <c r="J131" s="39">
        <f>IF(AND(ISNUMBER(J125),ISNUMBER(J36)),IFERROR(J125/J36,""),"")</f>
        <v/>
      </c>
      <c r="K131" s="39">
        <f>IF(AND(ISNUMBER(K125),ISNUMBER(K36)),IFERROR(K125/K36,""),"")</f>
        <v/>
      </c>
      <c r="L131" s="39">
        <f>IF(AND(ISNUMBER(L125),ISNUMBER(L36)),IFERROR(L125/L36,""),"")</f>
        <v/>
      </c>
      <c r="M131" s="39">
        <f>IF(AND(ISNUMBER(M125),ISNUMBER(M36)),IFERROR(M125/M36,""),"")</f>
        <v/>
      </c>
      <c r="N131" s="39">
        <f>IF(AND(ISNUMBER(N125),ISNUMBER(N36)),IFERROR(N125/N36,""),"")</f>
        <v/>
      </c>
      <c r="O131" s="39">
        <f>IF(AND(ISNUMBER(O125),ISNUMBER(O36)),IFERROR(O125/O36,""),"")</f>
        <v/>
      </c>
      <c r="P131" s="39">
        <f>IF(AND(ISNUMBER(P125),ISNUMBER(P36)),IFERROR(P125/P36,""),"")</f>
        <v/>
      </c>
      <c r="Q131" s="39">
        <f>IF(AND(ISNUMBER(Q125),ISNUMBER(Q36)),IFERROR(Q125/Q36,""),"")</f>
        <v/>
      </c>
      <c r="R131" s="39">
        <f>IF(AND(ISNUMBER(R125),ISNUMBER(R36)),IFERROR(R125/R36,""),"")</f>
        <v/>
      </c>
      <c r="S131" s="39">
        <f>IF(AND(ISNUMBER(S125),ISNUMBER(S36)),IFERROR(S125/S36,""),"")</f>
        <v/>
      </c>
      <c r="T131" s="39">
        <f>IF(AND(ISNUMBER(T125),ISNUMBER(T36)),IFERROR(T125/T36,""),"")</f>
        <v/>
      </c>
      <c r="U131" s="39">
        <f>IF(AND(ISNUMBER(U125),ISNUMBER(U36)),IFERROR(U125/U36,""),"")</f>
        <v/>
      </c>
      <c r="V131" s="39">
        <f>IF(AND(ISNUMBER(V125),ISNUMBER(V36)),IFERROR(V125/V36,""),"")</f>
        <v/>
      </c>
      <c r="W131" s="39">
        <f>IF(AND(ISNUMBER(W125),ISNUMBER(W36)),IFERROR(W125/W36,""),"")</f>
        <v/>
      </c>
      <c r="X131" s="39">
        <f>IF(AND(ISNUMBER(X125),ISNUMBER(X36)),IFERROR(X125/X36,""),"")</f>
        <v/>
      </c>
      <c r="Y131" s="39">
        <f>IF(AND(ISNUMBER(Y125),ISNUMBER(Y36)),IFERROR(Y125/Y36,""),"")</f>
        <v/>
      </c>
      <c r="Z131" s="39">
        <f>IF(AND(ISNUMBER(Z125),ISNUMBER(Z36)),IFERROR(Z125/Z36,""),"")</f>
        <v/>
      </c>
      <c r="AA131" s="39">
        <f>IF(AND(ISNUMBER(AA125),ISNUMBER(AA36)),IFERROR(AA125/AA36,""),"")</f>
        <v/>
      </c>
      <c r="AB131" s="39">
        <f>IF(AND(ISNUMBER(AB125),ISNUMBER(AB36)),IFERROR(AB125/AB36,""),"")</f>
        <v/>
      </c>
      <c r="AC131" s="39">
        <f>IF(AND(ISNUMBER(AC125),ISNUMBER(AC36)),IFERROR(AC125/AC36,""),"")</f>
        <v/>
      </c>
      <c r="AD131" s="39">
        <f>IF(AND(ISNUMBER(AD125),ISNUMBER(AD36)),IFERROR(AD125/AD36,""),"")</f>
        <v/>
      </c>
      <c r="AE131" s="39">
        <f>IF(AND(ISNUMBER(AE125),ISNUMBER(AE36)),IFERROR(AE125/AE36,""),"")</f>
        <v/>
      </c>
      <c r="AF131" s="39">
        <f>IF(AND(ISNUMBER(AF125),ISNUMBER(AF36)),IFERROR(AF125/AF36,""),"")</f>
        <v/>
      </c>
      <c r="AG131" s="39">
        <f>IF(AND(ISNUMBER(AG125),ISNUMBER(AG36)),IFERROR(AG125/AG36,""),"")</f>
        <v/>
      </c>
      <c r="AH131" s="39">
        <f>IF(AND(ISNUMBER(AH125),ISNUMBER(AH36)),IFERROR(AH125/AH36,""),"")</f>
        <v/>
      </c>
      <c r="AI131" s="39">
        <f>IF(AND(ISNUMBER(AI125),ISNUMBER(AI36)),IFERROR(AI125/AI36,""),"")</f>
        <v/>
      </c>
      <c r="AJ131" s="39">
        <f>IF(AND(ISNUMBER(AJ125),ISNUMBER(AJ36)),IFERROR(AJ125/AJ36,""),"")</f>
        <v/>
      </c>
      <c r="AK131" s="39">
        <f>IF(AND(ISNUMBER(AK125),ISNUMBER(AK36)),IFERROR(AK125/AK36,""),"")</f>
        <v/>
      </c>
      <c r="AL131" s="39">
        <f>IF(AND(ISNUMBER(AL125),ISNUMBER(AL36)),IFERROR(AL125/AL36,""),"")</f>
        <v/>
      </c>
      <c r="AM131" s="39">
        <f>IF(AND(ISNUMBER(AM125),ISNUMBER(AM36)),IFERROR(AM125/AM36,""),"")</f>
        <v/>
      </c>
      <c r="AN131" s="39">
        <f>IF(AND(ISNUMBER(AN125),ISNUMBER(AN36)),IFERROR(AN125/AN36,""),"")</f>
        <v/>
      </c>
      <c r="AO131" s="39">
        <f>IF(AND(ISNUMBER(AO125),ISNUMBER(AO36)),IFERROR(AO125/AO36,""),"")</f>
        <v/>
      </c>
      <c r="AP131" s="39">
        <f>IF(AND(ISNUMBER(AP125),ISNUMBER(AP36)),IFERROR(AP125/AP36,""),"")</f>
        <v/>
      </c>
      <c r="AQ131" s="39">
        <f>IF(AND(ISNUMBER(AQ125),ISNUMBER(AQ36)),IFERROR(AQ125/AQ36,""),"")</f>
        <v/>
      </c>
      <c r="AR131" s="39">
        <f>IF(AND(ISNUMBER(AR125),ISNUMBER(AR36)),IFERROR(AR125/AR36,""),"")</f>
        <v/>
      </c>
      <c r="AS131" s="39">
        <f>IF(AND(ISNUMBER(AS125),ISNUMBER(AS36)),IFERROR(AS125/AS36,""),"")</f>
        <v/>
      </c>
      <c r="AT131" s="39">
        <f>IF(AND(ISNUMBER(AT125),ISNUMBER(AT36)),IFERROR(AT125/AT36,""),"")</f>
        <v/>
      </c>
      <c r="AU131" s="25" t="n"/>
      <c r="AV131" s="25" t="n"/>
      <c r="AW131" s="25" t="n"/>
      <c r="AX131" s="25" t="n"/>
      <c r="AY131" s="25" t="n"/>
      <c r="AZ131" s="25" t="n"/>
      <c r="BA131" s="25" t="n"/>
      <c r="BB131" s="26" t="n"/>
    </row>
    <row r="132" outlineLevel="1">
      <c r="B132" s="27" t="inlineStr">
        <is>
          <t xml:space="preserve">  Other / 2018 divested operations / not split (derived)</t>
        </is>
      </c>
      <c r="C132" s="43" t="n"/>
      <c r="D132" s="43" t="n"/>
      <c r="E132" s="43" t="n"/>
      <c r="F132" s="43" t="n"/>
      <c r="G132" s="43">
        <f>IF(ISNUMBER(G206),G206-(N(G124)+N(G125)+N(G126)+N(G127)+N(G128)+N(G129)),"")</f>
        <v/>
      </c>
      <c r="H132" s="43">
        <f>IF(ISNUMBER(H206),H206-(N(H124)+N(H125)+N(H126)+N(H127)+N(H128)+N(H129)),"")</f>
        <v/>
      </c>
      <c r="I132" s="43">
        <f>IF(ISNUMBER(I206),I206-(N(I124)+N(I125)+N(I126)+N(I127)+N(I128)+N(I129)),"")</f>
        <v/>
      </c>
      <c r="J132" s="43">
        <f>IF(ISNUMBER(J206),J206-(N(J124)+N(J125)+N(J126)+N(J127)+N(J128)+N(J129)),"")</f>
        <v/>
      </c>
      <c r="K132" s="43">
        <f>IF(ISNUMBER(K206),K206-(N(K124)+N(K125)+N(K126)+N(K127)+N(K128)+N(K129)),"")</f>
        <v/>
      </c>
      <c r="L132" s="43">
        <f>IF(ISNUMBER(L206),L206-(N(L124)+N(L125)+N(L126)+N(L127)+N(L128)+N(L129)),"")</f>
        <v/>
      </c>
      <c r="M132" s="43">
        <f>IF(ISNUMBER(M206),M206-(N(M124)+N(M125)+N(M126)+N(M127)+N(M128)+N(M129)),"")</f>
        <v/>
      </c>
      <c r="N132" s="43">
        <f>IF(ISNUMBER(N206),N206-(N(N124)+N(N125)+N(N126)+N(N127)+N(N128)+N(N129)),"")</f>
        <v/>
      </c>
      <c r="O132" s="43">
        <f>IF(ISNUMBER(O206),O206-(N(O124)+N(O125)+N(O126)+N(O127)+N(O128)+N(O129)),"")</f>
        <v/>
      </c>
      <c r="P132" s="43">
        <f>IF(ISNUMBER(P206),P206-(N(P124)+N(P125)+N(P126)+N(P127)+N(P128)+N(P129)),"")</f>
        <v/>
      </c>
      <c r="Q132" s="43">
        <f>IF(ISNUMBER(Q206),Q206-(N(Q124)+N(Q125)+N(Q126)+N(Q127)+N(Q128)+N(Q129)),"")</f>
        <v/>
      </c>
      <c r="R132" s="43">
        <f>IF(ISNUMBER(R206),R206-(N(R124)+N(R125)+N(R126)+N(R127)+N(R128)+N(R129)),"")</f>
        <v/>
      </c>
      <c r="S132" s="43">
        <f>IF(ISNUMBER(S206),S206-(N(S124)+N(S125)+N(S126)+N(S127)+N(S128)+N(S129)),"")</f>
        <v/>
      </c>
      <c r="T132" s="43">
        <f>IF(ISNUMBER(T206),T206-(N(T124)+N(T125)+N(T126)+N(T127)+N(T128)+N(T129)),"")</f>
        <v/>
      </c>
      <c r="U132" s="43">
        <f>IF(ISNUMBER(U206),U206-(N(U124)+N(U125)+N(U126)+N(U127)+N(U128)+N(U129)),"")</f>
        <v/>
      </c>
      <c r="V132" s="43">
        <f>IF(ISNUMBER(V206),V206-(N(V124)+N(V125)+N(V126)+N(V127)+N(V128)+N(V129)),"")</f>
        <v/>
      </c>
      <c r="W132" s="43">
        <f>IF(ISNUMBER(W206),W206-(N(W124)+N(W125)+N(W126)+N(W127)+N(W128)+N(W129)),"")</f>
        <v/>
      </c>
      <c r="X132" s="43">
        <f>IF(ISNUMBER(X206),X206-(N(X124)+N(X125)+N(X126)+N(X127)+N(X128)+N(X129)),"")</f>
        <v/>
      </c>
      <c r="Y132" s="43">
        <f>IF(ISNUMBER(Y206),Y206-(N(Y124)+N(Y125)+N(Y126)+N(Y127)+N(Y128)+N(Y129)),"")</f>
        <v/>
      </c>
      <c r="Z132" s="43">
        <f>IF(ISNUMBER(Z206),Z206-(N(Z124)+N(Z125)+N(Z126)+N(Z127)+N(Z128)+N(Z129)),"")</f>
        <v/>
      </c>
      <c r="AA132" s="43">
        <f>IF(ISNUMBER(AA206),AA206-(N(AA124)+N(AA125)+N(AA126)+N(AA127)+N(AA128)+N(AA129)),"")</f>
        <v/>
      </c>
      <c r="AB132" s="43">
        <f>IF(ISNUMBER(AB206),AB206-(N(AB124)+N(AB125)+N(AB126)+N(AB127)+N(AB128)+N(AB129)),"")</f>
        <v/>
      </c>
      <c r="AC132" s="43">
        <f>IF(ISNUMBER(AC206),AC206-(N(AC124)+N(AC125)+N(AC126)+N(AC127)+N(AC128)+N(AC129)),"")</f>
        <v/>
      </c>
      <c r="AD132" s="43">
        <f>IF(ISNUMBER(AD206),AD206-(N(AD124)+N(AD125)+N(AD126)+N(AD127)+N(AD128)+N(AD129)),"")</f>
        <v/>
      </c>
      <c r="AE132" s="43">
        <f>IF(ISNUMBER(AE206),AE206-(N(AE124)+N(AE125)+N(AE126)+N(AE127)+N(AE128)+N(AE129)),"")</f>
        <v/>
      </c>
      <c r="AF132" s="43">
        <f>IF(ISNUMBER(AF206),AF206-(N(AF124)+N(AF125)+N(AF126)+N(AF127)+N(AF128)+N(AF129)),"")</f>
        <v/>
      </c>
      <c r="AG132" s="43">
        <f>IF(ISNUMBER(AG206),AG206-(N(AG124)+N(AG125)+N(AG126)+N(AG127)+N(AG128)+N(AG129)),"")</f>
        <v/>
      </c>
      <c r="AH132" s="43" t="n"/>
      <c r="AI132" s="43">
        <f>IF(ISNUMBER(AI206),AI206-(N(AI124)+N(AI125)+N(AI126)+N(AI127)+N(AI128)+N(AI129)),"")</f>
        <v/>
      </c>
      <c r="AJ132" s="43">
        <f>IF(ISNUMBER(AJ206),AJ206-(N(AJ124)+N(AJ125)+N(AJ126)+N(AJ127)+N(AJ128)+N(AJ129)),"")</f>
        <v/>
      </c>
      <c r="AK132" s="43">
        <f>IF(ISNUMBER(AK206),AK206-(N(AK124)+N(AK125)+N(AK126)+N(AK127)+N(AK128)+N(AK129)),"")</f>
        <v/>
      </c>
      <c r="AL132" s="43">
        <f>IF(ISNUMBER(AL206),AL206-(N(AL124)+N(AL125)+N(AL126)+N(AL127)+N(AL128)+N(AL129)),"")</f>
        <v/>
      </c>
      <c r="AM132" s="43" t="n"/>
      <c r="AN132" s="43">
        <f>IF(ISNUMBER(AN206),AN206-(N(AN124)+N(AN125)+N(AN126)+N(AN127)+N(AN128)+N(AN129)),"")</f>
        <v/>
      </c>
      <c r="AO132" s="43">
        <f>IF(ISNUMBER(AO206),AO206-(N(AO124)+N(AO125)+N(AO126)+N(AO127)+N(AO128)+N(AO129)),"")</f>
        <v/>
      </c>
      <c r="AP132" s="43">
        <f>IF(ISNUMBER(AP206),AP206-(N(AP124)+N(AP125)+N(AP126)+N(AP127)+N(AP128)+N(AP129)),"")</f>
        <v/>
      </c>
      <c r="AQ132" s="43">
        <f>IF(ISNUMBER(AQ206),AQ206-(N(AQ124)+N(AQ125)+N(AQ126)+N(AQ127)+N(AQ128)+N(AQ129)),"")</f>
        <v/>
      </c>
      <c r="AR132" s="43" t="n"/>
      <c r="AS132" s="43" t="n"/>
      <c r="AT132" s="43" t="n"/>
      <c r="AU132" s="45" t="n"/>
      <c r="AV132" s="45" t="n"/>
      <c r="AW132" s="45" t="n"/>
      <c r="AX132" s="45" t="n"/>
      <c r="AY132" s="45" t="n"/>
      <c r="AZ132" s="45" t="n"/>
      <c r="BA132" s="45" t="n"/>
      <c r="BB132" s="26" t="n"/>
    </row>
    <row r="133" outlineLevel="1">
      <c r="B133" s="54" t="inlineStr">
        <is>
          <t xml:space="preserve">  Check: Σ Segment Adjusted EBITDA vs company Adjusted EBITDA (should be 0)</t>
        </is>
      </c>
      <c r="C133" s="43" t="n"/>
      <c r="D133" s="43" t="n"/>
      <c r="E133" s="43" t="n"/>
      <c r="F133" s="43" t="n"/>
      <c r="G133" s="43">
        <f>ROUND(N(G124)+N(G125)+N(G126)+N(G127)+N(G128)+N(G129)+N(G132)-G206,1)</f>
        <v/>
      </c>
      <c r="H133" s="43">
        <f>ROUND(N(H124)+N(H125)+N(H126)+N(H127)+N(H128)+N(H129)+N(H132)-H206,1)</f>
        <v/>
      </c>
      <c r="I133" s="43">
        <f>ROUND(N(I124)+N(I125)+N(I126)+N(I127)+N(I128)+N(I129)+N(I132)-I206,1)</f>
        <v/>
      </c>
      <c r="J133" s="43">
        <f>ROUND(N(J124)+N(J125)+N(J126)+N(J127)+N(J128)+N(J129)+N(J132)-J206,1)</f>
        <v/>
      </c>
      <c r="K133" s="43">
        <f>ROUND(N(K124)+N(K125)+N(K126)+N(K127)+N(K128)+N(K129)+N(K132)-K206,1)</f>
        <v/>
      </c>
      <c r="L133" s="43">
        <f>ROUND(N(L124)+N(L125)+N(L126)+N(L127)+N(L128)+N(L129)+N(L132)-L206,1)</f>
        <v/>
      </c>
      <c r="M133" s="43">
        <f>ROUND(N(M124)+N(M125)+N(M126)+N(M127)+N(M128)+N(M129)+N(M132)-M206,1)</f>
        <v/>
      </c>
      <c r="N133" s="43">
        <f>ROUND(N(N124)+N(N125)+N(N126)+N(N127)+N(N128)+N(N129)+N(N132)-N206,1)</f>
        <v/>
      </c>
      <c r="O133" s="43">
        <f>ROUND(N(O124)+N(O125)+N(O126)+N(O127)+N(O128)+N(O129)+N(O132)-O206,1)</f>
        <v/>
      </c>
      <c r="P133" s="43">
        <f>ROUND(N(P124)+N(P125)+N(P126)+N(P127)+N(P128)+N(P129)+N(P132)-P206,1)</f>
        <v/>
      </c>
      <c r="Q133" s="43">
        <f>ROUND(N(Q124)+N(Q125)+N(Q126)+N(Q127)+N(Q128)+N(Q129)+N(Q132)-Q206,1)</f>
        <v/>
      </c>
      <c r="R133" s="43">
        <f>ROUND(N(R124)+N(R125)+N(R126)+N(R127)+N(R128)+N(R129)+N(R132)-R206,1)</f>
        <v/>
      </c>
      <c r="S133" s="43">
        <f>ROUND(N(S124)+N(S125)+N(S126)+N(S127)+N(S128)+N(S129)+N(S132)-S206,1)</f>
        <v/>
      </c>
      <c r="T133" s="43">
        <f>ROUND(N(T124)+N(T125)+N(T126)+N(T127)+N(T128)+N(T129)+N(T132)-T206,1)</f>
        <v/>
      </c>
      <c r="U133" s="43">
        <f>ROUND(N(U124)+N(U125)+N(U126)+N(U127)+N(U128)+N(U129)+N(U132)-U206,1)</f>
        <v/>
      </c>
      <c r="V133" s="43">
        <f>ROUND(N(V124)+N(V125)+N(V126)+N(V127)+N(V128)+N(V129)+N(V132)-V206,1)</f>
        <v/>
      </c>
      <c r="W133" s="43">
        <f>ROUND(N(W124)+N(W125)+N(W126)+N(W127)+N(W128)+N(W129)+N(W132)-W206,1)</f>
        <v/>
      </c>
      <c r="X133" s="43">
        <f>ROUND(N(X124)+N(X125)+N(X126)+N(X127)+N(X128)+N(X129)+N(X132)-X206,1)</f>
        <v/>
      </c>
      <c r="Y133" s="43">
        <f>ROUND(N(Y124)+N(Y125)+N(Y126)+N(Y127)+N(Y128)+N(Y129)+N(Y132)-Y206,1)</f>
        <v/>
      </c>
      <c r="Z133" s="43">
        <f>ROUND(N(Z124)+N(Z125)+N(Z126)+N(Z127)+N(Z128)+N(Z129)+N(Z132)-Z206,1)</f>
        <v/>
      </c>
      <c r="AA133" s="43">
        <f>ROUND(N(AA124)+N(AA125)+N(AA126)+N(AA127)+N(AA128)+N(AA129)+N(AA132)-AA206,1)</f>
        <v/>
      </c>
      <c r="AB133" s="43">
        <f>ROUND(N(AB124)+N(AB125)+N(AB126)+N(AB127)+N(AB128)+N(AB129)+N(AB132)-AB206,1)</f>
        <v/>
      </c>
      <c r="AC133" s="43">
        <f>ROUND(N(AC124)+N(AC125)+N(AC126)+N(AC127)+N(AC128)+N(AC129)+N(AC132)-AC206,1)</f>
        <v/>
      </c>
      <c r="AD133" s="43">
        <f>ROUND(N(AD124)+N(AD125)+N(AD126)+N(AD127)+N(AD128)+N(AD129)+N(AD132)-AD206,1)</f>
        <v/>
      </c>
      <c r="AE133" s="43">
        <f>ROUND(N(AE124)+N(AE125)+N(AE126)+N(AE127)+N(AE128)+N(AE129)+N(AE132)-AE206,1)</f>
        <v/>
      </c>
      <c r="AF133" s="43">
        <f>ROUND(N(AF124)+N(AF125)+N(AF126)+N(AF127)+N(AF128)+N(AF129)+N(AF132)-AF206,1)</f>
        <v/>
      </c>
      <c r="AG133" s="43">
        <f>ROUND(N(AG124)+N(AG125)+N(AG126)+N(AG127)+N(AG128)+N(AG129)+N(AG132)-AG206,1)</f>
        <v/>
      </c>
      <c r="AH133" s="43" t="n"/>
      <c r="AI133" s="43">
        <f>ROUND(N(AI124)+N(AI125)+N(AI126)+N(AI127)+N(AI128)+N(AI129)+N(AI132)-AI206,1)</f>
        <v/>
      </c>
      <c r="AJ133" s="43">
        <f>ROUND(N(AJ124)+N(AJ125)+N(AJ126)+N(AJ127)+N(AJ128)+N(AJ129)+N(AJ132)-AJ206,1)</f>
        <v/>
      </c>
      <c r="AK133" s="43">
        <f>ROUND(N(AK124)+N(AK125)+N(AK126)+N(AK127)+N(AK128)+N(AK129)+N(AK132)-AK206,1)</f>
        <v/>
      </c>
      <c r="AL133" s="43">
        <f>ROUND(N(AL124)+N(AL125)+N(AL126)+N(AL127)+N(AL128)+N(AL129)+N(AL132)-AL206,1)</f>
        <v/>
      </c>
      <c r="AM133" s="43" t="n"/>
      <c r="AN133" s="43">
        <f>ROUND(N(AN124)+N(AN125)+N(AN126)+N(AN127)+N(AN128)+N(AN129)+N(AN132)-AN206,1)</f>
        <v/>
      </c>
      <c r="AO133" s="43">
        <f>ROUND(N(AO124)+N(AO125)+N(AO126)+N(AO127)+N(AO128)+N(AO129)+N(AO132)-AO206,1)</f>
        <v/>
      </c>
      <c r="AP133" s="43">
        <f>ROUND(N(AP124)+N(AP125)+N(AP126)+N(AP127)+N(AP128)+N(AP129)+N(AP132)-AP206,1)</f>
        <v/>
      </c>
      <c r="AQ133" s="43">
        <f>ROUND(N(AQ124)+N(AQ125)+N(AQ126)+N(AQ127)+N(AQ128)+N(AQ129)+N(AQ132)-AQ206,1)</f>
        <v/>
      </c>
      <c r="AR133" s="43" t="n"/>
      <c r="AS133" s="43" t="n"/>
      <c r="AT133" s="43" t="n"/>
      <c r="AU133" s="45" t="n"/>
      <c r="AV133" s="45" t="n"/>
      <c r="AW133" s="45" t="n"/>
      <c r="AX133" s="45" t="n"/>
      <c r="AY133" s="45" t="n"/>
      <c r="AZ133" s="45" t="n"/>
      <c r="BA133" s="45" t="n"/>
      <c r="BB133" s="26" t="n"/>
    </row>
    <row r="134" outlineLevel="1">
      <c r="B134" s="27" t="inlineStr">
        <is>
          <t xml:space="preserve">  Adjusted Net Revenue — ANR (company measure 2016–2020)</t>
        </is>
      </c>
      <c r="C134" s="44" t="n">
        <v>3171</v>
      </c>
      <c r="D134" s="44" t="n">
        <v>7203</v>
      </c>
      <c r="E134" s="44" t="n">
        <v>2423</v>
      </c>
      <c r="F134" s="44" t="n">
        <v>2574</v>
      </c>
      <c r="G134" s="44" t="n">
        <v>2656</v>
      </c>
      <c r="H134" s="44" t="n">
        <v>2644</v>
      </c>
      <c r="I134" s="44" t="n">
        <v>10297</v>
      </c>
      <c r="J134" s="44" t="n">
        <v>2761</v>
      </c>
      <c r="K134" s="44" t="n">
        <v>2873</v>
      </c>
      <c r="L134" s="44" t="n">
        <v>3533</v>
      </c>
      <c r="M134" s="44" t="n">
        <v>3730</v>
      </c>
      <c r="N134" s="44" t="n">
        <v>12897</v>
      </c>
      <c r="O134" s="44" t="n">
        <v>3256</v>
      </c>
      <c r="P134" s="44" t="n">
        <v>1918</v>
      </c>
      <c r="Q134" s="44" t="n">
        <v>2813</v>
      </c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  <c r="AB134" s="43" t="n"/>
      <c r="AC134" s="43" t="n"/>
      <c r="AD134" s="43" t="n"/>
      <c r="AE134" s="43" t="n"/>
      <c r="AF134" s="43" t="n"/>
      <c r="AG134" s="43" t="n"/>
      <c r="AH134" s="43" t="n"/>
      <c r="AI134" s="43" t="n"/>
      <c r="AJ134" s="43" t="n"/>
      <c r="AK134" s="43" t="n"/>
      <c r="AL134" s="43" t="n"/>
      <c r="AM134" s="43" t="n"/>
      <c r="AN134" s="43" t="n"/>
      <c r="AO134" s="43" t="n"/>
      <c r="AP134" s="43" t="n"/>
      <c r="AQ134" s="43" t="n"/>
      <c r="AR134" s="43" t="n"/>
      <c r="AS134" s="43" t="n"/>
      <c r="AT134" s="43" t="n"/>
      <c r="AU134" s="45" t="n"/>
      <c r="AV134" s="45" t="n"/>
      <c r="AW134" s="45" t="n"/>
      <c r="AX134" s="45" t="n"/>
      <c r="AY134" s="45" t="n"/>
      <c r="AZ134" s="45" t="n"/>
      <c r="BA134" s="45" t="n"/>
      <c r="BB134" s="26" t="n"/>
    </row>
    <row r="136">
      <c r="B136" s="10" t="inlineStr">
        <is>
          <t>COST DRIVERS &amp; D&amp;A</t>
        </is>
      </c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n"/>
      <c r="AN136" s="10" t="n"/>
      <c r="AO136" s="10" t="n"/>
      <c r="AP136" s="10" t="n"/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0" t="inlineStr">
        <is>
          <t>COST DRIVERS — inputs that drive forecast cost lines (blue = input)</t>
        </is>
      </c>
    </row>
    <row r="137">
      <c r="B137" s="27" t="inlineStr">
        <is>
          <t xml:space="preserve">  Cost of revenue (excl. D&amp;A) % of revenue</t>
        </is>
      </c>
      <c r="C137" s="39">
        <f>IF(AND(ISNUMBER(C150),ISNUMBER(C148)),IFERROR(C150/C148,""),"")</f>
        <v/>
      </c>
      <c r="D137" s="39">
        <f>IF(AND(ISNUMBER(D150),ISNUMBER(D148)),IFERROR(D150/D148,""),"")</f>
        <v/>
      </c>
      <c r="E137" s="39">
        <f>IF(AND(ISNUMBER(E150),ISNUMBER(E148)),IFERROR(E150/E148,""),"")</f>
        <v/>
      </c>
      <c r="F137" s="39">
        <f>IF(AND(ISNUMBER(F150),ISNUMBER(F148)),IFERROR(F150/F148,""),"")</f>
        <v/>
      </c>
      <c r="G137" s="39">
        <f>IF(AND(ISNUMBER(G150),ISNUMBER(G148)),IFERROR(G150/G148,""),"")</f>
        <v/>
      </c>
      <c r="H137" s="39">
        <f>IF(AND(ISNUMBER(H150),ISNUMBER(H148)),IFERROR(H150/H148,""),"")</f>
        <v/>
      </c>
      <c r="I137" s="39">
        <f>IF(AND(ISNUMBER(I150),ISNUMBER(I148)),IFERROR(I150/I148,""),"")</f>
        <v/>
      </c>
      <c r="J137" s="39">
        <f>IF(AND(ISNUMBER(J150),ISNUMBER(J148)),IFERROR(J150/J148,""),"")</f>
        <v/>
      </c>
      <c r="K137" s="39">
        <f>IF(AND(ISNUMBER(K150),ISNUMBER(K148)),IFERROR(K150/K148,""),"")</f>
        <v/>
      </c>
      <c r="L137" s="39">
        <f>IF(AND(ISNUMBER(L150),ISNUMBER(L148)),IFERROR(L150/L148,""),"")</f>
        <v/>
      </c>
      <c r="M137" s="39">
        <f>IF(AND(ISNUMBER(M150),ISNUMBER(M148)),IFERROR(M150/M148,""),"")</f>
        <v/>
      </c>
      <c r="N137" s="39">
        <f>IF(AND(ISNUMBER(N150),ISNUMBER(N148)),IFERROR(N150/N148,""),"")</f>
        <v/>
      </c>
      <c r="O137" s="39">
        <f>IF(AND(ISNUMBER(O150),ISNUMBER(O148)),IFERROR(O150/O148,""),"")</f>
        <v/>
      </c>
      <c r="P137" s="39">
        <f>IF(AND(ISNUMBER(P150),ISNUMBER(P148)),IFERROR(P150/P148,""),"")</f>
        <v/>
      </c>
      <c r="Q137" s="39">
        <f>IF(AND(ISNUMBER(Q150),ISNUMBER(Q148)),IFERROR(Q150/Q148,""),"")</f>
        <v/>
      </c>
      <c r="R137" s="39">
        <f>IF(AND(ISNUMBER(R150),ISNUMBER(R148)),IFERROR(R150/R148,""),"")</f>
        <v/>
      </c>
      <c r="S137" s="39">
        <f>IF(AND(ISNUMBER(S150),ISNUMBER(S148)),IFERROR(S150/S148,""),"")</f>
        <v/>
      </c>
      <c r="T137" s="39">
        <f>IF(AND(ISNUMBER(T150),ISNUMBER(T148)),IFERROR(T150/T148,""),"")</f>
        <v/>
      </c>
      <c r="U137" s="39">
        <f>IF(AND(ISNUMBER(U150),ISNUMBER(U148)),IFERROR(U150/U148,""),"")</f>
        <v/>
      </c>
      <c r="V137" s="39">
        <f>IF(AND(ISNUMBER(V150),ISNUMBER(V148)),IFERROR(V150/V148,""),"")</f>
        <v/>
      </c>
      <c r="W137" s="39">
        <f>IF(AND(ISNUMBER(W150),ISNUMBER(W148)),IFERROR(W150/W148,""),"")</f>
        <v/>
      </c>
      <c r="X137" s="39">
        <f>IF(AND(ISNUMBER(X150),ISNUMBER(X148)),IFERROR(X150/X148,""),"")</f>
        <v/>
      </c>
      <c r="Y137" s="39">
        <f>IF(AND(ISNUMBER(Y150),ISNUMBER(Y148)),IFERROR(Y150/Y148,""),"")</f>
        <v/>
      </c>
      <c r="Z137" s="39">
        <f>IF(AND(ISNUMBER(Z150),ISNUMBER(Z148)),IFERROR(Z150/Z148,""),"")</f>
        <v/>
      </c>
      <c r="AA137" s="39">
        <f>IF(AND(ISNUMBER(AA150),ISNUMBER(AA148)),IFERROR(AA150/AA148,""),"")</f>
        <v/>
      </c>
      <c r="AB137" s="39">
        <f>IF(AND(ISNUMBER(AB150),ISNUMBER(AB148)),IFERROR(AB150/AB148,""),"")</f>
        <v/>
      </c>
      <c r="AC137" s="39">
        <f>IF(AND(ISNUMBER(AC150),ISNUMBER(AC148)),IFERROR(AC150/AC148,""),"")</f>
        <v/>
      </c>
      <c r="AD137" s="39">
        <f>IF(AND(ISNUMBER(AD150),ISNUMBER(AD148)),IFERROR(AD150/AD148,""),"")</f>
        <v/>
      </c>
      <c r="AE137" s="39">
        <f>IF(AND(ISNUMBER(AE150),ISNUMBER(AE148)),IFERROR(AE150/AE148,""),"")</f>
        <v/>
      </c>
      <c r="AF137" s="39">
        <f>IF(AND(ISNUMBER(AF150),ISNUMBER(AF148)),IFERROR(AF150/AF148,""),"")</f>
        <v/>
      </c>
      <c r="AG137" s="39">
        <f>IF(AND(ISNUMBER(AG150),ISNUMBER(AG148)),IFERROR(AG150/AG148,""),"")</f>
        <v/>
      </c>
      <c r="AH137" s="39">
        <f>IF(AND(ISNUMBER(AH150),ISNUMBER(AH148)),IFERROR(AH150/AH148,""),"")</f>
        <v/>
      </c>
      <c r="AI137" s="39">
        <f>IF(AND(ISNUMBER(AI150),ISNUMBER(AI148)),IFERROR(AI150/AI148,""),"")</f>
        <v/>
      </c>
      <c r="AJ137" s="39">
        <f>IF(AND(ISNUMBER(AJ150),ISNUMBER(AJ148)),IFERROR(AJ150/AJ148,""),"")</f>
        <v/>
      </c>
      <c r="AK137" s="39">
        <f>IF(AND(ISNUMBER(AK150),ISNUMBER(AK148)),IFERROR(AK150/AK148,""),"")</f>
        <v/>
      </c>
      <c r="AL137" s="39">
        <f>IF(AND(ISNUMBER(AL150),ISNUMBER(AL148)),IFERROR(AL150/AL148,""),"")</f>
        <v/>
      </c>
      <c r="AM137" s="39">
        <f>IF(AND(ISNUMBER(AM150),ISNUMBER(AM148)),IFERROR(AM150/AM148,""),"")</f>
        <v/>
      </c>
      <c r="AN137" s="39">
        <f>IF(AND(ISNUMBER(AN150),ISNUMBER(AN148)),IFERROR(AN150/AN148,""),"")</f>
        <v/>
      </c>
      <c r="AO137" s="39">
        <f>IF(AND(ISNUMBER(AO150),ISNUMBER(AO148)),IFERROR(AO150/AO148,""),"")</f>
        <v/>
      </c>
      <c r="AP137" s="39">
        <f>IF(AND(ISNUMBER(AP150),ISNUMBER(AP148)),IFERROR(AP150/AP148,""),"")</f>
        <v/>
      </c>
      <c r="AQ137" s="39">
        <f>IF(AND(ISNUMBER(AQ150),ISNUMBER(AQ148)),IFERROR(AQ150/AQ148,""),"")</f>
        <v/>
      </c>
      <c r="AR137" s="39">
        <f>IF(AND(ISNUMBER(AR150),ISNUMBER(AR148)),IFERROR(AR150/AR148,""),"")</f>
        <v/>
      </c>
      <c r="AS137" s="39">
        <f>IF(AND(ISNUMBER(AS150),ISNUMBER(AS148)),IFERROR(AS150/AS148,""),"")</f>
        <v/>
      </c>
      <c r="AT137" s="39">
        <f>IF(AND(ISNUMBER(AT150),ISNUMBER(AT148)),IFERROR(AT150/AT148,""),"")</f>
        <v/>
      </c>
      <c r="AU137" s="25">
        <f>($AS$150+$AT$150)/($AS$148+$AT$148)</f>
        <v/>
      </c>
      <c r="AV137" s="25">
        <f>($AS$150+$AT$150)/($AS$148+$AT$148)</f>
        <v/>
      </c>
      <c r="AW137" s="25">
        <f>IF(AND(ISNUMBER(AW150),ISNUMBER(AW148)),IFERROR(AW150/AW148,""),"")</f>
        <v/>
      </c>
      <c r="AX137" s="25">
        <f>AW137</f>
        <v/>
      </c>
      <c r="AY137" s="25">
        <f>AX137</f>
        <v/>
      </c>
      <c r="AZ137" s="25">
        <f>AY137</f>
        <v/>
      </c>
      <c r="BA137" s="25">
        <f>AZ137</f>
        <v/>
      </c>
      <c r="BB137" s="19" t="inlineStr">
        <is>
          <t>Q3/Q4-26E: 1H/26 ratio (reflects 2026 business-model changes). 2027E+: held at 2026E.</t>
        </is>
      </c>
    </row>
    <row r="138">
      <c r="B138" s="27" t="inlineStr">
        <is>
          <t xml:space="preserve">  Operations and support % of revenue</t>
        </is>
      </c>
      <c r="C138" s="39">
        <f>IF(AND(ISNUMBER(C151),ISNUMBER(C148)),IFERROR(C151/C148,""),"")</f>
        <v/>
      </c>
      <c r="D138" s="39">
        <f>IF(AND(ISNUMBER(D151),ISNUMBER(D148)),IFERROR(D151/D148,""),"")</f>
        <v/>
      </c>
      <c r="E138" s="39">
        <f>IF(AND(ISNUMBER(E151),ISNUMBER(E148)),IFERROR(E151/E148,""),"")</f>
        <v/>
      </c>
      <c r="F138" s="39">
        <f>IF(AND(ISNUMBER(F151),ISNUMBER(F148)),IFERROR(F151/F148,""),"")</f>
        <v/>
      </c>
      <c r="G138" s="39">
        <f>IF(AND(ISNUMBER(G151),ISNUMBER(G148)),IFERROR(G151/G148,""),"")</f>
        <v/>
      </c>
      <c r="H138" s="39">
        <f>IF(AND(ISNUMBER(H151),ISNUMBER(H148)),IFERROR(H151/H148,""),"")</f>
        <v/>
      </c>
      <c r="I138" s="39">
        <f>IF(AND(ISNUMBER(I151),ISNUMBER(I148)),IFERROR(I151/I148,""),"")</f>
        <v/>
      </c>
      <c r="J138" s="39">
        <f>IF(AND(ISNUMBER(J151),ISNUMBER(J148)),IFERROR(J151/J148,""),"")</f>
        <v/>
      </c>
      <c r="K138" s="39">
        <f>IF(AND(ISNUMBER(K151),ISNUMBER(K148)),IFERROR(K151/K148,""),"")</f>
        <v/>
      </c>
      <c r="L138" s="39">
        <f>IF(AND(ISNUMBER(L151),ISNUMBER(L148)),IFERROR(L151/L148,""),"")</f>
        <v/>
      </c>
      <c r="M138" s="39">
        <f>IF(AND(ISNUMBER(M151),ISNUMBER(M148)),IFERROR(M151/M148,""),"")</f>
        <v/>
      </c>
      <c r="N138" s="39">
        <f>IF(AND(ISNUMBER(N151),ISNUMBER(N148)),IFERROR(N151/N148,""),"")</f>
        <v/>
      </c>
      <c r="O138" s="39">
        <f>IF(AND(ISNUMBER(O151),ISNUMBER(O148)),IFERROR(O151/O148,""),"")</f>
        <v/>
      </c>
      <c r="P138" s="39">
        <f>IF(AND(ISNUMBER(P151),ISNUMBER(P148)),IFERROR(P151/P148,""),"")</f>
        <v/>
      </c>
      <c r="Q138" s="39">
        <f>IF(AND(ISNUMBER(Q151),ISNUMBER(Q148)),IFERROR(Q151/Q148,""),"")</f>
        <v/>
      </c>
      <c r="R138" s="39">
        <f>IF(AND(ISNUMBER(R151),ISNUMBER(R148)),IFERROR(R151/R148,""),"")</f>
        <v/>
      </c>
      <c r="S138" s="39">
        <f>IF(AND(ISNUMBER(S151),ISNUMBER(S148)),IFERROR(S151/S148,""),"")</f>
        <v/>
      </c>
      <c r="T138" s="39">
        <f>IF(AND(ISNUMBER(T151),ISNUMBER(T148)),IFERROR(T151/T148,""),"")</f>
        <v/>
      </c>
      <c r="U138" s="39">
        <f>IF(AND(ISNUMBER(U151),ISNUMBER(U148)),IFERROR(U151/U148,""),"")</f>
        <v/>
      </c>
      <c r="V138" s="39">
        <f>IF(AND(ISNUMBER(V151),ISNUMBER(V148)),IFERROR(V151/V148,""),"")</f>
        <v/>
      </c>
      <c r="W138" s="39">
        <f>IF(AND(ISNUMBER(W151),ISNUMBER(W148)),IFERROR(W151/W148,""),"")</f>
        <v/>
      </c>
      <c r="X138" s="39">
        <f>IF(AND(ISNUMBER(X151),ISNUMBER(X148)),IFERROR(X151/X148,""),"")</f>
        <v/>
      </c>
      <c r="Y138" s="39">
        <f>IF(AND(ISNUMBER(Y151),ISNUMBER(Y148)),IFERROR(Y151/Y148,""),"")</f>
        <v/>
      </c>
      <c r="Z138" s="39">
        <f>IF(AND(ISNUMBER(Z151),ISNUMBER(Z148)),IFERROR(Z151/Z148,""),"")</f>
        <v/>
      </c>
      <c r="AA138" s="39">
        <f>IF(AND(ISNUMBER(AA151),ISNUMBER(AA148)),IFERROR(AA151/AA148,""),"")</f>
        <v/>
      </c>
      <c r="AB138" s="39">
        <f>IF(AND(ISNUMBER(AB151),ISNUMBER(AB148)),IFERROR(AB151/AB148,""),"")</f>
        <v/>
      </c>
      <c r="AC138" s="39">
        <f>IF(AND(ISNUMBER(AC151),ISNUMBER(AC148)),IFERROR(AC151/AC148,""),"")</f>
        <v/>
      </c>
      <c r="AD138" s="39">
        <f>IF(AND(ISNUMBER(AD151),ISNUMBER(AD148)),IFERROR(AD151/AD148,""),"")</f>
        <v/>
      </c>
      <c r="AE138" s="39">
        <f>IF(AND(ISNUMBER(AE151),ISNUMBER(AE148)),IFERROR(AE151/AE148,""),"")</f>
        <v/>
      </c>
      <c r="AF138" s="39">
        <f>IF(AND(ISNUMBER(AF151),ISNUMBER(AF148)),IFERROR(AF151/AF148,""),"")</f>
        <v/>
      </c>
      <c r="AG138" s="39">
        <f>IF(AND(ISNUMBER(AG151),ISNUMBER(AG148)),IFERROR(AG151/AG148,""),"")</f>
        <v/>
      </c>
      <c r="AH138" s="39">
        <f>IF(AND(ISNUMBER(AH151),ISNUMBER(AH148)),IFERROR(AH151/AH148,""),"")</f>
        <v/>
      </c>
      <c r="AI138" s="39">
        <f>IF(AND(ISNUMBER(AI151),ISNUMBER(AI148)),IFERROR(AI151/AI148,""),"")</f>
        <v/>
      </c>
      <c r="AJ138" s="39">
        <f>IF(AND(ISNUMBER(AJ151),ISNUMBER(AJ148)),IFERROR(AJ151/AJ148,""),"")</f>
        <v/>
      </c>
      <c r="AK138" s="39">
        <f>IF(AND(ISNUMBER(AK151),ISNUMBER(AK148)),IFERROR(AK151/AK148,""),"")</f>
        <v/>
      </c>
      <c r="AL138" s="39">
        <f>IF(AND(ISNUMBER(AL151),ISNUMBER(AL148)),IFERROR(AL151/AL148,""),"")</f>
        <v/>
      </c>
      <c r="AM138" s="39">
        <f>IF(AND(ISNUMBER(AM151),ISNUMBER(AM148)),IFERROR(AM151/AM148,""),"")</f>
        <v/>
      </c>
      <c r="AN138" s="39">
        <f>IF(AND(ISNUMBER(AN151),ISNUMBER(AN148)),IFERROR(AN151/AN148,""),"")</f>
        <v/>
      </c>
      <c r="AO138" s="39">
        <f>IF(AND(ISNUMBER(AO151),ISNUMBER(AO148)),IFERROR(AO151/AO148,""),"")</f>
        <v/>
      </c>
      <c r="AP138" s="39">
        <f>IF(AND(ISNUMBER(AP151),ISNUMBER(AP148)),IFERROR(AP151/AP148,""),"")</f>
        <v/>
      </c>
      <c r="AQ138" s="39">
        <f>IF(AND(ISNUMBER(AQ151),ISNUMBER(AQ148)),IFERROR(AQ151/AQ148,""),"")</f>
        <v/>
      </c>
      <c r="AR138" s="39">
        <f>IF(AND(ISNUMBER(AR151),ISNUMBER(AR148)),IFERROR(AR151/AR148,""),"")</f>
        <v/>
      </c>
      <c r="AS138" s="39">
        <f>IF(AND(ISNUMBER(AS151),ISNUMBER(AS148)),IFERROR(AS151/AS148,""),"")</f>
        <v/>
      </c>
      <c r="AT138" s="39">
        <f>IF(AND(ISNUMBER(AT151),ISNUMBER(AT148)),IFERROR(AT151/AT148,""),"")</f>
        <v/>
      </c>
      <c r="AU138" s="25">
        <f>($AS$151+$AT$151)/($AS$148+$AT$148)</f>
        <v/>
      </c>
      <c r="AV138" s="25">
        <f>($AS$151+$AT$151)/($AS$148+$AT$148)</f>
        <v/>
      </c>
      <c r="AW138" s="25">
        <f>IF(AND(ISNUMBER(AW151),ISNUMBER(AW148)),IFERROR(AW151/AW148,""),"")</f>
        <v/>
      </c>
      <c r="AX138" s="25">
        <f>AW138-0.001</f>
        <v/>
      </c>
      <c r="AY138" s="25">
        <f>AX138-0.001</f>
        <v/>
      </c>
      <c r="AZ138" s="25">
        <f>AY138-0.001</f>
        <v/>
      </c>
      <c r="BA138" s="25">
        <f>AZ138-0.001</f>
        <v/>
      </c>
      <c r="BB138" s="19" t="inlineStr">
        <is>
          <t>2027E+: −10bp p.a. (support automation).</t>
        </is>
      </c>
    </row>
    <row r="139">
      <c r="B139" s="27" t="inlineStr">
        <is>
          <t xml:space="preserve">  Sales and marketing % of revenue</t>
        </is>
      </c>
      <c r="C139" s="39">
        <f>IF(AND(ISNUMBER(C152),ISNUMBER(C148)),IFERROR(C152/C148,""),"")</f>
        <v/>
      </c>
      <c r="D139" s="39">
        <f>IF(AND(ISNUMBER(D152),ISNUMBER(D148)),IFERROR(D152/D148,""),"")</f>
        <v/>
      </c>
      <c r="E139" s="39">
        <f>IF(AND(ISNUMBER(E152),ISNUMBER(E148)),IFERROR(E152/E148,""),"")</f>
        <v/>
      </c>
      <c r="F139" s="39">
        <f>IF(AND(ISNUMBER(F152),ISNUMBER(F148)),IFERROR(F152/F148,""),"")</f>
        <v/>
      </c>
      <c r="G139" s="39">
        <f>IF(AND(ISNUMBER(G152),ISNUMBER(G148)),IFERROR(G152/G148,""),"")</f>
        <v/>
      </c>
      <c r="H139" s="39">
        <f>IF(AND(ISNUMBER(H152),ISNUMBER(H148)),IFERROR(H152/H148,""),"")</f>
        <v/>
      </c>
      <c r="I139" s="39">
        <f>IF(AND(ISNUMBER(I152),ISNUMBER(I148)),IFERROR(I152/I148,""),"")</f>
        <v/>
      </c>
      <c r="J139" s="39">
        <f>IF(AND(ISNUMBER(J152),ISNUMBER(J148)),IFERROR(J152/J148,""),"")</f>
        <v/>
      </c>
      <c r="K139" s="39">
        <f>IF(AND(ISNUMBER(K152),ISNUMBER(K148)),IFERROR(K152/K148,""),"")</f>
        <v/>
      </c>
      <c r="L139" s="39">
        <f>IF(AND(ISNUMBER(L152),ISNUMBER(L148)),IFERROR(L152/L148,""),"")</f>
        <v/>
      </c>
      <c r="M139" s="39">
        <f>IF(AND(ISNUMBER(M152),ISNUMBER(M148)),IFERROR(M152/M148,""),"")</f>
        <v/>
      </c>
      <c r="N139" s="39">
        <f>IF(AND(ISNUMBER(N152),ISNUMBER(N148)),IFERROR(N152/N148,""),"")</f>
        <v/>
      </c>
      <c r="O139" s="39">
        <f>IF(AND(ISNUMBER(O152),ISNUMBER(O148)),IFERROR(O152/O148,""),"")</f>
        <v/>
      </c>
      <c r="P139" s="39">
        <f>IF(AND(ISNUMBER(P152),ISNUMBER(P148)),IFERROR(P152/P148,""),"")</f>
        <v/>
      </c>
      <c r="Q139" s="39">
        <f>IF(AND(ISNUMBER(Q152),ISNUMBER(Q148)),IFERROR(Q152/Q148,""),"")</f>
        <v/>
      </c>
      <c r="R139" s="39">
        <f>IF(AND(ISNUMBER(R152),ISNUMBER(R148)),IFERROR(R152/R148,""),"")</f>
        <v/>
      </c>
      <c r="S139" s="39">
        <f>IF(AND(ISNUMBER(S152),ISNUMBER(S148)),IFERROR(S152/S148,""),"")</f>
        <v/>
      </c>
      <c r="T139" s="39">
        <f>IF(AND(ISNUMBER(T152),ISNUMBER(T148)),IFERROR(T152/T148,""),"")</f>
        <v/>
      </c>
      <c r="U139" s="39">
        <f>IF(AND(ISNUMBER(U152),ISNUMBER(U148)),IFERROR(U152/U148,""),"")</f>
        <v/>
      </c>
      <c r="V139" s="39">
        <f>IF(AND(ISNUMBER(V152),ISNUMBER(V148)),IFERROR(V152/V148,""),"")</f>
        <v/>
      </c>
      <c r="W139" s="39">
        <f>IF(AND(ISNUMBER(W152),ISNUMBER(W148)),IFERROR(W152/W148,""),"")</f>
        <v/>
      </c>
      <c r="X139" s="39">
        <f>IF(AND(ISNUMBER(X152),ISNUMBER(X148)),IFERROR(X152/X148,""),"")</f>
        <v/>
      </c>
      <c r="Y139" s="39">
        <f>IF(AND(ISNUMBER(Y152),ISNUMBER(Y148)),IFERROR(Y152/Y148,""),"")</f>
        <v/>
      </c>
      <c r="Z139" s="39">
        <f>IF(AND(ISNUMBER(Z152),ISNUMBER(Z148)),IFERROR(Z152/Z148,""),"")</f>
        <v/>
      </c>
      <c r="AA139" s="39">
        <f>IF(AND(ISNUMBER(AA152),ISNUMBER(AA148)),IFERROR(AA152/AA148,""),"")</f>
        <v/>
      </c>
      <c r="AB139" s="39">
        <f>IF(AND(ISNUMBER(AB152),ISNUMBER(AB148)),IFERROR(AB152/AB148,""),"")</f>
        <v/>
      </c>
      <c r="AC139" s="39">
        <f>IF(AND(ISNUMBER(AC152),ISNUMBER(AC148)),IFERROR(AC152/AC148,""),"")</f>
        <v/>
      </c>
      <c r="AD139" s="39">
        <f>IF(AND(ISNUMBER(AD152),ISNUMBER(AD148)),IFERROR(AD152/AD148,""),"")</f>
        <v/>
      </c>
      <c r="AE139" s="39">
        <f>IF(AND(ISNUMBER(AE152),ISNUMBER(AE148)),IFERROR(AE152/AE148,""),"")</f>
        <v/>
      </c>
      <c r="AF139" s="39">
        <f>IF(AND(ISNUMBER(AF152),ISNUMBER(AF148)),IFERROR(AF152/AF148,""),"")</f>
        <v/>
      </c>
      <c r="AG139" s="39">
        <f>IF(AND(ISNUMBER(AG152),ISNUMBER(AG148)),IFERROR(AG152/AG148,""),"")</f>
        <v/>
      </c>
      <c r="AH139" s="39">
        <f>IF(AND(ISNUMBER(AH152),ISNUMBER(AH148)),IFERROR(AH152/AH148,""),"")</f>
        <v/>
      </c>
      <c r="AI139" s="39">
        <f>IF(AND(ISNUMBER(AI152),ISNUMBER(AI148)),IFERROR(AI152/AI148,""),"")</f>
        <v/>
      </c>
      <c r="AJ139" s="39">
        <f>IF(AND(ISNUMBER(AJ152),ISNUMBER(AJ148)),IFERROR(AJ152/AJ148,""),"")</f>
        <v/>
      </c>
      <c r="AK139" s="39">
        <f>IF(AND(ISNUMBER(AK152),ISNUMBER(AK148)),IFERROR(AK152/AK148,""),"")</f>
        <v/>
      </c>
      <c r="AL139" s="39">
        <f>IF(AND(ISNUMBER(AL152),ISNUMBER(AL148)),IFERROR(AL152/AL148,""),"")</f>
        <v/>
      </c>
      <c r="AM139" s="39">
        <f>IF(AND(ISNUMBER(AM152),ISNUMBER(AM148)),IFERROR(AM152/AM148,""),"")</f>
        <v/>
      </c>
      <c r="AN139" s="39">
        <f>IF(AND(ISNUMBER(AN152),ISNUMBER(AN148)),IFERROR(AN152/AN148,""),"")</f>
        <v/>
      </c>
      <c r="AO139" s="39">
        <f>IF(AND(ISNUMBER(AO152),ISNUMBER(AO148)),IFERROR(AO152/AO148,""),"")</f>
        <v/>
      </c>
      <c r="AP139" s="39">
        <f>IF(AND(ISNUMBER(AP152),ISNUMBER(AP148)),IFERROR(AP152/AP148,""),"")</f>
        <v/>
      </c>
      <c r="AQ139" s="39">
        <f>IF(AND(ISNUMBER(AQ152),ISNUMBER(AQ148)),IFERROR(AQ152/AQ148,""),"")</f>
        <v/>
      </c>
      <c r="AR139" s="39">
        <f>IF(AND(ISNUMBER(AR152),ISNUMBER(AR148)),IFERROR(AR152/AR148,""),"")</f>
        <v/>
      </c>
      <c r="AS139" s="39">
        <f>IF(AND(ISNUMBER(AS152),ISNUMBER(AS148)),IFERROR(AS152/AS148,""),"")</f>
        <v/>
      </c>
      <c r="AT139" s="39">
        <f>IF(AND(ISNUMBER(AT152),ISNUMBER(AT148)),IFERROR(AT152/AT148,""),"")</f>
        <v/>
      </c>
      <c r="AU139" s="25">
        <f>($AS$152+$AT$152)/($AS$148+$AT$148)</f>
        <v/>
      </c>
      <c r="AV139" s="25">
        <f>($AS$152+$AT$152)/($AS$148+$AT$148)</f>
        <v/>
      </c>
      <c r="AW139" s="25">
        <f>IF(AND(ISNUMBER(AW152),ISNUMBER(AW148)),IFERROR(AW152/AW148,""),"")</f>
        <v/>
      </c>
      <c r="AX139" s="25">
        <f>AW139</f>
        <v/>
      </c>
      <c r="AY139" s="25">
        <f>AX139</f>
        <v/>
      </c>
      <c r="AZ139" s="25">
        <f>AY139</f>
        <v/>
      </c>
      <c r="BA139" s="25">
        <f>AZ139</f>
        <v/>
      </c>
      <c r="BB139" s="26" t="n"/>
    </row>
    <row r="140">
      <c r="B140" s="27" t="inlineStr">
        <is>
          <t xml:space="preserve">  Research and development % of revenue</t>
        </is>
      </c>
      <c r="C140" s="39">
        <f>IF(AND(ISNUMBER(C153),ISNUMBER(C148)),IFERROR(C153/C148,""),"")</f>
        <v/>
      </c>
      <c r="D140" s="39">
        <f>IF(AND(ISNUMBER(D153),ISNUMBER(D148)),IFERROR(D153/D148,""),"")</f>
        <v/>
      </c>
      <c r="E140" s="39">
        <f>IF(AND(ISNUMBER(E153),ISNUMBER(E148)),IFERROR(E153/E148,""),"")</f>
        <v/>
      </c>
      <c r="F140" s="39">
        <f>IF(AND(ISNUMBER(F153),ISNUMBER(F148)),IFERROR(F153/F148,""),"")</f>
        <v/>
      </c>
      <c r="G140" s="39">
        <f>IF(AND(ISNUMBER(G153),ISNUMBER(G148)),IFERROR(G153/G148,""),"")</f>
        <v/>
      </c>
      <c r="H140" s="39">
        <f>IF(AND(ISNUMBER(H153),ISNUMBER(H148)),IFERROR(H153/H148,""),"")</f>
        <v/>
      </c>
      <c r="I140" s="39">
        <f>IF(AND(ISNUMBER(I153),ISNUMBER(I148)),IFERROR(I153/I148,""),"")</f>
        <v/>
      </c>
      <c r="J140" s="39">
        <f>IF(AND(ISNUMBER(J153),ISNUMBER(J148)),IFERROR(J153/J148,""),"")</f>
        <v/>
      </c>
      <c r="K140" s="39">
        <f>IF(AND(ISNUMBER(K153),ISNUMBER(K148)),IFERROR(K153/K148,""),"")</f>
        <v/>
      </c>
      <c r="L140" s="39">
        <f>IF(AND(ISNUMBER(L153),ISNUMBER(L148)),IFERROR(L153/L148,""),"")</f>
        <v/>
      </c>
      <c r="M140" s="39">
        <f>IF(AND(ISNUMBER(M153),ISNUMBER(M148)),IFERROR(M153/M148,""),"")</f>
        <v/>
      </c>
      <c r="N140" s="39">
        <f>IF(AND(ISNUMBER(N153),ISNUMBER(N148)),IFERROR(N153/N148,""),"")</f>
        <v/>
      </c>
      <c r="O140" s="39">
        <f>IF(AND(ISNUMBER(O153),ISNUMBER(O148)),IFERROR(O153/O148,""),"")</f>
        <v/>
      </c>
      <c r="P140" s="39">
        <f>IF(AND(ISNUMBER(P153),ISNUMBER(P148)),IFERROR(P153/P148,""),"")</f>
        <v/>
      </c>
      <c r="Q140" s="39">
        <f>IF(AND(ISNUMBER(Q153),ISNUMBER(Q148)),IFERROR(Q153/Q148,""),"")</f>
        <v/>
      </c>
      <c r="R140" s="39">
        <f>IF(AND(ISNUMBER(R153),ISNUMBER(R148)),IFERROR(R153/R148,""),"")</f>
        <v/>
      </c>
      <c r="S140" s="39">
        <f>IF(AND(ISNUMBER(S153),ISNUMBER(S148)),IFERROR(S153/S148,""),"")</f>
        <v/>
      </c>
      <c r="T140" s="39">
        <f>IF(AND(ISNUMBER(T153),ISNUMBER(T148)),IFERROR(T153/T148,""),"")</f>
        <v/>
      </c>
      <c r="U140" s="39">
        <f>IF(AND(ISNUMBER(U153),ISNUMBER(U148)),IFERROR(U153/U148,""),"")</f>
        <v/>
      </c>
      <c r="V140" s="39">
        <f>IF(AND(ISNUMBER(V153),ISNUMBER(V148)),IFERROR(V153/V148,""),"")</f>
        <v/>
      </c>
      <c r="W140" s="39">
        <f>IF(AND(ISNUMBER(W153),ISNUMBER(W148)),IFERROR(W153/W148,""),"")</f>
        <v/>
      </c>
      <c r="X140" s="39">
        <f>IF(AND(ISNUMBER(X153),ISNUMBER(X148)),IFERROR(X153/X148,""),"")</f>
        <v/>
      </c>
      <c r="Y140" s="39">
        <f>IF(AND(ISNUMBER(Y153),ISNUMBER(Y148)),IFERROR(Y153/Y148,""),"")</f>
        <v/>
      </c>
      <c r="Z140" s="39">
        <f>IF(AND(ISNUMBER(Z153),ISNUMBER(Z148)),IFERROR(Z153/Z148,""),"")</f>
        <v/>
      </c>
      <c r="AA140" s="39">
        <f>IF(AND(ISNUMBER(AA153),ISNUMBER(AA148)),IFERROR(AA153/AA148,""),"")</f>
        <v/>
      </c>
      <c r="AB140" s="39">
        <f>IF(AND(ISNUMBER(AB153),ISNUMBER(AB148)),IFERROR(AB153/AB148,""),"")</f>
        <v/>
      </c>
      <c r="AC140" s="39">
        <f>IF(AND(ISNUMBER(AC153),ISNUMBER(AC148)),IFERROR(AC153/AC148,""),"")</f>
        <v/>
      </c>
      <c r="AD140" s="39">
        <f>IF(AND(ISNUMBER(AD153),ISNUMBER(AD148)),IFERROR(AD153/AD148,""),"")</f>
        <v/>
      </c>
      <c r="AE140" s="39">
        <f>IF(AND(ISNUMBER(AE153),ISNUMBER(AE148)),IFERROR(AE153/AE148,""),"")</f>
        <v/>
      </c>
      <c r="AF140" s="39">
        <f>IF(AND(ISNUMBER(AF153),ISNUMBER(AF148)),IFERROR(AF153/AF148,""),"")</f>
        <v/>
      </c>
      <c r="AG140" s="39">
        <f>IF(AND(ISNUMBER(AG153),ISNUMBER(AG148)),IFERROR(AG153/AG148,""),"")</f>
        <v/>
      </c>
      <c r="AH140" s="39">
        <f>IF(AND(ISNUMBER(AH153),ISNUMBER(AH148)),IFERROR(AH153/AH148,""),"")</f>
        <v/>
      </c>
      <c r="AI140" s="39">
        <f>IF(AND(ISNUMBER(AI153),ISNUMBER(AI148)),IFERROR(AI153/AI148,""),"")</f>
        <v/>
      </c>
      <c r="AJ140" s="39">
        <f>IF(AND(ISNUMBER(AJ153),ISNUMBER(AJ148)),IFERROR(AJ153/AJ148,""),"")</f>
        <v/>
      </c>
      <c r="AK140" s="39">
        <f>IF(AND(ISNUMBER(AK153),ISNUMBER(AK148)),IFERROR(AK153/AK148,""),"")</f>
        <v/>
      </c>
      <c r="AL140" s="39">
        <f>IF(AND(ISNUMBER(AL153),ISNUMBER(AL148)),IFERROR(AL153/AL148,""),"")</f>
        <v/>
      </c>
      <c r="AM140" s="39">
        <f>IF(AND(ISNUMBER(AM153),ISNUMBER(AM148)),IFERROR(AM153/AM148,""),"")</f>
        <v/>
      </c>
      <c r="AN140" s="39">
        <f>IF(AND(ISNUMBER(AN153),ISNUMBER(AN148)),IFERROR(AN153/AN148,""),"")</f>
        <v/>
      </c>
      <c r="AO140" s="39">
        <f>IF(AND(ISNUMBER(AO153),ISNUMBER(AO148)),IFERROR(AO153/AO148,""),"")</f>
        <v/>
      </c>
      <c r="AP140" s="39">
        <f>IF(AND(ISNUMBER(AP153),ISNUMBER(AP148)),IFERROR(AP153/AP148,""),"")</f>
        <v/>
      </c>
      <c r="AQ140" s="39">
        <f>IF(AND(ISNUMBER(AQ153),ISNUMBER(AQ148)),IFERROR(AQ153/AQ148,""),"")</f>
        <v/>
      </c>
      <c r="AR140" s="39">
        <f>IF(AND(ISNUMBER(AR153),ISNUMBER(AR148)),IFERROR(AR153/AR148,""),"")</f>
        <v/>
      </c>
      <c r="AS140" s="39">
        <f>IF(AND(ISNUMBER(AS153),ISNUMBER(AS148)),IFERROR(AS153/AS148,""),"")</f>
        <v/>
      </c>
      <c r="AT140" s="39">
        <f>IF(AND(ISNUMBER(AT153),ISNUMBER(AT148)),IFERROR(AT153/AT148,""),"")</f>
        <v/>
      </c>
      <c r="AU140" s="25">
        <f>($AS$153+$AT$153)/($AS$148+$AT$148)</f>
        <v/>
      </c>
      <c r="AV140" s="25">
        <f>($AS$153+$AT$153)/($AS$148+$AT$148)</f>
        <v/>
      </c>
      <c r="AW140" s="25">
        <f>IF(AND(ISNUMBER(AW153),ISNUMBER(AW148)),IFERROR(AW153/AW148,""),"")</f>
        <v/>
      </c>
      <c r="AX140" s="25">
        <f>AW140</f>
        <v/>
      </c>
      <c r="AY140" s="25">
        <f>AX140</f>
        <v/>
      </c>
      <c r="AZ140" s="25">
        <f>AY140</f>
        <v/>
      </c>
      <c r="BA140" s="25">
        <f>AZ140</f>
        <v/>
      </c>
      <c r="BB140" s="26" t="n"/>
    </row>
    <row r="141">
      <c r="B141" s="27" t="inlineStr">
        <is>
          <t xml:space="preserve">  General and administrative % of revenue (forecast = plug)</t>
        </is>
      </c>
      <c r="C141" s="39">
        <f>IF(AND(ISNUMBER(C154),ISNUMBER(C148)),IFERROR(C154/C148,""),"")</f>
        <v/>
      </c>
      <c r="D141" s="39">
        <f>IF(AND(ISNUMBER(D154),ISNUMBER(D148)),IFERROR(D154/D148,""),"")</f>
        <v/>
      </c>
      <c r="E141" s="39">
        <f>IF(AND(ISNUMBER(E154),ISNUMBER(E148)),IFERROR(E154/E148,""),"")</f>
        <v/>
      </c>
      <c r="F141" s="39">
        <f>IF(AND(ISNUMBER(F154),ISNUMBER(F148)),IFERROR(F154/F148,""),"")</f>
        <v/>
      </c>
      <c r="G141" s="39">
        <f>IF(AND(ISNUMBER(G154),ISNUMBER(G148)),IFERROR(G154/G148,""),"")</f>
        <v/>
      </c>
      <c r="H141" s="39">
        <f>IF(AND(ISNUMBER(H154),ISNUMBER(H148)),IFERROR(H154/H148,""),"")</f>
        <v/>
      </c>
      <c r="I141" s="39">
        <f>IF(AND(ISNUMBER(I154),ISNUMBER(I148)),IFERROR(I154/I148,""),"")</f>
        <v/>
      </c>
      <c r="J141" s="39">
        <f>IF(AND(ISNUMBER(J154),ISNUMBER(J148)),IFERROR(J154/J148,""),"")</f>
        <v/>
      </c>
      <c r="K141" s="39">
        <f>IF(AND(ISNUMBER(K154),ISNUMBER(K148)),IFERROR(K154/K148,""),"")</f>
        <v/>
      </c>
      <c r="L141" s="39">
        <f>IF(AND(ISNUMBER(L154),ISNUMBER(L148)),IFERROR(L154/L148,""),"")</f>
        <v/>
      </c>
      <c r="M141" s="39">
        <f>IF(AND(ISNUMBER(M154),ISNUMBER(M148)),IFERROR(M154/M148,""),"")</f>
        <v/>
      </c>
      <c r="N141" s="39">
        <f>IF(AND(ISNUMBER(N154),ISNUMBER(N148)),IFERROR(N154/N148,""),"")</f>
        <v/>
      </c>
      <c r="O141" s="39">
        <f>IF(AND(ISNUMBER(O154),ISNUMBER(O148)),IFERROR(O154/O148,""),"")</f>
        <v/>
      </c>
      <c r="P141" s="39">
        <f>IF(AND(ISNUMBER(P154),ISNUMBER(P148)),IFERROR(P154/P148,""),"")</f>
        <v/>
      </c>
      <c r="Q141" s="39">
        <f>IF(AND(ISNUMBER(Q154),ISNUMBER(Q148)),IFERROR(Q154/Q148,""),"")</f>
        <v/>
      </c>
      <c r="R141" s="39">
        <f>IF(AND(ISNUMBER(R154),ISNUMBER(R148)),IFERROR(R154/R148,""),"")</f>
        <v/>
      </c>
      <c r="S141" s="39">
        <f>IF(AND(ISNUMBER(S154),ISNUMBER(S148)),IFERROR(S154/S148,""),"")</f>
        <v/>
      </c>
      <c r="T141" s="39">
        <f>IF(AND(ISNUMBER(T154),ISNUMBER(T148)),IFERROR(T154/T148,""),"")</f>
        <v/>
      </c>
      <c r="U141" s="39">
        <f>IF(AND(ISNUMBER(U154),ISNUMBER(U148)),IFERROR(U154/U148,""),"")</f>
        <v/>
      </c>
      <c r="V141" s="39">
        <f>IF(AND(ISNUMBER(V154),ISNUMBER(V148)),IFERROR(V154/V148,""),"")</f>
        <v/>
      </c>
      <c r="W141" s="39">
        <f>IF(AND(ISNUMBER(W154),ISNUMBER(W148)),IFERROR(W154/W148,""),"")</f>
        <v/>
      </c>
      <c r="X141" s="39">
        <f>IF(AND(ISNUMBER(X154),ISNUMBER(X148)),IFERROR(X154/X148,""),"")</f>
        <v/>
      </c>
      <c r="Y141" s="39">
        <f>IF(AND(ISNUMBER(Y154),ISNUMBER(Y148)),IFERROR(Y154/Y148,""),"")</f>
        <v/>
      </c>
      <c r="Z141" s="39">
        <f>IF(AND(ISNUMBER(Z154),ISNUMBER(Z148)),IFERROR(Z154/Z148,""),"")</f>
        <v/>
      </c>
      <c r="AA141" s="39">
        <f>IF(AND(ISNUMBER(AA154),ISNUMBER(AA148)),IFERROR(AA154/AA148,""),"")</f>
        <v/>
      </c>
      <c r="AB141" s="39">
        <f>IF(AND(ISNUMBER(AB154),ISNUMBER(AB148)),IFERROR(AB154/AB148,""),"")</f>
        <v/>
      </c>
      <c r="AC141" s="39">
        <f>IF(AND(ISNUMBER(AC154),ISNUMBER(AC148)),IFERROR(AC154/AC148,""),"")</f>
        <v/>
      </c>
      <c r="AD141" s="39">
        <f>IF(AND(ISNUMBER(AD154),ISNUMBER(AD148)),IFERROR(AD154/AD148,""),"")</f>
        <v/>
      </c>
      <c r="AE141" s="39">
        <f>IF(AND(ISNUMBER(AE154),ISNUMBER(AE148)),IFERROR(AE154/AE148,""),"")</f>
        <v/>
      </c>
      <c r="AF141" s="39">
        <f>IF(AND(ISNUMBER(AF154),ISNUMBER(AF148)),IFERROR(AF154/AF148,""),"")</f>
        <v/>
      </c>
      <c r="AG141" s="39">
        <f>IF(AND(ISNUMBER(AG154),ISNUMBER(AG148)),IFERROR(AG154/AG148,""),"")</f>
        <v/>
      </c>
      <c r="AH141" s="39">
        <f>IF(AND(ISNUMBER(AH154),ISNUMBER(AH148)),IFERROR(AH154/AH148,""),"")</f>
        <v/>
      </c>
      <c r="AI141" s="39">
        <f>IF(AND(ISNUMBER(AI154),ISNUMBER(AI148)),IFERROR(AI154/AI148,""),"")</f>
        <v/>
      </c>
      <c r="AJ141" s="39">
        <f>IF(AND(ISNUMBER(AJ154),ISNUMBER(AJ148)),IFERROR(AJ154/AJ148,""),"")</f>
        <v/>
      </c>
      <c r="AK141" s="39">
        <f>IF(AND(ISNUMBER(AK154),ISNUMBER(AK148)),IFERROR(AK154/AK148,""),"")</f>
        <v/>
      </c>
      <c r="AL141" s="39">
        <f>IF(AND(ISNUMBER(AL154),ISNUMBER(AL148)),IFERROR(AL154/AL148,""),"")</f>
        <v/>
      </c>
      <c r="AM141" s="39">
        <f>IF(AND(ISNUMBER(AM154),ISNUMBER(AM148)),IFERROR(AM154/AM148,""),"")</f>
        <v/>
      </c>
      <c r="AN141" s="39">
        <f>IF(AND(ISNUMBER(AN154),ISNUMBER(AN148)),IFERROR(AN154/AN148,""),"")</f>
        <v/>
      </c>
      <c r="AO141" s="39">
        <f>IF(AND(ISNUMBER(AO154),ISNUMBER(AO148)),IFERROR(AO154/AO148,""),"")</f>
        <v/>
      </c>
      <c r="AP141" s="39">
        <f>IF(AND(ISNUMBER(AP154),ISNUMBER(AP148)),IFERROR(AP154/AP148,""),"")</f>
        <v/>
      </c>
      <c r="AQ141" s="39">
        <f>IF(AND(ISNUMBER(AQ154),ISNUMBER(AQ148)),IFERROR(AQ154/AQ148,""),"")</f>
        <v/>
      </c>
      <c r="AR141" s="39">
        <f>IF(AND(ISNUMBER(AR154),ISNUMBER(AR148)),IFERROR(AR154/AR148,""),"")</f>
        <v/>
      </c>
      <c r="AS141" s="39">
        <f>IF(AND(ISNUMBER(AS154),ISNUMBER(AS148)),IFERROR(AS154/AS148,""),"")</f>
        <v/>
      </c>
      <c r="AT141" s="39">
        <f>IF(AND(ISNUMBER(AT154),ISNUMBER(AT148)),IFERROR(AT154/AT148,""),"")</f>
        <v/>
      </c>
      <c r="AU141" s="25">
        <f>IFERROR(AU154/AU148,"")</f>
        <v/>
      </c>
      <c r="AV141" s="25">
        <f>IFERROR(AV154/AV148,"")</f>
        <v/>
      </c>
      <c r="AW141" s="25">
        <f>IFERROR(AW154/AW148,"")</f>
        <v/>
      </c>
      <c r="AX141" s="25">
        <f>IFERROR(AX154/AX148,"")</f>
        <v/>
      </c>
      <c r="AY141" s="25">
        <f>IFERROR(AY154/AY148,"")</f>
        <v/>
      </c>
      <c r="AZ141" s="25">
        <f>IFERROR(AZ154/AZ148,"")</f>
        <v/>
      </c>
      <c r="BA141" s="25">
        <f>IFERROR(BA154/BA148,"")</f>
        <v/>
      </c>
      <c r="BB141" s="19" t="inlineStr">
        <is>
          <t>Forecast G&amp;A = revenue − other cost lines − GAAP income from operations (segment build); absorbs legal / regulatory reserves.</t>
        </is>
      </c>
    </row>
    <row r="142">
      <c r="B142" s="27" t="inlineStr">
        <is>
          <t xml:space="preserve">  Stock-based compensation % of revenue (Uber standalone)</t>
        </is>
      </c>
      <c r="C142" s="39">
        <f>IF(AND(ISNUMBER(C171),ISNUMBER(C148)),IFERROR(C171/C148,""),"")</f>
        <v/>
      </c>
      <c r="D142" s="39">
        <f>IF(AND(ISNUMBER(D171),ISNUMBER(D148)),IFERROR(D171/D148,""),"")</f>
        <v/>
      </c>
      <c r="E142" s="39">
        <f>IF(AND(ISNUMBER(E171),ISNUMBER(E148)),IFERROR(E171/E148,""),"")</f>
        <v/>
      </c>
      <c r="F142" s="39">
        <f>IF(AND(ISNUMBER(F171),ISNUMBER(F148)),IFERROR(F171/F148,""),"")</f>
        <v/>
      </c>
      <c r="G142" s="39">
        <f>IF(AND(ISNUMBER(G171),ISNUMBER(G148)),IFERROR(G171/G148,""),"")</f>
        <v/>
      </c>
      <c r="H142" s="39">
        <f>IF(AND(ISNUMBER(H171),ISNUMBER(H148)),IFERROR(H171/H148,""),"")</f>
        <v/>
      </c>
      <c r="I142" s="39">
        <f>IF(AND(ISNUMBER(I171),ISNUMBER(I148)),IFERROR(I171/I148,""),"")</f>
        <v/>
      </c>
      <c r="J142" s="39">
        <f>IF(AND(ISNUMBER(J171),ISNUMBER(J148)),IFERROR(J171/J148,""),"")</f>
        <v/>
      </c>
      <c r="K142" s="39">
        <f>IF(AND(ISNUMBER(K171),ISNUMBER(K148)),IFERROR(K171/K148,""),"")</f>
        <v/>
      </c>
      <c r="L142" s="39">
        <f>IF(AND(ISNUMBER(L171),ISNUMBER(L148)),IFERROR(L171/L148,""),"")</f>
        <v/>
      </c>
      <c r="M142" s="39">
        <f>IF(AND(ISNUMBER(M171),ISNUMBER(M148)),IFERROR(M171/M148,""),"")</f>
        <v/>
      </c>
      <c r="N142" s="39">
        <f>IF(AND(ISNUMBER(N171),ISNUMBER(N148)),IFERROR(N171/N148,""),"")</f>
        <v/>
      </c>
      <c r="O142" s="39">
        <f>IF(AND(ISNUMBER(O171),ISNUMBER(O148)),IFERROR(O171/O148,""),"")</f>
        <v/>
      </c>
      <c r="P142" s="39">
        <f>IF(AND(ISNUMBER(P171),ISNUMBER(P148)),IFERROR(P171/P148,""),"")</f>
        <v/>
      </c>
      <c r="Q142" s="39">
        <f>IF(AND(ISNUMBER(Q171),ISNUMBER(Q148)),IFERROR(Q171/Q148,""),"")</f>
        <v/>
      </c>
      <c r="R142" s="39">
        <f>IF(AND(ISNUMBER(R171),ISNUMBER(R148)),IFERROR(R171/R148,""),"")</f>
        <v/>
      </c>
      <c r="S142" s="39">
        <f>IF(AND(ISNUMBER(S171),ISNUMBER(S148)),IFERROR(S171/S148,""),"")</f>
        <v/>
      </c>
      <c r="T142" s="39">
        <f>IF(AND(ISNUMBER(T171),ISNUMBER(T148)),IFERROR(T171/T148,""),"")</f>
        <v/>
      </c>
      <c r="U142" s="39">
        <f>IF(AND(ISNUMBER(U171),ISNUMBER(U148)),IFERROR(U171/U148,""),"")</f>
        <v/>
      </c>
      <c r="V142" s="39">
        <f>IF(AND(ISNUMBER(V171),ISNUMBER(V148)),IFERROR(V171/V148,""),"")</f>
        <v/>
      </c>
      <c r="W142" s="39">
        <f>IF(AND(ISNUMBER(W171),ISNUMBER(W148)),IFERROR(W171/W148,""),"")</f>
        <v/>
      </c>
      <c r="X142" s="39">
        <f>IF(AND(ISNUMBER(X171),ISNUMBER(X148)),IFERROR(X171/X148,""),"")</f>
        <v/>
      </c>
      <c r="Y142" s="39">
        <f>IF(AND(ISNUMBER(Y171),ISNUMBER(Y148)),IFERROR(Y171/Y148,""),"")</f>
        <v/>
      </c>
      <c r="Z142" s="39">
        <f>IF(AND(ISNUMBER(Z171),ISNUMBER(Z148)),IFERROR(Z171/Z148,""),"")</f>
        <v/>
      </c>
      <c r="AA142" s="39">
        <f>IF(AND(ISNUMBER(AA171),ISNUMBER(AA148)),IFERROR(AA171/AA148,""),"")</f>
        <v/>
      </c>
      <c r="AB142" s="39">
        <f>IF(AND(ISNUMBER(AB171),ISNUMBER(AB148)),IFERROR(AB171/AB148,""),"")</f>
        <v/>
      </c>
      <c r="AC142" s="39">
        <f>IF(AND(ISNUMBER(AC171),ISNUMBER(AC148)),IFERROR(AC171/AC148,""),"")</f>
        <v/>
      </c>
      <c r="AD142" s="39">
        <f>IF(AND(ISNUMBER(AD171),ISNUMBER(AD148)),IFERROR(AD171/AD148,""),"")</f>
        <v/>
      </c>
      <c r="AE142" s="39">
        <f>IF(AND(ISNUMBER(AE171),ISNUMBER(AE148)),IFERROR(AE171/AE148,""),"")</f>
        <v/>
      </c>
      <c r="AF142" s="39">
        <f>IF(AND(ISNUMBER(AF171),ISNUMBER(AF148)),IFERROR(AF171/AF148,""),"")</f>
        <v/>
      </c>
      <c r="AG142" s="39">
        <f>IF(AND(ISNUMBER(AG171),ISNUMBER(AG148)),IFERROR(AG171/AG148,""),"")</f>
        <v/>
      </c>
      <c r="AH142" s="39">
        <f>IF(AND(ISNUMBER(AH171),ISNUMBER(AH148)),IFERROR(AH171/AH148,""),"")</f>
        <v/>
      </c>
      <c r="AI142" s="39">
        <f>IF(AND(ISNUMBER(AI171),ISNUMBER(AI148)),IFERROR(AI171/AI148,""),"")</f>
        <v/>
      </c>
      <c r="AJ142" s="39">
        <f>IF(AND(ISNUMBER(AJ171),ISNUMBER(AJ148)),IFERROR(AJ171/AJ148,""),"")</f>
        <v/>
      </c>
      <c r="AK142" s="39">
        <f>IF(AND(ISNUMBER(AK171),ISNUMBER(AK148)),IFERROR(AK171/AK148,""),"")</f>
        <v/>
      </c>
      <c r="AL142" s="39">
        <f>IF(AND(ISNUMBER(AL171),ISNUMBER(AL148)),IFERROR(AL171/AL148,""),"")</f>
        <v/>
      </c>
      <c r="AM142" s="39">
        <f>IF(AND(ISNUMBER(AM171),ISNUMBER(AM148)),IFERROR(AM171/AM148,""),"")</f>
        <v/>
      </c>
      <c r="AN142" s="39">
        <f>IF(AND(ISNUMBER(AN171),ISNUMBER(AN148)),IFERROR(AN171/AN148,""),"")</f>
        <v/>
      </c>
      <c r="AO142" s="39">
        <f>IF(AND(ISNUMBER(AO171),ISNUMBER(AO148)),IFERROR(AO171/AO148,""),"")</f>
        <v/>
      </c>
      <c r="AP142" s="39">
        <f>IF(AND(ISNUMBER(AP171),ISNUMBER(AP148)),IFERROR(AP171/AP148,""),"")</f>
        <v/>
      </c>
      <c r="AQ142" s="39">
        <f>IF(AND(ISNUMBER(AQ171),ISNUMBER(AQ148)),IFERROR(AQ171/AQ148,""),"")</f>
        <v/>
      </c>
      <c r="AR142" s="39">
        <f>IF(AND(ISNUMBER(AR171),ISNUMBER(AR148)),IFERROR(AR171/AR148,""),"")</f>
        <v/>
      </c>
      <c r="AS142" s="39">
        <f>IF(AND(ISNUMBER(AS171),ISNUMBER(AS148)),IFERROR(AS171/AS148,""),"")</f>
        <v/>
      </c>
      <c r="AT142" s="39">
        <f>IF(AND(ISNUMBER(AT171),ISNUMBER(AT148)),IFERROR(AT171/AT148,""),"")</f>
        <v/>
      </c>
      <c r="AU142" s="25">
        <f>($AS$171+$AT$171)/($AS$148+$AT$148)</f>
        <v/>
      </c>
      <c r="AV142" s="25">
        <f>($AS$171+$AT$171)/($AS$148+$AT$148)</f>
        <v/>
      </c>
      <c r="AW142" s="25">
        <f>IF(AND(ISNUMBER(AW171),ISNUMBER(AW148)),IFERROR(AW171/AW148,""),"")</f>
        <v/>
      </c>
      <c r="AX142" s="32" t="n">
        <v>0.036</v>
      </c>
      <c r="AY142" s="32" t="n">
        <v>0.035</v>
      </c>
      <c r="AZ142" s="32" t="n">
        <v>0.034</v>
      </c>
      <c r="BA142" s="32" t="n">
        <v>0.033</v>
      </c>
      <c r="BB142" s="19" t="inlineStr">
        <is>
          <t>FY25 3.5%; 1H/26 3.7% (revenue reduced by business-model changes). 2027E+ input: −10bp p.a.</t>
        </is>
      </c>
    </row>
    <row r="143">
      <c r="B143" s="27" t="inlineStr">
        <is>
          <t xml:space="preserve">  D&amp;A (Uber standalone incl. legacy intangibles) % of revenue</t>
        </is>
      </c>
      <c r="C143" s="39">
        <f>IF(AND(ISNUMBER(C155),ISNUMBER(C148)),IFERROR(C155/C148,""),"")</f>
        <v/>
      </c>
      <c r="D143" s="39">
        <f>IF(AND(ISNUMBER(D155),ISNUMBER(D148)),IFERROR(D155/D148,""),"")</f>
        <v/>
      </c>
      <c r="E143" s="39">
        <f>IF(AND(ISNUMBER(E155),ISNUMBER(E148)),IFERROR(E155/E148,""),"")</f>
        <v/>
      </c>
      <c r="F143" s="39">
        <f>IF(AND(ISNUMBER(F155),ISNUMBER(F148)),IFERROR(F155/F148,""),"")</f>
        <v/>
      </c>
      <c r="G143" s="39">
        <f>IF(AND(ISNUMBER(G155),ISNUMBER(G148)),IFERROR(G155/G148,""),"")</f>
        <v/>
      </c>
      <c r="H143" s="39">
        <f>IF(AND(ISNUMBER(H155),ISNUMBER(H148)),IFERROR(H155/H148,""),"")</f>
        <v/>
      </c>
      <c r="I143" s="39">
        <f>IF(AND(ISNUMBER(I155),ISNUMBER(I148)),IFERROR(I155/I148,""),"")</f>
        <v/>
      </c>
      <c r="J143" s="39">
        <f>IF(AND(ISNUMBER(J155),ISNUMBER(J148)),IFERROR(J155/J148,""),"")</f>
        <v/>
      </c>
      <c r="K143" s="39">
        <f>IF(AND(ISNUMBER(K155),ISNUMBER(K148)),IFERROR(K155/K148,""),"")</f>
        <v/>
      </c>
      <c r="L143" s="39">
        <f>IF(AND(ISNUMBER(L155),ISNUMBER(L148)),IFERROR(L155/L148,""),"")</f>
        <v/>
      </c>
      <c r="M143" s="39">
        <f>IF(AND(ISNUMBER(M155),ISNUMBER(M148)),IFERROR(M155/M148,""),"")</f>
        <v/>
      </c>
      <c r="N143" s="39">
        <f>IF(AND(ISNUMBER(N155),ISNUMBER(N148)),IFERROR(N155/N148,""),"")</f>
        <v/>
      </c>
      <c r="O143" s="39">
        <f>IF(AND(ISNUMBER(O155),ISNUMBER(O148)),IFERROR(O155/O148,""),"")</f>
        <v/>
      </c>
      <c r="P143" s="39">
        <f>IF(AND(ISNUMBER(P155),ISNUMBER(P148)),IFERROR(P155/P148,""),"")</f>
        <v/>
      </c>
      <c r="Q143" s="39">
        <f>IF(AND(ISNUMBER(Q155),ISNUMBER(Q148)),IFERROR(Q155/Q148,""),"")</f>
        <v/>
      </c>
      <c r="R143" s="39">
        <f>IF(AND(ISNUMBER(R155),ISNUMBER(R148)),IFERROR(R155/R148,""),"")</f>
        <v/>
      </c>
      <c r="S143" s="39">
        <f>IF(AND(ISNUMBER(S155),ISNUMBER(S148)),IFERROR(S155/S148,""),"")</f>
        <v/>
      </c>
      <c r="T143" s="39">
        <f>IF(AND(ISNUMBER(T155),ISNUMBER(T148)),IFERROR(T155/T148,""),"")</f>
        <v/>
      </c>
      <c r="U143" s="39">
        <f>IF(AND(ISNUMBER(U155),ISNUMBER(U148)),IFERROR(U155/U148,""),"")</f>
        <v/>
      </c>
      <c r="V143" s="39">
        <f>IF(AND(ISNUMBER(V155),ISNUMBER(V148)),IFERROR(V155/V148,""),"")</f>
        <v/>
      </c>
      <c r="W143" s="39">
        <f>IF(AND(ISNUMBER(W155),ISNUMBER(W148)),IFERROR(W155/W148,""),"")</f>
        <v/>
      </c>
      <c r="X143" s="39">
        <f>IF(AND(ISNUMBER(X155),ISNUMBER(X148)),IFERROR(X155/X148,""),"")</f>
        <v/>
      </c>
      <c r="Y143" s="39">
        <f>IF(AND(ISNUMBER(Y155),ISNUMBER(Y148)),IFERROR(Y155/Y148,""),"")</f>
        <v/>
      </c>
      <c r="Z143" s="39">
        <f>IF(AND(ISNUMBER(Z155),ISNUMBER(Z148)),IFERROR(Z155/Z148,""),"")</f>
        <v/>
      </c>
      <c r="AA143" s="39">
        <f>IF(AND(ISNUMBER(AA155),ISNUMBER(AA148)),IFERROR(AA155/AA148,""),"")</f>
        <v/>
      </c>
      <c r="AB143" s="39">
        <f>IF(AND(ISNUMBER(AB155),ISNUMBER(AB148)),IFERROR(AB155/AB148,""),"")</f>
        <v/>
      </c>
      <c r="AC143" s="39">
        <f>IF(AND(ISNUMBER(AC155),ISNUMBER(AC148)),IFERROR(AC155/AC148,""),"")</f>
        <v/>
      </c>
      <c r="AD143" s="39">
        <f>IF(AND(ISNUMBER(AD155),ISNUMBER(AD148)),IFERROR(AD155/AD148,""),"")</f>
        <v/>
      </c>
      <c r="AE143" s="39">
        <f>IF(AND(ISNUMBER(AE155),ISNUMBER(AE148)),IFERROR(AE155/AE148,""),"")</f>
        <v/>
      </c>
      <c r="AF143" s="39">
        <f>IF(AND(ISNUMBER(AF155),ISNUMBER(AF148)),IFERROR(AF155/AF148,""),"")</f>
        <v/>
      </c>
      <c r="AG143" s="39">
        <f>IF(AND(ISNUMBER(AG155),ISNUMBER(AG148)),IFERROR(AG155/AG148,""),"")</f>
        <v/>
      </c>
      <c r="AH143" s="39">
        <f>IF(AND(ISNUMBER(AH155),ISNUMBER(AH148)),IFERROR(AH155/AH148,""),"")</f>
        <v/>
      </c>
      <c r="AI143" s="39">
        <f>IF(AND(ISNUMBER(AI155),ISNUMBER(AI148)),IFERROR(AI155/AI148,""),"")</f>
        <v/>
      </c>
      <c r="AJ143" s="39">
        <f>IF(AND(ISNUMBER(AJ155),ISNUMBER(AJ148)),IFERROR(AJ155/AJ148,""),"")</f>
        <v/>
      </c>
      <c r="AK143" s="39">
        <f>IF(AND(ISNUMBER(AK155),ISNUMBER(AK148)),IFERROR(AK155/AK148,""),"")</f>
        <v/>
      </c>
      <c r="AL143" s="39">
        <f>IF(AND(ISNUMBER(AL155),ISNUMBER(AL148)),IFERROR(AL155/AL148,""),"")</f>
        <v/>
      </c>
      <c r="AM143" s="39">
        <f>IF(AND(ISNUMBER(AM155),ISNUMBER(AM148)),IFERROR(AM155/AM148,""),"")</f>
        <v/>
      </c>
      <c r="AN143" s="39">
        <f>IF(AND(ISNUMBER(AN155),ISNUMBER(AN148)),IFERROR(AN155/AN148,""),"")</f>
        <v/>
      </c>
      <c r="AO143" s="39">
        <f>IF(AND(ISNUMBER(AO155),ISNUMBER(AO148)),IFERROR(AO155/AO148,""),"")</f>
        <v/>
      </c>
      <c r="AP143" s="39">
        <f>IF(AND(ISNUMBER(AP155),ISNUMBER(AP148)),IFERROR(AP155/AP148,""),"")</f>
        <v/>
      </c>
      <c r="AQ143" s="39">
        <f>IF(AND(ISNUMBER(AQ155),ISNUMBER(AQ148)),IFERROR(AQ155/AQ148,""),"")</f>
        <v/>
      </c>
      <c r="AR143" s="39">
        <f>IF(AND(ISNUMBER(AR155),ISNUMBER(AR148)),IFERROR(AR155/AR148,""),"")</f>
        <v/>
      </c>
      <c r="AS143" s="39">
        <f>IF(AND(ISNUMBER(AS155),ISNUMBER(AS148)),IFERROR(AS155/AS148,""),"")</f>
        <v/>
      </c>
      <c r="AT143" s="39">
        <f>IF(AND(ISNUMBER(AT155),ISNUMBER(AT148)),IFERROR(AT155/AT148,""),"")</f>
        <v/>
      </c>
      <c r="AU143" s="25">
        <f>IFERROR(AU155/AU148,"")</f>
        <v/>
      </c>
      <c r="AV143" s="25">
        <f>IFERROR(AV155/AV148,"")</f>
        <v/>
      </c>
      <c r="AW143" s="25">
        <f>IF(AND(ISNUMBER(AW155),ISNUMBER(AW148)),IFERROR(AW155/AW148,""),"")</f>
        <v/>
      </c>
      <c r="AX143" s="32" t="n">
        <v>0.0135</v>
      </c>
      <c r="AY143" s="32" t="n">
        <v>0.0135</v>
      </c>
      <c r="AZ143" s="32" t="n">
        <v>0.0135</v>
      </c>
      <c r="BA143" s="32" t="n">
        <v>0.0135</v>
      </c>
      <c r="BB143" s="19" t="inlineStr">
        <is>
          <t>FY25 1.38%. 2027E+ input 1.35% of standalone revenue (ex Delivery Hero &amp; future M&amp;A).</t>
        </is>
      </c>
    </row>
    <row r="144">
      <c r="B144" s="27" t="inlineStr">
        <is>
          <t xml:space="preserve">  Amortization of legacy acquired intangibles (USDm)</t>
        </is>
      </c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  <c r="AA144" s="43" t="n"/>
      <c r="AB144" s="43" t="n"/>
      <c r="AC144" s="43" t="n"/>
      <c r="AD144" s="43" t="n"/>
      <c r="AE144" s="43" t="n"/>
      <c r="AF144" s="43" t="n"/>
      <c r="AG144" s="43" t="n"/>
      <c r="AH144" s="43" t="n"/>
      <c r="AI144" s="43" t="n"/>
      <c r="AJ144" s="43" t="n"/>
      <c r="AK144" s="43" t="n"/>
      <c r="AL144" s="43" t="n"/>
      <c r="AM144" s="43" t="n"/>
      <c r="AN144" s="43" t="n"/>
      <c r="AO144" s="43" t="n"/>
      <c r="AP144" s="43" t="n"/>
      <c r="AQ144" s="43" t="n"/>
      <c r="AR144" s="43" t="n"/>
      <c r="AS144" s="43" t="n"/>
      <c r="AT144" s="43" t="n"/>
      <c r="AU144" s="45">
        <f>$AT$172</f>
        <v/>
      </c>
      <c r="AV144" s="45">
        <f>$AT$172</f>
        <v/>
      </c>
      <c r="AW144" s="45">
        <f>SUM(AS144,AT144,AU144,AV144)</f>
        <v/>
      </c>
      <c r="AX144" s="47" t="n">
        <v>230</v>
      </c>
      <c r="AY144" s="47" t="n">
        <v>210</v>
      </c>
      <c r="AZ144" s="47" t="n">
        <v>190</v>
      </c>
      <c r="BA144" s="47" t="n">
        <v>170</v>
      </c>
      <c r="BB144" s="19" t="inlineStr">
        <is>
          <t>Q2/26 $61m (Non-GAAP OI reconciliation). 2027E+: declining as Postmates / Careem / Transplace intangibles run off.</t>
        </is>
      </c>
    </row>
    <row r="145">
      <c r="B145" s="27" t="inlineStr">
        <is>
          <t xml:space="preserve">  Net income attributable to legacy NCI (Freight Holding, Careem Technologies, other) — input</t>
        </is>
      </c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  <c r="AA145" s="43" t="n"/>
      <c r="AB145" s="43" t="n"/>
      <c r="AC145" s="43" t="n"/>
      <c r="AD145" s="43" t="n"/>
      <c r="AE145" s="43" t="n"/>
      <c r="AF145" s="43" t="n"/>
      <c r="AG145" s="43" t="n"/>
      <c r="AH145" s="43" t="n"/>
      <c r="AI145" s="43" t="n"/>
      <c r="AJ145" s="43" t="n"/>
      <c r="AK145" s="43" t="n"/>
      <c r="AL145" s="43" t="n"/>
      <c r="AM145" s="43" t="n"/>
      <c r="AN145" s="43" t="n"/>
      <c r="AO145" s="43" t="n"/>
      <c r="AP145" s="43" t="n"/>
      <c r="AQ145" s="43" t="n"/>
      <c r="AR145" s="43" t="n"/>
      <c r="AS145" s="43" t="n"/>
      <c r="AT145" s="43" t="n"/>
      <c r="AU145" s="45" t="n"/>
      <c r="AV145" s="45" t="n"/>
      <c r="AW145" s="45" t="n"/>
      <c r="AX145" s="47" t="n">
        <v>90</v>
      </c>
      <c r="AY145" s="47" t="n">
        <v>90</v>
      </c>
      <c r="AZ145" s="47" t="n">
        <v>90</v>
      </c>
      <c r="BA145" s="47" t="n">
        <v>90</v>
      </c>
      <c r="BB145" s="19" t="inlineStr">
        <is>
          <t>FY25 $40m; 1H/26 $41m. 2027E+ input $90m p.a.</t>
        </is>
      </c>
    </row>
    <row r="147">
      <c r="B147" s="10" t="inlineStr">
        <is>
          <t>CONSOLIDATED STATEMENT OF OPERATIONS (US GAAP; interest income presented separately on the 2026 basis for all periods)</t>
        </is>
      </c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n"/>
      <c r="AN147" s="10" t="n"/>
      <c r="AO147" s="10" t="n"/>
      <c r="AP147" s="10" t="n"/>
      <c r="AQ147" s="10" t="n"/>
      <c r="AR147" s="10" t="n"/>
      <c r="AS147" s="10" t="n"/>
      <c r="AT147" s="10" t="n"/>
      <c r="AU147" s="10" t="n"/>
      <c r="AV147" s="10" t="n"/>
      <c r="AW147" s="10" t="n"/>
      <c r="AX147" s="10" t="n"/>
      <c r="AY147" s="10" t="n"/>
      <c r="AZ147" s="10" t="n"/>
      <c r="BA147" s="10" t="n"/>
      <c r="BB147" s="10" t="inlineStr">
        <is>
          <t>CONSOLIDATED IS — forecast logic</t>
        </is>
      </c>
    </row>
    <row r="148">
      <c r="B148" s="52" t="inlineStr">
        <is>
          <t>Revenue</t>
        </is>
      </c>
      <c r="C148" s="55" t="n">
        <v>3845</v>
      </c>
      <c r="D148" s="55" t="n">
        <v>7932</v>
      </c>
      <c r="E148" s="55" t="n">
        <v>2584</v>
      </c>
      <c r="F148" s="55" t="n">
        <v>2768</v>
      </c>
      <c r="G148" s="55" t="n">
        <v>2944</v>
      </c>
      <c r="H148" s="55" t="n">
        <v>2974</v>
      </c>
      <c r="I148" s="55" t="n">
        <v>11270</v>
      </c>
      <c r="J148" s="55" t="n">
        <v>3099</v>
      </c>
      <c r="K148" s="55" t="n">
        <v>3166</v>
      </c>
      <c r="L148" s="55" t="n">
        <v>3813</v>
      </c>
      <c r="M148" s="55" t="n">
        <v>4069</v>
      </c>
      <c r="N148" s="55" t="n">
        <v>14147</v>
      </c>
      <c r="O148" s="55" t="n">
        <v>3248</v>
      </c>
      <c r="P148" s="55" t="n">
        <v>1913</v>
      </c>
      <c r="Q148" s="55" t="n">
        <v>2813</v>
      </c>
      <c r="R148" s="55" t="n">
        <v>3165</v>
      </c>
      <c r="S148" s="55" t="n">
        <v>11139</v>
      </c>
      <c r="T148" s="55" t="n">
        <v>2903</v>
      </c>
      <c r="U148" s="55" t="n">
        <v>3929</v>
      </c>
      <c r="V148" s="55" t="n">
        <v>4845</v>
      </c>
      <c r="W148" s="55" t="n">
        <v>5778</v>
      </c>
      <c r="X148" s="55" t="n">
        <v>17455</v>
      </c>
      <c r="Y148" s="55" t="n">
        <v>6854</v>
      </c>
      <c r="Z148" s="55" t="n">
        <v>8073</v>
      </c>
      <c r="AA148" s="55" t="n">
        <v>8343</v>
      </c>
      <c r="AB148" s="55" t="n">
        <v>8607</v>
      </c>
      <c r="AC148" s="55" t="n">
        <v>31877</v>
      </c>
      <c r="AD148" s="55" t="n">
        <v>8823</v>
      </c>
      <c r="AE148" s="55" t="n">
        <v>9230</v>
      </c>
      <c r="AF148" s="55" t="n">
        <v>9292</v>
      </c>
      <c r="AG148" s="55" t="n">
        <v>9936</v>
      </c>
      <c r="AH148" s="55" t="n">
        <v>37281</v>
      </c>
      <c r="AI148" s="55" t="n">
        <v>10131</v>
      </c>
      <c r="AJ148" s="55" t="n">
        <v>10700</v>
      </c>
      <c r="AK148" s="55" t="n">
        <v>11188</v>
      </c>
      <c r="AL148" s="55" t="n">
        <v>11959</v>
      </c>
      <c r="AM148" s="55" t="n">
        <v>43978</v>
      </c>
      <c r="AN148" s="55" t="n">
        <v>11533</v>
      </c>
      <c r="AO148" s="55" t="n">
        <v>12651</v>
      </c>
      <c r="AP148" s="55" t="n">
        <v>13467</v>
      </c>
      <c r="AQ148" s="55" t="n">
        <v>14366</v>
      </c>
      <c r="AR148" s="55" t="n">
        <v>52017</v>
      </c>
      <c r="AS148" s="55" t="n">
        <v>13203</v>
      </c>
      <c r="AT148" s="55" t="n">
        <v>14191</v>
      </c>
      <c r="AU148" s="53">
        <f>AU101</f>
        <v/>
      </c>
      <c r="AV148" s="53">
        <f>AV101</f>
        <v/>
      </c>
      <c r="AW148" s="53">
        <f>AW101</f>
        <v/>
      </c>
      <c r="AX148" s="53">
        <f>AX101</f>
        <v/>
      </c>
      <c r="AY148" s="53">
        <f>AY101</f>
        <v/>
      </c>
      <c r="AZ148" s="53">
        <f>AZ101</f>
        <v/>
      </c>
      <c r="BA148" s="53">
        <f>BA101</f>
        <v/>
      </c>
      <c r="BB148" s="19" t="inlineStr">
        <is>
          <t>Forecast linked to the segment build.</t>
        </is>
      </c>
      <c r="BD148" s="20">
        <f>IFERROR((BA148/AR148)^(1/5)-1,"")</f>
        <v/>
      </c>
      <c r="BE148" s="20">
        <f>IFERROR((AR148/S148)^(1/5)-1,"")</f>
        <v/>
      </c>
      <c r="BF148" s="20">
        <f>IFERROR((AR148/I148)^(1/7)-1,"")</f>
        <v/>
      </c>
      <c r="BG148" s="20">
        <f>IFERROR((AR148/C148)^(1/9)-1,"")</f>
        <v/>
      </c>
    </row>
    <row r="149">
      <c r="B149" s="23" t="inlineStr">
        <is>
          <t xml:space="preserve">  Revenue y/y %</t>
        </is>
      </c>
      <c r="C149" s="24" t="n"/>
      <c r="D149" s="24">
        <f>IF(AND(ISNUMBER(D148),ISNUMBER(C148)),IFERROR(D148/C148-1,""),"")</f>
        <v/>
      </c>
      <c r="E149" s="24" t="n"/>
      <c r="F149" s="24" t="n"/>
      <c r="G149" s="24" t="n"/>
      <c r="H149" s="24" t="n"/>
      <c r="I149" s="24">
        <f>IF(AND(ISNUMBER(I148),ISNUMBER(D148)),IFERROR(I148/D148-1,""),"")</f>
        <v/>
      </c>
      <c r="J149" s="24">
        <f>IF(AND(ISNUMBER(J148),ISNUMBER(E148)),IFERROR(J148/E148-1,""),"")</f>
        <v/>
      </c>
      <c r="K149" s="24">
        <f>IF(AND(ISNUMBER(K148),ISNUMBER(F148)),IFERROR(K148/F148-1,""),"")</f>
        <v/>
      </c>
      <c r="L149" s="24">
        <f>IF(AND(ISNUMBER(L148),ISNUMBER(G148)),IFERROR(L148/G148-1,""),"")</f>
        <v/>
      </c>
      <c r="M149" s="24">
        <f>IF(AND(ISNUMBER(M148),ISNUMBER(H148)),IFERROR(M148/H148-1,""),"")</f>
        <v/>
      </c>
      <c r="N149" s="24">
        <f>IF(AND(ISNUMBER(N148),ISNUMBER(I148)),IFERROR(N148/I148-1,""),"")</f>
        <v/>
      </c>
      <c r="O149" s="24">
        <f>IF(AND(ISNUMBER(O148),ISNUMBER(J148)),IFERROR(O148/J148-1,""),"")</f>
        <v/>
      </c>
      <c r="P149" s="24">
        <f>IF(AND(ISNUMBER(P148),ISNUMBER(K148)),IFERROR(P148/K148-1,""),"")</f>
        <v/>
      </c>
      <c r="Q149" s="24">
        <f>IF(AND(ISNUMBER(Q148),ISNUMBER(L148)),IFERROR(Q148/L148-1,""),"")</f>
        <v/>
      </c>
      <c r="R149" s="24">
        <f>IF(AND(ISNUMBER(R148),ISNUMBER(M148)),IFERROR(R148/M148-1,""),"")</f>
        <v/>
      </c>
      <c r="S149" s="24">
        <f>IF(AND(ISNUMBER(S148),ISNUMBER(N148)),IFERROR(S148/N148-1,""),"")</f>
        <v/>
      </c>
      <c r="T149" s="24">
        <f>IF(AND(ISNUMBER(T148),ISNUMBER(O148)),IFERROR(T148/O148-1,""),"")</f>
        <v/>
      </c>
      <c r="U149" s="24">
        <f>IF(AND(ISNUMBER(U148),ISNUMBER(P148)),IFERROR(U148/P148-1,""),"")</f>
        <v/>
      </c>
      <c r="V149" s="24">
        <f>IF(AND(ISNUMBER(V148),ISNUMBER(Q148)),IFERROR(V148/Q148-1,""),"")</f>
        <v/>
      </c>
      <c r="W149" s="24">
        <f>IF(AND(ISNUMBER(W148),ISNUMBER(R148)),IFERROR(W148/R148-1,""),"")</f>
        <v/>
      </c>
      <c r="X149" s="24">
        <f>IF(AND(ISNUMBER(X148),ISNUMBER(S148)),IFERROR(X148/S148-1,""),"")</f>
        <v/>
      </c>
      <c r="Y149" s="24">
        <f>IF(AND(ISNUMBER(Y148),ISNUMBER(T148)),IFERROR(Y148/T148-1,""),"")</f>
        <v/>
      </c>
      <c r="Z149" s="24">
        <f>IF(AND(ISNUMBER(Z148),ISNUMBER(U148)),IFERROR(Z148/U148-1,""),"")</f>
        <v/>
      </c>
      <c r="AA149" s="24">
        <f>IF(AND(ISNUMBER(AA148),ISNUMBER(V148)),IFERROR(AA148/V148-1,""),"")</f>
        <v/>
      </c>
      <c r="AB149" s="24">
        <f>IF(AND(ISNUMBER(AB148),ISNUMBER(W148)),IFERROR(AB148/W148-1,""),"")</f>
        <v/>
      </c>
      <c r="AC149" s="24">
        <f>IF(AND(ISNUMBER(AC148),ISNUMBER(X148)),IFERROR(AC148/X148-1,""),"")</f>
        <v/>
      </c>
      <c r="AD149" s="24">
        <f>IF(AND(ISNUMBER(AD148),ISNUMBER(Y148)),IFERROR(AD148/Y148-1,""),"")</f>
        <v/>
      </c>
      <c r="AE149" s="24">
        <f>IF(AND(ISNUMBER(AE148),ISNUMBER(Z148)),IFERROR(AE148/Z148-1,""),"")</f>
        <v/>
      </c>
      <c r="AF149" s="24">
        <f>IF(AND(ISNUMBER(AF148),ISNUMBER(AA148)),IFERROR(AF148/AA148-1,""),"")</f>
        <v/>
      </c>
      <c r="AG149" s="24">
        <f>IF(AND(ISNUMBER(AG148),ISNUMBER(AB148)),IFERROR(AG148/AB148-1,""),"")</f>
        <v/>
      </c>
      <c r="AH149" s="24">
        <f>IF(AND(ISNUMBER(AH148),ISNUMBER(AC148)),IFERROR(AH148/AC148-1,""),"")</f>
        <v/>
      </c>
      <c r="AI149" s="24">
        <f>IF(AND(ISNUMBER(AI148),ISNUMBER(AD148)),IFERROR(AI148/AD148-1,""),"")</f>
        <v/>
      </c>
      <c r="AJ149" s="24">
        <f>IF(AND(ISNUMBER(AJ148),ISNUMBER(AE148)),IFERROR(AJ148/AE148-1,""),"")</f>
        <v/>
      </c>
      <c r="AK149" s="24">
        <f>IF(AND(ISNUMBER(AK148),ISNUMBER(AF148)),IFERROR(AK148/AF148-1,""),"")</f>
        <v/>
      </c>
      <c r="AL149" s="24">
        <f>IF(AND(ISNUMBER(AL148),ISNUMBER(AG148)),IFERROR(AL148/AG148-1,""),"")</f>
        <v/>
      </c>
      <c r="AM149" s="24">
        <f>IF(AND(ISNUMBER(AM148),ISNUMBER(AH148)),IFERROR(AM148/AH148-1,""),"")</f>
        <v/>
      </c>
      <c r="AN149" s="24">
        <f>IF(AND(ISNUMBER(AN148),ISNUMBER(AI148)),IFERROR(AN148/AI148-1,""),"")</f>
        <v/>
      </c>
      <c r="AO149" s="24">
        <f>IF(AND(ISNUMBER(AO148),ISNUMBER(AJ148)),IFERROR(AO148/AJ148-1,""),"")</f>
        <v/>
      </c>
      <c r="AP149" s="24">
        <f>IF(AND(ISNUMBER(AP148),ISNUMBER(AK148)),IFERROR(AP148/AK148-1,""),"")</f>
        <v/>
      </c>
      <c r="AQ149" s="24">
        <f>IF(AND(ISNUMBER(AQ148),ISNUMBER(AL148)),IFERROR(AQ148/AL148-1,""),"")</f>
        <v/>
      </c>
      <c r="AR149" s="24">
        <f>IF(AND(ISNUMBER(AR148),ISNUMBER(AM148)),IFERROR(AR148/AM148-1,""),"")</f>
        <v/>
      </c>
      <c r="AS149" s="24">
        <f>IF(AND(ISNUMBER(AS148),ISNUMBER(AN148)),IFERROR(AS148/AN148-1,""),"")</f>
        <v/>
      </c>
      <c r="AT149" s="24">
        <f>IF(AND(ISNUMBER(AT148),ISNUMBER(AO148)),IFERROR(AT148/AO148-1,""),"")</f>
        <v/>
      </c>
      <c r="AU149" s="25">
        <f>IFERROR(AU148/AP148-1,"")</f>
        <v/>
      </c>
      <c r="AV149" s="25">
        <f>IFERROR(AV148/AQ148-1,"")</f>
        <v/>
      </c>
      <c r="AW149" s="25">
        <f>IFERROR(AW148/AR148-1,"")</f>
        <v/>
      </c>
      <c r="AX149" s="25">
        <f>IFERROR(AX148/AW148-1,"")</f>
        <v/>
      </c>
      <c r="AY149" s="25">
        <f>IFERROR(AY148/AX148-1,"")</f>
        <v/>
      </c>
      <c r="AZ149" s="25">
        <f>IFERROR(AZ148/AY148-1,"")</f>
        <v/>
      </c>
      <c r="BA149" s="25">
        <f>IFERROR(BA148/AZ148-1,"")</f>
        <v/>
      </c>
      <c r="BB149" s="26" t="n"/>
    </row>
    <row r="150">
      <c r="B150" s="27" t="inlineStr">
        <is>
          <t>Cost of revenue, exclusive of depreciation and amortization</t>
        </is>
      </c>
      <c r="C150" s="44" t="n">
        <v>2228</v>
      </c>
      <c r="D150" s="44" t="n">
        <v>4160</v>
      </c>
      <c r="E150" s="44" t="n">
        <v>1156</v>
      </c>
      <c r="F150" s="44" t="n">
        <v>1342</v>
      </c>
      <c r="G150" s="44" t="n">
        <v>1510</v>
      </c>
      <c r="H150" s="44" t="n">
        <v>1615</v>
      </c>
      <c r="I150" s="44" t="n">
        <v>5623</v>
      </c>
      <c r="J150" s="44" t="n">
        <v>1681</v>
      </c>
      <c r="K150" s="44" t="n">
        <v>1740</v>
      </c>
      <c r="L150" s="44" t="n">
        <v>1860</v>
      </c>
      <c r="M150" s="44" t="n">
        <v>1927</v>
      </c>
      <c r="N150" s="44" t="n">
        <v>7208</v>
      </c>
      <c r="O150" s="44" t="n">
        <v>1491</v>
      </c>
      <c r="P150" s="44" t="n">
        <v>924</v>
      </c>
      <c r="Q150" s="44" t="n">
        <v>1298</v>
      </c>
      <c r="R150" s="44" t="n">
        <v>1441</v>
      </c>
      <c r="S150" s="44" t="n">
        <v>5154</v>
      </c>
      <c r="T150" s="44" t="n">
        <v>1710</v>
      </c>
      <c r="U150" s="44" t="n">
        <v>2099</v>
      </c>
      <c r="V150" s="44" t="n">
        <v>2438</v>
      </c>
      <c r="W150" s="44" t="n">
        <v>3104</v>
      </c>
      <c r="X150" s="44" t="n">
        <v>9351</v>
      </c>
      <c r="Y150" s="44" t="n">
        <v>4026</v>
      </c>
      <c r="Z150" s="44" t="n">
        <v>5153</v>
      </c>
      <c r="AA150" s="44" t="n">
        <v>5173</v>
      </c>
      <c r="AB150" s="44" t="n">
        <v>5307</v>
      </c>
      <c r="AC150" s="44" t="n">
        <v>19659</v>
      </c>
      <c r="AD150" s="44" t="n">
        <v>5259</v>
      </c>
      <c r="AE150" s="44" t="n">
        <v>5515</v>
      </c>
      <c r="AF150" s="44" t="n">
        <v>5626</v>
      </c>
      <c r="AG150" s="44" t="n">
        <v>6057</v>
      </c>
      <c r="AH150" s="44" t="n">
        <v>22457</v>
      </c>
      <c r="AI150" s="44" t="n">
        <v>6168</v>
      </c>
      <c r="AJ150" s="44" t="n">
        <v>6488</v>
      </c>
      <c r="AK150" s="44" t="n">
        <v>6761</v>
      </c>
      <c r="AL150" s="44" t="n">
        <v>7234</v>
      </c>
      <c r="AM150" s="44" t="n">
        <v>26651</v>
      </c>
      <c r="AN150" s="44" t="n">
        <v>6937</v>
      </c>
      <c r="AO150" s="44" t="n">
        <v>7611</v>
      </c>
      <c r="AP150" s="44" t="n">
        <v>8109</v>
      </c>
      <c r="AQ150" s="44" t="n">
        <v>8681</v>
      </c>
      <c r="AR150" s="44" t="n">
        <v>31338</v>
      </c>
      <c r="AS150" s="44" t="n">
        <v>7258</v>
      </c>
      <c r="AT150" s="44" t="n">
        <v>7815</v>
      </c>
      <c r="AU150" s="45">
        <f>AU148*AU137</f>
        <v/>
      </c>
      <c r="AV150" s="45">
        <f>AV148*AV137</f>
        <v/>
      </c>
      <c r="AW150" s="45">
        <f>SUM(AS150,AT150,AU150,AV150)</f>
        <v/>
      </c>
      <c r="AX150" s="45">
        <f>AX148*AX137</f>
        <v/>
      </c>
      <c r="AY150" s="45">
        <f>AY148*AY137</f>
        <v/>
      </c>
      <c r="AZ150" s="45">
        <f>AZ148*AZ137</f>
        <v/>
      </c>
      <c r="BA150" s="45">
        <f>BA148*BA137</f>
        <v/>
      </c>
      <c r="BB150" s="26" t="n"/>
    </row>
    <row r="151">
      <c r="B151" s="27" t="inlineStr">
        <is>
          <t>Operations and support</t>
        </is>
      </c>
      <c r="C151" s="44" t="n">
        <v>881</v>
      </c>
      <c r="D151" s="44" t="n">
        <v>1354</v>
      </c>
      <c r="E151" s="44" t="n">
        <v>372</v>
      </c>
      <c r="F151" s="44" t="n">
        <v>349</v>
      </c>
      <c r="G151" s="44" t="n">
        <v>387</v>
      </c>
      <c r="H151" s="44" t="n">
        <v>408</v>
      </c>
      <c r="I151" s="44" t="n">
        <v>1516</v>
      </c>
      <c r="J151" s="44" t="n">
        <v>434</v>
      </c>
      <c r="K151" s="44" t="n">
        <v>864</v>
      </c>
      <c r="L151" s="44" t="n">
        <v>498</v>
      </c>
      <c r="M151" s="44" t="n">
        <v>506</v>
      </c>
      <c r="N151" s="44" t="n">
        <v>2302</v>
      </c>
      <c r="O151" s="44" t="n">
        <v>503</v>
      </c>
      <c r="P151" s="44" t="n">
        <v>582</v>
      </c>
      <c r="Q151" s="44" t="n">
        <v>365</v>
      </c>
      <c r="R151" s="44" t="n">
        <v>369</v>
      </c>
      <c r="S151" s="44" t="n">
        <v>1819</v>
      </c>
      <c r="T151" s="44" t="n">
        <v>423</v>
      </c>
      <c r="U151" s="44" t="n">
        <v>432</v>
      </c>
      <c r="V151" s="44" t="n">
        <v>475</v>
      </c>
      <c r="W151" s="44" t="n">
        <v>547</v>
      </c>
      <c r="X151" s="44" t="n">
        <v>1877</v>
      </c>
      <c r="Y151" s="44" t="n">
        <v>574</v>
      </c>
      <c r="Z151" s="44" t="n">
        <v>617</v>
      </c>
      <c r="AA151" s="44" t="n">
        <v>617</v>
      </c>
      <c r="AB151" s="44" t="n">
        <v>605</v>
      </c>
      <c r="AC151" s="44" t="n">
        <v>2413</v>
      </c>
      <c r="AD151" s="44" t="n">
        <v>640</v>
      </c>
      <c r="AE151" s="44" t="n">
        <v>664</v>
      </c>
      <c r="AF151" s="44" t="n">
        <v>683</v>
      </c>
      <c r="AG151" s="44" t="n">
        <v>702</v>
      </c>
      <c r="AH151" s="44" t="n">
        <v>2689</v>
      </c>
      <c r="AI151" s="44" t="n">
        <v>685</v>
      </c>
      <c r="AJ151" s="44" t="n">
        <v>682</v>
      </c>
      <c r="AK151" s="44" t="n">
        <v>687</v>
      </c>
      <c r="AL151" s="44" t="n">
        <v>678</v>
      </c>
      <c r="AM151" s="44" t="n">
        <v>2732</v>
      </c>
      <c r="AN151" s="44" t="n">
        <v>668</v>
      </c>
      <c r="AO151" s="44" t="n">
        <v>696</v>
      </c>
      <c r="AP151" s="44" t="n">
        <v>735</v>
      </c>
      <c r="AQ151" s="44" t="n">
        <v>755</v>
      </c>
      <c r="AR151" s="44" t="n">
        <v>2854</v>
      </c>
      <c r="AS151" s="44" t="n">
        <v>763</v>
      </c>
      <c r="AT151" s="44" t="n">
        <v>805</v>
      </c>
      <c r="AU151" s="45">
        <f>AU148*AU138</f>
        <v/>
      </c>
      <c r="AV151" s="45">
        <f>AV148*AV138</f>
        <v/>
      </c>
      <c r="AW151" s="45">
        <f>SUM(AS151,AT151,AU151,AV151)</f>
        <v/>
      </c>
      <c r="AX151" s="45">
        <f>AX148*AX138</f>
        <v/>
      </c>
      <c r="AY151" s="45">
        <f>AY148*AY138</f>
        <v/>
      </c>
      <c r="AZ151" s="45">
        <f>AZ148*AZ138</f>
        <v/>
      </c>
      <c r="BA151" s="45">
        <f>BA148*BA138</f>
        <v/>
      </c>
      <c r="BB151" s="26" t="n"/>
    </row>
    <row r="152">
      <c r="B152" s="27" t="inlineStr">
        <is>
          <t>Sales and marketing</t>
        </is>
      </c>
      <c r="C152" s="44" t="n">
        <v>1594</v>
      </c>
      <c r="D152" s="44" t="n">
        <v>2524</v>
      </c>
      <c r="E152" s="44" t="n">
        <v>677</v>
      </c>
      <c r="F152" s="44" t="n">
        <v>715</v>
      </c>
      <c r="G152" s="44" t="n">
        <v>785</v>
      </c>
      <c r="H152" s="44" t="n">
        <v>974</v>
      </c>
      <c r="I152" s="44" t="n">
        <v>3151</v>
      </c>
      <c r="J152" s="44" t="n">
        <v>1040</v>
      </c>
      <c r="K152" s="44" t="n">
        <v>1222</v>
      </c>
      <c r="L152" s="44" t="n">
        <v>1113</v>
      </c>
      <c r="M152" s="44" t="n">
        <v>1251</v>
      </c>
      <c r="N152" s="44" t="n">
        <v>4626</v>
      </c>
      <c r="O152" s="44" t="n">
        <v>885</v>
      </c>
      <c r="P152" s="44" t="n">
        <v>736</v>
      </c>
      <c r="Q152" s="44" t="n">
        <v>924</v>
      </c>
      <c r="R152" s="44" t="n">
        <v>1038</v>
      </c>
      <c r="S152" s="44" t="n">
        <v>3583</v>
      </c>
      <c r="T152" s="44" t="n">
        <v>1103</v>
      </c>
      <c r="U152" s="44" t="n">
        <v>1256</v>
      </c>
      <c r="V152" s="44" t="n">
        <v>1168</v>
      </c>
      <c r="W152" s="44" t="n">
        <v>1262</v>
      </c>
      <c r="X152" s="44" t="n">
        <v>4789</v>
      </c>
      <c r="Y152" s="44" t="n">
        <v>1263</v>
      </c>
      <c r="Z152" s="44" t="n">
        <v>1218</v>
      </c>
      <c r="AA152" s="44" t="n">
        <v>1153</v>
      </c>
      <c r="AB152" s="44" t="n">
        <v>1122</v>
      </c>
      <c r="AC152" s="44" t="n">
        <v>4756</v>
      </c>
      <c r="AD152" s="44" t="n">
        <v>1262</v>
      </c>
      <c r="AE152" s="44" t="n">
        <v>1218</v>
      </c>
      <c r="AF152" s="44" t="n">
        <v>941</v>
      </c>
      <c r="AG152" s="44" t="n">
        <v>935</v>
      </c>
      <c r="AH152" s="44" t="n">
        <v>4356</v>
      </c>
      <c r="AI152" s="44" t="n">
        <v>917</v>
      </c>
      <c r="AJ152" s="44" t="n">
        <v>1115</v>
      </c>
      <c r="AK152" s="44" t="n">
        <v>1096</v>
      </c>
      <c r="AL152" s="44" t="n">
        <v>1209</v>
      </c>
      <c r="AM152" s="44" t="n">
        <v>4337</v>
      </c>
      <c r="AN152" s="44" t="n">
        <v>1057</v>
      </c>
      <c r="AO152" s="44" t="n">
        <v>1210</v>
      </c>
      <c r="AP152" s="44" t="n">
        <v>1277</v>
      </c>
      <c r="AQ152" s="44" t="n">
        <v>1354</v>
      </c>
      <c r="AR152" s="44" t="n">
        <v>4898</v>
      </c>
      <c r="AS152" s="44" t="n">
        <v>1326</v>
      </c>
      <c r="AT152" s="44" t="n">
        <v>1515</v>
      </c>
      <c r="AU152" s="45">
        <f>AU148*AU139</f>
        <v/>
      </c>
      <c r="AV152" s="45">
        <f>AV148*AV139</f>
        <v/>
      </c>
      <c r="AW152" s="45">
        <f>SUM(AS152,AT152,AU152,AV152)</f>
        <v/>
      </c>
      <c r="AX152" s="45">
        <f>AX148*AX139</f>
        <v/>
      </c>
      <c r="AY152" s="45">
        <f>AY148*AY139</f>
        <v/>
      </c>
      <c r="AZ152" s="45">
        <f>AZ148*AZ139</f>
        <v/>
      </c>
      <c r="BA152" s="45">
        <f>BA148*BA139</f>
        <v/>
      </c>
      <c r="BB152" s="26" t="n"/>
    </row>
    <row r="153">
      <c r="B153" s="27" t="inlineStr">
        <is>
          <t>Research and development</t>
        </is>
      </c>
      <c r="C153" s="44" t="n">
        <v>864</v>
      </c>
      <c r="D153" s="44" t="n">
        <v>1201</v>
      </c>
      <c r="E153" s="44" t="n">
        <v>340</v>
      </c>
      <c r="F153" s="44" t="n">
        <v>365</v>
      </c>
      <c r="G153" s="44" t="n">
        <v>434</v>
      </c>
      <c r="H153" s="44" t="n">
        <v>366</v>
      </c>
      <c r="I153" s="44" t="n">
        <v>1505</v>
      </c>
      <c r="J153" s="44" t="n">
        <v>409</v>
      </c>
      <c r="K153" s="44" t="n">
        <v>3064</v>
      </c>
      <c r="L153" s="44" t="n">
        <v>755</v>
      </c>
      <c r="M153" s="44" t="n">
        <v>608</v>
      </c>
      <c r="N153" s="44" t="n">
        <v>4836</v>
      </c>
      <c r="O153" s="44" t="n">
        <v>645</v>
      </c>
      <c r="P153" s="44" t="n">
        <v>584</v>
      </c>
      <c r="Q153" s="44" t="n">
        <v>493</v>
      </c>
      <c r="R153" s="44" t="n">
        <v>483</v>
      </c>
      <c r="S153" s="44" t="n">
        <v>2205</v>
      </c>
      <c r="T153" s="44" t="n">
        <v>515</v>
      </c>
      <c r="U153" s="44" t="n">
        <v>488</v>
      </c>
      <c r="V153" s="44" t="n">
        <v>493</v>
      </c>
      <c r="W153" s="44" t="n">
        <v>558</v>
      </c>
      <c r="X153" s="44" t="n">
        <v>2054</v>
      </c>
      <c r="Y153" s="44" t="n">
        <v>587</v>
      </c>
      <c r="Z153" s="44" t="n">
        <v>704</v>
      </c>
      <c r="AA153" s="44" t="n">
        <v>760</v>
      </c>
      <c r="AB153" s="44" t="n">
        <v>747</v>
      </c>
      <c r="AC153" s="44" t="n">
        <v>2798</v>
      </c>
      <c r="AD153" s="44" t="n">
        <v>775</v>
      </c>
      <c r="AE153" s="44" t="n">
        <v>808</v>
      </c>
      <c r="AF153" s="44" t="n">
        <v>797</v>
      </c>
      <c r="AG153" s="44" t="n">
        <v>784</v>
      </c>
      <c r="AH153" s="44" t="n">
        <v>3164</v>
      </c>
      <c r="AI153" s="44" t="n">
        <v>790</v>
      </c>
      <c r="AJ153" s="44" t="n">
        <v>760</v>
      </c>
      <c r="AK153" s="44" t="n">
        <v>774</v>
      </c>
      <c r="AL153" s="44" t="n">
        <v>785</v>
      </c>
      <c r="AM153" s="44" t="n">
        <v>3109</v>
      </c>
      <c r="AN153" s="44" t="n">
        <v>815</v>
      </c>
      <c r="AO153" s="44" t="n">
        <v>840</v>
      </c>
      <c r="AP153" s="44" t="n">
        <v>862</v>
      </c>
      <c r="AQ153" s="44" t="n">
        <v>885</v>
      </c>
      <c r="AR153" s="44" t="n">
        <v>3402</v>
      </c>
      <c r="AS153" s="44" t="n">
        <v>951</v>
      </c>
      <c r="AT153" s="44" t="n">
        <v>1043</v>
      </c>
      <c r="AU153" s="45">
        <f>AU148*AU140</f>
        <v/>
      </c>
      <c r="AV153" s="45">
        <f>AV148*AV140</f>
        <v/>
      </c>
      <c r="AW153" s="45">
        <f>SUM(AS153,AT153,AU153,AV153)</f>
        <v/>
      </c>
      <c r="AX153" s="45">
        <f>AX148*AX140</f>
        <v/>
      </c>
      <c r="AY153" s="45">
        <f>AY148*AY140</f>
        <v/>
      </c>
      <c r="AZ153" s="45">
        <f>AZ148*AZ140</f>
        <v/>
      </c>
      <c r="BA153" s="45">
        <f>BA148*BA140</f>
        <v/>
      </c>
      <c r="BB153" s="26" t="n"/>
    </row>
    <row r="154">
      <c r="B154" s="27" t="inlineStr">
        <is>
          <t>General and administrative (forecast = plug to the segment build)</t>
        </is>
      </c>
      <c r="C154" s="44" t="n">
        <v>981</v>
      </c>
      <c r="D154" s="44" t="n">
        <v>2263</v>
      </c>
      <c r="E154" s="44" t="n">
        <v>429</v>
      </c>
      <c r="F154" s="44" t="n">
        <v>638</v>
      </c>
      <c r="G154" s="44" t="n">
        <v>460</v>
      </c>
      <c r="H154" s="44" t="n">
        <v>555</v>
      </c>
      <c r="I154" s="44" t="n">
        <v>2082</v>
      </c>
      <c r="J154" s="44" t="n">
        <v>423</v>
      </c>
      <c r="K154" s="44" t="n">
        <v>1638</v>
      </c>
      <c r="L154" s="44" t="n">
        <v>591</v>
      </c>
      <c r="M154" s="44" t="n">
        <v>647</v>
      </c>
      <c r="N154" s="44" t="n">
        <v>3299</v>
      </c>
      <c r="O154" s="44" t="n">
        <v>859</v>
      </c>
      <c r="P154" s="44" t="n">
        <v>565</v>
      </c>
      <c r="Q154" s="44" t="n">
        <v>711</v>
      </c>
      <c r="R154" s="44" t="n">
        <v>531</v>
      </c>
      <c r="S154" s="44" t="n">
        <v>2666</v>
      </c>
      <c r="T154" s="44" t="n">
        <v>464</v>
      </c>
      <c r="U154" s="44" t="n">
        <v>616</v>
      </c>
      <c r="V154" s="44" t="n">
        <v>625</v>
      </c>
      <c r="W154" s="44" t="n">
        <v>611</v>
      </c>
      <c r="X154" s="44" t="n">
        <v>2316</v>
      </c>
      <c r="Y154" s="44" t="n">
        <v>632</v>
      </c>
      <c r="Z154" s="44" t="n">
        <v>851</v>
      </c>
      <c r="AA154" s="44" t="n">
        <v>908</v>
      </c>
      <c r="AB154" s="44" t="n">
        <v>745</v>
      </c>
      <c r="AC154" s="44" t="n">
        <v>3136</v>
      </c>
      <c r="AD154" s="44" t="n">
        <v>942</v>
      </c>
      <c r="AE154" s="44" t="n">
        <v>491</v>
      </c>
      <c r="AF154" s="44" t="n">
        <v>646</v>
      </c>
      <c r="AG154" s="44" t="n">
        <v>603</v>
      </c>
      <c r="AH154" s="44" t="n">
        <v>2682</v>
      </c>
      <c r="AI154" s="44" t="n">
        <v>1209</v>
      </c>
      <c r="AJ154" s="44" t="n">
        <v>686</v>
      </c>
      <c r="AK154" s="44" t="n">
        <v>630</v>
      </c>
      <c r="AL154" s="44" t="n">
        <v>1114</v>
      </c>
      <c r="AM154" s="44" t="n">
        <v>3639</v>
      </c>
      <c r="AN154" s="44" t="n">
        <v>657</v>
      </c>
      <c r="AO154" s="44" t="n">
        <v>669</v>
      </c>
      <c r="AP154" s="44" t="n">
        <v>1183</v>
      </c>
      <c r="AQ154" s="44" t="n">
        <v>732</v>
      </c>
      <c r="AR154" s="44" t="n">
        <v>3241</v>
      </c>
      <c r="AS154" s="44" t="n">
        <v>798</v>
      </c>
      <c r="AT154" s="44" t="n">
        <v>935</v>
      </c>
      <c r="AU154" s="45">
        <f>AU148-AU150-AU151-AU152-AU153-AU155-AU157</f>
        <v/>
      </c>
      <c r="AV154" s="45">
        <f>AV148-AV150-AV151-AV152-AV153-AV155-AV157</f>
        <v/>
      </c>
      <c r="AW154" s="45">
        <f>SUM(AS154,AT154,AU154,AV154)</f>
        <v/>
      </c>
      <c r="AX154" s="45">
        <f>AX148-AX150-AX151-AX152-AX153-AX155-AX157</f>
        <v/>
      </c>
      <c r="AY154" s="45">
        <f>AY148-AY150-AY151-AY152-AY153-AY155-AY157</f>
        <v/>
      </c>
      <c r="AZ154" s="45">
        <f>AZ148-AZ150-AZ151-AZ152-AZ153-AZ155-AZ157</f>
        <v/>
      </c>
      <c r="BA154" s="45">
        <f>BA148-BA150-BA151-BA152-BA153-BA155-BA157</f>
        <v/>
      </c>
      <c r="BB154" s="26" t="n"/>
    </row>
    <row r="155">
      <c r="B155" s="27" t="inlineStr">
        <is>
          <t>Depreciation and amortization</t>
        </is>
      </c>
      <c r="C155" s="44" t="n">
        <v>320</v>
      </c>
      <c r="D155" s="44" t="n">
        <v>510</v>
      </c>
      <c r="E155" s="44" t="n">
        <v>88</v>
      </c>
      <c r="F155" s="44" t="n">
        <v>98</v>
      </c>
      <c r="G155" s="44" t="n">
        <v>131</v>
      </c>
      <c r="H155" s="44" t="n">
        <v>109</v>
      </c>
      <c r="I155" s="44" t="n">
        <v>426</v>
      </c>
      <c r="J155" s="44" t="n">
        <v>146</v>
      </c>
      <c r="K155" s="44" t="n">
        <v>123</v>
      </c>
      <c r="L155" s="44" t="n">
        <v>102</v>
      </c>
      <c r="M155" s="44" t="n">
        <v>101</v>
      </c>
      <c r="N155" s="44" t="n">
        <v>472</v>
      </c>
      <c r="O155" s="44" t="n">
        <v>128</v>
      </c>
      <c r="P155" s="44" t="n">
        <v>129</v>
      </c>
      <c r="Q155" s="44" t="n">
        <v>138</v>
      </c>
      <c r="R155" s="44" t="n">
        <v>180</v>
      </c>
      <c r="S155" s="44" t="n">
        <v>575</v>
      </c>
      <c r="T155" s="44" t="n">
        <v>212</v>
      </c>
      <c r="U155" s="44" t="n">
        <v>226</v>
      </c>
      <c r="V155" s="44" t="n">
        <v>218</v>
      </c>
      <c r="W155" s="44" t="n">
        <v>246</v>
      </c>
      <c r="X155" s="44" t="n">
        <v>902</v>
      </c>
      <c r="Y155" s="44" t="n">
        <v>254</v>
      </c>
      <c r="Z155" s="44" t="n">
        <v>243</v>
      </c>
      <c r="AA155" s="44" t="n">
        <v>227</v>
      </c>
      <c r="AB155" s="44" t="n">
        <v>223</v>
      </c>
      <c r="AC155" s="44" t="n">
        <v>947</v>
      </c>
      <c r="AD155" s="44" t="n">
        <v>207</v>
      </c>
      <c r="AE155" s="44" t="n">
        <v>208</v>
      </c>
      <c r="AF155" s="44" t="n">
        <v>205</v>
      </c>
      <c r="AG155" s="44" t="n">
        <v>203</v>
      </c>
      <c r="AH155" s="44" t="n">
        <v>823</v>
      </c>
      <c r="AI155" s="44" t="n">
        <v>190</v>
      </c>
      <c r="AJ155" s="44" t="n">
        <v>173</v>
      </c>
      <c r="AK155" s="44" t="n">
        <v>179</v>
      </c>
      <c r="AL155" s="44" t="n">
        <v>169</v>
      </c>
      <c r="AM155" s="44" t="n">
        <v>711</v>
      </c>
      <c r="AN155" s="44" t="n">
        <v>171</v>
      </c>
      <c r="AO155" s="44" t="n">
        <v>175</v>
      </c>
      <c r="AP155" s="44" t="n">
        <v>188</v>
      </c>
      <c r="AQ155" s="44" t="n">
        <v>185</v>
      </c>
      <c r="AR155" s="44" t="n">
        <v>719</v>
      </c>
      <c r="AS155" s="44" t="n">
        <v>184</v>
      </c>
      <c r="AT155" s="44" t="n">
        <v>188</v>
      </c>
      <c r="AU155" s="45">
        <f>$AT$155</f>
        <v/>
      </c>
      <c r="AV155" s="45">
        <f>$AT$155</f>
        <v/>
      </c>
      <c r="AW155" s="45">
        <f>SUM(AS155,AT155,AU155,AV155)</f>
        <v/>
      </c>
      <c r="AX155" s="45">
        <f>(AX148-N(AX69)-N(AX88))*AX143+N(AX75)+N(AX79)+N(AX92)+N(AX96)</f>
        <v/>
      </c>
      <c r="AY155" s="45">
        <f>(AY148-N(AY69)-N(AY88))*AY143+N(AY75)+N(AY79)+N(AY92)+N(AY96)</f>
        <v/>
      </c>
      <c r="AZ155" s="45">
        <f>(AZ148-N(AZ69)-N(AZ88))*AZ143+N(AZ75)+N(AZ79)+N(AZ92)+N(AZ96)</f>
        <v/>
      </c>
      <c r="BA155" s="45">
        <f>(BA148-N(BA69)-N(BA88))*BA143+N(BA75)+N(BA79)+N(BA92)+N(BA96)</f>
        <v/>
      </c>
      <c r="BB155" s="19" t="inlineStr">
        <is>
          <t>Q3/Q4-26E: Q2/26 run-rate. 2027E+: standalone revenue × D&amp;A % + Delivery Hero D&amp;A &amp; PPA + future-M&amp;A D&amp;A.</t>
        </is>
      </c>
    </row>
    <row r="156">
      <c r="B156" s="27" t="inlineStr">
        <is>
          <t>Total costs and expenses</t>
        </is>
      </c>
      <c r="C156" s="43">
        <f>SUM(C150,C151,C152,C153,C154,C155)</f>
        <v/>
      </c>
      <c r="D156" s="43">
        <f>SUM(D150,D151,D152,D153,D154,D155)</f>
        <v/>
      </c>
      <c r="E156" s="43">
        <f>SUM(E150,E151,E152,E153,E154,E155)</f>
        <v/>
      </c>
      <c r="F156" s="43">
        <f>SUM(F150,F151,F152,F153,F154,F155)</f>
        <v/>
      </c>
      <c r="G156" s="43">
        <f>SUM(G150,G151,G152,G153,G154,G155)</f>
        <v/>
      </c>
      <c r="H156" s="43">
        <f>SUM(H150,H151,H152,H153,H154,H155)</f>
        <v/>
      </c>
      <c r="I156" s="43">
        <f>SUM(I150,I151,I152,I153,I154,I155)</f>
        <v/>
      </c>
      <c r="J156" s="43">
        <f>SUM(J150,J151,J152,J153,J154,J155)</f>
        <v/>
      </c>
      <c r="K156" s="43">
        <f>SUM(K150,K151,K152,K153,K154,K155)</f>
        <v/>
      </c>
      <c r="L156" s="43">
        <f>SUM(L150,L151,L152,L153,L154,L155)</f>
        <v/>
      </c>
      <c r="M156" s="43">
        <f>SUM(M150,M151,M152,M153,M154,M155)</f>
        <v/>
      </c>
      <c r="N156" s="43">
        <f>SUM(N150,N151,N152,N153,N154,N155)</f>
        <v/>
      </c>
      <c r="O156" s="43">
        <f>SUM(O150,O151,O152,O153,O154,O155)</f>
        <v/>
      </c>
      <c r="P156" s="43">
        <f>SUM(P150,P151,P152,P153,P154,P155)</f>
        <v/>
      </c>
      <c r="Q156" s="43">
        <f>SUM(Q150,Q151,Q152,Q153,Q154,Q155)</f>
        <v/>
      </c>
      <c r="R156" s="43">
        <f>SUM(R150,R151,R152,R153,R154,R155)</f>
        <v/>
      </c>
      <c r="S156" s="43">
        <f>SUM(S150,S151,S152,S153,S154,S155)</f>
        <v/>
      </c>
      <c r="T156" s="43">
        <f>SUM(T150,T151,T152,T153,T154,T155)</f>
        <v/>
      </c>
      <c r="U156" s="43">
        <f>SUM(U150,U151,U152,U153,U154,U155)</f>
        <v/>
      </c>
      <c r="V156" s="43">
        <f>SUM(V150,V151,V152,V153,V154,V155)</f>
        <v/>
      </c>
      <c r="W156" s="43">
        <f>SUM(W150,W151,W152,W153,W154,W155)</f>
        <v/>
      </c>
      <c r="X156" s="43">
        <f>SUM(X150,X151,X152,X153,X154,X155)</f>
        <v/>
      </c>
      <c r="Y156" s="43">
        <f>SUM(Y150,Y151,Y152,Y153,Y154,Y155)</f>
        <v/>
      </c>
      <c r="Z156" s="43">
        <f>SUM(Z150,Z151,Z152,Z153,Z154,Z155)</f>
        <v/>
      </c>
      <c r="AA156" s="43">
        <f>SUM(AA150,AA151,AA152,AA153,AA154,AA155)</f>
        <v/>
      </c>
      <c r="AB156" s="43">
        <f>SUM(AB150,AB151,AB152,AB153,AB154,AB155)</f>
        <v/>
      </c>
      <c r="AC156" s="43">
        <f>SUM(AC150,AC151,AC152,AC153,AC154,AC155)</f>
        <v/>
      </c>
      <c r="AD156" s="43">
        <f>SUM(AD150,AD151,AD152,AD153,AD154,AD155)</f>
        <v/>
      </c>
      <c r="AE156" s="43">
        <f>SUM(AE150,AE151,AE152,AE153,AE154,AE155)</f>
        <v/>
      </c>
      <c r="AF156" s="43">
        <f>SUM(AF150,AF151,AF152,AF153,AF154,AF155)</f>
        <v/>
      </c>
      <c r="AG156" s="43">
        <f>SUM(AG150,AG151,AG152,AG153,AG154,AG155)</f>
        <v/>
      </c>
      <c r="AH156" s="43">
        <f>SUM(AH150,AH151,AH152,AH153,AH154,AH155)</f>
        <v/>
      </c>
      <c r="AI156" s="43">
        <f>SUM(AI150,AI151,AI152,AI153,AI154,AI155)</f>
        <v/>
      </c>
      <c r="AJ156" s="43">
        <f>SUM(AJ150,AJ151,AJ152,AJ153,AJ154,AJ155)</f>
        <v/>
      </c>
      <c r="AK156" s="43">
        <f>SUM(AK150,AK151,AK152,AK153,AK154,AK155)</f>
        <v/>
      </c>
      <c r="AL156" s="43">
        <f>SUM(AL150,AL151,AL152,AL153,AL154,AL155)</f>
        <v/>
      </c>
      <c r="AM156" s="43">
        <f>SUM(AM150,AM151,AM152,AM153,AM154,AM155)</f>
        <v/>
      </c>
      <c r="AN156" s="43">
        <f>SUM(AN150,AN151,AN152,AN153,AN154,AN155)</f>
        <v/>
      </c>
      <c r="AO156" s="43">
        <f>SUM(AO150,AO151,AO152,AO153,AO154,AO155)</f>
        <v/>
      </c>
      <c r="AP156" s="43">
        <f>SUM(AP150,AP151,AP152,AP153,AP154,AP155)</f>
        <v/>
      </c>
      <c r="AQ156" s="43">
        <f>SUM(AQ150,AQ151,AQ152,AQ153,AQ154,AQ155)</f>
        <v/>
      </c>
      <c r="AR156" s="43">
        <f>SUM(AR150,AR151,AR152,AR153,AR154,AR155)</f>
        <v/>
      </c>
      <c r="AS156" s="43">
        <f>SUM(AS150,AS151,AS152,AS153,AS154,AS155)</f>
        <v/>
      </c>
      <c r="AT156" s="43">
        <f>SUM(AT150,AT151,AT152,AT153,AT154,AT155)</f>
        <v/>
      </c>
      <c r="AU156" s="45">
        <f>SUM(AU150,AU151,AU152,AU153,AU154,AU155)</f>
        <v/>
      </c>
      <c r="AV156" s="45">
        <f>SUM(AV150,AV151,AV152,AV153,AV154,AV155)</f>
        <v/>
      </c>
      <c r="AW156" s="45">
        <f>SUM(AW150,AW151,AW152,AW153,AW154,AW155)</f>
        <v/>
      </c>
      <c r="AX156" s="45">
        <f>SUM(AX150,AX151,AX152,AX153,AX154,AX155)</f>
        <v/>
      </c>
      <c r="AY156" s="45">
        <f>SUM(AY150,AY151,AY152,AY153,AY154,AY155)</f>
        <v/>
      </c>
      <c r="AZ156" s="45">
        <f>SUM(AZ150,AZ151,AZ152,AZ153,AZ154,AZ155)</f>
        <v/>
      </c>
      <c r="BA156" s="45">
        <f>SUM(BA150,BA151,BA152,BA153,BA154,BA155)</f>
        <v/>
      </c>
      <c r="BB156" s="26" t="n"/>
    </row>
    <row r="157">
      <c r="B157" s="52" t="inlineStr">
        <is>
          <t>Income (loss) from operations</t>
        </is>
      </c>
      <c r="C157" s="53">
        <f>C148-C156</f>
        <v/>
      </c>
      <c r="D157" s="53">
        <f>D148-D156</f>
        <v/>
      </c>
      <c r="E157" s="53">
        <f>E148-E156</f>
        <v/>
      </c>
      <c r="F157" s="53">
        <f>F148-F156</f>
        <v/>
      </c>
      <c r="G157" s="53">
        <f>G148-G156</f>
        <v/>
      </c>
      <c r="H157" s="53">
        <f>H148-H156</f>
        <v/>
      </c>
      <c r="I157" s="53">
        <f>I148-I156</f>
        <v/>
      </c>
      <c r="J157" s="53">
        <f>J148-J156</f>
        <v/>
      </c>
      <c r="K157" s="53">
        <f>K148-K156</f>
        <v/>
      </c>
      <c r="L157" s="53">
        <f>L148-L156</f>
        <v/>
      </c>
      <c r="M157" s="53">
        <f>M148-M156</f>
        <v/>
      </c>
      <c r="N157" s="53">
        <f>N148-N156</f>
        <v/>
      </c>
      <c r="O157" s="53">
        <f>O148-O156</f>
        <v/>
      </c>
      <c r="P157" s="53">
        <f>P148-P156</f>
        <v/>
      </c>
      <c r="Q157" s="53">
        <f>Q148-Q156</f>
        <v/>
      </c>
      <c r="R157" s="53">
        <f>R148-R156</f>
        <v/>
      </c>
      <c r="S157" s="53">
        <f>S148-S156</f>
        <v/>
      </c>
      <c r="T157" s="53">
        <f>T148-T156</f>
        <v/>
      </c>
      <c r="U157" s="53">
        <f>U148-U156</f>
        <v/>
      </c>
      <c r="V157" s="53">
        <f>V148-V156</f>
        <v/>
      </c>
      <c r="W157" s="53">
        <f>W148-W156</f>
        <v/>
      </c>
      <c r="X157" s="53">
        <f>X148-X156</f>
        <v/>
      </c>
      <c r="Y157" s="53">
        <f>Y148-Y156</f>
        <v/>
      </c>
      <c r="Z157" s="53">
        <f>Z148-Z156</f>
        <v/>
      </c>
      <c r="AA157" s="53">
        <f>AA148-AA156</f>
        <v/>
      </c>
      <c r="AB157" s="53">
        <f>AB148-AB156</f>
        <v/>
      </c>
      <c r="AC157" s="53">
        <f>AC148-AC156</f>
        <v/>
      </c>
      <c r="AD157" s="53">
        <f>AD148-AD156</f>
        <v/>
      </c>
      <c r="AE157" s="53">
        <f>AE148-AE156</f>
        <v/>
      </c>
      <c r="AF157" s="53">
        <f>AF148-AF156</f>
        <v/>
      </c>
      <c r="AG157" s="53">
        <f>AG148-AG156</f>
        <v/>
      </c>
      <c r="AH157" s="53">
        <f>AH148-AH156</f>
        <v/>
      </c>
      <c r="AI157" s="53">
        <f>AI148-AI156</f>
        <v/>
      </c>
      <c r="AJ157" s="53">
        <f>AJ148-AJ156</f>
        <v/>
      </c>
      <c r="AK157" s="53">
        <f>AK148-AK156</f>
        <v/>
      </c>
      <c r="AL157" s="53">
        <f>AL148-AL156</f>
        <v/>
      </c>
      <c r="AM157" s="53">
        <f>AM148-AM156</f>
        <v/>
      </c>
      <c r="AN157" s="53">
        <f>AN148-AN156</f>
        <v/>
      </c>
      <c r="AO157" s="53">
        <f>AO148-AO156</f>
        <v/>
      </c>
      <c r="AP157" s="53">
        <f>AP148-AP156</f>
        <v/>
      </c>
      <c r="AQ157" s="53">
        <f>AQ148-AQ156</f>
        <v/>
      </c>
      <c r="AR157" s="53">
        <f>AR148-AR156</f>
        <v/>
      </c>
      <c r="AS157" s="53">
        <f>AS148-AS156</f>
        <v/>
      </c>
      <c r="AT157" s="53">
        <f>AT148-AT156</f>
        <v/>
      </c>
      <c r="AU157" s="53">
        <f>AU106-AU172-AU194-AU195-AU196-AU197-AU199</f>
        <v/>
      </c>
      <c r="AV157" s="53">
        <f>AV106-AV172-AV194-AV195-AV196-AV197-AV199</f>
        <v/>
      </c>
      <c r="AW157" s="53">
        <f>SUM(AS157,AT157,AU157,AV157)</f>
        <v/>
      </c>
      <c r="AX157" s="53">
        <f>AX106-AX172-AX194-AX195-AX196-AX197-AX199</f>
        <v/>
      </c>
      <c r="AY157" s="53">
        <f>AY106-AY172-AY194-AY195-AY196-AY197-AY199</f>
        <v/>
      </c>
      <c r="AZ157" s="53">
        <f>AZ106-AZ172-AZ194-AZ195-AZ196-AZ197-AZ199</f>
        <v/>
      </c>
      <c r="BA157" s="53">
        <f>BA106-BA172-BA194-BA195-BA196-BA197-BA199</f>
        <v/>
      </c>
      <c r="BB157" s="19" t="inlineStr">
        <is>
          <t>Forecast = Non-GAAP OI (segment build) − amortization of acquired intangibles − legal/regulatory reserves − acquisition costs − restructuring.</t>
        </is>
      </c>
      <c r="BD157" s="20">
        <f>IFERROR((BA157/AR157)^(1/5)-1,"")</f>
        <v/>
      </c>
      <c r="BE157" s="20">
        <f>IFERROR((AR157/S157)^(1/5)-1,"")</f>
        <v/>
      </c>
      <c r="BF157" s="20">
        <f>IFERROR((AR157/I157)^(1/7)-1,"")</f>
        <v/>
      </c>
      <c r="BG157" s="20">
        <f>IFERROR((AR157/C157)^(1/9)-1,"")</f>
        <v/>
      </c>
    </row>
    <row r="158">
      <c r="B158" s="27" t="inlineStr">
        <is>
          <t>Interest expense</t>
        </is>
      </c>
      <c r="C158" s="44" t="n">
        <v>334</v>
      </c>
      <c r="D158" s="44" t="n">
        <v>479</v>
      </c>
      <c r="E158" s="44" t="n">
        <v>132</v>
      </c>
      <c r="F158" s="44" t="n">
        <v>160</v>
      </c>
      <c r="G158" s="44" t="n">
        <v>161</v>
      </c>
      <c r="H158" s="44" t="n">
        <v>195</v>
      </c>
      <c r="I158" s="44" t="n">
        <v>648</v>
      </c>
      <c r="J158" s="44" t="n">
        <v>217</v>
      </c>
      <c r="K158" s="44" t="n">
        <v>151</v>
      </c>
      <c r="L158" s="44" t="n">
        <v>90</v>
      </c>
      <c r="M158" s="44" t="n">
        <v>101</v>
      </c>
      <c r="N158" s="44" t="n">
        <v>559</v>
      </c>
      <c r="O158" s="44" t="n">
        <v>118</v>
      </c>
      <c r="P158" s="44" t="n">
        <v>110</v>
      </c>
      <c r="Q158" s="44" t="n">
        <v>112</v>
      </c>
      <c r="R158" s="44" t="n">
        <v>118</v>
      </c>
      <c r="S158" s="44" t="n">
        <v>458</v>
      </c>
      <c r="T158" s="44" t="n">
        <v>115</v>
      </c>
      <c r="U158" s="44" t="n">
        <v>115</v>
      </c>
      <c r="V158" s="44" t="n">
        <v>123</v>
      </c>
      <c r="W158" s="44" t="n">
        <v>130</v>
      </c>
      <c r="X158" s="44" t="n">
        <v>483</v>
      </c>
      <c r="Y158" s="44" t="n">
        <v>129</v>
      </c>
      <c r="Z158" s="44" t="n">
        <v>139</v>
      </c>
      <c r="AA158" s="44" t="n">
        <v>146</v>
      </c>
      <c r="AB158" s="44" t="n">
        <v>151</v>
      </c>
      <c r="AC158" s="44" t="n">
        <v>565</v>
      </c>
      <c r="AD158" s="44" t="n">
        <v>168</v>
      </c>
      <c r="AE158" s="44" t="n">
        <v>144</v>
      </c>
      <c r="AF158" s="44" t="n">
        <v>166</v>
      </c>
      <c r="AG158" s="44" t="n">
        <v>155</v>
      </c>
      <c r="AH158" s="44" t="n">
        <v>633</v>
      </c>
      <c r="AI158" s="44" t="n">
        <v>124</v>
      </c>
      <c r="AJ158" s="44" t="n">
        <v>139</v>
      </c>
      <c r="AK158" s="44" t="n">
        <v>143</v>
      </c>
      <c r="AL158" s="44" t="n">
        <v>117</v>
      </c>
      <c r="AM158" s="44" t="n">
        <v>523</v>
      </c>
      <c r="AN158" s="44" t="n">
        <v>105</v>
      </c>
      <c r="AO158" s="44" t="n">
        <v>108</v>
      </c>
      <c r="AP158" s="44" t="n">
        <v>112</v>
      </c>
      <c r="AQ158" s="44" t="n">
        <v>115</v>
      </c>
      <c r="AR158" s="44" t="n">
        <v>440</v>
      </c>
      <c r="AS158" s="44" t="n">
        <v>108</v>
      </c>
      <c r="AT158" s="44" t="n">
        <v>127</v>
      </c>
      <c r="AU158" s="45">
        <f>$AT$158+$AW$409*$AW$410*16/365</f>
        <v/>
      </c>
      <c r="AV158" s="45">
        <f>$AT$158+$AW$409*$AW$410*92/365</f>
        <v/>
      </c>
      <c r="AW158" s="45">
        <f>SUM(AS158,AT158,AU158,AV158)</f>
        <v/>
      </c>
      <c r="AX158" s="45">
        <f>AW408*AX416+AW414*AX417+(N(AX389)+N(AX385))*AX417*N(AX64)/365</f>
        <v/>
      </c>
      <c r="AY158" s="45">
        <f>AX408*AY416+AX414*AY417+(N(AY389)+N(AY385))*AY417*N(AY64)/365</f>
        <v/>
      </c>
      <c r="AZ158" s="45">
        <f>AY408*AZ416+AY414*AZ417+(N(AZ389)+N(AZ385))*AZ417*N(AZ64)/365</f>
        <v/>
      </c>
      <c r="BA158" s="45">
        <f>AZ408*BA416+AZ414*BA417+(N(BA389)+N(BA385))*BA417*N(BA64)/365</f>
        <v/>
      </c>
      <c r="BB158" s="19" t="inlineStr">
        <is>
          <t>Q3/Q4-26E: Q2/26 run-rate + €4.5bn notes (15-Sep-2026; 4.44% blended) for the days outstanding. 2027E+: rates × opening balances + DH acquisition debt from closing (no circularity).</t>
        </is>
      </c>
    </row>
    <row r="159">
      <c r="B159" s="27" t="inlineStr">
        <is>
          <t>Interest income (separate line from 2026; earlier periods reclassified out of other income)</t>
        </is>
      </c>
      <c r="C159" s="44" t="n">
        <v>22</v>
      </c>
      <c r="D159" s="44" t="n">
        <v>71</v>
      </c>
      <c r="E159" s="44" t="n">
        <v>18</v>
      </c>
      <c r="F159" s="44" t="n">
        <v>24</v>
      </c>
      <c r="G159" s="44" t="n">
        <v>27</v>
      </c>
      <c r="H159" s="44" t="n">
        <v>35</v>
      </c>
      <c r="I159" s="44" t="n">
        <v>104</v>
      </c>
      <c r="J159" s="44" t="n">
        <v>44</v>
      </c>
      <c r="K159" s="44" t="n">
        <v>64</v>
      </c>
      <c r="L159" s="44" t="n">
        <v>76</v>
      </c>
      <c r="M159" s="44" t="n">
        <v>50</v>
      </c>
      <c r="N159" s="44" t="n">
        <v>234</v>
      </c>
      <c r="O159" s="44" t="n">
        <v>38</v>
      </c>
      <c r="P159" s="44" t="n">
        <v>6</v>
      </c>
      <c r="Q159" s="44" t="n">
        <v>7</v>
      </c>
      <c r="R159" s="44" t="n">
        <v>4</v>
      </c>
      <c r="S159" s="44" t="n">
        <v>55</v>
      </c>
      <c r="T159" s="44" t="n">
        <v>5</v>
      </c>
      <c r="U159" s="44" t="n">
        <v>13</v>
      </c>
      <c r="V159" s="44" t="n">
        <v>10</v>
      </c>
      <c r="W159" s="44" t="n">
        <v>9</v>
      </c>
      <c r="X159" s="44" t="n">
        <v>37</v>
      </c>
      <c r="Y159" s="44" t="n">
        <v>11</v>
      </c>
      <c r="Z159" s="44" t="n">
        <v>17</v>
      </c>
      <c r="AA159" s="44" t="n">
        <v>38</v>
      </c>
      <c r="AB159" s="44" t="n">
        <v>73</v>
      </c>
      <c r="AC159" s="44" t="n">
        <v>139</v>
      </c>
      <c r="AD159" s="44" t="n">
        <v>87</v>
      </c>
      <c r="AE159" s="44" t="n">
        <v>107</v>
      </c>
      <c r="AF159" s="44" t="n">
        <v>130</v>
      </c>
      <c r="AG159" s="44" t="n">
        <v>160</v>
      </c>
      <c r="AH159" s="44" t="n">
        <v>484</v>
      </c>
      <c r="AI159" s="44" t="n">
        <v>159</v>
      </c>
      <c r="AJ159" s="44" t="n">
        <v>176</v>
      </c>
      <c r="AK159" s="44" t="n">
        <v>195</v>
      </c>
      <c r="AL159" s="44" t="n">
        <v>191</v>
      </c>
      <c r="AM159" s="44" t="n">
        <v>721</v>
      </c>
      <c r="AN159" s="44" t="n">
        <v>169</v>
      </c>
      <c r="AO159" s="44" t="n">
        <v>181</v>
      </c>
      <c r="AP159" s="44" t="n">
        <v>193</v>
      </c>
      <c r="AQ159" s="44" t="n">
        <v>200</v>
      </c>
      <c r="AR159" s="44" t="n">
        <v>743</v>
      </c>
      <c r="AS159" s="44" t="n">
        <v>175</v>
      </c>
      <c r="AT159" s="44" t="n">
        <v>172</v>
      </c>
      <c r="AU159" s="45">
        <f>$AT$159</f>
        <v/>
      </c>
      <c r="AV159" s="45">
        <f>$AT$159</f>
        <v/>
      </c>
      <c r="AW159" s="45">
        <f>SUM(AS159,AT159,AU159,AV159)</f>
        <v/>
      </c>
      <c r="AX159" s="45">
        <f>(AW317+AW318+AW319+AW324+AW325)*AX418</f>
        <v/>
      </c>
      <c r="AY159" s="45">
        <f>(AX317+AX318+AX319+AX324+AX325)*AY418</f>
        <v/>
      </c>
      <c r="AZ159" s="45">
        <f>(AY317+AY318+AY319+AY324+AY325)*AZ418</f>
        <v/>
      </c>
      <c r="BA159" s="45">
        <f>(AZ317+AZ318+AZ319+AZ324+AZ325)*BA418</f>
        <v/>
      </c>
      <c r="BB159" s="19" t="inlineStr">
        <is>
          <t>2027E+: yield × opening cash, short-term investments and restricted cash &amp; investments (insurance float).</t>
        </is>
      </c>
    </row>
    <row r="160">
      <c r="B160" s="27" t="inlineStr">
        <is>
          <t>Other income (expense), net (excl. interest income; equity-investment revaluations, FX, gains on divestitures)</t>
        </is>
      </c>
      <c r="C160" s="44" t="n">
        <v>117</v>
      </c>
      <c r="D160" s="44" t="n">
        <v>-87</v>
      </c>
      <c r="E160" s="44" t="n">
        <v>4919</v>
      </c>
      <c r="F160" s="44" t="n">
        <v>39</v>
      </c>
      <c r="G160" s="44" t="n">
        <v>-81</v>
      </c>
      <c r="H160" s="44" t="n">
        <v>12</v>
      </c>
      <c r="I160" s="44" t="n">
        <v>4889</v>
      </c>
      <c r="J160" s="44" t="n">
        <v>216</v>
      </c>
      <c r="K160" s="44" t="n">
        <v>334</v>
      </c>
      <c r="L160" s="44" t="n">
        <v>-27</v>
      </c>
      <c r="M160" s="44" t="n">
        <v>-35</v>
      </c>
      <c r="N160" s="44" t="n">
        <v>488</v>
      </c>
      <c r="O160" s="44" t="n">
        <v>-1833</v>
      </c>
      <c r="P160" s="44" t="n">
        <v>-50</v>
      </c>
      <c r="Q160" s="44" t="n">
        <v>144</v>
      </c>
      <c r="R160" s="44" t="n">
        <v>59</v>
      </c>
      <c r="S160" s="44" t="n">
        <v>-1680</v>
      </c>
      <c r="T160" s="44" t="n">
        <v>1705</v>
      </c>
      <c r="U160" s="44" t="n">
        <v>1930</v>
      </c>
      <c r="V160" s="44" t="n">
        <v>-1842</v>
      </c>
      <c r="W160" s="44" t="n">
        <v>1462</v>
      </c>
      <c r="X160" s="44" t="n">
        <v>3255</v>
      </c>
      <c r="Y160" s="44" t="n">
        <v>-5568</v>
      </c>
      <c r="Z160" s="44" t="n">
        <v>-1721</v>
      </c>
      <c r="AA160" s="44" t="n">
        <v>-573</v>
      </c>
      <c r="AB160" s="44" t="n">
        <v>694</v>
      </c>
      <c r="AC160" s="44" t="n">
        <v>-7168</v>
      </c>
      <c r="AD160" s="44" t="n">
        <v>205</v>
      </c>
      <c r="AE160" s="44" t="n">
        <v>166</v>
      </c>
      <c r="AF160" s="44" t="n">
        <v>-182</v>
      </c>
      <c r="AG160" s="44" t="n">
        <v>1171</v>
      </c>
      <c r="AH160" s="44" t="n">
        <v>1360</v>
      </c>
      <c r="AI160" s="44" t="n">
        <v>-837</v>
      </c>
      <c r="AJ160" s="44" t="n">
        <v>244</v>
      </c>
      <c r="AK160" s="44" t="n">
        <v>1656</v>
      </c>
      <c r="AL160" s="44" t="n">
        <v>65</v>
      </c>
      <c r="AM160" s="44" t="n">
        <v>1128</v>
      </c>
      <c r="AN160" s="44" t="n">
        <v>93</v>
      </c>
      <c r="AO160" s="44" t="n">
        <v>-19</v>
      </c>
      <c r="AP160" s="44" t="n">
        <v>1426</v>
      </c>
      <c r="AQ160" s="44" t="n">
        <v>-1568</v>
      </c>
      <c r="AR160" s="44" t="n">
        <v>-68</v>
      </c>
      <c r="AS160" s="44" t="n">
        <v>-1494</v>
      </c>
      <c r="AT160" s="44" t="n">
        <v>1342</v>
      </c>
      <c r="AU160" s="47" t="n">
        <v>0</v>
      </c>
      <c r="AV160" s="47" t="n">
        <v>0</v>
      </c>
      <c r="AW160" s="45">
        <f>SUM(AS160,AT160,AU160,AV160)</f>
        <v/>
      </c>
      <c r="AX160" s="47" t="n">
        <v>0</v>
      </c>
      <c r="AY160" s="47" t="n">
        <v>0</v>
      </c>
      <c r="AZ160" s="47" t="n">
        <v>0</v>
      </c>
      <c r="BA160" s="47" t="n">
        <v>0</v>
      </c>
      <c r="BB160" s="19" t="inlineStr">
        <is>
          <t>Not forecast (revaluations of Didi / Aurora / Grab / other stakes are unpredictable; excluded from Non-GAAP).</t>
        </is>
      </c>
    </row>
    <row r="161">
      <c r="B161" s="16" t="inlineStr">
        <is>
          <t>Income (loss) before income taxes and loss from equity method investments</t>
        </is>
      </c>
      <c r="C161" s="36">
        <f>C157-C158+C159+C160</f>
        <v/>
      </c>
      <c r="D161" s="36">
        <f>D157-D158+D159+D160</f>
        <v/>
      </c>
      <c r="E161" s="36">
        <f>E157-E158+E159+E160</f>
        <v/>
      </c>
      <c r="F161" s="36">
        <f>F157-F158+F159+F160</f>
        <v/>
      </c>
      <c r="G161" s="36">
        <f>G157-G158+G159+G160</f>
        <v/>
      </c>
      <c r="H161" s="36">
        <f>H157-H158+H159+H160</f>
        <v/>
      </c>
      <c r="I161" s="36">
        <f>I157-I158+I159+I160</f>
        <v/>
      </c>
      <c r="J161" s="36">
        <f>J157-J158+J159+J160</f>
        <v/>
      </c>
      <c r="K161" s="36">
        <f>K157-K158+K159+K160</f>
        <v/>
      </c>
      <c r="L161" s="36">
        <f>L157-L158+L159+L160</f>
        <v/>
      </c>
      <c r="M161" s="36">
        <f>M157-M158+M159+M160</f>
        <v/>
      </c>
      <c r="N161" s="36">
        <f>N157-N158+N159+N160</f>
        <v/>
      </c>
      <c r="O161" s="36">
        <f>O157-O158+O159+O160</f>
        <v/>
      </c>
      <c r="P161" s="36">
        <f>P157-P158+P159+P160</f>
        <v/>
      </c>
      <c r="Q161" s="36">
        <f>Q157-Q158+Q159+Q160</f>
        <v/>
      </c>
      <c r="R161" s="36">
        <f>R157-R158+R159+R160</f>
        <v/>
      </c>
      <c r="S161" s="36">
        <f>S157-S158+S159+S160</f>
        <v/>
      </c>
      <c r="T161" s="36">
        <f>T157-T158+T159+T160</f>
        <v/>
      </c>
      <c r="U161" s="36">
        <f>U157-U158+U159+U160</f>
        <v/>
      </c>
      <c r="V161" s="36">
        <f>V157-V158+V159+V160</f>
        <v/>
      </c>
      <c r="W161" s="36">
        <f>W157-W158+W159+W160</f>
        <v/>
      </c>
      <c r="X161" s="36">
        <f>X157-X158+X159+X160</f>
        <v/>
      </c>
      <c r="Y161" s="36">
        <f>Y157-Y158+Y159+Y160</f>
        <v/>
      </c>
      <c r="Z161" s="36">
        <f>Z157-Z158+Z159+Z160</f>
        <v/>
      </c>
      <c r="AA161" s="36">
        <f>AA157-AA158+AA159+AA160</f>
        <v/>
      </c>
      <c r="AB161" s="36">
        <f>AB157-AB158+AB159+AB160</f>
        <v/>
      </c>
      <c r="AC161" s="36">
        <f>AC157-AC158+AC159+AC160</f>
        <v/>
      </c>
      <c r="AD161" s="36">
        <f>AD157-AD158+AD159+AD160</f>
        <v/>
      </c>
      <c r="AE161" s="36">
        <f>AE157-AE158+AE159+AE160</f>
        <v/>
      </c>
      <c r="AF161" s="36">
        <f>AF157-AF158+AF159+AF160</f>
        <v/>
      </c>
      <c r="AG161" s="36">
        <f>AG157-AG158+AG159+AG160</f>
        <v/>
      </c>
      <c r="AH161" s="36">
        <f>AH157-AH158+AH159+AH160</f>
        <v/>
      </c>
      <c r="AI161" s="36">
        <f>AI157-AI158+AI159+AI160</f>
        <v/>
      </c>
      <c r="AJ161" s="36">
        <f>AJ157-AJ158+AJ159+AJ160</f>
        <v/>
      </c>
      <c r="AK161" s="36">
        <f>AK157-AK158+AK159+AK160</f>
        <v/>
      </c>
      <c r="AL161" s="36">
        <f>AL157-AL158+AL159+AL160</f>
        <v/>
      </c>
      <c r="AM161" s="36">
        <f>AM157-AM158+AM159+AM160</f>
        <v/>
      </c>
      <c r="AN161" s="36">
        <f>AN157-AN158+AN159+AN160</f>
        <v/>
      </c>
      <c r="AO161" s="36">
        <f>AO157-AO158+AO159+AO160</f>
        <v/>
      </c>
      <c r="AP161" s="36">
        <f>AP157-AP158+AP159+AP160</f>
        <v/>
      </c>
      <c r="AQ161" s="36">
        <f>AQ157-AQ158+AQ159+AQ160</f>
        <v/>
      </c>
      <c r="AR161" s="36">
        <f>AR157-AR158+AR159+AR160</f>
        <v/>
      </c>
      <c r="AS161" s="36">
        <f>AS157-AS158+AS159+AS160</f>
        <v/>
      </c>
      <c r="AT161" s="36">
        <f>AT157-AT158+AT159+AT160</f>
        <v/>
      </c>
      <c r="AU161" s="18">
        <f>AU157-AU158+AU159+AU160</f>
        <v/>
      </c>
      <c r="AV161" s="18">
        <f>AV157-AV158+AV159+AV160</f>
        <v/>
      </c>
      <c r="AW161" s="18">
        <f>AW157-AW158+AW159+AW160</f>
        <v/>
      </c>
      <c r="AX161" s="18">
        <f>AX157-AX158+AX159+AX160</f>
        <v/>
      </c>
      <c r="AY161" s="18">
        <f>AY157-AY158+AY159+AY160</f>
        <v/>
      </c>
      <c r="AZ161" s="18">
        <f>AZ157-AZ158+AZ159+AZ160</f>
        <v/>
      </c>
      <c r="BA161" s="18">
        <f>BA157-BA158+BA159+BA160</f>
        <v/>
      </c>
      <c r="BB161" s="26" t="n"/>
    </row>
    <row r="162">
      <c r="B162" s="27" t="inlineStr">
        <is>
          <t>Provision for (benefit from) income taxes</t>
        </is>
      </c>
      <c r="C162" s="44" t="n">
        <v>28</v>
      </c>
      <c r="D162" s="44" t="n">
        <v>-542</v>
      </c>
      <c r="E162" s="44" t="n">
        <v>576</v>
      </c>
      <c r="F162" s="44" t="n">
        <v>28</v>
      </c>
      <c r="G162" s="44" t="n">
        <v>1</v>
      </c>
      <c r="H162" s="44" t="n">
        <v>-322</v>
      </c>
      <c r="I162" s="44" t="n">
        <v>283</v>
      </c>
      <c r="J162" s="44" t="n">
        <v>19</v>
      </c>
      <c r="K162" s="44" t="n">
        <v>-2</v>
      </c>
      <c r="L162" s="44" t="n">
        <v>3</v>
      </c>
      <c r="M162" s="44" t="n">
        <v>25</v>
      </c>
      <c r="N162" s="44" t="n">
        <v>45</v>
      </c>
      <c r="O162" s="44" t="n">
        <v>-242</v>
      </c>
      <c r="P162" s="44" t="n">
        <v>4</v>
      </c>
      <c r="Q162" s="44" t="n">
        <v>23</v>
      </c>
      <c r="R162" s="44" t="n">
        <v>23</v>
      </c>
      <c r="S162" s="44" t="n">
        <v>-192</v>
      </c>
      <c r="T162" s="44" t="n">
        <v>185</v>
      </c>
      <c r="U162" s="44" t="n">
        <v>-479</v>
      </c>
      <c r="V162" s="44" t="n">
        <v>-101</v>
      </c>
      <c r="W162" s="44" t="n">
        <v>-97</v>
      </c>
      <c r="X162" s="44" t="n">
        <v>-492</v>
      </c>
      <c r="Y162" s="44" t="n">
        <v>-232</v>
      </c>
      <c r="Z162" s="44" t="n">
        <v>77</v>
      </c>
      <c r="AA162" s="44" t="n">
        <v>58</v>
      </c>
      <c r="AB162" s="44" t="n">
        <v>-84</v>
      </c>
      <c r="AC162" s="44" t="n">
        <v>-181</v>
      </c>
      <c r="AD162" s="44" t="n">
        <v>55</v>
      </c>
      <c r="AE162" s="44" t="n">
        <v>65</v>
      </c>
      <c r="AF162" s="44" t="n">
        <v>-40</v>
      </c>
      <c r="AG162" s="44" t="n">
        <v>133</v>
      </c>
      <c r="AH162" s="44" t="n">
        <v>213</v>
      </c>
      <c r="AI162" s="44" t="n">
        <v>29</v>
      </c>
      <c r="AJ162" s="44" t="n">
        <v>57</v>
      </c>
      <c r="AK162" s="44" t="n">
        <v>158</v>
      </c>
      <c r="AL162" s="44" t="n">
        <v>-6002</v>
      </c>
      <c r="AM162" s="44" t="n">
        <v>-5758</v>
      </c>
      <c r="AN162" s="44" t="n">
        <v>-402</v>
      </c>
      <c r="AO162" s="44" t="n">
        <v>142</v>
      </c>
      <c r="AP162" s="44" t="n">
        <v>-4046</v>
      </c>
      <c r="AQ162" s="44" t="n">
        <v>-40</v>
      </c>
      <c r="AR162" s="44" t="n">
        <v>-4346</v>
      </c>
      <c r="AS162" s="44" t="n">
        <v>194</v>
      </c>
      <c r="AT162" s="44" t="n">
        <v>840</v>
      </c>
      <c r="AU162" s="45">
        <f>AU161*AU163</f>
        <v/>
      </c>
      <c r="AV162" s="45">
        <f>AV161*AV163</f>
        <v/>
      </c>
      <c r="AW162" s="45">
        <f>SUM(AS162,AT162,AU162,AV162)</f>
        <v/>
      </c>
      <c r="AX162" s="45">
        <f>AX161*AX163</f>
        <v/>
      </c>
      <c r="AY162" s="45">
        <f>AY161*AY163</f>
        <v/>
      </c>
      <c r="AZ162" s="45">
        <f>AZ161*AZ163</f>
        <v/>
      </c>
      <c r="BA162" s="45">
        <f>BA161*BA163</f>
        <v/>
      </c>
      <c r="BB162" s="26" t="n"/>
    </row>
    <row r="163">
      <c r="B163" s="27" t="inlineStr">
        <is>
          <t xml:space="preserve">  Effective tax rate</t>
        </is>
      </c>
      <c r="C163" s="39">
        <f>IF(AND(ISNUMBER(C162),ISNUMBER(C161)),IFERROR(C162/C161,""),"")</f>
        <v/>
      </c>
      <c r="D163" s="39">
        <f>IF(AND(ISNUMBER(D162),ISNUMBER(D161)),IFERROR(D162/D161,""),"")</f>
        <v/>
      </c>
      <c r="E163" s="39">
        <f>IF(AND(ISNUMBER(E162),ISNUMBER(E161)),IFERROR(E162/E161,""),"")</f>
        <v/>
      </c>
      <c r="F163" s="39">
        <f>IF(AND(ISNUMBER(F162),ISNUMBER(F161)),IFERROR(F162/F161,""),"")</f>
        <v/>
      </c>
      <c r="G163" s="39">
        <f>IF(AND(ISNUMBER(G162),ISNUMBER(G161)),IFERROR(G162/G161,""),"")</f>
        <v/>
      </c>
      <c r="H163" s="39">
        <f>IF(AND(ISNUMBER(H162),ISNUMBER(H161)),IFERROR(H162/H161,""),"")</f>
        <v/>
      </c>
      <c r="I163" s="39">
        <f>IF(AND(ISNUMBER(I162),ISNUMBER(I161)),IFERROR(I162/I161,""),"")</f>
        <v/>
      </c>
      <c r="J163" s="39">
        <f>IF(AND(ISNUMBER(J162),ISNUMBER(J161)),IFERROR(J162/J161,""),"")</f>
        <v/>
      </c>
      <c r="K163" s="39">
        <f>IF(AND(ISNUMBER(K162),ISNUMBER(K161)),IFERROR(K162/K161,""),"")</f>
        <v/>
      </c>
      <c r="L163" s="39">
        <f>IF(AND(ISNUMBER(L162),ISNUMBER(L161)),IFERROR(L162/L161,""),"")</f>
        <v/>
      </c>
      <c r="M163" s="39">
        <f>IF(AND(ISNUMBER(M162),ISNUMBER(M161)),IFERROR(M162/M161,""),"")</f>
        <v/>
      </c>
      <c r="N163" s="39">
        <f>IF(AND(ISNUMBER(N162),ISNUMBER(N161)),IFERROR(N162/N161,""),"")</f>
        <v/>
      </c>
      <c r="O163" s="39">
        <f>IF(AND(ISNUMBER(O162),ISNUMBER(O161)),IFERROR(O162/O161,""),"")</f>
        <v/>
      </c>
      <c r="P163" s="39">
        <f>IF(AND(ISNUMBER(P162),ISNUMBER(P161)),IFERROR(P162/P161,""),"")</f>
        <v/>
      </c>
      <c r="Q163" s="39">
        <f>IF(AND(ISNUMBER(Q162),ISNUMBER(Q161)),IFERROR(Q162/Q161,""),"")</f>
        <v/>
      </c>
      <c r="R163" s="39">
        <f>IF(AND(ISNUMBER(R162),ISNUMBER(R161)),IFERROR(R162/R161,""),"")</f>
        <v/>
      </c>
      <c r="S163" s="39">
        <f>IF(AND(ISNUMBER(S162),ISNUMBER(S161)),IFERROR(S162/S161,""),"")</f>
        <v/>
      </c>
      <c r="T163" s="39">
        <f>IF(AND(ISNUMBER(T162),ISNUMBER(T161)),IFERROR(T162/T161,""),"")</f>
        <v/>
      </c>
      <c r="U163" s="39">
        <f>IF(AND(ISNUMBER(U162),ISNUMBER(U161)),IFERROR(U162/U161,""),"")</f>
        <v/>
      </c>
      <c r="V163" s="39">
        <f>IF(AND(ISNUMBER(V162),ISNUMBER(V161)),IFERROR(V162/V161,""),"")</f>
        <v/>
      </c>
      <c r="W163" s="39">
        <f>IF(AND(ISNUMBER(W162),ISNUMBER(W161)),IFERROR(W162/W161,""),"")</f>
        <v/>
      </c>
      <c r="X163" s="39">
        <f>IF(AND(ISNUMBER(X162),ISNUMBER(X161)),IFERROR(X162/X161,""),"")</f>
        <v/>
      </c>
      <c r="Y163" s="39">
        <f>IF(AND(ISNUMBER(Y162),ISNUMBER(Y161)),IFERROR(Y162/Y161,""),"")</f>
        <v/>
      </c>
      <c r="Z163" s="39">
        <f>IF(AND(ISNUMBER(Z162),ISNUMBER(Z161)),IFERROR(Z162/Z161,""),"")</f>
        <v/>
      </c>
      <c r="AA163" s="39">
        <f>IF(AND(ISNUMBER(AA162),ISNUMBER(AA161)),IFERROR(AA162/AA161,""),"")</f>
        <v/>
      </c>
      <c r="AB163" s="39">
        <f>IF(AND(ISNUMBER(AB162),ISNUMBER(AB161)),IFERROR(AB162/AB161,""),"")</f>
        <v/>
      </c>
      <c r="AC163" s="39">
        <f>IF(AND(ISNUMBER(AC162),ISNUMBER(AC161)),IFERROR(AC162/AC161,""),"")</f>
        <v/>
      </c>
      <c r="AD163" s="39">
        <f>IF(AND(ISNUMBER(AD162),ISNUMBER(AD161)),IFERROR(AD162/AD161,""),"")</f>
        <v/>
      </c>
      <c r="AE163" s="39">
        <f>IF(AND(ISNUMBER(AE162),ISNUMBER(AE161)),IFERROR(AE162/AE161,""),"")</f>
        <v/>
      </c>
      <c r="AF163" s="39">
        <f>IF(AND(ISNUMBER(AF162),ISNUMBER(AF161)),IFERROR(AF162/AF161,""),"")</f>
        <v/>
      </c>
      <c r="AG163" s="39">
        <f>IF(AND(ISNUMBER(AG162),ISNUMBER(AG161)),IFERROR(AG162/AG161,""),"")</f>
        <v/>
      </c>
      <c r="AH163" s="39">
        <f>IF(AND(ISNUMBER(AH162),ISNUMBER(AH161)),IFERROR(AH162/AH161,""),"")</f>
        <v/>
      </c>
      <c r="AI163" s="39">
        <f>IF(AND(ISNUMBER(AI162),ISNUMBER(AI161)),IFERROR(AI162/AI161,""),"")</f>
        <v/>
      </c>
      <c r="AJ163" s="39">
        <f>IF(AND(ISNUMBER(AJ162),ISNUMBER(AJ161)),IFERROR(AJ162/AJ161,""),"")</f>
        <v/>
      </c>
      <c r="AK163" s="39">
        <f>IF(AND(ISNUMBER(AK162),ISNUMBER(AK161)),IFERROR(AK162/AK161,""),"")</f>
        <v/>
      </c>
      <c r="AL163" s="39">
        <f>IF(AND(ISNUMBER(AL162),ISNUMBER(AL161)),IFERROR(AL162/AL161,""),"")</f>
        <v/>
      </c>
      <c r="AM163" s="39">
        <f>IF(AND(ISNUMBER(AM162),ISNUMBER(AM161)),IFERROR(AM162/AM161,""),"")</f>
        <v/>
      </c>
      <c r="AN163" s="39">
        <f>IF(AND(ISNUMBER(AN162),ISNUMBER(AN161)),IFERROR(AN162/AN161,""),"")</f>
        <v/>
      </c>
      <c r="AO163" s="39">
        <f>IF(AND(ISNUMBER(AO162),ISNUMBER(AO161)),IFERROR(AO162/AO161,""),"")</f>
        <v/>
      </c>
      <c r="AP163" s="39">
        <f>IF(AND(ISNUMBER(AP162),ISNUMBER(AP161)),IFERROR(AP162/AP161,""),"")</f>
        <v/>
      </c>
      <c r="AQ163" s="39">
        <f>IF(AND(ISNUMBER(AQ162),ISNUMBER(AQ161)),IFERROR(AQ162/AQ161,""),"")</f>
        <v/>
      </c>
      <c r="AR163" s="39">
        <f>IF(AND(ISNUMBER(AR162),ISNUMBER(AR161)),IFERROR(AR162/AR161,""),"")</f>
        <v/>
      </c>
      <c r="AS163" s="39">
        <f>IF(AND(ISNUMBER(AS162),ISNUMBER(AS161)),IFERROR(AS162/AS161,""),"")</f>
        <v/>
      </c>
      <c r="AT163" s="39">
        <f>IF(AND(ISNUMBER(AT162),ISNUMBER(AT161)),IFERROR(AT162/AT161,""),"")</f>
        <v/>
      </c>
      <c r="AU163" s="25">
        <f>$BL$16</f>
        <v/>
      </c>
      <c r="AV163" s="25">
        <f>$BL$16</f>
        <v/>
      </c>
      <c r="AW163" s="25">
        <f>IFERROR(AW162/AW161,"")</f>
        <v/>
      </c>
      <c r="AX163" s="32" t="n">
        <v>0.24</v>
      </c>
      <c r="AY163" s="32" t="n">
        <v>0.24</v>
      </c>
      <c r="AZ163" s="32" t="n">
        <v>0.24</v>
      </c>
      <c r="BA163" s="32" t="n">
        <v>0.24</v>
      </c>
      <c r="BB163" s="19" t="inlineStr">
        <is>
          <t>Q3/Q4-26E &amp; 2027E+: 24% (1H/26 Non-GAAP ETR 24%; GAAP 27%).</t>
        </is>
      </c>
    </row>
    <row r="164">
      <c r="B164" s="27" t="inlineStr">
        <is>
          <t>Income (loss) from equity method investments</t>
        </is>
      </c>
      <c r="C164" s="44" t="n">
        <v>0</v>
      </c>
      <c r="D164" s="44" t="n">
        <v>0</v>
      </c>
      <c r="E164" s="44" t="n">
        <v>-3</v>
      </c>
      <c r="F164" s="44" t="n">
        <v>-14</v>
      </c>
      <c r="G164" s="44" t="n">
        <v>-15</v>
      </c>
      <c r="H164" s="44" t="n">
        <v>-10</v>
      </c>
      <c r="I164" s="44" t="n">
        <v>-42</v>
      </c>
      <c r="J164" s="44" t="n">
        <v>-6</v>
      </c>
      <c r="K164" s="44" t="n">
        <v>-10</v>
      </c>
      <c r="L164" s="44" t="n">
        <v>-9</v>
      </c>
      <c r="M164" s="44" t="n">
        <v>-9</v>
      </c>
      <c r="N164" s="44" t="n">
        <v>-34</v>
      </c>
      <c r="O164" s="44" t="n">
        <v>-12</v>
      </c>
      <c r="P164" s="44" t="n">
        <v>-7</v>
      </c>
      <c r="Q164" s="44" t="n">
        <v>-8</v>
      </c>
      <c r="R164" s="44" t="n">
        <v>-7</v>
      </c>
      <c r="S164" s="44" t="n">
        <v>-34</v>
      </c>
      <c r="T164" s="44" t="n">
        <v>-8</v>
      </c>
      <c r="U164" s="44" t="n">
        <v>-7</v>
      </c>
      <c r="V164" s="44" t="n">
        <v>-13</v>
      </c>
      <c r="W164" s="44" t="n">
        <v>-9</v>
      </c>
      <c r="X164" s="44" t="n">
        <v>-37</v>
      </c>
      <c r="Y164" s="44" t="n">
        <v>18</v>
      </c>
      <c r="Z164" s="44" t="n">
        <v>17</v>
      </c>
      <c r="AA164" s="44" t="n">
        <v>30</v>
      </c>
      <c r="AB164" s="44" t="n">
        <v>42</v>
      </c>
      <c r="AC164" s="44" t="n">
        <v>107</v>
      </c>
      <c r="AD164" s="44" t="n">
        <v>36</v>
      </c>
      <c r="AE164" s="44" t="n">
        <v>4</v>
      </c>
      <c r="AF164" s="44" t="n">
        <v>3</v>
      </c>
      <c r="AG164" s="44" t="n">
        <v>5</v>
      </c>
      <c r="AH164" s="44" t="n">
        <v>48</v>
      </c>
      <c r="AI164" s="44" t="n">
        <v>-4</v>
      </c>
      <c r="AJ164" s="44" t="n">
        <v>-12</v>
      </c>
      <c r="AK164" s="44" t="n">
        <v>-12</v>
      </c>
      <c r="AL164" s="44" t="n">
        <v>-10</v>
      </c>
      <c r="AM164" s="44" t="n">
        <v>-38</v>
      </c>
      <c r="AN164" s="44" t="n">
        <v>-13</v>
      </c>
      <c r="AO164" s="44" t="n">
        <v>-12</v>
      </c>
      <c r="AP164" s="44" t="n">
        <v>-14</v>
      </c>
      <c r="AQ164" s="44" t="n">
        <v>-14</v>
      </c>
      <c r="AR164" s="44" t="n">
        <v>-53</v>
      </c>
      <c r="AS164" s="44" t="n">
        <v>-20</v>
      </c>
      <c r="AT164" s="44" t="n">
        <v>-21</v>
      </c>
      <c r="AU164" s="45">
        <f>$AT$164</f>
        <v/>
      </c>
      <c r="AV164" s="45">
        <f>$AT$164</f>
        <v/>
      </c>
      <c r="AW164" s="45">
        <f>SUM(AS164,AT164,AU164,AV164)</f>
        <v/>
      </c>
      <c r="AX164" s="47" t="n">
        <v>-70</v>
      </c>
      <c r="AY164" s="47" t="n">
        <v>-10</v>
      </c>
      <c r="AZ164" s="47" t="n">
        <v>-10</v>
      </c>
      <c r="BA164" s="47" t="n">
        <v>-10</v>
      </c>
      <c r="BB164" s="19" t="inlineStr">
        <is>
          <t>Q2/26 includes the ~24.8% Delivery Hero stake (equity method from Q2/26). 2027E: three quarters pre-closing.</t>
        </is>
      </c>
    </row>
    <row r="165">
      <c r="B165" s="27" t="inlineStr">
        <is>
          <t>Income from discontinued operations, net of tax (2016: Uber China sold to Didi)</t>
        </is>
      </c>
      <c r="C165" s="44" t="n">
        <v>2876</v>
      </c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  <c r="AA165" s="43" t="n"/>
      <c r="AB165" s="43" t="n"/>
      <c r="AC165" s="43" t="n"/>
      <c r="AD165" s="43" t="n"/>
      <c r="AE165" s="43" t="n"/>
      <c r="AF165" s="43" t="n"/>
      <c r="AG165" s="43" t="n"/>
      <c r="AH165" s="43" t="n"/>
      <c r="AI165" s="43" t="n"/>
      <c r="AJ165" s="43" t="n"/>
      <c r="AK165" s="43" t="n"/>
      <c r="AL165" s="43" t="n"/>
      <c r="AM165" s="43" t="n"/>
      <c r="AN165" s="43" t="n"/>
      <c r="AO165" s="43" t="n"/>
      <c r="AP165" s="43" t="n"/>
      <c r="AQ165" s="43" t="n"/>
      <c r="AR165" s="43" t="n"/>
      <c r="AS165" s="43" t="n"/>
      <c r="AT165" s="43" t="n"/>
      <c r="AU165" s="45" t="n"/>
      <c r="AV165" s="45" t="n"/>
      <c r="AW165" s="45" t="n"/>
      <c r="AX165" s="45" t="n"/>
      <c r="AY165" s="45" t="n"/>
      <c r="AZ165" s="45" t="n"/>
      <c r="BA165" s="45" t="n"/>
      <c r="BB165" s="26" t="n"/>
    </row>
    <row r="166">
      <c r="B166" s="16" t="inlineStr">
        <is>
          <t>Net income (loss) including non-controlling interests</t>
        </is>
      </c>
      <c r="C166" s="36">
        <f>C161-C162+C164+N(C165)</f>
        <v/>
      </c>
      <c r="D166" s="36">
        <f>D161-D162+D164+N(D165)</f>
        <v/>
      </c>
      <c r="E166" s="36">
        <f>E161-E162+E164+N(E165)</f>
        <v/>
      </c>
      <c r="F166" s="36">
        <f>F161-F162+F164+N(F165)</f>
        <v/>
      </c>
      <c r="G166" s="36">
        <f>G161-G162+G164+N(G165)</f>
        <v/>
      </c>
      <c r="H166" s="36">
        <f>H161-H162+H164+N(H165)</f>
        <v/>
      </c>
      <c r="I166" s="36">
        <f>I161-I162+I164+N(I165)</f>
        <v/>
      </c>
      <c r="J166" s="36">
        <f>J161-J162+J164+N(J165)</f>
        <v/>
      </c>
      <c r="K166" s="36">
        <f>K161-K162+K164+N(K165)</f>
        <v/>
      </c>
      <c r="L166" s="36">
        <f>L161-L162+L164+N(L165)</f>
        <v/>
      </c>
      <c r="M166" s="36">
        <f>M161-M162+M164+N(M165)</f>
        <v/>
      </c>
      <c r="N166" s="36">
        <f>N161-N162+N164+N(N165)</f>
        <v/>
      </c>
      <c r="O166" s="36">
        <f>O161-O162+O164+N(O165)</f>
        <v/>
      </c>
      <c r="P166" s="36">
        <f>P161-P162+P164+N(P165)</f>
        <v/>
      </c>
      <c r="Q166" s="36">
        <f>Q161-Q162+Q164+N(Q165)</f>
        <v/>
      </c>
      <c r="R166" s="36">
        <f>R161-R162+R164+N(R165)</f>
        <v/>
      </c>
      <c r="S166" s="36">
        <f>S161-S162+S164+N(S165)</f>
        <v/>
      </c>
      <c r="T166" s="36">
        <f>T161-T162+T164+N(T165)</f>
        <v/>
      </c>
      <c r="U166" s="36">
        <f>U161-U162+U164+N(U165)</f>
        <v/>
      </c>
      <c r="V166" s="36">
        <f>V161-V162+V164+N(V165)</f>
        <v/>
      </c>
      <c r="W166" s="36">
        <f>W161-W162+W164+N(W165)</f>
        <v/>
      </c>
      <c r="X166" s="36">
        <f>X161-X162+X164+N(X165)</f>
        <v/>
      </c>
      <c r="Y166" s="36">
        <f>Y161-Y162+Y164+N(Y165)</f>
        <v/>
      </c>
      <c r="Z166" s="36">
        <f>Z161-Z162+Z164+N(Z165)</f>
        <v/>
      </c>
      <c r="AA166" s="36">
        <f>AA161-AA162+AA164+N(AA165)</f>
        <v/>
      </c>
      <c r="AB166" s="36">
        <f>AB161-AB162+AB164+N(AB165)</f>
        <v/>
      </c>
      <c r="AC166" s="36">
        <f>AC161-AC162+AC164+N(AC165)</f>
        <v/>
      </c>
      <c r="AD166" s="36">
        <f>AD161-AD162+AD164+N(AD165)</f>
        <v/>
      </c>
      <c r="AE166" s="36">
        <f>AE161-AE162+AE164+N(AE165)</f>
        <v/>
      </c>
      <c r="AF166" s="36">
        <f>AF161-AF162+AF164+N(AF165)</f>
        <v/>
      </c>
      <c r="AG166" s="36">
        <f>AG161-AG162+AG164+N(AG165)</f>
        <v/>
      </c>
      <c r="AH166" s="36">
        <f>AH161-AH162+AH164+N(AH165)</f>
        <v/>
      </c>
      <c r="AI166" s="36">
        <f>AI161-AI162+AI164+N(AI165)</f>
        <v/>
      </c>
      <c r="AJ166" s="36">
        <f>AJ161-AJ162+AJ164+N(AJ165)</f>
        <v/>
      </c>
      <c r="AK166" s="36">
        <f>AK161-AK162+AK164+N(AK165)</f>
        <v/>
      </c>
      <c r="AL166" s="36">
        <f>AL161-AL162+AL164+N(AL165)</f>
        <v/>
      </c>
      <c r="AM166" s="36">
        <f>AM161-AM162+AM164+N(AM165)</f>
        <v/>
      </c>
      <c r="AN166" s="36">
        <f>AN161-AN162+AN164+N(AN165)</f>
        <v/>
      </c>
      <c r="AO166" s="36">
        <f>AO161-AO162+AO164+N(AO165)</f>
        <v/>
      </c>
      <c r="AP166" s="36">
        <f>AP161-AP162+AP164+N(AP165)</f>
        <v/>
      </c>
      <c r="AQ166" s="36">
        <f>AQ161-AQ162+AQ164+N(AQ165)</f>
        <v/>
      </c>
      <c r="AR166" s="36">
        <f>AR161-AR162+AR164+N(AR165)</f>
        <v/>
      </c>
      <c r="AS166" s="36">
        <f>AS161-AS162+AS164+N(AS165)</f>
        <v/>
      </c>
      <c r="AT166" s="36">
        <f>AT161-AT162+AT164+N(AT165)</f>
        <v/>
      </c>
      <c r="AU166" s="18">
        <f>AU161-AU162+AU164</f>
        <v/>
      </c>
      <c r="AV166" s="18">
        <f>AV161-AV162+AV164</f>
        <v/>
      </c>
      <c r="AW166" s="18">
        <f>AW161-AW162+AW164</f>
        <v/>
      </c>
      <c r="AX166" s="18">
        <f>AX161-AX162+AX164</f>
        <v/>
      </c>
      <c r="AY166" s="18">
        <f>AY161-AY162+AY164</f>
        <v/>
      </c>
      <c r="AZ166" s="18">
        <f>AZ161-AZ162+AZ164</f>
        <v/>
      </c>
      <c r="BA166" s="18">
        <f>BA161-BA162+BA164</f>
        <v/>
      </c>
      <c r="BB166" s="26" t="n"/>
    </row>
    <row r="167">
      <c r="B167" s="27" t="inlineStr">
        <is>
          <t xml:space="preserve">  Less: net income (loss) attributable to non-controlling interests</t>
        </is>
      </c>
      <c r="C167" s="44" t="n">
        <v>0</v>
      </c>
      <c r="D167" s="44" t="n">
        <v>0</v>
      </c>
      <c r="E167" s="44" t="n">
        <v>0</v>
      </c>
      <c r="F167" s="44" t="n">
        <v>0</v>
      </c>
      <c r="G167" s="44" t="n">
        <v>-8</v>
      </c>
      <c r="H167" s="44" t="n">
        <v>-2</v>
      </c>
      <c r="I167" s="44" t="n">
        <v>-10</v>
      </c>
      <c r="J167" s="44" t="n">
        <v>-4</v>
      </c>
      <c r="K167" s="44" t="n">
        <v>-10</v>
      </c>
      <c r="L167" s="44" t="n">
        <v>3</v>
      </c>
      <c r="M167" s="44" t="n">
        <v>5</v>
      </c>
      <c r="N167" s="44" t="n">
        <v>-6</v>
      </c>
      <c r="O167" s="44" t="n">
        <v>-10</v>
      </c>
      <c r="P167" s="44" t="n">
        <v>3</v>
      </c>
      <c r="Q167" s="44" t="n">
        <v>-19</v>
      </c>
      <c r="R167" s="44" t="n">
        <v>6</v>
      </c>
      <c r="S167" s="44" t="n">
        <v>-20</v>
      </c>
      <c r="T167" s="44" t="n">
        <v>-14</v>
      </c>
      <c r="U167" s="44" t="n">
        <v>-32</v>
      </c>
      <c r="V167" s="44" t="n">
        <v>-15</v>
      </c>
      <c r="W167" s="44" t="n">
        <v>-13</v>
      </c>
      <c r="X167" s="44" t="n">
        <v>-74</v>
      </c>
      <c r="Y167" s="44" t="n">
        <v>12</v>
      </c>
      <c r="Z167" s="44" t="n">
        <v>-15</v>
      </c>
      <c r="AA167" s="44" t="n">
        <v>2</v>
      </c>
      <c r="AB167" s="44" t="n">
        <v>4</v>
      </c>
      <c r="AC167" s="44" t="n">
        <v>3</v>
      </c>
      <c r="AD167" s="44" t="n">
        <v>0</v>
      </c>
      <c r="AE167" s="44" t="n">
        <v>0</v>
      </c>
      <c r="AF167" s="44" t="n">
        <v>-2</v>
      </c>
      <c r="AG167" s="44" t="n">
        <v>271</v>
      </c>
      <c r="AH167" s="44" t="n">
        <v>269</v>
      </c>
      <c r="AI167" s="44" t="n">
        <v>-9</v>
      </c>
      <c r="AJ167" s="44" t="n">
        <v>-7</v>
      </c>
      <c r="AK167" s="44" t="n">
        <v>-13</v>
      </c>
      <c r="AL167" s="44" t="n">
        <v>18</v>
      </c>
      <c r="AM167" s="44" t="n">
        <v>-11</v>
      </c>
      <c r="AN167" s="44" t="n">
        <v>-2</v>
      </c>
      <c r="AO167" s="44" t="n">
        <v>-5</v>
      </c>
      <c r="AP167" s="44" t="n">
        <v>26</v>
      </c>
      <c r="AQ167" s="44" t="n">
        <v>21</v>
      </c>
      <c r="AR167" s="44" t="n">
        <v>40</v>
      </c>
      <c r="AS167" s="44" t="n">
        <v>19</v>
      </c>
      <c r="AT167" s="44" t="n">
        <v>22</v>
      </c>
      <c r="AU167" s="45">
        <f>$AT$167</f>
        <v/>
      </c>
      <c r="AV167" s="45">
        <f>$AT$167</f>
        <v/>
      </c>
      <c r="AW167" s="45">
        <f>SUM(AS167,AT167,AU167,AV167)</f>
        <v/>
      </c>
      <c r="AX167" s="45">
        <f>AX145+N(AX80)</f>
        <v/>
      </c>
      <c r="AY167" s="45">
        <f>AY145+N(AY80)</f>
        <v/>
      </c>
      <c r="AZ167" s="45">
        <f>AZ145+N(AZ80)</f>
        <v/>
      </c>
      <c r="BA167" s="45">
        <f>BA145+N(BA80)</f>
        <v/>
      </c>
      <c r="BB167" s="26" t="n"/>
    </row>
    <row r="168">
      <c r="B168" s="52" t="inlineStr">
        <is>
          <t>Net income (loss) attributable to Uber Technologies, Inc.</t>
        </is>
      </c>
      <c r="C168" s="53">
        <f>C166-C167</f>
        <v/>
      </c>
      <c r="D168" s="53">
        <f>D166-D167</f>
        <v/>
      </c>
      <c r="E168" s="53">
        <f>E166-E167</f>
        <v/>
      </c>
      <c r="F168" s="53">
        <f>F166-F167</f>
        <v/>
      </c>
      <c r="G168" s="53">
        <f>G166-G167</f>
        <v/>
      </c>
      <c r="H168" s="53">
        <f>H166-H167</f>
        <v/>
      </c>
      <c r="I168" s="53">
        <f>I166-I167</f>
        <v/>
      </c>
      <c r="J168" s="53">
        <f>J166-J167</f>
        <v/>
      </c>
      <c r="K168" s="53">
        <f>K166-K167</f>
        <v/>
      </c>
      <c r="L168" s="53">
        <f>L166-L167</f>
        <v/>
      </c>
      <c r="M168" s="53">
        <f>M166-M167</f>
        <v/>
      </c>
      <c r="N168" s="53">
        <f>N166-N167</f>
        <v/>
      </c>
      <c r="O168" s="53">
        <f>O166-O167</f>
        <v/>
      </c>
      <c r="P168" s="53">
        <f>P166-P167</f>
        <v/>
      </c>
      <c r="Q168" s="53">
        <f>Q166-Q167</f>
        <v/>
      </c>
      <c r="R168" s="53">
        <f>R166-R167</f>
        <v/>
      </c>
      <c r="S168" s="53">
        <f>S166-S167</f>
        <v/>
      </c>
      <c r="T168" s="53">
        <f>T166-T167</f>
        <v/>
      </c>
      <c r="U168" s="53">
        <f>U166-U167</f>
        <v/>
      </c>
      <c r="V168" s="53">
        <f>V166-V167</f>
        <v/>
      </c>
      <c r="W168" s="53">
        <f>W166-W167</f>
        <v/>
      </c>
      <c r="X168" s="53">
        <f>X166-X167</f>
        <v/>
      </c>
      <c r="Y168" s="53">
        <f>Y166-Y167</f>
        <v/>
      </c>
      <c r="Z168" s="53">
        <f>Z166-Z167</f>
        <v/>
      </c>
      <c r="AA168" s="53">
        <f>AA166-AA167</f>
        <v/>
      </c>
      <c r="AB168" s="53">
        <f>AB166-AB167</f>
        <v/>
      </c>
      <c r="AC168" s="53">
        <f>AC166-AC167</f>
        <v/>
      </c>
      <c r="AD168" s="53">
        <f>AD166-AD167</f>
        <v/>
      </c>
      <c r="AE168" s="53">
        <f>AE166-AE167</f>
        <v/>
      </c>
      <c r="AF168" s="53">
        <f>AF166-AF167</f>
        <v/>
      </c>
      <c r="AG168" s="53">
        <f>AG166-AG167</f>
        <v/>
      </c>
      <c r="AH168" s="53">
        <f>AH166-AH167</f>
        <v/>
      </c>
      <c r="AI168" s="53">
        <f>AI166-AI167</f>
        <v/>
      </c>
      <c r="AJ168" s="53">
        <f>AJ166-AJ167</f>
        <v/>
      </c>
      <c r="AK168" s="53">
        <f>AK166-AK167</f>
        <v/>
      </c>
      <c r="AL168" s="53">
        <f>AL166-AL167</f>
        <v/>
      </c>
      <c r="AM168" s="53">
        <f>AM166-AM167</f>
        <v/>
      </c>
      <c r="AN168" s="53">
        <f>AN166-AN167</f>
        <v/>
      </c>
      <c r="AO168" s="53">
        <f>AO166-AO167</f>
        <v/>
      </c>
      <c r="AP168" s="53">
        <f>AP166-AP167</f>
        <v/>
      </c>
      <c r="AQ168" s="53">
        <f>AQ166-AQ167</f>
        <v/>
      </c>
      <c r="AR168" s="53">
        <f>AR166-AR167</f>
        <v/>
      </c>
      <c r="AS168" s="53">
        <f>AS166-AS167</f>
        <v/>
      </c>
      <c r="AT168" s="53">
        <f>AT166-AT167</f>
        <v/>
      </c>
      <c r="AU168" s="53">
        <f>AU166-AU167</f>
        <v/>
      </c>
      <c r="AV168" s="53">
        <f>AV166-AV167</f>
        <v/>
      </c>
      <c r="AW168" s="53">
        <f>AW166-AW167</f>
        <v/>
      </c>
      <c r="AX168" s="53">
        <f>AX166-AX167</f>
        <v/>
      </c>
      <c r="AY168" s="53">
        <f>AY166-AY167</f>
        <v/>
      </c>
      <c r="AZ168" s="53">
        <f>AZ166-AZ167</f>
        <v/>
      </c>
      <c r="BA168" s="53">
        <f>BA166-BA167</f>
        <v/>
      </c>
      <c r="BB168" s="26" t="n"/>
      <c r="BD168" s="20">
        <f>IFERROR((BA168/AR168)^(1/5)-1,"")</f>
        <v/>
      </c>
      <c r="BE168" s="20">
        <f>IFERROR((AR168/S168)^(1/5)-1,"")</f>
        <v/>
      </c>
      <c r="BF168" s="20">
        <f>IFERROR((AR168/I168)^(1/7)-1,"")</f>
        <v/>
      </c>
      <c r="BG168" s="20">
        <f>IFERROR((AR168/C168)^(1/9)-1,"")</f>
        <v/>
      </c>
    </row>
    <row r="169">
      <c r="B169" s="54" t="inlineStr">
        <is>
          <t xml:space="preserve">  Check: net income attributable vs reported (should be 0)</t>
        </is>
      </c>
      <c r="C169" s="43">
        <f>IF(ISNUMBER(C170),ROUND(C168-C170,1),"")</f>
        <v/>
      </c>
      <c r="D169" s="43">
        <f>IF(ISNUMBER(D170),ROUND(D168-D170,1),"")</f>
        <v/>
      </c>
      <c r="E169" s="43">
        <f>IF(ISNUMBER(E170),ROUND(E168-E170,1),"")</f>
        <v/>
      </c>
      <c r="F169" s="43">
        <f>IF(ISNUMBER(F170),ROUND(F168-F170,1),"")</f>
        <v/>
      </c>
      <c r="G169" s="43">
        <f>IF(ISNUMBER(G170),ROUND(G168-G170,1),"")</f>
        <v/>
      </c>
      <c r="H169" s="43">
        <f>IF(ISNUMBER(H170),ROUND(H168-H170,1),"")</f>
        <v/>
      </c>
      <c r="I169" s="43">
        <f>IF(ISNUMBER(I170),ROUND(I168-I170,1),"")</f>
        <v/>
      </c>
      <c r="J169" s="43">
        <f>IF(ISNUMBER(J170),ROUND(J168-J170,1),"")</f>
        <v/>
      </c>
      <c r="K169" s="43">
        <f>IF(ISNUMBER(K170),ROUND(K168-K170,1),"")</f>
        <v/>
      </c>
      <c r="L169" s="43">
        <f>IF(ISNUMBER(L170),ROUND(L168-L170,1),"")</f>
        <v/>
      </c>
      <c r="M169" s="43">
        <f>IF(ISNUMBER(M170),ROUND(M168-M170,1),"")</f>
        <v/>
      </c>
      <c r="N169" s="43">
        <f>IF(ISNUMBER(N170),ROUND(N168-N170,1),"")</f>
        <v/>
      </c>
      <c r="O169" s="43">
        <f>IF(ISNUMBER(O170),ROUND(O168-O170,1),"")</f>
        <v/>
      </c>
      <c r="P169" s="43">
        <f>IF(ISNUMBER(P170),ROUND(P168-P170,1),"")</f>
        <v/>
      </c>
      <c r="Q169" s="43">
        <f>IF(ISNUMBER(Q170),ROUND(Q168-Q170,1),"")</f>
        <v/>
      </c>
      <c r="R169" s="43">
        <f>IF(ISNUMBER(R170),ROUND(R168-R170,1),"")</f>
        <v/>
      </c>
      <c r="S169" s="43">
        <f>IF(ISNUMBER(S170),ROUND(S168-S170,1),"")</f>
        <v/>
      </c>
      <c r="T169" s="43">
        <f>IF(ISNUMBER(T170),ROUND(T168-T170,1),"")</f>
        <v/>
      </c>
      <c r="U169" s="43">
        <f>IF(ISNUMBER(U170),ROUND(U168-U170,1),"")</f>
        <v/>
      </c>
      <c r="V169" s="43">
        <f>IF(ISNUMBER(V170),ROUND(V168-V170,1),"")</f>
        <v/>
      </c>
      <c r="W169" s="43">
        <f>IF(ISNUMBER(W170),ROUND(W168-W170,1),"")</f>
        <v/>
      </c>
      <c r="X169" s="43">
        <f>IF(ISNUMBER(X170),ROUND(X168-X170,1),"")</f>
        <v/>
      </c>
      <c r="Y169" s="43">
        <f>IF(ISNUMBER(Y170),ROUND(Y168-Y170,1),"")</f>
        <v/>
      </c>
      <c r="Z169" s="43">
        <f>IF(ISNUMBER(Z170),ROUND(Z168-Z170,1),"")</f>
        <v/>
      </c>
      <c r="AA169" s="43">
        <f>IF(ISNUMBER(AA170),ROUND(AA168-AA170,1),"")</f>
        <v/>
      </c>
      <c r="AB169" s="43">
        <f>IF(ISNUMBER(AB170),ROUND(AB168-AB170,1),"")</f>
        <v/>
      </c>
      <c r="AC169" s="43">
        <f>IF(ISNUMBER(AC170),ROUND(AC168-AC170,1),"")</f>
        <v/>
      </c>
      <c r="AD169" s="43">
        <f>IF(ISNUMBER(AD170),ROUND(AD168-AD170,1),"")</f>
        <v/>
      </c>
      <c r="AE169" s="43">
        <f>IF(ISNUMBER(AE170),ROUND(AE168-AE170,1),"")</f>
        <v/>
      </c>
      <c r="AF169" s="43">
        <f>IF(ISNUMBER(AF170),ROUND(AF168-AF170,1),"")</f>
        <v/>
      </c>
      <c r="AG169" s="43">
        <f>IF(ISNUMBER(AG170),ROUND(AG168-AG170,1),"")</f>
        <v/>
      </c>
      <c r="AH169" s="43">
        <f>IF(ISNUMBER(AH170),ROUND(AH168-AH170,1),"")</f>
        <v/>
      </c>
      <c r="AI169" s="43">
        <f>IF(ISNUMBER(AI170),ROUND(AI168-AI170,1),"")</f>
        <v/>
      </c>
      <c r="AJ169" s="43">
        <f>IF(ISNUMBER(AJ170),ROUND(AJ168-AJ170,1),"")</f>
        <v/>
      </c>
      <c r="AK169" s="43">
        <f>IF(ISNUMBER(AK170),ROUND(AK168-AK170,1),"")</f>
        <v/>
      </c>
      <c r="AL169" s="43">
        <f>IF(ISNUMBER(AL170),ROUND(AL168-AL170,1),"")</f>
        <v/>
      </c>
      <c r="AM169" s="43">
        <f>IF(ISNUMBER(AM170),ROUND(AM168-AM170,1),"")</f>
        <v/>
      </c>
      <c r="AN169" s="43">
        <f>IF(ISNUMBER(AN170),ROUND(AN168-AN170,1),"")</f>
        <v/>
      </c>
      <c r="AO169" s="43">
        <f>IF(ISNUMBER(AO170),ROUND(AO168-AO170,1),"")</f>
        <v/>
      </c>
      <c r="AP169" s="43">
        <f>IF(ISNUMBER(AP170),ROUND(AP168-AP170,1),"")</f>
        <v/>
      </c>
      <c r="AQ169" s="43">
        <f>IF(ISNUMBER(AQ170),ROUND(AQ168-AQ170,1),"")</f>
        <v/>
      </c>
      <c r="AR169" s="43">
        <f>IF(ISNUMBER(AR170),ROUND(AR168-AR170,1),"")</f>
        <v/>
      </c>
      <c r="AS169" s="43">
        <f>IF(ISNUMBER(AS170),ROUND(AS168-AS170,1),"")</f>
        <v/>
      </c>
      <c r="AT169" s="43">
        <f>IF(ISNUMBER(AT170),ROUND(AT168-AT170,1),"")</f>
        <v/>
      </c>
      <c r="AU169" s="45" t="n"/>
      <c r="AV169" s="45" t="n"/>
      <c r="AW169" s="45" t="n"/>
      <c r="AX169" s="45" t="n"/>
      <c r="AY169" s="45" t="n"/>
      <c r="AZ169" s="45" t="n"/>
      <c r="BA169" s="45" t="n"/>
      <c r="BB169" s="26" t="n"/>
    </row>
    <row r="170">
      <c r="B170" s="38" t="inlineStr">
        <is>
          <t xml:space="preserve">  Memo: net income attributable to Uber as reported</t>
        </is>
      </c>
      <c r="C170" s="44" t="n">
        <v>-370</v>
      </c>
      <c r="D170" s="44" t="n">
        <v>-4033</v>
      </c>
      <c r="E170" s="44" t="n">
        <v>3748</v>
      </c>
      <c r="F170" s="44" t="n">
        <v>-878</v>
      </c>
      <c r="G170" s="44" t="n">
        <v>-986</v>
      </c>
      <c r="H170" s="44" t="n">
        <v>-887</v>
      </c>
      <c r="I170" s="44" t="n">
        <v>997</v>
      </c>
      <c r="J170" s="44" t="n">
        <v>-1012</v>
      </c>
      <c r="K170" s="44" t="n">
        <v>-5236</v>
      </c>
      <c r="L170" s="44" t="n">
        <v>-1162</v>
      </c>
      <c r="M170" s="44" t="n">
        <v>-1096</v>
      </c>
      <c r="N170" s="44" t="n">
        <v>-8506</v>
      </c>
      <c r="O170" s="44" t="n">
        <v>-2936</v>
      </c>
      <c r="P170" s="44" t="n">
        <v>-1775</v>
      </c>
      <c r="Q170" s="44" t="n">
        <v>-1089</v>
      </c>
      <c r="R170" s="44" t="n">
        <v>-968</v>
      </c>
      <c r="S170" s="44" t="n">
        <v>-6768</v>
      </c>
      <c r="T170" s="44" t="n">
        <v>-108</v>
      </c>
      <c r="U170" s="44" t="n">
        <v>1144</v>
      </c>
      <c r="V170" s="44" t="n">
        <v>-2424</v>
      </c>
      <c r="W170" s="44" t="n">
        <v>892</v>
      </c>
      <c r="X170" s="44" t="n">
        <v>-496</v>
      </c>
      <c r="Y170" s="44" t="n">
        <v>-5930</v>
      </c>
      <c r="Z170" s="44" t="n">
        <v>-2601</v>
      </c>
      <c r="AA170" s="44" t="n">
        <v>-1206</v>
      </c>
      <c r="AB170" s="44" t="n">
        <v>596</v>
      </c>
      <c r="AC170" s="44" t="n">
        <v>-9141</v>
      </c>
      <c r="AD170" s="44" t="n">
        <v>-157</v>
      </c>
      <c r="AE170" s="44" t="n">
        <v>394</v>
      </c>
      <c r="AF170" s="44" t="n">
        <v>221</v>
      </c>
      <c r="AG170" s="44" t="n">
        <v>1429</v>
      </c>
      <c r="AH170" s="44" t="n">
        <v>1887</v>
      </c>
      <c r="AI170" s="44" t="n">
        <v>-654</v>
      </c>
      <c r="AJ170" s="44" t="n">
        <v>1015</v>
      </c>
      <c r="AK170" s="44" t="n">
        <v>2612</v>
      </c>
      <c r="AL170" s="44" t="n">
        <v>6883</v>
      </c>
      <c r="AM170" s="44" t="n">
        <v>9856</v>
      </c>
      <c r="AN170" s="44" t="n">
        <v>1776</v>
      </c>
      <c r="AO170" s="44" t="n">
        <v>1355</v>
      </c>
      <c r="AP170" s="44" t="n">
        <v>6626</v>
      </c>
      <c r="AQ170" s="44" t="n">
        <v>296</v>
      </c>
      <c r="AR170" s="44" t="n">
        <v>10053</v>
      </c>
      <c r="AS170" s="44" t="n">
        <v>263</v>
      </c>
      <c r="AT170" s="44" t="n">
        <v>2394</v>
      </c>
      <c r="AU170" s="45" t="n"/>
      <c r="AV170" s="45" t="n"/>
      <c r="AW170" s="45" t="n"/>
      <c r="AX170" s="45" t="n"/>
      <c r="AY170" s="45" t="n"/>
      <c r="AZ170" s="45" t="n"/>
      <c r="BA170" s="45" t="n"/>
      <c r="BB170" s="26" t="n"/>
    </row>
    <row r="171">
      <c r="B171" s="38" t="inlineStr">
        <is>
          <t xml:space="preserve">  Memo: stock-based compensation (Adjusted EBITDA reconciliation)</t>
        </is>
      </c>
      <c r="C171" s="44" t="n">
        <v>128</v>
      </c>
      <c r="D171" s="44" t="n">
        <v>137</v>
      </c>
      <c r="E171" s="44" t="n">
        <v>63</v>
      </c>
      <c r="F171" s="44" t="n">
        <v>20</v>
      </c>
      <c r="G171" s="44" t="n">
        <v>64</v>
      </c>
      <c r="H171" s="44" t="n">
        <v>25</v>
      </c>
      <c r="I171" s="44" t="n">
        <v>172</v>
      </c>
      <c r="J171" s="44" t="n">
        <v>11</v>
      </c>
      <c r="K171" s="44" t="n">
        <v>3941</v>
      </c>
      <c r="L171" s="44" t="n">
        <v>401</v>
      </c>
      <c r="M171" s="44" t="n">
        <v>243</v>
      </c>
      <c r="N171" s="44" t="n">
        <v>4596</v>
      </c>
      <c r="O171" s="44" t="n">
        <v>277</v>
      </c>
      <c r="P171" s="44" t="n">
        <v>131</v>
      </c>
      <c r="Q171" s="44" t="n">
        <v>183</v>
      </c>
      <c r="R171" s="44" t="n">
        <v>236</v>
      </c>
      <c r="S171" s="44" t="n">
        <v>827</v>
      </c>
      <c r="T171" s="44" t="n">
        <v>281</v>
      </c>
      <c r="U171" s="44" t="n">
        <v>272</v>
      </c>
      <c r="V171" s="44" t="n">
        <v>281</v>
      </c>
      <c r="W171" s="44" t="n">
        <v>334</v>
      </c>
      <c r="X171" s="44" t="n">
        <v>1168</v>
      </c>
      <c r="Y171" s="44" t="n">
        <v>359</v>
      </c>
      <c r="Z171" s="44" t="n">
        <v>470</v>
      </c>
      <c r="AA171" s="44" t="n">
        <v>482</v>
      </c>
      <c r="AB171" s="44" t="n">
        <v>482</v>
      </c>
      <c r="AC171" s="44" t="n">
        <v>1793</v>
      </c>
      <c r="AD171" s="44" t="n">
        <v>470</v>
      </c>
      <c r="AE171" s="44" t="n">
        <v>504</v>
      </c>
      <c r="AF171" s="44" t="n">
        <v>492</v>
      </c>
      <c r="AG171" s="44" t="n">
        <v>469</v>
      </c>
      <c r="AH171" s="44" t="n">
        <v>1935</v>
      </c>
      <c r="AI171" s="44" t="n">
        <v>484</v>
      </c>
      <c r="AJ171" s="44" t="n">
        <v>455</v>
      </c>
      <c r="AK171" s="44" t="n">
        <v>438</v>
      </c>
      <c r="AL171" s="44" t="n">
        <v>419</v>
      </c>
      <c r="AM171" s="44" t="n">
        <v>1796</v>
      </c>
      <c r="AN171" s="44" t="n">
        <v>435</v>
      </c>
      <c r="AO171" s="44" t="n">
        <v>475</v>
      </c>
      <c r="AP171" s="44" t="n">
        <v>465</v>
      </c>
      <c r="AQ171" s="44" t="n">
        <v>451</v>
      </c>
      <c r="AR171" s="44" t="n">
        <v>1826</v>
      </c>
      <c r="AS171" s="44" t="n">
        <v>473</v>
      </c>
      <c r="AT171" s="44" t="n">
        <v>549</v>
      </c>
      <c r="AU171" s="45">
        <f>AU148*AU142</f>
        <v/>
      </c>
      <c r="AV171" s="45">
        <f>AV148*AV142</f>
        <v/>
      </c>
      <c r="AW171" s="45">
        <f>SUM(AS171,AT171,AU171,AV171)</f>
        <v/>
      </c>
      <c r="AX171" s="45">
        <f>(AX148-N(AX69))*AX142+N(AX77)</f>
        <v/>
      </c>
      <c r="AY171" s="45">
        <f>(AY148-N(AY69))*AY142+N(AY77)</f>
        <v/>
      </c>
      <c r="AZ171" s="45">
        <f>(AZ148-N(AZ69))*AZ142+N(AZ77)</f>
        <v/>
      </c>
      <c r="BA171" s="45">
        <f>(BA148-N(BA69))*BA142+N(BA77)</f>
        <v/>
      </c>
      <c r="BB171" s="26" t="n"/>
    </row>
    <row r="172">
      <c r="B172" s="38" t="inlineStr">
        <is>
          <t xml:space="preserve">  Memo: amortization of acquired intangible assets (company figure 2024+; XBRL intangible amortization before)</t>
        </is>
      </c>
      <c r="C172" s="43" t="n"/>
      <c r="D172" s="44" t="n">
        <v>7</v>
      </c>
      <c r="E172" s="43" t="n"/>
      <c r="F172" s="43" t="n"/>
      <c r="G172" s="43" t="n"/>
      <c r="H172" s="43" t="n"/>
      <c r="I172" s="44" t="n">
        <v>15</v>
      </c>
      <c r="J172" s="44" t="n">
        <v>4</v>
      </c>
      <c r="K172" s="44" t="n">
        <v>4</v>
      </c>
      <c r="L172" s="44" t="n">
        <v>4</v>
      </c>
      <c r="M172" s="44" t="n">
        <v>4</v>
      </c>
      <c r="N172" s="44" t="n">
        <v>16</v>
      </c>
      <c r="O172" s="44" t="n">
        <v>28</v>
      </c>
      <c r="P172" s="44" t="n">
        <v>25</v>
      </c>
      <c r="Q172" s="44" t="n">
        <v>32</v>
      </c>
      <c r="R172" s="44" t="n">
        <v>70</v>
      </c>
      <c r="S172" s="44" t="n">
        <v>155</v>
      </c>
      <c r="T172" s="44" t="n">
        <v>92</v>
      </c>
      <c r="U172" s="44" t="n">
        <v>104</v>
      </c>
      <c r="V172" s="44" t="n">
        <v>105</v>
      </c>
      <c r="W172" s="44" t="n">
        <v>138</v>
      </c>
      <c r="X172" s="44" t="n">
        <v>439</v>
      </c>
      <c r="Y172" s="44" t="n">
        <v>144</v>
      </c>
      <c r="Z172" s="44" t="n">
        <v>139</v>
      </c>
      <c r="AA172" s="44" t="n">
        <v>126</v>
      </c>
      <c r="AB172" s="44" t="n">
        <v>114</v>
      </c>
      <c r="AC172" s="44" t="n">
        <v>523</v>
      </c>
      <c r="AD172" s="44" t="n">
        <v>94</v>
      </c>
      <c r="AE172" s="44" t="n">
        <v>91</v>
      </c>
      <c r="AF172" s="44" t="n">
        <v>89</v>
      </c>
      <c r="AG172" s="44" t="n">
        <v>88</v>
      </c>
      <c r="AH172" s="44" t="n">
        <v>362</v>
      </c>
      <c r="AI172" s="44" t="n">
        <v>85</v>
      </c>
      <c r="AJ172" s="44" t="n">
        <v>68</v>
      </c>
      <c r="AK172" s="44" t="n">
        <v>73</v>
      </c>
      <c r="AL172" s="44" t="n">
        <v>64</v>
      </c>
      <c r="AM172" s="44" t="n">
        <v>290</v>
      </c>
      <c r="AN172" s="44" t="n">
        <v>64</v>
      </c>
      <c r="AO172" s="44" t="n">
        <v>65</v>
      </c>
      <c r="AP172" s="44" t="n">
        <v>72</v>
      </c>
      <c r="AQ172" s="44" t="n">
        <v>67</v>
      </c>
      <c r="AR172" s="44" t="n">
        <v>268</v>
      </c>
      <c r="AS172" s="44" t="n">
        <v>59</v>
      </c>
      <c r="AT172" s="44" t="n">
        <v>61</v>
      </c>
      <c r="AU172" s="45">
        <f>AU144</f>
        <v/>
      </c>
      <c r="AV172" s="45">
        <f>AV144</f>
        <v/>
      </c>
      <c r="AW172" s="45">
        <f>SUM(AS172,AT172,AU172,AV172)</f>
        <v/>
      </c>
      <c r="AX172" s="45">
        <f>AX144+N(AX79)+N(AX96)</f>
        <v/>
      </c>
      <c r="AY172" s="45">
        <f>AY144+N(AY79)+N(AY96)</f>
        <v/>
      </c>
      <c r="AZ172" s="45">
        <f>AZ144+N(AZ79)+N(AZ96)</f>
        <v/>
      </c>
      <c r="BA172" s="45">
        <f>BA144+N(BA79)+N(BA96)</f>
        <v/>
      </c>
      <c r="BB172" s="26" t="n"/>
    </row>
    <row r="173">
      <c r="B173" s="27" t="inlineStr">
        <is>
          <t>(Earnings per share — pre-IPO periods (to Q1/19) on pre-conversion common shares; not meaningful)</t>
        </is>
      </c>
    </row>
    <row r="174">
      <c r="B174" s="27" t="inlineStr">
        <is>
          <t xml:space="preserve">  Weighted-average basic shares (m)</t>
        </is>
      </c>
      <c r="C174" s="158" t="n">
        <v>411.501</v>
      </c>
      <c r="D174" s="158" t="n">
        <v>426.36</v>
      </c>
      <c r="E174" s="158" t="n">
        <v>437.065</v>
      </c>
      <c r="F174" s="158" t="n">
        <v>440.958</v>
      </c>
      <c r="G174" s="158" t="n">
        <v>445.783</v>
      </c>
      <c r="H174" s="158" t="n">
        <v>449.6659999999999</v>
      </c>
      <c r="I174" s="158" t="n">
        <v>443.368</v>
      </c>
      <c r="J174" s="158" t="n">
        <v>453.543</v>
      </c>
      <c r="K174" s="158" t="n">
        <v>1110.704</v>
      </c>
      <c r="L174" s="158" t="n">
        <v>1700.213</v>
      </c>
      <c r="M174" s="158" t="n">
        <v>1728.952</v>
      </c>
      <c r="N174" s="158" t="n">
        <v>1248.353</v>
      </c>
      <c r="O174" s="158" t="n">
        <v>1724.367</v>
      </c>
      <c r="P174" s="158" t="n">
        <v>1738.897</v>
      </c>
      <c r="Q174" s="158" t="n">
        <v>1755.029</v>
      </c>
      <c r="R174" s="158" t="n">
        <v>1793.084</v>
      </c>
      <c r="S174" s="158" t="n">
        <v>1752.96</v>
      </c>
      <c r="T174" s="158" t="n">
        <v>1858.525</v>
      </c>
      <c r="U174" s="158" t="n">
        <v>1875.156</v>
      </c>
      <c r="V174" s="158" t="n">
        <v>1898.954</v>
      </c>
      <c r="W174" s="158" t="n">
        <v>1936.736</v>
      </c>
      <c r="X174" s="158" t="n">
        <v>1892.546</v>
      </c>
      <c r="Y174" s="158" t="n">
        <v>1953.989</v>
      </c>
      <c r="Z174" s="158" t="n">
        <v>1964.304</v>
      </c>
      <c r="AA174" s="158" t="n">
        <v>1979.299</v>
      </c>
      <c r="AB174" s="158" t="n">
        <v>1994.8</v>
      </c>
      <c r="AC174" s="158" t="n">
        <v>1972.131</v>
      </c>
      <c r="AD174" s="158" t="n">
        <v>2009.557</v>
      </c>
      <c r="AE174" s="158" t="n">
        <v>2026.813</v>
      </c>
      <c r="AF174" s="158" t="n">
        <v>2044.688</v>
      </c>
      <c r="AG174" s="158" t="n">
        <v>2060.885</v>
      </c>
      <c r="AH174" s="158" t="n">
        <v>2035.651</v>
      </c>
      <c r="AI174" s="158" t="n">
        <v>2078.467</v>
      </c>
      <c r="AJ174" s="158" t="n">
        <v>2092.18</v>
      </c>
      <c r="AK174" s="158" t="n">
        <v>2101.66</v>
      </c>
      <c r="AL174" s="158" t="n">
        <v>2105.899</v>
      </c>
      <c r="AM174" s="158" t="n">
        <v>2094.602</v>
      </c>
      <c r="AN174" s="158" t="n">
        <v>2092.464</v>
      </c>
      <c r="AO174" s="158" t="n">
        <v>2091.106</v>
      </c>
      <c r="AP174" s="158" t="n">
        <v>2084.18</v>
      </c>
      <c r="AQ174" s="158" t="n">
        <v>2073.262000000001</v>
      </c>
      <c r="AR174" s="158" t="n">
        <v>2085.253</v>
      </c>
      <c r="AS174" s="158" t="n">
        <v>2052.187</v>
      </c>
      <c r="AT174" s="158" t="n">
        <v>2036.458</v>
      </c>
      <c r="AU174" s="159">
        <f>AVERAGE(AT360,AU360)</f>
        <v/>
      </c>
      <c r="AV174" s="159">
        <f>AVERAGE(AU360,AV360)</f>
        <v/>
      </c>
      <c r="AW174" s="159">
        <f>AVERAGE(AS174,AT174,AU174,AV174)</f>
        <v/>
      </c>
      <c r="AX174" s="159">
        <f>AVERAGE(AX310,AX311)</f>
        <v/>
      </c>
      <c r="AY174" s="159">
        <f>AVERAGE(AY310,AY311)</f>
        <v/>
      </c>
      <c r="AZ174" s="159">
        <f>AVERAGE(AZ310,AZ311)</f>
        <v/>
      </c>
      <c r="BA174" s="159">
        <f>AVERAGE(BA310,BA311)</f>
        <v/>
      </c>
      <c r="BB174" s="26" t="n"/>
    </row>
    <row r="175">
      <c r="B175" s="27" t="inlineStr">
        <is>
          <t xml:space="preserve">  Weighted-average diluted shares (m)</t>
        </is>
      </c>
      <c r="C175" s="158" t="n">
        <v>411.501</v>
      </c>
      <c r="D175" s="158" t="n">
        <v>426.36</v>
      </c>
      <c r="E175" s="158" t="n">
        <v>475.153</v>
      </c>
      <c r="F175" s="158" t="n">
        <v>441.408</v>
      </c>
      <c r="G175" s="158" t="n">
        <v>445.783</v>
      </c>
      <c r="H175" s="158" t="n">
        <v>449.744</v>
      </c>
      <c r="I175" s="158" t="n">
        <v>478.999</v>
      </c>
      <c r="J175" s="158" t="n">
        <v>453.619</v>
      </c>
      <c r="K175" s="158" t="n">
        <v>1110.704</v>
      </c>
      <c r="L175" s="158" t="n">
        <v>1700.213</v>
      </c>
      <c r="M175" s="158" t="n">
        <v>1710.26</v>
      </c>
      <c r="N175" s="158" t="n">
        <v>1248.353</v>
      </c>
      <c r="O175" s="158" t="n">
        <v>1724.367</v>
      </c>
      <c r="P175" s="158" t="n">
        <v>1738.897</v>
      </c>
      <c r="Q175" s="158" t="n">
        <v>1755.029</v>
      </c>
      <c r="R175" s="158" t="n">
        <v>1793.084</v>
      </c>
      <c r="S175" s="158" t="n">
        <v>1752.96</v>
      </c>
      <c r="T175" s="158" t="n">
        <v>1858.525</v>
      </c>
      <c r="U175" s="158" t="n">
        <v>1955.975</v>
      </c>
      <c r="V175" s="158" t="n">
        <v>1898.954</v>
      </c>
      <c r="W175" s="158" t="n">
        <v>2005.591</v>
      </c>
      <c r="X175" s="158" t="n">
        <v>1895.519</v>
      </c>
      <c r="Y175" s="158" t="n">
        <v>1957.731</v>
      </c>
      <c r="Z175" s="158" t="n">
        <v>1968.882</v>
      </c>
      <c r="AA175" s="158" t="n">
        <v>1979.299</v>
      </c>
      <c r="AB175" s="158" t="n">
        <v>2060.575</v>
      </c>
      <c r="AC175" s="158" t="n">
        <v>1974.928</v>
      </c>
      <c r="AD175" s="158" t="n">
        <v>2009.557</v>
      </c>
      <c r="AE175" s="158" t="n">
        <v>2079.265</v>
      </c>
      <c r="AF175" s="158" t="n">
        <v>2108.479</v>
      </c>
      <c r="AG175" s="158" t="n">
        <v>2121.929</v>
      </c>
      <c r="AH175" s="158" t="n">
        <v>2091.782</v>
      </c>
      <c r="AI175" s="158" t="n">
        <v>2080.168</v>
      </c>
      <c r="AJ175" s="158" t="n">
        <v>2150.019</v>
      </c>
      <c r="AK175" s="158" t="n">
        <v>2154.466</v>
      </c>
      <c r="AL175" s="158" t="n">
        <v>2141.426</v>
      </c>
      <c r="AM175" s="158" t="n">
        <v>2150.508</v>
      </c>
      <c r="AN175" s="158" t="n">
        <v>2122.618</v>
      </c>
      <c r="AO175" s="158" t="n">
        <v>2125.628</v>
      </c>
      <c r="AP175" s="158" t="n">
        <v>2124.391</v>
      </c>
      <c r="AQ175" s="158" t="n">
        <v>2106.011</v>
      </c>
      <c r="AR175" s="158" t="n">
        <v>2119.689</v>
      </c>
      <c r="AS175" s="158" t="n">
        <v>2071.391</v>
      </c>
      <c r="AT175" s="158" t="n">
        <v>2050.225</v>
      </c>
      <c r="AU175" s="159">
        <f>AU174+($AT$175-$AT$174)</f>
        <v/>
      </c>
      <c r="AV175" s="159">
        <f>AV174+($AT$175-$AT$174)</f>
        <v/>
      </c>
      <c r="AW175" s="159">
        <f>AVERAGE(AS175,AT175,AU175,AV175)</f>
        <v/>
      </c>
      <c r="AX175" s="159">
        <f>AX174+AX401</f>
        <v/>
      </c>
      <c r="AY175" s="159">
        <f>AY174+AY401</f>
        <v/>
      </c>
      <c r="AZ175" s="159">
        <f>AZ174+AZ401</f>
        <v/>
      </c>
      <c r="BA175" s="159">
        <f>BA174+BA401</f>
        <v/>
      </c>
      <c r="BB175" s="26" t="n"/>
      <c r="BD175" s="20">
        <f>IFERROR((BA175/AR175)^(1/5)-1,"")</f>
        <v/>
      </c>
      <c r="BE175" s="20">
        <f>IFERROR((AR175/S175)^(1/5)-1,"")</f>
        <v/>
      </c>
      <c r="BF175" s="20">
        <f>IFERROR((AR175/I175)^(1/7)-1,"")</f>
        <v/>
      </c>
      <c r="BG175" s="20">
        <f>IFERROR((AR175/C175)^(1/9)-1,"")</f>
        <v/>
      </c>
    </row>
    <row r="176">
      <c r="B176" s="27" t="inlineStr">
        <is>
          <t>EPS – basic, attributable to Uber ($)</t>
        </is>
      </c>
      <c r="C176" s="30">
        <f>IF(AND(ISNUMBER(C168),ISNUMBER(C174)),IFERROR(C168/C174,""),"")</f>
        <v/>
      </c>
      <c r="D176" s="30">
        <f>IF(AND(ISNUMBER(D168),ISNUMBER(D174)),IFERROR(D168/D174,""),"")</f>
        <v/>
      </c>
      <c r="E176" s="30">
        <f>IF(AND(ISNUMBER(E168),ISNUMBER(E174)),IFERROR(E168/E174,""),"")</f>
        <v/>
      </c>
      <c r="F176" s="30">
        <f>IF(AND(ISNUMBER(F168),ISNUMBER(F174)),IFERROR(F168/F174,""),"")</f>
        <v/>
      </c>
      <c r="G176" s="30">
        <f>IF(AND(ISNUMBER(G168),ISNUMBER(G174)),IFERROR(G168/G174,""),"")</f>
        <v/>
      </c>
      <c r="H176" s="30">
        <f>IF(AND(ISNUMBER(H168),ISNUMBER(H174)),IFERROR(H168/H174,""),"")</f>
        <v/>
      </c>
      <c r="I176" s="30">
        <f>IF(AND(ISNUMBER(I168),ISNUMBER(I174)),IFERROR(I168/I174,""),"")</f>
        <v/>
      </c>
      <c r="J176" s="30">
        <f>IF(AND(ISNUMBER(J168),ISNUMBER(J174)),IFERROR(J168/J174,""),"")</f>
        <v/>
      </c>
      <c r="K176" s="30">
        <f>IF(AND(ISNUMBER(K168),ISNUMBER(K174)),IFERROR(K168/K174,""),"")</f>
        <v/>
      </c>
      <c r="L176" s="30">
        <f>IF(AND(ISNUMBER(L168),ISNUMBER(L174)),IFERROR(L168/L174,""),"")</f>
        <v/>
      </c>
      <c r="M176" s="30">
        <f>IF(AND(ISNUMBER(M168),ISNUMBER(M174)),IFERROR(M168/M174,""),"")</f>
        <v/>
      </c>
      <c r="N176" s="30">
        <f>IF(AND(ISNUMBER(N168),ISNUMBER(N174)),IFERROR(N168/N174,""),"")</f>
        <v/>
      </c>
      <c r="O176" s="30">
        <f>IF(AND(ISNUMBER(O168),ISNUMBER(O174)),IFERROR(O168/O174,""),"")</f>
        <v/>
      </c>
      <c r="P176" s="30">
        <f>IF(AND(ISNUMBER(P168),ISNUMBER(P174)),IFERROR(P168/P174,""),"")</f>
        <v/>
      </c>
      <c r="Q176" s="30">
        <f>IF(AND(ISNUMBER(Q168),ISNUMBER(Q174)),IFERROR(Q168/Q174,""),"")</f>
        <v/>
      </c>
      <c r="R176" s="30">
        <f>IF(AND(ISNUMBER(R168),ISNUMBER(R174)),IFERROR(R168/R174,""),"")</f>
        <v/>
      </c>
      <c r="S176" s="30">
        <f>IF(AND(ISNUMBER(S168),ISNUMBER(S174)),IFERROR(S168/S174,""),"")</f>
        <v/>
      </c>
      <c r="T176" s="30">
        <f>IF(AND(ISNUMBER(T168),ISNUMBER(T174)),IFERROR(T168/T174,""),"")</f>
        <v/>
      </c>
      <c r="U176" s="30">
        <f>IF(AND(ISNUMBER(U168),ISNUMBER(U174)),IFERROR(U168/U174,""),"")</f>
        <v/>
      </c>
      <c r="V176" s="30">
        <f>IF(AND(ISNUMBER(V168),ISNUMBER(V174)),IFERROR(V168/V174,""),"")</f>
        <v/>
      </c>
      <c r="W176" s="30">
        <f>IF(AND(ISNUMBER(W168),ISNUMBER(W174)),IFERROR(W168/W174,""),"")</f>
        <v/>
      </c>
      <c r="X176" s="30">
        <f>IF(AND(ISNUMBER(X168),ISNUMBER(X174)),IFERROR(X168/X174,""),"")</f>
        <v/>
      </c>
      <c r="Y176" s="30">
        <f>IF(AND(ISNUMBER(Y168),ISNUMBER(Y174)),IFERROR(Y168/Y174,""),"")</f>
        <v/>
      </c>
      <c r="Z176" s="30">
        <f>IF(AND(ISNUMBER(Z168),ISNUMBER(Z174)),IFERROR(Z168/Z174,""),"")</f>
        <v/>
      </c>
      <c r="AA176" s="30">
        <f>IF(AND(ISNUMBER(AA168),ISNUMBER(AA174)),IFERROR(AA168/AA174,""),"")</f>
        <v/>
      </c>
      <c r="AB176" s="30">
        <f>IF(AND(ISNUMBER(AB168),ISNUMBER(AB174)),IFERROR(AB168/AB174,""),"")</f>
        <v/>
      </c>
      <c r="AC176" s="30">
        <f>IF(AND(ISNUMBER(AC168),ISNUMBER(AC174)),IFERROR(AC168/AC174,""),"")</f>
        <v/>
      </c>
      <c r="AD176" s="30">
        <f>IF(AND(ISNUMBER(AD168),ISNUMBER(AD174)),IFERROR(AD168/AD174,""),"")</f>
        <v/>
      </c>
      <c r="AE176" s="30">
        <f>IF(AND(ISNUMBER(AE168),ISNUMBER(AE174)),IFERROR(AE168/AE174,""),"")</f>
        <v/>
      </c>
      <c r="AF176" s="30">
        <f>IF(AND(ISNUMBER(AF168),ISNUMBER(AF174)),IFERROR(AF168/AF174,""),"")</f>
        <v/>
      </c>
      <c r="AG176" s="30">
        <f>IF(AND(ISNUMBER(AG168),ISNUMBER(AG174)),IFERROR(AG168/AG174,""),"")</f>
        <v/>
      </c>
      <c r="AH176" s="30">
        <f>IF(AND(ISNUMBER(AH168),ISNUMBER(AH174)),IFERROR(AH168/AH174,""),"")</f>
        <v/>
      </c>
      <c r="AI176" s="30">
        <f>IF(AND(ISNUMBER(AI168),ISNUMBER(AI174)),IFERROR(AI168/AI174,""),"")</f>
        <v/>
      </c>
      <c r="AJ176" s="30">
        <f>IF(AND(ISNUMBER(AJ168),ISNUMBER(AJ174)),IFERROR(AJ168/AJ174,""),"")</f>
        <v/>
      </c>
      <c r="AK176" s="30">
        <f>IF(AND(ISNUMBER(AK168),ISNUMBER(AK174)),IFERROR(AK168/AK174,""),"")</f>
        <v/>
      </c>
      <c r="AL176" s="30">
        <f>IF(AND(ISNUMBER(AL168),ISNUMBER(AL174)),IFERROR(AL168/AL174,""),"")</f>
        <v/>
      </c>
      <c r="AM176" s="30">
        <f>IF(AND(ISNUMBER(AM168),ISNUMBER(AM174)),IFERROR(AM168/AM174,""),"")</f>
        <v/>
      </c>
      <c r="AN176" s="30">
        <f>IF(AND(ISNUMBER(AN168),ISNUMBER(AN174)),IFERROR(AN168/AN174,""),"")</f>
        <v/>
      </c>
      <c r="AO176" s="30">
        <f>IF(AND(ISNUMBER(AO168),ISNUMBER(AO174)),IFERROR(AO168/AO174,""),"")</f>
        <v/>
      </c>
      <c r="AP176" s="30">
        <f>IF(AND(ISNUMBER(AP168),ISNUMBER(AP174)),IFERROR(AP168/AP174,""),"")</f>
        <v/>
      </c>
      <c r="AQ176" s="30">
        <f>IF(AND(ISNUMBER(AQ168),ISNUMBER(AQ174)),IFERROR(AQ168/AQ174,""),"")</f>
        <v/>
      </c>
      <c r="AR176" s="30">
        <f>IF(AND(ISNUMBER(AR168),ISNUMBER(AR174)),IFERROR(AR168/AR174,""),"")</f>
        <v/>
      </c>
      <c r="AS176" s="30">
        <f>IF(AND(ISNUMBER(AS168),ISNUMBER(AS174)),IFERROR(AS168/AS174,""),"")</f>
        <v/>
      </c>
      <c r="AT176" s="30">
        <f>IF(AND(ISNUMBER(AT168),ISNUMBER(AT174)),IFERROR(AT168/AT174,""),"")</f>
        <v/>
      </c>
      <c r="AU176" s="31">
        <f>IFERROR(AU168/AU174,"")</f>
        <v/>
      </c>
      <c r="AV176" s="31">
        <f>IFERROR(AV168/AV174,"")</f>
        <v/>
      </c>
      <c r="AW176" s="31">
        <f>IFERROR(AW168/AW174,"")</f>
        <v/>
      </c>
      <c r="AX176" s="31">
        <f>IFERROR(AX168/AX174,"")</f>
        <v/>
      </c>
      <c r="AY176" s="31">
        <f>IFERROR(AY168/AY174,"")</f>
        <v/>
      </c>
      <c r="AZ176" s="31">
        <f>IFERROR(AZ168/AZ174,"")</f>
        <v/>
      </c>
      <c r="BA176" s="31">
        <f>IFERROR(BA168/BA174,"")</f>
        <v/>
      </c>
      <c r="BB176" s="26" t="n"/>
    </row>
    <row r="177">
      <c r="B177" s="16" t="inlineStr">
        <is>
          <t>EPS – diluted, attributable to Uber ($)</t>
        </is>
      </c>
      <c r="C177" s="58">
        <f>IF(AND(ISNUMBER(C168),ISNUMBER(C175)),IFERROR(C168/C175,""),"")</f>
        <v/>
      </c>
      <c r="D177" s="58">
        <f>IF(AND(ISNUMBER(D168),ISNUMBER(D175)),IFERROR(D168/D175,""),"")</f>
        <v/>
      </c>
      <c r="E177" s="58">
        <f>IF(AND(ISNUMBER(E168),ISNUMBER(E175)),IFERROR(E168/E175,""),"")</f>
        <v/>
      </c>
      <c r="F177" s="58">
        <f>IF(AND(ISNUMBER(F168),ISNUMBER(F175)),IFERROR(F168/F175,""),"")</f>
        <v/>
      </c>
      <c r="G177" s="58">
        <f>IF(AND(ISNUMBER(G168),ISNUMBER(G175)),IFERROR(G168/G175,""),"")</f>
        <v/>
      </c>
      <c r="H177" s="58">
        <f>IF(AND(ISNUMBER(H168),ISNUMBER(H175)),IFERROR(H168/H175,""),"")</f>
        <v/>
      </c>
      <c r="I177" s="58">
        <f>IF(AND(ISNUMBER(I168),ISNUMBER(I175)),IFERROR(I168/I175,""),"")</f>
        <v/>
      </c>
      <c r="J177" s="58">
        <f>IF(AND(ISNUMBER(J168),ISNUMBER(J175)),IFERROR(J168/J175,""),"")</f>
        <v/>
      </c>
      <c r="K177" s="58">
        <f>IF(AND(ISNUMBER(K168),ISNUMBER(K175)),IFERROR(K168/K175,""),"")</f>
        <v/>
      </c>
      <c r="L177" s="58">
        <f>IF(AND(ISNUMBER(L168),ISNUMBER(L175)),IFERROR(L168/L175,""),"")</f>
        <v/>
      </c>
      <c r="M177" s="58">
        <f>IF(AND(ISNUMBER(M168),ISNUMBER(M175)),IFERROR(M168/M175,""),"")</f>
        <v/>
      </c>
      <c r="N177" s="58">
        <f>IF(AND(ISNUMBER(N168),ISNUMBER(N175)),IFERROR(N168/N175,""),"")</f>
        <v/>
      </c>
      <c r="O177" s="58">
        <f>IF(AND(ISNUMBER(O168),ISNUMBER(O175)),IFERROR(O168/O175,""),"")</f>
        <v/>
      </c>
      <c r="P177" s="58">
        <f>IF(AND(ISNUMBER(P168),ISNUMBER(P175)),IFERROR(P168/P175,""),"")</f>
        <v/>
      </c>
      <c r="Q177" s="58">
        <f>IF(AND(ISNUMBER(Q168),ISNUMBER(Q175)),IFERROR(Q168/Q175,""),"")</f>
        <v/>
      </c>
      <c r="R177" s="58">
        <f>IF(AND(ISNUMBER(R168),ISNUMBER(R175)),IFERROR(R168/R175,""),"")</f>
        <v/>
      </c>
      <c r="S177" s="58">
        <f>IF(AND(ISNUMBER(S168),ISNUMBER(S175)),IFERROR(S168/S175,""),"")</f>
        <v/>
      </c>
      <c r="T177" s="58">
        <f>IF(AND(ISNUMBER(T168),ISNUMBER(T175)),IFERROR(T168/T175,""),"")</f>
        <v/>
      </c>
      <c r="U177" s="58">
        <f>IF(AND(ISNUMBER(U168),ISNUMBER(U175)),IFERROR(U168/U175,""),"")</f>
        <v/>
      </c>
      <c r="V177" s="58">
        <f>IF(AND(ISNUMBER(V168),ISNUMBER(V175)),IFERROR(V168/V175,""),"")</f>
        <v/>
      </c>
      <c r="W177" s="58">
        <f>IF(AND(ISNUMBER(W168),ISNUMBER(W175)),IFERROR(W168/W175,""),"")</f>
        <v/>
      </c>
      <c r="X177" s="58">
        <f>IF(AND(ISNUMBER(X168),ISNUMBER(X175)),IFERROR(X168/X175,""),"")</f>
        <v/>
      </c>
      <c r="Y177" s="58">
        <f>IF(AND(ISNUMBER(Y168),ISNUMBER(Y175)),IFERROR(Y168/Y175,""),"")</f>
        <v/>
      </c>
      <c r="Z177" s="58">
        <f>IF(AND(ISNUMBER(Z168),ISNUMBER(Z175)),IFERROR(Z168/Z175,""),"")</f>
        <v/>
      </c>
      <c r="AA177" s="58">
        <f>IF(AND(ISNUMBER(AA168),ISNUMBER(AA175)),IFERROR(AA168/AA175,""),"")</f>
        <v/>
      </c>
      <c r="AB177" s="58">
        <f>IF(AND(ISNUMBER(AB168),ISNUMBER(AB175)),IFERROR(AB168/AB175,""),"")</f>
        <v/>
      </c>
      <c r="AC177" s="58">
        <f>IF(AND(ISNUMBER(AC168),ISNUMBER(AC175)),IFERROR(AC168/AC175,""),"")</f>
        <v/>
      </c>
      <c r="AD177" s="58">
        <f>IF(AND(ISNUMBER(AD168),ISNUMBER(AD175)),IFERROR(AD168/AD175,""),"")</f>
        <v/>
      </c>
      <c r="AE177" s="58">
        <f>IF(AND(ISNUMBER(AE168),ISNUMBER(AE175)),IFERROR(AE168/AE175,""),"")</f>
        <v/>
      </c>
      <c r="AF177" s="58">
        <f>IF(AND(ISNUMBER(AF168),ISNUMBER(AF175)),IFERROR(AF168/AF175,""),"")</f>
        <v/>
      </c>
      <c r="AG177" s="58">
        <f>IF(AND(ISNUMBER(AG168),ISNUMBER(AG175)),IFERROR(AG168/AG175,""),"")</f>
        <v/>
      </c>
      <c r="AH177" s="58">
        <f>IF(AND(ISNUMBER(AH168),ISNUMBER(AH175)),IFERROR(AH168/AH175,""),"")</f>
        <v/>
      </c>
      <c r="AI177" s="58">
        <f>IF(AND(ISNUMBER(AI168),ISNUMBER(AI175)),IFERROR(AI168/AI175,""),"")</f>
        <v/>
      </c>
      <c r="AJ177" s="58">
        <f>IF(AND(ISNUMBER(AJ168),ISNUMBER(AJ175)),IFERROR(AJ168/AJ175,""),"")</f>
        <v/>
      </c>
      <c r="AK177" s="58">
        <f>IF(AND(ISNUMBER(AK168),ISNUMBER(AK175)),IFERROR(AK168/AK175,""),"")</f>
        <v/>
      </c>
      <c r="AL177" s="58">
        <f>IF(AND(ISNUMBER(AL168),ISNUMBER(AL175)),IFERROR(AL168/AL175,""),"")</f>
        <v/>
      </c>
      <c r="AM177" s="58">
        <f>IF(AND(ISNUMBER(AM168),ISNUMBER(AM175)),IFERROR(AM168/AM175,""),"")</f>
        <v/>
      </c>
      <c r="AN177" s="58">
        <f>IF(AND(ISNUMBER(AN168),ISNUMBER(AN175)),IFERROR(AN168/AN175,""),"")</f>
        <v/>
      </c>
      <c r="AO177" s="58">
        <f>IF(AND(ISNUMBER(AO168),ISNUMBER(AO175)),IFERROR(AO168/AO175,""),"")</f>
        <v/>
      </c>
      <c r="AP177" s="58">
        <f>IF(AND(ISNUMBER(AP168),ISNUMBER(AP175)),IFERROR(AP168/AP175,""),"")</f>
        <v/>
      </c>
      <c r="AQ177" s="58">
        <f>IF(AND(ISNUMBER(AQ168),ISNUMBER(AQ175)),IFERROR(AQ168/AQ175,""),"")</f>
        <v/>
      </c>
      <c r="AR177" s="58">
        <f>IF(AND(ISNUMBER(AR168),ISNUMBER(AR175)),IFERROR(AR168/AR175,""),"")</f>
        <v/>
      </c>
      <c r="AS177" s="58">
        <f>IF(AND(ISNUMBER(AS168),ISNUMBER(AS175)),IFERROR(AS168/AS175,""),"")</f>
        <v/>
      </c>
      <c r="AT177" s="58">
        <f>IF(AND(ISNUMBER(AT168),ISNUMBER(AT175)),IFERROR(AT168/AT175,""),"")</f>
        <v/>
      </c>
      <c r="AU177" s="59">
        <f>IFERROR(AU168/AU175,"")</f>
        <v/>
      </c>
      <c r="AV177" s="59">
        <f>IFERROR(AV168/AV175,"")</f>
        <v/>
      </c>
      <c r="AW177" s="59">
        <f>IFERROR(AW168/AW175,"")</f>
        <v/>
      </c>
      <c r="AX177" s="59">
        <f>IFERROR(AX168/AX175,"")</f>
        <v/>
      </c>
      <c r="AY177" s="59">
        <f>IFERROR(AY168/AY175,"")</f>
        <v/>
      </c>
      <c r="AZ177" s="59">
        <f>IFERROR(AZ168/AZ175,"")</f>
        <v/>
      </c>
      <c r="BA177" s="59">
        <f>IFERROR(BA168/BA175,"")</f>
        <v/>
      </c>
      <c r="BB177" s="19" t="inlineStr">
        <is>
          <t>EPS computed as net income ÷ weighted diluted shares (company uses the two-class / if-converted method; ±$0.01–0.03 differences).</t>
        </is>
      </c>
    </row>
    <row r="178">
      <c r="B178" s="23" t="inlineStr">
        <is>
          <t xml:space="preserve">  EPS – diluted y/y %</t>
        </is>
      </c>
      <c r="C178" s="24" t="n"/>
      <c r="D178" s="24">
        <f>IF(AND(ISNUMBER(D177),ISNUMBER(C177)),IFERROR(D177/C177-1,""),"")</f>
        <v/>
      </c>
      <c r="E178" s="24" t="n"/>
      <c r="F178" s="24" t="n"/>
      <c r="G178" s="24" t="n"/>
      <c r="H178" s="24" t="n"/>
      <c r="I178" s="24">
        <f>IF(AND(ISNUMBER(I177),ISNUMBER(D177)),IFERROR(I177/D177-1,""),"")</f>
        <v/>
      </c>
      <c r="J178" s="24">
        <f>IF(AND(ISNUMBER(J177),ISNUMBER(E177)),IFERROR(J177/E177-1,""),"")</f>
        <v/>
      </c>
      <c r="K178" s="24">
        <f>IF(AND(ISNUMBER(K177),ISNUMBER(F177)),IFERROR(K177/F177-1,""),"")</f>
        <v/>
      </c>
      <c r="L178" s="24">
        <f>IF(AND(ISNUMBER(L177),ISNUMBER(G177)),IFERROR(L177/G177-1,""),"")</f>
        <v/>
      </c>
      <c r="M178" s="24">
        <f>IF(AND(ISNUMBER(M177),ISNUMBER(H177)),IFERROR(M177/H177-1,""),"")</f>
        <v/>
      </c>
      <c r="N178" s="24">
        <f>IF(AND(ISNUMBER(N177),ISNUMBER(I177)),IFERROR(N177/I177-1,""),"")</f>
        <v/>
      </c>
      <c r="O178" s="24">
        <f>IF(AND(ISNUMBER(O177),ISNUMBER(J177)),IFERROR(O177/J177-1,""),"")</f>
        <v/>
      </c>
      <c r="P178" s="24">
        <f>IF(AND(ISNUMBER(P177),ISNUMBER(K177)),IFERROR(P177/K177-1,""),"")</f>
        <v/>
      </c>
      <c r="Q178" s="24">
        <f>IF(AND(ISNUMBER(Q177),ISNUMBER(L177)),IFERROR(Q177/L177-1,""),"")</f>
        <v/>
      </c>
      <c r="R178" s="24">
        <f>IF(AND(ISNUMBER(R177),ISNUMBER(M177)),IFERROR(R177/M177-1,""),"")</f>
        <v/>
      </c>
      <c r="S178" s="24">
        <f>IF(AND(ISNUMBER(S177),ISNUMBER(N177)),IFERROR(S177/N177-1,""),"")</f>
        <v/>
      </c>
      <c r="T178" s="24">
        <f>IF(AND(ISNUMBER(T177),ISNUMBER(O177)),IFERROR(T177/O177-1,""),"")</f>
        <v/>
      </c>
      <c r="U178" s="24">
        <f>IF(AND(ISNUMBER(U177),ISNUMBER(P177)),IFERROR(U177/P177-1,""),"")</f>
        <v/>
      </c>
      <c r="V178" s="24">
        <f>IF(AND(ISNUMBER(V177),ISNUMBER(Q177)),IFERROR(V177/Q177-1,""),"")</f>
        <v/>
      </c>
      <c r="W178" s="24">
        <f>IF(AND(ISNUMBER(W177),ISNUMBER(R177)),IFERROR(W177/R177-1,""),"")</f>
        <v/>
      </c>
      <c r="X178" s="24">
        <f>IF(AND(ISNUMBER(X177),ISNUMBER(S177)),IFERROR(X177/S177-1,""),"")</f>
        <v/>
      </c>
      <c r="Y178" s="24">
        <f>IF(AND(ISNUMBER(Y177),ISNUMBER(T177)),IFERROR(Y177/T177-1,""),"")</f>
        <v/>
      </c>
      <c r="Z178" s="24">
        <f>IF(AND(ISNUMBER(Z177),ISNUMBER(U177)),IFERROR(Z177/U177-1,""),"")</f>
        <v/>
      </c>
      <c r="AA178" s="24">
        <f>IF(AND(ISNUMBER(AA177),ISNUMBER(V177)),IFERROR(AA177/V177-1,""),"")</f>
        <v/>
      </c>
      <c r="AB178" s="24">
        <f>IF(AND(ISNUMBER(AB177),ISNUMBER(W177)),IFERROR(AB177/W177-1,""),"")</f>
        <v/>
      </c>
      <c r="AC178" s="24">
        <f>IF(AND(ISNUMBER(AC177),ISNUMBER(X177)),IFERROR(AC177/X177-1,""),"")</f>
        <v/>
      </c>
      <c r="AD178" s="24">
        <f>IF(AND(ISNUMBER(AD177),ISNUMBER(Y177)),IFERROR(AD177/Y177-1,""),"")</f>
        <v/>
      </c>
      <c r="AE178" s="24">
        <f>IF(AND(ISNUMBER(AE177),ISNUMBER(Z177)),IFERROR(AE177/Z177-1,""),"")</f>
        <v/>
      </c>
      <c r="AF178" s="24">
        <f>IF(AND(ISNUMBER(AF177),ISNUMBER(AA177)),IFERROR(AF177/AA177-1,""),"")</f>
        <v/>
      </c>
      <c r="AG178" s="24">
        <f>IF(AND(ISNUMBER(AG177),ISNUMBER(AB177)),IFERROR(AG177/AB177-1,""),"")</f>
        <v/>
      </c>
      <c r="AH178" s="24">
        <f>IF(AND(ISNUMBER(AH177),ISNUMBER(AC177)),IFERROR(AH177/AC177-1,""),"")</f>
        <v/>
      </c>
      <c r="AI178" s="24">
        <f>IF(AND(ISNUMBER(AI177),ISNUMBER(AD177)),IFERROR(AI177/AD177-1,""),"")</f>
        <v/>
      </c>
      <c r="AJ178" s="24">
        <f>IF(AND(ISNUMBER(AJ177),ISNUMBER(AE177)),IFERROR(AJ177/AE177-1,""),"")</f>
        <v/>
      </c>
      <c r="AK178" s="24">
        <f>IF(AND(ISNUMBER(AK177),ISNUMBER(AF177)),IFERROR(AK177/AF177-1,""),"")</f>
        <v/>
      </c>
      <c r="AL178" s="24">
        <f>IF(AND(ISNUMBER(AL177),ISNUMBER(AG177)),IFERROR(AL177/AG177-1,""),"")</f>
        <v/>
      </c>
      <c r="AM178" s="24">
        <f>IF(AND(ISNUMBER(AM177),ISNUMBER(AH177)),IFERROR(AM177/AH177-1,""),"")</f>
        <v/>
      </c>
      <c r="AN178" s="24">
        <f>IF(AND(ISNUMBER(AN177),ISNUMBER(AI177)),IFERROR(AN177/AI177-1,""),"")</f>
        <v/>
      </c>
      <c r="AO178" s="24">
        <f>IF(AND(ISNUMBER(AO177),ISNUMBER(AJ177)),IFERROR(AO177/AJ177-1,""),"")</f>
        <v/>
      </c>
      <c r="AP178" s="24">
        <f>IF(AND(ISNUMBER(AP177),ISNUMBER(AK177)),IFERROR(AP177/AK177-1,""),"")</f>
        <v/>
      </c>
      <c r="AQ178" s="24">
        <f>IF(AND(ISNUMBER(AQ177),ISNUMBER(AL177)),IFERROR(AQ177/AL177-1,""),"")</f>
        <v/>
      </c>
      <c r="AR178" s="24">
        <f>IF(AND(ISNUMBER(AR177),ISNUMBER(AM177)),IFERROR(AR177/AM177-1,""),"")</f>
        <v/>
      </c>
      <c r="AS178" s="24">
        <f>IF(AND(ISNUMBER(AS177),ISNUMBER(AN177)),IFERROR(AS177/AN177-1,""),"")</f>
        <v/>
      </c>
      <c r="AT178" s="24">
        <f>IF(AND(ISNUMBER(AT177),ISNUMBER(AO177)),IFERROR(AT177/AO177-1,""),"")</f>
        <v/>
      </c>
      <c r="AU178" s="25">
        <f>IFERROR(AU177/AP177-1,"")</f>
        <v/>
      </c>
      <c r="AV178" s="25">
        <f>IFERROR(AV177/AQ177-1,"")</f>
        <v/>
      </c>
      <c r="AW178" s="25">
        <f>IFERROR(AW177/AR177-1,"")</f>
        <v/>
      </c>
      <c r="AX178" s="25">
        <f>IFERROR(AX177/AW177-1,"")</f>
        <v/>
      </c>
      <c r="AY178" s="25">
        <f>IFERROR(AY177/AX177-1,"")</f>
        <v/>
      </c>
      <c r="AZ178" s="25">
        <f>IFERROR(AZ177/AY177-1,"")</f>
        <v/>
      </c>
      <c r="BA178" s="25">
        <f>IFERROR(BA177/AZ177-1,"")</f>
        <v/>
      </c>
      <c r="BB178" s="26" t="n"/>
    </row>
    <row r="179">
      <c r="B179" s="38" t="inlineStr">
        <is>
          <t xml:space="preserve">  Memo: EPS – diluted as reported ($)</t>
        </is>
      </c>
      <c r="C179" s="60" t="n">
        <v>-0.9</v>
      </c>
      <c r="D179" s="60" t="n">
        <v>-9.460000000000001</v>
      </c>
      <c r="E179" s="60" t="n">
        <v>1.84</v>
      </c>
      <c r="F179" s="60" t="n">
        <v>-2.01</v>
      </c>
      <c r="G179" s="60" t="n">
        <v>-2.21</v>
      </c>
      <c r="H179" s="60" t="n">
        <v>-1.98</v>
      </c>
      <c r="I179" s="60" t="n">
        <v>0</v>
      </c>
      <c r="J179" s="60" t="n">
        <v>-2.26</v>
      </c>
      <c r="K179" s="60" t="n">
        <v>-4.72</v>
      </c>
      <c r="L179" s="60" t="n">
        <v>-0.68</v>
      </c>
      <c r="M179" s="60" t="n">
        <v>-0.64</v>
      </c>
      <c r="N179" s="60" t="n">
        <v>-6.81</v>
      </c>
      <c r="O179" s="60" t="n">
        <v>-1.7</v>
      </c>
      <c r="P179" s="60" t="n">
        <v>-1.02</v>
      </c>
      <c r="Q179" s="60" t="n">
        <v>-0.62</v>
      </c>
      <c r="R179" s="60" t="n">
        <v>-0.54</v>
      </c>
      <c r="S179" s="60" t="n">
        <v>-3.86</v>
      </c>
      <c r="T179" s="60" t="n">
        <v>-0.06</v>
      </c>
      <c r="U179" s="60" t="n">
        <v>0.58</v>
      </c>
      <c r="V179" s="60" t="n">
        <v>-1.28</v>
      </c>
      <c r="W179" s="60" t="n">
        <v>0.44</v>
      </c>
      <c r="X179" s="60" t="n">
        <v>-0.29</v>
      </c>
      <c r="Y179" s="60" t="n">
        <v>-3.04</v>
      </c>
      <c r="Z179" s="60" t="n">
        <v>-1.33</v>
      </c>
      <c r="AA179" s="60" t="n">
        <v>-0.61</v>
      </c>
      <c r="AB179" s="60" t="n">
        <v>0.29</v>
      </c>
      <c r="AC179" s="60" t="n">
        <v>-4.65</v>
      </c>
      <c r="AD179" s="60" t="n">
        <v>-0.08</v>
      </c>
      <c r="AE179" s="60" t="n">
        <v>0.18</v>
      </c>
      <c r="AF179" s="60" t="n">
        <v>0.1</v>
      </c>
      <c r="AG179" s="60" t="n">
        <v>0.66</v>
      </c>
      <c r="AH179" s="60" t="n">
        <v>0.87</v>
      </c>
      <c r="AI179" s="60" t="n">
        <v>-0.32</v>
      </c>
      <c r="AJ179" s="60" t="n">
        <v>0.47</v>
      </c>
      <c r="AK179" s="60" t="n">
        <v>1.2</v>
      </c>
      <c r="AL179" s="60" t="n">
        <v>3.21</v>
      </c>
      <c r="AM179" s="60" t="n">
        <v>4.56</v>
      </c>
      <c r="AN179" s="60" t="n">
        <v>0.83</v>
      </c>
      <c r="AO179" s="60" t="n">
        <v>0.63</v>
      </c>
      <c r="AP179" s="60" t="n">
        <v>3.11</v>
      </c>
      <c r="AQ179" s="60" t="n">
        <v>0.14</v>
      </c>
      <c r="AR179" s="60" t="n">
        <v>4.73</v>
      </c>
      <c r="AS179" s="60" t="n">
        <v>0.13</v>
      </c>
      <c r="AT179" s="60" t="n">
        <v>1.17</v>
      </c>
      <c r="AU179" s="31" t="n"/>
      <c r="AV179" s="31" t="n"/>
      <c r="AW179" s="31" t="n"/>
      <c r="AX179" s="31" t="n"/>
      <c r="AY179" s="31" t="n"/>
      <c r="AZ179" s="31" t="n"/>
      <c r="BA179" s="31" t="n"/>
      <c r="BB179" s="26" t="n"/>
    </row>
    <row r="181">
      <c r="B181" s="10" t="inlineStr">
        <is>
          <t>RECONCILIATION: NET INCOME → EBITDA → ADJUSTED EBITDA → NON-GAAP OPERATING INCOME (company definitions)</t>
        </is>
      </c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inlineStr">
        <is>
          <t>ADJUSTED EBITDA / NON-GAAP OI — per Uber earnings-release reconciliations; forecast = IS + forecast adjusting items</t>
        </is>
      </c>
    </row>
    <row r="182">
      <c r="B182" s="16" t="inlineStr">
        <is>
          <t>Net income (loss) attributable to Uber Technologies, Inc. (GAAP)</t>
        </is>
      </c>
      <c r="C182" s="36">
        <f>C168</f>
        <v/>
      </c>
      <c r="D182" s="36">
        <f>D168</f>
        <v/>
      </c>
      <c r="E182" s="36">
        <f>E168</f>
        <v/>
      </c>
      <c r="F182" s="36">
        <f>F168</f>
        <v/>
      </c>
      <c r="G182" s="36">
        <f>G168</f>
        <v/>
      </c>
      <c r="H182" s="36">
        <f>H168</f>
        <v/>
      </c>
      <c r="I182" s="36">
        <f>I168</f>
        <v/>
      </c>
      <c r="J182" s="36">
        <f>J168</f>
        <v/>
      </c>
      <c r="K182" s="36">
        <f>K168</f>
        <v/>
      </c>
      <c r="L182" s="36">
        <f>L168</f>
        <v/>
      </c>
      <c r="M182" s="36">
        <f>M168</f>
        <v/>
      </c>
      <c r="N182" s="36">
        <f>N168</f>
        <v/>
      </c>
      <c r="O182" s="36">
        <f>O168</f>
        <v/>
      </c>
      <c r="P182" s="36">
        <f>P168</f>
        <v/>
      </c>
      <c r="Q182" s="36">
        <f>Q168</f>
        <v/>
      </c>
      <c r="R182" s="36">
        <f>R168</f>
        <v/>
      </c>
      <c r="S182" s="36">
        <f>S168</f>
        <v/>
      </c>
      <c r="T182" s="36">
        <f>T168</f>
        <v/>
      </c>
      <c r="U182" s="36">
        <f>U168</f>
        <v/>
      </c>
      <c r="V182" s="36">
        <f>V168</f>
        <v/>
      </c>
      <c r="W182" s="36">
        <f>W168</f>
        <v/>
      </c>
      <c r="X182" s="36">
        <f>X168</f>
        <v/>
      </c>
      <c r="Y182" s="36">
        <f>Y168</f>
        <v/>
      </c>
      <c r="Z182" s="36">
        <f>Z168</f>
        <v/>
      </c>
      <c r="AA182" s="36">
        <f>AA168</f>
        <v/>
      </c>
      <c r="AB182" s="36">
        <f>AB168</f>
        <v/>
      </c>
      <c r="AC182" s="36">
        <f>AC168</f>
        <v/>
      </c>
      <c r="AD182" s="36">
        <f>AD168</f>
        <v/>
      </c>
      <c r="AE182" s="36">
        <f>AE168</f>
        <v/>
      </c>
      <c r="AF182" s="36">
        <f>AF168</f>
        <v/>
      </c>
      <c r="AG182" s="36">
        <f>AG168</f>
        <v/>
      </c>
      <c r="AH182" s="36">
        <f>AH168</f>
        <v/>
      </c>
      <c r="AI182" s="36">
        <f>AI168</f>
        <v/>
      </c>
      <c r="AJ182" s="36">
        <f>AJ168</f>
        <v/>
      </c>
      <c r="AK182" s="36">
        <f>AK168</f>
        <v/>
      </c>
      <c r="AL182" s="36">
        <f>AL168</f>
        <v/>
      </c>
      <c r="AM182" s="36">
        <f>AM168</f>
        <v/>
      </c>
      <c r="AN182" s="36">
        <f>AN168</f>
        <v/>
      </c>
      <c r="AO182" s="36">
        <f>AO168</f>
        <v/>
      </c>
      <c r="AP182" s="36">
        <f>AP168</f>
        <v/>
      </c>
      <c r="AQ182" s="36">
        <f>AQ168</f>
        <v/>
      </c>
      <c r="AR182" s="36">
        <f>AR168</f>
        <v/>
      </c>
      <c r="AS182" s="36">
        <f>AS168</f>
        <v/>
      </c>
      <c r="AT182" s="36">
        <f>AT168</f>
        <v/>
      </c>
      <c r="AU182" s="18">
        <f>AU168</f>
        <v/>
      </c>
      <c r="AV182" s="18">
        <f>AV168</f>
        <v/>
      </c>
      <c r="AW182" s="18">
        <f>AW168</f>
        <v/>
      </c>
      <c r="AX182" s="18">
        <f>AX168</f>
        <v/>
      </c>
      <c r="AY182" s="18">
        <f>AY168</f>
        <v/>
      </c>
      <c r="AZ182" s="18">
        <f>AZ168</f>
        <v/>
      </c>
      <c r="BA182" s="18">
        <f>BA168</f>
        <v/>
      </c>
      <c r="BB182" s="26" t="n"/>
    </row>
    <row r="183">
      <c r="B183" s="27" t="inlineStr">
        <is>
          <t xml:space="preserve">  (+) Net income (loss) attributable to non-controlling interests</t>
        </is>
      </c>
      <c r="C183" s="43">
        <f>C167</f>
        <v/>
      </c>
      <c r="D183" s="43">
        <f>D167</f>
        <v/>
      </c>
      <c r="E183" s="43">
        <f>E167</f>
        <v/>
      </c>
      <c r="F183" s="43">
        <f>F167</f>
        <v/>
      </c>
      <c r="G183" s="43">
        <f>G167</f>
        <v/>
      </c>
      <c r="H183" s="43">
        <f>H167</f>
        <v/>
      </c>
      <c r="I183" s="43">
        <f>I167</f>
        <v/>
      </c>
      <c r="J183" s="43">
        <f>J167</f>
        <v/>
      </c>
      <c r="K183" s="43">
        <f>K167</f>
        <v/>
      </c>
      <c r="L183" s="43">
        <f>L167</f>
        <v/>
      </c>
      <c r="M183" s="43">
        <f>M167</f>
        <v/>
      </c>
      <c r="N183" s="43">
        <f>N167</f>
        <v/>
      </c>
      <c r="O183" s="43">
        <f>O167</f>
        <v/>
      </c>
      <c r="P183" s="43">
        <f>P167</f>
        <v/>
      </c>
      <c r="Q183" s="43">
        <f>Q167</f>
        <v/>
      </c>
      <c r="R183" s="43">
        <f>R167</f>
        <v/>
      </c>
      <c r="S183" s="43">
        <f>S167</f>
        <v/>
      </c>
      <c r="T183" s="43">
        <f>T167</f>
        <v/>
      </c>
      <c r="U183" s="43">
        <f>U167</f>
        <v/>
      </c>
      <c r="V183" s="43">
        <f>V167</f>
        <v/>
      </c>
      <c r="W183" s="43">
        <f>W167</f>
        <v/>
      </c>
      <c r="X183" s="43">
        <f>X167</f>
        <v/>
      </c>
      <c r="Y183" s="43">
        <f>Y167</f>
        <v/>
      </c>
      <c r="Z183" s="43">
        <f>Z167</f>
        <v/>
      </c>
      <c r="AA183" s="43">
        <f>AA167</f>
        <v/>
      </c>
      <c r="AB183" s="43">
        <f>AB167</f>
        <v/>
      </c>
      <c r="AC183" s="43">
        <f>AC167</f>
        <v/>
      </c>
      <c r="AD183" s="43">
        <f>AD167</f>
        <v/>
      </c>
      <c r="AE183" s="43">
        <f>AE167</f>
        <v/>
      </c>
      <c r="AF183" s="43">
        <f>AF167</f>
        <v/>
      </c>
      <c r="AG183" s="43">
        <f>AG167</f>
        <v/>
      </c>
      <c r="AH183" s="43">
        <f>AH167</f>
        <v/>
      </c>
      <c r="AI183" s="43">
        <f>AI167</f>
        <v/>
      </c>
      <c r="AJ183" s="43">
        <f>AJ167</f>
        <v/>
      </c>
      <c r="AK183" s="43">
        <f>AK167</f>
        <v/>
      </c>
      <c r="AL183" s="43">
        <f>AL167</f>
        <v/>
      </c>
      <c r="AM183" s="43">
        <f>AM167</f>
        <v/>
      </c>
      <c r="AN183" s="43">
        <f>AN167</f>
        <v/>
      </c>
      <c r="AO183" s="43">
        <f>AO167</f>
        <v/>
      </c>
      <c r="AP183" s="43">
        <f>AP167</f>
        <v/>
      </c>
      <c r="AQ183" s="43">
        <f>AQ167</f>
        <v/>
      </c>
      <c r="AR183" s="43">
        <f>AR167</f>
        <v/>
      </c>
      <c r="AS183" s="43">
        <f>AS167</f>
        <v/>
      </c>
      <c r="AT183" s="43">
        <f>AT167</f>
        <v/>
      </c>
      <c r="AU183" s="45">
        <f>AU167</f>
        <v/>
      </c>
      <c r="AV183" s="45">
        <f>AV167</f>
        <v/>
      </c>
      <c r="AW183" s="45">
        <f>AW167</f>
        <v/>
      </c>
      <c r="AX183" s="45">
        <f>AX167</f>
        <v/>
      </c>
      <c r="AY183" s="45">
        <f>AY167</f>
        <v/>
      </c>
      <c r="AZ183" s="45">
        <f>AZ167</f>
        <v/>
      </c>
      <c r="BA183" s="45">
        <f>BA167</f>
        <v/>
      </c>
      <c r="BB183" s="26" t="n"/>
    </row>
    <row r="184">
      <c r="B184" s="27" t="inlineStr">
        <is>
          <t xml:space="preserve">  (−) Income from discontinued operations</t>
        </is>
      </c>
      <c r="C184" s="43">
        <f>-N(C165)</f>
        <v/>
      </c>
      <c r="D184" s="43">
        <f>-N(D165)</f>
        <v/>
      </c>
      <c r="E184" s="43">
        <f>-N(E165)</f>
        <v/>
      </c>
      <c r="F184" s="43">
        <f>-N(F165)</f>
        <v/>
      </c>
      <c r="G184" s="43">
        <f>-N(G165)</f>
        <v/>
      </c>
      <c r="H184" s="43">
        <f>-N(H165)</f>
        <v/>
      </c>
      <c r="I184" s="43">
        <f>-N(I165)</f>
        <v/>
      </c>
      <c r="J184" s="43">
        <f>-N(J165)</f>
        <v/>
      </c>
      <c r="K184" s="43">
        <f>-N(K165)</f>
        <v/>
      </c>
      <c r="L184" s="43">
        <f>-N(L165)</f>
        <v/>
      </c>
      <c r="M184" s="43">
        <f>-N(M165)</f>
        <v/>
      </c>
      <c r="N184" s="43">
        <f>-N(N165)</f>
        <v/>
      </c>
      <c r="O184" s="43">
        <f>-N(O165)</f>
        <v/>
      </c>
      <c r="P184" s="43">
        <f>-N(P165)</f>
        <v/>
      </c>
      <c r="Q184" s="43">
        <f>-N(Q165)</f>
        <v/>
      </c>
      <c r="R184" s="43">
        <f>-N(R165)</f>
        <v/>
      </c>
      <c r="S184" s="43">
        <f>-N(S165)</f>
        <v/>
      </c>
      <c r="T184" s="43">
        <f>-N(T165)</f>
        <v/>
      </c>
      <c r="U184" s="43">
        <f>-N(U165)</f>
        <v/>
      </c>
      <c r="V184" s="43">
        <f>-N(V165)</f>
        <v/>
      </c>
      <c r="W184" s="43">
        <f>-N(W165)</f>
        <v/>
      </c>
      <c r="X184" s="43">
        <f>-N(X165)</f>
        <v/>
      </c>
      <c r="Y184" s="43">
        <f>-N(Y165)</f>
        <v/>
      </c>
      <c r="Z184" s="43">
        <f>-N(Z165)</f>
        <v/>
      </c>
      <c r="AA184" s="43">
        <f>-N(AA165)</f>
        <v/>
      </c>
      <c r="AB184" s="43">
        <f>-N(AB165)</f>
        <v/>
      </c>
      <c r="AC184" s="43">
        <f>-N(AC165)</f>
        <v/>
      </c>
      <c r="AD184" s="43">
        <f>-N(AD165)</f>
        <v/>
      </c>
      <c r="AE184" s="43">
        <f>-N(AE165)</f>
        <v/>
      </c>
      <c r="AF184" s="43">
        <f>-N(AF165)</f>
        <v/>
      </c>
      <c r="AG184" s="43">
        <f>-N(AG165)</f>
        <v/>
      </c>
      <c r="AH184" s="43">
        <f>-N(AH165)</f>
        <v/>
      </c>
      <c r="AI184" s="43">
        <f>-N(AI165)</f>
        <v/>
      </c>
      <c r="AJ184" s="43">
        <f>-N(AJ165)</f>
        <v/>
      </c>
      <c r="AK184" s="43">
        <f>-N(AK165)</f>
        <v/>
      </c>
      <c r="AL184" s="43">
        <f>-N(AL165)</f>
        <v/>
      </c>
      <c r="AM184" s="43">
        <f>-N(AM165)</f>
        <v/>
      </c>
      <c r="AN184" s="43">
        <f>-N(AN165)</f>
        <v/>
      </c>
      <c r="AO184" s="43">
        <f>-N(AO165)</f>
        <v/>
      </c>
      <c r="AP184" s="43">
        <f>-N(AP165)</f>
        <v/>
      </c>
      <c r="AQ184" s="43">
        <f>-N(AQ165)</f>
        <v/>
      </c>
      <c r="AR184" s="43">
        <f>-N(AR165)</f>
        <v/>
      </c>
      <c r="AS184" s="43">
        <f>-N(AS165)</f>
        <v/>
      </c>
      <c r="AT184" s="43">
        <f>-N(AT165)</f>
        <v/>
      </c>
      <c r="AU184" s="47" t="n">
        <v>0</v>
      </c>
      <c r="AV184" s="47" t="n">
        <v>0</v>
      </c>
      <c r="AW184" s="47" t="n">
        <v>0</v>
      </c>
      <c r="AX184" s="47" t="n">
        <v>0</v>
      </c>
      <c r="AY184" s="47" t="n">
        <v>0</v>
      </c>
      <c r="AZ184" s="47" t="n">
        <v>0</v>
      </c>
      <c r="BA184" s="47" t="n">
        <v>0</v>
      </c>
      <c r="BB184" s="26" t="n"/>
    </row>
    <row r="185">
      <c r="B185" s="27" t="inlineStr">
        <is>
          <t xml:space="preserve">  (+) Loss (income) from equity method investments</t>
        </is>
      </c>
      <c r="C185" s="43">
        <f>-C164</f>
        <v/>
      </c>
      <c r="D185" s="43">
        <f>-D164</f>
        <v/>
      </c>
      <c r="E185" s="43">
        <f>-E164</f>
        <v/>
      </c>
      <c r="F185" s="43">
        <f>-F164</f>
        <v/>
      </c>
      <c r="G185" s="43">
        <f>-G164</f>
        <v/>
      </c>
      <c r="H185" s="43">
        <f>-H164</f>
        <v/>
      </c>
      <c r="I185" s="43">
        <f>-I164</f>
        <v/>
      </c>
      <c r="J185" s="43">
        <f>-J164</f>
        <v/>
      </c>
      <c r="K185" s="43">
        <f>-K164</f>
        <v/>
      </c>
      <c r="L185" s="43">
        <f>-L164</f>
        <v/>
      </c>
      <c r="M185" s="43">
        <f>-M164</f>
        <v/>
      </c>
      <c r="N185" s="43">
        <f>-N164</f>
        <v/>
      </c>
      <c r="O185" s="43">
        <f>-O164</f>
        <v/>
      </c>
      <c r="P185" s="43">
        <f>-P164</f>
        <v/>
      </c>
      <c r="Q185" s="43">
        <f>-Q164</f>
        <v/>
      </c>
      <c r="R185" s="43">
        <f>-R164</f>
        <v/>
      </c>
      <c r="S185" s="43">
        <f>-S164</f>
        <v/>
      </c>
      <c r="T185" s="43">
        <f>-T164</f>
        <v/>
      </c>
      <c r="U185" s="43">
        <f>-U164</f>
        <v/>
      </c>
      <c r="V185" s="43">
        <f>-V164</f>
        <v/>
      </c>
      <c r="W185" s="43">
        <f>-W164</f>
        <v/>
      </c>
      <c r="X185" s="43">
        <f>-X164</f>
        <v/>
      </c>
      <c r="Y185" s="43">
        <f>-Y164</f>
        <v/>
      </c>
      <c r="Z185" s="43">
        <f>-Z164</f>
        <v/>
      </c>
      <c r="AA185" s="43">
        <f>-AA164</f>
        <v/>
      </c>
      <c r="AB185" s="43">
        <f>-AB164</f>
        <v/>
      </c>
      <c r="AC185" s="43">
        <f>-AC164</f>
        <v/>
      </c>
      <c r="AD185" s="43">
        <f>-AD164</f>
        <v/>
      </c>
      <c r="AE185" s="43">
        <f>-AE164</f>
        <v/>
      </c>
      <c r="AF185" s="43">
        <f>-AF164</f>
        <v/>
      </c>
      <c r="AG185" s="43">
        <f>-AG164</f>
        <v/>
      </c>
      <c r="AH185" s="43">
        <f>-AH164</f>
        <v/>
      </c>
      <c r="AI185" s="43">
        <f>-AI164</f>
        <v/>
      </c>
      <c r="AJ185" s="43">
        <f>-AJ164</f>
        <v/>
      </c>
      <c r="AK185" s="43">
        <f>-AK164</f>
        <v/>
      </c>
      <c r="AL185" s="43">
        <f>-AL164</f>
        <v/>
      </c>
      <c r="AM185" s="43">
        <f>-AM164</f>
        <v/>
      </c>
      <c r="AN185" s="43">
        <f>-AN164</f>
        <v/>
      </c>
      <c r="AO185" s="43">
        <f>-AO164</f>
        <v/>
      </c>
      <c r="AP185" s="43">
        <f>-AP164</f>
        <v/>
      </c>
      <c r="AQ185" s="43">
        <f>-AQ164</f>
        <v/>
      </c>
      <c r="AR185" s="43">
        <f>-AR164</f>
        <v/>
      </c>
      <c r="AS185" s="43">
        <f>-AS164</f>
        <v/>
      </c>
      <c r="AT185" s="43">
        <f>-AT164</f>
        <v/>
      </c>
      <c r="AU185" s="45">
        <f>-AU164</f>
        <v/>
      </c>
      <c r="AV185" s="45">
        <f>-AV164</f>
        <v/>
      </c>
      <c r="AW185" s="45">
        <f>-AW164</f>
        <v/>
      </c>
      <c r="AX185" s="45">
        <f>-AX164</f>
        <v/>
      </c>
      <c r="AY185" s="45">
        <f>-AY164</f>
        <v/>
      </c>
      <c r="AZ185" s="45">
        <f>-AZ164</f>
        <v/>
      </c>
      <c r="BA185" s="45">
        <f>-BA164</f>
        <v/>
      </c>
      <c r="BB185" s="26" t="n"/>
    </row>
    <row r="186">
      <c r="B186" s="27" t="inlineStr">
        <is>
          <t xml:space="preserve">  (+) Provision for (benefit from) income taxes</t>
        </is>
      </c>
      <c r="C186" s="43">
        <f>C162</f>
        <v/>
      </c>
      <c r="D186" s="43">
        <f>D162</f>
        <v/>
      </c>
      <c r="E186" s="43">
        <f>E162</f>
        <v/>
      </c>
      <c r="F186" s="43">
        <f>F162</f>
        <v/>
      </c>
      <c r="G186" s="43">
        <f>G162</f>
        <v/>
      </c>
      <c r="H186" s="43">
        <f>H162</f>
        <v/>
      </c>
      <c r="I186" s="43">
        <f>I162</f>
        <v/>
      </c>
      <c r="J186" s="43">
        <f>J162</f>
        <v/>
      </c>
      <c r="K186" s="43">
        <f>K162</f>
        <v/>
      </c>
      <c r="L186" s="43">
        <f>L162</f>
        <v/>
      </c>
      <c r="M186" s="43">
        <f>M162</f>
        <v/>
      </c>
      <c r="N186" s="43">
        <f>N162</f>
        <v/>
      </c>
      <c r="O186" s="43">
        <f>O162</f>
        <v/>
      </c>
      <c r="P186" s="43">
        <f>P162</f>
        <v/>
      </c>
      <c r="Q186" s="43">
        <f>Q162</f>
        <v/>
      </c>
      <c r="R186" s="43">
        <f>R162</f>
        <v/>
      </c>
      <c r="S186" s="43">
        <f>S162</f>
        <v/>
      </c>
      <c r="T186" s="43">
        <f>T162</f>
        <v/>
      </c>
      <c r="U186" s="43">
        <f>U162</f>
        <v/>
      </c>
      <c r="V186" s="43">
        <f>V162</f>
        <v/>
      </c>
      <c r="W186" s="43">
        <f>W162</f>
        <v/>
      </c>
      <c r="X186" s="43">
        <f>X162</f>
        <v/>
      </c>
      <c r="Y186" s="43">
        <f>Y162</f>
        <v/>
      </c>
      <c r="Z186" s="43">
        <f>Z162</f>
        <v/>
      </c>
      <c r="AA186" s="43">
        <f>AA162</f>
        <v/>
      </c>
      <c r="AB186" s="43">
        <f>AB162</f>
        <v/>
      </c>
      <c r="AC186" s="43">
        <f>AC162</f>
        <v/>
      </c>
      <c r="AD186" s="43">
        <f>AD162</f>
        <v/>
      </c>
      <c r="AE186" s="43">
        <f>AE162</f>
        <v/>
      </c>
      <c r="AF186" s="43">
        <f>AF162</f>
        <v/>
      </c>
      <c r="AG186" s="43">
        <f>AG162</f>
        <v/>
      </c>
      <c r="AH186" s="43">
        <f>AH162</f>
        <v/>
      </c>
      <c r="AI186" s="43">
        <f>AI162</f>
        <v/>
      </c>
      <c r="AJ186" s="43">
        <f>AJ162</f>
        <v/>
      </c>
      <c r="AK186" s="43">
        <f>AK162</f>
        <v/>
      </c>
      <c r="AL186" s="43">
        <f>AL162</f>
        <v/>
      </c>
      <c r="AM186" s="43">
        <f>AM162</f>
        <v/>
      </c>
      <c r="AN186" s="43">
        <f>AN162</f>
        <v/>
      </c>
      <c r="AO186" s="43">
        <f>AO162</f>
        <v/>
      </c>
      <c r="AP186" s="43">
        <f>AP162</f>
        <v/>
      </c>
      <c r="AQ186" s="43">
        <f>AQ162</f>
        <v/>
      </c>
      <c r="AR186" s="43">
        <f>AR162</f>
        <v/>
      </c>
      <c r="AS186" s="43">
        <f>AS162</f>
        <v/>
      </c>
      <c r="AT186" s="43">
        <f>AT162</f>
        <v/>
      </c>
      <c r="AU186" s="45">
        <f>AU162</f>
        <v/>
      </c>
      <c r="AV186" s="45">
        <f>AV162</f>
        <v/>
      </c>
      <c r="AW186" s="45">
        <f>AW162</f>
        <v/>
      </c>
      <c r="AX186" s="45">
        <f>AX162</f>
        <v/>
      </c>
      <c r="AY186" s="45">
        <f>AY162</f>
        <v/>
      </c>
      <c r="AZ186" s="45">
        <f>AZ162</f>
        <v/>
      </c>
      <c r="BA186" s="45">
        <f>BA162</f>
        <v/>
      </c>
      <c r="BB186" s="26" t="n"/>
    </row>
    <row r="187">
      <c r="B187" s="27" t="inlineStr">
        <is>
          <t xml:space="preserve">  (+) Other (income) expense, net</t>
        </is>
      </c>
      <c r="C187" s="43">
        <f>-C160</f>
        <v/>
      </c>
      <c r="D187" s="43">
        <f>-D160</f>
        <v/>
      </c>
      <c r="E187" s="43">
        <f>-E160</f>
        <v/>
      </c>
      <c r="F187" s="43">
        <f>-F160</f>
        <v/>
      </c>
      <c r="G187" s="43">
        <f>-G160</f>
        <v/>
      </c>
      <c r="H187" s="43">
        <f>-H160</f>
        <v/>
      </c>
      <c r="I187" s="43">
        <f>-I160</f>
        <v/>
      </c>
      <c r="J187" s="43">
        <f>-J160</f>
        <v/>
      </c>
      <c r="K187" s="43">
        <f>-K160</f>
        <v/>
      </c>
      <c r="L187" s="43">
        <f>-L160</f>
        <v/>
      </c>
      <c r="M187" s="43">
        <f>-M160</f>
        <v/>
      </c>
      <c r="N187" s="43">
        <f>-N160</f>
        <v/>
      </c>
      <c r="O187" s="43">
        <f>-O160</f>
        <v/>
      </c>
      <c r="P187" s="43">
        <f>-P160</f>
        <v/>
      </c>
      <c r="Q187" s="43">
        <f>-Q160</f>
        <v/>
      </c>
      <c r="R187" s="43">
        <f>-R160</f>
        <v/>
      </c>
      <c r="S187" s="43">
        <f>-S160</f>
        <v/>
      </c>
      <c r="T187" s="43">
        <f>-T160</f>
        <v/>
      </c>
      <c r="U187" s="43">
        <f>-U160</f>
        <v/>
      </c>
      <c r="V187" s="43">
        <f>-V160</f>
        <v/>
      </c>
      <c r="W187" s="43">
        <f>-W160</f>
        <v/>
      </c>
      <c r="X187" s="43">
        <f>-X160</f>
        <v/>
      </c>
      <c r="Y187" s="43">
        <f>-Y160</f>
        <v/>
      </c>
      <c r="Z187" s="43">
        <f>-Z160</f>
        <v/>
      </c>
      <c r="AA187" s="43">
        <f>-AA160</f>
        <v/>
      </c>
      <c r="AB187" s="43">
        <f>-AB160</f>
        <v/>
      </c>
      <c r="AC187" s="43">
        <f>-AC160</f>
        <v/>
      </c>
      <c r="AD187" s="43">
        <f>-AD160</f>
        <v/>
      </c>
      <c r="AE187" s="43">
        <f>-AE160</f>
        <v/>
      </c>
      <c r="AF187" s="43">
        <f>-AF160</f>
        <v/>
      </c>
      <c r="AG187" s="43">
        <f>-AG160</f>
        <v/>
      </c>
      <c r="AH187" s="43">
        <f>-AH160</f>
        <v/>
      </c>
      <c r="AI187" s="43">
        <f>-AI160</f>
        <v/>
      </c>
      <c r="AJ187" s="43">
        <f>-AJ160</f>
        <v/>
      </c>
      <c r="AK187" s="43">
        <f>-AK160</f>
        <v/>
      </c>
      <c r="AL187" s="43">
        <f>-AL160</f>
        <v/>
      </c>
      <c r="AM187" s="43">
        <f>-AM160</f>
        <v/>
      </c>
      <c r="AN187" s="43">
        <f>-AN160</f>
        <v/>
      </c>
      <c r="AO187" s="43">
        <f>-AO160</f>
        <v/>
      </c>
      <c r="AP187" s="43">
        <f>-AP160</f>
        <v/>
      </c>
      <c r="AQ187" s="43">
        <f>-AQ160</f>
        <v/>
      </c>
      <c r="AR187" s="43">
        <f>-AR160</f>
        <v/>
      </c>
      <c r="AS187" s="43">
        <f>-AS160</f>
        <v/>
      </c>
      <c r="AT187" s="43">
        <f>-AT160</f>
        <v/>
      </c>
      <c r="AU187" s="45">
        <f>-AU160</f>
        <v/>
      </c>
      <c r="AV187" s="45">
        <f>-AV160</f>
        <v/>
      </c>
      <c r="AW187" s="45">
        <f>-AW160</f>
        <v/>
      </c>
      <c r="AX187" s="45">
        <f>-AX160</f>
        <v/>
      </c>
      <c r="AY187" s="45">
        <f>-AY160</f>
        <v/>
      </c>
      <c r="AZ187" s="45">
        <f>-AZ160</f>
        <v/>
      </c>
      <c r="BA187" s="45">
        <f>-BA160</f>
        <v/>
      </c>
      <c r="BB187" s="26" t="n"/>
    </row>
    <row r="188">
      <c r="B188" s="27" t="inlineStr">
        <is>
          <t xml:space="preserve">  (+) Interest expense</t>
        </is>
      </c>
      <c r="C188" s="43">
        <f>C158</f>
        <v/>
      </c>
      <c r="D188" s="43">
        <f>D158</f>
        <v/>
      </c>
      <c r="E188" s="43">
        <f>E158</f>
        <v/>
      </c>
      <c r="F188" s="43">
        <f>F158</f>
        <v/>
      </c>
      <c r="G188" s="43">
        <f>G158</f>
        <v/>
      </c>
      <c r="H188" s="43">
        <f>H158</f>
        <v/>
      </c>
      <c r="I188" s="43">
        <f>I158</f>
        <v/>
      </c>
      <c r="J188" s="43">
        <f>J158</f>
        <v/>
      </c>
      <c r="K188" s="43">
        <f>K158</f>
        <v/>
      </c>
      <c r="L188" s="43">
        <f>L158</f>
        <v/>
      </c>
      <c r="M188" s="43">
        <f>M158</f>
        <v/>
      </c>
      <c r="N188" s="43">
        <f>N158</f>
        <v/>
      </c>
      <c r="O188" s="43">
        <f>O158</f>
        <v/>
      </c>
      <c r="P188" s="43">
        <f>P158</f>
        <v/>
      </c>
      <c r="Q188" s="43">
        <f>Q158</f>
        <v/>
      </c>
      <c r="R188" s="43">
        <f>R158</f>
        <v/>
      </c>
      <c r="S188" s="43">
        <f>S158</f>
        <v/>
      </c>
      <c r="T188" s="43">
        <f>T158</f>
        <v/>
      </c>
      <c r="U188" s="43">
        <f>U158</f>
        <v/>
      </c>
      <c r="V188" s="43">
        <f>V158</f>
        <v/>
      </c>
      <c r="W188" s="43">
        <f>W158</f>
        <v/>
      </c>
      <c r="X188" s="43">
        <f>X158</f>
        <v/>
      </c>
      <c r="Y188" s="43">
        <f>Y158</f>
        <v/>
      </c>
      <c r="Z188" s="43">
        <f>Z158</f>
        <v/>
      </c>
      <c r="AA188" s="43">
        <f>AA158</f>
        <v/>
      </c>
      <c r="AB188" s="43">
        <f>AB158</f>
        <v/>
      </c>
      <c r="AC188" s="43">
        <f>AC158</f>
        <v/>
      </c>
      <c r="AD188" s="43">
        <f>AD158</f>
        <v/>
      </c>
      <c r="AE188" s="43">
        <f>AE158</f>
        <v/>
      </c>
      <c r="AF188" s="43">
        <f>AF158</f>
        <v/>
      </c>
      <c r="AG188" s="43">
        <f>AG158</f>
        <v/>
      </c>
      <c r="AH188" s="43">
        <f>AH158</f>
        <v/>
      </c>
      <c r="AI188" s="43">
        <f>AI158</f>
        <v/>
      </c>
      <c r="AJ188" s="43">
        <f>AJ158</f>
        <v/>
      </c>
      <c r="AK188" s="43">
        <f>AK158</f>
        <v/>
      </c>
      <c r="AL188" s="43">
        <f>AL158</f>
        <v/>
      </c>
      <c r="AM188" s="43">
        <f>AM158</f>
        <v/>
      </c>
      <c r="AN188" s="43">
        <f>AN158</f>
        <v/>
      </c>
      <c r="AO188" s="43">
        <f>AO158</f>
        <v/>
      </c>
      <c r="AP188" s="43">
        <f>AP158</f>
        <v/>
      </c>
      <c r="AQ188" s="43">
        <f>AQ158</f>
        <v/>
      </c>
      <c r="AR188" s="43">
        <f>AR158</f>
        <v/>
      </c>
      <c r="AS188" s="43">
        <f>AS158</f>
        <v/>
      </c>
      <c r="AT188" s="43">
        <f>AT158</f>
        <v/>
      </c>
      <c r="AU188" s="45">
        <f>AU158</f>
        <v/>
      </c>
      <c r="AV188" s="45">
        <f>AV158</f>
        <v/>
      </c>
      <c r="AW188" s="45">
        <f>AW158</f>
        <v/>
      </c>
      <c r="AX188" s="45">
        <f>AX158</f>
        <v/>
      </c>
      <c r="AY188" s="45">
        <f>AY158</f>
        <v/>
      </c>
      <c r="AZ188" s="45">
        <f>AZ158</f>
        <v/>
      </c>
      <c r="BA188" s="45">
        <f>BA158</f>
        <v/>
      </c>
      <c r="BB188" s="26" t="n"/>
    </row>
    <row r="189">
      <c r="B189" s="27" t="inlineStr">
        <is>
          <t xml:space="preserve">  (−) Interest income</t>
        </is>
      </c>
      <c r="C189" s="43">
        <f>-C159</f>
        <v/>
      </c>
      <c r="D189" s="43">
        <f>-D159</f>
        <v/>
      </c>
      <c r="E189" s="43">
        <f>-E159</f>
        <v/>
      </c>
      <c r="F189" s="43">
        <f>-F159</f>
        <v/>
      </c>
      <c r="G189" s="43">
        <f>-G159</f>
        <v/>
      </c>
      <c r="H189" s="43">
        <f>-H159</f>
        <v/>
      </c>
      <c r="I189" s="43">
        <f>-I159</f>
        <v/>
      </c>
      <c r="J189" s="43">
        <f>-J159</f>
        <v/>
      </c>
      <c r="K189" s="43">
        <f>-K159</f>
        <v/>
      </c>
      <c r="L189" s="43">
        <f>-L159</f>
        <v/>
      </c>
      <c r="M189" s="43">
        <f>-M159</f>
        <v/>
      </c>
      <c r="N189" s="43">
        <f>-N159</f>
        <v/>
      </c>
      <c r="O189" s="43">
        <f>-O159</f>
        <v/>
      </c>
      <c r="P189" s="43">
        <f>-P159</f>
        <v/>
      </c>
      <c r="Q189" s="43">
        <f>-Q159</f>
        <v/>
      </c>
      <c r="R189" s="43">
        <f>-R159</f>
        <v/>
      </c>
      <c r="S189" s="43">
        <f>-S159</f>
        <v/>
      </c>
      <c r="T189" s="43">
        <f>-T159</f>
        <v/>
      </c>
      <c r="U189" s="43">
        <f>-U159</f>
        <v/>
      </c>
      <c r="V189" s="43">
        <f>-V159</f>
        <v/>
      </c>
      <c r="W189" s="43">
        <f>-W159</f>
        <v/>
      </c>
      <c r="X189" s="43">
        <f>-X159</f>
        <v/>
      </c>
      <c r="Y189" s="43">
        <f>-Y159</f>
        <v/>
      </c>
      <c r="Z189" s="43">
        <f>-Z159</f>
        <v/>
      </c>
      <c r="AA189" s="43">
        <f>-AA159</f>
        <v/>
      </c>
      <c r="AB189" s="43">
        <f>-AB159</f>
        <v/>
      </c>
      <c r="AC189" s="43">
        <f>-AC159</f>
        <v/>
      </c>
      <c r="AD189" s="43">
        <f>-AD159</f>
        <v/>
      </c>
      <c r="AE189" s="43">
        <f>-AE159</f>
        <v/>
      </c>
      <c r="AF189" s="43">
        <f>-AF159</f>
        <v/>
      </c>
      <c r="AG189" s="43">
        <f>-AG159</f>
        <v/>
      </c>
      <c r="AH189" s="43">
        <f>-AH159</f>
        <v/>
      </c>
      <c r="AI189" s="43">
        <f>-AI159</f>
        <v/>
      </c>
      <c r="AJ189" s="43">
        <f>-AJ159</f>
        <v/>
      </c>
      <c r="AK189" s="43">
        <f>-AK159</f>
        <v/>
      </c>
      <c r="AL189" s="43">
        <f>-AL159</f>
        <v/>
      </c>
      <c r="AM189" s="43">
        <f>-AM159</f>
        <v/>
      </c>
      <c r="AN189" s="43">
        <f>-AN159</f>
        <v/>
      </c>
      <c r="AO189" s="43">
        <f>-AO159</f>
        <v/>
      </c>
      <c r="AP189" s="43">
        <f>-AP159</f>
        <v/>
      </c>
      <c r="AQ189" s="43">
        <f>-AQ159</f>
        <v/>
      </c>
      <c r="AR189" s="43">
        <f>-AR159</f>
        <v/>
      </c>
      <c r="AS189" s="43">
        <f>-AS159</f>
        <v/>
      </c>
      <c r="AT189" s="43">
        <f>-AT159</f>
        <v/>
      </c>
      <c r="AU189" s="45">
        <f>-AU159</f>
        <v/>
      </c>
      <c r="AV189" s="45">
        <f>-AV159</f>
        <v/>
      </c>
      <c r="AW189" s="45">
        <f>-AW159</f>
        <v/>
      </c>
      <c r="AX189" s="45">
        <f>-AX159</f>
        <v/>
      </c>
      <c r="AY189" s="45">
        <f>-AY159</f>
        <v/>
      </c>
      <c r="AZ189" s="45">
        <f>-AZ159</f>
        <v/>
      </c>
      <c r="BA189" s="45">
        <f>-BA159</f>
        <v/>
      </c>
      <c r="BB189" s="26" t="n"/>
    </row>
    <row r="190">
      <c r="B190" s="16" t="inlineStr">
        <is>
          <t xml:space="preserve">  = Income (loss) from operations (GAAP)</t>
        </is>
      </c>
      <c r="C190" s="36">
        <f>SUM(C182,C183,C184,C185,C186,C187,C188,C189)</f>
        <v/>
      </c>
      <c r="D190" s="36">
        <f>SUM(D182,D183,D184,D185,D186,D187,D188,D189)</f>
        <v/>
      </c>
      <c r="E190" s="36">
        <f>SUM(E182,E183,E184,E185,E186,E187,E188,E189)</f>
        <v/>
      </c>
      <c r="F190" s="36">
        <f>SUM(F182,F183,F184,F185,F186,F187,F188,F189)</f>
        <v/>
      </c>
      <c r="G190" s="36">
        <f>SUM(G182,G183,G184,G185,G186,G187,G188,G189)</f>
        <v/>
      </c>
      <c r="H190" s="36">
        <f>SUM(H182,H183,H184,H185,H186,H187,H188,H189)</f>
        <v/>
      </c>
      <c r="I190" s="36">
        <f>SUM(I182,I183,I184,I185,I186,I187,I188,I189)</f>
        <v/>
      </c>
      <c r="J190" s="36">
        <f>SUM(J182,J183,J184,J185,J186,J187,J188,J189)</f>
        <v/>
      </c>
      <c r="K190" s="36">
        <f>SUM(K182,K183,K184,K185,K186,K187,K188,K189)</f>
        <v/>
      </c>
      <c r="L190" s="36">
        <f>SUM(L182,L183,L184,L185,L186,L187,L188,L189)</f>
        <v/>
      </c>
      <c r="M190" s="36">
        <f>SUM(M182,M183,M184,M185,M186,M187,M188,M189)</f>
        <v/>
      </c>
      <c r="N190" s="36">
        <f>SUM(N182,N183,N184,N185,N186,N187,N188,N189)</f>
        <v/>
      </c>
      <c r="O190" s="36">
        <f>SUM(O182,O183,O184,O185,O186,O187,O188,O189)</f>
        <v/>
      </c>
      <c r="P190" s="36">
        <f>SUM(P182,P183,P184,P185,P186,P187,P188,P189)</f>
        <v/>
      </c>
      <c r="Q190" s="36">
        <f>SUM(Q182,Q183,Q184,Q185,Q186,Q187,Q188,Q189)</f>
        <v/>
      </c>
      <c r="R190" s="36">
        <f>SUM(R182,R183,R184,R185,R186,R187,R188,R189)</f>
        <v/>
      </c>
      <c r="S190" s="36">
        <f>SUM(S182,S183,S184,S185,S186,S187,S188,S189)</f>
        <v/>
      </c>
      <c r="T190" s="36">
        <f>SUM(T182,T183,T184,T185,T186,T187,T188,T189)</f>
        <v/>
      </c>
      <c r="U190" s="36">
        <f>SUM(U182,U183,U184,U185,U186,U187,U188,U189)</f>
        <v/>
      </c>
      <c r="V190" s="36">
        <f>SUM(V182,V183,V184,V185,V186,V187,V188,V189)</f>
        <v/>
      </c>
      <c r="W190" s="36">
        <f>SUM(W182,W183,W184,W185,W186,W187,W188,W189)</f>
        <v/>
      </c>
      <c r="X190" s="36">
        <f>SUM(X182,X183,X184,X185,X186,X187,X188,X189)</f>
        <v/>
      </c>
      <c r="Y190" s="36">
        <f>SUM(Y182,Y183,Y184,Y185,Y186,Y187,Y188,Y189)</f>
        <v/>
      </c>
      <c r="Z190" s="36">
        <f>SUM(Z182,Z183,Z184,Z185,Z186,Z187,Z188,Z189)</f>
        <v/>
      </c>
      <c r="AA190" s="36">
        <f>SUM(AA182,AA183,AA184,AA185,AA186,AA187,AA188,AA189)</f>
        <v/>
      </c>
      <c r="AB190" s="36">
        <f>SUM(AB182,AB183,AB184,AB185,AB186,AB187,AB188,AB189)</f>
        <v/>
      </c>
      <c r="AC190" s="36">
        <f>SUM(AC182,AC183,AC184,AC185,AC186,AC187,AC188,AC189)</f>
        <v/>
      </c>
      <c r="AD190" s="36">
        <f>SUM(AD182,AD183,AD184,AD185,AD186,AD187,AD188,AD189)</f>
        <v/>
      </c>
      <c r="AE190" s="36">
        <f>SUM(AE182,AE183,AE184,AE185,AE186,AE187,AE188,AE189)</f>
        <v/>
      </c>
      <c r="AF190" s="36">
        <f>SUM(AF182,AF183,AF184,AF185,AF186,AF187,AF188,AF189)</f>
        <v/>
      </c>
      <c r="AG190" s="36">
        <f>SUM(AG182,AG183,AG184,AG185,AG186,AG187,AG188,AG189)</f>
        <v/>
      </c>
      <c r="AH190" s="36">
        <f>SUM(AH182,AH183,AH184,AH185,AH186,AH187,AH188,AH189)</f>
        <v/>
      </c>
      <c r="AI190" s="36">
        <f>SUM(AI182,AI183,AI184,AI185,AI186,AI187,AI188,AI189)</f>
        <v/>
      </c>
      <c r="AJ190" s="36">
        <f>SUM(AJ182,AJ183,AJ184,AJ185,AJ186,AJ187,AJ188,AJ189)</f>
        <v/>
      </c>
      <c r="AK190" s="36">
        <f>SUM(AK182,AK183,AK184,AK185,AK186,AK187,AK188,AK189)</f>
        <v/>
      </c>
      <c r="AL190" s="36">
        <f>SUM(AL182,AL183,AL184,AL185,AL186,AL187,AL188,AL189)</f>
        <v/>
      </c>
      <c r="AM190" s="36">
        <f>SUM(AM182,AM183,AM184,AM185,AM186,AM187,AM188,AM189)</f>
        <v/>
      </c>
      <c r="AN190" s="36">
        <f>SUM(AN182,AN183,AN184,AN185,AN186,AN187,AN188,AN189)</f>
        <v/>
      </c>
      <c r="AO190" s="36">
        <f>SUM(AO182,AO183,AO184,AO185,AO186,AO187,AO188,AO189)</f>
        <v/>
      </c>
      <c r="AP190" s="36">
        <f>SUM(AP182,AP183,AP184,AP185,AP186,AP187,AP188,AP189)</f>
        <v/>
      </c>
      <c r="AQ190" s="36">
        <f>SUM(AQ182,AQ183,AQ184,AQ185,AQ186,AQ187,AQ188,AQ189)</f>
        <v/>
      </c>
      <c r="AR190" s="36">
        <f>SUM(AR182,AR183,AR184,AR185,AR186,AR187,AR188,AR189)</f>
        <v/>
      </c>
      <c r="AS190" s="36">
        <f>SUM(AS182,AS183,AS184,AS185,AS186,AS187,AS188,AS189)</f>
        <v/>
      </c>
      <c r="AT190" s="36">
        <f>SUM(AT182,AT183,AT184,AT185,AT186,AT187,AT188,AT189)</f>
        <v/>
      </c>
      <c r="AU190" s="18">
        <f>SUM(AU182,AU183,AU184,AU185,AU186,AU187,AU188,AU189)</f>
        <v/>
      </c>
      <c r="AV190" s="18">
        <f>SUM(AV182,AV183,AV184,AV185,AV186,AV187,AV188,AV189)</f>
        <v/>
      </c>
      <c r="AW190" s="18">
        <f>SUM(AW182,AW183,AW184,AW185,AW186,AW187,AW188,AW189)</f>
        <v/>
      </c>
      <c r="AX190" s="18">
        <f>SUM(AX182,AX183,AX184,AX185,AX186,AX187,AX188,AX189)</f>
        <v/>
      </c>
      <c r="AY190" s="18">
        <f>SUM(AY182,AY183,AY184,AY185,AY186,AY187,AY188,AY189)</f>
        <v/>
      </c>
      <c r="AZ190" s="18">
        <f>SUM(AZ182,AZ183,AZ184,AZ185,AZ186,AZ187,AZ188,AZ189)</f>
        <v/>
      </c>
      <c r="BA190" s="18">
        <f>SUM(BA182,BA183,BA184,BA185,BA186,BA187,BA188,BA189)</f>
        <v/>
      </c>
      <c r="BB190" s="26" t="n"/>
    </row>
    <row r="191">
      <c r="B191" s="27" t="inlineStr">
        <is>
          <t xml:space="preserve">  (+) Depreciation and amortization</t>
        </is>
      </c>
      <c r="C191" s="43">
        <f>C155</f>
        <v/>
      </c>
      <c r="D191" s="43">
        <f>D155</f>
        <v/>
      </c>
      <c r="E191" s="43">
        <f>E155</f>
        <v/>
      </c>
      <c r="F191" s="43">
        <f>F155</f>
        <v/>
      </c>
      <c r="G191" s="43">
        <f>G155</f>
        <v/>
      </c>
      <c r="H191" s="43">
        <f>H155</f>
        <v/>
      </c>
      <c r="I191" s="43">
        <f>I155</f>
        <v/>
      </c>
      <c r="J191" s="43">
        <f>J155</f>
        <v/>
      </c>
      <c r="K191" s="43">
        <f>K155</f>
        <v/>
      </c>
      <c r="L191" s="43">
        <f>L155</f>
        <v/>
      </c>
      <c r="M191" s="43">
        <f>M155</f>
        <v/>
      </c>
      <c r="N191" s="43">
        <f>N155</f>
        <v/>
      </c>
      <c r="O191" s="43">
        <f>O155</f>
        <v/>
      </c>
      <c r="P191" s="43">
        <f>P155</f>
        <v/>
      </c>
      <c r="Q191" s="43">
        <f>Q155</f>
        <v/>
      </c>
      <c r="R191" s="43">
        <f>R155</f>
        <v/>
      </c>
      <c r="S191" s="43">
        <f>S155</f>
        <v/>
      </c>
      <c r="T191" s="43">
        <f>T155</f>
        <v/>
      </c>
      <c r="U191" s="43">
        <f>U155</f>
        <v/>
      </c>
      <c r="V191" s="43">
        <f>V155</f>
        <v/>
      </c>
      <c r="W191" s="43">
        <f>W155</f>
        <v/>
      </c>
      <c r="X191" s="43">
        <f>X155</f>
        <v/>
      </c>
      <c r="Y191" s="43">
        <f>Y155</f>
        <v/>
      </c>
      <c r="Z191" s="43">
        <f>Z155</f>
        <v/>
      </c>
      <c r="AA191" s="43">
        <f>AA155</f>
        <v/>
      </c>
      <c r="AB191" s="43">
        <f>AB155</f>
        <v/>
      </c>
      <c r="AC191" s="43">
        <f>AC155</f>
        <v/>
      </c>
      <c r="AD191" s="43">
        <f>AD155</f>
        <v/>
      </c>
      <c r="AE191" s="43">
        <f>AE155</f>
        <v/>
      </c>
      <c r="AF191" s="43">
        <f>AF155</f>
        <v/>
      </c>
      <c r="AG191" s="43">
        <f>AG155</f>
        <v/>
      </c>
      <c r="AH191" s="43">
        <f>AH155</f>
        <v/>
      </c>
      <c r="AI191" s="43">
        <f>AI155</f>
        <v/>
      </c>
      <c r="AJ191" s="43">
        <f>AJ155</f>
        <v/>
      </c>
      <c r="AK191" s="43">
        <f>AK155</f>
        <v/>
      </c>
      <c r="AL191" s="43">
        <f>AL155</f>
        <v/>
      </c>
      <c r="AM191" s="43">
        <f>AM155</f>
        <v/>
      </c>
      <c r="AN191" s="43">
        <f>AN155</f>
        <v/>
      </c>
      <c r="AO191" s="43">
        <f>AO155</f>
        <v/>
      </c>
      <c r="AP191" s="43">
        <f>AP155</f>
        <v/>
      </c>
      <c r="AQ191" s="43">
        <f>AQ155</f>
        <v/>
      </c>
      <c r="AR191" s="43">
        <f>AR155</f>
        <v/>
      </c>
      <c r="AS191" s="43">
        <f>AS155</f>
        <v/>
      </c>
      <c r="AT191" s="43">
        <f>AT155</f>
        <v/>
      </c>
      <c r="AU191" s="45">
        <f>AU155</f>
        <v/>
      </c>
      <c r="AV191" s="45">
        <f>AV155</f>
        <v/>
      </c>
      <c r="AW191" s="45">
        <f>AW155</f>
        <v/>
      </c>
      <c r="AX191" s="45">
        <f>AX155</f>
        <v/>
      </c>
      <c r="AY191" s="45">
        <f>AY155</f>
        <v/>
      </c>
      <c r="AZ191" s="45">
        <f>AZ155</f>
        <v/>
      </c>
      <c r="BA191" s="45">
        <f>BA155</f>
        <v/>
      </c>
      <c r="BB191" s="26" t="n"/>
    </row>
    <row r="192">
      <c r="B192" s="16" t="inlineStr">
        <is>
          <t xml:space="preserve">  = EBITDA (GAAP income from operations + D&amp;A)</t>
        </is>
      </c>
      <c r="C192" s="36">
        <f>C190+C191</f>
        <v/>
      </c>
      <c r="D192" s="36">
        <f>D190+D191</f>
        <v/>
      </c>
      <c r="E192" s="36">
        <f>E190+E191</f>
        <v/>
      </c>
      <c r="F192" s="36">
        <f>F190+F191</f>
        <v/>
      </c>
      <c r="G192" s="36">
        <f>G190+G191</f>
        <v/>
      </c>
      <c r="H192" s="36">
        <f>H190+H191</f>
        <v/>
      </c>
      <c r="I192" s="36">
        <f>I190+I191</f>
        <v/>
      </c>
      <c r="J192" s="36">
        <f>J190+J191</f>
        <v/>
      </c>
      <c r="K192" s="36">
        <f>K190+K191</f>
        <v/>
      </c>
      <c r="L192" s="36">
        <f>L190+L191</f>
        <v/>
      </c>
      <c r="M192" s="36">
        <f>M190+M191</f>
        <v/>
      </c>
      <c r="N192" s="36">
        <f>N190+N191</f>
        <v/>
      </c>
      <c r="O192" s="36">
        <f>O190+O191</f>
        <v/>
      </c>
      <c r="P192" s="36">
        <f>P190+P191</f>
        <v/>
      </c>
      <c r="Q192" s="36">
        <f>Q190+Q191</f>
        <v/>
      </c>
      <c r="R192" s="36">
        <f>R190+R191</f>
        <v/>
      </c>
      <c r="S192" s="36">
        <f>S190+S191</f>
        <v/>
      </c>
      <c r="T192" s="36">
        <f>T190+T191</f>
        <v/>
      </c>
      <c r="U192" s="36">
        <f>U190+U191</f>
        <v/>
      </c>
      <c r="V192" s="36">
        <f>V190+V191</f>
        <v/>
      </c>
      <c r="W192" s="36">
        <f>W190+W191</f>
        <v/>
      </c>
      <c r="X192" s="36">
        <f>X190+X191</f>
        <v/>
      </c>
      <c r="Y192" s="36">
        <f>Y190+Y191</f>
        <v/>
      </c>
      <c r="Z192" s="36">
        <f>Z190+Z191</f>
        <v/>
      </c>
      <c r="AA192" s="36">
        <f>AA190+AA191</f>
        <v/>
      </c>
      <c r="AB192" s="36">
        <f>AB190+AB191</f>
        <v/>
      </c>
      <c r="AC192" s="36">
        <f>AC190+AC191</f>
        <v/>
      </c>
      <c r="AD192" s="36">
        <f>AD190+AD191</f>
        <v/>
      </c>
      <c r="AE192" s="36">
        <f>AE190+AE191</f>
        <v/>
      </c>
      <c r="AF192" s="36">
        <f>AF190+AF191</f>
        <v/>
      </c>
      <c r="AG192" s="36">
        <f>AG190+AG191</f>
        <v/>
      </c>
      <c r="AH192" s="36">
        <f>AH190+AH191</f>
        <v/>
      </c>
      <c r="AI192" s="36">
        <f>AI190+AI191</f>
        <v/>
      </c>
      <c r="AJ192" s="36">
        <f>AJ190+AJ191</f>
        <v/>
      </c>
      <c r="AK192" s="36">
        <f>AK190+AK191</f>
        <v/>
      </c>
      <c r="AL192" s="36">
        <f>AL190+AL191</f>
        <v/>
      </c>
      <c r="AM192" s="36">
        <f>AM190+AM191</f>
        <v/>
      </c>
      <c r="AN192" s="36">
        <f>AN190+AN191</f>
        <v/>
      </c>
      <c r="AO192" s="36">
        <f>AO190+AO191</f>
        <v/>
      </c>
      <c r="AP192" s="36">
        <f>AP190+AP191</f>
        <v/>
      </c>
      <c r="AQ192" s="36">
        <f>AQ190+AQ191</f>
        <v/>
      </c>
      <c r="AR192" s="36">
        <f>AR190+AR191</f>
        <v/>
      </c>
      <c r="AS192" s="36">
        <f>AS190+AS191</f>
        <v/>
      </c>
      <c r="AT192" s="36">
        <f>AT190+AT191</f>
        <v/>
      </c>
      <c r="AU192" s="18">
        <f>AU190+AU191</f>
        <v/>
      </c>
      <c r="AV192" s="18">
        <f>AV190+AV191</f>
        <v/>
      </c>
      <c r="AW192" s="18">
        <f>AW190+AW191</f>
        <v/>
      </c>
      <c r="AX192" s="18">
        <f>AX190+AX191</f>
        <v/>
      </c>
      <c r="AY192" s="18">
        <f>AY190+AY191</f>
        <v/>
      </c>
      <c r="AZ192" s="18">
        <f>AZ190+AZ191</f>
        <v/>
      </c>
      <c r="BA192" s="18">
        <f>BA190+BA191</f>
        <v/>
      </c>
      <c r="BB192" s="26" t="n"/>
    </row>
    <row r="193">
      <c r="B193" s="27" t="inlineStr">
        <is>
          <t xml:space="preserve">  (+) Stock-based compensation expense</t>
        </is>
      </c>
      <c r="C193" s="43">
        <f>C171</f>
        <v/>
      </c>
      <c r="D193" s="43">
        <f>D171</f>
        <v/>
      </c>
      <c r="E193" s="43">
        <f>E171</f>
        <v/>
      </c>
      <c r="F193" s="43">
        <f>F171</f>
        <v/>
      </c>
      <c r="G193" s="43">
        <f>G171</f>
        <v/>
      </c>
      <c r="H193" s="43">
        <f>H171</f>
        <v/>
      </c>
      <c r="I193" s="43">
        <f>I171</f>
        <v/>
      </c>
      <c r="J193" s="43">
        <f>J171</f>
        <v/>
      </c>
      <c r="K193" s="43">
        <f>K171</f>
        <v/>
      </c>
      <c r="L193" s="43">
        <f>L171</f>
        <v/>
      </c>
      <c r="M193" s="43">
        <f>M171</f>
        <v/>
      </c>
      <c r="N193" s="43">
        <f>N171</f>
        <v/>
      </c>
      <c r="O193" s="43">
        <f>O171</f>
        <v/>
      </c>
      <c r="P193" s="43">
        <f>P171</f>
        <v/>
      </c>
      <c r="Q193" s="43">
        <f>Q171</f>
        <v/>
      </c>
      <c r="R193" s="43">
        <f>R171</f>
        <v/>
      </c>
      <c r="S193" s="43">
        <f>S171</f>
        <v/>
      </c>
      <c r="T193" s="43">
        <f>T171</f>
        <v/>
      </c>
      <c r="U193" s="43">
        <f>U171</f>
        <v/>
      </c>
      <c r="V193" s="43">
        <f>V171</f>
        <v/>
      </c>
      <c r="W193" s="43">
        <f>W171</f>
        <v/>
      </c>
      <c r="X193" s="43">
        <f>X171</f>
        <v/>
      </c>
      <c r="Y193" s="43">
        <f>Y171</f>
        <v/>
      </c>
      <c r="Z193" s="43">
        <f>Z171</f>
        <v/>
      </c>
      <c r="AA193" s="43">
        <f>AA171</f>
        <v/>
      </c>
      <c r="AB193" s="43">
        <f>AB171</f>
        <v/>
      </c>
      <c r="AC193" s="43">
        <f>AC171</f>
        <v/>
      </c>
      <c r="AD193" s="43">
        <f>AD171</f>
        <v/>
      </c>
      <c r="AE193" s="43">
        <f>AE171</f>
        <v/>
      </c>
      <c r="AF193" s="43">
        <f>AF171</f>
        <v/>
      </c>
      <c r="AG193" s="43">
        <f>AG171</f>
        <v/>
      </c>
      <c r="AH193" s="43">
        <f>AH171</f>
        <v/>
      </c>
      <c r="AI193" s="43">
        <f>AI171</f>
        <v/>
      </c>
      <c r="AJ193" s="43">
        <f>AJ171</f>
        <v/>
      </c>
      <c r="AK193" s="43">
        <f>AK171</f>
        <v/>
      </c>
      <c r="AL193" s="43">
        <f>AL171</f>
        <v/>
      </c>
      <c r="AM193" s="43">
        <f>AM171</f>
        <v/>
      </c>
      <c r="AN193" s="43">
        <f>AN171</f>
        <v/>
      </c>
      <c r="AO193" s="43">
        <f>AO171</f>
        <v/>
      </c>
      <c r="AP193" s="43">
        <f>AP171</f>
        <v/>
      </c>
      <c r="AQ193" s="43">
        <f>AQ171</f>
        <v/>
      </c>
      <c r="AR193" s="43">
        <f>AR171</f>
        <v/>
      </c>
      <c r="AS193" s="43">
        <f>AS171</f>
        <v/>
      </c>
      <c r="AT193" s="43">
        <f>AT171</f>
        <v/>
      </c>
      <c r="AU193" s="45">
        <f>AU171</f>
        <v/>
      </c>
      <c r="AV193" s="45">
        <f>AV171</f>
        <v/>
      </c>
      <c r="AW193" s="45">
        <f>AW171</f>
        <v/>
      </c>
      <c r="AX193" s="45">
        <f>AX171</f>
        <v/>
      </c>
      <c r="AY193" s="45">
        <f>AY171</f>
        <v/>
      </c>
      <c r="AZ193" s="45">
        <f>AZ171</f>
        <v/>
      </c>
      <c r="BA193" s="45">
        <f>BA171</f>
        <v/>
      </c>
      <c r="BB193" s="26" t="n"/>
    </row>
    <row r="194">
      <c r="B194" s="27" t="inlineStr">
        <is>
          <t xml:space="preserve">  (+) Legal, (non-income) tax and regulatory reserve changes and settlements</t>
        </is>
      </c>
      <c r="C194" s="44" t="n">
        <v>49</v>
      </c>
      <c r="D194" s="44" t="n">
        <v>440</v>
      </c>
      <c r="E194" s="44" t="n">
        <v>0</v>
      </c>
      <c r="F194" s="44" t="n">
        <v>252</v>
      </c>
      <c r="G194" s="44" t="n">
        <v>56</v>
      </c>
      <c r="H194" s="44" t="n">
        <v>32</v>
      </c>
      <c r="I194" s="44" t="n">
        <v>340</v>
      </c>
      <c r="J194" s="44" t="n">
        <v>0</v>
      </c>
      <c r="K194" s="44" t="n">
        <v>380</v>
      </c>
      <c r="L194" s="44" t="n">
        <v>-27</v>
      </c>
      <c r="M194" s="44" t="n">
        <v>0</v>
      </c>
      <c r="N194" s="44" t="n">
        <v>353</v>
      </c>
      <c r="O194" s="44" t="n">
        <v>19</v>
      </c>
      <c r="P194" s="44" t="n">
        <v>38</v>
      </c>
      <c r="Q194" s="44" t="n">
        <v>0</v>
      </c>
      <c r="R194" s="44" t="n">
        <v>-92</v>
      </c>
      <c r="S194" s="44" t="n">
        <v>-35</v>
      </c>
      <c r="T194" s="44" t="n">
        <v>551</v>
      </c>
      <c r="U194" s="44" t="n">
        <v>140</v>
      </c>
      <c r="V194" s="44" t="n">
        <v>-98</v>
      </c>
      <c r="W194" s="44" t="n">
        <v>-67</v>
      </c>
      <c r="X194" s="44" t="n">
        <v>526</v>
      </c>
      <c r="Y194" s="44" t="n">
        <v>0</v>
      </c>
      <c r="Z194" s="44" t="n">
        <v>368</v>
      </c>
      <c r="AA194" s="44" t="n">
        <v>283</v>
      </c>
      <c r="AB194" s="44" t="n">
        <v>81</v>
      </c>
      <c r="AC194" s="44" t="n">
        <v>732</v>
      </c>
      <c r="AD194" s="44" t="n">
        <v>250</v>
      </c>
      <c r="AE194" s="44" t="n">
        <v>-155</v>
      </c>
      <c r="AF194" s="44" t="n">
        <v>-13</v>
      </c>
      <c r="AG194" s="44" t="n">
        <v>-73</v>
      </c>
      <c r="AH194" s="44" t="n">
        <v>9</v>
      </c>
      <c r="AI194" s="44" t="n">
        <v>527</v>
      </c>
      <c r="AJ194" s="44" t="n">
        <v>134</v>
      </c>
      <c r="AK194" s="44" t="n">
        <v>0</v>
      </c>
      <c r="AL194" s="44" t="n">
        <v>462</v>
      </c>
      <c r="AM194" s="44" t="n">
        <v>1123</v>
      </c>
      <c r="AN194" s="44" t="n">
        <v>28</v>
      </c>
      <c r="AO194" s="44" t="n">
        <v>0</v>
      </c>
      <c r="AP194" s="44" t="n">
        <v>479</v>
      </c>
      <c r="AQ194" s="44" t="n">
        <v>57</v>
      </c>
      <c r="AR194" s="44" t="n">
        <v>564</v>
      </c>
      <c r="AS194" s="44" t="n">
        <v>-129</v>
      </c>
      <c r="AT194" s="44" t="n">
        <v>141</v>
      </c>
      <c r="AU194" s="47" t="n">
        <v>150</v>
      </c>
      <c r="AV194" s="47" t="n">
        <v>150</v>
      </c>
      <c r="AW194" s="45">
        <f>SUM(AS194,AT194,AU194,AV194)</f>
        <v/>
      </c>
      <c r="AX194" s="47" t="n">
        <v>500</v>
      </c>
      <c r="AY194" s="47" t="n">
        <v>500</v>
      </c>
      <c r="AZ194" s="47" t="n">
        <v>500</v>
      </c>
      <c r="BA194" s="47" t="n">
        <v>500</v>
      </c>
      <c r="BB194" s="19" t="inlineStr">
        <is>
          <t>Recurring in practice (FY24 $1.1bn, FY25 $0.6bn: worker classification, non-income tax). Forecast $150m/qtr, $500m p.a. — excluded from Adj. EBITDA / Non-GAAP, included in GAAP.</t>
        </is>
      </c>
    </row>
    <row r="195">
      <c r="B195" s="27" t="inlineStr">
        <is>
          <t xml:space="preserve">  (+) Goodwill and asset impairments / loss on sale of assets</t>
        </is>
      </c>
      <c r="C195" s="44" t="n">
        <v>9</v>
      </c>
      <c r="D195" s="44" t="n">
        <v>340</v>
      </c>
      <c r="E195" s="44" t="n">
        <v>32</v>
      </c>
      <c r="F195" s="44" t="n">
        <v>81</v>
      </c>
      <c r="G195" s="44" t="n">
        <v>54</v>
      </c>
      <c r="H195" s="44" t="n">
        <v>70</v>
      </c>
      <c r="I195" s="44" t="n">
        <v>237</v>
      </c>
      <c r="J195" s="44" t="n">
        <v>8</v>
      </c>
      <c r="K195" s="44" t="n">
        <v>0</v>
      </c>
      <c r="L195" s="44" t="n">
        <v>0</v>
      </c>
      <c r="M195" s="44" t="n">
        <v>0</v>
      </c>
      <c r="N195" s="44" t="n">
        <v>8</v>
      </c>
      <c r="O195" s="44" t="n">
        <v>193</v>
      </c>
      <c r="P195" s="44" t="n">
        <v>16</v>
      </c>
      <c r="Q195" s="44" t="n">
        <v>76</v>
      </c>
      <c r="R195" s="44" t="n">
        <v>32</v>
      </c>
      <c r="S195" s="44" t="n">
        <v>317</v>
      </c>
      <c r="T195" s="44" t="n">
        <v>57</v>
      </c>
      <c r="U195" s="44" t="n">
        <v>0</v>
      </c>
      <c r="V195" s="44" t="n">
        <v>0</v>
      </c>
      <c r="W195" s="44" t="n">
        <v>100</v>
      </c>
      <c r="X195" s="44" t="n">
        <v>157</v>
      </c>
      <c r="Y195" s="44" t="n">
        <v>13</v>
      </c>
      <c r="Z195" s="44" t="n">
        <v>4</v>
      </c>
      <c r="AA195" s="44" t="n">
        <v>0</v>
      </c>
      <c r="AB195" s="44" t="n">
        <v>8</v>
      </c>
      <c r="AC195" s="44" t="n">
        <v>25</v>
      </c>
      <c r="AD195" s="44" t="n">
        <v>67</v>
      </c>
      <c r="AE195" s="44" t="n">
        <v>16</v>
      </c>
      <c r="AF195" s="44" t="n">
        <v>2</v>
      </c>
      <c r="AG195" s="44" t="n">
        <v>-1</v>
      </c>
      <c r="AH195" s="44" t="n">
        <v>84</v>
      </c>
      <c r="AI195" s="44" t="n">
        <v>-3</v>
      </c>
      <c r="AJ195" s="44" t="n">
        <v>0</v>
      </c>
      <c r="AK195" s="44" t="n">
        <v>0</v>
      </c>
      <c r="AL195" s="44" t="n">
        <v>6</v>
      </c>
      <c r="AM195" s="44" t="n">
        <v>3</v>
      </c>
      <c r="AN195" s="43" t="n"/>
      <c r="AO195" s="44" t="n">
        <v>0</v>
      </c>
      <c r="AP195" s="44" t="n">
        <v>2</v>
      </c>
      <c r="AQ195" s="44" t="n">
        <v>0</v>
      </c>
      <c r="AR195" s="44" t="n">
        <v>2</v>
      </c>
      <c r="AS195" s="43" t="n"/>
      <c r="AT195" s="44" t="n">
        <v>4</v>
      </c>
      <c r="AU195" s="47" t="n">
        <v>0</v>
      </c>
      <c r="AV195" s="47" t="n">
        <v>0</v>
      </c>
      <c r="AW195" s="45">
        <f>SUM(AS195,AT195,AU195,AV195)</f>
        <v/>
      </c>
      <c r="AX195" s="47" t="n">
        <v>0</v>
      </c>
      <c r="AY195" s="47" t="n">
        <v>0</v>
      </c>
      <c r="AZ195" s="47" t="n">
        <v>0</v>
      </c>
      <c r="BA195" s="47" t="n">
        <v>0</v>
      </c>
      <c r="BB195" s="26" t="n"/>
    </row>
    <row r="196">
      <c r="B196" s="27" t="inlineStr">
        <is>
          <t xml:space="preserve">  (+) Acquisition, financing and divestitures related expenses</t>
        </is>
      </c>
      <c r="C196" s="44" t="n">
        <v>0</v>
      </c>
      <c r="D196" s="44" t="n">
        <v>4</v>
      </c>
      <c r="E196" s="44" t="n">
        <v>15</v>
      </c>
      <c r="F196" s="44" t="n">
        <v>0</v>
      </c>
      <c r="G196" s="44" t="n">
        <v>0</v>
      </c>
      <c r="H196" s="44" t="n">
        <v>0</v>
      </c>
      <c r="I196" s="44" t="n">
        <v>15</v>
      </c>
      <c r="J196" s="43" t="n"/>
      <c r="K196" s="43" t="n"/>
      <c r="L196" s="44" t="n">
        <v>0</v>
      </c>
      <c r="M196" s="44" t="n">
        <v>0</v>
      </c>
      <c r="N196" s="44" t="n">
        <v>0</v>
      </c>
      <c r="O196" s="44" t="n">
        <v>10</v>
      </c>
      <c r="P196" s="44" t="n">
        <v>19</v>
      </c>
      <c r="Q196" s="44" t="n">
        <v>14</v>
      </c>
      <c r="R196" s="44" t="n">
        <v>43</v>
      </c>
      <c r="S196" s="44" t="n">
        <v>86</v>
      </c>
      <c r="T196" s="44" t="n">
        <v>36</v>
      </c>
      <c r="U196" s="44" t="n">
        <v>26</v>
      </c>
      <c r="V196" s="44" t="n">
        <v>23</v>
      </c>
      <c r="W196" s="44" t="n">
        <v>17</v>
      </c>
      <c r="X196" s="44" t="n">
        <v>102</v>
      </c>
      <c r="Y196" s="44" t="n">
        <v>14</v>
      </c>
      <c r="Z196" s="44" t="n">
        <v>6</v>
      </c>
      <c r="AA196" s="44" t="n">
        <v>19</v>
      </c>
      <c r="AB196" s="44" t="n">
        <v>7</v>
      </c>
      <c r="AC196" s="44" t="n">
        <v>46</v>
      </c>
      <c r="AD196" s="44" t="n">
        <v>8</v>
      </c>
      <c r="AE196" s="44" t="n">
        <v>10</v>
      </c>
      <c r="AF196" s="44" t="n">
        <v>9</v>
      </c>
      <c r="AG196" s="44" t="n">
        <v>9</v>
      </c>
      <c r="AH196" s="44" t="n">
        <v>36</v>
      </c>
      <c r="AI196" s="44" t="n">
        <v>5</v>
      </c>
      <c r="AJ196" s="44" t="n">
        <v>3</v>
      </c>
      <c r="AK196" s="44" t="n">
        <v>8</v>
      </c>
      <c r="AL196" s="44" t="n">
        <v>9</v>
      </c>
      <c r="AM196" s="44" t="n">
        <v>25</v>
      </c>
      <c r="AN196" s="44" t="n">
        <v>3</v>
      </c>
      <c r="AO196" s="44" t="n">
        <v>19</v>
      </c>
      <c r="AP196" s="44" t="n">
        <v>6</v>
      </c>
      <c r="AQ196" s="44" t="n">
        <v>15</v>
      </c>
      <c r="AR196" s="44" t="n">
        <v>43</v>
      </c>
      <c r="AS196" s="44" t="n">
        <v>25</v>
      </c>
      <c r="AT196" s="44" t="n">
        <v>31</v>
      </c>
      <c r="AU196" s="47" t="n">
        <v>60</v>
      </c>
      <c r="AV196" s="47" t="n">
        <v>60</v>
      </c>
      <c r="AW196" s="45">
        <f>SUM(AS196,AT196,AU196,AV196)</f>
        <v/>
      </c>
      <c r="AX196" s="47" t="n">
        <v>250</v>
      </c>
      <c r="AY196" s="47" t="n">
        <v>100</v>
      </c>
      <c r="AZ196" s="47" t="n">
        <v>25</v>
      </c>
      <c r="BA196" s="47" t="n">
        <v>25</v>
      </c>
      <c r="BB196" s="19" t="inlineStr">
        <is>
          <t>Q3/Q4-26E: Delivery Hero offer costs ($60m/qtr). 2027E: closing costs; 2028E integration.</t>
        </is>
      </c>
    </row>
    <row r="197">
      <c r="B197" s="27" t="inlineStr">
        <is>
          <t xml:space="preserve">  (+) Accelerated lease costs / loss (gain) on lease arrangements</t>
        </is>
      </c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4" t="n">
        <v>0</v>
      </c>
      <c r="M197" s="44" t="n">
        <v>0</v>
      </c>
      <c r="N197" s="44" t="n">
        <v>0</v>
      </c>
      <c r="O197" s="44" t="n">
        <v>0</v>
      </c>
      <c r="P197" s="44" t="n">
        <v>7</v>
      </c>
      <c r="Q197" s="44" t="n">
        <v>68</v>
      </c>
      <c r="R197" s="44" t="n">
        <v>22</v>
      </c>
      <c r="S197" s="44" t="n">
        <v>97</v>
      </c>
      <c r="T197" s="44" t="n">
        <v>2</v>
      </c>
      <c r="U197" s="44" t="n">
        <v>0</v>
      </c>
      <c r="V197" s="44" t="n">
        <v>0</v>
      </c>
      <c r="W197" s="44" t="n">
        <v>3</v>
      </c>
      <c r="X197" s="44" t="n">
        <v>5</v>
      </c>
      <c r="Y197" s="44" t="n">
        <v>7</v>
      </c>
      <c r="Z197" s="44" t="n">
        <v>0</v>
      </c>
      <c r="AA197" s="44" t="n">
        <v>0</v>
      </c>
      <c r="AB197" s="44" t="n">
        <v>0</v>
      </c>
      <c r="AC197" s="44" t="n">
        <v>7</v>
      </c>
      <c r="AD197" s="44" t="n">
        <v>-1</v>
      </c>
      <c r="AE197" s="44" t="n">
        <v>-2</v>
      </c>
      <c r="AF197" s="44" t="n">
        <v>-1</v>
      </c>
      <c r="AG197" s="44" t="n">
        <v>8</v>
      </c>
      <c r="AH197" s="44" t="n">
        <v>4</v>
      </c>
      <c r="AI197" s="44" t="n">
        <v>0</v>
      </c>
      <c r="AJ197" s="44" t="n">
        <v>0</v>
      </c>
      <c r="AK197" s="44" t="n">
        <v>0</v>
      </c>
      <c r="AL197" s="44" t="n">
        <v>2</v>
      </c>
      <c r="AM197" s="44" t="n">
        <v>2</v>
      </c>
      <c r="AN197" s="44" t="n">
        <v>2</v>
      </c>
      <c r="AO197" s="44" t="n">
        <v>0</v>
      </c>
      <c r="AP197" s="44" t="n">
        <v>0</v>
      </c>
      <c r="AQ197" s="44" t="n">
        <v>0</v>
      </c>
      <c r="AR197" s="44" t="n">
        <v>2</v>
      </c>
      <c r="AS197" s="44" t="n">
        <v>5</v>
      </c>
      <c r="AT197" s="44" t="n">
        <v>0</v>
      </c>
      <c r="AU197" s="47" t="n">
        <v>0</v>
      </c>
      <c r="AV197" s="47" t="n">
        <v>0</v>
      </c>
      <c r="AW197" s="45">
        <f>SUM(AS197,AT197,AU197,AV197)</f>
        <v/>
      </c>
      <c r="AX197" s="47" t="n">
        <v>0</v>
      </c>
      <c r="AY197" s="47" t="n">
        <v>0</v>
      </c>
      <c r="AZ197" s="47" t="n">
        <v>0</v>
      </c>
      <c r="BA197" s="47" t="n">
        <v>0</v>
      </c>
      <c r="BB197" s="26" t="n"/>
    </row>
    <row r="198">
      <c r="B198" s="27" t="inlineStr">
        <is>
          <t xml:space="preserve">  (+) COVID-19 response initiatives (2020–22)</t>
        </is>
      </c>
      <c r="C198" s="43" t="n"/>
      <c r="D198" s="43" t="n"/>
      <c r="E198" s="43" t="n"/>
      <c r="F198" s="43" t="n"/>
      <c r="G198" s="43" t="n"/>
      <c r="H198" s="43" t="n"/>
      <c r="I198" s="43" t="n"/>
      <c r="J198" s="44" t="n">
        <v>0</v>
      </c>
      <c r="K198" s="44" t="n">
        <v>0</v>
      </c>
      <c r="L198" s="44" t="n">
        <v>0</v>
      </c>
      <c r="M198" s="44" t="n">
        <v>0</v>
      </c>
      <c r="N198" s="44" t="n">
        <v>0</v>
      </c>
      <c r="O198" s="44" t="n">
        <v>24</v>
      </c>
      <c r="P198" s="44" t="n">
        <v>48</v>
      </c>
      <c r="Q198" s="44" t="n">
        <v>18</v>
      </c>
      <c r="R198" s="44" t="n">
        <v>16</v>
      </c>
      <c r="S198" s="44" t="n">
        <v>106</v>
      </c>
      <c r="T198" s="44" t="n">
        <v>26</v>
      </c>
      <c r="U198" s="44" t="n">
        <v>15</v>
      </c>
      <c r="V198" s="44" t="n">
        <v>10</v>
      </c>
      <c r="W198" s="44" t="n">
        <v>3</v>
      </c>
      <c r="X198" s="44" t="n">
        <v>54</v>
      </c>
      <c r="Y198" s="44" t="n">
        <v>1</v>
      </c>
      <c r="Z198" s="44" t="n">
        <v>0</v>
      </c>
      <c r="AA198" s="44" t="n">
        <v>0</v>
      </c>
      <c r="AB198" s="44" t="n">
        <v>0</v>
      </c>
      <c r="AC198" s="44" t="n">
        <v>1</v>
      </c>
      <c r="AD198" s="43" t="n"/>
      <c r="AE198" s="43" t="n"/>
      <c r="AF198" s="43" t="n"/>
      <c r="AG198" s="43" t="n"/>
      <c r="AH198" s="43" t="n"/>
      <c r="AI198" s="43" t="n"/>
      <c r="AJ198" s="43" t="n"/>
      <c r="AK198" s="43" t="n"/>
      <c r="AL198" s="43" t="n"/>
      <c r="AM198" s="43" t="n"/>
      <c r="AN198" s="43" t="n"/>
      <c r="AO198" s="43" t="n"/>
      <c r="AP198" s="43" t="n"/>
      <c r="AQ198" s="43" t="n"/>
      <c r="AR198" s="43" t="n"/>
      <c r="AS198" s="43" t="n"/>
      <c r="AT198" s="43" t="n"/>
      <c r="AU198" s="47" t="n">
        <v>0</v>
      </c>
      <c r="AV198" s="47" t="n">
        <v>0</v>
      </c>
      <c r="AW198" s="47" t="n">
        <v>0</v>
      </c>
      <c r="AX198" s="47" t="n">
        <v>0</v>
      </c>
      <c r="AY198" s="47" t="n">
        <v>0</v>
      </c>
      <c r="AZ198" s="47" t="n">
        <v>0</v>
      </c>
      <c r="BA198" s="47" t="n">
        <v>0</v>
      </c>
      <c r="BB198" s="26" t="n"/>
    </row>
    <row r="199">
      <c r="B199" s="27" t="inlineStr">
        <is>
          <t xml:space="preserve">  (+) Restructuring and related charges</t>
        </is>
      </c>
      <c r="C199" s="44" t="n">
        <v>0</v>
      </c>
      <c r="D199" s="44" t="n">
        <v>7</v>
      </c>
      <c r="E199" s="44" t="n">
        <v>0</v>
      </c>
      <c r="F199" s="44" t="n">
        <v>-4</v>
      </c>
      <c r="G199" s="44" t="n">
        <v>0</v>
      </c>
      <c r="H199" s="44" t="n">
        <v>0</v>
      </c>
      <c r="I199" s="44" t="n">
        <v>-4</v>
      </c>
      <c r="J199" s="43" t="n"/>
      <c r="K199" s="44" t="n">
        <v>0</v>
      </c>
      <c r="L199" s="44" t="n">
        <v>45</v>
      </c>
      <c r="M199" s="44" t="n">
        <v>12</v>
      </c>
      <c r="N199" s="44" t="n">
        <v>57</v>
      </c>
      <c r="O199" s="43" t="n"/>
      <c r="P199" s="44" t="n">
        <v>382</v>
      </c>
      <c r="Q199" s="44" t="n">
        <v>-6</v>
      </c>
      <c r="R199" s="44" t="n">
        <v>-14</v>
      </c>
      <c r="S199" s="44" t="n">
        <v>362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2</v>
      </c>
      <c r="Z199" s="44" t="n">
        <v>0</v>
      </c>
      <c r="AA199" s="44" t="n">
        <v>0</v>
      </c>
      <c r="AB199" s="44" t="n">
        <v>0</v>
      </c>
      <c r="AC199" s="44" t="n">
        <v>2</v>
      </c>
      <c r="AD199" s="44" t="n">
        <v>22</v>
      </c>
      <c r="AE199" s="44" t="n">
        <v>9</v>
      </c>
      <c r="AF199" s="44" t="n">
        <v>4</v>
      </c>
      <c r="AG199" s="44" t="n">
        <v>16</v>
      </c>
      <c r="AH199" s="44" t="n">
        <v>51</v>
      </c>
      <c r="AI199" s="44" t="n">
        <v>7</v>
      </c>
      <c r="AJ199" s="44" t="n">
        <v>9</v>
      </c>
      <c r="AK199" s="44" t="n">
        <v>4</v>
      </c>
      <c r="AL199" s="44" t="n">
        <v>5</v>
      </c>
      <c r="AM199" s="44" t="n">
        <v>25</v>
      </c>
      <c r="AN199" s="44" t="n">
        <v>1</v>
      </c>
      <c r="AO199" s="44" t="n">
        <v>0</v>
      </c>
      <c r="AP199" s="44" t="n">
        <v>3</v>
      </c>
      <c r="AQ199" s="44" t="n">
        <v>5</v>
      </c>
      <c r="AR199" s="44" t="n">
        <v>9</v>
      </c>
      <c r="AS199" s="44" t="n">
        <v>0</v>
      </c>
      <c r="AT199" s="44" t="n">
        <v>16</v>
      </c>
      <c r="AU199" s="47" t="n">
        <v>0</v>
      </c>
      <c r="AV199" s="47" t="n">
        <v>0</v>
      </c>
      <c r="AW199" s="45">
        <f>SUM(AS199,AT199,AU199,AV199)</f>
        <v/>
      </c>
      <c r="AX199" s="47" t="n">
        <v>0</v>
      </c>
      <c r="AY199" s="47" t="n">
        <v>150</v>
      </c>
      <c r="AZ199" s="47" t="n">
        <v>0</v>
      </c>
      <c r="BA199" s="47" t="n">
        <v>0</v>
      </c>
      <c r="BB199" s="19" t="inlineStr">
        <is>
          <t>2028E: Delivery Hero integration ($150m).</t>
        </is>
      </c>
    </row>
    <row r="200">
      <c r="B200" s="27" t="inlineStr">
        <is>
          <t xml:space="preserve">  (+) Mass arbitration fees, net (2021–23)</t>
        </is>
      </c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4" t="n">
        <v>0</v>
      </c>
      <c r="R200" s="44" t="n">
        <v>0</v>
      </c>
      <c r="S200" s="44" t="n">
        <v>0</v>
      </c>
      <c r="T200" s="43" t="n"/>
      <c r="U200" s="44" t="n">
        <v>0</v>
      </c>
      <c r="V200" s="44" t="n">
        <v>43</v>
      </c>
      <c r="W200" s="44" t="n">
        <v>0</v>
      </c>
      <c r="X200" s="44" t="n">
        <v>43</v>
      </c>
      <c r="Y200" s="43" t="n"/>
      <c r="Z200" s="44" t="n">
        <v>-14</v>
      </c>
      <c r="AA200" s="44" t="n">
        <v>0</v>
      </c>
      <c r="AB200" s="44" t="n">
        <v>0</v>
      </c>
      <c r="AC200" s="44" t="n">
        <v>-14</v>
      </c>
      <c r="AD200" s="43" t="n"/>
      <c r="AE200" s="43" t="n"/>
      <c r="AF200" s="43" t="n"/>
      <c r="AG200" s="43" t="n"/>
      <c r="AH200" s="43" t="n"/>
      <c r="AI200" s="43" t="n"/>
      <c r="AJ200" s="43" t="n"/>
      <c r="AK200" s="43" t="n"/>
      <c r="AL200" s="43" t="n"/>
      <c r="AM200" s="43" t="n"/>
      <c r="AN200" s="43" t="n"/>
      <c r="AO200" s="43" t="n"/>
      <c r="AP200" s="43" t="n"/>
      <c r="AQ200" s="43" t="n"/>
      <c r="AR200" s="43" t="n"/>
      <c r="AS200" s="43" t="n"/>
      <c r="AT200" s="43" t="n"/>
      <c r="AU200" s="47" t="n">
        <v>0</v>
      </c>
      <c r="AV200" s="47" t="n">
        <v>0</v>
      </c>
      <c r="AW200" s="47" t="n">
        <v>0</v>
      </c>
      <c r="AX200" s="47" t="n">
        <v>0</v>
      </c>
      <c r="AY200" s="47" t="n">
        <v>0</v>
      </c>
      <c r="AZ200" s="47" t="n">
        <v>0</v>
      </c>
      <c r="BA200" s="47" t="n">
        <v>0</v>
      </c>
      <c r="BB200" s="26" t="n"/>
    </row>
    <row r="201">
      <c r="B201" s="27" t="inlineStr">
        <is>
          <t xml:space="preserve">  (+/−) Other company items (2019 IPO driver appreciation award &amp; legal settlement, legacy auto insurance transfer, IPO payroll tax)</t>
        </is>
      </c>
      <c r="C201" s="43" t="n"/>
      <c r="D201" s="43" t="n"/>
      <c r="E201" s="43" t="n"/>
      <c r="F201" s="43" t="n"/>
      <c r="G201" s="43" t="n"/>
      <c r="H201" s="43" t="n"/>
      <c r="I201" s="43" t="n"/>
      <c r="J201" s="44" t="n">
        <v>0</v>
      </c>
      <c r="K201" s="44" t="n">
        <v>385</v>
      </c>
      <c r="L201" s="44" t="n">
        <v>0</v>
      </c>
      <c r="M201" s="44" t="n">
        <v>0</v>
      </c>
      <c r="N201" s="44" t="n">
        <v>385</v>
      </c>
      <c r="O201" s="43" t="n"/>
      <c r="P201" s="43" t="n"/>
      <c r="Q201" s="44" t="n">
        <v>0</v>
      </c>
      <c r="R201" s="44" t="n">
        <v>0</v>
      </c>
      <c r="S201" s="44" t="n">
        <v>0</v>
      </c>
      <c r="T201" s="43" t="n"/>
      <c r="U201" s="43" t="n"/>
      <c r="V201" s="44" t="n">
        <v>103</v>
      </c>
      <c r="W201" s="44" t="n">
        <v>0</v>
      </c>
      <c r="X201" s="44" t="n">
        <v>103</v>
      </c>
      <c r="Y201" s="43" t="n"/>
      <c r="Z201" s="43" t="n"/>
      <c r="AA201" s="43" t="n"/>
      <c r="AB201" s="44" t="n">
        <v>6</v>
      </c>
      <c r="AC201" s="44" t="n">
        <v>6</v>
      </c>
      <c r="AD201" s="43" t="n"/>
      <c r="AE201" s="43" t="n"/>
      <c r="AF201" s="43" t="n"/>
      <c r="AG201" s="43" t="n"/>
      <c r="AH201" s="43" t="n"/>
      <c r="AI201" s="43" t="n"/>
      <c r="AJ201" s="43" t="n"/>
      <c r="AK201" s="43" t="n"/>
      <c r="AL201" s="43" t="n"/>
      <c r="AM201" s="43" t="n"/>
      <c r="AN201" s="43" t="n"/>
      <c r="AO201" s="43" t="n"/>
      <c r="AP201" s="43" t="n"/>
      <c r="AQ201" s="43" t="n"/>
      <c r="AR201" s="43" t="n"/>
      <c r="AS201" s="43" t="n"/>
      <c r="AT201" s="43" t="n"/>
      <c r="AU201" s="47" t="n">
        <v>0</v>
      </c>
      <c r="AV201" s="47" t="n">
        <v>0</v>
      </c>
      <c r="AW201" s="47" t="n">
        <v>0</v>
      </c>
      <c r="AX201" s="47" t="n">
        <v>0</v>
      </c>
      <c r="AY201" s="47" t="n">
        <v>0</v>
      </c>
      <c r="AZ201" s="47" t="n">
        <v>0</v>
      </c>
      <c r="BA201" s="47" t="n">
        <v>0</v>
      </c>
      <c r="BB201" s="26" t="n"/>
    </row>
    <row r="202">
      <c r="B202" s="27" t="inlineStr">
        <is>
          <t xml:space="preserve">  Total adjusting items</t>
        </is>
      </c>
      <c r="C202" s="43">
        <f>SUM(C193,C194,C195,C196,C197,C198,C199,C200,C201)</f>
        <v/>
      </c>
      <c r="D202" s="43">
        <f>SUM(D193,D194,D195,D196,D197,D198,D199,D200,D201)</f>
        <v/>
      </c>
      <c r="E202" s="43">
        <f>SUM(E193,E194,E195,E196,E197,E198,E199,E200,E201)</f>
        <v/>
      </c>
      <c r="F202" s="43">
        <f>SUM(F193,F194,F195,F196,F197,F198,F199,F200,F201)</f>
        <v/>
      </c>
      <c r="G202" s="43">
        <f>SUM(G193,G194,G195,G196,G197,G198,G199,G200,G201)</f>
        <v/>
      </c>
      <c r="H202" s="43">
        <f>SUM(H193,H194,H195,H196,H197,H198,H199,H200,H201)</f>
        <v/>
      </c>
      <c r="I202" s="43">
        <f>SUM(I193,I194,I195,I196,I197,I198,I199,I200,I201)</f>
        <v/>
      </c>
      <c r="J202" s="43">
        <f>SUM(J193,J194,J195,J196,J197,J198,J199,J200,J201)</f>
        <v/>
      </c>
      <c r="K202" s="43">
        <f>SUM(K193,K194,K195,K196,K197,K198,K199,K200,K201)</f>
        <v/>
      </c>
      <c r="L202" s="43">
        <f>SUM(L193,L194,L195,L196,L197,L198,L199,L200,L201)</f>
        <v/>
      </c>
      <c r="M202" s="43">
        <f>SUM(M193,M194,M195,M196,M197,M198,M199,M200,M201)</f>
        <v/>
      </c>
      <c r="N202" s="43">
        <f>SUM(N193,N194,N195,N196,N197,N198,N199,N200,N201)</f>
        <v/>
      </c>
      <c r="O202" s="43">
        <f>SUM(O193,O194,O195,O196,O197,O198,O199,O200,O201)</f>
        <v/>
      </c>
      <c r="P202" s="43">
        <f>SUM(P193,P194,P195,P196,P197,P198,P199,P200,P201)</f>
        <v/>
      </c>
      <c r="Q202" s="43">
        <f>SUM(Q193,Q194,Q195,Q196,Q197,Q198,Q199,Q200,Q201)</f>
        <v/>
      </c>
      <c r="R202" s="43">
        <f>SUM(R193,R194,R195,R196,R197,R198,R199,R200,R201)</f>
        <v/>
      </c>
      <c r="S202" s="43">
        <f>SUM(S193,S194,S195,S196,S197,S198,S199,S200,S201)</f>
        <v/>
      </c>
      <c r="T202" s="43">
        <f>SUM(T193,T194,T195,T196,T197,T198,T199,T200,T201)</f>
        <v/>
      </c>
      <c r="U202" s="43">
        <f>SUM(U193,U194,U195,U196,U197,U198,U199,U200,U201)</f>
        <v/>
      </c>
      <c r="V202" s="43">
        <f>SUM(V193,V194,V195,V196,V197,V198,V199,V200,V201)</f>
        <v/>
      </c>
      <c r="W202" s="43">
        <f>SUM(W193,W194,W195,W196,W197,W198,W199,W200,W201)</f>
        <v/>
      </c>
      <c r="X202" s="43">
        <f>SUM(X193,X194,X195,X196,X197,X198,X199,X200,X201)</f>
        <v/>
      </c>
      <c r="Y202" s="43">
        <f>SUM(Y193,Y194,Y195,Y196,Y197,Y198,Y199,Y200,Y201)</f>
        <v/>
      </c>
      <c r="Z202" s="43">
        <f>SUM(Z193,Z194,Z195,Z196,Z197,Z198,Z199,Z200,Z201)</f>
        <v/>
      </c>
      <c r="AA202" s="43">
        <f>SUM(AA193,AA194,AA195,AA196,AA197,AA198,AA199,AA200,AA201)</f>
        <v/>
      </c>
      <c r="AB202" s="43">
        <f>SUM(AB193,AB194,AB195,AB196,AB197,AB198,AB199,AB200,AB201)</f>
        <v/>
      </c>
      <c r="AC202" s="43">
        <f>SUM(AC193,AC194,AC195,AC196,AC197,AC198,AC199,AC200,AC201)</f>
        <v/>
      </c>
      <c r="AD202" s="43">
        <f>SUM(AD193,AD194,AD195,AD196,AD197,AD198,AD199,AD200,AD201)</f>
        <v/>
      </c>
      <c r="AE202" s="43">
        <f>SUM(AE193,AE194,AE195,AE196,AE197,AE198,AE199,AE200,AE201)</f>
        <v/>
      </c>
      <c r="AF202" s="43">
        <f>SUM(AF193,AF194,AF195,AF196,AF197,AF198,AF199,AF200,AF201)</f>
        <v/>
      </c>
      <c r="AG202" s="43">
        <f>SUM(AG193,AG194,AG195,AG196,AG197,AG198,AG199,AG200,AG201)</f>
        <v/>
      </c>
      <c r="AH202" s="43">
        <f>SUM(AH193,AH194,AH195,AH196,AH197,AH198,AH199,AH200,AH201)</f>
        <v/>
      </c>
      <c r="AI202" s="43">
        <f>SUM(AI193,AI194,AI195,AI196,AI197,AI198,AI199,AI200,AI201)</f>
        <v/>
      </c>
      <c r="AJ202" s="43">
        <f>SUM(AJ193,AJ194,AJ195,AJ196,AJ197,AJ198,AJ199,AJ200,AJ201)</f>
        <v/>
      </c>
      <c r="AK202" s="43">
        <f>SUM(AK193,AK194,AK195,AK196,AK197,AK198,AK199,AK200,AK201)</f>
        <v/>
      </c>
      <c r="AL202" s="43">
        <f>SUM(AL193,AL194,AL195,AL196,AL197,AL198,AL199,AL200,AL201)</f>
        <v/>
      </c>
      <c r="AM202" s="43">
        <f>SUM(AM193,AM194,AM195,AM196,AM197,AM198,AM199,AM200,AM201)</f>
        <v/>
      </c>
      <c r="AN202" s="43">
        <f>SUM(AN193,AN194,AN195,AN196,AN197,AN198,AN199,AN200,AN201)</f>
        <v/>
      </c>
      <c r="AO202" s="43">
        <f>SUM(AO193,AO194,AO195,AO196,AO197,AO198,AO199,AO200,AO201)</f>
        <v/>
      </c>
      <c r="AP202" s="43">
        <f>SUM(AP193,AP194,AP195,AP196,AP197,AP198,AP199,AP200,AP201)</f>
        <v/>
      </c>
      <c r="AQ202" s="43">
        <f>SUM(AQ193,AQ194,AQ195,AQ196,AQ197,AQ198,AQ199,AQ200,AQ201)</f>
        <v/>
      </c>
      <c r="AR202" s="43">
        <f>SUM(AR193,AR194,AR195,AR196,AR197,AR198,AR199,AR200,AR201)</f>
        <v/>
      </c>
      <c r="AS202" s="43">
        <f>SUM(AS193,AS194,AS195,AS196,AS197,AS198,AS199,AS200,AS201)</f>
        <v/>
      </c>
      <c r="AT202" s="43">
        <f>SUM(AT193,AT194,AT195,AT196,AT197,AT198,AT199,AT200,AT201)</f>
        <v/>
      </c>
      <c r="AU202" s="45">
        <f>SUM(AU193,AU194,AU195,AU196,AU197,AU198,AU199,AU200,AU201)</f>
        <v/>
      </c>
      <c r="AV202" s="45">
        <f>SUM(AV193,AV194,AV195,AV196,AV197,AV198,AV199,AV200,AV201)</f>
        <v/>
      </c>
      <c r="AW202" s="45">
        <f>SUM(AW193,AW194,AW195,AW196,AW197,AW198,AW199,AW200,AW201)</f>
        <v/>
      </c>
      <c r="AX202" s="45">
        <f>SUM(AX193,AX194,AX195,AX196,AX197,AX198,AX199,AX200,AX201)</f>
        <v/>
      </c>
      <c r="AY202" s="45">
        <f>SUM(AY193,AY194,AY195,AY196,AY197,AY198,AY199,AY200,AY201)</f>
        <v/>
      </c>
      <c r="AZ202" s="45">
        <f>SUM(AZ193,AZ194,AZ195,AZ196,AZ197,AZ198,AZ199,AZ200,AZ201)</f>
        <v/>
      </c>
      <c r="BA202" s="45">
        <f>SUM(BA193,BA194,BA195,BA196,BA197,BA198,BA199,BA200,BA201)</f>
        <v/>
      </c>
      <c r="BB202" s="26" t="n"/>
    </row>
    <row r="203">
      <c r="B203" s="52" t="inlineStr">
        <is>
          <t xml:space="preserve">  = Adjusted EBITDA (model bridge)</t>
        </is>
      </c>
      <c r="C203" s="53">
        <f>C192+C202</f>
        <v/>
      </c>
      <c r="D203" s="53">
        <f>D192+D202</f>
        <v/>
      </c>
      <c r="E203" s="53">
        <f>E192+E202</f>
        <v/>
      </c>
      <c r="F203" s="53">
        <f>F192+F202</f>
        <v/>
      </c>
      <c r="G203" s="53">
        <f>G192+G202</f>
        <v/>
      </c>
      <c r="H203" s="53">
        <f>H192+H202</f>
        <v/>
      </c>
      <c r="I203" s="53">
        <f>I192+I202</f>
        <v/>
      </c>
      <c r="J203" s="53">
        <f>J192+J202</f>
        <v/>
      </c>
      <c r="K203" s="53">
        <f>K192+K202</f>
        <v/>
      </c>
      <c r="L203" s="53">
        <f>L192+L202</f>
        <v/>
      </c>
      <c r="M203" s="53">
        <f>M192+M202</f>
        <v/>
      </c>
      <c r="N203" s="53">
        <f>N192+N202</f>
        <v/>
      </c>
      <c r="O203" s="53">
        <f>O192+O202</f>
        <v/>
      </c>
      <c r="P203" s="53">
        <f>P192+P202</f>
        <v/>
      </c>
      <c r="Q203" s="53">
        <f>Q192+Q202</f>
        <v/>
      </c>
      <c r="R203" s="53">
        <f>R192+R202</f>
        <v/>
      </c>
      <c r="S203" s="53">
        <f>S192+S202</f>
        <v/>
      </c>
      <c r="T203" s="53">
        <f>T192+T202</f>
        <v/>
      </c>
      <c r="U203" s="53">
        <f>U192+U202</f>
        <v/>
      </c>
      <c r="V203" s="53">
        <f>V192+V202</f>
        <v/>
      </c>
      <c r="W203" s="53">
        <f>W192+W202</f>
        <v/>
      </c>
      <c r="X203" s="53">
        <f>X192+X202</f>
        <v/>
      </c>
      <c r="Y203" s="53">
        <f>Y192+Y202</f>
        <v/>
      </c>
      <c r="Z203" s="53">
        <f>Z192+Z202</f>
        <v/>
      </c>
      <c r="AA203" s="53">
        <f>AA192+AA202</f>
        <v/>
      </c>
      <c r="AB203" s="53">
        <f>AB192+AB202</f>
        <v/>
      </c>
      <c r="AC203" s="53">
        <f>AC192+AC202</f>
        <v/>
      </c>
      <c r="AD203" s="53">
        <f>AD192+AD202</f>
        <v/>
      </c>
      <c r="AE203" s="53">
        <f>AE192+AE202</f>
        <v/>
      </c>
      <c r="AF203" s="53">
        <f>AF192+AF202</f>
        <v/>
      </c>
      <c r="AG203" s="53">
        <f>AG192+AG202</f>
        <v/>
      </c>
      <c r="AH203" s="53">
        <f>AH192+AH202</f>
        <v/>
      </c>
      <c r="AI203" s="53">
        <f>AI192+AI202</f>
        <v/>
      </c>
      <c r="AJ203" s="53">
        <f>AJ192+AJ202</f>
        <v/>
      </c>
      <c r="AK203" s="53">
        <f>AK192+AK202</f>
        <v/>
      </c>
      <c r="AL203" s="53">
        <f>AL192+AL202</f>
        <v/>
      </c>
      <c r="AM203" s="53">
        <f>AM192+AM202</f>
        <v/>
      </c>
      <c r="AN203" s="53">
        <f>AN192+AN202</f>
        <v/>
      </c>
      <c r="AO203" s="53">
        <f>AO192+AO202</f>
        <v/>
      </c>
      <c r="AP203" s="53">
        <f>AP192+AP202</f>
        <v/>
      </c>
      <c r="AQ203" s="53">
        <f>AQ192+AQ202</f>
        <v/>
      </c>
      <c r="AR203" s="53">
        <f>AR192+AR202</f>
        <v/>
      </c>
      <c r="AS203" s="53">
        <f>AS192+AS202</f>
        <v/>
      </c>
      <c r="AT203" s="53">
        <f>AT192+AT202</f>
        <v/>
      </c>
      <c r="AU203" s="53">
        <f>AU192+AU202</f>
        <v/>
      </c>
      <c r="AV203" s="53">
        <f>AV192+AV202</f>
        <v/>
      </c>
      <c r="AW203" s="53">
        <f>AW192+AW202</f>
        <v/>
      </c>
      <c r="AX203" s="53">
        <f>AX192+AX202</f>
        <v/>
      </c>
      <c r="AY203" s="53">
        <f>AY192+AY202</f>
        <v/>
      </c>
      <c r="AZ203" s="53">
        <f>AZ192+AZ202</f>
        <v/>
      </c>
      <c r="BA203" s="53">
        <f>BA192+BA202</f>
        <v/>
      </c>
      <c r="BB203" s="19" t="inlineStr">
        <is>
          <t>Historical bridge rebuilt from the company reconciliation in each period; forecast = GAAP IS + forecast adjusting items (ties to the segment build by construction).</t>
        </is>
      </c>
      <c r="BD203" s="20">
        <f>IFERROR((BA203/AR203)^(1/5)-1,"")</f>
        <v/>
      </c>
      <c r="BE203" s="20">
        <f>IFERROR((AR203/S203)^(1/5)-1,"")</f>
        <v/>
      </c>
      <c r="BF203" s="20">
        <f>IFERROR((AR203/I203)^(1/7)-1,"")</f>
        <v/>
      </c>
      <c r="BG203" s="20">
        <f>IFERROR((AR203/C203)^(1/9)-1,"")</f>
        <v/>
      </c>
    </row>
    <row r="204">
      <c r="B204" s="27" t="inlineStr">
        <is>
          <t xml:space="preserve">  Adjusted EBITDA % of Gross Bookings (company headline margin)</t>
        </is>
      </c>
      <c r="C204" s="39">
        <f>IF(AND(ISNUMBER(C203),ISNUMBER(C99)),IFERROR(C203/C99,""),"")</f>
        <v/>
      </c>
      <c r="D204" s="39">
        <f>IF(AND(ISNUMBER(D203),ISNUMBER(D99)),IFERROR(D203/D99,""),"")</f>
        <v/>
      </c>
      <c r="E204" s="39">
        <f>IF(AND(ISNUMBER(E203),ISNUMBER(E99)),IFERROR(E203/E99,""),"")</f>
        <v/>
      </c>
      <c r="F204" s="39">
        <f>IF(AND(ISNUMBER(F203),ISNUMBER(F99)),IFERROR(F203/F99,""),"")</f>
        <v/>
      </c>
      <c r="G204" s="39">
        <f>IF(AND(ISNUMBER(G203),ISNUMBER(G99)),IFERROR(G203/G99,""),"")</f>
        <v/>
      </c>
      <c r="H204" s="39">
        <f>IF(AND(ISNUMBER(H203),ISNUMBER(H99)),IFERROR(H203/H99,""),"")</f>
        <v/>
      </c>
      <c r="I204" s="39">
        <f>IF(AND(ISNUMBER(I203),ISNUMBER(I99)),IFERROR(I203/I99,""),"")</f>
        <v/>
      </c>
      <c r="J204" s="39">
        <f>IF(AND(ISNUMBER(J203),ISNUMBER(J99)),IFERROR(J203/J99,""),"")</f>
        <v/>
      </c>
      <c r="K204" s="39">
        <f>IF(AND(ISNUMBER(K203),ISNUMBER(K99)),IFERROR(K203/K99,""),"")</f>
        <v/>
      </c>
      <c r="L204" s="39">
        <f>IF(AND(ISNUMBER(L203),ISNUMBER(L99)),IFERROR(L203/L99,""),"")</f>
        <v/>
      </c>
      <c r="M204" s="39">
        <f>IF(AND(ISNUMBER(M203),ISNUMBER(M99)),IFERROR(M203/M99,""),"")</f>
        <v/>
      </c>
      <c r="N204" s="39">
        <f>IF(AND(ISNUMBER(N203),ISNUMBER(N99)),IFERROR(N203/N99,""),"")</f>
        <v/>
      </c>
      <c r="O204" s="39">
        <f>IF(AND(ISNUMBER(O203),ISNUMBER(O99)),IFERROR(O203/O99,""),"")</f>
        <v/>
      </c>
      <c r="P204" s="39">
        <f>IF(AND(ISNUMBER(P203),ISNUMBER(P99)),IFERROR(P203/P99,""),"")</f>
        <v/>
      </c>
      <c r="Q204" s="39">
        <f>IF(AND(ISNUMBER(Q203),ISNUMBER(Q99)),IFERROR(Q203/Q99,""),"")</f>
        <v/>
      </c>
      <c r="R204" s="39">
        <f>IF(AND(ISNUMBER(R203),ISNUMBER(R99)),IFERROR(R203/R99,""),"")</f>
        <v/>
      </c>
      <c r="S204" s="39">
        <f>IF(AND(ISNUMBER(S203),ISNUMBER(S99)),IFERROR(S203/S99,""),"")</f>
        <v/>
      </c>
      <c r="T204" s="39">
        <f>IF(AND(ISNUMBER(T203),ISNUMBER(T99)),IFERROR(T203/T99,""),"")</f>
        <v/>
      </c>
      <c r="U204" s="39">
        <f>IF(AND(ISNUMBER(U203),ISNUMBER(U99)),IFERROR(U203/U99,""),"")</f>
        <v/>
      </c>
      <c r="V204" s="39">
        <f>IF(AND(ISNUMBER(V203),ISNUMBER(V99)),IFERROR(V203/V99,""),"")</f>
        <v/>
      </c>
      <c r="W204" s="39">
        <f>IF(AND(ISNUMBER(W203),ISNUMBER(W99)),IFERROR(W203/W99,""),"")</f>
        <v/>
      </c>
      <c r="X204" s="39">
        <f>IF(AND(ISNUMBER(X203),ISNUMBER(X99)),IFERROR(X203/X99,""),"")</f>
        <v/>
      </c>
      <c r="Y204" s="39">
        <f>IF(AND(ISNUMBER(Y203),ISNUMBER(Y99)),IFERROR(Y203/Y99,""),"")</f>
        <v/>
      </c>
      <c r="Z204" s="39">
        <f>IF(AND(ISNUMBER(Z203),ISNUMBER(Z99)),IFERROR(Z203/Z99,""),"")</f>
        <v/>
      </c>
      <c r="AA204" s="39">
        <f>IF(AND(ISNUMBER(AA203),ISNUMBER(AA99)),IFERROR(AA203/AA99,""),"")</f>
        <v/>
      </c>
      <c r="AB204" s="39">
        <f>IF(AND(ISNUMBER(AB203),ISNUMBER(AB99)),IFERROR(AB203/AB99,""),"")</f>
        <v/>
      </c>
      <c r="AC204" s="39">
        <f>IF(AND(ISNUMBER(AC203),ISNUMBER(AC99)),IFERROR(AC203/AC99,""),"")</f>
        <v/>
      </c>
      <c r="AD204" s="39">
        <f>IF(AND(ISNUMBER(AD203),ISNUMBER(AD99)),IFERROR(AD203/AD99,""),"")</f>
        <v/>
      </c>
      <c r="AE204" s="39">
        <f>IF(AND(ISNUMBER(AE203),ISNUMBER(AE99)),IFERROR(AE203/AE99,""),"")</f>
        <v/>
      </c>
      <c r="AF204" s="39">
        <f>IF(AND(ISNUMBER(AF203),ISNUMBER(AF99)),IFERROR(AF203/AF99,""),"")</f>
        <v/>
      </c>
      <c r="AG204" s="39">
        <f>IF(AND(ISNUMBER(AG203),ISNUMBER(AG99)),IFERROR(AG203/AG99,""),"")</f>
        <v/>
      </c>
      <c r="AH204" s="39">
        <f>IF(AND(ISNUMBER(AH203),ISNUMBER(AH99)),IFERROR(AH203/AH99,""),"")</f>
        <v/>
      </c>
      <c r="AI204" s="39">
        <f>IF(AND(ISNUMBER(AI203),ISNUMBER(AI99)),IFERROR(AI203/AI99,""),"")</f>
        <v/>
      </c>
      <c r="AJ204" s="39">
        <f>IF(AND(ISNUMBER(AJ203),ISNUMBER(AJ99)),IFERROR(AJ203/AJ99,""),"")</f>
        <v/>
      </c>
      <c r="AK204" s="39">
        <f>IF(AND(ISNUMBER(AK203),ISNUMBER(AK99)),IFERROR(AK203/AK99,""),"")</f>
        <v/>
      </c>
      <c r="AL204" s="39">
        <f>IF(AND(ISNUMBER(AL203),ISNUMBER(AL99)),IFERROR(AL203/AL99,""),"")</f>
        <v/>
      </c>
      <c r="AM204" s="39">
        <f>IF(AND(ISNUMBER(AM203),ISNUMBER(AM99)),IFERROR(AM203/AM99,""),"")</f>
        <v/>
      </c>
      <c r="AN204" s="39">
        <f>IF(AND(ISNUMBER(AN203),ISNUMBER(AN99)),IFERROR(AN203/AN99,""),"")</f>
        <v/>
      </c>
      <c r="AO204" s="39">
        <f>IF(AND(ISNUMBER(AO203),ISNUMBER(AO99)),IFERROR(AO203/AO99,""),"")</f>
        <v/>
      </c>
      <c r="AP204" s="39">
        <f>IF(AND(ISNUMBER(AP203),ISNUMBER(AP99)),IFERROR(AP203/AP99,""),"")</f>
        <v/>
      </c>
      <c r="AQ204" s="39">
        <f>IF(AND(ISNUMBER(AQ203),ISNUMBER(AQ99)),IFERROR(AQ203/AQ99,""),"")</f>
        <v/>
      </c>
      <c r="AR204" s="39">
        <f>IF(AND(ISNUMBER(AR203),ISNUMBER(AR99)),IFERROR(AR203/AR99,""),"")</f>
        <v/>
      </c>
      <c r="AS204" s="39">
        <f>IF(AND(ISNUMBER(AS203),ISNUMBER(AS99)),IFERROR(AS203/AS99,""),"")</f>
        <v/>
      </c>
      <c r="AT204" s="39">
        <f>IF(AND(ISNUMBER(AT203),ISNUMBER(AT99)),IFERROR(AT203/AT99,""),"")</f>
        <v/>
      </c>
      <c r="AU204" s="25">
        <f>IFERROR(AU203/AU99,"")</f>
        <v/>
      </c>
      <c r="AV204" s="25">
        <f>IFERROR(AV203/AV99,"")</f>
        <v/>
      </c>
      <c r="AW204" s="25">
        <f>IFERROR(AW203/AW99,"")</f>
        <v/>
      </c>
      <c r="AX204" s="25">
        <f>IFERROR(AX203/AX99,"")</f>
        <v/>
      </c>
      <c r="AY204" s="25">
        <f>IFERROR(AY203/AY99,"")</f>
        <v/>
      </c>
      <c r="AZ204" s="25">
        <f>IFERROR(AZ203/AZ99,"")</f>
        <v/>
      </c>
      <c r="BA204" s="25">
        <f>IFERROR(BA203/BA99,"")</f>
        <v/>
      </c>
      <c r="BB204" s="26" t="n"/>
    </row>
    <row r="205">
      <c r="B205" s="27" t="inlineStr">
        <is>
          <t xml:space="preserve">  Adjusted EBITDA % of revenue</t>
        </is>
      </c>
      <c r="C205" s="39">
        <f>IF(AND(ISNUMBER(C203),ISNUMBER(C148)),IFERROR(C203/C148,""),"")</f>
        <v/>
      </c>
      <c r="D205" s="39">
        <f>IF(AND(ISNUMBER(D203),ISNUMBER(D148)),IFERROR(D203/D148,""),"")</f>
        <v/>
      </c>
      <c r="E205" s="39">
        <f>IF(AND(ISNUMBER(E203),ISNUMBER(E148)),IFERROR(E203/E148,""),"")</f>
        <v/>
      </c>
      <c r="F205" s="39">
        <f>IF(AND(ISNUMBER(F203),ISNUMBER(F148)),IFERROR(F203/F148,""),"")</f>
        <v/>
      </c>
      <c r="G205" s="39">
        <f>IF(AND(ISNUMBER(G203),ISNUMBER(G148)),IFERROR(G203/G148,""),"")</f>
        <v/>
      </c>
      <c r="H205" s="39">
        <f>IF(AND(ISNUMBER(H203),ISNUMBER(H148)),IFERROR(H203/H148,""),"")</f>
        <v/>
      </c>
      <c r="I205" s="39">
        <f>IF(AND(ISNUMBER(I203),ISNUMBER(I148)),IFERROR(I203/I148,""),"")</f>
        <v/>
      </c>
      <c r="J205" s="39">
        <f>IF(AND(ISNUMBER(J203),ISNUMBER(J148)),IFERROR(J203/J148,""),"")</f>
        <v/>
      </c>
      <c r="K205" s="39">
        <f>IF(AND(ISNUMBER(K203),ISNUMBER(K148)),IFERROR(K203/K148,""),"")</f>
        <v/>
      </c>
      <c r="L205" s="39">
        <f>IF(AND(ISNUMBER(L203),ISNUMBER(L148)),IFERROR(L203/L148,""),"")</f>
        <v/>
      </c>
      <c r="M205" s="39">
        <f>IF(AND(ISNUMBER(M203),ISNUMBER(M148)),IFERROR(M203/M148,""),"")</f>
        <v/>
      </c>
      <c r="N205" s="39">
        <f>IF(AND(ISNUMBER(N203),ISNUMBER(N148)),IFERROR(N203/N148,""),"")</f>
        <v/>
      </c>
      <c r="O205" s="39">
        <f>IF(AND(ISNUMBER(O203),ISNUMBER(O148)),IFERROR(O203/O148,""),"")</f>
        <v/>
      </c>
      <c r="P205" s="39">
        <f>IF(AND(ISNUMBER(P203),ISNUMBER(P148)),IFERROR(P203/P148,""),"")</f>
        <v/>
      </c>
      <c r="Q205" s="39">
        <f>IF(AND(ISNUMBER(Q203),ISNUMBER(Q148)),IFERROR(Q203/Q148,""),"")</f>
        <v/>
      </c>
      <c r="R205" s="39">
        <f>IF(AND(ISNUMBER(R203),ISNUMBER(R148)),IFERROR(R203/R148,""),"")</f>
        <v/>
      </c>
      <c r="S205" s="39">
        <f>IF(AND(ISNUMBER(S203),ISNUMBER(S148)),IFERROR(S203/S148,""),"")</f>
        <v/>
      </c>
      <c r="T205" s="39">
        <f>IF(AND(ISNUMBER(T203),ISNUMBER(T148)),IFERROR(T203/T148,""),"")</f>
        <v/>
      </c>
      <c r="U205" s="39">
        <f>IF(AND(ISNUMBER(U203),ISNUMBER(U148)),IFERROR(U203/U148,""),"")</f>
        <v/>
      </c>
      <c r="V205" s="39">
        <f>IF(AND(ISNUMBER(V203),ISNUMBER(V148)),IFERROR(V203/V148,""),"")</f>
        <v/>
      </c>
      <c r="W205" s="39">
        <f>IF(AND(ISNUMBER(W203),ISNUMBER(W148)),IFERROR(W203/W148,""),"")</f>
        <v/>
      </c>
      <c r="X205" s="39">
        <f>IF(AND(ISNUMBER(X203),ISNUMBER(X148)),IFERROR(X203/X148,""),"")</f>
        <v/>
      </c>
      <c r="Y205" s="39">
        <f>IF(AND(ISNUMBER(Y203),ISNUMBER(Y148)),IFERROR(Y203/Y148,""),"")</f>
        <v/>
      </c>
      <c r="Z205" s="39">
        <f>IF(AND(ISNUMBER(Z203),ISNUMBER(Z148)),IFERROR(Z203/Z148,""),"")</f>
        <v/>
      </c>
      <c r="AA205" s="39">
        <f>IF(AND(ISNUMBER(AA203),ISNUMBER(AA148)),IFERROR(AA203/AA148,""),"")</f>
        <v/>
      </c>
      <c r="AB205" s="39">
        <f>IF(AND(ISNUMBER(AB203),ISNUMBER(AB148)),IFERROR(AB203/AB148,""),"")</f>
        <v/>
      </c>
      <c r="AC205" s="39">
        <f>IF(AND(ISNUMBER(AC203),ISNUMBER(AC148)),IFERROR(AC203/AC148,""),"")</f>
        <v/>
      </c>
      <c r="AD205" s="39">
        <f>IF(AND(ISNUMBER(AD203),ISNUMBER(AD148)),IFERROR(AD203/AD148,""),"")</f>
        <v/>
      </c>
      <c r="AE205" s="39">
        <f>IF(AND(ISNUMBER(AE203),ISNUMBER(AE148)),IFERROR(AE203/AE148,""),"")</f>
        <v/>
      </c>
      <c r="AF205" s="39">
        <f>IF(AND(ISNUMBER(AF203),ISNUMBER(AF148)),IFERROR(AF203/AF148,""),"")</f>
        <v/>
      </c>
      <c r="AG205" s="39">
        <f>IF(AND(ISNUMBER(AG203),ISNUMBER(AG148)),IFERROR(AG203/AG148,""),"")</f>
        <v/>
      </c>
      <c r="AH205" s="39">
        <f>IF(AND(ISNUMBER(AH203),ISNUMBER(AH148)),IFERROR(AH203/AH148,""),"")</f>
        <v/>
      </c>
      <c r="AI205" s="39">
        <f>IF(AND(ISNUMBER(AI203),ISNUMBER(AI148)),IFERROR(AI203/AI148,""),"")</f>
        <v/>
      </c>
      <c r="AJ205" s="39">
        <f>IF(AND(ISNUMBER(AJ203),ISNUMBER(AJ148)),IFERROR(AJ203/AJ148,""),"")</f>
        <v/>
      </c>
      <c r="AK205" s="39">
        <f>IF(AND(ISNUMBER(AK203),ISNUMBER(AK148)),IFERROR(AK203/AK148,""),"")</f>
        <v/>
      </c>
      <c r="AL205" s="39">
        <f>IF(AND(ISNUMBER(AL203),ISNUMBER(AL148)),IFERROR(AL203/AL148,""),"")</f>
        <v/>
      </c>
      <c r="AM205" s="39">
        <f>IF(AND(ISNUMBER(AM203),ISNUMBER(AM148)),IFERROR(AM203/AM148,""),"")</f>
        <v/>
      </c>
      <c r="AN205" s="39">
        <f>IF(AND(ISNUMBER(AN203),ISNUMBER(AN148)),IFERROR(AN203/AN148,""),"")</f>
        <v/>
      </c>
      <c r="AO205" s="39">
        <f>IF(AND(ISNUMBER(AO203),ISNUMBER(AO148)),IFERROR(AO203/AO148,""),"")</f>
        <v/>
      </c>
      <c r="AP205" s="39">
        <f>IF(AND(ISNUMBER(AP203),ISNUMBER(AP148)),IFERROR(AP203/AP148,""),"")</f>
        <v/>
      </c>
      <c r="AQ205" s="39">
        <f>IF(AND(ISNUMBER(AQ203),ISNUMBER(AQ148)),IFERROR(AQ203/AQ148,""),"")</f>
        <v/>
      </c>
      <c r="AR205" s="39">
        <f>IF(AND(ISNUMBER(AR203),ISNUMBER(AR148)),IFERROR(AR203/AR148,""),"")</f>
        <v/>
      </c>
      <c r="AS205" s="39">
        <f>IF(AND(ISNUMBER(AS203),ISNUMBER(AS148)),IFERROR(AS203/AS148,""),"")</f>
        <v/>
      </c>
      <c r="AT205" s="39">
        <f>IF(AND(ISNUMBER(AT203),ISNUMBER(AT148)),IFERROR(AT203/AT148,""),"")</f>
        <v/>
      </c>
      <c r="AU205" s="25">
        <f>IFERROR(AU203/AU148,"")</f>
        <v/>
      </c>
      <c r="AV205" s="25">
        <f>IFERROR(AV203/AV148,"")</f>
        <v/>
      </c>
      <c r="AW205" s="25">
        <f>IFERROR(AW203/AW148,"")</f>
        <v/>
      </c>
      <c r="AX205" s="25">
        <f>IFERROR(AX203/AX148,"")</f>
        <v/>
      </c>
      <c r="AY205" s="25">
        <f>IFERROR(AY203/AY148,"")</f>
        <v/>
      </c>
      <c r="AZ205" s="25">
        <f>IFERROR(AZ203/AZ148,"")</f>
        <v/>
      </c>
      <c r="BA205" s="25">
        <f>IFERROR(BA203/BA148,"")</f>
        <v/>
      </c>
      <c r="BB205" s="26" t="n"/>
    </row>
    <row r="206">
      <c r="B206" s="27" t="inlineStr">
        <is>
          <t xml:space="preserve">  Company-published Adjusted EBITDA</t>
        </is>
      </c>
      <c r="C206" s="44" t="n">
        <v>-2517</v>
      </c>
      <c r="D206" s="44" t="n">
        <v>-2642</v>
      </c>
      <c r="E206" s="44" t="n">
        <v>-280</v>
      </c>
      <c r="F206" s="44" t="n">
        <v>-292</v>
      </c>
      <c r="G206" s="44" t="n">
        <v>-458</v>
      </c>
      <c r="H206" s="44" t="n">
        <v>-817</v>
      </c>
      <c r="I206" s="44" t="n">
        <v>-1847</v>
      </c>
      <c r="J206" s="44" t="n">
        <v>-869</v>
      </c>
      <c r="K206" s="44" t="n">
        <v>-656</v>
      </c>
      <c r="L206" s="44" t="n">
        <v>-585</v>
      </c>
      <c r="M206" s="44" t="n">
        <v>-615</v>
      </c>
      <c r="N206" s="44" t="n">
        <v>-2725</v>
      </c>
      <c r="O206" s="44" t="n">
        <v>-612</v>
      </c>
      <c r="P206" s="44" t="n">
        <v>-837</v>
      </c>
      <c r="Q206" s="44" t="n">
        <v>-625</v>
      </c>
      <c r="R206" s="44" t="n">
        <v>-454</v>
      </c>
      <c r="S206" s="44" t="n">
        <v>-2528</v>
      </c>
      <c r="T206" s="44" t="n">
        <v>-359</v>
      </c>
      <c r="U206" s="44" t="n">
        <v>-509</v>
      </c>
      <c r="V206" s="44" t="n">
        <v>8</v>
      </c>
      <c r="W206" s="44" t="n">
        <v>86</v>
      </c>
      <c r="X206" s="44" t="n">
        <v>-774</v>
      </c>
      <c r="Y206" s="44" t="n">
        <v>168</v>
      </c>
      <c r="Z206" s="44" t="n">
        <v>364</v>
      </c>
      <c r="AA206" s="44" t="n">
        <v>516</v>
      </c>
      <c r="AB206" s="44" t="n">
        <v>665</v>
      </c>
      <c r="AC206" s="44" t="n">
        <v>1713</v>
      </c>
      <c r="AD206" s="44" t="n">
        <v>761</v>
      </c>
      <c r="AE206" s="44" t="n">
        <v>916</v>
      </c>
      <c r="AF206" s="44" t="n">
        <v>1092</v>
      </c>
      <c r="AG206" s="44" t="n">
        <v>1283</v>
      </c>
      <c r="AH206" s="44" t="n">
        <v>4052</v>
      </c>
      <c r="AI206" s="44" t="n">
        <v>1382</v>
      </c>
      <c r="AJ206" s="44" t="n">
        <v>1570</v>
      </c>
      <c r="AK206" s="44" t="n">
        <v>1690</v>
      </c>
      <c r="AL206" s="44" t="n">
        <v>1842</v>
      </c>
      <c r="AM206" s="44" t="n">
        <v>6484</v>
      </c>
      <c r="AN206" s="44" t="n">
        <v>1868</v>
      </c>
      <c r="AO206" s="44" t="n">
        <v>2119</v>
      </c>
      <c r="AP206" s="44" t="n">
        <v>2256</v>
      </c>
      <c r="AQ206" s="44" t="n">
        <v>2487</v>
      </c>
      <c r="AR206" s="44" t="n">
        <v>8730</v>
      </c>
      <c r="AS206" s="44" t="n">
        <v>2481</v>
      </c>
      <c r="AT206" s="44" t="n">
        <v>2819</v>
      </c>
      <c r="AU206" s="45" t="n"/>
      <c r="AV206" s="45" t="n"/>
      <c r="AW206" s="45" t="n"/>
      <c r="AX206" s="45" t="n"/>
      <c r="AY206" s="45" t="n"/>
      <c r="AZ206" s="45" t="n"/>
      <c r="BA206" s="45" t="n"/>
      <c r="BB206" s="26" t="n"/>
    </row>
    <row r="207">
      <c r="B207" s="54" t="inlineStr">
        <is>
          <t xml:space="preserve">  Check: model bridge vs company-published (should be 0)</t>
        </is>
      </c>
      <c r="C207" s="43">
        <f>IF(ISNUMBER(C206),ROUND(C203-C206,1),"n/p")</f>
        <v/>
      </c>
      <c r="D207" s="43">
        <f>IF(ISNUMBER(D206),ROUND(D203-D206,1),"n/p")</f>
        <v/>
      </c>
      <c r="E207" s="43">
        <f>IF(ISNUMBER(E206),ROUND(E203-E206,1),"n/p")</f>
        <v/>
      </c>
      <c r="F207" s="43">
        <f>IF(ISNUMBER(F206),ROUND(F203-F206,1),"n/p")</f>
        <v/>
      </c>
      <c r="G207" s="43">
        <f>IF(ISNUMBER(G206),ROUND(G203-G206,1),"n/p")</f>
        <v/>
      </c>
      <c r="H207" s="43">
        <f>IF(ISNUMBER(H206),ROUND(H203-H206,1),"n/p")</f>
        <v/>
      </c>
      <c r="I207" s="43">
        <f>IF(ISNUMBER(I206),ROUND(I203-I206,1),"n/p")</f>
        <v/>
      </c>
      <c r="J207" s="43">
        <f>IF(ISNUMBER(J206),ROUND(J203-J206,1),"n/p")</f>
        <v/>
      </c>
      <c r="K207" s="43">
        <f>IF(ISNUMBER(K206),ROUND(K203-K206,1),"n/p")</f>
        <v/>
      </c>
      <c r="L207" s="43">
        <f>IF(ISNUMBER(L206),ROUND(L203-L206,1),"n/p")</f>
        <v/>
      </c>
      <c r="M207" s="43">
        <f>IF(ISNUMBER(M206),ROUND(M203-M206,1),"n/p")</f>
        <v/>
      </c>
      <c r="N207" s="43">
        <f>IF(ISNUMBER(N206),ROUND(N203-N206,1),"n/p")</f>
        <v/>
      </c>
      <c r="O207" s="43">
        <f>IF(ISNUMBER(O206),ROUND(O203-O206,1),"n/p")</f>
        <v/>
      </c>
      <c r="P207" s="43">
        <f>IF(ISNUMBER(P206),ROUND(P203-P206,1),"n/p")</f>
        <v/>
      </c>
      <c r="Q207" s="43">
        <f>IF(ISNUMBER(Q206),ROUND(Q203-Q206,1),"n/p")</f>
        <v/>
      </c>
      <c r="R207" s="43">
        <f>IF(ISNUMBER(R206),ROUND(R203-R206,1),"n/p")</f>
        <v/>
      </c>
      <c r="S207" s="43">
        <f>IF(ISNUMBER(S206),ROUND(S203-S206,1),"n/p")</f>
        <v/>
      </c>
      <c r="T207" s="43">
        <f>IF(ISNUMBER(T206),ROUND(T203-T206,1),"n/p")</f>
        <v/>
      </c>
      <c r="U207" s="43">
        <f>IF(ISNUMBER(U206),ROUND(U203-U206,1),"n/p")</f>
        <v/>
      </c>
      <c r="V207" s="43">
        <f>IF(ISNUMBER(V206),ROUND(V203-V206,1),"n/p")</f>
        <v/>
      </c>
      <c r="W207" s="43">
        <f>IF(ISNUMBER(W206),ROUND(W203-W206,1),"n/p")</f>
        <v/>
      </c>
      <c r="X207" s="43">
        <f>IF(ISNUMBER(X206),ROUND(X203-X206,1),"n/p")</f>
        <v/>
      </c>
      <c r="Y207" s="43">
        <f>IF(ISNUMBER(Y206),ROUND(Y203-Y206,1),"n/p")</f>
        <v/>
      </c>
      <c r="Z207" s="43">
        <f>IF(ISNUMBER(Z206),ROUND(Z203-Z206,1),"n/p")</f>
        <v/>
      </c>
      <c r="AA207" s="43">
        <f>IF(ISNUMBER(AA206),ROUND(AA203-AA206,1),"n/p")</f>
        <v/>
      </c>
      <c r="AB207" s="43">
        <f>IF(ISNUMBER(AB206),ROUND(AB203-AB206,1),"n/p")</f>
        <v/>
      </c>
      <c r="AC207" s="43">
        <f>IF(ISNUMBER(AC206),ROUND(AC203-AC206,1),"n/p")</f>
        <v/>
      </c>
      <c r="AD207" s="43">
        <f>IF(ISNUMBER(AD206),ROUND(AD203-AD206,1),"n/p")</f>
        <v/>
      </c>
      <c r="AE207" s="43">
        <f>IF(ISNUMBER(AE206),ROUND(AE203-AE206,1),"n/p")</f>
        <v/>
      </c>
      <c r="AF207" s="43">
        <f>IF(ISNUMBER(AF206),ROUND(AF203-AF206,1),"n/p")</f>
        <v/>
      </c>
      <c r="AG207" s="43">
        <f>IF(ISNUMBER(AG206),ROUND(AG203-AG206,1),"n/p")</f>
        <v/>
      </c>
      <c r="AH207" s="43">
        <f>IF(ISNUMBER(AH206),ROUND(AH203-AH206,1),"n/p")</f>
        <v/>
      </c>
      <c r="AI207" s="43">
        <f>IF(ISNUMBER(AI206),ROUND(AI203-AI206,1),"n/p")</f>
        <v/>
      </c>
      <c r="AJ207" s="43">
        <f>IF(ISNUMBER(AJ206),ROUND(AJ203-AJ206,1),"n/p")</f>
        <v/>
      </c>
      <c r="AK207" s="43">
        <f>IF(ISNUMBER(AK206),ROUND(AK203-AK206,1),"n/p")</f>
        <v/>
      </c>
      <c r="AL207" s="43">
        <f>IF(ISNUMBER(AL206),ROUND(AL203-AL206,1),"n/p")</f>
        <v/>
      </c>
      <c r="AM207" s="43">
        <f>IF(ISNUMBER(AM206),ROUND(AM203-AM206,1),"n/p")</f>
        <v/>
      </c>
      <c r="AN207" s="43">
        <f>IF(ISNUMBER(AN206),ROUND(AN203-AN206,1),"n/p")</f>
        <v/>
      </c>
      <c r="AO207" s="43">
        <f>IF(ISNUMBER(AO206),ROUND(AO203-AO206,1),"n/p")</f>
        <v/>
      </c>
      <c r="AP207" s="43">
        <f>IF(ISNUMBER(AP206),ROUND(AP203-AP206,1),"n/p")</f>
        <v/>
      </c>
      <c r="AQ207" s="43">
        <f>IF(ISNUMBER(AQ206),ROUND(AQ203-AQ206,1),"n/p")</f>
        <v/>
      </c>
      <c r="AR207" s="43">
        <f>IF(ISNUMBER(AR206),ROUND(AR203-AR206,1),"n/p")</f>
        <v/>
      </c>
      <c r="AS207" s="43">
        <f>IF(ISNUMBER(AS206),ROUND(AS203-AS206,1),"n/p")</f>
        <v/>
      </c>
      <c r="AT207" s="43">
        <f>IF(ISNUMBER(AT206),ROUND(AT203-AT206,1),"n/p")</f>
        <v/>
      </c>
      <c r="AU207" s="45" t="n"/>
      <c r="AV207" s="45" t="n"/>
      <c r="AW207" s="45" t="n"/>
      <c r="AX207" s="45" t="n"/>
      <c r="AY207" s="45" t="n"/>
      <c r="AZ207" s="45" t="n"/>
      <c r="BA207" s="45" t="n"/>
      <c r="BB207" s="26" t="n"/>
    </row>
    <row r="208">
      <c r="B208" s="61" t="inlineStr">
        <is>
          <t xml:space="preserve">  Definition basis (company Adjusted EBITDA definition in force)</t>
        </is>
      </c>
      <c r="C208" s="62" t="inlineStr">
        <is>
          <t>S-1 Adj. EBITDA</t>
        </is>
      </c>
      <c r="D208" s="62" t="inlineStr">
        <is>
          <t>S-1 Adj. EBITDA</t>
        </is>
      </c>
      <c r="E208" s="62" t="inlineStr">
        <is>
          <t>IPO definition</t>
        </is>
      </c>
      <c r="F208" s="62" t="inlineStr">
        <is>
          <t>IPO definition</t>
        </is>
      </c>
      <c r="G208" s="62" t="inlineStr">
        <is>
          <t>IPO definition</t>
        </is>
      </c>
      <c r="H208" s="62" t="inlineStr">
        <is>
          <t>IPO definition</t>
        </is>
      </c>
      <c r="I208" s="62" t="inlineStr">
        <is>
          <t>IPO definition</t>
        </is>
      </c>
      <c r="J208" s="62" t="inlineStr">
        <is>
          <t>IPO definition</t>
        </is>
      </c>
      <c r="K208" s="62" t="inlineStr">
        <is>
          <t>IPO definition</t>
        </is>
      </c>
      <c r="L208" s="62" t="inlineStr">
        <is>
          <t>Adj. EBITDA</t>
        </is>
      </c>
      <c r="M208" s="62" t="inlineStr">
        <is>
          <t>Adj. EBITDA</t>
        </is>
      </c>
      <c r="N208" s="62" t="inlineStr">
        <is>
          <t>Adj. EBITDA</t>
        </is>
      </c>
      <c r="O208" s="62" t="inlineStr">
        <is>
          <t>Adj. EBITDA</t>
        </is>
      </c>
      <c r="P208" s="62" t="inlineStr">
        <is>
          <t>Adj. EBITDA</t>
        </is>
      </c>
      <c r="Q208" s="62" t="inlineStr">
        <is>
          <t>Adj. EBITDA</t>
        </is>
      </c>
      <c r="R208" s="62" t="inlineStr">
        <is>
          <t>Adj. EBITDA</t>
        </is>
      </c>
      <c r="S208" s="62" t="inlineStr">
        <is>
          <t>Adj. EBITDA</t>
        </is>
      </c>
      <c r="T208" s="62" t="inlineStr">
        <is>
          <t>Adj. EBITDA</t>
        </is>
      </c>
      <c r="U208" s="62" t="inlineStr">
        <is>
          <t>Adj. EBITDA</t>
        </is>
      </c>
      <c r="V208" s="62" t="inlineStr">
        <is>
          <t>Adj. EBITDA</t>
        </is>
      </c>
      <c r="W208" s="62" t="inlineStr">
        <is>
          <t>Adj. EBITDA</t>
        </is>
      </c>
      <c r="X208" s="62" t="inlineStr">
        <is>
          <t>Adj. EBITDA</t>
        </is>
      </c>
      <c r="Y208" s="62" t="inlineStr">
        <is>
          <t>Adj. EBITDA</t>
        </is>
      </c>
      <c r="Z208" s="62" t="inlineStr">
        <is>
          <t>Adj. EBITDA</t>
        </is>
      </c>
      <c r="AA208" s="62" t="inlineStr">
        <is>
          <t>Adj. EBITDA</t>
        </is>
      </c>
      <c r="AB208" s="62" t="inlineStr">
        <is>
          <t>Adj. EBITDA</t>
        </is>
      </c>
      <c r="AC208" s="62" t="inlineStr">
        <is>
          <t>Adj. EBITDA</t>
        </is>
      </c>
      <c r="AD208" s="62" t="inlineStr">
        <is>
          <t>Adj. EBITDA</t>
        </is>
      </c>
      <c r="AE208" s="62" t="inlineStr">
        <is>
          <t>Adj. EBITDA</t>
        </is>
      </c>
      <c r="AF208" s="62" t="inlineStr">
        <is>
          <t>Adj. EBITDA</t>
        </is>
      </c>
      <c r="AG208" s="62" t="inlineStr">
        <is>
          <t>Adj. EBITDA</t>
        </is>
      </c>
      <c r="AH208" s="62" t="inlineStr">
        <is>
          <t>Adj. EBITDA</t>
        </is>
      </c>
      <c r="AI208" s="62" t="inlineStr">
        <is>
          <t>Adj. EBITDA</t>
        </is>
      </c>
      <c r="AJ208" s="62" t="inlineStr">
        <is>
          <t>Adj. EBITDA</t>
        </is>
      </c>
      <c r="AK208" s="62" t="inlineStr">
        <is>
          <t>Adj. EBITDA</t>
        </is>
      </c>
      <c r="AL208" s="62" t="inlineStr">
        <is>
          <t>Adj. EBITDA</t>
        </is>
      </c>
      <c r="AM208" s="62" t="inlineStr">
        <is>
          <t>Adj. EBITDA</t>
        </is>
      </c>
      <c r="AN208" s="62" t="inlineStr">
        <is>
          <t>Adj. EBITDA</t>
        </is>
      </c>
      <c r="AO208" s="62" t="inlineStr">
        <is>
          <t>Adj. EBITDA</t>
        </is>
      </c>
      <c r="AP208" s="62" t="inlineStr">
        <is>
          <t>Adj. EBITDA</t>
        </is>
      </c>
      <c r="AQ208" s="62" t="inlineStr">
        <is>
          <t>Int. inc. separate</t>
        </is>
      </c>
      <c r="AR208" s="62" t="inlineStr">
        <is>
          <t>Int. inc. separate</t>
        </is>
      </c>
      <c r="AS208" s="62" t="inlineStr">
        <is>
          <t>Int. inc. separate</t>
        </is>
      </c>
      <c r="AT208" s="62" t="inlineStr">
        <is>
          <t>Int. inc. separate</t>
        </is>
      </c>
      <c r="AU208" s="63" t="n"/>
      <c r="AV208" s="63" t="n"/>
      <c r="AW208" s="63" t="n"/>
      <c r="AX208" s="63" t="n"/>
      <c r="AY208" s="63" t="n"/>
      <c r="AZ208" s="63" t="n"/>
      <c r="BA208" s="63" t="n"/>
      <c r="BB208" s="26" t="n"/>
    </row>
    <row r="209">
      <c r="B209" s="27" t="inlineStr">
        <is>
          <t xml:space="preserve">  (−) Stock-based compensation expense</t>
        </is>
      </c>
      <c r="C209" s="43">
        <f>-C171</f>
        <v/>
      </c>
      <c r="D209" s="43">
        <f>-D171</f>
        <v/>
      </c>
      <c r="E209" s="43">
        <f>-E171</f>
        <v/>
      </c>
      <c r="F209" s="43">
        <f>-F171</f>
        <v/>
      </c>
      <c r="G209" s="43">
        <f>-G171</f>
        <v/>
      </c>
      <c r="H209" s="43">
        <f>-H171</f>
        <v/>
      </c>
      <c r="I209" s="43">
        <f>-I171</f>
        <v/>
      </c>
      <c r="J209" s="43">
        <f>-J171</f>
        <v/>
      </c>
      <c r="K209" s="43">
        <f>-K171</f>
        <v/>
      </c>
      <c r="L209" s="43">
        <f>-L171</f>
        <v/>
      </c>
      <c r="M209" s="43">
        <f>-M171</f>
        <v/>
      </c>
      <c r="N209" s="43">
        <f>-N171</f>
        <v/>
      </c>
      <c r="O209" s="43">
        <f>-O171</f>
        <v/>
      </c>
      <c r="P209" s="43">
        <f>-P171</f>
        <v/>
      </c>
      <c r="Q209" s="43">
        <f>-Q171</f>
        <v/>
      </c>
      <c r="R209" s="43">
        <f>-R171</f>
        <v/>
      </c>
      <c r="S209" s="43">
        <f>-S171</f>
        <v/>
      </c>
      <c r="T209" s="43">
        <f>-T171</f>
        <v/>
      </c>
      <c r="U209" s="43">
        <f>-U171</f>
        <v/>
      </c>
      <c r="V209" s="43">
        <f>-V171</f>
        <v/>
      </c>
      <c r="W209" s="43">
        <f>-W171</f>
        <v/>
      </c>
      <c r="X209" s="43">
        <f>-X171</f>
        <v/>
      </c>
      <c r="Y209" s="43">
        <f>-Y171</f>
        <v/>
      </c>
      <c r="Z209" s="43">
        <f>-Z171</f>
        <v/>
      </c>
      <c r="AA209" s="43">
        <f>-AA171</f>
        <v/>
      </c>
      <c r="AB209" s="43">
        <f>-AB171</f>
        <v/>
      </c>
      <c r="AC209" s="43">
        <f>-AC171</f>
        <v/>
      </c>
      <c r="AD209" s="43">
        <f>-AD171</f>
        <v/>
      </c>
      <c r="AE209" s="43">
        <f>-AE171</f>
        <v/>
      </c>
      <c r="AF209" s="43">
        <f>-AF171</f>
        <v/>
      </c>
      <c r="AG209" s="43">
        <f>-AG171</f>
        <v/>
      </c>
      <c r="AH209" s="43">
        <f>-AH171</f>
        <v/>
      </c>
      <c r="AI209" s="43">
        <f>-AI171</f>
        <v/>
      </c>
      <c r="AJ209" s="43">
        <f>-AJ171</f>
        <v/>
      </c>
      <c r="AK209" s="43">
        <f>-AK171</f>
        <v/>
      </c>
      <c r="AL209" s="43">
        <f>-AL171</f>
        <v/>
      </c>
      <c r="AM209" s="43">
        <f>-AM171</f>
        <v/>
      </c>
      <c r="AN209" s="43">
        <f>-AN171</f>
        <v/>
      </c>
      <c r="AO209" s="43">
        <f>-AO171</f>
        <v/>
      </c>
      <c r="AP209" s="43">
        <f>-AP171</f>
        <v/>
      </c>
      <c r="AQ209" s="43">
        <f>-AQ171</f>
        <v/>
      </c>
      <c r="AR209" s="43">
        <f>-AR171</f>
        <v/>
      </c>
      <c r="AS209" s="43">
        <f>-AS171</f>
        <v/>
      </c>
      <c r="AT209" s="43">
        <f>-AT171</f>
        <v/>
      </c>
      <c r="AU209" s="45">
        <f>-AU171</f>
        <v/>
      </c>
      <c r="AV209" s="45">
        <f>-AV171</f>
        <v/>
      </c>
      <c r="AW209" s="45">
        <f>-AW171</f>
        <v/>
      </c>
      <c r="AX209" s="45">
        <f>-AX171</f>
        <v/>
      </c>
      <c r="AY209" s="45">
        <f>-AY171</f>
        <v/>
      </c>
      <c r="AZ209" s="45">
        <f>-AZ171</f>
        <v/>
      </c>
      <c r="BA209" s="45">
        <f>-BA171</f>
        <v/>
      </c>
      <c r="BB209" s="26" t="n"/>
    </row>
    <row r="210">
      <c r="B210" s="27" t="inlineStr">
        <is>
          <t xml:space="preserve">  (−) D&amp;A excluding amortization of acquired intangible assets</t>
        </is>
      </c>
      <c r="C210" s="43">
        <f>-(C155-N(C172))</f>
        <v/>
      </c>
      <c r="D210" s="43">
        <f>-(D155-N(D172))</f>
        <v/>
      </c>
      <c r="E210" s="43">
        <f>-(E155-N(E172))</f>
        <v/>
      </c>
      <c r="F210" s="43">
        <f>-(F155-N(F172))</f>
        <v/>
      </c>
      <c r="G210" s="43">
        <f>-(G155-N(G172))</f>
        <v/>
      </c>
      <c r="H210" s="43">
        <f>-(H155-N(H172))</f>
        <v/>
      </c>
      <c r="I210" s="43">
        <f>-(I155-N(I172))</f>
        <v/>
      </c>
      <c r="J210" s="43">
        <f>-(J155-N(J172))</f>
        <v/>
      </c>
      <c r="K210" s="43">
        <f>-(K155-N(K172))</f>
        <v/>
      </c>
      <c r="L210" s="43">
        <f>-(L155-N(L172))</f>
        <v/>
      </c>
      <c r="M210" s="43">
        <f>-(M155-N(M172))</f>
        <v/>
      </c>
      <c r="N210" s="43">
        <f>-(N155-N(N172))</f>
        <v/>
      </c>
      <c r="O210" s="43">
        <f>-(O155-N(O172))</f>
        <v/>
      </c>
      <c r="P210" s="43">
        <f>-(P155-N(P172))</f>
        <v/>
      </c>
      <c r="Q210" s="43">
        <f>-(Q155-N(Q172))</f>
        <v/>
      </c>
      <c r="R210" s="43">
        <f>-(R155-N(R172))</f>
        <v/>
      </c>
      <c r="S210" s="43">
        <f>-(S155-N(S172))</f>
        <v/>
      </c>
      <c r="T210" s="43">
        <f>-(T155-N(T172))</f>
        <v/>
      </c>
      <c r="U210" s="43">
        <f>-(U155-N(U172))</f>
        <v/>
      </c>
      <c r="V210" s="43">
        <f>-(V155-N(V172))</f>
        <v/>
      </c>
      <c r="W210" s="43">
        <f>-(W155-N(W172))</f>
        <v/>
      </c>
      <c r="X210" s="43">
        <f>-(X155-N(X172))</f>
        <v/>
      </c>
      <c r="Y210" s="43">
        <f>-(Y155-N(Y172))</f>
        <v/>
      </c>
      <c r="Z210" s="43">
        <f>-(Z155-N(Z172))</f>
        <v/>
      </c>
      <c r="AA210" s="43">
        <f>-(AA155-N(AA172))</f>
        <v/>
      </c>
      <c r="AB210" s="43">
        <f>-(AB155-N(AB172))</f>
        <v/>
      </c>
      <c r="AC210" s="43">
        <f>-(AC155-N(AC172))</f>
        <v/>
      </c>
      <c r="AD210" s="43">
        <f>-(AD155-N(AD172))</f>
        <v/>
      </c>
      <c r="AE210" s="43">
        <f>-(AE155-N(AE172))</f>
        <v/>
      </c>
      <c r="AF210" s="43">
        <f>-(AF155-N(AF172))</f>
        <v/>
      </c>
      <c r="AG210" s="43">
        <f>-(AG155-N(AG172))</f>
        <v/>
      </c>
      <c r="AH210" s="43">
        <f>-(AH155-N(AH172))</f>
        <v/>
      </c>
      <c r="AI210" s="43">
        <f>-(AI155-N(AI172))</f>
        <v/>
      </c>
      <c r="AJ210" s="43">
        <f>-(AJ155-N(AJ172))</f>
        <v/>
      </c>
      <c r="AK210" s="43">
        <f>-(AK155-N(AK172))</f>
        <v/>
      </c>
      <c r="AL210" s="43">
        <f>-(AL155-N(AL172))</f>
        <v/>
      </c>
      <c r="AM210" s="43">
        <f>-(AM155-N(AM172))</f>
        <v/>
      </c>
      <c r="AN210" s="43">
        <f>-(AN155-N(AN172))</f>
        <v/>
      </c>
      <c r="AO210" s="43">
        <f>-(AO155-N(AO172))</f>
        <v/>
      </c>
      <c r="AP210" s="43">
        <f>-(AP155-N(AP172))</f>
        <v/>
      </c>
      <c r="AQ210" s="43">
        <f>-(AQ155-N(AQ172))</f>
        <v/>
      </c>
      <c r="AR210" s="43">
        <f>-(AR155-N(AR172))</f>
        <v/>
      </c>
      <c r="AS210" s="43">
        <f>-(AS155-N(AS172))</f>
        <v/>
      </c>
      <c r="AT210" s="43">
        <f>-(AT155-N(AT172))</f>
        <v/>
      </c>
      <c r="AU210" s="45">
        <f>-(AU155-AU172)</f>
        <v/>
      </c>
      <c r="AV210" s="45">
        <f>-(AV155-AV172)</f>
        <v/>
      </c>
      <c r="AW210" s="45">
        <f>-(AW155-AW172)</f>
        <v/>
      </c>
      <c r="AX210" s="45">
        <f>-(AX155-AX172)</f>
        <v/>
      </c>
      <c r="AY210" s="45">
        <f>-(AY155-AY172)</f>
        <v/>
      </c>
      <c r="AZ210" s="45">
        <f>-(AZ155-AZ172)</f>
        <v/>
      </c>
      <c r="BA210" s="45">
        <f>-(BA155-BA172)</f>
        <v/>
      </c>
      <c r="BB210" s="26" t="n"/>
    </row>
    <row r="211">
      <c r="B211" s="27" t="inlineStr">
        <is>
          <t xml:space="preserve">  (+/−) Definitional differences vs company Non-GAAP OI (published periods: e.g. financing costs, lease items)</t>
        </is>
      </c>
      <c r="C211" s="43">
        <f>IF(ISNUMBER(C214),C214-(C203+C209+C210),0)</f>
        <v/>
      </c>
      <c r="D211" s="43">
        <f>IF(ISNUMBER(D214),D214-(D203+D209+D210),0)</f>
        <v/>
      </c>
      <c r="E211" s="43">
        <f>IF(ISNUMBER(E214),E214-(E203+E209+E210),0)</f>
        <v/>
      </c>
      <c r="F211" s="43">
        <f>IF(ISNUMBER(F214),F214-(F203+F209+F210),0)</f>
        <v/>
      </c>
      <c r="G211" s="43">
        <f>IF(ISNUMBER(G214),G214-(G203+G209+G210),0)</f>
        <v/>
      </c>
      <c r="H211" s="43">
        <f>IF(ISNUMBER(H214),H214-(H203+H209+H210),0)</f>
        <v/>
      </c>
      <c r="I211" s="43">
        <f>IF(ISNUMBER(I214),I214-(I203+I209+I210),0)</f>
        <v/>
      </c>
      <c r="J211" s="43">
        <f>IF(ISNUMBER(J214),J214-(J203+J209+J210),0)</f>
        <v/>
      </c>
      <c r="K211" s="43">
        <f>IF(ISNUMBER(K214),K214-(K203+K209+K210),0)</f>
        <v/>
      </c>
      <c r="L211" s="43">
        <f>IF(ISNUMBER(L214),L214-(L203+L209+L210),0)</f>
        <v/>
      </c>
      <c r="M211" s="43">
        <f>IF(ISNUMBER(M214),M214-(M203+M209+M210),0)</f>
        <v/>
      </c>
      <c r="N211" s="43">
        <f>IF(ISNUMBER(N214),N214-(N203+N209+N210),0)</f>
        <v/>
      </c>
      <c r="O211" s="43">
        <f>IF(ISNUMBER(O214),O214-(O203+O209+O210),0)</f>
        <v/>
      </c>
      <c r="P211" s="43">
        <f>IF(ISNUMBER(P214),P214-(P203+P209+P210),0)</f>
        <v/>
      </c>
      <c r="Q211" s="43">
        <f>IF(ISNUMBER(Q214),Q214-(Q203+Q209+Q210),0)</f>
        <v/>
      </c>
      <c r="R211" s="43">
        <f>IF(ISNUMBER(R214),R214-(R203+R209+R210),0)</f>
        <v/>
      </c>
      <c r="S211" s="43">
        <f>IF(ISNUMBER(S214),S214-(S203+S209+S210),0)</f>
        <v/>
      </c>
      <c r="T211" s="43">
        <f>IF(ISNUMBER(T214),T214-(T203+T209+T210),0)</f>
        <v/>
      </c>
      <c r="U211" s="43">
        <f>IF(ISNUMBER(U214),U214-(U203+U209+U210),0)</f>
        <v/>
      </c>
      <c r="V211" s="43">
        <f>IF(ISNUMBER(V214),V214-(V203+V209+V210),0)</f>
        <v/>
      </c>
      <c r="W211" s="43">
        <f>IF(ISNUMBER(W214),W214-(W203+W209+W210),0)</f>
        <v/>
      </c>
      <c r="X211" s="43">
        <f>IF(ISNUMBER(X214),X214-(X203+X209+X210),0)</f>
        <v/>
      </c>
      <c r="Y211" s="43">
        <f>IF(ISNUMBER(Y214),Y214-(Y203+Y209+Y210),0)</f>
        <v/>
      </c>
      <c r="Z211" s="43">
        <f>IF(ISNUMBER(Z214),Z214-(Z203+Z209+Z210),0)</f>
        <v/>
      </c>
      <c r="AA211" s="43">
        <f>IF(ISNUMBER(AA214),AA214-(AA203+AA209+AA210),0)</f>
        <v/>
      </c>
      <c r="AB211" s="43">
        <f>IF(ISNUMBER(AB214),AB214-(AB203+AB209+AB210),0)</f>
        <v/>
      </c>
      <c r="AC211" s="43">
        <f>IF(ISNUMBER(AC214),AC214-(AC203+AC209+AC210),0)</f>
        <v/>
      </c>
      <c r="AD211" s="43">
        <f>IF(ISNUMBER(AD214),AD214-(AD203+AD209+AD210),0)</f>
        <v/>
      </c>
      <c r="AE211" s="43">
        <f>IF(ISNUMBER(AE214),AE214-(AE203+AE209+AE210),0)</f>
        <v/>
      </c>
      <c r="AF211" s="43">
        <f>IF(ISNUMBER(AF214),AF214-(AF203+AF209+AF210),0)</f>
        <v/>
      </c>
      <c r="AG211" s="43">
        <f>IF(ISNUMBER(AG214),AG214-(AG203+AG209+AG210),0)</f>
        <v/>
      </c>
      <c r="AH211" s="43">
        <f>IF(ISNUMBER(AH214),AH214-(AH203+AH209+AH210),0)</f>
        <v/>
      </c>
      <c r="AI211" s="43">
        <f>IF(ISNUMBER(AI214),AI214-(AI203+AI209+AI210),0)</f>
        <v/>
      </c>
      <c r="AJ211" s="43">
        <f>IF(ISNUMBER(AJ214),AJ214-(AJ203+AJ209+AJ210),0)</f>
        <v/>
      </c>
      <c r="AK211" s="43">
        <f>IF(ISNUMBER(AK214),AK214-(AK203+AK209+AK210),0)</f>
        <v/>
      </c>
      <c r="AL211" s="43">
        <f>IF(ISNUMBER(AL214),AL214-(AL203+AL209+AL210),0)</f>
        <v/>
      </c>
      <c r="AM211" s="43">
        <f>IF(ISNUMBER(AM214),AM214-(AM203+AM209+AM210),0)</f>
        <v/>
      </c>
      <c r="AN211" s="43">
        <f>IF(ISNUMBER(AN214),AN214-(AN203+AN209+AN210),0)</f>
        <v/>
      </c>
      <c r="AO211" s="43">
        <f>IF(ISNUMBER(AO214),AO214-(AO203+AO209+AO210),0)</f>
        <v/>
      </c>
      <c r="AP211" s="43">
        <f>IF(ISNUMBER(AP214),AP214-(AP203+AP209+AP210),0)</f>
        <v/>
      </c>
      <c r="AQ211" s="43">
        <f>IF(ISNUMBER(AQ214),AQ214-(AQ203+AQ209+AQ210),0)</f>
        <v/>
      </c>
      <c r="AR211" s="43">
        <f>IF(ISNUMBER(AR214),AR214-(AR203+AR209+AR210),0)</f>
        <v/>
      </c>
      <c r="AS211" s="43">
        <f>IF(ISNUMBER(AS214),AS214-(AS203+AS209+AS210),0)</f>
        <v/>
      </c>
      <c r="AT211" s="43">
        <f>IF(ISNUMBER(AT214),AT214-(AT203+AT209+AT210),0)</f>
        <v/>
      </c>
      <c r="AU211" s="47" t="n">
        <v>0</v>
      </c>
      <c r="AV211" s="47" t="n">
        <v>0</v>
      </c>
      <c r="AW211" s="47" t="n">
        <v>0</v>
      </c>
      <c r="AX211" s="47" t="n">
        <v>0</v>
      </c>
      <c r="AY211" s="47" t="n">
        <v>0</v>
      </c>
      <c r="AZ211" s="47" t="n">
        <v>0</v>
      </c>
      <c r="BA211" s="47" t="n">
        <v>0</v>
      </c>
      <c r="BB211" s="19" t="inlineStr">
        <is>
          <t>Plug only where the company published Non-GAAP OI (Q1/24+ recast); Non-GAAP OI excludes a few items differently from Adj. EBITDA (e.g. FY24 acquisition &amp; financing costs $68m vs $25m).</t>
        </is>
      </c>
    </row>
    <row r="212">
      <c r="B212" s="52" t="inlineStr">
        <is>
          <t xml:space="preserve">  = Non-GAAP Operating Income (model; company definition from Q1/26)</t>
        </is>
      </c>
      <c r="C212" s="53">
        <f>C203+C209+C210+C211</f>
        <v/>
      </c>
      <c r="D212" s="53">
        <f>D203+D209+D210+D211</f>
        <v/>
      </c>
      <c r="E212" s="53">
        <f>E203+E209+E210+E211</f>
        <v/>
      </c>
      <c r="F212" s="53">
        <f>F203+F209+F210+F211</f>
        <v/>
      </c>
      <c r="G212" s="53">
        <f>G203+G209+G210+G211</f>
        <v/>
      </c>
      <c r="H212" s="53">
        <f>H203+H209+H210+H211</f>
        <v/>
      </c>
      <c r="I212" s="53">
        <f>I203+I209+I210+I211</f>
        <v/>
      </c>
      <c r="J212" s="53">
        <f>J203+J209+J210+J211</f>
        <v/>
      </c>
      <c r="K212" s="53">
        <f>K203+K209+K210+K211</f>
        <v/>
      </c>
      <c r="L212" s="53">
        <f>L203+L209+L210+L211</f>
        <v/>
      </c>
      <c r="M212" s="53">
        <f>M203+M209+M210+M211</f>
        <v/>
      </c>
      <c r="N212" s="53">
        <f>N203+N209+N210+N211</f>
        <v/>
      </c>
      <c r="O212" s="53">
        <f>O203+O209+O210+O211</f>
        <v/>
      </c>
      <c r="P212" s="53">
        <f>P203+P209+P210+P211</f>
        <v/>
      </c>
      <c r="Q212" s="53">
        <f>Q203+Q209+Q210+Q211</f>
        <v/>
      </c>
      <c r="R212" s="53">
        <f>R203+R209+R210+R211</f>
        <v/>
      </c>
      <c r="S212" s="53">
        <f>S203+S209+S210+S211</f>
        <v/>
      </c>
      <c r="T212" s="53">
        <f>T203+T209+T210+T211</f>
        <v/>
      </c>
      <c r="U212" s="53">
        <f>U203+U209+U210+U211</f>
        <v/>
      </c>
      <c r="V212" s="53">
        <f>V203+V209+V210+V211</f>
        <v/>
      </c>
      <c r="W212" s="53">
        <f>W203+W209+W210+W211</f>
        <v/>
      </c>
      <c r="X212" s="53">
        <f>X203+X209+X210+X211</f>
        <v/>
      </c>
      <c r="Y212" s="53">
        <f>Y203+Y209+Y210+Y211</f>
        <v/>
      </c>
      <c r="Z212" s="53">
        <f>Z203+Z209+Z210+Z211</f>
        <v/>
      </c>
      <c r="AA212" s="53">
        <f>AA203+AA209+AA210+AA211</f>
        <v/>
      </c>
      <c r="AB212" s="53">
        <f>AB203+AB209+AB210+AB211</f>
        <v/>
      </c>
      <c r="AC212" s="53">
        <f>AC203+AC209+AC210+AC211</f>
        <v/>
      </c>
      <c r="AD212" s="53">
        <f>AD203+AD209+AD210+AD211</f>
        <v/>
      </c>
      <c r="AE212" s="53">
        <f>AE203+AE209+AE210+AE211</f>
        <v/>
      </c>
      <c r="AF212" s="53">
        <f>AF203+AF209+AF210+AF211</f>
        <v/>
      </c>
      <c r="AG212" s="53">
        <f>AG203+AG209+AG210+AG211</f>
        <v/>
      </c>
      <c r="AH212" s="53">
        <f>AH203+AH209+AH210+AH211</f>
        <v/>
      </c>
      <c r="AI212" s="53">
        <f>AI203+AI209+AI210+AI211</f>
        <v/>
      </c>
      <c r="AJ212" s="53">
        <f>AJ203+AJ209+AJ210+AJ211</f>
        <v/>
      </c>
      <c r="AK212" s="53">
        <f>AK203+AK209+AK210+AK211</f>
        <v/>
      </c>
      <c r="AL212" s="53">
        <f>AL203+AL209+AL210+AL211</f>
        <v/>
      </c>
      <c r="AM212" s="53">
        <f>AM203+AM209+AM210+AM211</f>
        <v/>
      </c>
      <c r="AN212" s="53">
        <f>AN203+AN209+AN210+AN211</f>
        <v/>
      </c>
      <c r="AO212" s="53">
        <f>AO203+AO209+AO210+AO211</f>
        <v/>
      </c>
      <c r="AP212" s="53">
        <f>AP203+AP209+AP210+AP211</f>
        <v/>
      </c>
      <c r="AQ212" s="53">
        <f>AQ203+AQ209+AQ210+AQ211</f>
        <v/>
      </c>
      <c r="AR212" s="53">
        <f>AR203+AR209+AR210+AR211</f>
        <v/>
      </c>
      <c r="AS212" s="53">
        <f>AS203+AS209+AS210+AS211</f>
        <v/>
      </c>
      <c r="AT212" s="53">
        <f>AT203+AT209+AT210+AT211</f>
        <v/>
      </c>
      <c r="AU212" s="53">
        <f>AU203+AU209+AU210+AU211</f>
        <v/>
      </c>
      <c r="AV212" s="53">
        <f>AV203+AV209+AV210+AV211</f>
        <v/>
      </c>
      <c r="AW212" s="53">
        <f>AW203+AW209+AW210+AW211</f>
        <v/>
      </c>
      <c r="AX212" s="53">
        <f>AX203+AX209+AX210+AX211</f>
        <v/>
      </c>
      <c r="AY212" s="53">
        <f>AY203+AY209+AY210+AY211</f>
        <v/>
      </c>
      <c r="AZ212" s="53">
        <f>AZ203+AZ209+AZ210+AZ211</f>
        <v/>
      </c>
      <c r="BA212" s="53">
        <f>BA203+BA209+BA210+BA211</f>
        <v/>
      </c>
      <c r="BB212" s="26" t="n"/>
      <c r="BD212" s="20">
        <f>IFERROR((BA212/AR212)^(1/5)-1,"")</f>
        <v/>
      </c>
      <c r="BE212" s="20">
        <f>IFERROR((AR212/S212)^(1/5)-1,"")</f>
        <v/>
      </c>
      <c r="BF212" s="20">
        <f>IFERROR((AR212/I212)^(1/7)-1,"")</f>
        <v/>
      </c>
      <c r="BG212" s="20">
        <f>IFERROR((AR212/C212)^(1/9)-1,"")</f>
        <v/>
      </c>
    </row>
    <row r="213">
      <c r="B213" s="27" t="inlineStr">
        <is>
          <t xml:space="preserve">  Non-GAAP Operating Income % of Gross Bookings</t>
        </is>
      </c>
      <c r="C213" s="39">
        <f>IF(AND(ISNUMBER(C212),ISNUMBER(C99)),IFERROR(C212/C99,""),"")</f>
        <v/>
      </c>
      <c r="D213" s="39">
        <f>IF(AND(ISNUMBER(D212),ISNUMBER(D99)),IFERROR(D212/D99,""),"")</f>
        <v/>
      </c>
      <c r="E213" s="39">
        <f>IF(AND(ISNUMBER(E212),ISNUMBER(E99)),IFERROR(E212/E99,""),"")</f>
        <v/>
      </c>
      <c r="F213" s="39">
        <f>IF(AND(ISNUMBER(F212),ISNUMBER(F99)),IFERROR(F212/F99,""),"")</f>
        <v/>
      </c>
      <c r="G213" s="39">
        <f>IF(AND(ISNUMBER(G212),ISNUMBER(G99)),IFERROR(G212/G99,""),"")</f>
        <v/>
      </c>
      <c r="H213" s="39">
        <f>IF(AND(ISNUMBER(H212),ISNUMBER(H99)),IFERROR(H212/H99,""),"")</f>
        <v/>
      </c>
      <c r="I213" s="39">
        <f>IF(AND(ISNUMBER(I212),ISNUMBER(I99)),IFERROR(I212/I99,""),"")</f>
        <v/>
      </c>
      <c r="J213" s="39">
        <f>IF(AND(ISNUMBER(J212),ISNUMBER(J99)),IFERROR(J212/J99,""),"")</f>
        <v/>
      </c>
      <c r="K213" s="39">
        <f>IF(AND(ISNUMBER(K212),ISNUMBER(K99)),IFERROR(K212/K99,""),"")</f>
        <v/>
      </c>
      <c r="L213" s="39">
        <f>IF(AND(ISNUMBER(L212),ISNUMBER(L99)),IFERROR(L212/L99,""),"")</f>
        <v/>
      </c>
      <c r="M213" s="39">
        <f>IF(AND(ISNUMBER(M212),ISNUMBER(M99)),IFERROR(M212/M99,""),"")</f>
        <v/>
      </c>
      <c r="N213" s="39">
        <f>IF(AND(ISNUMBER(N212),ISNUMBER(N99)),IFERROR(N212/N99,""),"")</f>
        <v/>
      </c>
      <c r="O213" s="39">
        <f>IF(AND(ISNUMBER(O212),ISNUMBER(O99)),IFERROR(O212/O99,""),"")</f>
        <v/>
      </c>
      <c r="P213" s="39">
        <f>IF(AND(ISNUMBER(P212),ISNUMBER(P99)),IFERROR(P212/P99,""),"")</f>
        <v/>
      </c>
      <c r="Q213" s="39">
        <f>IF(AND(ISNUMBER(Q212),ISNUMBER(Q99)),IFERROR(Q212/Q99,""),"")</f>
        <v/>
      </c>
      <c r="R213" s="39">
        <f>IF(AND(ISNUMBER(R212),ISNUMBER(R99)),IFERROR(R212/R99,""),"")</f>
        <v/>
      </c>
      <c r="S213" s="39">
        <f>IF(AND(ISNUMBER(S212),ISNUMBER(S99)),IFERROR(S212/S99,""),"")</f>
        <v/>
      </c>
      <c r="T213" s="39">
        <f>IF(AND(ISNUMBER(T212),ISNUMBER(T99)),IFERROR(T212/T99,""),"")</f>
        <v/>
      </c>
      <c r="U213" s="39">
        <f>IF(AND(ISNUMBER(U212),ISNUMBER(U99)),IFERROR(U212/U99,""),"")</f>
        <v/>
      </c>
      <c r="V213" s="39">
        <f>IF(AND(ISNUMBER(V212),ISNUMBER(V99)),IFERROR(V212/V99,""),"")</f>
        <v/>
      </c>
      <c r="W213" s="39">
        <f>IF(AND(ISNUMBER(W212),ISNUMBER(W99)),IFERROR(W212/W99,""),"")</f>
        <v/>
      </c>
      <c r="X213" s="39">
        <f>IF(AND(ISNUMBER(X212),ISNUMBER(X99)),IFERROR(X212/X99,""),"")</f>
        <v/>
      </c>
      <c r="Y213" s="39">
        <f>IF(AND(ISNUMBER(Y212),ISNUMBER(Y99)),IFERROR(Y212/Y99,""),"")</f>
        <v/>
      </c>
      <c r="Z213" s="39">
        <f>IF(AND(ISNUMBER(Z212),ISNUMBER(Z99)),IFERROR(Z212/Z99,""),"")</f>
        <v/>
      </c>
      <c r="AA213" s="39">
        <f>IF(AND(ISNUMBER(AA212),ISNUMBER(AA99)),IFERROR(AA212/AA99,""),"")</f>
        <v/>
      </c>
      <c r="AB213" s="39">
        <f>IF(AND(ISNUMBER(AB212),ISNUMBER(AB99)),IFERROR(AB212/AB99,""),"")</f>
        <v/>
      </c>
      <c r="AC213" s="39">
        <f>IF(AND(ISNUMBER(AC212),ISNUMBER(AC99)),IFERROR(AC212/AC99,""),"")</f>
        <v/>
      </c>
      <c r="AD213" s="39">
        <f>IF(AND(ISNUMBER(AD212),ISNUMBER(AD99)),IFERROR(AD212/AD99,""),"")</f>
        <v/>
      </c>
      <c r="AE213" s="39">
        <f>IF(AND(ISNUMBER(AE212),ISNUMBER(AE99)),IFERROR(AE212/AE99,""),"")</f>
        <v/>
      </c>
      <c r="AF213" s="39">
        <f>IF(AND(ISNUMBER(AF212),ISNUMBER(AF99)),IFERROR(AF212/AF99,""),"")</f>
        <v/>
      </c>
      <c r="AG213" s="39">
        <f>IF(AND(ISNUMBER(AG212),ISNUMBER(AG99)),IFERROR(AG212/AG99,""),"")</f>
        <v/>
      </c>
      <c r="AH213" s="39">
        <f>IF(AND(ISNUMBER(AH212),ISNUMBER(AH99)),IFERROR(AH212/AH99,""),"")</f>
        <v/>
      </c>
      <c r="AI213" s="39">
        <f>IF(AND(ISNUMBER(AI212),ISNUMBER(AI99)),IFERROR(AI212/AI99,""),"")</f>
        <v/>
      </c>
      <c r="AJ213" s="39">
        <f>IF(AND(ISNUMBER(AJ212),ISNUMBER(AJ99)),IFERROR(AJ212/AJ99,""),"")</f>
        <v/>
      </c>
      <c r="AK213" s="39">
        <f>IF(AND(ISNUMBER(AK212),ISNUMBER(AK99)),IFERROR(AK212/AK99,""),"")</f>
        <v/>
      </c>
      <c r="AL213" s="39">
        <f>IF(AND(ISNUMBER(AL212),ISNUMBER(AL99)),IFERROR(AL212/AL99,""),"")</f>
        <v/>
      </c>
      <c r="AM213" s="39">
        <f>IF(AND(ISNUMBER(AM212),ISNUMBER(AM99)),IFERROR(AM212/AM99,""),"")</f>
        <v/>
      </c>
      <c r="AN213" s="39">
        <f>IF(AND(ISNUMBER(AN212),ISNUMBER(AN99)),IFERROR(AN212/AN99,""),"")</f>
        <v/>
      </c>
      <c r="AO213" s="39">
        <f>IF(AND(ISNUMBER(AO212),ISNUMBER(AO99)),IFERROR(AO212/AO99,""),"")</f>
        <v/>
      </c>
      <c r="AP213" s="39">
        <f>IF(AND(ISNUMBER(AP212),ISNUMBER(AP99)),IFERROR(AP212/AP99,""),"")</f>
        <v/>
      </c>
      <c r="AQ213" s="39">
        <f>IF(AND(ISNUMBER(AQ212),ISNUMBER(AQ99)),IFERROR(AQ212/AQ99,""),"")</f>
        <v/>
      </c>
      <c r="AR213" s="39">
        <f>IF(AND(ISNUMBER(AR212),ISNUMBER(AR99)),IFERROR(AR212/AR99,""),"")</f>
        <v/>
      </c>
      <c r="AS213" s="39">
        <f>IF(AND(ISNUMBER(AS212),ISNUMBER(AS99)),IFERROR(AS212/AS99,""),"")</f>
        <v/>
      </c>
      <c r="AT213" s="39">
        <f>IF(AND(ISNUMBER(AT212),ISNUMBER(AT99)),IFERROR(AT212/AT99,""),"")</f>
        <v/>
      </c>
      <c r="AU213" s="25">
        <f>IFERROR(AU212/AU99,"")</f>
        <v/>
      </c>
      <c r="AV213" s="25">
        <f>IFERROR(AV212/AV99,"")</f>
        <v/>
      </c>
      <c r="AW213" s="25">
        <f>IFERROR(AW212/AW99,"")</f>
        <v/>
      </c>
      <c r="AX213" s="25">
        <f>IFERROR(AX212/AX99,"")</f>
        <v/>
      </c>
      <c r="AY213" s="25">
        <f>IFERROR(AY212/AY99,"")</f>
        <v/>
      </c>
      <c r="AZ213" s="25">
        <f>IFERROR(AZ212/AZ99,"")</f>
        <v/>
      </c>
      <c r="BA213" s="25">
        <f>IFERROR(BA212/BA99,"")</f>
        <v/>
      </c>
      <c r="BB213" s="26" t="n"/>
    </row>
    <row r="214">
      <c r="B214" s="27" t="inlineStr">
        <is>
          <t xml:space="preserve">  Company-published Non-GAAP Operating Income</t>
        </is>
      </c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  <c r="AA214" s="43" t="n"/>
      <c r="AB214" s="43" t="n"/>
      <c r="AC214" s="43" t="n"/>
      <c r="AD214" s="43" t="n"/>
      <c r="AE214" s="43" t="n"/>
      <c r="AF214" s="43" t="n"/>
      <c r="AG214" s="43" t="n"/>
      <c r="AH214" s="43" t="n"/>
      <c r="AI214" s="44" t="n">
        <v>821</v>
      </c>
      <c r="AJ214" s="44" t="n">
        <v>1025</v>
      </c>
      <c r="AK214" s="44" t="n">
        <v>1146</v>
      </c>
      <c r="AL214" s="44" t="n">
        <v>1318</v>
      </c>
      <c r="AM214" s="44" t="n">
        <v>4310</v>
      </c>
      <c r="AN214" s="44" t="n">
        <v>1326</v>
      </c>
      <c r="AO214" s="44" t="n">
        <v>1534</v>
      </c>
      <c r="AP214" s="44" t="n">
        <v>1675</v>
      </c>
      <c r="AQ214" s="44" t="n">
        <v>1918</v>
      </c>
      <c r="AR214" s="44" t="n">
        <v>6453</v>
      </c>
      <c r="AS214" s="44" t="n">
        <v>1883</v>
      </c>
      <c r="AT214" s="44" t="n">
        <v>2143</v>
      </c>
      <c r="AU214" s="45" t="n"/>
      <c r="AV214" s="45" t="n"/>
      <c r="AW214" s="45" t="n"/>
      <c r="AX214" s="45" t="n"/>
      <c r="AY214" s="45" t="n"/>
      <c r="AZ214" s="45" t="n"/>
      <c r="BA214" s="45" t="n"/>
      <c r="BB214" s="26" t="n"/>
    </row>
    <row r="215">
      <c r="B215" s="54" t="inlineStr">
        <is>
          <t xml:space="preserve">  Check: model vs company-published Non-GAAP OI (should be 0)</t>
        </is>
      </c>
      <c r="C215" s="43">
        <f>IF(ISNUMBER(C214),ROUND(C212-C214,1),"n/p")</f>
        <v/>
      </c>
      <c r="D215" s="43">
        <f>IF(ISNUMBER(D214),ROUND(D212-D214,1),"n/p")</f>
        <v/>
      </c>
      <c r="E215" s="43">
        <f>IF(ISNUMBER(E214),ROUND(E212-E214,1),"n/p")</f>
        <v/>
      </c>
      <c r="F215" s="43">
        <f>IF(ISNUMBER(F214),ROUND(F212-F214,1),"n/p")</f>
        <v/>
      </c>
      <c r="G215" s="43">
        <f>IF(ISNUMBER(G214),ROUND(G212-G214,1),"n/p")</f>
        <v/>
      </c>
      <c r="H215" s="43">
        <f>IF(ISNUMBER(H214),ROUND(H212-H214,1),"n/p")</f>
        <v/>
      </c>
      <c r="I215" s="43">
        <f>IF(ISNUMBER(I214),ROUND(I212-I214,1),"n/p")</f>
        <v/>
      </c>
      <c r="J215" s="43">
        <f>IF(ISNUMBER(J214),ROUND(J212-J214,1),"n/p")</f>
        <v/>
      </c>
      <c r="K215" s="43">
        <f>IF(ISNUMBER(K214),ROUND(K212-K214,1),"n/p")</f>
        <v/>
      </c>
      <c r="L215" s="43">
        <f>IF(ISNUMBER(L214),ROUND(L212-L214,1),"n/p")</f>
        <v/>
      </c>
      <c r="M215" s="43">
        <f>IF(ISNUMBER(M214),ROUND(M212-M214,1),"n/p")</f>
        <v/>
      </c>
      <c r="N215" s="43">
        <f>IF(ISNUMBER(N214),ROUND(N212-N214,1),"n/p")</f>
        <v/>
      </c>
      <c r="O215" s="43">
        <f>IF(ISNUMBER(O214),ROUND(O212-O214,1),"n/p")</f>
        <v/>
      </c>
      <c r="P215" s="43">
        <f>IF(ISNUMBER(P214),ROUND(P212-P214,1),"n/p")</f>
        <v/>
      </c>
      <c r="Q215" s="43">
        <f>IF(ISNUMBER(Q214),ROUND(Q212-Q214,1),"n/p")</f>
        <v/>
      </c>
      <c r="R215" s="43">
        <f>IF(ISNUMBER(R214),ROUND(R212-R214,1),"n/p")</f>
        <v/>
      </c>
      <c r="S215" s="43">
        <f>IF(ISNUMBER(S214),ROUND(S212-S214,1),"n/p")</f>
        <v/>
      </c>
      <c r="T215" s="43">
        <f>IF(ISNUMBER(T214),ROUND(T212-T214,1),"n/p")</f>
        <v/>
      </c>
      <c r="U215" s="43">
        <f>IF(ISNUMBER(U214),ROUND(U212-U214,1),"n/p")</f>
        <v/>
      </c>
      <c r="V215" s="43">
        <f>IF(ISNUMBER(V214),ROUND(V212-V214,1),"n/p")</f>
        <v/>
      </c>
      <c r="W215" s="43">
        <f>IF(ISNUMBER(W214),ROUND(W212-W214,1),"n/p")</f>
        <v/>
      </c>
      <c r="X215" s="43">
        <f>IF(ISNUMBER(X214),ROUND(X212-X214,1),"n/p")</f>
        <v/>
      </c>
      <c r="Y215" s="43">
        <f>IF(ISNUMBER(Y214),ROUND(Y212-Y214,1),"n/p")</f>
        <v/>
      </c>
      <c r="Z215" s="43">
        <f>IF(ISNUMBER(Z214),ROUND(Z212-Z214,1),"n/p")</f>
        <v/>
      </c>
      <c r="AA215" s="43">
        <f>IF(ISNUMBER(AA214),ROUND(AA212-AA214,1),"n/p")</f>
        <v/>
      </c>
      <c r="AB215" s="43">
        <f>IF(ISNUMBER(AB214),ROUND(AB212-AB214,1),"n/p")</f>
        <v/>
      </c>
      <c r="AC215" s="43">
        <f>IF(ISNUMBER(AC214),ROUND(AC212-AC214,1),"n/p")</f>
        <v/>
      </c>
      <c r="AD215" s="43">
        <f>IF(ISNUMBER(AD214),ROUND(AD212-AD214,1),"n/p")</f>
        <v/>
      </c>
      <c r="AE215" s="43">
        <f>IF(ISNUMBER(AE214),ROUND(AE212-AE214,1),"n/p")</f>
        <v/>
      </c>
      <c r="AF215" s="43">
        <f>IF(ISNUMBER(AF214),ROUND(AF212-AF214,1),"n/p")</f>
        <v/>
      </c>
      <c r="AG215" s="43">
        <f>IF(ISNUMBER(AG214),ROUND(AG212-AG214,1),"n/p")</f>
        <v/>
      </c>
      <c r="AH215" s="43">
        <f>IF(ISNUMBER(AH214),ROUND(AH212-AH214,1),"n/p")</f>
        <v/>
      </c>
      <c r="AI215" s="43">
        <f>IF(ISNUMBER(AI214),ROUND(AI212-AI214,1),"n/p")</f>
        <v/>
      </c>
      <c r="AJ215" s="43">
        <f>IF(ISNUMBER(AJ214),ROUND(AJ212-AJ214,1),"n/p")</f>
        <v/>
      </c>
      <c r="AK215" s="43">
        <f>IF(ISNUMBER(AK214),ROUND(AK212-AK214,1),"n/p")</f>
        <v/>
      </c>
      <c r="AL215" s="43">
        <f>IF(ISNUMBER(AL214),ROUND(AL212-AL214,1),"n/p")</f>
        <v/>
      </c>
      <c r="AM215" s="43">
        <f>IF(ISNUMBER(AM214),ROUND(AM212-AM214,1),"n/p")</f>
        <v/>
      </c>
      <c r="AN215" s="43">
        <f>IF(ISNUMBER(AN214),ROUND(AN212-AN214,1),"n/p")</f>
        <v/>
      </c>
      <c r="AO215" s="43">
        <f>IF(ISNUMBER(AO214),ROUND(AO212-AO214,1),"n/p")</f>
        <v/>
      </c>
      <c r="AP215" s="43">
        <f>IF(ISNUMBER(AP214),ROUND(AP212-AP214,1),"n/p")</f>
        <v/>
      </c>
      <c r="AQ215" s="43">
        <f>IF(ISNUMBER(AQ214),ROUND(AQ212-AQ214,1),"n/p")</f>
        <v/>
      </c>
      <c r="AR215" s="43">
        <f>IF(ISNUMBER(AR214),ROUND(AR212-AR214,1),"n/p")</f>
        <v/>
      </c>
      <c r="AS215" s="43">
        <f>IF(ISNUMBER(AS214),ROUND(AS212-AS214,1),"n/p")</f>
        <v/>
      </c>
      <c r="AT215" s="43">
        <f>IF(ISNUMBER(AT214),ROUND(AT212-AT214,1),"n/p")</f>
        <v/>
      </c>
      <c r="AU215" s="45" t="n"/>
      <c r="AV215" s="45" t="n"/>
      <c r="AW215" s="45" t="n"/>
      <c r="AX215" s="45" t="n"/>
      <c r="AY215" s="45" t="n"/>
      <c r="AZ215" s="45" t="n"/>
      <c r="BA215" s="45" t="n"/>
      <c r="BB215" s="26" t="n"/>
    </row>
    <row r="216">
      <c r="B216" s="38" t="inlineStr">
        <is>
          <t xml:space="preserve">  Memo: Adjusted EBITDA pro forma — Delivery Hero full year (2027E), for leverage &amp; valuation</t>
        </is>
      </c>
      <c r="C216" s="43">
        <f>C203</f>
        <v/>
      </c>
      <c r="D216" s="43">
        <f>D203</f>
        <v/>
      </c>
      <c r="E216" s="43">
        <f>E203</f>
        <v/>
      </c>
      <c r="F216" s="43">
        <f>F203</f>
        <v/>
      </c>
      <c r="G216" s="43">
        <f>G203</f>
        <v/>
      </c>
      <c r="H216" s="43">
        <f>H203</f>
        <v/>
      </c>
      <c r="I216" s="43">
        <f>I203</f>
        <v/>
      </c>
      <c r="J216" s="43">
        <f>J203</f>
        <v/>
      </c>
      <c r="K216" s="43">
        <f>K203</f>
        <v/>
      </c>
      <c r="L216" s="43">
        <f>L203</f>
        <v/>
      </c>
      <c r="M216" s="43">
        <f>M203</f>
        <v/>
      </c>
      <c r="N216" s="43">
        <f>N203</f>
        <v/>
      </c>
      <c r="O216" s="43">
        <f>O203</f>
        <v/>
      </c>
      <c r="P216" s="43">
        <f>P203</f>
        <v/>
      </c>
      <c r="Q216" s="43">
        <f>Q203</f>
        <v/>
      </c>
      <c r="R216" s="43">
        <f>R203</f>
        <v/>
      </c>
      <c r="S216" s="43">
        <f>S203</f>
        <v/>
      </c>
      <c r="T216" s="43">
        <f>T203</f>
        <v/>
      </c>
      <c r="U216" s="43">
        <f>U203</f>
        <v/>
      </c>
      <c r="V216" s="43">
        <f>V203</f>
        <v/>
      </c>
      <c r="W216" s="43">
        <f>W203</f>
        <v/>
      </c>
      <c r="X216" s="43">
        <f>X203</f>
        <v/>
      </c>
      <c r="Y216" s="43">
        <f>Y203</f>
        <v/>
      </c>
      <c r="Z216" s="43">
        <f>Z203</f>
        <v/>
      </c>
      <c r="AA216" s="43">
        <f>AA203</f>
        <v/>
      </c>
      <c r="AB216" s="43">
        <f>AB203</f>
        <v/>
      </c>
      <c r="AC216" s="43">
        <f>AC203</f>
        <v/>
      </c>
      <c r="AD216" s="43">
        <f>AD203</f>
        <v/>
      </c>
      <c r="AE216" s="43">
        <f>AE203</f>
        <v/>
      </c>
      <c r="AF216" s="43">
        <f>AF203</f>
        <v/>
      </c>
      <c r="AG216" s="43">
        <f>AG203</f>
        <v/>
      </c>
      <c r="AH216" s="43">
        <f>AH203</f>
        <v/>
      </c>
      <c r="AI216" s="43">
        <f>AI203</f>
        <v/>
      </c>
      <c r="AJ216" s="43">
        <f>AJ203</f>
        <v/>
      </c>
      <c r="AK216" s="43">
        <f>AK203</f>
        <v/>
      </c>
      <c r="AL216" s="43">
        <f>AL203</f>
        <v/>
      </c>
      <c r="AM216" s="43">
        <f>AM203</f>
        <v/>
      </c>
      <c r="AN216" s="43">
        <f>AN203</f>
        <v/>
      </c>
      <c r="AO216" s="43">
        <f>AO203</f>
        <v/>
      </c>
      <c r="AP216" s="43">
        <f>AP203</f>
        <v/>
      </c>
      <c r="AQ216" s="43">
        <f>AQ203</f>
        <v/>
      </c>
      <c r="AR216" s="43">
        <f>AR203</f>
        <v/>
      </c>
      <c r="AS216" s="43">
        <f>AS203</f>
        <v/>
      </c>
      <c r="AT216" s="43">
        <f>AT203</f>
        <v/>
      </c>
      <c r="AU216" s="45">
        <f>AU203</f>
        <v/>
      </c>
      <c r="AV216" s="45">
        <f>AV203</f>
        <v/>
      </c>
      <c r="AW216" s="45">
        <f>AW203</f>
        <v/>
      </c>
      <c r="AX216" s="45">
        <f>AX203+IF(AX64&gt;0,AX65*AX70*(365-AX64)/365,0)</f>
        <v/>
      </c>
      <c r="AY216" s="45">
        <f>AY203</f>
        <v/>
      </c>
      <c r="AZ216" s="45">
        <f>AZ203</f>
        <v/>
      </c>
      <c r="BA216" s="45">
        <f>BA203</f>
        <v/>
      </c>
      <c r="BB216" s="19" t="inlineStr">
        <is>
          <t>2027E adds Delivery Hero pre-closing days at the standalone margin (no synergies).</t>
        </is>
      </c>
    </row>
    <row r="217">
      <c r="B217" s="16" t="inlineStr">
        <is>
          <t xml:space="preserve">  = Adjusted EBIT (model) = Non-GAAP Operating Income (after stock-based comp)</t>
        </is>
      </c>
      <c r="C217" s="36">
        <f>C212</f>
        <v/>
      </c>
      <c r="D217" s="36">
        <f>D212</f>
        <v/>
      </c>
      <c r="E217" s="36">
        <f>E212</f>
        <v/>
      </c>
      <c r="F217" s="36">
        <f>F212</f>
        <v/>
      </c>
      <c r="G217" s="36">
        <f>G212</f>
        <v/>
      </c>
      <c r="H217" s="36">
        <f>H212</f>
        <v/>
      </c>
      <c r="I217" s="36">
        <f>I212</f>
        <v/>
      </c>
      <c r="J217" s="36">
        <f>J212</f>
        <v/>
      </c>
      <c r="K217" s="36">
        <f>K212</f>
        <v/>
      </c>
      <c r="L217" s="36">
        <f>L212</f>
        <v/>
      </c>
      <c r="M217" s="36">
        <f>M212</f>
        <v/>
      </c>
      <c r="N217" s="36">
        <f>N212</f>
        <v/>
      </c>
      <c r="O217" s="36">
        <f>O212</f>
        <v/>
      </c>
      <c r="P217" s="36">
        <f>P212</f>
        <v/>
      </c>
      <c r="Q217" s="36">
        <f>Q212</f>
        <v/>
      </c>
      <c r="R217" s="36">
        <f>R212</f>
        <v/>
      </c>
      <c r="S217" s="36">
        <f>S212</f>
        <v/>
      </c>
      <c r="T217" s="36">
        <f>T212</f>
        <v/>
      </c>
      <c r="U217" s="36">
        <f>U212</f>
        <v/>
      </c>
      <c r="V217" s="36">
        <f>V212</f>
        <v/>
      </c>
      <c r="W217" s="36">
        <f>W212</f>
        <v/>
      </c>
      <c r="X217" s="36">
        <f>X212</f>
        <v/>
      </c>
      <c r="Y217" s="36">
        <f>Y212</f>
        <v/>
      </c>
      <c r="Z217" s="36">
        <f>Z212</f>
        <v/>
      </c>
      <c r="AA217" s="36">
        <f>AA212</f>
        <v/>
      </c>
      <c r="AB217" s="36">
        <f>AB212</f>
        <v/>
      </c>
      <c r="AC217" s="36">
        <f>AC212</f>
        <v/>
      </c>
      <c r="AD217" s="36">
        <f>AD212</f>
        <v/>
      </c>
      <c r="AE217" s="36">
        <f>AE212</f>
        <v/>
      </c>
      <c r="AF217" s="36">
        <f>AF212</f>
        <v/>
      </c>
      <c r="AG217" s="36">
        <f>AG212</f>
        <v/>
      </c>
      <c r="AH217" s="36">
        <f>AH212</f>
        <v/>
      </c>
      <c r="AI217" s="36">
        <f>AI212</f>
        <v/>
      </c>
      <c r="AJ217" s="36">
        <f>AJ212</f>
        <v/>
      </c>
      <c r="AK217" s="36">
        <f>AK212</f>
        <v/>
      </c>
      <c r="AL217" s="36">
        <f>AL212</f>
        <v/>
      </c>
      <c r="AM217" s="36">
        <f>AM212</f>
        <v/>
      </c>
      <c r="AN217" s="36">
        <f>AN212</f>
        <v/>
      </c>
      <c r="AO217" s="36">
        <f>AO212</f>
        <v/>
      </c>
      <c r="AP217" s="36">
        <f>AP212</f>
        <v/>
      </c>
      <c r="AQ217" s="36">
        <f>AQ212</f>
        <v/>
      </c>
      <c r="AR217" s="36">
        <f>AR212</f>
        <v/>
      </c>
      <c r="AS217" s="36">
        <f>AS212</f>
        <v/>
      </c>
      <c r="AT217" s="36">
        <f>AT212</f>
        <v/>
      </c>
      <c r="AU217" s="18">
        <f>AU212</f>
        <v/>
      </c>
      <c r="AV217" s="18">
        <f>AV212</f>
        <v/>
      </c>
      <c r="AW217" s="18">
        <f>AW212</f>
        <v/>
      </c>
      <c r="AX217" s="18">
        <f>AX212</f>
        <v/>
      </c>
      <c r="AY217" s="18">
        <f>AY212</f>
        <v/>
      </c>
      <c r="AZ217" s="18">
        <f>AZ212</f>
        <v/>
      </c>
      <c r="BA217" s="18">
        <f>BA212</f>
        <v/>
      </c>
      <c r="BB217" s="26" t="n"/>
    </row>
    <row r="218">
      <c r="B218" s="27" t="inlineStr">
        <is>
          <t xml:space="preserve">  Adjusted EBIT margin % of revenue</t>
        </is>
      </c>
      <c r="C218" s="39">
        <f>IF(AND(ISNUMBER(C217),ISNUMBER(C148)),IFERROR(C217/C148,""),"")</f>
        <v/>
      </c>
      <c r="D218" s="39">
        <f>IF(AND(ISNUMBER(D217),ISNUMBER(D148)),IFERROR(D217/D148,""),"")</f>
        <v/>
      </c>
      <c r="E218" s="39">
        <f>IF(AND(ISNUMBER(E217),ISNUMBER(E148)),IFERROR(E217/E148,""),"")</f>
        <v/>
      </c>
      <c r="F218" s="39">
        <f>IF(AND(ISNUMBER(F217),ISNUMBER(F148)),IFERROR(F217/F148,""),"")</f>
        <v/>
      </c>
      <c r="G218" s="39">
        <f>IF(AND(ISNUMBER(G217),ISNUMBER(G148)),IFERROR(G217/G148,""),"")</f>
        <v/>
      </c>
      <c r="H218" s="39">
        <f>IF(AND(ISNUMBER(H217),ISNUMBER(H148)),IFERROR(H217/H148,""),"")</f>
        <v/>
      </c>
      <c r="I218" s="39">
        <f>IF(AND(ISNUMBER(I217),ISNUMBER(I148)),IFERROR(I217/I148,""),"")</f>
        <v/>
      </c>
      <c r="J218" s="39">
        <f>IF(AND(ISNUMBER(J217),ISNUMBER(J148)),IFERROR(J217/J148,""),"")</f>
        <v/>
      </c>
      <c r="K218" s="39">
        <f>IF(AND(ISNUMBER(K217),ISNUMBER(K148)),IFERROR(K217/K148,""),"")</f>
        <v/>
      </c>
      <c r="L218" s="39">
        <f>IF(AND(ISNUMBER(L217),ISNUMBER(L148)),IFERROR(L217/L148,""),"")</f>
        <v/>
      </c>
      <c r="M218" s="39">
        <f>IF(AND(ISNUMBER(M217),ISNUMBER(M148)),IFERROR(M217/M148,""),"")</f>
        <v/>
      </c>
      <c r="N218" s="39">
        <f>IF(AND(ISNUMBER(N217),ISNUMBER(N148)),IFERROR(N217/N148,""),"")</f>
        <v/>
      </c>
      <c r="O218" s="39">
        <f>IF(AND(ISNUMBER(O217),ISNUMBER(O148)),IFERROR(O217/O148,""),"")</f>
        <v/>
      </c>
      <c r="P218" s="39">
        <f>IF(AND(ISNUMBER(P217),ISNUMBER(P148)),IFERROR(P217/P148,""),"")</f>
        <v/>
      </c>
      <c r="Q218" s="39">
        <f>IF(AND(ISNUMBER(Q217),ISNUMBER(Q148)),IFERROR(Q217/Q148,""),"")</f>
        <v/>
      </c>
      <c r="R218" s="39">
        <f>IF(AND(ISNUMBER(R217),ISNUMBER(R148)),IFERROR(R217/R148,""),"")</f>
        <v/>
      </c>
      <c r="S218" s="39">
        <f>IF(AND(ISNUMBER(S217),ISNUMBER(S148)),IFERROR(S217/S148,""),"")</f>
        <v/>
      </c>
      <c r="T218" s="39">
        <f>IF(AND(ISNUMBER(T217),ISNUMBER(T148)),IFERROR(T217/T148,""),"")</f>
        <v/>
      </c>
      <c r="U218" s="39">
        <f>IF(AND(ISNUMBER(U217),ISNUMBER(U148)),IFERROR(U217/U148,""),"")</f>
        <v/>
      </c>
      <c r="V218" s="39">
        <f>IF(AND(ISNUMBER(V217),ISNUMBER(V148)),IFERROR(V217/V148,""),"")</f>
        <v/>
      </c>
      <c r="W218" s="39">
        <f>IF(AND(ISNUMBER(W217),ISNUMBER(W148)),IFERROR(W217/W148,""),"")</f>
        <v/>
      </c>
      <c r="X218" s="39">
        <f>IF(AND(ISNUMBER(X217),ISNUMBER(X148)),IFERROR(X217/X148,""),"")</f>
        <v/>
      </c>
      <c r="Y218" s="39">
        <f>IF(AND(ISNUMBER(Y217),ISNUMBER(Y148)),IFERROR(Y217/Y148,""),"")</f>
        <v/>
      </c>
      <c r="Z218" s="39">
        <f>IF(AND(ISNUMBER(Z217),ISNUMBER(Z148)),IFERROR(Z217/Z148,""),"")</f>
        <v/>
      </c>
      <c r="AA218" s="39">
        <f>IF(AND(ISNUMBER(AA217),ISNUMBER(AA148)),IFERROR(AA217/AA148,""),"")</f>
        <v/>
      </c>
      <c r="AB218" s="39">
        <f>IF(AND(ISNUMBER(AB217),ISNUMBER(AB148)),IFERROR(AB217/AB148,""),"")</f>
        <v/>
      </c>
      <c r="AC218" s="39">
        <f>IF(AND(ISNUMBER(AC217),ISNUMBER(AC148)),IFERROR(AC217/AC148,""),"")</f>
        <v/>
      </c>
      <c r="AD218" s="39">
        <f>IF(AND(ISNUMBER(AD217),ISNUMBER(AD148)),IFERROR(AD217/AD148,""),"")</f>
        <v/>
      </c>
      <c r="AE218" s="39">
        <f>IF(AND(ISNUMBER(AE217),ISNUMBER(AE148)),IFERROR(AE217/AE148,""),"")</f>
        <v/>
      </c>
      <c r="AF218" s="39">
        <f>IF(AND(ISNUMBER(AF217),ISNUMBER(AF148)),IFERROR(AF217/AF148,""),"")</f>
        <v/>
      </c>
      <c r="AG218" s="39">
        <f>IF(AND(ISNUMBER(AG217),ISNUMBER(AG148)),IFERROR(AG217/AG148,""),"")</f>
        <v/>
      </c>
      <c r="AH218" s="39">
        <f>IF(AND(ISNUMBER(AH217),ISNUMBER(AH148)),IFERROR(AH217/AH148,""),"")</f>
        <v/>
      </c>
      <c r="AI218" s="39">
        <f>IF(AND(ISNUMBER(AI217),ISNUMBER(AI148)),IFERROR(AI217/AI148,""),"")</f>
        <v/>
      </c>
      <c r="AJ218" s="39">
        <f>IF(AND(ISNUMBER(AJ217),ISNUMBER(AJ148)),IFERROR(AJ217/AJ148,""),"")</f>
        <v/>
      </c>
      <c r="AK218" s="39">
        <f>IF(AND(ISNUMBER(AK217),ISNUMBER(AK148)),IFERROR(AK217/AK148,""),"")</f>
        <v/>
      </c>
      <c r="AL218" s="39">
        <f>IF(AND(ISNUMBER(AL217),ISNUMBER(AL148)),IFERROR(AL217/AL148,""),"")</f>
        <v/>
      </c>
      <c r="AM218" s="39">
        <f>IF(AND(ISNUMBER(AM217),ISNUMBER(AM148)),IFERROR(AM217/AM148,""),"")</f>
        <v/>
      </c>
      <c r="AN218" s="39">
        <f>IF(AND(ISNUMBER(AN217),ISNUMBER(AN148)),IFERROR(AN217/AN148,""),"")</f>
        <v/>
      </c>
      <c r="AO218" s="39">
        <f>IF(AND(ISNUMBER(AO217),ISNUMBER(AO148)),IFERROR(AO217/AO148,""),"")</f>
        <v/>
      </c>
      <c r="AP218" s="39">
        <f>IF(AND(ISNUMBER(AP217),ISNUMBER(AP148)),IFERROR(AP217/AP148,""),"")</f>
        <v/>
      </c>
      <c r="AQ218" s="39">
        <f>IF(AND(ISNUMBER(AQ217),ISNUMBER(AQ148)),IFERROR(AQ217/AQ148,""),"")</f>
        <v/>
      </c>
      <c r="AR218" s="39">
        <f>IF(AND(ISNUMBER(AR217),ISNUMBER(AR148)),IFERROR(AR217/AR148,""),"")</f>
        <v/>
      </c>
      <c r="AS218" s="39">
        <f>IF(AND(ISNUMBER(AS217),ISNUMBER(AS148)),IFERROR(AS217/AS148,""),"")</f>
        <v/>
      </c>
      <c r="AT218" s="39">
        <f>IF(AND(ISNUMBER(AT217),ISNUMBER(AT148)),IFERROR(AT217/AT148,""),"")</f>
        <v/>
      </c>
      <c r="AU218" s="25">
        <f>IFERROR(AU217/AU148,"")</f>
        <v/>
      </c>
      <c r="AV218" s="25">
        <f>IFERROR(AV217/AV148,"")</f>
        <v/>
      </c>
      <c r="AW218" s="25">
        <f>IFERROR(AW217/AW148,"")</f>
        <v/>
      </c>
      <c r="AX218" s="25">
        <f>IFERROR(AX217/AX148,"")</f>
        <v/>
      </c>
      <c r="AY218" s="25">
        <f>IFERROR(AY217/AY148,"")</f>
        <v/>
      </c>
      <c r="AZ218" s="25">
        <f>IFERROR(AZ217/AZ148,"")</f>
        <v/>
      </c>
      <c r="BA218" s="25">
        <f>IFERROR(BA217/BA148,"")</f>
        <v/>
      </c>
      <c r="BB218" s="26" t="n"/>
    </row>
    <row r="220">
      <c r="B220" s="10" t="inlineStr">
        <is>
          <t>RECONCILIATION: GAAP NET INCOME / DILUTED EPS → NON-GAAP NET INCOME / NON-GAAP EPS (company definition from Q1/26; recast to Q1/24; model definition before)</t>
        </is>
      </c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n"/>
      <c r="AN220" s="10" t="n"/>
      <c r="AO220" s="10" t="n"/>
      <c r="AP220" s="10" t="n"/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0" t="inlineStr">
        <is>
          <t>NON-GAAP EPS — company publishes from Q4/25 (recast Q1/24–Q3/25); model applies one definition to all periods (21% tax before 2024)</t>
        </is>
      </c>
    </row>
    <row r="221">
      <c r="B221" s="16" t="inlineStr">
        <is>
          <t>Net income (loss) attributable to Uber Technologies, Inc. (GAAP)</t>
        </is>
      </c>
      <c r="C221" s="36">
        <f>C168</f>
        <v/>
      </c>
      <c r="D221" s="36">
        <f>D168</f>
        <v/>
      </c>
      <c r="E221" s="36">
        <f>E168</f>
        <v/>
      </c>
      <c r="F221" s="36">
        <f>F168</f>
        <v/>
      </c>
      <c r="G221" s="36">
        <f>G168</f>
        <v/>
      </c>
      <c r="H221" s="36">
        <f>H168</f>
        <v/>
      </c>
      <c r="I221" s="36">
        <f>I168</f>
        <v/>
      </c>
      <c r="J221" s="36">
        <f>J168</f>
        <v/>
      </c>
      <c r="K221" s="36">
        <f>K168</f>
        <v/>
      </c>
      <c r="L221" s="36">
        <f>L168</f>
        <v/>
      </c>
      <c r="M221" s="36">
        <f>M168</f>
        <v/>
      </c>
      <c r="N221" s="36">
        <f>N168</f>
        <v/>
      </c>
      <c r="O221" s="36">
        <f>O168</f>
        <v/>
      </c>
      <c r="P221" s="36">
        <f>P168</f>
        <v/>
      </c>
      <c r="Q221" s="36">
        <f>Q168</f>
        <v/>
      </c>
      <c r="R221" s="36">
        <f>R168</f>
        <v/>
      </c>
      <c r="S221" s="36">
        <f>S168</f>
        <v/>
      </c>
      <c r="T221" s="36">
        <f>T168</f>
        <v/>
      </c>
      <c r="U221" s="36">
        <f>U168</f>
        <v/>
      </c>
      <c r="V221" s="36">
        <f>V168</f>
        <v/>
      </c>
      <c r="W221" s="36">
        <f>W168</f>
        <v/>
      </c>
      <c r="X221" s="36">
        <f>X168</f>
        <v/>
      </c>
      <c r="Y221" s="36">
        <f>Y168</f>
        <v/>
      </c>
      <c r="Z221" s="36">
        <f>Z168</f>
        <v/>
      </c>
      <c r="AA221" s="36">
        <f>AA168</f>
        <v/>
      </c>
      <c r="AB221" s="36">
        <f>AB168</f>
        <v/>
      </c>
      <c r="AC221" s="36">
        <f>AC168</f>
        <v/>
      </c>
      <c r="AD221" s="36">
        <f>AD168</f>
        <v/>
      </c>
      <c r="AE221" s="36">
        <f>AE168</f>
        <v/>
      </c>
      <c r="AF221" s="36">
        <f>AF168</f>
        <v/>
      </c>
      <c r="AG221" s="36">
        <f>AG168</f>
        <v/>
      </c>
      <c r="AH221" s="36">
        <f>AH168</f>
        <v/>
      </c>
      <c r="AI221" s="36">
        <f>AI168</f>
        <v/>
      </c>
      <c r="AJ221" s="36">
        <f>AJ168</f>
        <v/>
      </c>
      <c r="AK221" s="36">
        <f>AK168</f>
        <v/>
      </c>
      <c r="AL221" s="36">
        <f>AL168</f>
        <v/>
      </c>
      <c r="AM221" s="36">
        <f>AM168</f>
        <v/>
      </c>
      <c r="AN221" s="36">
        <f>AN168</f>
        <v/>
      </c>
      <c r="AO221" s="36">
        <f>AO168</f>
        <v/>
      </c>
      <c r="AP221" s="36">
        <f>AP168</f>
        <v/>
      </c>
      <c r="AQ221" s="36">
        <f>AQ168</f>
        <v/>
      </c>
      <c r="AR221" s="36">
        <f>AR168</f>
        <v/>
      </c>
      <c r="AS221" s="36">
        <f>AS168</f>
        <v/>
      </c>
      <c r="AT221" s="36">
        <f>AT168</f>
        <v/>
      </c>
      <c r="AU221" s="18">
        <f>AU168</f>
        <v/>
      </c>
      <c r="AV221" s="18">
        <f>AV168</f>
        <v/>
      </c>
      <c r="AW221" s="18">
        <f>AW168</f>
        <v/>
      </c>
      <c r="AX221" s="18">
        <f>AX168</f>
        <v/>
      </c>
      <c r="AY221" s="18">
        <f>AY168</f>
        <v/>
      </c>
      <c r="AZ221" s="18">
        <f>AZ168</f>
        <v/>
      </c>
      <c r="BA221" s="18">
        <f>BA168</f>
        <v/>
      </c>
      <c r="BB221" s="26" t="n"/>
    </row>
    <row r="222">
      <c r="B222" s="27" t="inlineStr">
        <is>
          <t xml:space="preserve">  (+) Adjustments excluded from Non-GAAP Operating Income</t>
        </is>
      </c>
      <c r="C222" s="43">
        <f>C212-C157</f>
        <v/>
      </c>
      <c r="D222" s="43">
        <f>D212-D157</f>
        <v/>
      </c>
      <c r="E222" s="43">
        <f>E212-E157</f>
        <v/>
      </c>
      <c r="F222" s="43">
        <f>F212-F157</f>
        <v/>
      </c>
      <c r="G222" s="43">
        <f>G212-G157</f>
        <v/>
      </c>
      <c r="H222" s="43">
        <f>H212-H157</f>
        <v/>
      </c>
      <c r="I222" s="43">
        <f>I212-I157</f>
        <v/>
      </c>
      <c r="J222" s="43">
        <f>J212-J157</f>
        <v/>
      </c>
      <c r="K222" s="43">
        <f>K212-K157</f>
        <v/>
      </c>
      <c r="L222" s="43">
        <f>L212-L157</f>
        <v/>
      </c>
      <c r="M222" s="43">
        <f>M212-M157</f>
        <v/>
      </c>
      <c r="N222" s="43">
        <f>N212-N157</f>
        <v/>
      </c>
      <c r="O222" s="43">
        <f>O212-O157</f>
        <v/>
      </c>
      <c r="P222" s="43">
        <f>P212-P157</f>
        <v/>
      </c>
      <c r="Q222" s="43">
        <f>Q212-Q157</f>
        <v/>
      </c>
      <c r="R222" s="43">
        <f>R212-R157</f>
        <v/>
      </c>
      <c r="S222" s="43">
        <f>S212-S157</f>
        <v/>
      </c>
      <c r="T222" s="43">
        <f>T212-T157</f>
        <v/>
      </c>
      <c r="U222" s="43">
        <f>U212-U157</f>
        <v/>
      </c>
      <c r="V222" s="43">
        <f>V212-V157</f>
        <v/>
      </c>
      <c r="W222" s="43">
        <f>W212-W157</f>
        <v/>
      </c>
      <c r="X222" s="43">
        <f>X212-X157</f>
        <v/>
      </c>
      <c r="Y222" s="43">
        <f>Y212-Y157</f>
        <v/>
      </c>
      <c r="Z222" s="43">
        <f>Z212-Z157</f>
        <v/>
      </c>
      <c r="AA222" s="43">
        <f>AA212-AA157</f>
        <v/>
      </c>
      <c r="AB222" s="43">
        <f>AB212-AB157</f>
        <v/>
      </c>
      <c r="AC222" s="43">
        <f>AC212-AC157</f>
        <v/>
      </c>
      <c r="AD222" s="43">
        <f>AD212-AD157</f>
        <v/>
      </c>
      <c r="AE222" s="43">
        <f>AE212-AE157</f>
        <v/>
      </c>
      <c r="AF222" s="43">
        <f>AF212-AF157</f>
        <v/>
      </c>
      <c r="AG222" s="43">
        <f>AG212-AG157</f>
        <v/>
      </c>
      <c r="AH222" s="43">
        <f>AH212-AH157</f>
        <v/>
      </c>
      <c r="AI222" s="43">
        <f>AI212-AI157</f>
        <v/>
      </c>
      <c r="AJ222" s="43">
        <f>AJ212-AJ157</f>
        <v/>
      </c>
      <c r="AK222" s="43">
        <f>AK212-AK157</f>
        <v/>
      </c>
      <c r="AL222" s="43">
        <f>AL212-AL157</f>
        <v/>
      </c>
      <c r="AM222" s="43">
        <f>AM212-AM157</f>
        <v/>
      </c>
      <c r="AN222" s="43">
        <f>AN212-AN157</f>
        <v/>
      </c>
      <c r="AO222" s="43">
        <f>AO212-AO157</f>
        <v/>
      </c>
      <c r="AP222" s="43">
        <f>AP212-AP157</f>
        <v/>
      </c>
      <c r="AQ222" s="43">
        <f>AQ212-AQ157</f>
        <v/>
      </c>
      <c r="AR222" s="43">
        <f>AR212-AR157</f>
        <v/>
      </c>
      <c r="AS222" s="43">
        <f>AS212-AS157</f>
        <v/>
      </c>
      <c r="AT222" s="43">
        <f>AT212-AT157</f>
        <v/>
      </c>
      <c r="AU222" s="45">
        <f>AU212-AU157</f>
        <v/>
      </c>
      <c r="AV222" s="45">
        <f>AV212-AV157</f>
        <v/>
      </c>
      <c r="AW222" s="45">
        <f>AW212-AW157</f>
        <v/>
      </c>
      <c r="AX222" s="45">
        <f>AX212-AX157</f>
        <v/>
      </c>
      <c r="AY222" s="45">
        <f>AY212-AY157</f>
        <v/>
      </c>
      <c r="AZ222" s="45">
        <f>AZ212-AZ157</f>
        <v/>
      </c>
      <c r="BA222" s="45">
        <f>BA212-BA157</f>
        <v/>
      </c>
      <c r="BB222" s="26" t="n"/>
    </row>
    <row r="223">
      <c r="B223" s="27" t="inlineStr">
        <is>
          <t xml:space="preserve">  (+) Other (income) expense, net</t>
        </is>
      </c>
      <c r="C223" s="43">
        <f>-C160</f>
        <v/>
      </c>
      <c r="D223" s="43">
        <f>-D160</f>
        <v/>
      </c>
      <c r="E223" s="43">
        <f>-E160</f>
        <v/>
      </c>
      <c r="F223" s="43">
        <f>-F160</f>
        <v/>
      </c>
      <c r="G223" s="43">
        <f>-G160</f>
        <v/>
      </c>
      <c r="H223" s="43">
        <f>-H160</f>
        <v/>
      </c>
      <c r="I223" s="43">
        <f>-I160</f>
        <v/>
      </c>
      <c r="J223" s="43">
        <f>-J160</f>
        <v/>
      </c>
      <c r="K223" s="43">
        <f>-K160</f>
        <v/>
      </c>
      <c r="L223" s="43">
        <f>-L160</f>
        <v/>
      </c>
      <c r="M223" s="43">
        <f>-M160</f>
        <v/>
      </c>
      <c r="N223" s="43">
        <f>-N160</f>
        <v/>
      </c>
      <c r="O223" s="43">
        <f>-O160</f>
        <v/>
      </c>
      <c r="P223" s="43">
        <f>-P160</f>
        <v/>
      </c>
      <c r="Q223" s="43">
        <f>-Q160</f>
        <v/>
      </c>
      <c r="R223" s="43">
        <f>-R160</f>
        <v/>
      </c>
      <c r="S223" s="43">
        <f>-S160</f>
        <v/>
      </c>
      <c r="T223" s="43">
        <f>-T160</f>
        <v/>
      </c>
      <c r="U223" s="43">
        <f>-U160</f>
        <v/>
      </c>
      <c r="V223" s="43">
        <f>-V160</f>
        <v/>
      </c>
      <c r="W223" s="43">
        <f>-W160</f>
        <v/>
      </c>
      <c r="X223" s="43">
        <f>-X160</f>
        <v/>
      </c>
      <c r="Y223" s="43">
        <f>-Y160</f>
        <v/>
      </c>
      <c r="Z223" s="43">
        <f>-Z160</f>
        <v/>
      </c>
      <c r="AA223" s="43">
        <f>-AA160</f>
        <v/>
      </c>
      <c r="AB223" s="43">
        <f>-AB160</f>
        <v/>
      </c>
      <c r="AC223" s="43">
        <f>-AC160</f>
        <v/>
      </c>
      <c r="AD223" s="43">
        <f>-AD160</f>
        <v/>
      </c>
      <c r="AE223" s="43">
        <f>-AE160</f>
        <v/>
      </c>
      <c r="AF223" s="43">
        <f>-AF160</f>
        <v/>
      </c>
      <c r="AG223" s="43">
        <f>-AG160</f>
        <v/>
      </c>
      <c r="AH223" s="43">
        <f>-AH160</f>
        <v/>
      </c>
      <c r="AI223" s="43">
        <f>-AI160</f>
        <v/>
      </c>
      <c r="AJ223" s="43">
        <f>-AJ160</f>
        <v/>
      </c>
      <c r="AK223" s="43">
        <f>-AK160</f>
        <v/>
      </c>
      <c r="AL223" s="43">
        <f>-AL160</f>
        <v/>
      </c>
      <c r="AM223" s="43">
        <f>-AM160</f>
        <v/>
      </c>
      <c r="AN223" s="43">
        <f>-AN160</f>
        <v/>
      </c>
      <c r="AO223" s="43">
        <f>-AO160</f>
        <v/>
      </c>
      <c r="AP223" s="43">
        <f>-AP160</f>
        <v/>
      </c>
      <c r="AQ223" s="43">
        <f>-AQ160</f>
        <v/>
      </c>
      <c r="AR223" s="43">
        <f>-AR160</f>
        <v/>
      </c>
      <c r="AS223" s="43">
        <f>-AS160</f>
        <v/>
      </c>
      <c r="AT223" s="43">
        <f>-AT160</f>
        <v/>
      </c>
      <c r="AU223" s="45">
        <f>-AU160</f>
        <v/>
      </c>
      <c r="AV223" s="45">
        <f>-AV160</f>
        <v/>
      </c>
      <c r="AW223" s="45">
        <f>-AW160</f>
        <v/>
      </c>
      <c r="AX223" s="45">
        <f>-AX160</f>
        <v/>
      </c>
      <c r="AY223" s="45">
        <f>-AY160</f>
        <v/>
      </c>
      <c r="AZ223" s="45">
        <f>-AZ160</f>
        <v/>
      </c>
      <c r="BA223" s="45">
        <f>-BA160</f>
        <v/>
      </c>
      <c r="BB223" s="26" t="n"/>
    </row>
    <row r="224">
      <c r="B224" s="27" t="inlineStr">
        <is>
          <t xml:space="preserve">  (+) Loss (income) from equity method investments</t>
        </is>
      </c>
      <c r="C224" s="43">
        <f>-C164</f>
        <v/>
      </c>
      <c r="D224" s="43">
        <f>-D164</f>
        <v/>
      </c>
      <c r="E224" s="43">
        <f>-E164</f>
        <v/>
      </c>
      <c r="F224" s="43">
        <f>-F164</f>
        <v/>
      </c>
      <c r="G224" s="43">
        <f>-G164</f>
        <v/>
      </c>
      <c r="H224" s="43">
        <f>-H164</f>
        <v/>
      </c>
      <c r="I224" s="43">
        <f>-I164</f>
        <v/>
      </c>
      <c r="J224" s="43">
        <f>-J164</f>
        <v/>
      </c>
      <c r="K224" s="43">
        <f>-K164</f>
        <v/>
      </c>
      <c r="L224" s="43">
        <f>-L164</f>
        <v/>
      </c>
      <c r="M224" s="43">
        <f>-M164</f>
        <v/>
      </c>
      <c r="N224" s="43">
        <f>-N164</f>
        <v/>
      </c>
      <c r="O224" s="43">
        <f>-O164</f>
        <v/>
      </c>
      <c r="P224" s="43">
        <f>-P164</f>
        <v/>
      </c>
      <c r="Q224" s="43">
        <f>-Q164</f>
        <v/>
      </c>
      <c r="R224" s="43">
        <f>-R164</f>
        <v/>
      </c>
      <c r="S224" s="43">
        <f>-S164</f>
        <v/>
      </c>
      <c r="T224" s="43">
        <f>-T164</f>
        <v/>
      </c>
      <c r="U224" s="43">
        <f>-U164</f>
        <v/>
      </c>
      <c r="V224" s="43">
        <f>-V164</f>
        <v/>
      </c>
      <c r="W224" s="43">
        <f>-W164</f>
        <v/>
      </c>
      <c r="X224" s="43">
        <f>-X164</f>
        <v/>
      </c>
      <c r="Y224" s="43">
        <f>-Y164</f>
        <v/>
      </c>
      <c r="Z224" s="43">
        <f>-Z164</f>
        <v/>
      </c>
      <c r="AA224" s="43">
        <f>-AA164</f>
        <v/>
      </c>
      <c r="AB224" s="43">
        <f>-AB164</f>
        <v/>
      </c>
      <c r="AC224" s="43">
        <f>-AC164</f>
        <v/>
      </c>
      <c r="AD224" s="43">
        <f>-AD164</f>
        <v/>
      </c>
      <c r="AE224" s="43">
        <f>-AE164</f>
        <v/>
      </c>
      <c r="AF224" s="43">
        <f>-AF164</f>
        <v/>
      </c>
      <c r="AG224" s="43">
        <f>-AG164</f>
        <v/>
      </c>
      <c r="AH224" s="43">
        <f>-AH164</f>
        <v/>
      </c>
      <c r="AI224" s="43">
        <f>-AI164</f>
        <v/>
      </c>
      <c r="AJ224" s="43">
        <f>-AJ164</f>
        <v/>
      </c>
      <c r="AK224" s="43">
        <f>-AK164</f>
        <v/>
      </c>
      <c r="AL224" s="43">
        <f>-AL164</f>
        <v/>
      </c>
      <c r="AM224" s="43">
        <f>-AM164</f>
        <v/>
      </c>
      <c r="AN224" s="43">
        <f>-AN164</f>
        <v/>
      </c>
      <c r="AO224" s="43">
        <f>-AO164</f>
        <v/>
      </c>
      <c r="AP224" s="43">
        <f>-AP164</f>
        <v/>
      </c>
      <c r="AQ224" s="43">
        <f>-AQ164</f>
        <v/>
      </c>
      <c r="AR224" s="43">
        <f>-AR164</f>
        <v/>
      </c>
      <c r="AS224" s="43">
        <f>-AS164</f>
        <v/>
      </c>
      <c r="AT224" s="43">
        <f>-AT164</f>
        <v/>
      </c>
      <c r="AU224" s="45">
        <f>-AU164</f>
        <v/>
      </c>
      <c r="AV224" s="45">
        <f>-AV164</f>
        <v/>
      </c>
      <c r="AW224" s="45">
        <f>-AW164</f>
        <v/>
      </c>
      <c r="AX224" s="45">
        <f>-AX164</f>
        <v/>
      </c>
      <c r="AY224" s="45">
        <f>-AY164</f>
        <v/>
      </c>
      <c r="AZ224" s="45">
        <f>-AZ164</f>
        <v/>
      </c>
      <c r="BA224" s="45">
        <f>-BA164</f>
        <v/>
      </c>
      <c r="BB224" s="26" t="n"/>
    </row>
    <row r="225">
      <c r="B225" s="27" t="inlineStr">
        <is>
          <t xml:space="preserve">  (−) Income from discontinued operations</t>
        </is>
      </c>
      <c r="C225" s="43">
        <f>-N(C165)</f>
        <v/>
      </c>
      <c r="D225" s="43">
        <f>-N(D165)</f>
        <v/>
      </c>
      <c r="E225" s="43">
        <f>-N(E165)</f>
        <v/>
      </c>
      <c r="F225" s="43">
        <f>-N(F165)</f>
        <v/>
      </c>
      <c r="G225" s="43">
        <f>-N(G165)</f>
        <v/>
      </c>
      <c r="H225" s="43">
        <f>-N(H165)</f>
        <v/>
      </c>
      <c r="I225" s="43">
        <f>-N(I165)</f>
        <v/>
      </c>
      <c r="J225" s="43">
        <f>-N(J165)</f>
        <v/>
      </c>
      <c r="K225" s="43">
        <f>-N(K165)</f>
        <v/>
      </c>
      <c r="L225" s="43">
        <f>-N(L165)</f>
        <v/>
      </c>
      <c r="M225" s="43">
        <f>-N(M165)</f>
        <v/>
      </c>
      <c r="N225" s="43">
        <f>-N(N165)</f>
        <v/>
      </c>
      <c r="O225" s="43">
        <f>-N(O165)</f>
        <v/>
      </c>
      <c r="P225" s="43">
        <f>-N(P165)</f>
        <v/>
      </c>
      <c r="Q225" s="43">
        <f>-N(Q165)</f>
        <v/>
      </c>
      <c r="R225" s="43">
        <f>-N(R165)</f>
        <v/>
      </c>
      <c r="S225" s="43">
        <f>-N(S165)</f>
        <v/>
      </c>
      <c r="T225" s="43">
        <f>-N(T165)</f>
        <v/>
      </c>
      <c r="U225" s="43">
        <f>-N(U165)</f>
        <v/>
      </c>
      <c r="V225" s="43">
        <f>-N(V165)</f>
        <v/>
      </c>
      <c r="W225" s="43">
        <f>-N(W165)</f>
        <v/>
      </c>
      <c r="X225" s="43">
        <f>-N(X165)</f>
        <v/>
      </c>
      <c r="Y225" s="43">
        <f>-N(Y165)</f>
        <v/>
      </c>
      <c r="Z225" s="43">
        <f>-N(Z165)</f>
        <v/>
      </c>
      <c r="AA225" s="43">
        <f>-N(AA165)</f>
        <v/>
      </c>
      <c r="AB225" s="43">
        <f>-N(AB165)</f>
        <v/>
      </c>
      <c r="AC225" s="43">
        <f>-N(AC165)</f>
        <v/>
      </c>
      <c r="AD225" s="43">
        <f>-N(AD165)</f>
        <v/>
      </c>
      <c r="AE225" s="43">
        <f>-N(AE165)</f>
        <v/>
      </c>
      <c r="AF225" s="43">
        <f>-N(AF165)</f>
        <v/>
      </c>
      <c r="AG225" s="43">
        <f>-N(AG165)</f>
        <v/>
      </c>
      <c r="AH225" s="43">
        <f>-N(AH165)</f>
        <v/>
      </c>
      <c r="AI225" s="43">
        <f>-N(AI165)</f>
        <v/>
      </c>
      <c r="AJ225" s="43">
        <f>-N(AJ165)</f>
        <v/>
      </c>
      <c r="AK225" s="43">
        <f>-N(AK165)</f>
        <v/>
      </c>
      <c r="AL225" s="43">
        <f>-N(AL165)</f>
        <v/>
      </c>
      <c r="AM225" s="43">
        <f>-N(AM165)</f>
        <v/>
      </c>
      <c r="AN225" s="43">
        <f>-N(AN165)</f>
        <v/>
      </c>
      <c r="AO225" s="43">
        <f>-N(AO165)</f>
        <v/>
      </c>
      <c r="AP225" s="43">
        <f>-N(AP165)</f>
        <v/>
      </c>
      <c r="AQ225" s="43">
        <f>-N(AQ165)</f>
        <v/>
      </c>
      <c r="AR225" s="43">
        <f>-N(AR165)</f>
        <v/>
      </c>
      <c r="AS225" s="43">
        <f>-N(AS165)</f>
        <v/>
      </c>
      <c r="AT225" s="43">
        <f>-N(AT165)</f>
        <v/>
      </c>
      <c r="AU225" s="47" t="n">
        <v>0</v>
      </c>
      <c r="AV225" s="47" t="n">
        <v>0</v>
      </c>
      <c r="AW225" s="47" t="n">
        <v>0</v>
      </c>
      <c r="AX225" s="47" t="n">
        <v>0</v>
      </c>
      <c r="AY225" s="47" t="n">
        <v>0</v>
      </c>
      <c r="AZ225" s="47" t="n">
        <v>0</v>
      </c>
      <c r="BA225" s="47" t="n">
        <v>0</v>
      </c>
      <c r="BB225" s="26" t="n"/>
    </row>
    <row r="226">
      <c r="B226" s="38" t="inlineStr">
        <is>
          <t xml:space="preserve">  Memo: Non-GAAP pre-tax income (Non-GAAP OI − interest expense + interest income)</t>
        </is>
      </c>
      <c r="C226" s="43">
        <f>C212-C158+C159</f>
        <v/>
      </c>
      <c r="D226" s="43">
        <f>D212-D158+D159</f>
        <v/>
      </c>
      <c r="E226" s="43">
        <f>E212-E158+E159</f>
        <v/>
      </c>
      <c r="F226" s="43">
        <f>F212-F158+F159</f>
        <v/>
      </c>
      <c r="G226" s="43">
        <f>G212-G158+G159</f>
        <v/>
      </c>
      <c r="H226" s="43">
        <f>H212-H158+H159</f>
        <v/>
      </c>
      <c r="I226" s="43">
        <f>I212-I158+I159</f>
        <v/>
      </c>
      <c r="J226" s="43">
        <f>J212-J158+J159</f>
        <v/>
      </c>
      <c r="K226" s="43">
        <f>K212-K158+K159</f>
        <v/>
      </c>
      <c r="L226" s="43">
        <f>L212-L158+L159</f>
        <v/>
      </c>
      <c r="M226" s="43">
        <f>M212-M158+M159</f>
        <v/>
      </c>
      <c r="N226" s="43">
        <f>N212-N158+N159</f>
        <v/>
      </c>
      <c r="O226" s="43">
        <f>O212-O158+O159</f>
        <v/>
      </c>
      <c r="P226" s="43">
        <f>P212-P158+P159</f>
        <v/>
      </c>
      <c r="Q226" s="43">
        <f>Q212-Q158+Q159</f>
        <v/>
      </c>
      <c r="R226" s="43">
        <f>R212-R158+R159</f>
        <v/>
      </c>
      <c r="S226" s="43">
        <f>S212-S158+S159</f>
        <v/>
      </c>
      <c r="T226" s="43">
        <f>T212-T158+T159</f>
        <v/>
      </c>
      <c r="U226" s="43">
        <f>U212-U158+U159</f>
        <v/>
      </c>
      <c r="V226" s="43">
        <f>V212-V158+V159</f>
        <v/>
      </c>
      <c r="W226" s="43">
        <f>W212-W158+W159</f>
        <v/>
      </c>
      <c r="X226" s="43">
        <f>X212-X158+X159</f>
        <v/>
      </c>
      <c r="Y226" s="43">
        <f>Y212-Y158+Y159</f>
        <v/>
      </c>
      <c r="Z226" s="43">
        <f>Z212-Z158+Z159</f>
        <v/>
      </c>
      <c r="AA226" s="43">
        <f>AA212-AA158+AA159</f>
        <v/>
      </c>
      <c r="AB226" s="43">
        <f>AB212-AB158+AB159</f>
        <v/>
      </c>
      <c r="AC226" s="43">
        <f>AC212-AC158+AC159</f>
        <v/>
      </c>
      <c r="AD226" s="43">
        <f>AD212-AD158+AD159</f>
        <v/>
      </c>
      <c r="AE226" s="43">
        <f>AE212-AE158+AE159</f>
        <v/>
      </c>
      <c r="AF226" s="43">
        <f>AF212-AF158+AF159</f>
        <v/>
      </c>
      <c r="AG226" s="43">
        <f>AG212-AG158+AG159</f>
        <v/>
      </c>
      <c r="AH226" s="43">
        <f>AH212-AH158+AH159</f>
        <v/>
      </c>
      <c r="AI226" s="43">
        <f>AI212-AI158+AI159</f>
        <v/>
      </c>
      <c r="AJ226" s="43">
        <f>AJ212-AJ158+AJ159</f>
        <v/>
      </c>
      <c r="AK226" s="43">
        <f>AK212-AK158+AK159</f>
        <v/>
      </c>
      <c r="AL226" s="43">
        <f>AL212-AL158+AL159</f>
        <v/>
      </c>
      <c r="AM226" s="43">
        <f>AM212-AM158+AM159</f>
        <v/>
      </c>
      <c r="AN226" s="43">
        <f>AN212-AN158+AN159</f>
        <v/>
      </c>
      <c r="AO226" s="43">
        <f>AO212-AO158+AO159</f>
        <v/>
      </c>
      <c r="AP226" s="43">
        <f>AP212-AP158+AP159</f>
        <v/>
      </c>
      <c r="AQ226" s="43">
        <f>AQ212-AQ158+AQ159</f>
        <v/>
      </c>
      <c r="AR226" s="43">
        <f>AR212-AR158+AR159</f>
        <v/>
      </c>
      <c r="AS226" s="43">
        <f>AS212-AS158+AS159</f>
        <v/>
      </c>
      <c r="AT226" s="43">
        <f>AT212-AT158+AT159</f>
        <v/>
      </c>
      <c r="AU226" s="45">
        <f>AU212-AU158+AU159</f>
        <v/>
      </c>
      <c r="AV226" s="45">
        <f>AV212-AV158+AV159</f>
        <v/>
      </c>
      <c r="AW226" s="45">
        <f>AW212-AW158+AW159</f>
        <v/>
      </c>
      <c r="AX226" s="45">
        <f>AX212-AX158+AX159</f>
        <v/>
      </c>
      <c r="AY226" s="45">
        <f>AY212-AY158+AY159</f>
        <v/>
      </c>
      <c r="AZ226" s="45">
        <f>AZ212-AZ158+AZ159</f>
        <v/>
      </c>
      <c r="BA226" s="45">
        <f>BA212-BA158+BA159</f>
        <v/>
      </c>
      <c r="BB226" s="26" t="n"/>
    </row>
    <row r="227">
      <c r="B227" s="27" t="inlineStr">
        <is>
          <t xml:space="preserve">  Non-GAAP effective tax rate (company where published; 21% model input before 2024)</t>
        </is>
      </c>
      <c r="C227" s="40" t="n">
        <v>0.21</v>
      </c>
      <c r="D227" s="40" t="n">
        <v>0.21</v>
      </c>
      <c r="E227" s="40" t="n">
        <v>0.21</v>
      </c>
      <c r="F227" s="40" t="n">
        <v>0.21</v>
      </c>
      <c r="G227" s="40" t="n">
        <v>0.21</v>
      </c>
      <c r="H227" s="40" t="n">
        <v>0.21</v>
      </c>
      <c r="I227" s="40" t="n">
        <v>0.21</v>
      </c>
      <c r="J227" s="40" t="n">
        <v>0.21</v>
      </c>
      <c r="K227" s="40" t="n">
        <v>0.21</v>
      </c>
      <c r="L227" s="40" t="n">
        <v>0.21</v>
      </c>
      <c r="M227" s="40" t="n">
        <v>0.21</v>
      </c>
      <c r="N227" s="40" t="n">
        <v>0.21</v>
      </c>
      <c r="O227" s="40" t="n">
        <v>0.21</v>
      </c>
      <c r="P227" s="40" t="n">
        <v>0.21</v>
      </c>
      <c r="Q227" s="40" t="n">
        <v>0.21</v>
      </c>
      <c r="R227" s="40" t="n">
        <v>0.21</v>
      </c>
      <c r="S227" s="40" t="n">
        <v>0.21</v>
      </c>
      <c r="T227" s="40" t="n">
        <v>0.21</v>
      </c>
      <c r="U227" s="40" t="n">
        <v>0.21</v>
      </c>
      <c r="V227" s="40" t="n">
        <v>0.21</v>
      </c>
      <c r="W227" s="40" t="n">
        <v>0.21</v>
      </c>
      <c r="X227" s="40" t="n">
        <v>0.21</v>
      </c>
      <c r="Y227" s="40" t="n">
        <v>0.21</v>
      </c>
      <c r="Z227" s="40" t="n">
        <v>0.21</v>
      </c>
      <c r="AA227" s="40" t="n">
        <v>0.21</v>
      </c>
      <c r="AB227" s="40" t="n">
        <v>0.21</v>
      </c>
      <c r="AC227" s="40" t="n">
        <v>0.21</v>
      </c>
      <c r="AD227" s="40" t="n">
        <v>0.21</v>
      </c>
      <c r="AE227" s="40" t="n">
        <v>0.21</v>
      </c>
      <c r="AF227" s="40" t="n">
        <v>0.21</v>
      </c>
      <c r="AG227" s="40" t="n">
        <v>0.21</v>
      </c>
      <c r="AH227" s="40" t="n">
        <v>0.21</v>
      </c>
      <c r="AI227" s="40" t="n">
        <v>0.1</v>
      </c>
      <c r="AJ227" s="40" t="n">
        <v>0.18</v>
      </c>
      <c r="AK227" s="40" t="n">
        <v>0.08</v>
      </c>
      <c r="AL227" s="40" t="n">
        <v>0.12</v>
      </c>
      <c r="AM227" s="40" t="n">
        <v>0.12</v>
      </c>
      <c r="AN227" s="40" t="n">
        <v>0.23</v>
      </c>
      <c r="AO227" s="40" t="n">
        <v>0.21</v>
      </c>
      <c r="AP227" s="40" t="n">
        <v>0.19</v>
      </c>
      <c r="AQ227" s="40" t="n">
        <v>0.24</v>
      </c>
      <c r="AR227" s="40" t="n">
        <v>0.22</v>
      </c>
      <c r="AS227" s="40" t="n">
        <v>0.23</v>
      </c>
      <c r="AT227" s="40" t="n">
        <v>0.24</v>
      </c>
      <c r="AU227" s="25">
        <f>$BL$16</f>
        <v/>
      </c>
      <c r="AV227" s="25">
        <f>$BL$16</f>
        <v/>
      </c>
      <c r="AW227" s="25">
        <f>IFERROR((AW162-AW228)/AW226,"")</f>
        <v/>
      </c>
      <c r="AX227" s="25">
        <f>AX163</f>
        <v/>
      </c>
      <c r="AY227" s="25">
        <f>AY163</f>
        <v/>
      </c>
      <c r="AZ227" s="25">
        <f>AZ163</f>
        <v/>
      </c>
      <c r="BA227" s="25">
        <f>BA163</f>
        <v/>
      </c>
      <c r="BB227" s="26" t="n"/>
    </row>
    <row r="228">
      <c r="B228" s="27" t="inlineStr">
        <is>
          <t xml:space="preserve">  (+/−) Income tax effects (GAAP tax − Non-GAAP tax on Non-GAAP pre-tax income)</t>
        </is>
      </c>
      <c r="C228" s="43">
        <f>IF(ISNUMBER(C227),C162-MAX(0,C226)*C227,"")</f>
        <v/>
      </c>
      <c r="D228" s="43">
        <f>IF(ISNUMBER(D227),D162-MAX(0,D226)*D227,"")</f>
        <v/>
      </c>
      <c r="E228" s="43">
        <f>IF(ISNUMBER(E227),E162-MAX(0,E226)*E227,"")</f>
        <v/>
      </c>
      <c r="F228" s="43">
        <f>IF(ISNUMBER(F227),F162-MAX(0,F226)*F227,"")</f>
        <v/>
      </c>
      <c r="G228" s="43">
        <f>IF(ISNUMBER(G227),G162-MAX(0,G226)*G227,"")</f>
        <v/>
      </c>
      <c r="H228" s="43">
        <f>IF(ISNUMBER(H227),H162-MAX(0,H226)*H227,"")</f>
        <v/>
      </c>
      <c r="I228" s="43">
        <f>IF(ISNUMBER(I227),I162-MAX(0,I226)*I227,"")</f>
        <v/>
      </c>
      <c r="J228" s="43">
        <f>IF(ISNUMBER(J227),J162-MAX(0,J226)*J227,"")</f>
        <v/>
      </c>
      <c r="K228" s="43">
        <f>IF(ISNUMBER(K227),K162-MAX(0,K226)*K227,"")</f>
        <v/>
      </c>
      <c r="L228" s="43">
        <f>IF(ISNUMBER(L227),L162-MAX(0,L226)*L227,"")</f>
        <v/>
      </c>
      <c r="M228" s="43">
        <f>IF(ISNUMBER(M227),M162-MAX(0,M226)*M227,"")</f>
        <v/>
      </c>
      <c r="N228" s="43">
        <f>IF(ISNUMBER(N227),N162-MAX(0,N226)*N227,"")</f>
        <v/>
      </c>
      <c r="O228" s="43">
        <f>IF(ISNUMBER(O227),O162-MAX(0,O226)*O227,"")</f>
        <v/>
      </c>
      <c r="P228" s="43">
        <f>IF(ISNUMBER(P227),P162-MAX(0,P226)*P227,"")</f>
        <v/>
      </c>
      <c r="Q228" s="43">
        <f>IF(ISNUMBER(Q227),Q162-MAX(0,Q226)*Q227,"")</f>
        <v/>
      </c>
      <c r="R228" s="43">
        <f>IF(ISNUMBER(R227),R162-MAX(0,R226)*R227,"")</f>
        <v/>
      </c>
      <c r="S228" s="43">
        <f>IF(ISNUMBER(S227),S162-MAX(0,S226)*S227,"")</f>
        <v/>
      </c>
      <c r="T228" s="43">
        <f>IF(ISNUMBER(T227),T162-MAX(0,T226)*T227,"")</f>
        <v/>
      </c>
      <c r="U228" s="43">
        <f>IF(ISNUMBER(U227),U162-MAX(0,U226)*U227,"")</f>
        <v/>
      </c>
      <c r="V228" s="43">
        <f>IF(ISNUMBER(V227),V162-MAX(0,V226)*V227,"")</f>
        <v/>
      </c>
      <c r="W228" s="43">
        <f>IF(ISNUMBER(W227),W162-MAX(0,W226)*W227,"")</f>
        <v/>
      </c>
      <c r="X228" s="43">
        <f>IF(ISNUMBER(X227),X162-MAX(0,X226)*X227,"")</f>
        <v/>
      </c>
      <c r="Y228" s="43">
        <f>IF(ISNUMBER(Y227),Y162-MAX(0,Y226)*Y227,"")</f>
        <v/>
      </c>
      <c r="Z228" s="43">
        <f>IF(ISNUMBER(Z227),Z162-MAX(0,Z226)*Z227,"")</f>
        <v/>
      </c>
      <c r="AA228" s="43">
        <f>IF(ISNUMBER(AA227),AA162-MAX(0,AA226)*AA227,"")</f>
        <v/>
      </c>
      <c r="AB228" s="43">
        <f>IF(ISNUMBER(AB227),AB162-MAX(0,AB226)*AB227,"")</f>
        <v/>
      </c>
      <c r="AC228" s="43">
        <f>IF(ISNUMBER(AC227),AC162-MAX(0,AC226)*AC227,"")</f>
        <v/>
      </c>
      <c r="AD228" s="43">
        <f>IF(ISNUMBER(AD227),AD162-MAX(0,AD226)*AD227,"")</f>
        <v/>
      </c>
      <c r="AE228" s="43">
        <f>IF(ISNUMBER(AE227),AE162-MAX(0,AE226)*AE227,"")</f>
        <v/>
      </c>
      <c r="AF228" s="43">
        <f>IF(ISNUMBER(AF227),AF162-MAX(0,AF226)*AF227,"")</f>
        <v/>
      </c>
      <c r="AG228" s="43">
        <f>IF(ISNUMBER(AG227),AG162-MAX(0,AG226)*AG227,"")</f>
        <v/>
      </c>
      <c r="AH228" s="43">
        <f>IF(ISNUMBER(AH227),AH162-MAX(0,AH226)*AH227,"")</f>
        <v/>
      </c>
      <c r="AI228" s="43">
        <f>IF(ISNUMBER(AI227),AI162-MAX(0,AI226)*AI227,"")</f>
        <v/>
      </c>
      <c r="AJ228" s="43">
        <f>IF(ISNUMBER(AJ227),AJ162-MAX(0,AJ226)*AJ227,"")</f>
        <v/>
      </c>
      <c r="AK228" s="43">
        <f>IF(ISNUMBER(AK227),AK162-MAX(0,AK226)*AK227,"")</f>
        <v/>
      </c>
      <c r="AL228" s="43">
        <f>IF(ISNUMBER(AL227),AL162-MAX(0,AL226)*AL227,"")</f>
        <v/>
      </c>
      <c r="AM228" s="43">
        <f>IF(ISNUMBER(AM227),AM162-MAX(0,AM226)*AM227,"")</f>
        <v/>
      </c>
      <c r="AN228" s="43">
        <f>IF(ISNUMBER(AN227),AN162-MAX(0,AN226)*AN227,"")</f>
        <v/>
      </c>
      <c r="AO228" s="43">
        <f>IF(ISNUMBER(AO227),AO162-MAX(0,AO226)*AO227,"")</f>
        <v/>
      </c>
      <c r="AP228" s="43">
        <f>IF(ISNUMBER(AP227),AP162-MAX(0,AP226)*AP227,"")</f>
        <v/>
      </c>
      <c r="AQ228" s="43">
        <f>IF(ISNUMBER(AQ227),AQ162-MAX(0,AQ226)*AQ227,"")</f>
        <v/>
      </c>
      <c r="AR228" s="43">
        <f>IF(ISNUMBER(AR227),AR162-MAX(0,AR226)*AR227,"")</f>
        <v/>
      </c>
      <c r="AS228" s="43">
        <f>IF(ISNUMBER(AS227),AS162-MAX(0,AS226)*AS227,"")</f>
        <v/>
      </c>
      <c r="AT228" s="43">
        <f>IF(ISNUMBER(AT227),AT162-MAX(0,AT226)*AT227,"")</f>
        <v/>
      </c>
      <c r="AU228" s="45">
        <f>AU162-MAX(0,AU226)*AU227</f>
        <v/>
      </c>
      <c r="AV228" s="45">
        <f>AV162-MAX(0,AV226)*AV227</f>
        <v/>
      </c>
      <c r="AW228" s="45">
        <f>SUM(AS228,AT228,AU228,AV228)</f>
        <v/>
      </c>
      <c r="AX228" s="45">
        <f>AX162-MAX(0,AX226)*AX227</f>
        <v/>
      </c>
      <c r="AY228" s="45">
        <f>AY162-MAX(0,AY226)*AY227</f>
        <v/>
      </c>
      <c r="AZ228" s="45">
        <f>AZ162-MAX(0,AZ226)*AZ227</f>
        <v/>
      </c>
      <c r="BA228" s="45">
        <f>BA162-MAX(0,BA226)*BA227</f>
        <v/>
      </c>
      <c r="BB228" s="26" t="n"/>
    </row>
    <row r="229">
      <c r="B229" s="27" t="inlineStr">
        <is>
          <t xml:space="preserve">  (+) Adjustment to redeemable non-controlling interests (2026+)</t>
        </is>
      </c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  <c r="AA229" s="43" t="n"/>
      <c r="AB229" s="43" t="n"/>
      <c r="AC229" s="43" t="n"/>
      <c r="AD229" s="43" t="n"/>
      <c r="AE229" s="43" t="n"/>
      <c r="AF229" s="43" t="n"/>
      <c r="AG229" s="43" t="n"/>
      <c r="AH229" s="43" t="n"/>
      <c r="AI229" s="43" t="n"/>
      <c r="AJ229" s="43" t="n"/>
      <c r="AK229" s="43" t="n"/>
      <c r="AL229" s="43" t="n"/>
      <c r="AM229" s="43" t="n"/>
      <c r="AN229" s="44" t="n">
        <v>0</v>
      </c>
      <c r="AO229" s="44" t="n">
        <v>0</v>
      </c>
      <c r="AP229" s="43" t="n"/>
      <c r="AQ229" s="43" t="n"/>
      <c r="AR229" s="43" t="n"/>
      <c r="AS229" s="44" t="n">
        <v>10</v>
      </c>
      <c r="AT229" s="44" t="n">
        <v>11</v>
      </c>
      <c r="AU229" s="47" t="n">
        <v>0</v>
      </c>
      <c r="AV229" s="47" t="n">
        <v>0</v>
      </c>
      <c r="AW229" s="45">
        <f>SUM(AS229,AT229,AU229,AV229)</f>
        <v/>
      </c>
      <c r="AX229" s="47" t="n">
        <v>0</v>
      </c>
      <c r="AY229" s="47" t="n">
        <v>0</v>
      </c>
      <c r="AZ229" s="47" t="n">
        <v>0</v>
      </c>
      <c r="BA229" s="47" t="n">
        <v>0</v>
      </c>
      <c r="BB229" s="26" t="n"/>
    </row>
    <row r="230">
      <c r="B230" s="27" t="inlineStr">
        <is>
          <t xml:space="preserve">  (+/−) Other company-defined items &amp; rounding (periods with published Non-GAAP NI)</t>
        </is>
      </c>
      <c r="C230" s="43">
        <f>IF(ISNUMBER(C232),C232-(C221+C222+C223+C224+C225+N(C228)+N(C229)),0)</f>
        <v/>
      </c>
      <c r="D230" s="43">
        <f>IF(ISNUMBER(D232),D232-(D221+D222+D223+D224+D225+N(D228)+N(D229)),0)</f>
        <v/>
      </c>
      <c r="E230" s="43">
        <f>IF(ISNUMBER(E232),E232-(E221+E222+E223+E224+E225+N(E228)+N(E229)),0)</f>
        <v/>
      </c>
      <c r="F230" s="43">
        <f>IF(ISNUMBER(F232),F232-(F221+F222+F223+F224+F225+N(F228)+N(F229)),0)</f>
        <v/>
      </c>
      <c r="G230" s="43">
        <f>IF(ISNUMBER(G232),G232-(G221+G222+G223+G224+G225+N(G228)+N(G229)),0)</f>
        <v/>
      </c>
      <c r="H230" s="43">
        <f>IF(ISNUMBER(H232),H232-(H221+H222+H223+H224+H225+N(H228)+N(H229)),0)</f>
        <v/>
      </c>
      <c r="I230" s="43">
        <f>IF(ISNUMBER(I232),I232-(I221+I222+I223+I224+I225+N(I228)+N(I229)),0)</f>
        <v/>
      </c>
      <c r="J230" s="43">
        <f>IF(ISNUMBER(J232),J232-(J221+J222+J223+J224+J225+N(J228)+N(J229)),0)</f>
        <v/>
      </c>
      <c r="K230" s="43">
        <f>IF(ISNUMBER(K232),K232-(K221+K222+K223+K224+K225+N(K228)+N(K229)),0)</f>
        <v/>
      </c>
      <c r="L230" s="43">
        <f>IF(ISNUMBER(L232),L232-(L221+L222+L223+L224+L225+N(L228)+N(L229)),0)</f>
        <v/>
      </c>
      <c r="M230" s="43">
        <f>IF(ISNUMBER(M232),M232-(M221+M222+M223+M224+M225+N(M228)+N(M229)),0)</f>
        <v/>
      </c>
      <c r="N230" s="43">
        <f>IF(ISNUMBER(N232),N232-(N221+N222+N223+N224+N225+N(N228)+N(N229)),0)</f>
        <v/>
      </c>
      <c r="O230" s="43">
        <f>IF(ISNUMBER(O232),O232-(O221+O222+O223+O224+O225+N(O228)+N(O229)),0)</f>
        <v/>
      </c>
      <c r="P230" s="43">
        <f>IF(ISNUMBER(P232),P232-(P221+P222+P223+P224+P225+N(P228)+N(P229)),0)</f>
        <v/>
      </c>
      <c r="Q230" s="43">
        <f>IF(ISNUMBER(Q232),Q232-(Q221+Q222+Q223+Q224+Q225+N(Q228)+N(Q229)),0)</f>
        <v/>
      </c>
      <c r="R230" s="43">
        <f>IF(ISNUMBER(R232),R232-(R221+R222+R223+R224+R225+N(R228)+N(R229)),0)</f>
        <v/>
      </c>
      <c r="S230" s="43">
        <f>IF(ISNUMBER(S232),S232-(S221+S222+S223+S224+S225+N(S228)+N(S229)),0)</f>
        <v/>
      </c>
      <c r="T230" s="43">
        <f>IF(ISNUMBER(T232),T232-(T221+T222+T223+T224+T225+N(T228)+N(T229)),0)</f>
        <v/>
      </c>
      <c r="U230" s="43">
        <f>IF(ISNUMBER(U232),U232-(U221+U222+U223+U224+U225+N(U228)+N(U229)),0)</f>
        <v/>
      </c>
      <c r="V230" s="43">
        <f>IF(ISNUMBER(V232),V232-(V221+V222+V223+V224+V225+N(V228)+N(V229)),0)</f>
        <v/>
      </c>
      <c r="W230" s="43">
        <f>IF(ISNUMBER(W232),W232-(W221+W222+W223+W224+W225+N(W228)+N(W229)),0)</f>
        <v/>
      </c>
      <c r="X230" s="43">
        <f>IF(ISNUMBER(X232),X232-(X221+X222+X223+X224+X225+N(X228)+N(X229)),0)</f>
        <v/>
      </c>
      <c r="Y230" s="43">
        <f>IF(ISNUMBER(Y232),Y232-(Y221+Y222+Y223+Y224+Y225+N(Y228)+N(Y229)),0)</f>
        <v/>
      </c>
      <c r="Z230" s="43">
        <f>IF(ISNUMBER(Z232),Z232-(Z221+Z222+Z223+Z224+Z225+N(Z228)+N(Z229)),0)</f>
        <v/>
      </c>
      <c r="AA230" s="43">
        <f>IF(ISNUMBER(AA232),AA232-(AA221+AA222+AA223+AA224+AA225+N(AA228)+N(AA229)),0)</f>
        <v/>
      </c>
      <c r="AB230" s="43">
        <f>IF(ISNUMBER(AB232),AB232-(AB221+AB222+AB223+AB224+AB225+N(AB228)+N(AB229)),0)</f>
        <v/>
      </c>
      <c r="AC230" s="43">
        <f>IF(ISNUMBER(AC232),AC232-(AC221+AC222+AC223+AC224+AC225+N(AC228)+N(AC229)),0)</f>
        <v/>
      </c>
      <c r="AD230" s="43">
        <f>IF(ISNUMBER(AD232),AD232-(AD221+AD222+AD223+AD224+AD225+N(AD228)+N(AD229)),0)</f>
        <v/>
      </c>
      <c r="AE230" s="43">
        <f>IF(ISNUMBER(AE232),AE232-(AE221+AE222+AE223+AE224+AE225+N(AE228)+N(AE229)),0)</f>
        <v/>
      </c>
      <c r="AF230" s="43">
        <f>IF(ISNUMBER(AF232),AF232-(AF221+AF222+AF223+AF224+AF225+N(AF228)+N(AF229)),0)</f>
        <v/>
      </c>
      <c r="AG230" s="43">
        <f>IF(ISNUMBER(AG232),AG232-(AG221+AG222+AG223+AG224+AG225+N(AG228)+N(AG229)),0)</f>
        <v/>
      </c>
      <c r="AH230" s="43">
        <f>IF(ISNUMBER(AH232),AH232-(AH221+AH222+AH223+AH224+AH225+N(AH228)+N(AH229)),0)</f>
        <v/>
      </c>
      <c r="AI230" s="43">
        <f>IF(ISNUMBER(AI232),AI232-(AI221+AI222+AI223+AI224+AI225+N(AI228)+N(AI229)),0)</f>
        <v/>
      </c>
      <c r="AJ230" s="43">
        <f>IF(ISNUMBER(AJ232),AJ232-(AJ221+AJ222+AJ223+AJ224+AJ225+N(AJ228)+N(AJ229)),0)</f>
        <v/>
      </c>
      <c r="AK230" s="43">
        <f>IF(ISNUMBER(AK232),AK232-(AK221+AK222+AK223+AK224+AK225+N(AK228)+N(AK229)),0)</f>
        <v/>
      </c>
      <c r="AL230" s="43">
        <f>IF(ISNUMBER(AL232),AL232-(AL221+AL222+AL223+AL224+AL225+N(AL228)+N(AL229)),0)</f>
        <v/>
      </c>
      <c r="AM230" s="43">
        <f>IF(ISNUMBER(AM232),AM232-(AM221+AM222+AM223+AM224+AM225+N(AM228)+N(AM229)),0)</f>
        <v/>
      </c>
      <c r="AN230" s="43">
        <f>IF(ISNUMBER(AN232),AN232-(AN221+AN222+AN223+AN224+AN225+N(AN228)+N(AN229)),0)</f>
        <v/>
      </c>
      <c r="AO230" s="43">
        <f>IF(ISNUMBER(AO232),AO232-(AO221+AO222+AO223+AO224+AO225+N(AO228)+N(AO229)),0)</f>
        <v/>
      </c>
      <c r="AP230" s="43">
        <f>IF(ISNUMBER(AP232),AP232-(AP221+AP222+AP223+AP224+AP225+N(AP228)+N(AP229)),0)</f>
        <v/>
      </c>
      <c r="AQ230" s="43">
        <f>IF(ISNUMBER(AQ232),AQ232-(AQ221+AQ222+AQ223+AQ224+AQ225+N(AQ228)+N(AQ229)),0)</f>
        <v/>
      </c>
      <c r="AR230" s="43">
        <f>IF(ISNUMBER(AR232),AR232-(AR221+AR222+AR223+AR224+AR225+N(AR228)+N(AR229)),0)</f>
        <v/>
      </c>
      <c r="AS230" s="43">
        <f>IF(ISNUMBER(AS232),AS232-(AS221+AS222+AS223+AS224+AS225+N(AS228)+N(AS229)),0)</f>
        <v/>
      </c>
      <c r="AT230" s="43">
        <f>IF(ISNUMBER(AT232),AT232-(AT221+AT222+AT223+AT224+AT225+N(AT228)+N(AT229)),0)</f>
        <v/>
      </c>
      <c r="AU230" s="47" t="n">
        <v>0</v>
      </c>
      <c r="AV230" s="47" t="n">
        <v>0</v>
      </c>
      <c r="AW230" s="45">
        <f>SUM(AS230,AT230,AU230,AV230)</f>
        <v/>
      </c>
      <c r="AX230" s="47" t="n">
        <v>0</v>
      </c>
      <c r="AY230" s="47" t="n">
        <v>0</v>
      </c>
      <c r="AZ230" s="47" t="n">
        <v>0</v>
      </c>
      <c r="BA230" s="47" t="n">
        <v>0</v>
      </c>
      <c r="BB230" s="26" t="n"/>
    </row>
    <row r="231">
      <c r="B231" s="16" t="inlineStr">
        <is>
          <t xml:space="preserve">  = Non-GAAP Net Income (model)</t>
        </is>
      </c>
      <c r="C231" s="36">
        <f>C221+C222+C223+C224+C225+N(C228)+N(C229)+C230</f>
        <v/>
      </c>
      <c r="D231" s="36">
        <f>D221+D222+D223+D224+D225+N(D228)+N(D229)+D230</f>
        <v/>
      </c>
      <c r="E231" s="36">
        <f>E221+E222+E223+E224+E225+N(E228)+N(E229)+E230</f>
        <v/>
      </c>
      <c r="F231" s="36">
        <f>F221+F222+F223+F224+F225+N(F228)+N(F229)+F230</f>
        <v/>
      </c>
      <c r="G231" s="36">
        <f>G221+G222+G223+G224+G225+N(G228)+N(G229)+G230</f>
        <v/>
      </c>
      <c r="H231" s="36">
        <f>H221+H222+H223+H224+H225+N(H228)+N(H229)+H230</f>
        <v/>
      </c>
      <c r="I231" s="36">
        <f>I221+I222+I223+I224+I225+N(I228)+N(I229)+I230</f>
        <v/>
      </c>
      <c r="J231" s="36">
        <f>J221+J222+J223+J224+J225+N(J228)+N(J229)+J230</f>
        <v/>
      </c>
      <c r="K231" s="36">
        <f>K221+K222+K223+K224+K225+N(K228)+N(K229)+K230</f>
        <v/>
      </c>
      <c r="L231" s="36">
        <f>L221+L222+L223+L224+L225+N(L228)+N(L229)+L230</f>
        <v/>
      </c>
      <c r="M231" s="36">
        <f>M221+M222+M223+M224+M225+N(M228)+N(M229)+M230</f>
        <v/>
      </c>
      <c r="N231" s="36">
        <f>N221+N222+N223+N224+N225+N(N228)+N(N229)+N230</f>
        <v/>
      </c>
      <c r="O231" s="36">
        <f>O221+O222+O223+O224+O225+N(O228)+N(O229)+O230</f>
        <v/>
      </c>
      <c r="P231" s="36">
        <f>P221+P222+P223+P224+P225+N(P228)+N(P229)+P230</f>
        <v/>
      </c>
      <c r="Q231" s="36">
        <f>Q221+Q222+Q223+Q224+Q225+N(Q228)+N(Q229)+Q230</f>
        <v/>
      </c>
      <c r="R231" s="36">
        <f>R221+R222+R223+R224+R225+N(R228)+N(R229)+R230</f>
        <v/>
      </c>
      <c r="S231" s="36">
        <f>S221+S222+S223+S224+S225+N(S228)+N(S229)+S230</f>
        <v/>
      </c>
      <c r="T231" s="36">
        <f>T221+T222+T223+T224+T225+N(T228)+N(T229)+T230</f>
        <v/>
      </c>
      <c r="U231" s="36">
        <f>U221+U222+U223+U224+U225+N(U228)+N(U229)+U230</f>
        <v/>
      </c>
      <c r="V231" s="36">
        <f>V221+V222+V223+V224+V225+N(V228)+N(V229)+V230</f>
        <v/>
      </c>
      <c r="W231" s="36">
        <f>W221+W222+W223+W224+W225+N(W228)+N(W229)+W230</f>
        <v/>
      </c>
      <c r="X231" s="36">
        <f>X221+X222+X223+X224+X225+N(X228)+N(X229)+X230</f>
        <v/>
      </c>
      <c r="Y231" s="36">
        <f>Y221+Y222+Y223+Y224+Y225+N(Y228)+N(Y229)+Y230</f>
        <v/>
      </c>
      <c r="Z231" s="36">
        <f>Z221+Z222+Z223+Z224+Z225+N(Z228)+N(Z229)+Z230</f>
        <v/>
      </c>
      <c r="AA231" s="36">
        <f>AA221+AA222+AA223+AA224+AA225+N(AA228)+N(AA229)+AA230</f>
        <v/>
      </c>
      <c r="AB231" s="36">
        <f>AB221+AB222+AB223+AB224+AB225+N(AB228)+N(AB229)+AB230</f>
        <v/>
      </c>
      <c r="AC231" s="36">
        <f>AC221+AC222+AC223+AC224+AC225+N(AC228)+N(AC229)+AC230</f>
        <v/>
      </c>
      <c r="AD231" s="36">
        <f>AD221+AD222+AD223+AD224+AD225+N(AD228)+N(AD229)+AD230</f>
        <v/>
      </c>
      <c r="AE231" s="36">
        <f>AE221+AE222+AE223+AE224+AE225+N(AE228)+N(AE229)+AE230</f>
        <v/>
      </c>
      <c r="AF231" s="36">
        <f>AF221+AF222+AF223+AF224+AF225+N(AF228)+N(AF229)+AF230</f>
        <v/>
      </c>
      <c r="AG231" s="36">
        <f>AG221+AG222+AG223+AG224+AG225+N(AG228)+N(AG229)+AG230</f>
        <v/>
      </c>
      <c r="AH231" s="36">
        <f>AH221+AH222+AH223+AH224+AH225+N(AH228)+N(AH229)+AH230</f>
        <v/>
      </c>
      <c r="AI231" s="36">
        <f>AI221+AI222+AI223+AI224+AI225+N(AI228)+N(AI229)+AI230</f>
        <v/>
      </c>
      <c r="AJ231" s="36">
        <f>AJ221+AJ222+AJ223+AJ224+AJ225+N(AJ228)+N(AJ229)+AJ230</f>
        <v/>
      </c>
      <c r="AK231" s="36">
        <f>AK221+AK222+AK223+AK224+AK225+N(AK228)+N(AK229)+AK230</f>
        <v/>
      </c>
      <c r="AL231" s="36">
        <f>AL221+AL222+AL223+AL224+AL225+N(AL228)+N(AL229)+AL230</f>
        <v/>
      </c>
      <c r="AM231" s="36">
        <f>AM221+AM222+AM223+AM224+AM225+N(AM228)+N(AM229)+AM230</f>
        <v/>
      </c>
      <c r="AN231" s="36">
        <f>AN221+AN222+AN223+AN224+AN225+N(AN228)+N(AN229)+AN230</f>
        <v/>
      </c>
      <c r="AO231" s="36">
        <f>AO221+AO222+AO223+AO224+AO225+N(AO228)+N(AO229)+AO230</f>
        <v/>
      </c>
      <c r="AP231" s="36">
        <f>AP221+AP222+AP223+AP224+AP225+N(AP228)+N(AP229)+AP230</f>
        <v/>
      </c>
      <c r="AQ231" s="36">
        <f>AQ221+AQ222+AQ223+AQ224+AQ225+N(AQ228)+N(AQ229)+AQ230</f>
        <v/>
      </c>
      <c r="AR231" s="36">
        <f>AR221+AR222+AR223+AR224+AR225+N(AR228)+N(AR229)+AR230</f>
        <v/>
      </c>
      <c r="AS231" s="36">
        <f>AS221+AS222+AS223+AS224+AS225+N(AS228)+N(AS229)+AS230</f>
        <v/>
      </c>
      <c r="AT231" s="36">
        <f>AT221+AT222+AT223+AT224+AT225+N(AT228)+N(AT229)+AT230</f>
        <v/>
      </c>
      <c r="AU231" s="18">
        <f>AU221+AU222+AU223+AU224+AU225+N(AU228)+N(AU229)+AU230</f>
        <v/>
      </c>
      <c r="AV231" s="18">
        <f>AV221+AV222+AV223+AV224+AV225+N(AV228)+N(AV229)+AV230</f>
        <v/>
      </c>
      <c r="AW231" s="18">
        <f>AW221+AW222+AW223+AW224+AW225+N(AW228)+N(AW229)+AW230</f>
        <v/>
      </c>
      <c r="AX231" s="18">
        <f>AX221+AX222+AX223+AX224+AX225+N(AX228)+N(AX229)+AX230</f>
        <v/>
      </c>
      <c r="AY231" s="18">
        <f>AY221+AY222+AY223+AY224+AY225+N(AY228)+N(AY229)+AY230</f>
        <v/>
      </c>
      <c r="AZ231" s="18">
        <f>AZ221+AZ222+AZ223+AZ224+AZ225+N(AZ228)+N(AZ229)+AZ230</f>
        <v/>
      </c>
      <c r="BA231" s="18">
        <f>BA221+BA222+BA223+BA224+BA225+N(BA228)+N(BA229)+BA230</f>
        <v/>
      </c>
      <c r="BB231" s="26" t="n"/>
      <c r="BD231" s="20">
        <f>IFERROR((BA231/AR231)^(1/5)-1,"")</f>
        <v/>
      </c>
      <c r="BE231" s="20">
        <f>IFERROR((AR231/S231)^(1/5)-1,"")</f>
        <v/>
      </c>
      <c r="BF231" s="20">
        <f>IFERROR((AR231/I231)^(1/7)-1,"")</f>
        <v/>
      </c>
      <c r="BG231" s="20">
        <f>IFERROR((AR231/C231)^(1/9)-1,"")</f>
        <v/>
      </c>
    </row>
    <row r="232">
      <c r="B232" s="27" t="inlineStr">
        <is>
          <t xml:space="preserve">  Company-published Non-GAAP Net Income</t>
        </is>
      </c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  <c r="AA232" s="43" t="n"/>
      <c r="AB232" s="43" t="n"/>
      <c r="AC232" s="43" t="n"/>
      <c r="AD232" s="43" t="n"/>
      <c r="AE232" s="43" t="n"/>
      <c r="AF232" s="43" t="n"/>
      <c r="AG232" s="43" t="n"/>
      <c r="AH232" s="43" t="n"/>
      <c r="AI232" s="44" t="n">
        <v>778</v>
      </c>
      <c r="AJ232" s="44" t="n">
        <v>881</v>
      </c>
      <c r="AK232" s="44" t="n">
        <v>1110</v>
      </c>
      <c r="AL232" s="44" t="n">
        <v>1201</v>
      </c>
      <c r="AM232" s="44" t="n">
        <v>3970</v>
      </c>
      <c r="AN232" s="44" t="n">
        <v>1072</v>
      </c>
      <c r="AO232" s="44" t="n">
        <v>1280</v>
      </c>
      <c r="AP232" s="44" t="n">
        <v>1389</v>
      </c>
      <c r="AQ232" s="44" t="n">
        <v>1496</v>
      </c>
      <c r="AR232" s="44" t="n">
        <v>5237</v>
      </c>
      <c r="AS232" s="44" t="n">
        <v>1493</v>
      </c>
      <c r="AT232" s="44" t="n">
        <v>1652</v>
      </c>
      <c r="AU232" s="45" t="n"/>
      <c r="AV232" s="45" t="n"/>
      <c r="AW232" s="45" t="n"/>
      <c r="AX232" s="45" t="n"/>
      <c r="AY232" s="45" t="n"/>
      <c r="AZ232" s="45" t="n"/>
      <c r="BA232" s="45" t="n"/>
      <c r="BB232" s="26" t="n"/>
    </row>
    <row r="233">
      <c r="B233" s="27" t="inlineStr">
        <is>
          <t xml:space="preserve">  (−) Assumed net loss attributable to Freight Holding contingently issuable shares</t>
        </is>
      </c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  <c r="AA233" s="43" t="n"/>
      <c r="AB233" s="43" t="n"/>
      <c r="AC233" s="43" t="n"/>
      <c r="AD233" s="43" t="n"/>
      <c r="AE233" s="43" t="n"/>
      <c r="AF233" s="43" t="n"/>
      <c r="AG233" s="43" t="n"/>
      <c r="AH233" s="43" t="n"/>
      <c r="AI233" s="44" t="n">
        <v>-16</v>
      </c>
      <c r="AJ233" s="44" t="n">
        <v>-14</v>
      </c>
      <c r="AK233" s="44" t="n">
        <v>-18</v>
      </c>
      <c r="AL233" s="44" t="n">
        <v>-4</v>
      </c>
      <c r="AM233" s="44" t="n">
        <v>-49</v>
      </c>
      <c r="AN233" s="44" t="n">
        <v>-13</v>
      </c>
      <c r="AO233" s="44" t="n">
        <v>-14</v>
      </c>
      <c r="AP233" s="44" t="n">
        <v>-13</v>
      </c>
      <c r="AQ233" s="44" t="n">
        <v>0</v>
      </c>
      <c r="AR233" s="44" t="n">
        <v>-37</v>
      </c>
      <c r="AS233" s="44" t="n">
        <v>0</v>
      </c>
      <c r="AT233" s="44" t="n">
        <v>0</v>
      </c>
      <c r="AU233" s="47" t="n">
        <v>0</v>
      </c>
      <c r="AV233" s="47" t="n">
        <v>0</v>
      </c>
      <c r="AW233" s="45">
        <f>SUM(AS233,AT233,AU233,AV233)</f>
        <v/>
      </c>
      <c r="AX233" s="47" t="n">
        <v>0</v>
      </c>
      <c r="AY233" s="47" t="n">
        <v>0</v>
      </c>
      <c r="AZ233" s="47" t="n">
        <v>0</v>
      </c>
      <c r="BA233" s="47" t="n">
        <v>0</v>
      </c>
      <c r="BB233" s="26" t="n"/>
    </row>
    <row r="234">
      <c r="B234" s="16" t="inlineStr">
        <is>
          <t xml:space="preserve">  = Non-GAAP Net Income attributable to common stockholders</t>
        </is>
      </c>
      <c r="C234" s="36">
        <f>C231+N(C233)</f>
        <v/>
      </c>
      <c r="D234" s="36">
        <f>D231+N(D233)</f>
        <v/>
      </c>
      <c r="E234" s="36">
        <f>E231+N(E233)</f>
        <v/>
      </c>
      <c r="F234" s="36">
        <f>F231+N(F233)</f>
        <v/>
      </c>
      <c r="G234" s="36">
        <f>G231+N(G233)</f>
        <v/>
      </c>
      <c r="H234" s="36">
        <f>H231+N(H233)</f>
        <v/>
      </c>
      <c r="I234" s="36">
        <f>I231+N(I233)</f>
        <v/>
      </c>
      <c r="J234" s="36">
        <f>J231+N(J233)</f>
        <v/>
      </c>
      <c r="K234" s="36">
        <f>K231+N(K233)</f>
        <v/>
      </c>
      <c r="L234" s="36">
        <f>L231+N(L233)</f>
        <v/>
      </c>
      <c r="M234" s="36">
        <f>M231+N(M233)</f>
        <v/>
      </c>
      <c r="N234" s="36">
        <f>N231+N(N233)</f>
        <v/>
      </c>
      <c r="O234" s="36">
        <f>O231+N(O233)</f>
        <v/>
      </c>
      <c r="P234" s="36">
        <f>P231+N(P233)</f>
        <v/>
      </c>
      <c r="Q234" s="36">
        <f>Q231+N(Q233)</f>
        <v/>
      </c>
      <c r="R234" s="36">
        <f>R231+N(R233)</f>
        <v/>
      </c>
      <c r="S234" s="36">
        <f>S231+N(S233)</f>
        <v/>
      </c>
      <c r="T234" s="36">
        <f>T231+N(T233)</f>
        <v/>
      </c>
      <c r="U234" s="36">
        <f>U231+N(U233)</f>
        <v/>
      </c>
      <c r="V234" s="36">
        <f>V231+N(V233)</f>
        <v/>
      </c>
      <c r="W234" s="36">
        <f>W231+N(W233)</f>
        <v/>
      </c>
      <c r="X234" s="36">
        <f>X231+N(X233)</f>
        <v/>
      </c>
      <c r="Y234" s="36">
        <f>Y231+N(Y233)</f>
        <v/>
      </c>
      <c r="Z234" s="36">
        <f>Z231+N(Z233)</f>
        <v/>
      </c>
      <c r="AA234" s="36">
        <f>AA231+N(AA233)</f>
        <v/>
      </c>
      <c r="AB234" s="36">
        <f>AB231+N(AB233)</f>
        <v/>
      </c>
      <c r="AC234" s="36">
        <f>AC231+N(AC233)</f>
        <v/>
      </c>
      <c r="AD234" s="36">
        <f>AD231+N(AD233)</f>
        <v/>
      </c>
      <c r="AE234" s="36">
        <f>AE231+N(AE233)</f>
        <v/>
      </c>
      <c r="AF234" s="36">
        <f>AF231+N(AF233)</f>
        <v/>
      </c>
      <c r="AG234" s="36">
        <f>AG231+N(AG233)</f>
        <v/>
      </c>
      <c r="AH234" s="36">
        <f>AH231+N(AH233)</f>
        <v/>
      </c>
      <c r="AI234" s="36">
        <f>AI231+N(AI233)</f>
        <v/>
      </c>
      <c r="AJ234" s="36">
        <f>AJ231+N(AJ233)</f>
        <v/>
      </c>
      <c r="AK234" s="36">
        <f>AK231+N(AK233)</f>
        <v/>
      </c>
      <c r="AL234" s="36">
        <f>AL231+N(AL233)</f>
        <v/>
      </c>
      <c r="AM234" s="36">
        <f>AM231+N(AM233)</f>
        <v/>
      </c>
      <c r="AN234" s="36">
        <f>AN231+N(AN233)</f>
        <v/>
      </c>
      <c r="AO234" s="36">
        <f>AO231+N(AO233)</f>
        <v/>
      </c>
      <c r="AP234" s="36">
        <f>AP231+N(AP233)</f>
        <v/>
      </c>
      <c r="AQ234" s="36">
        <f>AQ231+N(AQ233)</f>
        <v/>
      </c>
      <c r="AR234" s="36">
        <f>AR231+N(AR233)</f>
        <v/>
      </c>
      <c r="AS234" s="36">
        <f>AS231+N(AS233)</f>
        <v/>
      </c>
      <c r="AT234" s="36">
        <f>AT231+N(AT233)</f>
        <v/>
      </c>
      <c r="AU234" s="18">
        <f>AU231+N(AU233)</f>
        <v/>
      </c>
      <c r="AV234" s="18">
        <f>AV231+N(AV233)</f>
        <v/>
      </c>
      <c r="AW234" s="18">
        <f>AW231+N(AW233)</f>
        <v/>
      </c>
      <c r="AX234" s="18">
        <f>AX231+N(AX233)</f>
        <v/>
      </c>
      <c r="AY234" s="18">
        <f>AY231+N(AY233)</f>
        <v/>
      </c>
      <c r="AZ234" s="18">
        <f>AZ231+N(AZ233)</f>
        <v/>
      </c>
      <c r="BA234" s="18">
        <f>BA231+N(BA233)</f>
        <v/>
      </c>
      <c r="BB234" s="26" t="n"/>
    </row>
    <row r="235">
      <c r="B235" s="27" t="inlineStr">
        <is>
          <t xml:space="preserve">  Non-GAAP weighted-average diluted shares (m)</t>
        </is>
      </c>
      <c r="C235" s="160">
        <f>C175</f>
        <v/>
      </c>
      <c r="D235" s="160">
        <f>D175</f>
        <v/>
      </c>
      <c r="E235" s="160">
        <f>E175</f>
        <v/>
      </c>
      <c r="F235" s="160">
        <f>F175</f>
        <v/>
      </c>
      <c r="G235" s="160">
        <f>G175</f>
        <v/>
      </c>
      <c r="H235" s="160">
        <f>H175</f>
        <v/>
      </c>
      <c r="I235" s="160">
        <f>I175</f>
        <v/>
      </c>
      <c r="J235" s="160">
        <f>J175</f>
        <v/>
      </c>
      <c r="K235" s="160">
        <f>K175</f>
        <v/>
      </c>
      <c r="L235" s="160">
        <f>L175</f>
        <v/>
      </c>
      <c r="M235" s="160">
        <f>M175</f>
        <v/>
      </c>
      <c r="N235" s="160">
        <f>N175</f>
        <v/>
      </c>
      <c r="O235" s="160">
        <f>O175</f>
        <v/>
      </c>
      <c r="P235" s="160">
        <f>P175</f>
        <v/>
      </c>
      <c r="Q235" s="160">
        <f>Q175</f>
        <v/>
      </c>
      <c r="R235" s="160">
        <f>R175</f>
        <v/>
      </c>
      <c r="S235" s="160">
        <f>S175</f>
        <v/>
      </c>
      <c r="T235" s="160">
        <f>T175</f>
        <v/>
      </c>
      <c r="U235" s="160">
        <f>U175</f>
        <v/>
      </c>
      <c r="V235" s="160">
        <f>V175</f>
        <v/>
      </c>
      <c r="W235" s="160">
        <f>W175</f>
        <v/>
      </c>
      <c r="X235" s="160">
        <f>X175</f>
        <v/>
      </c>
      <c r="Y235" s="160">
        <f>Y175</f>
        <v/>
      </c>
      <c r="Z235" s="160">
        <f>Z175</f>
        <v/>
      </c>
      <c r="AA235" s="160">
        <f>AA175</f>
        <v/>
      </c>
      <c r="AB235" s="160">
        <f>AB175</f>
        <v/>
      </c>
      <c r="AC235" s="160">
        <f>AC175</f>
        <v/>
      </c>
      <c r="AD235" s="160">
        <f>AD175</f>
        <v/>
      </c>
      <c r="AE235" s="160">
        <f>AE175</f>
        <v/>
      </c>
      <c r="AF235" s="160">
        <f>AF175</f>
        <v/>
      </c>
      <c r="AG235" s="160">
        <f>AG175</f>
        <v/>
      </c>
      <c r="AH235" s="160">
        <f>AH175</f>
        <v/>
      </c>
      <c r="AI235" s="158" t="n">
        <v>2150.101</v>
      </c>
      <c r="AJ235" s="158" t="n">
        <v>2150.019</v>
      </c>
      <c r="AK235" s="158" t="n">
        <v>2154.466</v>
      </c>
      <c r="AL235" s="158" t="n">
        <v>2141.426</v>
      </c>
      <c r="AM235" s="160">
        <f>AM175</f>
        <v/>
      </c>
      <c r="AN235" s="158" t="n">
        <v>2122.618</v>
      </c>
      <c r="AO235" s="158" t="n">
        <v>2125.628</v>
      </c>
      <c r="AP235" s="158" t="n">
        <v>2124.391</v>
      </c>
      <c r="AQ235" s="160">
        <f>AQ175</f>
        <v/>
      </c>
      <c r="AR235" s="160">
        <f>AR175</f>
        <v/>
      </c>
      <c r="AS235" s="160">
        <f>AS175</f>
        <v/>
      </c>
      <c r="AT235" s="160">
        <f>AT175</f>
        <v/>
      </c>
      <c r="AU235" s="159">
        <f>AU175</f>
        <v/>
      </c>
      <c r="AV235" s="159">
        <f>AV175</f>
        <v/>
      </c>
      <c r="AW235" s="159">
        <f>AW175</f>
        <v/>
      </c>
      <c r="AX235" s="159">
        <f>AX175</f>
        <v/>
      </c>
      <c r="AY235" s="159">
        <f>AY175</f>
        <v/>
      </c>
      <c r="AZ235" s="159">
        <f>AZ175</f>
        <v/>
      </c>
      <c r="BA235" s="159">
        <f>BA175</f>
        <v/>
      </c>
      <c r="BB235" s="26" t="n"/>
    </row>
    <row r="236">
      <c r="B236" s="52" t="inlineStr">
        <is>
          <t>Non-GAAP EPS – diluted ($) (model)</t>
        </is>
      </c>
      <c r="C236" s="65">
        <f>IF(AND(ISNUMBER(C234),ISNUMBER(C235)),IFERROR(C234/C235,""),"")</f>
        <v/>
      </c>
      <c r="D236" s="65">
        <f>IF(AND(ISNUMBER(D234),ISNUMBER(D235)),IFERROR(D234/D235,""),"")</f>
        <v/>
      </c>
      <c r="E236" s="65">
        <f>IF(AND(ISNUMBER(E234),ISNUMBER(E235)),IFERROR(E234/E235,""),"")</f>
        <v/>
      </c>
      <c r="F236" s="65">
        <f>IF(AND(ISNUMBER(F234),ISNUMBER(F235)),IFERROR(F234/F235,""),"")</f>
        <v/>
      </c>
      <c r="G236" s="65">
        <f>IF(AND(ISNUMBER(G234),ISNUMBER(G235)),IFERROR(G234/G235,""),"")</f>
        <v/>
      </c>
      <c r="H236" s="65">
        <f>IF(AND(ISNUMBER(H234),ISNUMBER(H235)),IFERROR(H234/H235,""),"")</f>
        <v/>
      </c>
      <c r="I236" s="65">
        <f>IF(AND(ISNUMBER(I234),ISNUMBER(I235)),IFERROR(I234/I235,""),"")</f>
        <v/>
      </c>
      <c r="J236" s="65">
        <f>IF(AND(ISNUMBER(J234),ISNUMBER(J235)),IFERROR(J234/J235,""),"")</f>
        <v/>
      </c>
      <c r="K236" s="65">
        <f>IF(AND(ISNUMBER(K234),ISNUMBER(K235)),IFERROR(K234/K235,""),"")</f>
        <v/>
      </c>
      <c r="L236" s="65">
        <f>IF(AND(ISNUMBER(L234),ISNUMBER(L235)),IFERROR(L234/L235,""),"")</f>
        <v/>
      </c>
      <c r="M236" s="65">
        <f>IF(AND(ISNUMBER(M234),ISNUMBER(M235)),IFERROR(M234/M235,""),"")</f>
        <v/>
      </c>
      <c r="N236" s="65">
        <f>IF(AND(ISNUMBER(N234),ISNUMBER(N235)),IFERROR(N234/N235,""),"")</f>
        <v/>
      </c>
      <c r="O236" s="65">
        <f>IF(AND(ISNUMBER(O234),ISNUMBER(O235)),IFERROR(O234/O235,""),"")</f>
        <v/>
      </c>
      <c r="P236" s="65">
        <f>IF(AND(ISNUMBER(P234),ISNUMBER(P235)),IFERROR(P234/P235,""),"")</f>
        <v/>
      </c>
      <c r="Q236" s="65">
        <f>IF(AND(ISNUMBER(Q234),ISNUMBER(Q235)),IFERROR(Q234/Q235,""),"")</f>
        <v/>
      </c>
      <c r="R236" s="65">
        <f>IF(AND(ISNUMBER(R234),ISNUMBER(R235)),IFERROR(R234/R235,""),"")</f>
        <v/>
      </c>
      <c r="S236" s="65">
        <f>IF(AND(ISNUMBER(S234),ISNUMBER(S235)),IFERROR(S234/S235,""),"")</f>
        <v/>
      </c>
      <c r="T236" s="65">
        <f>IF(AND(ISNUMBER(T234),ISNUMBER(T235)),IFERROR(T234/T235,""),"")</f>
        <v/>
      </c>
      <c r="U236" s="65">
        <f>IF(AND(ISNUMBER(U234),ISNUMBER(U235)),IFERROR(U234/U235,""),"")</f>
        <v/>
      </c>
      <c r="V236" s="65">
        <f>IF(AND(ISNUMBER(V234),ISNUMBER(V235)),IFERROR(V234/V235,""),"")</f>
        <v/>
      </c>
      <c r="W236" s="65">
        <f>IF(AND(ISNUMBER(W234),ISNUMBER(W235)),IFERROR(W234/W235,""),"")</f>
        <v/>
      </c>
      <c r="X236" s="65">
        <f>IF(AND(ISNUMBER(X234),ISNUMBER(X235)),IFERROR(X234/X235,""),"")</f>
        <v/>
      </c>
      <c r="Y236" s="65">
        <f>IF(AND(ISNUMBER(Y234),ISNUMBER(Y235)),IFERROR(Y234/Y235,""),"")</f>
        <v/>
      </c>
      <c r="Z236" s="65">
        <f>IF(AND(ISNUMBER(Z234),ISNUMBER(Z235)),IFERROR(Z234/Z235,""),"")</f>
        <v/>
      </c>
      <c r="AA236" s="65">
        <f>IF(AND(ISNUMBER(AA234),ISNUMBER(AA235)),IFERROR(AA234/AA235,""),"")</f>
        <v/>
      </c>
      <c r="AB236" s="65">
        <f>IF(AND(ISNUMBER(AB234),ISNUMBER(AB235)),IFERROR(AB234/AB235,""),"")</f>
        <v/>
      </c>
      <c r="AC236" s="65">
        <f>IF(AND(ISNUMBER(AC234),ISNUMBER(AC235)),IFERROR(AC234/AC235,""),"")</f>
        <v/>
      </c>
      <c r="AD236" s="65">
        <f>IF(AND(ISNUMBER(AD234),ISNUMBER(AD235)),IFERROR(AD234/AD235,""),"")</f>
        <v/>
      </c>
      <c r="AE236" s="65">
        <f>IF(AND(ISNUMBER(AE234),ISNUMBER(AE235)),IFERROR(AE234/AE235,""),"")</f>
        <v/>
      </c>
      <c r="AF236" s="65">
        <f>IF(AND(ISNUMBER(AF234),ISNUMBER(AF235)),IFERROR(AF234/AF235,""),"")</f>
        <v/>
      </c>
      <c r="AG236" s="65">
        <f>IF(AND(ISNUMBER(AG234),ISNUMBER(AG235)),IFERROR(AG234/AG235,""),"")</f>
        <v/>
      </c>
      <c r="AH236" s="65">
        <f>IF(AND(ISNUMBER(AH234),ISNUMBER(AH235)),IFERROR(AH234/AH235,""),"")</f>
        <v/>
      </c>
      <c r="AI236" s="65">
        <f>IF(AND(ISNUMBER(AI234),ISNUMBER(AI235)),IFERROR(AI234/AI235,""),"")</f>
        <v/>
      </c>
      <c r="AJ236" s="65">
        <f>IF(AND(ISNUMBER(AJ234),ISNUMBER(AJ235)),IFERROR(AJ234/AJ235,""),"")</f>
        <v/>
      </c>
      <c r="AK236" s="65">
        <f>IF(AND(ISNUMBER(AK234),ISNUMBER(AK235)),IFERROR(AK234/AK235,""),"")</f>
        <v/>
      </c>
      <c r="AL236" s="65">
        <f>IF(AND(ISNUMBER(AL234),ISNUMBER(AL235)),IFERROR(AL234/AL235,""),"")</f>
        <v/>
      </c>
      <c r="AM236" s="65">
        <f>IF(AND(ISNUMBER(AM234),ISNUMBER(AM235)),IFERROR(AM234/AM235,""),"")</f>
        <v/>
      </c>
      <c r="AN236" s="65">
        <f>IF(AND(ISNUMBER(AN234),ISNUMBER(AN235)),IFERROR(AN234/AN235,""),"")</f>
        <v/>
      </c>
      <c r="AO236" s="65">
        <f>IF(AND(ISNUMBER(AO234),ISNUMBER(AO235)),IFERROR(AO234/AO235,""),"")</f>
        <v/>
      </c>
      <c r="AP236" s="65">
        <f>IF(AND(ISNUMBER(AP234),ISNUMBER(AP235)),IFERROR(AP234/AP235,""),"")</f>
        <v/>
      </c>
      <c r="AQ236" s="65">
        <f>IF(AND(ISNUMBER(AQ234),ISNUMBER(AQ235)),IFERROR(AQ234/AQ235,""),"")</f>
        <v/>
      </c>
      <c r="AR236" s="65">
        <f>IF(AND(ISNUMBER(AR234),ISNUMBER(AR235)),IFERROR(AR234/AR235,""),"")</f>
        <v/>
      </c>
      <c r="AS236" s="65">
        <f>IF(AND(ISNUMBER(AS234),ISNUMBER(AS235)),IFERROR(AS234/AS235,""),"")</f>
        <v/>
      </c>
      <c r="AT236" s="65">
        <f>IF(AND(ISNUMBER(AT234),ISNUMBER(AT235)),IFERROR(AT234/AT235,""),"")</f>
        <v/>
      </c>
      <c r="AU236" s="65">
        <f>IFERROR(AU234/AU235,"")</f>
        <v/>
      </c>
      <c r="AV236" s="65">
        <f>IFERROR(AV234/AV235,"")</f>
        <v/>
      </c>
      <c r="AW236" s="65">
        <f>IFERROR(AW234/AW235,"")</f>
        <v/>
      </c>
      <c r="AX236" s="65">
        <f>IFERROR(AX234/AX235,"")</f>
        <v/>
      </c>
      <c r="AY236" s="65">
        <f>IFERROR(AY234/AY235,"")</f>
        <v/>
      </c>
      <c r="AZ236" s="65">
        <f>IFERROR(AZ234/AZ235,"")</f>
        <v/>
      </c>
      <c r="BA236" s="65">
        <f>IFERROR(BA234/BA235,"")</f>
        <v/>
      </c>
      <c r="BB236" s="26" t="n"/>
      <c r="BD236" s="20">
        <f>IFERROR((BA236/AR236)^(1/5)-1,"")</f>
        <v/>
      </c>
      <c r="BE236" s="20">
        <f>IFERROR((AR236/S236)^(1/5)-1,"")</f>
        <v/>
      </c>
      <c r="BF236" s="20">
        <f>IFERROR((AR236/I236)^(1/7)-1,"")</f>
        <v/>
      </c>
      <c r="BG236" s="20">
        <f>IFERROR((AR236/C236)^(1/9)-1,"")</f>
        <v/>
      </c>
    </row>
    <row r="237">
      <c r="B237" s="27" t="inlineStr">
        <is>
          <t xml:space="preserve">  Company-published Non-GAAP EPS ($)</t>
        </is>
      </c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30" t="n"/>
      <c r="AD237" s="30" t="n"/>
      <c r="AE237" s="30" t="n"/>
      <c r="AF237" s="30" t="n"/>
      <c r="AG237" s="30" t="n"/>
      <c r="AH237" s="30" t="n"/>
      <c r="AI237" s="60" t="n">
        <v>0.35</v>
      </c>
      <c r="AJ237" s="60" t="n">
        <v>0.4</v>
      </c>
      <c r="AK237" s="60" t="n">
        <v>0.51</v>
      </c>
      <c r="AL237" s="60" t="n">
        <v>0.5600000000000001</v>
      </c>
      <c r="AM237" s="60" t="n">
        <v>1.82</v>
      </c>
      <c r="AN237" s="60" t="n">
        <v>0.5</v>
      </c>
      <c r="AO237" s="60" t="n">
        <v>0.6</v>
      </c>
      <c r="AP237" s="60" t="n">
        <v>0.65</v>
      </c>
      <c r="AQ237" s="60" t="n">
        <v>0.71</v>
      </c>
      <c r="AR237" s="60" t="n">
        <v>2.45</v>
      </c>
      <c r="AS237" s="60" t="n">
        <v>0.72</v>
      </c>
      <c r="AT237" s="60" t="n">
        <v>0.8100000000000001</v>
      </c>
      <c r="AU237" s="31" t="n"/>
      <c r="AV237" s="31" t="n"/>
      <c r="AW237" s="31" t="n"/>
      <c r="AX237" s="31" t="n"/>
      <c r="AY237" s="31" t="n"/>
      <c r="AZ237" s="31" t="n"/>
      <c r="BA237" s="31" t="n"/>
      <c r="BB237" s="26" t="n"/>
    </row>
    <row r="238">
      <c r="B238" s="54" t="inlineStr">
        <is>
          <t xml:space="preserve">  Check: model vs company-published Non-GAAP EPS (should be 0.00)</t>
        </is>
      </c>
      <c r="C238" s="30">
        <f>IF(ISNUMBER(C237),ROUND(C236-C237,2),"n/p")</f>
        <v/>
      </c>
      <c r="D238" s="30">
        <f>IF(ISNUMBER(D237),ROUND(D236-D237,2),"n/p")</f>
        <v/>
      </c>
      <c r="E238" s="30">
        <f>IF(ISNUMBER(E237),ROUND(E236-E237,2),"n/p")</f>
        <v/>
      </c>
      <c r="F238" s="30">
        <f>IF(ISNUMBER(F237),ROUND(F236-F237,2),"n/p")</f>
        <v/>
      </c>
      <c r="G238" s="30">
        <f>IF(ISNUMBER(G237),ROUND(G236-G237,2),"n/p")</f>
        <v/>
      </c>
      <c r="H238" s="30">
        <f>IF(ISNUMBER(H237),ROUND(H236-H237,2),"n/p")</f>
        <v/>
      </c>
      <c r="I238" s="30">
        <f>IF(ISNUMBER(I237),ROUND(I236-I237,2),"n/p")</f>
        <v/>
      </c>
      <c r="J238" s="30">
        <f>IF(ISNUMBER(J237),ROUND(J236-J237,2),"n/p")</f>
        <v/>
      </c>
      <c r="K238" s="30">
        <f>IF(ISNUMBER(K237),ROUND(K236-K237,2),"n/p")</f>
        <v/>
      </c>
      <c r="L238" s="30">
        <f>IF(ISNUMBER(L237),ROUND(L236-L237,2),"n/p")</f>
        <v/>
      </c>
      <c r="M238" s="30">
        <f>IF(ISNUMBER(M237),ROUND(M236-M237,2),"n/p")</f>
        <v/>
      </c>
      <c r="N238" s="30">
        <f>IF(ISNUMBER(N237),ROUND(N236-N237,2),"n/p")</f>
        <v/>
      </c>
      <c r="O238" s="30">
        <f>IF(ISNUMBER(O237),ROUND(O236-O237,2),"n/p")</f>
        <v/>
      </c>
      <c r="P238" s="30">
        <f>IF(ISNUMBER(P237),ROUND(P236-P237,2),"n/p")</f>
        <v/>
      </c>
      <c r="Q238" s="30">
        <f>IF(ISNUMBER(Q237),ROUND(Q236-Q237,2),"n/p")</f>
        <v/>
      </c>
      <c r="R238" s="30">
        <f>IF(ISNUMBER(R237),ROUND(R236-R237,2),"n/p")</f>
        <v/>
      </c>
      <c r="S238" s="30">
        <f>IF(ISNUMBER(S237),ROUND(S236-S237,2),"n/p")</f>
        <v/>
      </c>
      <c r="T238" s="30">
        <f>IF(ISNUMBER(T237),ROUND(T236-T237,2),"n/p")</f>
        <v/>
      </c>
      <c r="U238" s="30">
        <f>IF(ISNUMBER(U237),ROUND(U236-U237,2),"n/p")</f>
        <v/>
      </c>
      <c r="V238" s="30">
        <f>IF(ISNUMBER(V237),ROUND(V236-V237,2),"n/p")</f>
        <v/>
      </c>
      <c r="W238" s="30">
        <f>IF(ISNUMBER(W237),ROUND(W236-W237,2),"n/p")</f>
        <v/>
      </c>
      <c r="X238" s="30">
        <f>IF(ISNUMBER(X237),ROUND(X236-X237,2),"n/p")</f>
        <v/>
      </c>
      <c r="Y238" s="30">
        <f>IF(ISNUMBER(Y237),ROUND(Y236-Y237,2),"n/p")</f>
        <v/>
      </c>
      <c r="Z238" s="30">
        <f>IF(ISNUMBER(Z237),ROUND(Z236-Z237,2),"n/p")</f>
        <v/>
      </c>
      <c r="AA238" s="30">
        <f>IF(ISNUMBER(AA237),ROUND(AA236-AA237,2),"n/p")</f>
        <v/>
      </c>
      <c r="AB238" s="30">
        <f>IF(ISNUMBER(AB237),ROUND(AB236-AB237,2),"n/p")</f>
        <v/>
      </c>
      <c r="AC238" s="30">
        <f>IF(ISNUMBER(AC237),ROUND(AC236-AC237,2),"n/p")</f>
        <v/>
      </c>
      <c r="AD238" s="30">
        <f>IF(ISNUMBER(AD237),ROUND(AD236-AD237,2),"n/p")</f>
        <v/>
      </c>
      <c r="AE238" s="30">
        <f>IF(ISNUMBER(AE237),ROUND(AE236-AE237,2),"n/p")</f>
        <v/>
      </c>
      <c r="AF238" s="30">
        <f>IF(ISNUMBER(AF237),ROUND(AF236-AF237,2),"n/p")</f>
        <v/>
      </c>
      <c r="AG238" s="30">
        <f>IF(ISNUMBER(AG237),ROUND(AG236-AG237,2),"n/p")</f>
        <v/>
      </c>
      <c r="AH238" s="30">
        <f>IF(ISNUMBER(AH237),ROUND(AH236-AH237,2),"n/p")</f>
        <v/>
      </c>
      <c r="AI238" s="30">
        <f>IF(ISNUMBER(AI237),ROUND(AI236-AI237,2),"n/p")</f>
        <v/>
      </c>
      <c r="AJ238" s="30">
        <f>IF(ISNUMBER(AJ237),ROUND(AJ236-AJ237,2),"n/p")</f>
        <v/>
      </c>
      <c r="AK238" s="30">
        <f>IF(ISNUMBER(AK237),ROUND(AK236-AK237,2),"n/p")</f>
        <v/>
      </c>
      <c r="AL238" s="30">
        <f>IF(ISNUMBER(AL237),ROUND(AL236-AL237,2),"n/p")</f>
        <v/>
      </c>
      <c r="AM238" s="30">
        <f>IF(ISNUMBER(AM237),ROUND(AM236-AM237,2),"n/p")</f>
        <v/>
      </c>
      <c r="AN238" s="30">
        <f>IF(ISNUMBER(AN237),ROUND(AN236-AN237,2),"n/p")</f>
        <v/>
      </c>
      <c r="AO238" s="30">
        <f>IF(ISNUMBER(AO237),ROUND(AO236-AO237,2),"n/p")</f>
        <v/>
      </c>
      <c r="AP238" s="30">
        <f>IF(ISNUMBER(AP237),ROUND(AP236-AP237,2),"n/p")</f>
        <v/>
      </c>
      <c r="AQ238" s="30">
        <f>IF(ISNUMBER(AQ237),ROUND(AQ236-AQ237,2),"n/p")</f>
        <v/>
      </c>
      <c r="AR238" s="30">
        <f>IF(ISNUMBER(AR237),ROUND(AR236-AR237,2),"n/p")</f>
        <v/>
      </c>
      <c r="AS238" s="30">
        <f>IF(ISNUMBER(AS237),ROUND(AS236-AS237,2),"n/p")</f>
        <v/>
      </c>
      <c r="AT238" s="30">
        <f>IF(ISNUMBER(AT237),ROUND(AT236-AT237,2),"n/p")</f>
        <v/>
      </c>
      <c r="AU238" s="31" t="n"/>
      <c r="AV238" s="31" t="n"/>
      <c r="AW238" s="31" t="n"/>
      <c r="AX238" s="31" t="n"/>
      <c r="AY238" s="31" t="n"/>
      <c r="AZ238" s="31" t="n"/>
      <c r="BA238" s="31" t="n"/>
      <c r="BB238" s="26" t="n"/>
    </row>
    <row r="239">
      <c r="B239" s="61" t="inlineStr">
        <is>
          <t xml:space="preserve">  Definition basis (Non-GAAP EPS)</t>
        </is>
      </c>
      <c r="C239" s="62" t="inlineStr">
        <is>
          <t>Model (21% tax)</t>
        </is>
      </c>
      <c r="D239" s="62" t="inlineStr">
        <is>
          <t>Model (21% tax)</t>
        </is>
      </c>
      <c r="E239" s="62" t="inlineStr">
        <is>
          <t>Model (21% tax)</t>
        </is>
      </c>
      <c r="F239" s="62" t="inlineStr">
        <is>
          <t>Model (21% tax)</t>
        </is>
      </c>
      <c r="G239" s="62" t="inlineStr">
        <is>
          <t>Model (21% tax)</t>
        </is>
      </c>
      <c r="H239" s="62" t="inlineStr">
        <is>
          <t>Model (21% tax)</t>
        </is>
      </c>
      <c r="I239" s="62" t="inlineStr">
        <is>
          <t>Model (21% tax)</t>
        </is>
      </c>
      <c r="J239" s="62" t="inlineStr">
        <is>
          <t>Model (21% tax)</t>
        </is>
      </c>
      <c r="K239" s="62" t="inlineStr">
        <is>
          <t>Model (21% tax)</t>
        </is>
      </c>
      <c r="L239" s="62" t="inlineStr">
        <is>
          <t>Model (21% tax)</t>
        </is>
      </c>
      <c r="M239" s="62" t="inlineStr">
        <is>
          <t>Model (21% tax)</t>
        </is>
      </c>
      <c r="N239" s="62" t="inlineStr">
        <is>
          <t>Model (21% tax)</t>
        </is>
      </c>
      <c r="O239" s="62" t="inlineStr">
        <is>
          <t>Model (21% tax)</t>
        </is>
      </c>
      <c r="P239" s="62" t="inlineStr">
        <is>
          <t>Model (21% tax)</t>
        </is>
      </c>
      <c r="Q239" s="62" t="inlineStr">
        <is>
          <t>Model (21% tax)</t>
        </is>
      </c>
      <c r="R239" s="62" t="inlineStr">
        <is>
          <t>Model (21% tax)</t>
        </is>
      </c>
      <c r="S239" s="62" t="inlineStr">
        <is>
          <t>Model (21% tax)</t>
        </is>
      </c>
      <c r="T239" s="62" t="inlineStr">
        <is>
          <t>Model (21% tax)</t>
        </is>
      </c>
      <c r="U239" s="62" t="inlineStr">
        <is>
          <t>Model (21% tax)</t>
        </is>
      </c>
      <c r="V239" s="62" t="inlineStr">
        <is>
          <t>Model (21% tax)</t>
        </is>
      </c>
      <c r="W239" s="62" t="inlineStr">
        <is>
          <t>Model (21% tax)</t>
        </is>
      </c>
      <c r="X239" s="62" t="inlineStr">
        <is>
          <t>Model (21% tax)</t>
        </is>
      </c>
      <c r="Y239" s="62" t="inlineStr">
        <is>
          <t>Model (21% tax)</t>
        </is>
      </c>
      <c r="Z239" s="62" t="inlineStr">
        <is>
          <t>Model (21% tax)</t>
        </is>
      </c>
      <c r="AA239" s="62" t="inlineStr">
        <is>
          <t>Model (21% tax)</t>
        </is>
      </c>
      <c r="AB239" s="62" t="inlineStr">
        <is>
          <t>Model (21% tax)</t>
        </is>
      </c>
      <c r="AC239" s="62" t="inlineStr">
        <is>
          <t>Model (21% tax)</t>
        </is>
      </c>
      <c r="AD239" s="62" t="inlineStr">
        <is>
          <t>Model (21% tax)</t>
        </is>
      </c>
      <c r="AE239" s="62" t="inlineStr">
        <is>
          <t>Model (21% tax)</t>
        </is>
      </c>
      <c r="AF239" s="62" t="inlineStr">
        <is>
          <t>Model (21% tax)</t>
        </is>
      </c>
      <c r="AG239" s="62" t="inlineStr">
        <is>
          <t>Model (21% tax)</t>
        </is>
      </c>
      <c r="AH239" s="62" t="inlineStr">
        <is>
          <t>Model (21% tax)</t>
        </is>
      </c>
      <c r="AI239" s="62" t="inlineStr">
        <is>
          <t>Recast 8-K</t>
        </is>
      </c>
      <c r="AJ239" s="62" t="inlineStr">
        <is>
          <t>Recast 8-K</t>
        </is>
      </c>
      <c r="AK239" s="62" t="inlineStr">
        <is>
          <t>Recast 8-K</t>
        </is>
      </c>
      <c r="AL239" s="62" t="inlineStr">
        <is>
          <t>Recast 8-K</t>
        </is>
      </c>
      <c r="AM239" s="62" t="inlineStr">
        <is>
          <t>Company</t>
        </is>
      </c>
      <c r="AN239" s="62" t="inlineStr">
        <is>
          <t>Recast 8-K</t>
        </is>
      </c>
      <c r="AO239" s="62" t="inlineStr">
        <is>
          <t>Recast 8-K</t>
        </is>
      </c>
      <c r="AP239" s="62" t="inlineStr">
        <is>
          <t>Recast 8-K</t>
        </is>
      </c>
      <c r="AQ239" s="62" t="inlineStr">
        <is>
          <t>Company</t>
        </is>
      </c>
      <c r="AR239" s="62" t="inlineStr">
        <is>
          <t>Company</t>
        </is>
      </c>
      <c r="AS239" s="62" t="inlineStr">
        <is>
          <t>Company</t>
        </is>
      </c>
      <c r="AT239" s="62" t="inlineStr">
        <is>
          <t>Company</t>
        </is>
      </c>
      <c r="AU239" s="63" t="n"/>
      <c r="AV239" s="63" t="n"/>
      <c r="AW239" s="63" t="n"/>
      <c r="AX239" s="63" t="n"/>
      <c r="AY239" s="63" t="n"/>
      <c r="AZ239" s="63" t="n"/>
      <c r="BA239" s="63" t="n"/>
      <c r="BB239" s="26" t="n"/>
    </row>
    <row r="241">
      <c r="B241" s="10" t="inlineStr">
        <is>
          <t>GROWTH &amp; MARGINS</t>
        </is>
      </c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n"/>
      <c r="AN241" s="10" t="n"/>
      <c r="AO241" s="10" t="n"/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0" t="inlineStr">
        <is>
          <t>GROWTH &amp; MARGINS (consolidated) — forecast outputs</t>
        </is>
      </c>
    </row>
    <row r="242">
      <c r="B242" s="27" t="inlineStr">
        <is>
          <t xml:space="preserve">  Gross Bookings y/y %</t>
        </is>
      </c>
      <c r="C242" s="39" t="n"/>
      <c r="D242" s="39">
        <f>IF(AND(ISNUMBER(D99),ISNUMBER(C99)),IFERROR(D99/C99-1,""),"")</f>
        <v/>
      </c>
      <c r="E242" s="39" t="n"/>
      <c r="F242" s="39" t="n"/>
      <c r="G242" s="39" t="n"/>
      <c r="H242" s="39" t="n"/>
      <c r="I242" s="39">
        <f>IF(AND(ISNUMBER(I99),ISNUMBER(D99)),IFERROR(I99/D99-1,""),"")</f>
        <v/>
      </c>
      <c r="J242" s="39">
        <f>IF(AND(ISNUMBER(J99),ISNUMBER(E99)),IFERROR(J99/E99-1,""),"")</f>
        <v/>
      </c>
      <c r="K242" s="39">
        <f>IF(AND(ISNUMBER(K99),ISNUMBER(F99)),IFERROR(K99/F99-1,""),"")</f>
        <v/>
      </c>
      <c r="L242" s="39">
        <f>IF(AND(ISNUMBER(L99),ISNUMBER(G99)),IFERROR(L99/G99-1,""),"")</f>
        <v/>
      </c>
      <c r="M242" s="39">
        <f>IF(AND(ISNUMBER(M99),ISNUMBER(H99)),IFERROR(M99/H99-1,""),"")</f>
        <v/>
      </c>
      <c r="N242" s="39">
        <f>IF(AND(ISNUMBER(N99),ISNUMBER(I99)),IFERROR(N99/I99-1,""),"")</f>
        <v/>
      </c>
      <c r="O242" s="39">
        <f>IF(AND(ISNUMBER(O99),ISNUMBER(J99)),IFERROR(O99/J99-1,""),"")</f>
        <v/>
      </c>
      <c r="P242" s="39">
        <f>IF(AND(ISNUMBER(P99),ISNUMBER(K99)),IFERROR(P99/K99-1,""),"")</f>
        <v/>
      </c>
      <c r="Q242" s="39">
        <f>IF(AND(ISNUMBER(Q99),ISNUMBER(L99)),IFERROR(Q99/L99-1,""),"")</f>
        <v/>
      </c>
      <c r="R242" s="39">
        <f>IF(AND(ISNUMBER(R99),ISNUMBER(M99)),IFERROR(R99/M99-1,""),"")</f>
        <v/>
      </c>
      <c r="S242" s="39">
        <f>IF(AND(ISNUMBER(S99),ISNUMBER(N99)),IFERROR(S99/N99-1,""),"")</f>
        <v/>
      </c>
      <c r="T242" s="39">
        <f>IF(AND(ISNUMBER(T99),ISNUMBER(O99)),IFERROR(T99/O99-1,""),"")</f>
        <v/>
      </c>
      <c r="U242" s="39">
        <f>IF(AND(ISNUMBER(U99),ISNUMBER(P99)),IFERROR(U99/P99-1,""),"")</f>
        <v/>
      </c>
      <c r="V242" s="39">
        <f>IF(AND(ISNUMBER(V99),ISNUMBER(Q99)),IFERROR(V99/Q99-1,""),"")</f>
        <v/>
      </c>
      <c r="W242" s="39">
        <f>IF(AND(ISNUMBER(W99),ISNUMBER(R99)),IFERROR(W99/R99-1,""),"")</f>
        <v/>
      </c>
      <c r="X242" s="39">
        <f>IF(AND(ISNUMBER(X99),ISNUMBER(S99)),IFERROR(X99/S99-1,""),"")</f>
        <v/>
      </c>
      <c r="Y242" s="39">
        <f>IF(AND(ISNUMBER(Y99),ISNUMBER(T99)),IFERROR(Y99/T99-1,""),"")</f>
        <v/>
      </c>
      <c r="Z242" s="39">
        <f>IF(AND(ISNUMBER(Z99),ISNUMBER(U99)),IFERROR(Z99/U99-1,""),"")</f>
        <v/>
      </c>
      <c r="AA242" s="39">
        <f>IF(AND(ISNUMBER(AA99),ISNUMBER(V99)),IFERROR(AA99/V99-1,""),"")</f>
        <v/>
      </c>
      <c r="AB242" s="39">
        <f>IF(AND(ISNUMBER(AB99),ISNUMBER(W99)),IFERROR(AB99/W99-1,""),"")</f>
        <v/>
      </c>
      <c r="AC242" s="39">
        <f>IF(AND(ISNUMBER(AC99),ISNUMBER(X99)),IFERROR(AC99/X99-1,""),"")</f>
        <v/>
      </c>
      <c r="AD242" s="39">
        <f>IF(AND(ISNUMBER(AD99),ISNUMBER(Y99)),IFERROR(AD99/Y99-1,""),"")</f>
        <v/>
      </c>
      <c r="AE242" s="39">
        <f>IF(AND(ISNUMBER(AE99),ISNUMBER(Z99)),IFERROR(AE99/Z99-1,""),"")</f>
        <v/>
      </c>
      <c r="AF242" s="39">
        <f>IF(AND(ISNUMBER(AF99),ISNUMBER(AA99)),IFERROR(AF99/AA99-1,""),"")</f>
        <v/>
      </c>
      <c r="AG242" s="39">
        <f>IF(AND(ISNUMBER(AG99),ISNUMBER(AB99)),IFERROR(AG99/AB99-1,""),"")</f>
        <v/>
      </c>
      <c r="AH242" s="39">
        <f>IF(AND(ISNUMBER(AH99),ISNUMBER(AC99)),IFERROR(AH99/AC99-1,""),"")</f>
        <v/>
      </c>
      <c r="AI242" s="39">
        <f>IF(AND(ISNUMBER(AI99),ISNUMBER(AD99)),IFERROR(AI99/AD99-1,""),"")</f>
        <v/>
      </c>
      <c r="AJ242" s="39">
        <f>IF(AND(ISNUMBER(AJ99),ISNUMBER(AE99)),IFERROR(AJ99/AE99-1,""),"")</f>
        <v/>
      </c>
      <c r="AK242" s="39">
        <f>IF(AND(ISNUMBER(AK99),ISNUMBER(AF99)),IFERROR(AK99/AF99-1,""),"")</f>
        <v/>
      </c>
      <c r="AL242" s="39">
        <f>IF(AND(ISNUMBER(AL99),ISNUMBER(AG99)),IFERROR(AL99/AG99-1,""),"")</f>
        <v/>
      </c>
      <c r="AM242" s="39">
        <f>IF(AND(ISNUMBER(AM99),ISNUMBER(AH99)),IFERROR(AM99/AH99-1,""),"")</f>
        <v/>
      </c>
      <c r="AN242" s="39">
        <f>IF(AND(ISNUMBER(AN99),ISNUMBER(AI99)),IFERROR(AN99/AI99-1,""),"")</f>
        <v/>
      </c>
      <c r="AO242" s="39">
        <f>IF(AND(ISNUMBER(AO99),ISNUMBER(AJ99)),IFERROR(AO99/AJ99-1,""),"")</f>
        <v/>
      </c>
      <c r="AP242" s="39">
        <f>IF(AND(ISNUMBER(AP99),ISNUMBER(AK99)),IFERROR(AP99/AK99-1,""),"")</f>
        <v/>
      </c>
      <c r="AQ242" s="39">
        <f>IF(AND(ISNUMBER(AQ99),ISNUMBER(AL99)),IFERROR(AQ99/AL99-1,""),"")</f>
        <v/>
      </c>
      <c r="AR242" s="39">
        <f>IF(AND(ISNUMBER(AR99),ISNUMBER(AM99)),IFERROR(AR99/AM99-1,""),"")</f>
        <v/>
      </c>
      <c r="AS242" s="39">
        <f>IF(AND(ISNUMBER(AS99),ISNUMBER(AN99)),IFERROR(AS99/AN99-1,""),"")</f>
        <v/>
      </c>
      <c r="AT242" s="39">
        <f>IF(AND(ISNUMBER(AT99),ISNUMBER(AO99)),IFERROR(AT99/AO99-1,""),"")</f>
        <v/>
      </c>
      <c r="AU242" s="25">
        <f>IFERROR(AU99/AP99-1,"")</f>
        <v/>
      </c>
      <c r="AV242" s="25">
        <f>IFERROR(AV99/AQ99-1,"")</f>
        <v/>
      </c>
      <c r="AW242" s="25">
        <f>IFERROR(AW99/AR99-1,"")</f>
        <v/>
      </c>
      <c r="AX242" s="25">
        <f>IFERROR(AX99/AW99-1,"")</f>
        <v/>
      </c>
      <c r="AY242" s="25">
        <f>IFERROR(AY99/AX99-1,"")</f>
        <v/>
      </c>
      <c r="AZ242" s="25">
        <f>IFERROR(AZ99/AY99-1,"")</f>
        <v/>
      </c>
      <c r="BA242" s="25">
        <f>IFERROR(BA99/AZ99-1,"")</f>
        <v/>
      </c>
      <c r="BB242" s="26" t="n"/>
    </row>
    <row r="243">
      <c r="B243" s="27" t="inlineStr">
        <is>
          <t xml:space="preserve">  Trips y/y %</t>
        </is>
      </c>
      <c r="C243" s="39" t="n"/>
      <c r="D243" s="39">
        <f>IF(AND(ISNUMBER(D13),ISNUMBER(C13)),IFERROR(D13/C13-1,""),"")</f>
        <v/>
      </c>
      <c r="E243" s="39" t="n"/>
      <c r="F243" s="39" t="n"/>
      <c r="G243" s="39" t="n"/>
      <c r="H243" s="39" t="n"/>
      <c r="I243" s="39">
        <f>IF(AND(ISNUMBER(I13),ISNUMBER(D13)),IFERROR(I13/D13-1,""),"")</f>
        <v/>
      </c>
      <c r="J243" s="39">
        <f>IF(AND(ISNUMBER(J13),ISNUMBER(E13)),IFERROR(J13/E13-1,""),"")</f>
        <v/>
      </c>
      <c r="K243" s="39">
        <f>IF(AND(ISNUMBER(K13),ISNUMBER(F13)),IFERROR(K13/F13-1,""),"")</f>
        <v/>
      </c>
      <c r="L243" s="39">
        <f>IF(AND(ISNUMBER(L13),ISNUMBER(G13)),IFERROR(L13/G13-1,""),"")</f>
        <v/>
      </c>
      <c r="M243" s="39">
        <f>IF(AND(ISNUMBER(M13),ISNUMBER(H13)),IFERROR(M13/H13-1,""),"")</f>
        <v/>
      </c>
      <c r="N243" s="39">
        <f>IF(AND(ISNUMBER(N13),ISNUMBER(I13)),IFERROR(N13/I13-1,""),"")</f>
        <v/>
      </c>
      <c r="O243" s="39">
        <f>IF(AND(ISNUMBER(O13),ISNUMBER(J13)),IFERROR(O13/J13-1,""),"")</f>
        <v/>
      </c>
      <c r="P243" s="39">
        <f>IF(AND(ISNUMBER(P13),ISNUMBER(K13)),IFERROR(P13/K13-1,""),"")</f>
        <v/>
      </c>
      <c r="Q243" s="39">
        <f>IF(AND(ISNUMBER(Q13),ISNUMBER(L13)),IFERROR(Q13/L13-1,""),"")</f>
        <v/>
      </c>
      <c r="R243" s="39">
        <f>IF(AND(ISNUMBER(R13),ISNUMBER(M13)),IFERROR(R13/M13-1,""),"")</f>
        <v/>
      </c>
      <c r="S243" s="39">
        <f>IF(AND(ISNUMBER(S13),ISNUMBER(N13)),IFERROR(S13/N13-1,""),"")</f>
        <v/>
      </c>
      <c r="T243" s="39">
        <f>IF(AND(ISNUMBER(T13),ISNUMBER(O13)),IFERROR(T13/O13-1,""),"")</f>
        <v/>
      </c>
      <c r="U243" s="39">
        <f>IF(AND(ISNUMBER(U13),ISNUMBER(P13)),IFERROR(U13/P13-1,""),"")</f>
        <v/>
      </c>
      <c r="V243" s="39">
        <f>IF(AND(ISNUMBER(V13),ISNUMBER(Q13)),IFERROR(V13/Q13-1,""),"")</f>
        <v/>
      </c>
      <c r="W243" s="39">
        <f>IF(AND(ISNUMBER(W13),ISNUMBER(R13)),IFERROR(W13/R13-1,""),"")</f>
        <v/>
      </c>
      <c r="X243" s="39">
        <f>IF(AND(ISNUMBER(X13),ISNUMBER(S13)),IFERROR(X13/S13-1,""),"")</f>
        <v/>
      </c>
      <c r="Y243" s="39">
        <f>IF(AND(ISNUMBER(Y13),ISNUMBER(T13)),IFERROR(Y13/T13-1,""),"")</f>
        <v/>
      </c>
      <c r="Z243" s="39">
        <f>IF(AND(ISNUMBER(Z13),ISNUMBER(U13)),IFERROR(Z13/U13-1,""),"")</f>
        <v/>
      </c>
      <c r="AA243" s="39">
        <f>IF(AND(ISNUMBER(AA13),ISNUMBER(V13)),IFERROR(AA13/V13-1,""),"")</f>
        <v/>
      </c>
      <c r="AB243" s="39">
        <f>IF(AND(ISNUMBER(AB13),ISNUMBER(W13)),IFERROR(AB13/W13-1,""),"")</f>
        <v/>
      </c>
      <c r="AC243" s="39">
        <f>IF(AND(ISNUMBER(AC13),ISNUMBER(X13)),IFERROR(AC13/X13-1,""),"")</f>
        <v/>
      </c>
      <c r="AD243" s="39">
        <f>IF(AND(ISNUMBER(AD13),ISNUMBER(Y13)),IFERROR(AD13/Y13-1,""),"")</f>
        <v/>
      </c>
      <c r="AE243" s="39">
        <f>IF(AND(ISNUMBER(AE13),ISNUMBER(Z13)),IFERROR(AE13/Z13-1,""),"")</f>
        <v/>
      </c>
      <c r="AF243" s="39">
        <f>IF(AND(ISNUMBER(AF13),ISNUMBER(AA13)),IFERROR(AF13/AA13-1,""),"")</f>
        <v/>
      </c>
      <c r="AG243" s="39">
        <f>IF(AND(ISNUMBER(AG13),ISNUMBER(AB13)),IFERROR(AG13/AB13-1,""),"")</f>
        <v/>
      </c>
      <c r="AH243" s="39">
        <f>IF(AND(ISNUMBER(AH13),ISNUMBER(AC13)),IFERROR(AH13/AC13-1,""),"")</f>
        <v/>
      </c>
      <c r="AI243" s="39">
        <f>IF(AND(ISNUMBER(AI13),ISNUMBER(AD13)),IFERROR(AI13/AD13-1,""),"")</f>
        <v/>
      </c>
      <c r="AJ243" s="39">
        <f>IF(AND(ISNUMBER(AJ13),ISNUMBER(AE13)),IFERROR(AJ13/AE13-1,""),"")</f>
        <v/>
      </c>
      <c r="AK243" s="39">
        <f>IF(AND(ISNUMBER(AK13),ISNUMBER(AF13)),IFERROR(AK13/AF13-1,""),"")</f>
        <v/>
      </c>
      <c r="AL243" s="39">
        <f>IF(AND(ISNUMBER(AL13),ISNUMBER(AG13)),IFERROR(AL13/AG13-1,""),"")</f>
        <v/>
      </c>
      <c r="AM243" s="39">
        <f>IF(AND(ISNUMBER(AM13),ISNUMBER(AH13)),IFERROR(AM13/AH13-1,""),"")</f>
        <v/>
      </c>
      <c r="AN243" s="39">
        <f>IF(AND(ISNUMBER(AN13),ISNUMBER(AI13)),IFERROR(AN13/AI13-1,""),"")</f>
        <v/>
      </c>
      <c r="AO243" s="39">
        <f>IF(AND(ISNUMBER(AO13),ISNUMBER(AJ13)),IFERROR(AO13/AJ13-1,""),"")</f>
        <v/>
      </c>
      <c r="AP243" s="39">
        <f>IF(AND(ISNUMBER(AP13),ISNUMBER(AK13)),IFERROR(AP13/AK13-1,""),"")</f>
        <v/>
      </c>
      <c r="AQ243" s="39">
        <f>IF(AND(ISNUMBER(AQ13),ISNUMBER(AL13)),IFERROR(AQ13/AL13-1,""),"")</f>
        <v/>
      </c>
      <c r="AR243" s="39">
        <f>IF(AND(ISNUMBER(AR13),ISNUMBER(AM13)),IFERROR(AR13/AM13-1,""),"")</f>
        <v/>
      </c>
      <c r="AS243" s="39">
        <f>IF(AND(ISNUMBER(AS13),ISNUMBER(AN13)),IFERROR(AS13/AN13-1,""),"")</f>
        <v/>
      </c>
      <c r="AT243" s="39">
        <f>IF(AND(ISNUMBER(AT13),ISNUMBER(AO13)),IFERROR(AT13/AO13-1,""),"")</f>
        <v/>
      </c>
      <c r="AU243" s="25">
        <f>IFERROR(AU13/AP13-1,"")</f>
        <v/>
      </c>
      <c r="AV243" s="25">
        <f>IFERROR(AV13/AQ13-1,"")</f>
        <v/>
      </c>
      <c r="AW243" s="25">
        <f>IFERROR(AW13/AR13-1,"")</f>
        <v/>
      </c>
      <c r="AX243" s="25">
        <f>IFERROR(AX13/AW13-1,"")</f>
        <v/>
      </c>
      <c r="AY243" s="25">
        <f>IFERROR(AY13/AX13-1,"")</f>
        <v/>
      </c>
      <c r="AZ243" s="25">
        <f>IFERROR(AZ13/AY13-1,"")</f>
        <v/>
      </c>
      <c r="BA243" s="25">
        <f>IFERROR(BA13/AZ13-1,"")</f>
        <v/>
      </c>
      <c r="BB243" s="26" t="n"/>
    </row>
    <row r="244">
      <c r="B244" s="27" t="inlineStr">
        <is>
          <t xml:space="preserve">  MAPCs y/y %</t>
        </is>
      </c>
      <c r="C244" s="39" t="n"/>
      <c r="D244" s="39">
        <f>IF(AND(ISNUMBER(D11),ISNUMBER(C11)),IFERROR(D11/C11-1,""),"")</f>
        <v/>
      </c>
      <c r="E244" s="39" t="n"/>
      <c r="F244" s="39" t="n"/>
      <c r="G244" s="39" t="n"/>
      <c r="H244" s="39" t="n"/>
      <c r="I244" s="39">
        <f>IF(AND(ISNUMBER(I11),ISNUMBER(D11)),IFERROR(I11/D11-1,""),"")</f>
        <v/>
      </c>
      <c r="J244" s="39">
        <f>IF(AND(ISNUMBER(J11),ISNUMBER(E11)),IFERROR(J11/E11-1,""),"")</f>
        <v/>
      </c>
      <c r="K244" s="39">
        <f>IF(AND(ISNUMBER(K11),ISNUMBER(F11)),IFERROR(K11/F11-1,""),"")</f>
        <v/>
      </c>
      <c r="L244" s="39">
        <f>IF(AND(ISNUMBER(L11),ISNUMBER(G11)),IFERROR(L11/G11-1,""),"")</f>
        <v/>
      </c>
      <c r="M244" s="39">
        <f>IF(AND(ISNUMBER(M11),ISNUMBER(H11)),IFERROR(M11/H11-1,""),"")</f>
        <v/>
      </c>
      <c r="N244" s="39">
        <f>IF(AND(ISNUMBER(N11),ISNUMBER(I11)),IFERROR(N11/I11-1,""),"")</f>
        <v/>
      </c>
      <c r="O244" s="39">
        <f>IF(AND(ISNUMBER(O11),ISNUMBER(J11)),IFERROR(O11/J11-1,""),"")</f>
        <v/>
      </c>
      <c r="P244" s="39">
        <f>IF(AND(ISNUMBER(P11),ISNUMBER(K11)),IFERROR(P11/K11-1,""),"")</f>
        <v/>
      </c>
      <c r="Q244" s="39">
        <f>IF(AND(ISNUMBER(Q11),ISNUMBER(L11)),IFERROR(Q11/L11-1,""),"")</f>
        <v/>
      </c>
      <c r="R244" s="39">
        <f>IF(AND(ISNUMBER(R11),ISNUMBER(M11)),IFERROR(R11/M11-1,""),"")</f>
        <v/>
      </c>
      <c r="S244" s="39">
        <f>IF(AND(ISNUMBER(S11),ISNUMBER(N11)),IFERROR(S11/N11-1,""),"")</f>
        <v/>
      </c>
      <c r="T244" s="39">
        <f>IF(AND(ISNUMBER(T11),ISNUMBER(O11)),IFERROR(T11/O11-1,""),"")</f>
        <v/>
      </c>
      <c r="U244" s="39">
        <f>IF(AND(ISNUMBER(U11),ISNUMBER(P11)),IFERROR(U11/P11-1,""),"")</f>
        <v/>
      </c>
      <c r="V244" s="39">
        <f>IF(AND(ISNUMBER(V11),ISNUMBER(Q11)),IFERROR(V11/Q11-1,""),"")</f>
        <v/>
      </c>
      <c r="W244" s="39">
        <f>IF(AND(ISNUMBER(W11),ISNUMBER(R11)),IFERROR(W11/R11-1,""),"")</f>
        <v/>
      </c>
      <c r="X244" s="39">
        <f>IF(AND(ISNUMBER(X11),ISNUMBER(S11)),IFERROR(X11/S11-1,""),"")</f>
        <v/>
      </c>
      <c r="Y244" s="39">
        <f>IF(AND(ISNUMBER(Y11),ISNUMBER(T11)),IFERROR(Y11/T11-1,""),"")</f>
        <v/>
      </c>
      <c r="Z244" s="39">
        <f>IF(AND(ISNUMBER(Z11),ISNUMBER(U11)),IFERROR(Z11/U11-1,""),"")</f>
        <v/>
      </c>
      <c r="AA244" s="39">
        <f>IF(AND(ISNUMBER(AA11),ISNUMBER(V11)),IFERROR(AA11/V11-1,""),"")</f>
        <v/>
      </c>
      <c r="AB244" s="39">
        <f>IF(AND(ISNUMBER(AB11),ISNUMBER(W11)),IFERROR(AB11/W11-1,""),"")</f>
        <v/>
      </c>
      <c r="AC244" s="39">
        <f>IF(AND(ISNUMBER(AC11),ISNUMBER(X11)),IFERROR(AC11/X11-1,""),"")</f>
        <v/>
      </c>
      <c r="AD244" s="39">
        <f>IF(AND(ISNUMBER(AD11),ISNUMBER(Y11)),IFERROR(AD11/Y11-1,""),"")</f>
        <v/>
      </c>
      <c r="AE244" s="39">
        <f>IF(AND(ISNUMBER(AE11),ISNUMBER(Z11)),IFERROR(AE11/Z11-1,""),"")</f>
        <v/>
      </c>
      <c r="AF244" s="39">
        <f>IF(AND(ISNUMBER(AF11),ISNUMBER(AA11)),IFERROR(AF11/AA11-1,""),"")</f>
        <v/>
      </c>
      <c r="AG244" s="39">
        <f>IF(AND(ISNUMBER(AG11),ISNUMBER(AB11)),IFERROR(AG11/AB11-1,""),"")</f>
        <v/>
      </c>
      <c r="AH244" s="39">
        <f>IF(AND(ISNUMBER(AH11),ISNUMBER(AC11)),IFERROR(AH11/AC11-1,""),"")</f>
        <v/>
      </c>
      <c r="AI244" s="39">
        <f>IF(AND(ISNUMBER(AI11),ISNUMBER(AD11)),IFERROR(AI11/AD11-1,""),"")</f>
        <v/>
      </c>
      <c r="AJ244" s="39">
        <f>IF(AND(ISNUMBER(AJ11),ISNUMBER(AE11)),IFERROR(AJ11/AE11-1,""),"")</f>
        <v/>
      </c>
      <c r="AK244" s="39">
        <f>IF(AND(ISNUMBER(AK11),ISNUMBER(AF11)),IFERROR(AK11/AF11-1,""),"")</f>
        <v/>
      </c>
      <c r="AL244" s="39">
        <f>IF(AND(ISNUMBER(AL11),ISNUMBER(AG11)),IFERROR(AL11/AG11-1,""),"")</f>
        <v/>
      </c>
      <c r="AM244" s="39">
        <f>IF(AND(ISNUMBER(AM11),ISNUMBER(AH11)),IFERROR(AM11/AH11-1,""),"")</f>
        <v/>
      </c>
      <c r="AN244" s="39">
        <f>IF(AND(ISNUMBER(AN11),ISNUMBER(AI11)),IFERROR(AN11/AI11-1,""),"")</f>
        <v/>
      </c>
      <c r="AO244" s="39">
        <f>IF(AND(ISNUMBER(AO11),ISNUMBER(AJ11)),IFERROR(AO11/AJ11-1,""),"")</f>
        <v/>
      </c>
      <c r="AP244" s="39">
        <f>IF(AND(ISNUMBER(AP11),ISNUMBER(AK11)),IFERROR(AP11/AK11-1,""),"")</f>
        <v/>
      </c>
      <c r="AQ244" s="39">
        <f>IF(AND(ISNUMBER(AQ11),ISNUMBER(AL11)),IFERROR(AQ11/AL11-1,""),"")</f>
        <v/>
      </c>
      <c r="AR244" s="39">
        <f>IF(AND(ISNUMBER(AR11),ISNUMBER(AM11)),IFERROR(AR11/AM11-1,""),"")</f>
        <v/>
      </c>
      <c r="AS244" s="39">
        <f>IF(AND(ISNUMBER(AS11),ISNUMBER(AN11)),IFERROR(AS11/AN11-1,""),"")</f>
        <v/>
      </c>
      <c r="AT244" s="39">
        <f>IF(AND(ISNUMBER(AT11),ISNUMBER(AO11)),IFERROR(AT11/AO11-1,""),"")</f>
        <v/>
      </c>
      <c r="AU244" s="25">
        <f>IFERROR(AU11/AP11-1,"")</f>
        <v/>
      </c>
      <c r="AV244" s="25">
        <f>IFERROR(AV11/AQ11-1,"")</f>
        <v/>
      </c>
      <c r="AW244" s="25">
        <f>IFERROR(AW11/AR11-1,"")</f>
        <v/>
      </c>
      <c r="AX244" s="25">
        <f>IFERROR(AX11/AW11-1,"")</f>
        <v/>
      </c>
      <c r="AY244" s="25">
        <f>IFERROR(AY11/AX11-1,"")</f>
        <v/>
      </c>
      <c r="AZ244" s="25">
        <f>IFERROR(AZ11/AY11-1,"")</f>
        <v/>
      </c>
      <c r="BA244" s="25">
        <f>IFERROR(BA11/AZ11-1,"")</f>
        <v/>
      </c>
      <c r="BB244" s="26" t="n"/>
    </row>
    <row r="245">
      <c r="B245" s="27" t="inlineStr">
        <is>
          <t xml:space="preserve">  Mobility Gross Bookings y/y %</t>
        </is>
      </c>
      <c r="C245" s="39" t="n"/>
      <c r="D245" s="39">
        <f>IF(AND(ISNUMBER(D24),ISNUMBER(C24)),IFERROR(D24/C24-1,""),"")</f>
        <v/>
      </c>
      <c r="E245" s="39" t="n"/>
      <c r="F245" s="39" t="n"/>
      <c r="G245" s="39" t="n"/>
      <c r="H245" s="39" t="n"/>
      <c r="I245" s="39">
        <f>IF(AND(ISNUMBER(I24),ISNUMBER(D24)),IFERROR(I24/D24-1,""),"")</f>
        <v/>
      </c>
      <c r="J245" s="39">
        <f>IF(AND(ISNUMBER(J24),ISNUMBER(E24)),IFERROR(J24/E24-1,""),"")</f>
        <v/>
      </c>
      <c r="K245" s="39">
        <f>IF(AND(ISNUMBER(K24),ISNUMBER(F24)),IFERROR(K24/F24-1,""),"")</f>
        <v/>
      </c>
      <c r="L245" s="39">
        <f>IF(AND(ISNUMBER(L24),ISNUMBER(G24)),IFERROR(L24/G24-1,""),"")</f>
        <v/>
      </c>
      <c r="M245" s="39">
        <f>IF(AND(ISNUMBER(M24),ISNUMBER(H24)),IFERROR(M24/H24-1,""),"")</f>
        <v/>
      </c>
      <c r="N245" s="39">
        <f>IF(AND(ISNUMBER(N24),ISNUMBER(I24)),IFERROR(N24/I24-1,""),"")</f>
        <v/>
      </c>
      <c r="O245" s="39">
        <f>IF(AND(ISNUMBER(O24),ISNUMBER(J24)),IFERROR(O24/J24-1,""),"")</f>
        <v/>
      </c>
      <c r="P245" s="39">
        <f>IF(AND(ISNUMBER(P24),ISNUMBER(K24)),IFERROR(P24/K24-1,""),"")</f>
        <v/>
      </c>
      <c r="Q245" s="39">
        <f>IF(AND(ISNUMBER(Q24),ISNUMBER(L24)),IFERROR(Q24/L24-1,""),"")</f>
        <v/>
      </c>
      <c r="R245" s="39">
        <f>IF(AND(ISNUMBER(R24),ISNUMBER(M24)),IFERROR(R24/M24-1,""),"")</f>
        <v/>
      </c>
      <c r="S245" s="39">
        <f>IF(AND(ISNUMBER(S24),ISNUMBER(N24)),IFERROR(S24/N24-1,""),"")</f>
        <v/>
      </c>
      <c r="T245" s="39">
        <f>IF(AND(ISNUMBER(T24),ISNUMBER(O24)),IFERROR(T24/O24-1,""),"")</f>
        <v/>
      </c>
      <c r="U245" s="39">
        <f>IF(AND(ISNUMBER(U24),ISNUMBER(P24)),IFERROR(U24/P24-1,""),"")</f>
        <v/>
      </c>
      <c r="V245" s="39">
        <f>IF(AND(ISNUMBER(V24),ISNUMBER(Q24)),IFERROR(V24/Q24-1,""),"")</f>
        <v/>
      </c>
      <c r="W245" s="39">
        <f>IF(AND(ISNUMBER(W24),ISNUMBER(R24)),IFERROR(W24/R24-1,""),"")</f>
        <v/>
      </c>
      <c r="X245" s="39">
        <f>IF(AND(ISNUMBER(X24),ISNUMBER(S24)),IFERROR(X24/S24-1,""),"")</f>
        <v/>
      </c>
      <c r="Y245" s="39">
        <f>IF(AND(ISNUMBER(Y24),ISNUMBER(T24)),IFERROR(Y24/T24-1,""),"")</f>
        <v/>
      </c>
      <c r="Z245" s="39">
        <f>IF(AND(ISNUMBER(Z24),ISNUMBER(U24)),IFERROR(Z24/U24-1,""),"")</f>
        <v/>
      </c>
      <c r="AA245" s="39">
        <f>IF(AND(ISNUMBER(AA24),ISNUMBER(V24)),IFERROR(AA24/V24-1,""),"")</f>
        <v/>
      </c>
      <c r="AB245" s="39">
        <f>IF(AND(ISNUMBER(AB24),ISNUMBER(W24)),IFERROR(AB24/W24-1,""),"")</f>
        <v/>
      </c>
      <c r="AC245" s="39">
        <f>IF(AND(ISNUMBER(AC24),ISNUMBER(X24)),IFERROR(AC24/X24-1,""),"")</f>
        <v/>
      </c>
      <c r="AD245" s="39">
        <f>IF(AND(ISNUMBER(AD24),ISNUMBER(Y24)),IFERROR(AD24/Y24-1,""),"")</f>
        <v/>
      </c>
      <c r="AE245" s="39">
        <f>IF(AND(ISNUMBER(AE24),ISNUMBER(Z24)),IFERROR(AE24/Z24-1,""),"")</f>
        <v/>
      </c>
      <c r="AF245" s="39">
        <f>IF(AND(ISNUMBER(AF24),ISNUMBER(AA24)),IFERROR(AF24/AA24-1,""),"")</f>
        <v/>
      </c>
      <c r="AG245" s="39">
        <f>IF(AND(ISNUMBER(AG24),ISNUMBER(AB24)),IFERROR(AG24/AB24-1,""),"")</f>
        <v/>
      </c>
      <c r="AH245" s="39">
        <f>IF(AND(ISNUMBER(AH24),ISNUMBER(AC24)),IFERROR(AH24/AC24-1,""),"")</f>
        <v/>
      </c>
      <c r="AI245" s="39">
        <f>IF(AND(ISNUMBER(AI24),ISNUMBER(AD24)),IFERROR(AI24/AD24-1,""),"")</f>
        <v/>
      </c>
      <c r="AJ245" s="39">
        <f>IF(AND(ISNUMBER(AJ24),ISNUMBER(AE24)),IFERROR(AJ24/AE24-1,""),"")</f>
        <v/>
      </c>
      <c r="AK245" s="39">
        <f>IF(AND(ISNUMBER(AK24),ISNUMBER(AF24)),IFERROR(AK24/AF24-1,""),"")</f>
        <v/>
      </c>
      <c r="AL245" s="39">
        <f>IF(AND(ISNUMBER(AL24),ISNUMBER(AG24)),IFERROR(AL24/AG24-1,""),"")</f>
        <v/>
      </c>
      <c r="AM245" s="39">
        <f>IF(AND(ISNUMBER(AM24),ISNUMBER(AH24)),IFERROR(AM24/AH24-1,""),"")</f>
        <v/>
      </c>
      <c r="AN245" s="39">
        <f>IF(AND(ISNUMBER(AN24),ISNUMBER(AI24)),IFERROR(AN24/AI24-1,""),"")</f>
        <v/>
      </c>
      <c r="AO245" s="39">
        <f>IF(AND(ISNUMBER(AO24),ISNUMBER(AJ24)),IFERROR(AO24/AJ24-1,""),"")</f>
        <v/>
      </c>
      <c r="AP245" s="39">
        <f>IF(AND(ISNUMBER(AP24),ISNUMBER(AK24)),IFERROR(AP24/AK24-1,""),"")</f>
        <v/>
      </c>
      <c r="AQ245" s="39">
        <f>IF(AND(ISNUMBER(AQ24),ISNUMBER(AL24)),IFERROR(AQ24/AL24-1,""),"")</f>
        <v/>
      </c>
      <c r="AR245" s="39">
        <f>IF(AND(ISNUMBER(AR24),ISNUMBER(AM24)),IFERROR(AR24/AM24-1,""),"")</f>
        <v/>
      </c>
      <c r="AS245" s="39">
        <f>IF(AND(ISNUMBER(AS24),ISNUMBER(AN24)),IFERROR(AS24/AN24-1,""),"")</f>
        <v/>
      </c>
      <c r="AT245" s="39">
        <f>IF(AND(ISNUMBER(AT24),ISNUMBER(AO24)),IFERROR(AT24/AO24-1,""),"")</f>
        <v/>
      </c>
      <c r="AU245" s="25">
        <f>IFERROR(AU24/AP24-1,"")</f>
        <v/>
      </c>
      <c r="AV245" s="25">
        <f>IFERROR(AV24/AQ24-1,"")</f>
        <v/>
      </c>
      <c r="AW245" s="25">
        <f>IFERROR(AW24/AR24-1,"")</f>
        <v/>
      </c>
      <c r="AX245" s="25">
        <f>IFERROR(AX24/AW24-1,"")</f>
        <v/>
      </c>
      <c r="AY245" s="25">
        <f>IFERROR(AY24/AX24-1,"")</f>
        <v/>
      </c>
      <c r="AZ245" s="25">
        <f>IFERROR(AZ24/AY24-1,"")</f>
        <v/>
      </c>
      <c r="BA245" s="25">
        <f>IFERROR(BA24/AZ24-1,"")</f>
        <v/>
      </c>
      <c r="BB245" s="26" t="n"/>
    </row>
    <row r="246">
      <c r="B246" s="27" t="inlineStr">
        <is>
          <t xml:space="preserve">  Delivery Gross Bookings y/y %</t>
        </is>
      </c>
      <c r="C246" s="39" t="n"/>
      <c r="D246" s="39">
        <f>IF(AND(ISNUMBER(D36),ISNUMBER(C36)),IFERROR(D36/C36-1,""),"")</f>
        <v/>
      </c>
      <c r="E246" s="39" t="n"/>
      <c r="F246" s="39" t="n"/>
      <c r="G246" s="39" t="n"/>
      <c r="H246" s="39" t="n"/>
      <c r="I246" s="39">
        <f>IF(AND(ISNUMBER(I36),ISNUMBER(D36)),IFERROR(I36/D36-1,""),"")</f>
        <v/>
      </c>
      <c r="J246" s="39">
        <f>IF(AND(ISNUMBER(J36),ISNUMBER(E36)),IFERROR(J36/E36-1,""),"")</f>
        <v/>
      </c>
      <c r="K246" s="39">
        <f>IF(AND(ISNUMBER(K36),ISNUMBER(F36)),IFERROR(K36/F36-1,""),"")</f>
        <v/>
      </c>
      <c r="L246" s="39">
        <f>IF(AND(ISNUMBER(L36),ISNUMBER(G36)),IFERROR(L36/G36-1,""),"")</f>
        <v/>
      </c>
      <c r="M246" s="39">
        <f>IF(AND(ISNUMBER(M36),ISNUMBER(H36)),IFERROR(M36/H36-1,""),"")</f>
        <v/>
      </c>
      <c r="N246" s="39">
        <f>IF(AND(ISNUMBER(N36),ISNUMBER(I36)),IFERROR(N36/I36-1,""),"")</f>
        <v/>
      </c>
      <c r="O246" s="39">
        <f>IF(AND(ISNUMBER(O36),ISNUMBER(J36)),IFERROR(O36/J36-1,""),"")</f>
        <v/>
      </c>
      <c r="P246" s="39">
        <f>IF(AND(ISNUMBER(P36),ISNUMBER(K36)),IFERROR(P36/K36-1,""),"")</f>
        <v/>
      </c>
      <c r="Q246" s="39">
        <f>IF(AND(ISNUMBER(Q36),ISNUMBER(L36)),IFERROR(Q36/L36-1,""),"")</f>
        <v/>
      </c>
      <c r="R246" s="39">
        <f>IF(AND(ISNUMBER(R36),ISNUMBER(M36)),IFERROR(R36/M36-1,""),"")</f>
        <v/>
      </c>
      <c r="S246" s="39">
        <f>IF(AND(ISNUMBER(S36),ISNUMBER(N36)),IFERROR(S36/N36-1,""),"")</f>
        <v/>
      </c>
      <c r="T246" s="39">
        <f>IF(AND(ISNUMBER(T36),ISNUMBER(O36)),IFERROR(T36/O36-1,""),"")</f>
        <v/>
      </c>
      <c r="U246" s="39">
        <f>IF(AND(ISNUMBER(U36),ISNUMBER(P36)),IFERROR(U36/P36-1,""),"")</f>
        <v/>
      </c>
      <c r="V246" s="39">
        <f>IF(AND(ISNUMBER(V36),ISNUMBER(Q36)),IFERROR(V36/Q36-1,""),"")</f>
        <v/>
      </c>
      <c r="W246" s="39">
        <f>IF(AND(ISNUMBER(W36),ISNUMBER(R36)),IFERROR(W36/R36-1,""),"")</f>
        <v/>
      </c>
      <c r="X246" s="39">
        <f>IF(AND(ISNUMBER(X36),ISNUMBER(S36)),IFERROR(X36/S36-1,""),"")</f>
        <v/>
      </c>
      <c r="Y246" s="39">
        <f>IF(AND(ISNUMBER(Y36),ISNUMBER(T36)),IFERROR(Y36/T36-1,""),"")</f>
        <v/>
      </c>
      <c r="Z246" s="39">
        <f>IF(AND(ISNUMBER(Z36),ISNUMBER(U36)),IFERROR(Z36/U36-1,""),"")</f>
        <v/>
      </c>
      <c r="AA246" s="39">
        <f>IF(AND(ISNUMBER(AA36),ISNUMBER(V36)),IFERROR(AA36/V36-1,""),"")</f>
        <v/>
      </c>
      <c r="AB246" s="39">
        <f>IF(AND(ISNUMBER(AB36),ISNUMBER(W36)),IFERROR(AB36/W36-1,""),"")</f>
        <v/>
      </c>
      <c r="AC246" s="39">
        <f>IF(AND(ISNUMBER(AC36),ISNUMBER(X36)),IFERROR(AC36/X36-1,""),"")</f>
        <v/>
      </c>
      <c r="AD246" s="39">
        <f>IF(AND(ISNUMBER(AD36),ISNUMBER(Y36)),IFERROR(AD36/Y36-1,""),"")</f>
        <v/>
      </c>
      <c r="AE246" s="39">
        <f>IF(AND(ISNUMBER(AE36),ISNUMBER(Z36)),IFERROR(AE36/Z36-1,""),"")</f>
        <v/>
      </c>
      <c r="AF246" s="39">
        <f>IF(AND(ISNUMBER(AF36),ISNUMBER(AA36)),IFERROR(AF36/AA36-1,""),"")</f>
        <v/>
      </c>
      <c r="AG246" s="39">
        <f>IF(AND(ISNUMBER(AG36),ISNUMBER(AB36)),IFERROR(AG36/AB36-1,""),"")</f>
        <v/>
      </c>
      <c r="AH246" s="39">
        <f>IF(AND(ISNUMBER(AH36),ISNUMBER(AC36)),IFERROR(AH36/AC36-1,""),"")</f>
        <v/>
      </c>
      <c r="AI246" s="39">
        <f>IF(AND(ISNUMBER(AI36),ISNUMBER(AD36)),IFERROR(AI36/AD36-1,""),"")</f>
        <v/>
      </c>
      <c r="AJ246" s="39">
        <f>IF(AND(ISNUMBER(AJ36),ISNUMBER(AE36)),IFERROR(AJ36/AE36-1,""),"")</f>
        <v/>
      </c>
      <c r="AK246" s="39">
        <f>IF(AND(ISNUMBER(AK36),ISNUMBER(AF36)),IFERROR(AK36/AF36-1,""),"")</f>
        <v/>
      </c>
      <c r="AL246" s="39">
        <f>IF(AND(ISNUMBER(AL36),ISNUMBER(AG36)),IFERROR(AL36/AG36-1,""),"")</f>
        <v/>
      </c>
      <c r="AM246" s="39">
        <f>IF(AND(ISNUMBER(AM36),ISNUMBER(AH36)),IFERROR(AM36/AH36-1,""),"")</f>
        <v/>
      </c>
      <c r="AN246" s="39">
        <f>IF(AND(ISNUMBER(AN36),ISNUMBER(AI36)),IFERROR(AN36/AI36-1,""),"")</f>
        <v/>
      </c>
      <c r="AO246" s="39">
        <f>IF(AND(ISNUMBER(AO36),ISNUMBER(AJ36)),IFERROR(AO36/AJ36-1,""),"")</f>
        <v/>
      </c>
      <c r="AP246" s="39">
        <f>IF(AND(ISNUMBER(AP36),ISNUMBER(AK36)),IFERROR(AP36/AK36-1,""),"")</f>
        <v/>
      </c>
      <c r="AQ246" s="39">
        <f>IF(AND(ISNUMBER(AQ36),ISNUMBER(AL36)),IFERROR(AQ36/AL36-1,""),"")</f>
        <v/>
      </c>
      <c r="AR246" s="39">
        <f>IF(AND(ISNUMBER(AR36),ISNUMBER(AM36)),IFERROR(AR36/AM36-1,""),"")</f>
        <v/>
      </c>
      <c r="AS246" s="39">
        <f>IF(AND(ISNUMBER(AS36),ISNUMBER(AN36)),IFERROR(AS36/AN36-1,""),"")</f>
        <v/>
      </c>
      <c r="AT246" s="39">
        <f>IF(AND(ISNUMBER(AT36),ISNUMBER(AO36)),IFERROR(AT36/AO36-1,""),"")</f>
        <v/>
      </c>
      <c r="AU246" s="25">
        <f>IFERROR(AU36/AP36-1,"")</f>
        <v/>
      </c>
      <c r="AV246" s="25">
        <f>IFERROR(AV36/AQ36-1,"")</f>
        <v/>
      </c>
      <c r="AW246" s="25">
        <f>IFERROR(AW36/AR36-1,"")</f>
        <v/>
      </c>
      <c r="AX246" s="25">
        <f>IFERROR(AX36/AW36-1,"")</f>
        <v/>
      </c>
      <c r="AY246" s="25">
        <f>IFERROR(AY36/AX36-1,"")</f>
        <v/>
      </c>
      <c r="AZ246" s="25">
        <f>IFERROR(AZ36/AY36-1,"")</f>
        <v/>
      </c>
      <c r="BA246" s="25">
        <f>IFERROR(BA36/AZ36-1,"")</f>
        <v/>
      </c>
      <c r="BB246" s="26" t="n"/>
    </row>
    <row r="247">
      <c r="B247" s="27" t="inlineStr">
        <is>
          <t xml:space="preserve">  Revenue y/y %</t>
        </is>
      </c>
      <c r="C247" s="39" t="n"/>
      <c r="D247" s="39">
        <f>IF(AND(ISNUMBER(D148),ISNUMBER(C148)),IFERROR(D148/C148-1,""),"")</f>
        <v/>
      </c>
      <c r="E247" s="39" t="n"/>
      <c r="F247" s="39" t="n"/>
      <c r="G247" s="39" t="n"/>
      <c r="H247" s="39" t="n"/>
      <c r="I247" s="39">
        <f>IF(AND(ISNUMBER(I148),ISNUMBER(D148)),IFERROR(I148/D148-1,""),"")</f>
        <v/>
      </c>
      <c r="J247" s="39">
        <f>IF(AND(ISNUMBER(J148),ISNUMBER(E148)),IFERROR(J148/E148-1,""),"")</f>
        <v/>
      </c>
      <c r="K247" s="39">
        <f>IF(AND(ISNUMBER(K148),ISNUMBER(F148)),IFERROR(K148/F148-1,""),"")</f>
        <v/>
      </c>
      <c r="L247" s="39">
        <f>IF(AND(ISNUMBER(L148),ISNUMBER(G148)),IFERROR(L148/G148-1,""),"")</f>
        <v/>
      </c>
      <c r="M247" s="39">
        <f>IF(AND(ISNUMBER(M148),ISNUMBER(H148)),IFERROR(M148/H148-1,""),"")</f>
        <v/>
      </c>
      <c r="N247" s="39">
        <f>IF(AND(ISNUMBER(N148),ISNUMBER(I148)),IFERROR(N148/I148-1,""),"")</f>
        <v/>
      </c>
      <c r="O247" s="39">
        <f>IF(AND(ISNUMBER(O148),ISNUMBER(J148)),IFERROR(O148/J148-1,""),"")</f>
        <v/>
      </c>
      <c r="P247" s="39">
        <f>IF(AND(ISNUMBER(P148),ISNUMBER(K148)),IFERROR(P148/K148-1,""),"")</f>
        <v/>
      </c>
      <c r="Q247" s="39">
        <f>IF(AND(ISNUMBER(Q148),ISNUMBER(L148)),IFERROR(Q148/L148-1,""),"")</f>
        <v/>
      </c>
      <c r="R247" s="39">
        <f>IF(AND(ISNUMBER(R148),ISNUMBER(M148)),IFERROR(R148/M148-1,""),"")</f>
        <v/>
      </c>
      <c r="S247" s="39">
        <f>IF(AND(ISNUMBER(S148),ISNUMBER(N148)),IFERROR(S148/N148-1,""),"")</f>
        <v/>
      </c>
      <c r="T247" s="39">
        <f>IF(AND(ISNUMBER(T148),ISNUMBER(O148)),IFERROR(T148/O148-1,""),"")</f>
        <v/>
      </c>
      <c r="U247" s="39">
        <f>IF(AND(ISNUMBER(U148),ISNUMBER(P148)),IFERROR(U148/P148-1,""),"")</f>
        <v/>
      </c>
      <c r="V247" s="39">
        <f>IF(AND(ISNUMBER(V148),ISNUMBER(Q148)),IFERROR(V148/Q148-1,""),"")</f>
        <v/>
      </c>
      <c r="W247" s="39">
        <f>IF(AND(ISNUMBER(W148),ISNUMBER(R148)),IFERROR(W148/R148-1,""),"")</f>
        <v/>
      </c>
      <c r="X247" s="39">
        <f>IF(AND(ISNUMBER(X148),ISNUMBER(S148)),IFERROR(X148/S148-1,""),"")</f>
        <v/>
      </c>
      <c r="Y247" s="39">
        <f>IF(AND(ISNUMBER(Y148),ISNUMBER(T148)),IFERROR(Y148/T148-1,""),"")</f>
        <v/>
      </c>
      <c r="Z247" s="39">
        <f>IF(AND(ISNUMBER(Z148),ISNUMBER(U148)),IFERROR(Z148/U148-1,""),"")</f>
        <v/>
      </c>
      <c r="AA247" s="39">
        <f>IF(AND(ISNUMBER(AA148),ISNUMBER(V148)),IFERROR(AA148/V148-1,""),"")</f>
        <v/>
      </c>
      <c r="AB247" s="39">
        <f>IF(AND(ISNUMBER(AB148),ISNUMBER(W148)),IFERROR(AB148/W148-1,""),"")</f>
        <v/>
      </c>
      <c r="AC247" s="39">
        <f>IF(AND(ISNUMBER(AC148),ISNUMBER(X148)),IFERROR(AC148/X148-1,""),"")</f>
        <v/>
      </c>
      <c r="AD247" s="39">
        <f>IF(AND(ISNUMBER(AD148),ISNUMBER(Y148)),IFERROR(AD148/Y148-1,""),"")</f>
        <v/>
      </c>
      <c r="AE247" s="39">
        <f>IF(AND(ISNUMBER(AE148),ISNUMBER(Z148)),IFERROR(AE148/Z148-1,""),"")</f>
        <v/>
      </c>
      <c r="AF247" s="39">
        <f>IF(AND(ISNUMBER(AF148),ISNUMBER(AA148)),IFERROR(AF148/AA148-1,""),"")</f>
        <v/>
      </c>
      <c r="AG247" s="39">
        <f>IF(AND(ISNUMBER(AG148),ISNUMBER(AB148)),IFERROR(AG148/AB148-1,""),"")</f>
        <v/>
      </c>
      <c r="AH247" s="39">
        <f>IF(AND(ISNUMBER(AH148),ISNUMBER(AC148)),IFERROR(AH148/AC148-1,""),"")</f>
        <v/>
      </c>
      <c r="AI247" s="39">
        <f>IF(AND(ISNUMBER(AI148),ISNUMBER(AD148)),IFERROR(AI148/AD148-1,""),"")</f>
        <v/>
      </c>
      <c r="AJ247" s="39">
        <f>IF(AND(ISNUMBER(AJ148),ISNUMBER(AE148)),IFERROR(AJ148/AE148-1,""),"")</f>
        <v/>
      </c>
      <c r="AK247" s="39">
        <f>IF(AND(ISNUMBER(AK148),ISNUMBER(AF148)),IFERROR(AK148/AF148-1,""),"")</f>
        <v/>
      </c>
      <c r="AL247" s="39">
        <f>IF(AND(ISNUMBER(AL148),ISNUMBER(AG148)),IFERROR(AL148/AG148-1,""),"")</f>
        <v/>
      </c>
      <c r="AM247" s="39">
        <f>IF(AND(ISNUMBER(AM148),ISNUMBER(AH148)),IFERROR(AM148/AH148-1,""),"")</f>
        <v/>
      </c>
      <c r="AN247" s="39">
        <f>IF(AND(ISNUMBER(AN148),ISNUMBER(AI148)),IFERROR(AN148/AI148-1,""),"")</f>
        <v/>
      </c>
      <c r="AO247" s="39">
        <f>IF(AND(ISNUMBER(AO148),ISNUMBER(AJ148)),IFERROR(AO148/AJ148-1,""),"")</f>
        <v/>
      </c>
      <c r="AP247" s="39">
        <f>IF(AND(ISNUMBER(AP148),ISNUMBER(AK148)),IFERROR(AP148/AK148-1,""),"")</f>
        <v/>
      </c>
      <c r="AQ247" s="39">
        <f>IF(AND(ISNUMBER(AQ148),ISNUMBER(AL148)),IFERROR(AQ148/AL148-1,""),"")</f>
        <v/>
      </c>
      <c r="AR247" s="39">
        <f>IF(AND(ISNUMBER(AR148),ISNUMBER(AM148)),IFERROR(AR148/AM148-1,""),"")</f>
        <v/>
      </c>
      <c r="AS247" s="39">
        <f>IF(AND(ISNUMBER(AS148),ISNUMBER(AN148)),IFERROR(AS148/AN148-1,""),"")</f>
        <v/>
      </c>
      <c r="AT247" s="39">
        <f>IF(AND(ISNUMBER(AT148),ISNUMBER(AO148)),IFERROR(AT148/AO148-1,""),"")</f>
        <v/>
      </c>
      <c r="AU247" s="25">
        <f>IFERROR(AU148/AP148-1,"")</f>
        <v/>
      </c>
      <c r="AV247" s="25">
        <f>IFERROR(AV148/AQ148-1,"")</f>
        <v/>
      </c>
      <c r="AW247" s="25">
        <f>IFERROR(AW148/AR148-1,"")</f>
        <v/>
      </c>
      <c r="AX247" s="25">
        <f>IFERROR(AX148/AW148-1,"")</f>
        <v/>
      </c>
      <c r="AY247" s="25">
        <f>IFERROR(AY148/AX148-1,"")</f>
        <v/>
      </c>
      <c r="AZ247" s="25">
        <f>IFERROR(AZ148/AY148-1,"")</f>
        <v/>
      </c>
      <c r="BA247" s="25">
        <f>IFERROR(BA148/AZ148-1,"")</f>
        <v/>
      </c>
      <c r="BB247" s="26" t="n"/>
    </row>
    <row r="248">
      <c r="B248" s="27" t="inlineStr">
        <is>
          <t xml:space="preserve">  Adjusted EBITDA y/y %</t>
        </is>
      </c>
      <c r="C248" s="39" t="n"/>
      <c r="D248" s="39">
        <f>IF(AND(ISNUMBER(D203),ISNUMBER(C203)),IFERROR(D203/C203-1,""),"")</f>
        <v/>
      </c>
      <c r="E248" s="39" t="n"/>
      <c r="F248" s="39" t="n"/>
      <c r="G248" s="39" t="n"/>
      <c r="H248" s="39" t="n"/>
      <c r="I248" s="39">
        <f>IF(AND(ISNUMBER(I203),ISNUMBER(D203)),IFERROR(I203/D203-1,""),"")</f>
        <v/>
      </c>
      <c r="J248" s="39">
        <f>IF(AND(ISNUMBER(J203),ISNUMBER(E203)),IFERROR(J203/E203-1,""),"")</f>
        <v/>
      </c>
      <c r="K248" s="39">
        <f>IF(AND(ISNUMBER(K203),ISNUMBER(F203)),IFERROR(K203/F203-1,""),"")</f>
        <v/>
      </c>
      <c r="L248" s="39">
        <f>IF(AND(ISNUMBER(L203),ISNUMBER(G203)),IFERROR(L203/G203-1,""),"")</f>
        <v/>
      </c>
      <c r="M248" s="39">
        <f>IF(AND(ISNUMBER(M203),ISNUMBER(H203)),IFERROR(M203/H203-1,""),"")</f>
        <v/>
      </c>
      <c r="N248" s="39">
        <f>IF(AND(ISNUMBER(N203),ISNUMBER(I203)),IFERROR(N203/I203-1,""),"")</f>
        <v/>
      </c>
      <c r="O248" s="39">
        <f>IF(AND(ISNUMBER(O203),ISNUMBER(J203)),IFERROR(O203/J203-1,""),"")</f>
        <v/>
      </c>
      <c r="P248" s="39">
        <f>IF(AND(ISNUMBER(P203),ISNUMBER(K203)),IFERROR(P203/K203-1,""),"")</f>
        <v/>
      </c>
      <c r="Q248" s="39">
        <f>IF(AND(ISNUMBER(Q203),ISNUMBER(L203)),IFERROR(Q203/L203-1,""),"")</f>
        <v/>
      </c>
      <c r="R248" s="39">
        <f>IF(AND(ISNUMBER(R203),ISNUMBER(M203)),IFERROR(R203/M203-1,""),"")</f>
        <v/>
      </c>
      <c r="S248" s="39">
        <f>IF(AND(ISNUMBER(S203),ISNUMBER(N203)),IFERROR(S203/N203-1,""),"")</f>
        <v/>
      </c>
      <c r="T248" s="39">
        <f>IF(AND(ISNUMBER(T203),ISNUMBER(O203)),IFERROR(T203/O203-1,""),"")</f>
        <v/>
      </c>
      <c r="U248" s="39">
        <f>IF(AND(ISNUMBER(U203),ISNUMBER(P203)),IFERROR(U203/P203-1,""),"")</f>
        <v/>
      </c>
      <c r="V248" s="39">
        <f>IF(AND(ISNUMBER(V203),ISNUMBER(Q203)),IFERROR(V203/Q203-1,""),"")</f>
        <v/>
      </c>
      <c r="W248" s="39">
        <f>IF(AND(ISNUMBER(W203),ISNUMBER(R203)),IFERROR(W203/R203-1,""),"")</f>
        <v/>
      </c>
      <c r="X248" s="39">
        <f>IF(AND(ISNUMBER(X203),ISNUMBER(S203)),IFERROR(X203/S203-1,""),"")</f>
        <v/>
      </c>
      <c r="Y248" s="39">
        <f>IF(AND(ISNUMBER(Y203),ISNUMBER(T203)),IFERROR(Y203/T203-1,""),"")</f>
        <v/>
      </c>
      <c r="Z248" s="39">
        <f>IF(AND(ISNUMBER(Z203),ISNUMBER(U203)),IFERROR(Z203/U203-1,""),"")</f>
        <v/>
      </c>
      <c r="AA248" s="39">
        <f>IF(AND(ISNUMBER(AA203),ISNUMBER(V203)),IFERROR(AA203/V203-1,""),"")</f>
        <v/>
      </c>
      <c r="AB248" s="39">
        <f>IF(AND(ISNUMBER(AB203),ISNUMBER(W203)),IFERROR(AB203/W203-1,""),"")</f>
        <v/>
      </c>
      <c r="AC248" s="39">
        <f>IF(AND(ISNUMBER(AC203),ISNUMBER(X203)),IFERROR(AC203/X203-1,""),"")</f>
        <v/>
      </c>
      <c r="AD248" s="39">
        <f>IF(AND(ISNUMBER(AD203),ISNUMBER(Y203)),IFERROR(AD203/Y203-1,""),"")</f>
        <v/>
      </c>
      <c r="AE248" s="39">
        <f>IF(AND(ISNUMBER(AE203),ISNUMBER(Z203)),IFERROR(AE203/Z203-1,""),"")</f>
        <v/>
      </c>
      <c r="AF248" s="39">
        <f>IF(AND(ISNUMBER(AF203),ISNUMBER(AA203)),IFERROR(AF203/AA203-1,""),"")</f>
        <v/>
      </c>
      <c r="AG248" s="39">
        <f>IF(AND(ISNUMBER(AG203),ISNUMBER(AB203)),IFERROR(AG203/AB203-1,""),"")</f>
        <v/>
      </c>
      <c r="AH248" s="39">
        <f>IF(AND(ISNUMBER(AH203),ISNUMBER(AC203)),IFERROR(AH203/AC203-1,""),"")</f>
        <v/>
      </c>
      <c r="AI248" s="39">
        <f>IF(AND(ISNUMBER(AI203),ISNUMBER(AD203)),IFERROR(AI203/AD203-1,""),"")</f>
        <v/>
      </c>
      <c r="AJ248" s="39">
        <f>IF(AND(ISNUMBER(AJ203),ISNUMBER(AE203)),IFERROR(AJ203/AE203-1,""),"")</f>
        <v/>
      </c>
      <c r="AK248" s="39">
        <f>IF(AND(ISNUMBER(AK203),ISNUMBER(AF203)),IFERROR(AK203/AF203-1,""),"")</f>
        <v/>
      </c>
      <c r="AL248" s="39">
        <f>IF(AND(ISNUMBER(AL203),ISNUMBER(AG203)),IFERROR(AL203/AG203-1,""),"")</f>
        <v/>
      </c>
      <c r="AM248" s="39">
        <f>IF(AND(ISNUMBER(AM203),ISNUMBER(AH203)),IFERROR(AM203/AH203-1,""),"")</f>
        <v/>
      </c>
      <c r="AN248" s="39">
        <f>IF(AND(ISNUMBER(AN203),ISNUMBER(AI203)),IFERROR(AN203/AI203-1,""),"")</f>
        <v/>
      </c>
      <c r="AO248" s="39">
        <f>IF(AND(ISNUMBER(AO203),ISNUMBER(AJ203)),IFERROR(AO203/AJ203-1,""),"")</f>
        <v/>
      </c>
      <c r="AP248" s="39">
        <f>IF(AND(ISNUMBER(AP203),ISNUMBER(AK203)),IFERROR(AP203/AK203-1,""),"")</f>
        <v/>
      </c>
      <c r="AQ248" s="39">
        <f>IF(AND(ISNUMBER(AQ203),ISNUMBER(AL203)),IFERROR(AQ203/AL203-1,""),"")</f>
        <v/>
      </c>
      <c r="AR248" s="39">
        <f>IF(AND(ISNUMBER(AR203),ISNUMBER(AM203)),IFERROR(AR203/AM203-1,""),"")</f>
        <v/>
      </c>
      <c r="AS248" s="39">
        <f>IF(AND(ISNUMBER(AS203),ISNUMBER(AN203)),IFERROR(AS203/AN203-1,""),"")</f>
        <v/>
      </c>
      <c r="AT248" s="39">
        <f>IF(AND(ISNUMBER(AT203),ISNUMBER(AO203)),IFERROR(AT203/AO203-1,""),"")</f>
        <v/>
      </c>
      <c r="AU248" s="25">
        <f>IFERROR(AU203/AP203-1,"")</f>
        <v/>
      </c>
      <c r="AV248" s="25">
        <f>IFERROR(AV203/AQ203-1,"")</f>
        <v/>
      </c>
      <c r="AW248" s="25">
        <f>IFERROR(AW203/AR203-1,"")</f>
        <v/>
      </c>
      <c r="AX248" s="25">
        <f>IFERROR(AX203/AW203-1,"")</f>
        <v/>
      </c>
      <c r="AY248" s="25">
        <f>IFERROR(AY203/AX203-1,"")</f>
        <v/>
      </c>
      <c r="AZ248" s="25">
        <f>IFERROR(AZ203/AY203-1,"")</f>
        <v/>
      </c>
      <c r="BA248" s="25">
        <f>IFERROR(BA203/AZ203-1,"")</f>
        <v/>
      </c>
      <c r="BB248" s="26" t="n"/>
    </row>
    <row r="249">
      <c r="B249" s="27" t="inlineStr">
        <is>
          <t xml:space="preserve">  Non-GAAP Operating Income y/y %</t>
        </is>
      </c>
      <c r="C249" s="39" t="n"/>
      <c r="D249" s="39">
        <f>IF(AND(ISNUMBER(D212),ISNUMBER(C212)),IFERROR(D212/C212-1,""),"")</f>
        <v/>
      </c>
      <c r="E249" s="39" t="n"/>
      <c r="F249" s="39" t="n"/>
      <c r="G249" s="39" t="n"/>
      <c r="H249" s="39" t="n"/>
      <c r="I249" s="39">
        <f>IF(AND(ISNUMBER(I212),ISNUMBER(D212)),IFERROR(I212/D212-1,""),"")</f>
        <v/>
      </c>
      <c r="J249" s="39">
        <f>IF(AND(ISNUMBER(J212),ISNUMBER(E212)),IFERROR(J212/E212-1,""),"")</f>
        <v/>
      </c>
      <c r="K249" s="39">
        <f>IF(AND(ISNUMBER(K212),ISNUMBER(F212)),IFERROR(K212/F212-1,""),"")</f>
        <v/>
      </c>
      <c r="L249" s="39">
        <f>IF(AND(ISNUMBER(L212),ISNUMBER(G212)),IFERROR(L212/G212-1,""),"")</f>
        <v/>
      </c>
      <c r="M249" s="39">
        <f>IF(AND(ISNUMBER(M212),ISNUMBER(H212)),IFERROR(M212/H212-1,""),"")</f>
        <v/>
      </c>
      <c r="N249" s="39">
        <f>IF(AND(ISNUMBER(N212),ISNUMBER(I212)),IFERROR(N212/I212-1,""),"")</f>
        <v/>
      </c>
      <c r="O249" s="39">
        <f>IF(AND(ISNUMBER(O212),ISNUMBER(J212)),IFERROR(O212/J212-1,""),"")</f>
        <v/>
      </c>
      <c r="P249" s="39">
        <f>IF(AND(ISNUMBER(P212),ISNUMBER(K212)),IFERROR(P212/K212-1,""),"")</f>
        <v/>
      </c>
      <c r="Q249" s="39">
        <f>IF(AND(ISNUMBER(Q212),ISNUMBER(L212)),IFERROR(Q212/L212-1,""),"")</f>
        <v/>
      </c>
      <c r="R249" s="39">
        <f>IF(AND(ISNUMBER(R212),ISNUMBER(M212)),IFERROR(R212/M212-1,""),"")</f>
        <v/>
      </c>
      <c r="S249" s="39">
        <f>IF(AND(ISNUMBER(S212),ISNUMBER(N212)),IFERROR(S212/N212-1,""),"")</f>
        <v/>
      </c>
      <c r="T249" s="39">
        <f>IF(AND(ISNUMBER(T212),ISNUMBER(O212)),IFERROR(T212/O212-1,""),"")</f>
        <v/>
      </c>
      <c r="U249" s="39">
        <f>IF(AND(ISNUMBER(U212),ISNUMBER(P212)),IFERROR(U212/P212-1,""),"")</f>
        <v/>
      </c>
      <c r="V249" s="39">
        <f>IF(AND(ISNUMBER(V212),ISNUMBER(Q212)),IFERROR(V212/Q212-1,""),"")</f>
        <v/>
      </c>
      <c r="W249" s="39">
        <f>IF(AND(ISNUMBER(W212),ISNUMBER(R212)),IFERROR(W212/R212-1,""),"")</f>
        <v/>
      </c>
      <c r="X249" s="39">
        <f>IF(AND(ISNUMBER(X212),ISNUMBER(S212)),IFERROR(X212/S212-1,""),"")</f>
        <v/>
      </c>
      <c r="Y249" s="39">
        <f>IF(AND(ISNUMBER(Y212),ISNUMBER(T212)),IFERROR(Y212/T212-1,""),"")</f>
        <v/>
      </c>
      <c r="Z249" s="39">
        <f>IF(AND(ISNUMBER(Z212),ISNUMBER(U212)),IFERROR(Z212/U212-1,""),"")</f>
        <v/>
      </c>
      <c r="AA249" s="39">
        <f>IF(AND(ISNUMBER(AA212),ISNUMBER(V212)),IFERROR(AA212/V212-1,""),"")</f>
        <v/>
      </c>
      <c r="AB249" s="39">
        <f>IF(AND(ISNUMBER(AB212),ISNUMBER(W212)),IFERROR(AB212/W212-1,""),"")</f>
        <v/>
      </c>
      <c r="AC249" s="39">
        <f>IF(AND(ISNUMBER(AC212),ISNUMBER(X212)),IFERROR(AC212/X212-1,""),"")</f>
        <v/>
      </c>
      <c r="AD249" s="39">
        <f>IF(AND(ISNUMBER(AD212),ISNUMBER(Y212)),IFERROR(AD212/Y212-1,""),"")</f>
        <v/>
      </c>
      <c r="AE249" s="39">
        <f>IF(AND(ISNUMBER(AE212),ISNUMBER(Z212)),IFERROR(AE212/Z212-1,""),"")</f>
        <v/>
      </c>
      <c r="AF249" s="39">
        <f>IF(AND(ISNUMBER(AF212),ISNUMBER(AA212)),IFERROR(AF212/AA212-1,""),"")</f>
        <v/>
      </c>
      <c r="AG249" s="39">
        <f>IF(AND(ISNUMBER(AG212),ISNUMBER(AB212)),IFERROR(AG212/AB212-1,""),"")</f>
        <v/>
      </c>
      <c r="AH249" s="39">
        <f>IF(AND(ISNUMBER(AH212),ISNUMBER(AC212)),IFERROR(AH212/AC212-1,""),"")</f>
        <v/>
      </c>
      <c r="AI249" s="39">
        <f>IF(AND(ISNUMBER(AI212),ISNUMBER(AD212)),IFERROR(AI212/AD212-1,""),"")</f>
        <v/>
      </c>
      <c r="AJ249" s="39">
        <f>IF(AND(ISNUMBER(AJ212),ISNUMBER(AE212)),IFERROR(AJ212/AE212-1,""),"")</f>
        <v/>
      </c>
      <c r="AK249" s="39">
        <f>IF(AND(ISNUMBER(AK212),ISNUMBER(AF212)),IFERROR(AK212/AF212-1,""),"")</f>
        <v/>
      </c>
      <c r="AL249" s="39">
        <f>IF(AND(ISNUMBER(AL212),ISNUMBER(AG212)),IFERROR(AL212/AG212-1,""),"")</f>
        <v/>
      </c>
      <c r="AM249" s="39">
        <f>IF(AND(ISNUMBER(AM212),ISNUMBER(AH212)),IFERROR(AM212/AH212-1,""),"")</f>
        <v/>
      </c>
      <c r="AN249" s="39">
        <f>IF(AND(ISNUMBER(AN212),ISNUMBER(AI212)),IFERROR(AN212/AI212-1,""),"")</f>
        <v/>
      </c>
      <c r="AO249" s="39">
        <f>IF(AND(ISNUMBER(AO212),ISNUMBER(AJ212)),IFERROR(AO212/AJ212-1,""),"")</f>
        <v/>
      </c>
      <c r="AP249" s="39">
        <f>IF(AND(ISNUMBER(AP212),ISNUMBER(AK212)),IFERROR(AP212/AK212-1,""),"")</f>
        <v/>
      </c>
      <c r="AQ249" s="39">
        <f>IF(AND(ISNUMBER(AQ212),ISNUMBER(AL212)),IFERROR(AQ212/AL212-1,""),"")</f>
        <v/>
      </c>
      <c r="AR249" s="39">
        <f>IF(AND(ISNUMBER(AR212),ISNUMBER(AM212)),IFERROR(AR212/AM212-1,""),"")</f>
        <v/>
      </c>
      <c r="AS249" s="39">
        <f>IF(AND(ISNUMBER(AS212),ISNUMBER(AN212)),IFERROR(AS212/AN212-1,""),"")</f>
        <v/>
      </c>
      <c r="AT249" s="39">
        <f>IF(AND(ISNUMBER(AT212),ISNUMBER(AO212)),IFERROR(AT212/AO212-1,""),"")</f>
        <v/>
      </c>
      <c r="AU249" s="25">
        <f>IFERROR(AU212/AP212-1,"")</f>
        <v/>
      </c>
      <c r="AV249" s="25">
        <f>IFERROR(AV212/AQ212-1,"")</f>
        <v/>
      </c>
      <c r="AW249" s="25">
        <f>IFERROR(AW212/AR212-1,"")</f>
        <v/>
      </c>
      <c r="AX249" s="25">
        <f>IFERROR(AX212/AW212-1,"")</f>
        <v/>
      </c>
      <c r="AY249" s="25">
        <f>IFERROR(AY212/AX212-1,"")</f>
        <v/>
      </c>
      <c r="AZ249" s="25">
        <f>IFERROR(AZ212/AY212-1,"")</f>
        <v/>
      </c>
      <c r="BA249" s="25">
        <f>IFERROR(BA212/AZ212-1,"")</f>
        <v/>
      </c>
      <c r="BB249" s="26" t="n"/>
    </row>
    <row r="250">
      <c r="B250" s="27" t="inlineStr">
        <is>
          <t xml:space="preserve">  Income from operations y/y %</t>
        </is>
      </c>
      <c r="C250" s="39" t="n"/>
      <c r="D250" s="39">
        <f>IF(AND(ISNUMBER(D157),ISNUMBER(C157)),IFERROR(D157/C157-1,""),"")</f>
        <v/>
      </c>
      <c r="E250" s="39" t="n"/>
      <c r="F250" s="39" t="n"/>
      <c r="G250" s="39" t="n"/>
      <c r="H250" s="39" t="n"/>
      <c r="I250" s="39">
        <f>IF(AND(ISNUMBER(I157),ISNUMBER(D157)),IFERROR(I157/D157-1,""),"")</f>
        <v/>
      </c>
      <c r="J250" s="39">
        <f>IF(AND(ISNUMBER(J157),ISNUMBER(E157)),IFERROR(J157/E157-1,""),"")</f>
        <v/>
      </c>
      <c r="K250" s="39">
        <f>IF(AND(ISNUMBER(K157),ISNUMBER(F157)),IFERROR(K157/F157-1,""),"")</f>
        <v/>
      </c>
      <c r="L250" s="39">
        <f>IF(AND(ISNUMBER(L157),ISNUMBER(G157)),IFERROR(L157/G157-1,""),"")</f>
        <v/>
      </c>
      <c r="M250" s="39">
        <f>IF(AND(ISNUMBER(M157),ISNUMBER(H157)),IFERROR(M157/H157-1,""),"")</f>
        <v/>
      </c>
      <c r="N250" s="39">
        <f>IF(AND(ISNUMBER(N157),ISNUMBER(I157)),IFERROR(N157/I157-1,""),"")</f>
        <v/>
      </c>
      <c r="O250" s="39">
        <f>IF(AND(ISNUMBER(O157),ISNUMBER(J157)),IFERROR(O157/J157-1,""),"")</f>
        <v/>
      </c>
      <c r="P250" s="39">
        <f>IF(AND(ISNUMBER(P157),ISNUMBER(K157)),IFERROR(P157/K157-1,""),"")</f>
        <v/>
      </c>
      <c r="Q250" s="39">
        <f>IF(AND(ISNUMBER(Q157),ISNUMBER(L157)),IFERROR(Q157/L157-1,""),"")</f>
        <v/>
      </c>
      <c r="R250" s="39">
        <f>IF(AND(ISNUMBER(R157),ISNUMBER(M157)),IFERROR(R157/M157-1,""),"")</f>
        <v/>
      </c>
      <c r="S250" s="39">
        <f>IF(AND(ISNUMBER(S157),ISNUMBER(N157)),IFERROR(S157/N157-1,""),"")</f>
        <v/>
      </c>
      <c r="T250" s="39">
        <f>IF(AND(ISNUMBER(T157),ISNUMBER(O157)),IFERROR(T157/O157-1,""),"")</f>
        <v/>
      </c>
      <c r="U250" s="39">
        <f>IF(AND(ISNUMBER(U157),ISNUMBER(P157)),IFERROR(U157/P157-1,""),"")</f>
        <v/>
      </c>
      <c r="V250" s="39">
        <f>IF(AND(ISNUMBER(V157),ISNUMBER(Q157)),IFERROR(V157/Q157-1,""),"")</f>
        <v/>
      </c>
      <c r="W250" s="39">
        <f>IF(AND(ISNUMBER(W157),ISNUMBER(R157)),IFERROR(W157/R157-1,""),"")</f>
        <v/>
      </c>
      <c r="X250" s="39">
        <f>IF(AND(ISNUMBER(X157),ISNUMBER(S157)),IFERROR(X157/S157-1,""),"")</f>
        <v/>
      </c>
      <c r="Y250" s="39">
        <f>IF(AND(ISNUMBER(Y157),ISNUMBER(T157)),IFERROR(Y157/T157-1,""),"")</f>
        <v/>
      </c>
      <c r="Z250" s="39">
        <f>IF(AND(ISNUMBER(Z157),ISNUMBER(U157)),IFERROR(Z157/U157-1,""),"")</f>
        <v/>
      </c>
      <c r="AA250" s="39">
        <f>IF(AND(ISNUMBER(AA157),ISNUMBER(V157)),IFERROR(AA157/V157-1,""),"")</f>
        <v/>
      </c>
      <c r="AB250" s="39">
        <f>IF(AND(ISNUMBER(AB157),ISNUMBER(W157)),IFERROR(AB157/W157-1,""),"")</f>
        <v/>
      </c>
      <c r="AC250" s="39">
        <f>IF(AND(ISNUMBER(AC157),ISNUMBER(X157)),IFERROR(AC157/X157-1,""),"")</f>
        <v/>
      </c>
      <c r="AD250" s="39">
        <f>IF(AND(ISNUMBER(AD157),ISNUMBER(Y157)),IFERROR(AD157/Y157-1,""),"")</f>
        <v/>
      </c>
      <c r="AE250" s="39">
        <f>IF(AND(ISNUMBER(AE157),ISNUMBER(Z157)),IFERROR(AE157/Z157-1,""),"")</f>
        <v/>
      </c>
      <c r="AF250" s="39">
        <f>IF(AND(ISNUMBER(AF157),ISNUMBER(AA157)),IFERROR(AF157/AA157-1,""),"")</f>
        <v/>
      </c>
      <c r="AG250" s="39">
        <f>IF(AND(ISNUMBER(AG157),ISNUMBER(AB157)),IFERROR(AG157/AB157-1,""),"")</f>
        <v/>
      </c>
      <c r="AH250" s="39">
        <f>IF(AND(ISNUMBER(AH157),ISNUMBER(AC157)),IFERROR(AH157/AC157-1,""),"")</f>
        <v/>
      </c>
      <c r="AI250" s="39">
        <f>IF(AND(ISNUMBER(AI157),ISNUMBER(AD157)),IFERROR(AI157/AD157-1,""),"")</f>
        <v/>
      </c>
      <c r="AJ250" s="39">
        <f>IF(AND(ISNUMBER(AJ157),ISNUMBER(AE157)),IFERROR(AJ157/AE157-1,""),"")</f>
        <v/>
      </c>
      <c r="AK250" s="39">
        <f>IF(AND(ISNUMBER(AK157),ISNUMBER(AF157)),IFERROR(AK157/AF157-1,""),"")</f>
        <v/>
      </c>
      <c r="AL250" s="39">
        <f>IF(AND(ISNUMBER(AL157),ISNUMBER(AG157)),IFERROR(AL157/AG157-1,""),"")</f>
        <v/>
      </c>
      <c r="AM250" s="39">
        <f>IF(AND(ISNUMBER(AM157),ISNUMBER(AH157)),IFERROR(AM157/AH157-1,""),"")</f>
        <v/>
      </c>
      <c r="AN250" s="39">
        <f>IF(AND(ISNUMBER(AN157),ISNUMBER(AI157)),IFERROR(AN157/AI157-1,""),"")</f>
        <v/>
      </c>
      <c r="AO250" s="39">
        <f>IF(AND(ISNUMBER(AO157),ISNUMBER(AJ157)),IFERROR(AO157/AJ157-1,""),"")</f>
        <v/>
      </c>
      <c r="AP250" s="39">
        <f>IF(AND(ISNUMBER(AP157),ISNUMBER(AK157)),IFERROR(AP157/AK157-1,""),"")</f>
        <v/>
      </c>
      <c r="AQ250" s="39">
        <f>IF(AND(ISNUMBER(AQ157),ISNUMBER(AL157)),IFERROR(AQ157/AL157-1,""),"")</f>
        <v/>
      </c>
      <c r="AR250" s="39">
        <f>IF(AND(ISNUMBER(AR157),ISNUMBER(AM157)),IFERROR(AR157/AM157-1,""),"")</f>
        <v/>
      </c>
      <c r="AS250" s="39">
        <f>IF(AND(ISNUMBER(AS157),ISNUMBER(AN157)),IFERROR(AS157/AN157-1,""),"")</f>
        <v/>
      </c>
      <c r="AT250" s="39">
        <f>IF(AND(ISNUMBER(AT157),ISNUMBER(AO157)),IFERROR(AT157/AO157-1,""),"")</f>
        <v/>
      </c>
      <c r="AU250" s="25">
        <f>IFERROR(AU157/AP157-1,"")</f>
        <v/>
      </c>
      <c r="AV250" s="25">
        <f>IFERROR(AV157/AQ157-1,"")</f>
        <v/>
      </c>
      <c r="AW250" s="25">
        <f>IFERROR(AW157/AR157-1,"")</f>
        <v/>
      </c>
      <c r="AX250" s="25">
        <f>IFERROR(AX157/AW157-1,"")</f>
        <v/>
      </c>
      <c r="AY250" s="25">
        <f>IFERROR(AY157/AX157-1,"")</f>
        <v/>
      </c>
      <c r="AZ250" s="25">
        <f>IFERROR(AZ157/AY157-1,"")</f>
        <v/>
      </c>
      <c r="BA250" s="25">
        <f>IFERROR(BA157/AZ157-1,"")</f>
        <v/>
      </c>
      <c r="BB250" s="26" t="n"/>
    </row>
    <row r="251">
      <c r="B251" s="27" t="inlineStr">
        <is>
          <t xml:space="preserve">  Net income attributable y/y %</t>
        </is>
      </c>
      <c r="C251" s="39" t="n"/>
      <c r="D251" s="39">
        <f>IF(AND(ISNUMBER(D168),ISNUMBER(C168)),IFERROR(D168/C168-1,""),"")</f>
        <v/>
      </c>
      <c r="E251" s="39" t="n"/>
      <c r="F251" s="39" t="n"/>
      <c r="G251" s="39" t="n"/>
      <c r="H251" s="39" t="n"/>
      <c r="I251" s="39">
        <f>IF(AND(ISNUMBER(I168),ISNUMBER(D168)),IFERROR(I168/D168-1,""),"")</f>
        <v/>
      </c>
      <c r="J251" s="39">
        <f>IF(AND(ISNUMBER(J168),ISNUMBER(E168)),IFERROR(J168/E168-1,""),"")</f>
        <v/>
      </c>
      <c r="K251" s="39">
        <f>IF(AND(ISNUMBER(K168),ISNUMBER(F168)),IFERROR(K168/F168-1,""),"")</f>
        <v/>
      </c>
      <c r="L251" s="39">
        <f>IF(AND(ISNUMBER(L168),ISNUMBER(G168)),IFERROR(L168/G168-1,""),"")</f>
        <v/>
      </c>
      <c r="M251" s="39">
        <f>IF(AND(ISNUMBER(M168),ISNUMBER(H168)),IFERROR(M168/H168-1,""),"")</f>
        <v/>
      </c>
      <c r="N251" s="39">
        <f>IF(AND(ISNUMBER(N168),ISNUMBER(I168)),IFERROR(N168/I168-1,""),"")</f>
        <v/>
      </c>
      <c r="O251" s="39">
        <f>IF(AND(ISNUMBER(O168),ISNUMBER(J168)),IFERROR(O168/J168-1,""),"")</f>
        <v/>
      </c>
      <c r="P251" s="39">
        <f>IF(AND(ISNUMBER(P168),ISNUMBER(K168)),IFERROR(P168/K168-1,""),"")</f>
        <v/>
      </c>
      <c r="Q251" s="39">
        <f>IF(AND(ISNUMBER(Q168),ISNUMBER(L168)),IFERROR(Q168/L168-1,""),"")</f>
        <v/>
      </c>
      <c r="R251" s="39">
        <f>IF(AND(ISNUMBER(R168),ISNUMBER(M168)),IFERROR(R168/M168-1,""),"")</f>
        <v/>
      </c>
      <c r="S251" s="39">
        <f>IF(AND(ISNUMBER(S168),ISNUMBER(N168)),IFERROR(S168/N168-1,""),"")</f>
        <v/>
      </c>
      <c r="T251" s="39">
        <f>IF(AND(ISNUMBER(T168),ISNUMBER(O168)),IFERROR(T168/O168-1,""),"")</f>
        <v/>
      </c>
      <c r="U251" s="39">
        <f>IF(AND(ISNUMBER(U168),ISNUMBER(P168)),IFERROR(U168/P168-1,""),"")</f>
        <v/>
      </c>
      <c r="V251" s="39">
        <f>IF(AND(ISNUMBER(V168),ISNUMBER(Q168)),IFERROR(V168/Q168-1,""),"")</f>
        <v/>
      </c>
      <c r="W251" s="39">
        <f>IF(AND(ISNUMBER(W168),ISNUMBER(R168)),IFERROR(W168/R168-1,""),"")</f>
        <v/>
      </c>
      <c r="X251" s="39">
        <f>IF(AND(ISNUMBER(X168),ISNUMBER(S168)),IFERROR(X168/S168-1,""),"")</f>
        <v/>
      </c>
      <c r="Y251" s="39">
        <f>IF(AND(ISNUMBER(Y168),ISNUMBER(T168)),IFERROR(Y168/T168-1,""),"")</f>
        <v/>
      </c>
      <c r="Z251" s="39">
        <f>IF(AND(ISNUMBER(Z168),ISNUMBER(U168)),IFERROR(Z168/U168-1,""),"")</f>
        <v/>
      </c>
      <c r="AA251" s="39">
        <f>IF(AND(ISNUMBER(AA168),ISNUMBER(V168)),IFERROR(AA168/V168-1,""),"")</f>
        <v/>
      </c>
      <c r="AB251" s="39">
        <f>IF(AND(ISNUMBER(AB168),ISNUMBER(W168)),IFERROR(AB168/W168-1,""),"")</f>
        <v/>
      </c>
      <c r="AC251" s="39">
        <f>IF(AND(ISNUMBER(AC168),ISNUMBER(X168)),IFERROR(AC168/X168-1,""),"")</f>
        <v/>
      </c>
      <c r="AD251" s="39">
        <f>IF(AND(ISNUMBER(AD168),ISNUMBER(Y168)),IFERROR(AD168/Y168-1,""),"")</f>
        <v/>
      </c>
      <c r="AE251" s="39">
        <f>IF(AND(ISNUMBER(AE168),ISNUMBER(Z168)),IFERROR(AE168/Z168-1,""),"")</f>
        <v/>
      </c>
      <c r="AF251" s="39">
        <f>IF(AND(ISNUMBER(AF168),ISNUMBER(AA168)),IFERROR(AF168/AA168-1,""),"")</f>
        <v/>
      </c>
      <c r="AG251" s="39">
        <f>IF(AND(ISNUMBER(AG168),ISNUMBER(AB168)),IFERROR(AG168/AB168-1,""),"")</f>
        <v/>
      </c>
      <c r="AH251" s="39">
        <f>IF(AND(ISNUMBER(AH168),ISNUMBER(AC168)),IFERROR(AH168/AC168-1,""),"")</f>
        <v/>
      </c>
      <c r="AI251" s="39">
        <f>IF(AND(ISNUMBER(AI168),ISNUMBER(AD168)),IFERROR(AI168/AD168-1,""),"")</f>
        <v/>
      </c>
      <c r="AJ251" s="39">
        <f>IF(AND(ISNUMBER(AJ168),ISNUMBER(AE168)),IFERROR(AJ168/AE168-1,""),"")</f>
        <v/>
      </c>
      <c r="AK251" s="39">
        <f>IF(AND(ISNUMBER(AK168),ISNUMBER(AF168)),IFERROR(AK168/AF168-1,""),"")</f>
        <v/>
      </c>
      <c r="AL251" s="39">
        <f>IF(AND(ISNUMBER(AL168),ISNUMBER(AG168)),IFERROR(AL168/AG168-1,""),"")</f>
        <v/>
      </c>
      <c r="AM251" s="39">
        <f>IF(AND(ISNUMBER(AM168),ISNUMBER(AH168)),IFERROR(AM168/AH168-1,""),"")</f>
        <v/>
      </c>
      <c r="AN251" s="39">
        <f>IF(AND(ISNUMBER(AN168),ISNUMBER(AI168)),IFERROR(AN168/AI168-1,""),"")</f>
        <v/>
      </c>
      <c r="AO251" s="39">
        <f>IF(AND(ISNUMBER(AO168),ISNUMBER(AJ168)),IFERROR(AO168/AJ168-1,""),"")</f>
        <v/>
      </c>
      <c r="AP251" s="39">
        <f>IF(AND(ISNUMBER(AP168),ISNUMBER(AK168)),IFERROR(AP168/AK168-1,""),"")</f>
        <v/>
      </c>
      <c r="AQ251" s="39">
        <f>IF(AND(ISNUMBER(AQ168),ISNUMBER(AL168)),IFERROR(AQ168/AL168-1,""),"")</f>
        <v/>
      </c>
      <c r="AR251" s="39">
        <f>IF(AND(ISNUMBER(AR168),ISNUMBER(AM168)),IFERROR(AR168/AM168-1,""),"")</f>
        <v/>
      </c>
      <c r="AS251" s="39">
        <f>IF(AND(ISNUMBER(AS168),ISNUMBER(AN168)),IFERROR(AS168/AN168-1,""),"")</f>
        <v/>
      </c>
      <c r="AT251" s="39">
        <f>IF(AND(ISNUMBER(AT168),ISNUMBER(AO168)),IFERROR(AT168/AO168-1,""),"")</f>
        <v/>
      </c>
      <c r="AU251" s="25">
        <f>IFERROR(AU168/AP168-1,"")</f>
        <v/>
      </c>
      <c r="AV251" s="25">
        <f>IFERROR(AV168/AQ168-1,"")</f>
        <v/>
      </c>
      <c r="AW251" s="25">
        <f>IFERROR(AW168/AR168-1,"")</f>
        <v/>
      </c>
      <c r="AX251" s="25">
        <f>IFERROR(AX168/AW168-1,"")</f>
        <v/>
      </c>
      <c r="AY251" s="25">
        <f>IFERROR(AY168/AX168-1,"")</f>
        <v/>
      </c>
      <c r="AZ251" s="25">
        <f>IFERROR(AZ168/AY168-1,"")</f>
        <v/>
      </c>
      <c r="BA251" s="25">
        <f>IFERROR(BA168/AZ168-1,"")</f>
        <v/>
      </c>
      <c r="BB251" s="26" t="n"/>
    </row>
    <row r="252">
      <c r="B252" s="27" t="inlineStr">
        <is>
          <t xml:space="preserve">  Non-GAAP EPS y/y %</t>
        </is>
      </c>
      <c r="C252" s="39" t="n"/>
      <c r="D252" s="39">
        <f>IF(AND(ISNUMBER(D236),ISNUMBER(C236)),IFERROR(D236/C236-1,""),"")</f>
        <v/>
      </c>
      <c r="E252" s="39" t="n"/>
      <c r="F252" s="39" t="n"/>
      <c r="G252" s="39" t="n"/>
      <c r="H252" s="39" t="n"/>
      <c r="I252" s="39">
        <f>IF(AND(ISNUMBER(I236),ISNUMBER(D236)),IFERROR(I236/D236-1,""),"")</f>
        <v/>
      </c>
      <c r="J252" s="39">
        <f>IF(AND(ISNUMBER(J236),ISNUMBER(E236)),IFERROR(J236/E236-1,""),"")</f>
        <v/>
      </c>
      <c r="K252" s="39">
        <f>IF(AND(ISNUMBER(K236),ISNUMBER(F236)),IFERROR(K236/F236-1,""),"")</f>
        <v/>
      </c>
      <c r="L252" s="39">
        <f>IF(AND(ISNUMBER(L236),ISNUMBER(G236)),IFERROR(L236/G236-1,""),"")</f>
        <v/>
      </c>
      <c r="M252" s="39">
        <f>IF(AND(ISNUMBER(M236),ISNUMBER(H236)),IFERROR(M236/H236-1,""),"")</f>
        <v/>
      </c>
      <c r="N252" s="39">
        <f>IF(AND(ISNUMBER(N236),ISNUMBER(I236)),IFERROR(N236/I236-1,""),"")</f>
        <v/>
      </c>
      <c r="O252" s="39">
        <f>IF(AND(ISNUMBER(O236),ISNUMBER(J236)),IFERROR(O236/J236-1,""),"")</f>
        <v/>
      </c>
      <c r="P252" s="39">
        <f>IF(AND(ISNUMBER(P236),ISNUMBER(K236)),IFERROR(P236/K236-1,""),"")</f>
        <v/>
      </c>
      <c r="Q252" s="39">
        <f>IF(AND(ISNUMBER(Q236),ISNUMBER(L236)),IFERROR(Q236/L236-1,""),"")</f>
        <v/>
      </c>
      <c r="R252" s="39">
        <f>IF(AND(ISNUMBER(R236),ISNUMBER(M236)),IFERROR(R236/M236-1,""),"")</f>
        <v/>
      </c>
      <c r="S252" s="39">
        <f>IF(AND(ISNUMBER(S236),ISNUMBER(N236)),IFERROR(S236/N236-1,""),"")</f>
        <v/>
      </c>
      <c r="T252" s="39">
        <f>IF(AND(ISNUMBER(T236),ISNUMBER(O236)),IFERROR(T236/O236-1,""),"")</f>
        <v/>
      </c>
      <c r="U252" s="39">
        <f>IF(AND(ISNUMBER(U236),ISNUMBER(P236)),IFERROR(U236/P236-1,""),"")</f>
        <v/>
      </c>
      <c r="V252" s="39">
        <f>IF(AND(ISNUMBER(V236),ISNUMBER(Q236)),IFERROR(V236/Q236-1,""),"")</f>
        <v/>
      </c>
      <c r="W252" s="39">
        <f>IF(AND(ISNUMBER(W236),ISNUMBER(R236)),IFERROR(W236/R236-1,""),"")</f>
        <v/>
      </c>
      <c r="X252" s="39">
        <f>IF(AND(ISNUMBER(X236),ISNUMBER(S236)),IFERROR(X236/S236-1,""),"")</f>
        <v/>
      </c>
      <c r="Y252" s="39">
        <f>IF(AND(ISNUMBER(Y236),ISNUMBER(T236)),IFERROR(Y236/T236-1,""),"")</f>
        <v/>
      </c>
      <c r="Z252" s="39">
        <f>IF(AND(ISNUMBER(Z236),ISNUMBER(U236)),IFERROR(Z236/U236-1,""),"")</f>
        <v/>
      </c>
      <c r="AA252" s="39">
        <f>IF(AND(ISNUMBER(AA236),ISNUMBER(V236)),IFERROR(AA236/V236-1,""),"")</f>
        <v/>
      </c>
      <c r="AB252" s="39">
        <f>IF(AND(ISNUMBER(AB236),ISNUMBER(W236)),IFERROR(AB236/W236-1,""),"")</f>
        <v/>
      </c>
      <c r="AC252" s="39">
        <f>IF(AND(ISNUMBER(AC236),ISNUMBER(X236)),IFERROR(AC236/X236-1,""),"")</f>
        <v/>
      </c>
      <c r="AD252" s="39">
        <f>IF(AND(ISNUMBER(AD236),ISNUMBER(Y236)),IFERROR(AD236/Y236-1,""),"")</f>
        <v/>
      </c>
      <c r="AE252" s="39">
        <f>IF(AND(ISNUMBER(AE236),ISNUMBER(Z236)),IFERROR(AE236/Z236-1,""),"")</f>
        <v/>
      </c>
      <c r="AF252" s="39">
        <f>IF(AND(ISNUMBER(AF236),ISNUMBER(AA236)),IFERROR(AF236/AA236-1,""),"")</f>
        <v/>
      </c>
      <c r="AG252" s="39">
        <f>IF(AND(ISNUMBER(AG236),ISNUMBER(AB236)),IFERROR(AG236/AB236-1,""),"")</f>
        <v/>
      </c>
      <c r="AH252" s="39">
        <f>IF(AND(ISNUMBER(AH236),ISNUMBER(AC236)),IFERROR(AH236/AC236-1,""),"")</f>
        <v/>
      </c>
      <c r="AI252" s="39">
        <f>IF(AND(ISNUMBER(AI236),ISNUMBER(AD236)),IFERROR(AI236/AD236-1,""),"")</f>
        <v/>
      </c>
      <c r="AJ252" s="39">
        <f>IF(AND(ISNUMBER(AJ236),ISNUMBER(AE236)),IFERROR(AJ236/AE236-1,""),"")</f>
        <v/>
      </c>
      <c r="AK252" s="39">
        <f>IF(AND(ISNUMBER(AK236),ISNUMBER(AF236)),IFERROR(AK236/AF236-1,""),"")</f>
        <v/>
      </c>
      <c r="AL252" s="39">
        <f>IF(AND(ISNUMBER(AL236),ISNUMBER(AG236)),IFERROR(AL236/AG236-1,""),"")</f>
        <v/>
      </c>
      <c r="AM252" s="39">
        <f>IF(AND(ISNUMBER(AM236),ISNUMBER(AH236)),IFERROR(AM236/AH236-1,""),"")</f>
        <v/>
      </c>
      <c r="AN252" s="39">
        <f>IF(AND(ISNUMBER(AN236),ISNUMBER(AI236)),IFERROR(AN236/AI236-1,""),"")</f>
        <v/>
      </c>
      <c r="AO252" s="39">
        <f>IF(AND(ISNUMBER(AO236),ISNUMBER(AJ236)),IFERROR(AO236/AJ236-1,""),"")</f>
        <v/>
      </c>
      <c r="AP252" s="39">
        <f>IF(AND(ISNUMBER(AP236),ISNUMBER(AK236)),IFERROR(AP236/AK236-1,""),"")</f>
        <v/>
      </c>
      <c r="AQ252" s="39">
        <f>IF(AND(ISNUMBER(AQ236),ISNUMBER(AL236)),IFERROR(AQ236/AL236-1,""),"")</f>
        <v/>
      </c>
      <c r="AR252" s="39">
        <f>IF(AND(ISNUMBER(AR236),ISNUMBER(AM236)),IFERROR(AR236/AM236-1,""),"")</f>
        <v/>
      </c>
      <c r="AS252" s="39">
        <f>IF(AND(ISNUMBER(AS236),ISNUMBER(AN236)),IFERROR(AS236/AN236-1,""),"")</f>
        <v/>
      </c>
      <c r="AT252" s="39">
        <f>IF(AND(ISNUMBER(AT236),ISNUMBER(AO236)),IFERROR(AT236/AO236-1,""),"")</f>
        <v/>
      </c>
      <c r="AU252" s="25">
        <f>IFERROR(AU236/AP236-1,"")</f>
        <v/>
      </c>
      <c r="AV252" s="25">
        <f>IFERROR(AV236/AQ236-1,"")</f>
        <v/>
      </c>
      <c r="AW252" s="25">
        <f>IFERROR(AW236/AR236-1,"")</f>
        <v/>
      </c>
      <c r="AX252" s="25">
        <f>IFERROR(AX236/AW236-1,"")</f>
        <v/>
      </c>
      <c r="AY252" s="25">
        <f>IFERROR(AY236/AX236-1,"")</f>
        <v/>
      </c>
      <c r="AZ252" s="25">
        <f>IFERROR(AZ236/AY236-1,"")</f>
        <v/>
      </c>
      <c r="BA252" s="25">
        <f>IFERROR(BA236/AZ236-1,"")</f>
        <v/>
      </c>
      <c r="BB252" s="26" t="n"/>
    </row>
    <row r="253">
      <c r="B253" s="27" t="inlineStr">
        <is>
          <t xml:space="preserve">  Revenue ÷ Gross Bookings %</t>
        </is>
      </c>
      <c r="C253" s="39">
        <f>IF(AND(ISNUMBER(C148),ISNUMBER(C99)),IFERROR(C148/C99,""),"")</f>
        <v/>
      </c>
      <c r="D253" s="39">
        <f>IF(AND(ISNUMBER(D148),ISNUMBER(D99)),IFERROR(D148/D99,""),"")</f>
        <v/>
      </c>
      <c r="E253" s="39">
        <f>IF(AND(ISNUMBER(E148),ISNUMBER(E99)),IFERROR(E148/E99,""),"")</f>
        <v/>
      </c>
      <c r="F253" s="39">
        <f>IF(AND(ISNUMBER(F148),ISNUMBER(F99)),IFERROR(F148/F99,""),"")</f>
        <v/>
      </c>
      <c r="G253" s="39">
        <f>IF(AND(ISNUMBER(G148),ISNUMBER(G99)),IFERROR(G148/G99,""),"")</f>
        <v/>
      </c>
      <c r="H253" s="39">
        <f>IF(AND(ISNUMBER(H148),ISNUMBER(H99)),IFERROR(H148/H99,""),"")</f>
        <v/>
      </c>
      <c r="I253" s="39">
        <f>IF(AND(ISNUMBER(I148),ISNUMBER(I99)),IFERROR(I148/I99,""),"")</f>
        <v/>
      </c>
      <c r="J253" s="39">
        <f>IF(AND(ISNUMBER(J148),ISNUMBER(J99)),IFERROR(J148/J99,""),"")</f>
        <v/>
      </c>
      <c r="K253" s="39">
        <f>IF(AND(ISNUMBER(K148),ISNUMBER(K99)),IFERROR(K148/K99,""),"")</f>
        <v/>
      </c>
      <c r="L253" s="39">
        <f>IF(AND(ISNUMBER(L148),ISNUMBER(L99)),IFERROR(L148/L99,""),"")</f>
        <v/>
      </c>
      <c r="M253" s="39">
        <f>IF(AND(ISNUMBER(M148),ISNUMBER(M99)),IFERROR(M148/M99,""),"")</f>
        <v/>
      </c>
      <c r="N253" s="39">
        <f>IF(AND(ISNUMBER(N148),ISNUMBER(N99)),IFERROR(N148/N99,""),"")</f>
        <v/>
      </c>
      <c r="O253" s="39">
        <f>IF(AND(ISNUMBER(O148),ISNUMBER(O99)),IFERROR(O148/O99,""),"")</f>
        <v/>
      </c>
      <c r="P253" s="39">
        <f>IF(AND(ISNUMBER(P148),ISNUMBER(P99)),IFERROR(P148/P99,""),"")</f>
        <v/>
      </c>
      <c r="Q253" s="39">
        <f>IF(AND(ISNUMBER(Q148),ISNUMBER(Q99)),IFERROR(Q148/Q99,""),"")</f>
        <v/>
      </c>
      <c r="R253" s="39">
        <f>IF(AND(ISNUMBER(R148),ISNUMBER(R99)),IFERROR(R148/R99,""),"")</f>
        <v/>
      </c>
      <c r="S253" s="39">
        <f>IF(AND(ISNUMBER(S148),ISNUMBER(S99)),IFERROR(S148/S99,""),"")</f>
        <v/>
      </c>
      <c r="T253" s="39">
        <f>IF(AND(ISNUMBER(T148),ISNUMBER(T99)),IFERROR(T148/T99,""),"")</f>
        <v/>
      </c>
      <c r="U253" s="39">
        <f>IF(AND(ISNUMBER(U148),ISNUMBER(U99)),IFERROR(U148/U99,""),"")</f>
        <v/>
      </c>
      <c r="V253" s="39">
        <f>IF(AND(ISNUMBER(V148),ISNUMBER(V99)),IFERROR(V148/V99,""),"")</f>
        <v/>
      </c>
      <c r="W253" s="39">
        <f>IF(AND(ISNUMBER(W148),ISNUMBER(W99)),IFERROR(W148/W99,""),"")</f>
        <v/>
      </c>
      <c r="X253" s="39">
        <f>IF(AND(ISNUMBER(X148),ISNUMBER(X99)),IFERROR(X148/X99,""),"")</f>
        <v/>
      </c>
      <c r="Y253" s="39">
        <f>IF(AND(ISNUMBER(Y148),ISNUMBER(Y99)),IFERROR(Y148/Y99,""),"")</f>
        <v/>
      </c>
      <c r="Z253" s="39">
        <f>IF(AND(ISNUMBER(Z148),ISNUMBER(Z99)),IFERROR(Z148/Z99,""),"")</f>
        <v/>
      </c>
      <c r="AA253" s="39">
        <f>IF(AND(ISNUMBER(AA148),ISNUMBER(AA99)),IFERROR(AA148/AA99,""),"")</f>
        <v/>
      </c>
      <c r="AB253" s="39">
        <f>IF(AND(ISNUMBER(AB148),ISNUMBER(AB99)),IFERROR(AB148/AB99,""),"")</f>
        <v/>
      </c>
      <c r="AC253" s="39">
        <f>IF(AND(ISNUMBER(AC148),ISNUMBER(AC99)),IFERROR(AC148/AC99,""),"")</f>
        <v/>
      </c>
      <c r="AD253" s="39">
        <f>IF(AND(ISNUMBER(AD148),ISNUMBER(AD99)),IFERROR(AD148/AD99,""),"")</f>
        <v/>
      </c>
      <c r="AE253" s="39">
        <f>IF(AND(ISNUMBER(AE148),ISNUMBER(AE99)),IFERROR(AE148/AE99,""),"")</f>
        <v/>
      </c>
      <c r="AF253" s="39">
        <f>IF(AND(ISNUMBER(AF148),ISNUMBER(AF99)),IFERROR(AF148/AF99,""),"")</f>
        <v/>
      </c>
      <c r="AG253" s="39">
        <f>IF(AND(ISNUMBER(AG148),ISNUMBER(AG99)),IFERROR(AG148/AG99,""),"")</f>
        <v/>
      </c>
      <c r="AH253" s="39">
        <f>IF(AND(ISNUMBER(AH148),ISNUMBER(AH99)),IFERROR(AH148/AH99,""),"")</f>
        <v/>
      </c>
      <c r="AI253" s="39">
        <f>IF(AND(ISNUMBER(AI148),ISNUMBER(AI99)),IFERROR(AI148/AI99,""),"")</f>
        <v/>
      </c>
      <c r="AJ253" s="39">
        <f>IF(AND(ISNUMBER(AJ148),ISNUMBER(AJ99)),IFERROR(AJ148/AJ99,""),"")</f>
        <v/>
      </c>
      <c r="AK253" s="39">
        <f>IF(AND(ISNUMBER(AK148),ISNUMBER(AK99)),IFERROR(AK148/AK99,""),"")</f>
        <v/>
      </c>
      <c r="AL253" s="39">
        <f>IF(AND(ISNUMBER(AL148),ISNUMBER(AL99)),IFERROR(AL148/AL99,""),"")</f>
        <v/>
      </c>
      <c r="AM253" s="39">
        <f>IF(AND(ISNUMBER(AM148),ISNUMBER(AM99)),IFERROR(AM148/AM99,""),"")</f>
        <v/>
      </c>
      <c r="AN253" s="39">
        <f>IF(AND(ISNUMBER(AN148),ISNUMBER(AN99)),IFERROR(AN148/AN99,""),"")</f>
        <v/>
      </c>
      <c r="AO253" s="39">
        <f>IF(AND(ISNUMBER(AO148),ISNUMBER(AO99)),IFERROR(AO148/AO99,""),"")</f>
        <v/>
      </c>
      <c r="AP253" s="39">
        <f>IF(AND(ISNUMBER(AP148),ISNUMBER(AP99)),IFERROR(AP148/AP99,""),"")</f>
        <v/>
      </c>
      <c r="AQ253" s="39">
        <f>IF(AND(ISNUMBER(AQ148),ISNUMBER(AQ99)),IFERROR(AQ148/AQ99,""),"")</f>
        <v/>
      </c>
      <c r="AR253" s="39">
        <f>IF(AND(ISNUMBER(AR148),ISNUMBER(AR99)),IFERROR(AR148/AR99,""),"")</f>
        <v/>
      </c>
      <c r="AS253" s="39">
        <f>IF(AND(ISNUMBER(AS148),ISNUMBER(AS99)),IFERROR(AS148/AS99,""),"")</f>
        <v/>
      </c>
      <c r="AT253" s="39">
        <f>IF(AND(ISNUMBER(AT148),ISNUMBER(AT99)),IFERROR(AT148/AT99,""),"")</f>
        <v/>
      </c>
      <c r="AU253" s="25">
        <f>IFERROR(AU148/AU99,"")</f>
        <v/>
      </c>
      <c r="AV253" s="25">
        <f>IFERROR(AV148/AV99,"")</f>
        <v/>
      </c>
      <c r="AW253" s="25">
        <f>IFERROR(AW148/AW99,"")</f>
        <v/>
      </c>
      <c r="AX253" s="25">
        <f>IFERROR(AX148/AX99,"")</f>
        <v/>
      </c>
      <c r="AY253" s="25">
        <f>IFERROR(AY148/AY99,"")</f>
        <v/>
      </c>
      <c r="AZ253" s="25">
        <f>IFERROR(AZ148/AZ99,"")</f>
        <v/>
      </c>
      <c r="BA253" s="25">
        <f>IFERROR(BA148/BA99,"")</f>
        <v/>
      </c>
      <c r="BB253" s="26" t="n"/>
    </row>
    <row r="254">
      <c r="B254" s="27" t="inlineStr">
        <is>
          <t xml:space="preserve">  Adjusted EBITDA % of Gross Bookings</t>
        </is>
      </c>
      <c r="C254" s="39">
        <f>IF(AND(ISNUMBER(C203),ISNUMBER(C99)),IFERROR(C203/C99,""),"")</f>
        <v/>
      </c>
      <c r="D254" s="39">
        <f>IF(AND(ISNUMBER(D203),ISNUMBER(D99)),IFERROR(D203/D99,""),"")</f>
        <v/>
      </c>
      <c r="E254" s="39">
        <f>IF(AND(ISNUMBER(E203),ISNUMBER(E99)),IFERROR(E203/E99,""),"")</f>
        <v/>
      </c>
      <c r="F254" s="39">
        <f>IF(AND(ISNUMBER(F203),ISNUMBER(F99)),IFERROR(F203/F99,""),"")</f>
        <v/>
      </c>
      <c r="G254" s="39">
        <f>IF(AND(ISNUMBER(G203),ISNUMBER(G99)),IFERROR(G203/G99,""),"")</f>
        <v/>
      </c>
      <c r="H254" s="39">
        <f>IF(AND(ISNUMBER(H203),ISNUMBER(H99)),IFERROR(H203/H99,""),"")</f>
        <v/>
      </c>
      <c r="I254" s="39">
        <f>IF(AND(ISNUMBER(I203),ISNUMBER(I99)),IFERROR(I203/I99,""),"")</f>
        <v/>
      </c>
      <c r="J254" s="39">
        <f>IF(AND(ISNUMBER(J203),ISNUMBER(J99)),IFERROR(J203/J99,""),"")</f>
        <v/>
      </c>
      <c r="K254" s="39">
        <f>IF(AND(ISNUMBER(K203),ISNUMBER(K99)),IFERROR(K203/K99,""),"")</f>
        <v/>
      </c>
      <c r="L254" s="39">
        <f>IF(AND(ISNUMBER(L203),ISNUMBER(L99)),IFERROR(L203/L99,""),"")</f>
        <v/>
      </c>
      <c r="M254" s="39">
        <f>IF(AND(ISNUMBER(M203),ISNUMBER(M99)),IFERROR(M203/M99,""),"")</f>
        <v/>
      </c>
      <c r="N254" s="39">
        <f>IF(AND(ISNUMBER(N203),ISNUMBER(N99)),IFERROR(N203/N99,""),"")</f>
        <v/>
      </c>
      <c r="O254" s="39">
        <f>IF(AND(ISNUMBER(O203),ISNUMBER(O99)),IFERROR(O203/O99,""),"")</f>
        <v/>
      </c>
      <c r="P254" s="39">
        <f>IF(AND(ISNUMBER(P203),ISNUMBER(P99)),IFERROR(P203/P99,""),"")</f>
        <v/>
      </c>
      <c r="Q254" s="39">
        <f>IF(AND(ISNUMBER(Q203),ISNUMBER(Q99)),IFERROR(Q203/Q99,""),"")</f>
        <v/>
      </c>
      <c r="R254" s="39">
        <f>IF(AND(ISNUMBER(R203),ISNUMBER(R99)),IFERROR(R203/R99,""),"")</f>
        <v/>
      </c>
      <c r="S254" s="39">
        <f>IF(AND(ISNUMBER(S203),ISNUMBER(S99)),IFERROR(S203/S99,""),"")</f>
        <v/>
      </c>
      <c r="T254" s="39">
        <f>IF(AND(ISNUMBER(T203),ISNUMBER(T99)),IFERROR(T203/T99,""),"")</f>
        <v/>
      </c>
      <c r="U254" s="39">
        <f>IF(AND(ISNUMBER(U203),ISNUMBER(U99)),IFERROR(U203/U99,""),"")</f>
        <v/>
      </c>
      <c r="V254" s="39">
        <f>IF(AND(ISNUMBER(V203),ISNUMBER(V99)),IFERROR(V203/V99,""),"")</f>
        <v/>
      </c>
      <c r="W254" s="39">
        <f>IF(AND(ISNUMBER(W203),ISNUMBER(W99)),IFERROR(W203/W99,""),"")</f>
        <v/>
      </c>
      <c r="X254" s="39">
        <f>IF(AND(ISNUMBER(X203),ISNUMBER(X99)),IFERROR(X203/X99,""),"")</f>
        <v/>
      </c>
      <c r="Y254" s="39">
        <f>IF(AND(ISNUMBER(Y203),ISNUMBER(Y99)),IFERROR(Y203/Y99,""),"")</f>
        <v/>
      </c>
      <c r="Z254" s="39">
        <f>IF(AND(ISNUMBER(Z203),ISNUMBER(Z99)),IFERROR(Z203/Z99,""),"")</f>
        <v/>
      </c>
      <c r="AA254" s="39">
        <f>IF(AND(ISNUMBER(AA203),ISNUMBER(AA99)),IFERROR(AA203/AA99,""),"")</f>
        <v/>
      </c>
      <c r="AB254" s="39">
        <f>IF(AND(ISNUMBER(AB203),ISNUMBER(AB99)),IFERROR(AB203/AB99,""),"")</f>
        <v/>
      </c>
      <c r="AC254" s="39">
        <f>IF(AND(ISNUMBER(AC203),ISNUMBER(AC99)),IFERROR(AC203/AC99,""),"")</f>
        <v/>
      </c>
      <c r="AD254" s="39">
        <f>IF(AND(ISNUMBER(AD203),ISNUMBER(AD99)),IFERROR(AD203/AD99,""),"")</f>
        <v/>
      </c>
      <c r="AE254" s="39">
        <f>IF(AND(ISNUMBER(AE203),ISNUMBER(AE99)),IFERROR(AE203/AE99,""),"")</f>
        <v/>
      </c>
      <c r="AF254" s="39">
        <f>IF(AND(ISNUMBER(AF203),ISNUMBER(AF99)),IFERROR(AF203/AF99,""),"")</f>
        <v/>
      </c>
      <c r="AG254" s="39">
        <f>IF(AND(ISNUMBER(AG203),ISNUMBER(AG99)),IFERROR(AG203/AG99,""),"")</f>
        <v/>
      </c>
      <c r="AH254" s="39">
        <f>IF(AND(ISNUMBER(AH203),ISNUMBER(AH99)),IFERROR(AH203/AH99,""),"")</f>
        <v/>
      </c>
      <c r="AI254" s="39">
        <f>IF(AND(ISNUMBER(AI203),ISNUMBER(AI99)),IFERROR(AI203/AI99,""),"")</f>
        <v/>
      </c>
      <c r="AJ254" s="39">
        <f>IF(AND(ISNUMBER(AJ203),ISNUMBER(AJ99)),IFERROR(AJ203/AJ99,""),"")</f>
        <v/>
      </c>
      <c r="AK254" s="39">
        <f>IF(AND(ISNUMBER(AK203),ISNUMBER(AK99)),IFERROR(AK203/AK99,""),"")</f>
        <v/>
      </c>
      <c r="AL254" s="39">
        <f>IF(AND(ISNUMBER(AL203),ISNUMBER(AL99)),IFERROR(AL203/AL99,""),"")</f>
        <v/>
      </c>
      <c r="AM254" s="39">
        <f>IF(AND(ISNUMBER(AM203),ISNUMBER(AM99)),IFERROR(AM203/AM99,""),"")</f>
        <v/>
      </c>
      <c r="AN254" s="39">
        <f>IF(AND(ISNUMBER(AN203),ISNUMBER(AN99)),IFERROR(AN203/AN99,""),"")</f>
        <v/>
      </c>
      <c r="AO254" s="39">
        <f>IF(AND(ISNUMBER(AO203),ISNUMBER(AO99)),IFERROR(AO203/AO99,""),"")</f>
        <v/>
      </c>
      <c r="AP254" s="39">
        <f>IF(AND(ISNUMBER(AP203),ISNUMBER(AP99)),IFERROR(AP203/AP99,""),"")</f>
        <v/>
      </c>
      <c r="AQ254" s="39">
        <f>IF(AND(ISNUMBER(AQ203),ISNUMBER(AQ99)),IFERROR(AQ203/AQ99,""),"")</f>
        <v/>
      </c>
      <c r="AR254" s="39">
        <f>IF(AND(ISNUMBER(AR203),ISNUMBER(AR99)),IFERROR(AR203/AR99,""),"")</f>
        <v/>
      </c>
      <c r="AS254" s="39">
        <f>IF(AND(ISNUMBER(AS203),ISNUMBER(AS99)),IFERROR(AS203/AS99,""),"")</f>
        <v/>
      </c>
      <c r="AT254" s="39">
        <f>IF(AND(ISNUMBER(AT203),ISNUMBER(AT99)),IFERROR(AT203/AT99,""),"")</f>
        <v/>
      </c>
      <c r="AU254" s="25">
        <f>IFERROR(AU203/AU99,"")</f>
        <v/>
      </c>
      <c r="AV254" s="25">
        <f>IFERROR(AV203/AV99,"")</f>
        <v/>
      </c>
      <c r="AW254" s="25">
        <f>IFERROR(AW203/AW99,"")</f>
        <v/>
      </c>
      <c r="AX254" s="25">
        <f>IFERROR(AX203/AX99,"")</f>
        <v/>
      </c>
      <c r="AY254" s="25">
        <f>IFERROR(AY203/AY99,"")</f>
        <v/>
      </c>
      <c r="AZ254" s="25">
        <f>IFERROR(AZ203/AZ99,"")</f>
        <v/>
      </c>
      <c r="BA254" s="25">
        <f>IFERROR(BA203/BA99,"")</f>
        <v/>
      </c>
      <c r="BB254" s="26" t="n"/>
    </row>
    <row r="255">
      <c r="B255" s="27" t="inlineStr">
        <is>
          <t xml:space="preserve">  Adjusted EBITDA margin % (of revenue)</t>
        </is>
      </c>
      <c r="C255" s="39">
        <f>IF(AND(ISNUMBER(C203),ISNUMBER(C148)),IFERROR(C203/C148,""),"")</f>
        <v/>
      </c>
      <c r="D255" s="39">
        <f>IF(AND(ISNUMBER(D203),ISNUMBER(D148)),IFERROR(D203/D148,""),"")</f>
        <v/>
      </c>
      <c r="E255" s="39">
        <f>IF(AND(ISNUMBER(E203),ISNUMBER(E148)),IFERROR(E203/E148,""),"")</f>
        <v/>
      </c>
      <c r="F255" s="39">
        <f>IF(AND(ISNUMBER(F203),ISNUMBER(F148)),IFERROR(F203/F148,""),"")</f>
        <v/>
      </c>
      <c r="G255" s="39">
        <f>IF(AND(ISNUMBER(G203),ISNUMBER(G148)),IFERROR(G203/G148,""),"")</f>
        <v/>
      </c>
      <c r="H255" s="39">
        <f>IF(AND(ISNUMBER(H203),ISNUMBER(H148)),IFERROR(H203/H148,""),"")</f>
        <v/>
      </c>
      <c r="I255" s="39">
        <f>IF(AND(ISNUMBER(I203),ISNUMBER(I148)),IFERROR(I203/I148,""),"")</f>
        <v/>
      </c>
      <c r="J255" s="39">
        <f>IF(AND(ISNUMBER(J203),ISNUMBER(J148)),IFERROR(J203/J148,""),"")</f>
        <v/>
      </c>
      <c r="K255" s="39">
        <f>IF(AND(ISNUMBER(K203),ISNUMBER(K148)),IFERROR(K203/K148,""),"")</f>
        <v/>
      </c>
      <c r="L255" s="39">
        <f>IF(AND(ISNUMBER(L203),ISNUMBER(L148)),IFERROR(L203/L148,""),"")</f>
        <v/>
      </c>
      <c r="M255" s="39">
        <f>IF(AND(ISNUMBER(M203),ISNUMBER(M148)),IFERROR(M203/M148,""),"")</f>
        <v/>
      </c>
      <c r="N255" s="39">
        <f>IF(AND(ISNUMBER(N203),ISNUMBER(N148)),IFERROR(N203/N148,""),"")</f>
        <v/>
      </c>
      <c r="O255" s="39">
        <f>IF(AND(ISNUMBER(O203),ISNUMBER(O148)),IFERROR(O203/O148,""),"")</f>
        <v/>
      </c>
      <c r="P255" s="39">
        <f>IF(AND(ISNUMBER(P203),ISNUMBER(P148)),IFERROR(P203/P148,""),"")</f>
        <v/>
      </c>
      <c r="Q255" s="39">
        <f>IF(AND(ISNUMBER(Q203),ISNUMBER(Q148)),IFERROR(Q203/Q148,""),"")</f>
        <v/>
      </c>
      <c r="R255" s="39">
        <f>IF(AND(ISNUMBER(R203),ISNUMBER(R148)),IFERROR(R203/R148,""),"")</f>
        <v/>
      </c>
      <c r="S255" s="39">
        <f>IF(AND(ISNUMBER(S203),ISNUMBER(S148)),IFERROR(S203/S148,""),"")</f>
        <v/>
      </c>
      <c r="T255" s="39">
        <f>IF(AND(ISNUMBER(T203),ISNUMBER(T148)),IFERROR(T203/T148,""),"")</f>
        <v/>
      </c>
      <c r="U255" s="39">
        <f>IF(AND(ISNUMBER(U203),ISNUMBER(U148)),IFERROR(U203/U148,""),"")</f>
        <v/>
      </c>
      <c r="V255" s="39">
        <f>IF(AND(ISNUMBER(V203),ISNUMBER(V148)),IFERROR(V203/V148,""),"")</f>
        <v/>
      </c>
      <c r="W255" s="39">
        <f>IF(AND(ISNUMBER(W203),ISNUMBER(W148)),IFERROR(W203/W148,""),"")</f>
        <v/>
      </c>
      <c r="X255" s="39">
        <f>IF(AND(ISNUMBER(X203),ISNUMBER(X148)),IFERROR(X203/X148,""),"")</f>
        <v/>
      </c>
      <c r="Y255" s="39">
        <f>IF(AND(ISNUMBER(Y203),ISNUMBER(Y148)),IFERROR(Y203/Y148,""),"")</f>
        <v/>
      </c>
      <c r="Z255" s="39">
        <f>IF(AND(ISNUMBER(Z203),ISNUMBER(Z148)),IFERROR(Z203/Z148,""),"")</f>
        <v/>
      </c>
      <c r="AA255" s="39">
        <f>IF(AND(ISNUMBER(AA203),ISNUMBER(AA148)),IFERROR(AA203/AA148,""),"")</f>
        <v/>
      </c>
      <c r="AB255" s="39">
        <f>IF(AND(ISNUMBER(AB203),ISNUMBER(AB148)),IFERROR(AB203/AB148,""),"")</f>
        <v/>
      </c>
      <c r="AC255" s="39">
        <f>IF(AND(ISNUMBER(AC203),ISNUMBER(AC148)),IFERROR(AC203/AC148,""),"")</f>
        <v/>
      </c>
      <c r="AD255" s="39">
        <f>IF(AND(ISNUMBER(AD203),ISNUMBER(AD148)),IFERROR(AD203/AD148,""),"")</f>
        <v/>
      </c>
      <c r="AE255" s="39">
        <f>IF(AND(ISNUMBER(AE203),ISNUMBER(AE148)),IFERROR(AE203/AE148,""),"")</f>
        <v/>
      </c>
      <c r="AF255" s="39">
        <f>IF(AND(ISNUMBER(AF203),ISNUMBER(AF148)),IFERROR(AF203/AF148,""),"")</f>
        <v/>
      </c>
      <c r="AG255" s="39">
        <f>IF(AND(ISNUMBER(AG203),ISNUMBER(AG148)),IFERROR(AG203/AG148,""),"")</f>
        <v/>
      </c>
      <c r="AH255" s="39">
        <f>IF(AND(ISNUMBER(AH203),ISNUMBER(AH148)),IFERROR(AH203/AH148,""),"")</f>
        <v/>
      </c>
      <c r="AI255" s="39">
        <f>IF(AND(ISNUMBER(AI203),ISNUMBER(AI148)),IFERROR(AI203/AI148,""),"")</f>
        <v/>
      </c>
      <c r="AJ255" s="39">
        <f>IF(AND(ISNUMBER(AJ203),ISNUMBER(AJ148)),IFERROR(AJ203/AJ148,""),"")</f>
        <v/>
      </c>
      <c r="AK255" s="39">
        <f>IF(AND(ISNUMBER(AK203),ISNUMBER(AK148)),IFERROR(AK203/AK148,""),"")</f>
        <v/>
      </c>
      <c r="AL255" s="39">
        <f>IF(AND(ISNUMBER(AL203),ISNUMBER(AL148)),IFERROR(AL203/AL148,""),"")</f>
        <v/>
      </c>
      <c r="AM255" s="39">
        <f>IF(AND(ISNUMBER(AM203),ISNUMBER(AM148)),IFERROR(AM203/AM148,""),"")</f>
        <v/>
      </c>
      <c r="AN255" s="39">
        <f>IF(AND(ISNUMBER(AN203),ISNUMBER(AN148)),IFERROR(AN203/AN148,""),"")</f>
        <v/>
      </c>
      <c r="AO255" s="39">
        <f>IF(AND(ISNUMBER(AO203),ISNUMBER(AO148)),IFERROR(AO203/AO148,""),"")</f>
        <v/>
      </c>
      <c r="AP255" s="39">
        <f>IF(AND(ISNUMBER(AP203),ISNUMBER(AP148)),IFERROR(AP203/AP148,""),"")</f>
        <v/>
      </c>
      <c r="AQ255" s="39">
        <f>IF(AND(ISNUMBER(AQ203),ISNUMBER(AQ148)),IFERROR(AQ203/AQ148,""),"")</f>
        <v/>
      </c>
      <c r="AR255" s="39">
        <f>IF(AND(ISNUMBER(AR203),ISNUMBER(AR148)),IFERROR(AR203/AR148,""),"")</f>
        <v/>
      </c>
      <c r="AS255" s="39">
        <f>IF(AND(ISNUMBER(AS203),ISNUMBER(AS148)),IFERROR(AS203/AS148,""),"")</f>
        <v/>
      </c>
      <c r="AT255" s="39">
        <f>IF(AND(ISNUMBER(AT203),ISNUMBER(AT148)),IFERROR(AT203/AT148,""),"")</f>
        <v/>
      </c>
      <c r="AU255" s="25">
        <f>IFERROR(AU203/AU148,"")</f>
        <v/>
      </c>
      <c r="AV255" s="25">
        <f>IFERROR(AV203/AV148,"")</f>
        <v/>
      </c>
      <c r="AW255" s="25">
        <f>IFERROR(AW203/AW148,"")</f>
        <v/>
      </c>
      <c r="AX255" s="25">
        <f>IFERROR(AX203/AX148,"")</f>
        <v/>
      </c>
      <c r="AY255" s="25">
        <f>IFERROR(AY203/AY148,"")</f>
        <v/>
      </c>
      <c r="AZ255" s="25">
        <f>IFERROR(AZ203/AZ148,"")</f>
        <v/>
      </c>
      <c r="BA255" s="25">
        <f>IFERROR(BA203/BA148,"")</f>
        <v/>
      </c>
      <c r="BB255" s="26" t="n"/>
    </row>
    <row r="256">
      <c r="B256" s="27" t="inlineStr">
        <is>
          <t xml:space="preserve">  Non-GAAP Operating Income % of Gross Bookings</t>
        </is>
      </c>
      <c r="C256" s="39">
        <f>IF(AND(ISNUMBER(C212),ISNUMBER(C99)),IFERROR(C212/C99,""),"")</f>
        <v/>
      </c>
      <c r="D256" s="39">
        <f>IF(AND(ISNUMBER(D212),ISNUMBER(D99)),IFERROR(D212/D99,""),"")</f>
        <v/>
      </c>
      <c r="E256" s="39">
        <f>IF(AND(ISNUMBER(E212),ISNUMBER(E99)),IFERROR(E212/E99,""),"")</f>
        <v/>
      </c>
      <c r="F256" s="39">
        <f>IF(AND(ISNUMBER(F212),ISNUMBER(F99)),IFERROR(F212/F99,""),"")</f>
        <v/>
      </c>
      <c r="G256" s="39">
        <f>IF(AND(ISNUMBER(G212),ISNUMBER(G99)),IFERROR(G212/G99,""),"")</f>
        <v/>
      </c>
      <c r="H256" s="39">
        <f>IF(AND(ISNUMBER(H212),ISNUMBER(H99)),IFERROR(H212/H99,""),"")</f>
        <v/>
      </c>
      <c r="I256" s="39">
        <f>IF(AND(ISNUMBER(I212),ISNUMBER(I99)),IFERROR(I212/I99,""),"")</f>
        <v/>
      </c>
      <c r="J256" s="39">
        <f>IF(AND(ISNUMBER(J212),ISNUMBER(J99)),IFERROR(J212/J99,""),"")</f>
        <v/>
      </c>
      <c r="K256" s="39">
        <f>IF(AND(ISNUMBER(K212),ISNUMBER(K99)),IFERROR(K212/K99,""),"")</f>
        <v/>
      </c>
      <c r="L256" s="39">
        <f>IF(AND(ISNUMBER(L212),ISNUMBER(L99)),IFERROR(L212/L99,""),"")</f>
        <v/>
      </c>
      <c r="M256" s="39">
        <f>IF(AND(ISNUMBER(M212),ISNUMBER(M99)),IFERROR(M212/M99,""),"")</f>
        <v/>
      </c>
      <c r="N256" s="39">
        <f>IF(AND(ISNUMBER(N212),ISNUMBER(N99)),IFERROR(N212/N99,""),"")</f>
        <v/>
      </c>
      <c r="O256" s="39">
        <f>IF(AND(ISNUMBER(O212),ISNUMBER(O99)),IFERROR(O212/O99,""),"")</f>
        <v/>
      </c>
      <c r="P256" s="39">
        <f>IF(AND(ISNUMBER(P212),ISNUMBER(P99)),IFERROR(P212/P99,""),"")</f>
        <v/>
      </c>
      <c r="Q256" s="39">
        <f>IF(AND(ISNUMBER(Q212),ISNUMBER(Q99)),IFERROR(Q212/Q99,""),"")</f>
        <v/>
      </c>
      <c r="R256" s="39">
        <f>IF(AND(ISNUMBER(R212),ISNUMBER(R99)),IFERROR(R212/R99,""),"")</f>
        <v/>
      </c>
      <c r="S256" s="39">
        <f>IF(AND(ISNUMBER(S212),ISNUMBER(S99)),IFERROR(S212/S99,""),"")</f>
        <v/>
      </c>
      <c r="T256" s="39">
        <f>IF(AND(ISNUMBER(T212),ISNUMBER(T99)),IFERROR(T212/T99,""),"")</f>
        <v/>
      </c>
      <c r="U256" s="39">
        <f>IF(AND(ISNUMBER(U212),ISNUMBER(U99)),IFERROR(U212/U99,""),"")</f>
        <v/>
      </c>
      <c r="V256" s="39">
        <f>IF(AND(ISNUMBER(V212),ISNUMBER(V99)),IFERROR(V212/V99,""),"")</f>
        <v/>
      </c>
      <c r="W256" s="39">
        <f>IF(AND(ISNUMBER(W212),ISNUMBER(W99)),IFERROR(W212/W99,""),"")</f>
        <v/>
      </c>
      <c r="X256" s="39">
        <f>IF(AND(ISNUMBER(X212),ISNUMBER(X99)),IFERROR(X212/X99,""),"")</f>
        <v/>
      </c>
      <c r="Y256" s="39">
        <f>IF(AND(ISNUMBER(Y212),ISNUMBER(Y99)),IFERROR(Y212/Y99,""),"")</f>
        <v/>
      </c>
      <c r="Z256" s="39">
        <f>IF(AND(ISNUMBER(Z212),ISNUMBER(Z99)),IFERROR(Z212/Z99,""),"")</f>
        <v/>
      </c>
      <c r="AA256" s="39">
        <f>IF(AND(ISNUMBER(AA212),ISNUMBER(AA99)),IFERROR(AA212/AA99,""),"")</f>
        <v/>
      </c>
      <c r="AB256" s="39">
        <f>IF(AND(ISNUMBER(AB212),ISNUMBER(AB99)),IFERROR(AB212/AB99,""),"")</f>
        <v/>
      </c>
      <c r="AC256" s="39">
        <f>IF(AND(ISNUMBER(AC212),ISNUMBER(AC99)),IFERROR(AC212/AC99,""),"")</f>
        <v/>
      </c>
      <c r="AD256" s="39">
        <f>IF(AND(ISNUMBER(AD212),ISNUMBER(AD99)),IFERROR(AD212/AD99,""),"")</f>
        <v/>
      </c>
      <c r="AE256" s="39">
        <f>IF(AND(ISNUMBER(AE212),ISNUMBER(AE99)),IFERROR(AE212/AE99,""),"")</f>
        <v/>
      </c>
      <c r="AF256" s="39">
        <f>IF(AND(ISNUMBER(AF212),ISNUMBER(AF99)),IFERROR(AF212/AF99,""),"")</f>
        <v/>
      </c>
      <c r="AG256" s="39">
        <f>IF(AND(ISNUMBER(AG212),ISNUMBER(AG99)),IFERROR(AG212/AG99,""),"")</f>
        <v/>
      </c>
      <c r="AH256" s="39">
        <f>IF(AND(ISNUMBER(AH212),ISNUMBER(AH99)),IFERROR(AH212/AH99,""),"")</f>
        <v/>
      </c>
      <c r="AI256" s="39">
        <f>IF(AND(ISNUMBER(AI212),ISNUMBER(AI99)),IFERROR(AI212/AI99,""),"")</f>
        <v/>
      </c>
      <c r="AJ256" s="39">
        <f>IF(AND(ISNUMBER(AJ212),ISNUMBER(AJ99)),IFERROR(AJ212/AJ99,""),"")</f>
        <v/>
      </c>
      <c r="AK256" s="39">
        <f>IF(AND(ISNUMBER(AK212),ISNUMBER(AK99)),IFERROR(AK212/AK99,""),"")</f>
        <v/>
      </c>
      <c r="AL256" s="39">
        <f>IF(AND(ISNUMBER(AL212),ISNUMBER(AL99)),IFERROR(AL212/AL99,""),"")</f>
        <v/>
      </c>
      <c r="AM256" s="39">
        <f>IF(AND(ISNUMBER(AM212),ISNUMBER(AM99)),IFERROR(AM212/AM99,""),"")</f>
        <v/>
      </c>
      <c r="AN256" s="39">
        <f>IF(AND(ISNUMBER(AN212),ISNUMBER(AN99)),IFERROR(AN212/AN99,""),"")</f>
        <v/>
      </c>
      <c r="AO256" s="39">
        <f>IF(AND(ISNUMBER(AO212),ISNUMBER(AO99)),IFERROR(AO212/AO99,""),"")</f>
        <v/>
      </c>
      <c r="AP256" s="39">
        <f>IF(AND(ISNUMBER(AP212),ISNUMBER(AP99)),IFERROR(AP212/AP99,""),"")</f>
        <v/>
      </c>
      <c r="AQ256" s="39">
        <f>IF(AND(ISNUMBER(AQ212),ISNUMBER(AQ99)),IFERROR(AQ212/AQ99,""),"")</f>
        <v/>
      </c>
      <c r="AR256" s="39">
        <f>IF(AND(ISNUMBER(AR212),ISNUMBER(AR99)),IFERROR(AR212/AR99,""),"")</f>
        <v/>
      </c>
      <c r="AS256" s="39">
        <f>IF(AND(ISNUMBER(AS212),ISNUMBER(AS99)),IFERROR(AS212/AS99,""),"")</f>
        <v/>
      </c>
      <c r="AT256" s="39">
        <f>IF(AND(ISNUMBER(AT212),ISNUMBER(AT99)),IFERROR(AT212/AT99,""),"")</f>
        <v/>
      </c>
      <c r="AU256" s="25">
        <f>IFERROR(AU212/AU99,"")</f>
        <v/>
      </c>
      <c r="AV256" s="25">
        <f>IFERROR(AV212/AV99,"")</f>
        <v/>
      </c>
      <c r="AW256" s="25">
        <f>IFERROR(AW212/AW99,"")</f>
        <v/>
      </c>
      <c r="AX256" s="25">
        <f>IFERROR(AX212/AX99,"")</f>
        <v/>
      </c>
      <c r="AY256" s="25">
        <f>IFERROR(AY212/AY99,"")</f>
        <v/>
      </c>
      <c r="AZ256" s="25">
        <f>IFERROR(AZ212/AZ99,"")</f>
        <v/>
      </c>
      <c r="BA256" s="25">
        <f>IFERROR(BA212/BA99,"")</f>
        <v/>
      </c>
      <c r="BB256" s="26" t="n"/>
    </row>
    <row r="257">
      <c r="B257" s="27" t="inlineStr">
        <is>
          <t xml:space="preserve">  Incremental Adjusted EBITDA margin (ΔAdj. EBITDA ÷ ΔGross Bookings)</t>
        </is>
      </c>
      <c r="C257" s="39" t="n"/>
      <c r="D257" s="39">
        <f>IF(AND(ISNUMBER(C203),ISNUMBER(C99)),IFERROR((D203-C203)/(D99-C99),""),"")</f>
        <v/>
      </c>
      <c r="E257" s="39" t="n"/>
      <c r="F257" s="39" t="n"/>
      <c r="G257" s="39" t="n"/>
      <c r="H257" s="39" t="n"/>
      <c r="I257" s="39">
        <f>IF(AND(ISNUMBER(D203),ISNUMBER(D99)),IFERROR((I203-D203)/(I99-D99),""),"")</f>
        <v/>
      </c>
      <c r="J257" s="39">
        <f>IF(AND(ISNUMBER(E203),ISNUMBER(E99)),IFERROR((J203-E203)/(J99-E99),""),"")</f>
        <v/>
      </c>
      <c r="K257" s="39">
        <f>IF(AND(ISNUMBER(F203),ISNUMBER(F99)),IFERROR((K203-F203)/(K99-F99),""),"")</f>
        <v/>
      </c>
      <c r="L257" s="39">
        <f>IF(AND(ISNUMBER(G203),ISNUMBER(G99)),IFERROR((L203-G203)/(L99-G99),""),"")</f>
        <v/>
      </c>
      <c r="M257" s="39">
        <f>IF(AND(ISNUMBER(H203),ISNUMBER(H99)),IFERROR((M203-H203)/(M99-H99),""),"")</f>
        <v/>
      </c>
      <c r="N257" s="39">
        <f>IF(AND(ISNUMBER(I203),ISNUMBER(I99)),IFERROR((N203-I203)/(N99-I99),""),"")</f>
        <v/>
      </c>
      <c r="O257" s="39">
        <f>IF(AND(ISNUMBER(J203),ISNUMBER(J99)),IFERROR((O203-J203)/(O99-J99),""),"")</f>
        <v/>
      </c>
      <c r="P257" s="39">
        <f>IF(AND(ISNUMBER(K203),ISNUMBER(K99)),IFERROR((P203-K203)/(P99-K99),""),"")</f>
        <v/>
      </c>
      <c r="Q257" s="39">
        <f>IF(AND(ISNUMBER(L203),ISNUMBER(L99)),IFERROR((Q203-L203)/(Q99-L99),""),"")</f>
        <v/>
      </c>
      <c r="R257" s="39">
        <f>IF(AND(ISNUMBER(M203),ISNUMBER(M99)),IFERROR((R203-M203)/(R99-M99),""),"")</f>
        <v/>
      </c>
      <c r="S257" s="39">
        <f>IF(AND(ISNUMBER(N203),ISNUMBER(N99)),IFERROR((S203-N203)/(S99-N99),""),"")</f>
        <v/>
      </c>
      <c r="T257" s="39">
        <f>IF(AND(ISNUMBER(O203),ISNUMBER(O99)),IFERROR((T203-O203)/(T99-O99),""),"")</f>
        <v/>
      </c>
      <c r="U257" s="39">
        <f>IF(AND(ISNUMBER(P203),ISNUMBER(P99)),IFERROR((U203-P203)/(U99-P99),""),"")</f>
        <v/>
      </c>
      <c r="V257" s="39">
        <f>IF(AND(ISNUMBER(Q203),ISNUMBER(Q99)),IFERROR((V203-Q203)/(V99-Q99),""),"")</f>
        <v/>
      </c>
      <c r="W257" s="39">
        <f>IF(AND(ISNUMBER(R203),ISNUMBER(R99)),IFERROR((W203-R203)/(W99-R99),""),"")</f>
        <v/>
      </c>
      <c r="X257" s="39">
        <f>IF(AND(ISNUMBER(S203),ISNUMBER(S99)),IFERROR((X203-S203)/(X99-S99),""),"")</f>
        <v/>
      </c>
      <c r="Y257" s="39">
        <f>IF(AND(ISNUMBER(T203),ISNUMBER(T99)),IFERROR((Y203-T203)/(Y99-T99),""),"")</f>
        <v/>
      </c>
      <c r="Z257" s="39">
        <f>IF(AND(ISNUMBER(U203),ISNUMBER(U99)),IFERROR((Z203-U203)/(Z99-U99),""),"")</f>
        <v/>
      </c>
      <c r="AA257" s="39">
        <f>IF(AND(ISNUMBER(V203),ISNUMBER(V99)),IFERROR((AA203-V203)/(AA99-V99),""),"")</f>
        <v/>
      </c>
      <c r="AB257" s="39">
        <f>IF(AND(ISNUMBER(W203),ISNUMBER(W99)),IFERROR((AB203-W203)/(AB99-W99),""),"")</f>
        <v/>
      </c>
      <c r="AC257" s="39">
        <f>IF(AND(ISNUMBER(X203),ISNUMBER(X99)),IFERROR((AC203-X203)/(AC99-X99),""),"")</f>
        <v/>
      </c>
      <c r="AD257" s="39">
        <f>IF(AND(ISNUMBER(Y203),ISNUMBER(Y99)),IFERROR((AD203-Y203)/(AD99-Y99),""),"")</f>
        <v/>
      </c>
      <c r="AE257" s="39">
        <f>IF(AND(ISNUMBER(Z203),ISNUMBER(Z99)),IFERROR((AE203-Z203)/(AE99-Z99),""),"")</f>
        <v/>
      </c>
      <c r="AF257" s="39">
        <f>IF(AND(ISNUMBER(AA203),ISNUMBER(AA99)),IFERROR((AF203-AA203)/(AF99-AA99),""),"")</f>
        <v/>
      </c>
      <c r="AG257" s="39">
        <f>IF(AND(ISNUMBER(AB203),ISNUMBER(AB99)),IFERROR((AG203-AB203)/(AG99-AB99),""),"")</f>
        <v/>
      </c>
      <c r="AH257" s="39">
        <f>IF(AND(ISNUMBER(AC203),ISNUMBER(AC99)),IFERROR((AH203-AC203)/(AH99-AC99),""),"")</f>
        <v/>
      </c>
      <c r="AI257" s="39">
        <f>IF(AND(ISNUMBER(AD203),ISNUMBER(AD99)),IFERROR((AI203-AD203)/(AI99-AD99),""),"")</f>
        <v/>
      </c>
      <c r="AJ257" s="39">
        <f>IF(AND(ISNUMBER(AE203),ISNUMBER(AE99)),IFERROR((AJ203-AE203)/(AJ99-AE99),""),"")</f>
        <v/>
      </c>
      <c r="AK257" s="39">
        <f>IF(AND(ISNUMBER(AF203),ISNUMBER(AF99)),IFERROR((AK203-AF203)/(AK99-AF99),""),"")</f>
        <v/>
      </c>
      <c r="AL257" s="39">
        <f>IF(AND(ISNUMBER(AG203),ISNUMBER(AG99)),IFERROR((AL203-AG203)/(AL99-AG99),""),"")</f>
        <v/>
      </c>
      <c r="AM257" s="39">
        <f>IF(AND(ISNUMBER(AH203),ISNUMBER(AH99)),IFERROR((AM203-AH203)/(AM99-AH99),""),"")</f>
        <v/>
      </c>
      <c r="AN257" s="39">
        <f>IF(AND(ISNUMBER(AI203),ISNUMBER(AI99)),IFERROR((AN203-AI203)/(AN99-AI99),""),"")</f>
        <v/>
      </c>
      <c r="AO257" s="39">
        <f>IF(AND(ISNUMBER(AJ203),ISNUMBER(AJ99)),IFERROR((AO203-AJ203)/(AO99-AJ99),""),"")</f>
        <v/>
      </c>
      <c r="AP257" s="39">
        <f>IF(AND(ISNUMBER(AK203),ISNUMBER(AK99)),IFERROR((AP203-AK203)/(AP99-AK99),""),"")</f>
        <v/>
      </c>
      <c r="AQ257" s="39">
        <f>IF(AND(ISNUMBER(AL203),ISNUMBER(AL99)),IFERROR((AQ203-AL203)/(AQ99-AL99),""),"")</f>
        <v/>
      </c>
      <c r="AR257" s="39">
        <f>IF(AND(ISNUMBER(AM203),ISNUMBER(AM99)),IFERROR((AR203-AM203)/(AR99-AM99),""),"")</f>
        <v/>
      </c>
      <c r="AS257" s="39">
        <f>IF(AND(ISNUMBER(AN203),ISNUMBER(AN99)),IFERROR((AS203-AN203)/(AS99-AN99),""),"")</f>
        <v/>
      </c>
      <c r="AT257" s="39">
        <f>IF(AND(ISNUMBER(AO203),ISNUMBER(AO99)),IFERROR((AT203-AO203)/(AT99-AO99),""),"")</f>
        <v/>
      </c>
      <c r="AU257" s="25">
        <f>IFERROR((AU203-AP203)/(AU99-AP99),"")</f>
        <v/>
      </c>
      <c r="AV257" s="25">
        <f>IFERROR((AV203-AQ203)/(AV99-AQ99),"")</f>
        <v/>
      </c>
      <c r="AW257" s="25">
        <f>IFERROR((AW203-AR203)/(AW99-AR99),"")</f>
        <v/>
      </c>
      <c r="AX257" s="25">
        <f>IFERROR((AX203-AW203)/(AX99-AW99),"")</f>
        <v/>
      </c>
      <c r="AY257" s="25">
        <f>IFERROR((AY203-AX203)/(AY99-AX99),"")</f>
        <v/>
      </c>
      <c r="AZ257" s="25">
        <f>IFERROR((AZ203-AY203)/(AZ99-AY99),"")</f>
        <v/>
      </c>
      <c r="BA257" s="25">
        <f>IFERROR((BA203-AZ203)/(BA99-AZ99),"")</f>
        <v/>
      </c>
      <c r="BB257" s="26" t="n"/>
    </row>
    <row r="258">
      <c r="B258" s="27" t="inlineStr">
        <is>
          <t xml:space="preserve">  Operating margin (income from operations ÷ revenue) %</t>
        </is>
      </c>
      <c r="C258" s="39">
        <f>IF(AND(ISNUMBER(C157),ISNUMBER(C148)),IFERROR(C157/C148,""),"")</f>
        <v/>
      </c>
      <c r="D258" s="39">
        <f>IF(AND(ISNUMBER(D157),ISNUMBER(D148)),IFERROR(D157/D148,""),"")</f>
        <v/>
      </c>
      <c r="E258" s="39">
        <f>IF(AND(ISNUMBER(E157),ISNUMBER(E148)),IFERROR(E157/E148,""),"")</f>
        <v/>
      </c>
      <c r="F258" s="39">
        <f>IF(AND(ISNUMBER(F157),ISNUMBER(F148)),IFERROR(F157/F148,""),"")</f>
        <v/>
      </c>
      <c r="G258" s="39">
        <f>IF(AND(ISNUMBER(G157),ISNUMBER(G148)),IFERROR(G157/G148,""),"")</f>
        <v/>
      </c>
      <c r="H258" s="39">
        <f>IF(AND(ISNUMBER(H157),ISNUMBER(H148)),IFERROR(H157/H148,""),"")</f>
        <v/>
      </c>
      <c r="I258" s="39">
        <f>IF(AND(ISNUMBER(I157),ISNUMBER(I148)),IFERROR(I157/I148,""),"")</f>
        <v/>
      </c>
      <c r="J258" s="39">
        <f>IF(AND(ISNUMBER(J157),ISNUMBER(J148)),IFERROR(J157/J148,""),"")</f>
        <v/>
      </c>
      <c r="K258" s="39">
        <f>IF(AND(ISNUMBER(K157),ISNUMBER(K148)),IFERROR(K157/K148,""),"")</f>
        <v/>
      </c>
      <c r="L258" s="39">
        <f>IF(AND(ISNUMBER(L157),ISNUMBER(L148)),IFERROR(L157/L148,""),"")</f>
        <v/>
      </c>
      <c r="M258" s="39">
        <f>IF(AND(ISNUMBER(M157),ISNUMBER(M148)),IFERROR(M157/M148,""),"")</f>
        <v/>
      </c>
      <c r="N258" s="39">
        <f>IF(AND(ISNUMBER(N157),ISNUMBER(N148)),IFERROR(N157/N148,""),"")</f>
        <v/>
      </c>
      <c r="O258" s="39">
        <f>IF(AND(ISNUMBER(O157),ISNUMBER(O148)),IFERROR(O157/O148,""),"")</f>
        <v/>
      </c>
      <c r="P258" s="39">
        <f>IF(AND(ISNUMBER(P157),ISNUMBER(P148)),IFERROR(P157/P148,""),"")</f>
        <v/>
      </c>
      <c r="Q258" s="39">
        <f>IF(AND(ISNUMBER(Q157),ISNUMBER(Q148)),IFERROR(Q157/Q148,""),"")</f>
        <v/>
      </c>
      <c r="R258" s="39">
        <f>IF(AND(ISNUMBER(R157),ISNUMBER(R148)),IFERROR(R157/R148,""),"")</f>
        <v/>
      </c>
      <c r="S258" s="39">
        <f>IF(AND(ISNUMBER(S157),ISNUMBER(S148)),IFERROR(S157/S148,""),"")</f>
        <v/>
      </c>
      <c r="T258" s="39">
        <f>IF(AND(ISNUMBER(T157),ISNUMBER(T148)),IFERROR(T157/T148,""),"")</f>
        <v/>
      </c>
      <c r="U258" s="39">
        <f>IF(AND(ISNUMBER(U157),ISNUMBER(U148)),IFERROR(U157/U148,""),"")</f>
        <v/>
      </c>
      <c r="V258" s="39">
        <f>IF(AND(ISNUMBER(V157),ISNUMBER(V148)),IFERROR(V157/V148,""),"")</f>
        <v/>
      </c>
      <c r="W258" s="39">
        <f>IF(AND(ISNUMBER(W157),ISNUMBER(W148)),IFERROR(W157/W148,""),"")</f>
        <v/>
      </c>
      <c r="X258" s="39">
        <f>IF(AND(ISNUMBER(X157),ISNUMBER(X148)),IFERROR(X157/X148,""),"")</f>
        <v/>
      </c>
      <c r="Y258" s="39">
        <f>IF(AND(ISNUMBER(Y157),ISNUMBER(Y148)),IFERROR(Y157/Y148,""),"")</f>
        <v/>
      </c>
      <c r="Z258" s="39">
        <f>IF(AND(ISNUMBER(Z157),ISNUMBER(Z148)),IFERROR(Z157/Z148,""),"")</f>
        <v/>
      </c>
      <c r="AA258" s="39">
        <f>IF(AND(ISNUMBER(AA157),ISNUMBER(AA148)),IFERROR(AA157/AA148,""),"")</f>
        <v/>
      </c>
      <c r="AB258" s="39">
        <f>IF(AND(ISNUMBER(AB157),ISNUMBER(AB148)),IFERROR(AB157/AB148,""),"")</f>
        <v/>
      </c>
      <c r="AC258" s="39">
        <f>IF(AND(ISNUMBER(AC157),ISNUMBER(AC148)),IFERROR(AC157/AC148,""),"")</f>
        <v/>
      </c>
      <c r="AD258" s="39">
        <f>IF(AND(ISNUMBER(AD157),ISNUMBER(AD148)),IFERROR(AD157/AD148,""),"")</f>
        <v/>
      </c>
      <c r="AE258" s="39">
        <f>IF(AND(ISNUMBER(AE157),ISNUMBER(AE148)),IFERROR(AE157/AE148,""),"")</f>
        <v/>
      </c>
      <c r="AF258" s="39">
        <f>IF(AND(ISNUMBER(AF157),ISNUMBER(AF148)),IFERROR(AF157/AF148,""),"")</f>
        <v/>
      </c>
      <c r="AG258" s="39">
        <f>IF(AND(ISNUMBER(AG157),ISNUMBER(AG148)),IFERROR(AG157/AG148,""),"")</f>
        <v/>
      </c>
      <c r="AH258" s="39">
        <f>IF(AND(ISNUMBER(AH157),ISNUMBER(AH148)),IFERROR(AH157/AH148,""),"")</f>
        <v/>
      </c>
      <c r="AI258" s="39">
        <f>IF(AND(ISNUMBER(AI157),ISNUMBER(AI148)),IFERROR(AI157/AI148,""),"")</f>
        <v/>
      </c>
      <c r="AJ258" s="39">
        <f>IF(AND(ISNUMBER(AJ157),ISNUMBER(AJ148)),IFERROR(AJ157/AJ148,""),"")</f>
        <v/>
      </c>
      <c r="AK258" s="39">
        <f>IF(AND(ISNUMBER(AK157),ISNUMBER(AK148)),IFERROR(AK157/AK148,""),"")</f>
        <v/>
      </c>
      <c r="AL258" s="39">
        <f>IF(AND(ISNUMBER(AL157),ISNUMBER(AL148)),IFERROR(AL157/AL148,""),"")</f>
        <v/>
      </c>
      <c r="AM258" s="39">
        <f>IF(AND(ISNUMBER(AM157),ISNUMBER(AM148)),IFERROR(AM157/AM148,""),"")</f>
        <v/>
      </c>
      <c r="AN258" s="39">
        <f>IF(AND(ISNUMBER(AN157),ISNUMBER(AN148)),IFERROR(AN157/AN148,""),"")</f>
        <v/>
      </c>
      <c r="AO258" s="39">
        <f>IF(AND(ISNUMBER(AO157),ISNUMBER(AO148)),IFERROR(AO157/AO148,""),"")</f>
        <v/>
      </c>
      <c r="AP258" s="39">
        <f>IF(AND(ISNUMBER(AP157),ISNUMBER(AP148)),IFERROR(AP157/AP148,""),"")</f>
        <v/>
      </c>
      <c r="AQ258" s="39">
        <f>IF(AND(ISNUMBER(AQ157),ISNUMBER(AQ148)),IFERROR(AQ157/AQ148,""),"")</f>
        <v/>
      </c>
      <c r="AR258" s="39">
        <f>IF(AND(ISNUMBER(AR157),ISNUMBER(AR148)),IFERROR(AR157/AR148,""),"")</f>
        <v/>
      </c>
      <c r="AS258" s="39">
        <f>IF(AND(ISNUMBER(AS157),ISNUMBER(AS148)),IFERROR(AS157/AS148,""),"")</f>
        <v/>
      </c>
      <c r="AT258" s="39">
        <f>IF(AND(ISNUMBER(AT157),ISNUMBER(AT148)),IFERROR(AT157/AT148,""),"")</f>
        <v/>
      </c>
      <c r="AU258" s="25">
        <f>IFERROR(AU157/AU148,"")</f>
        <v/>
      </c>
      <c r="AV258" s="25">
        <f>IFERROR(AV157/AV148,"")</f>
        <v/>
      </c>
      <c r="AW258" s="25">
        <f>IFERROR(AW157/AW148,"")</f>
        <v/>
      </c>
      <c r="AX258" s="25">
        <f>IFERROR(AX157/AX148,"")</f>
        <v/>
      </c>
      <c r="AY258" s="25">
        <f>IFERROR(AY157/AY148,"")</f>
        <v/>
      </c>
      <c r="AZ258" s="25">
        <f>IFERROR(AZ157/AZ148,"")</f>
        <v/>
      </c>
      <c r="BA258" s="25">
        <f>IFERROR(BA157/BA148,"")</f>
        <v/>
      </c>
      <c r="BB258" s="26" t="n"/>
    </row>
    <row r="259">
      <c r="B259" s="27" t="inlineStr">
        <is>
          <t xml:space="preserve">  Net margin %</t>
        </is>
      </c>
      <c r="C259" s="39">
        <f>IF(AND(ISNUMBER(C168),ISNUMBER(C148)),IFERROR(C168/C148,""),"")</f>
        <v/>
      </c>
      <c r="D259" s="39">
        <f>IF(AND(ISNUMBER(D168),ISNUMBER(D148)),IFERROR(D168/D148,""),"")</f>
        <v/>
      </c>
      <c r="E259" s="39">
        <f>IF(AND(ISNUMBER(E168),ISNUMBER(E148)),IFERROR(E168/E148,""),"")</f>
        <v/>
      </c>
      <c r="F259" s="39">
        <f>IF(AND(ISNUMBER(F168),ISNUMBER(F148)),IFERROR(F168/F148,""),"")</f>
        <v/>
      </c>
      <c r="G259" s="39">
        <f>IF(AND(ISNUMBER(G168),ISNUMBER(G148)),IFERROR(G168/G148,""),"")</f>
        <v/>
      </c>
      <c r="H259" s="39">
        <f>IF(AND(ISNUMBER(H168),ISNUMBER(H148)),IFERROR(H168/H148,""),"")</f>
        <v/>
      </c>
      <c r="I259" s="39">
        <f>IF(AND(ISNUMBER(I168),ISNUMBER(I148)),IFERROR(I168/I148,""),"")</f>
        <v/>
      </c>
      <c r="J259" s="39">
        <f>IF(AND(ISNUMBER(J168),ISNUMBER(J148)),IFERROR(J168/J148,""),"")</f>
        <v/>
      </c>
      <c r="K259" s="39">
        <f>IF(AND(ISNUMBER(K168),ISNUMBER(K148)),IFERROR(K168/K148,""),"")</f>
        <v/>
      </c>
      <c r="L259" s="39">
        <f>IF(AND(ISNUMBER(L168),ISNUMBER(L148)),IFERROR(L168/L148,""),"")</f>
        <v/>
      </c>
      <c r="M259" s="39">
        <f>IF(AND(ISNUMBER(M168),ISNUMBER(M148)),IFERROR(M168/M148,""),"")</f>
        <v/>
      </c>
      <c r="N259" s="39">
        <f>IF(AND(ISNUMBER(N168),ISNUMBER(N148)),IFERROR(N168/N148,""),"")</f>
        <v/>
      </c>
      <c r="O259" s="39">
        <f>IF(AND(ISNUMBER(O168),ISNUMBER(O148)),IFERROR(O168/O148,""),"")</f>
        <v/>
      </c>
      <c r="P259" s="39">
        <f>IF(AND(ISNUMBER(P168),ISNUMBER(P148)),IFERROR(P168/P148,""),"")</f>
        <v/>
      </c>
      <c r="Q259" s="39">
        <f>IF(AND(ISNUMBER(Q168),ISNUMBER(Q148)),IFERROR(Q168/Q148,""),"")</f>
        <v/>
      </c>
      <c r="R259" s="39">
        <f>IF(AND(ISNUMBER(R168),ISNUMBER(R148)),IFERROR(R168/R148,""),"")</f>
        <v/>
      </c>
      <c r="S259" s="39">
        <f>IF(AND(ISNUMBER(S168),ISNUMBER(S148)),IFERROR(S168/S148,""),"")</f>
        <v/>
      </c>
      <c r="T259" s="39">
        <f>IF(AND(ISNUMBER(T168),ISNUMBER(T148)),IFERROR(T168/T148,""),"")</f>
        <v/>
      </c>
      <c r="U259" s="39">
        <f>IF(AND(ISNUMBER(U168),ISNUMBER(U148)),IFERROR(U168/U148,""),"")</f>
        <v/>
      </c>
      <c r="V259" s="39">
        <f>IF(AND(ISNUMBER(V168),ISNUMBER(V148)),IFERROR(V168/V148,""),"")</f>
        <v/>
      </c>
      <c r="W259" s="39">
        <f>IF(AND(ISNUMBER(W168),ISNUMBER(W148)),IFERROR(W168/W148,""),"")</f>
        <v/>
      </c>
      <c r="X259" s="39">
        <f>IF(AND(ISNUMBER(X168),ISNUMBER(X148)),IFERROR(X168/X148,""),"")</f>
        <v/>
      </c>
      <c r="Y259" s="39">
        <f>IF(AND(ISNUMBER(Y168),ISNUMBER(Y148)),IFERROR(Y168/Y148,""),"")</f>
        <v/>
      </c>
      <c r="Z259" s="39">
        <f>IF(AND(ISNUMBER(Z168),ISNUMBER(Z148)),IFERROR(Z168/Z148,""),"")</f>
        <v/>
      </c>
      <c r="AA259" s="39">
        <f>IF(AND(ISNUMBER(AA168),ISNUMBER(AA148)),IFERROR(AA168/AA148,""),"")</f>
        <v/>
      </c>
      <c r="AB259" s="39">
        <f>IF(AND(ISNUMBER(AB168),ISNUMBER(AB148)),IFERROR(AB168/AB148,""),"")</f>
        <v/>
      </c>
      <c r="AC259" s="39">
        <f>IF(AND(ISNUMBER(AC168),ISNUMBER(AC148)),IFERROR(AC168/AC148,""),"")</f>
        <v/>
      </c>
      <c r="AD259" s="39">
        <f>IF(AND(ISNUMBER(AD168),ISNUMBER(AD148)),IFERROR(AD168/AD148,""),"")</f>
        <v/>
      </c>
      <c r="AE259" s="39">
        <f>IF(AND(ISNUMBER(AE168),ISNUMBER(AE148)),IFERROR(AE168/AE148,""),"")</f>
        <v/>
      </c>
      <c r="AF259" s="39">
        <f>IF(AND(ISNUMBER(AF168),ISNUMBER(AF148)),IFERROR(AF168/AF148,""),"")</f>
        <v/>
      </c>
      <c r="AG259" s="39">
        <f>IF(AND(ISNUMBER(AG168),ISNUMBER(AG148)),IFERROR(AG168/AG148,""),"")</f>
        <v/>
      </c>
      <c r="AH259" s="39">
        <f>IF(AND(ISNUMBER(AH168),ISNUMBER(AH148)),IFERROR(AH168/AH148,""),"")</f>
        <v/>
      </c>
      <c r="AI259" s="39">
        <f>IF(AND(ISNUMBER(AI168),ISNUMBER(AI148)),IFERROR(AI168/AI148,""),"")</f>
        <v/>
      </c>
      <c r="AJ259" s="39">
        <f>IF(AND(ISNUMBER(AJ168),ISNUMBER(AJ148)),IFERROR(AJ168/AJ148,""),"")</f>
        <v/>
      </c>
      <c r="AK259" s="39">
        <f>IF(AND(ISNUMBER(AK168),ISNUMBER(AK148)),IFERROR(AK168/AK148,""),"")</f>
        <v/>
      </c>
      <c r="AL259" s="39">
        <f>IF(AND(ISNUMBER(AL168),ISNUMBER(AL148)),IFERROR(AL168/AL148,""),"")</f>
        <v/>
      </c>
      <c r="AM259" s="39">
        <f>IF(AND(ISNUMBER(AM168),ISNUMBER(AM148)),IFERROR(AM168/AM148,""),"")</f>
        <v/>
      </c>
      <c r="AN259" s="39">
        <f>IF(AND(ISNUMBER(AN168),ISNUMBER(AN148)),IFERROR(AN168/AN148,""),"")</f>
        <v/>
      </c>
      <c r="AO259" s="39">
        <f>IF(AND(ISNUMBER(AO168),ISNUMBER(AO148)),IFERROR(AO168/AO148,""),"")</f>
        <v/>
      </c>
      <c r="AP259" s="39">
        <f>IF(AND(ISNUMBER(AP168),ISNUMBER(AP148)),IFERROR(AP168/AP148,""),"")</f>
        <v/>
      </c>
      <c r="AQ259" s="39">
        <f>IF(AND(ISNUMBER(AQ168),ISNUMBER(AQ148)),IFERROR(AQ168/AQ148,""),"")</f>
        <v/>
      </c>
      <c r="AR259" s="39">
        <f>IF(AND(ISNUMBER(AR168),ISNUMBER(AR148)),IFERROR(AR168/AR148,""),"")</f>
        <v/>
      </c>
      <c r="AS259" s="39">
        <f>IF(AND(ISNUMBER(AS168),ISNUMBER(AS148)),IFERROR(AS168/AS148,""),"")</f>
        <v/>
      </c>
      <c r="AT259" s="39">
        <f>IF(AND(ISNUMBER(AT168),ISNUMBER(AT148)),IFERROR(AT168/AT148,""),"")</f>
        <v/>
      </c>
      <c r="AU259" s="25">
        <f>IFERROR(AU168/AU148,"")</f>
        <v/>
      </c>
      <c r="AV259" s="25">
        <f>IFERROR(AV168/AV148,"")</f>
        <v/>
      </c>
      <c r="AW259" s="25">
        <f>IFERROR(AW168/AW148,"")</f>
        <v/>
      </c>
      <c r="AX259" s="25">
        <f>IFERROR(AX168/AX148,"")</f>
        <v/>
      </c>
      <c r="AY259" s="25">
        <f>IFERROR(AY168/AY148,"")</f>
        <v/>
      </c>
      <c r="AZ259" s="25">
        <f>IFERROR(AZ168/AZ148,"")</f>
        <v/>
      </c>
      <c r="BA259" s="25">
        <f>IFERROR(BA168/BA148,"")</f>
        <v/>
      </c>
      <c r="BB259" s="26" t="n"/>
    </row>
    <row r="260">
      <c r="B260" s="27" t="inlineStr">
        <is>
          <t xml:space="preserve">  Stock-based compensation % of revenue</t>
        </is>
      </c>
      <c r="C260" s="39">
        <f>IF(AND(ISNUMBER(C171),ISNUMBER(C148)),IFERROR(C171/C148,""),"")</f>
        <v/>
      </c>
      <c r="D260" s="39">
        <f>IF(AND(ISNUMBER(D171),ISNUMBER(D148)),IFERROR(D171/D148,""),"")</f>
        <v/>
      </c>
      <c r="E260" s="39">
        <f>IF(AND(ISNUMBER(E171),ISNUMBER(E148)),IFERROR(E171/E148,""),"")</f>
        <v/>
      </c>
      <c r="F260" s="39">
        <f>IF(AND(ISNUMBER(F171),ISNUMBER(F148)),IFERROR(F171/F148,""),"")</f>
        <v/>
      </c>
      <c r="G260" s="39">
        <f>IF(AND(ISNUMBER(G171),ISNUMBER(G148)),IFERROR(G171/G148,""),"")</f>
        <v/>
      </c>
      <c r="H260" s="39">
        <f>IF(AND(ISNUMBER(H171),ISNUMBER(H148)),IFERROR(H171/H148,""),"")</f>
        <v/>
      </c>
      <c r="I260" s="39">
        <f>IF(AND(ISNUMBER(I171),ISNUMBER(I148)),IFERROR(I171/I148,""),"")</f>
        <v/>
      </c>
      <c r="J260" s="39">
        <f>IF(AND(ISNUMBER(J171),ISNUMBER(J148)),IFERROR(J171/J148,""),"")</f>
        <v/>
      </c>
      <c r="K260" s="39">
        <f>IF(AND(ISNUMBER(K171),ISNUMBER(K148)),IFERROR(K171/K148,""),"")</f>
        <v/>
      </c>
      <c r="L260" s="39">
        <f>IF(AND(ISNUMBER(L171),ISNUMBER(L148)),IFERROR(L171/L148,""),"")</f>
        <v/>
      </c>
      <c r="M260" s="39">
        <f>IF(AND(ISNUMBER(M171),ISNUMBER(M148)),IFERROR(M171/M148,""),"")</f>
        <v/>
      </c>
      <c r="N260" s="39">
        <f>IF(AND(ISNUMBER(N171),ISNUMBER(N148)),IFERROR(N171/N148,""),"")</f>
        <v/>
      </c>
      <c r="O260" s="39">
        <f>IF(AND(ISNUMBER(O171),ISNUMBER(O148)),IFERROR(O171/O148,""),"")</f>
        <v/>
      </c>
      <c r="P260" s="39">
        <f>IF(AND(ISNUMBER(P171),ISNUMBER(P148)),IFERROR(P171/P148,""),"")</f>
        <v/>
      </c>
      <c r="Q260" s="39">
        <f>IF(AND(ISNUMBER(Q171),ISNUMBER(Q148)),IFERROR(Q171/Q148,""),"")</f>
        <v/>
      </c>
      <c r="R260" s="39">
        <f>IF(AND(ISNUMBER(R171),ISNUMBER(R148)),IFERROR(R171/R148,""),"")</f>
        <v/>
      </c>
      <c r="S260" s="39">
        <f>IF(AND(ISNUMBER(S171),ISNUMBER(S148)),IFERROR(S171/S148,""),"")</f>
        <v/>
      </c>
      <c r="T260" s="39">
        <f>IF(AND(ISNUMBER(T171),ISNUMBER(T148)),IFERROR(T171/T148,""),"")</f>
        <v/>
      </c>
      <c r="U260" s="39">
        <f>IF(AND(ISNUMBER(U171),ISNUMBER(U148)),IFERROR(U171/U148,""),"")</f>
        <v/>
      </c>
      <c r="V260" s="39">
        <f>IF(AND(ISNUMBER(V171),ISNUMBER(V148)),IFERROR(V171/V148,""),"")</f>
        <v/>
      </c>
      <c r="W260" s="39">
        <f>IF(AND(ISNUMBER(W171),ISNUMBER(W148)),IFERROR(W171/W148,""),"")</f>
        <v/>
      </c>
      <c r="X260" s="39">
        <f>IF(AND(ISNUMBER(X171),ISNUMBER(X148)),IFERROR(X171/X148,""),"")</f>
        <v/>
      </c>
      <c r="Y260" s="39">
        <f>IF(AND(ISNUMBER(Y171),ISNUMBER(Y148)),IFERROR(Y171/Y148,""),"")</f>
        <v/>
      </c>
      <c r="Z260" s="39">
        <f>IF(AND(ISNUMBER(Z171),ISNUMBER(Z148)),IFERROR(Z171/Z148,""),"")</f>
        <v/>
      </c>
      <c r="AA260" s="39">
        <f>IF(AND(ISNUMBER(AA171),ISNUMBER(AA148)),IFERROR(AA171/AA148,""),"")</f>
        <v/>
      </c>
      <c r="AB260" s="39">
        <f>IF(AND(ISNUMBER(AB171),ISNUMBER(AB148)),IFERROR(AB171/AB148,""),"")</f>
        <v/>
      </c>
      <c r="AC260" s="39">
        <f>IF(AND(ISNUMBER(AC171),ISNUMBER(AC148)),IFERROR(AC171/AC148,""),"")</f>
        <v/>
      </c>
      <c r="AD260" s="39">
        <f>IF(AND(ISNUMBER(AD171),ISNUMBER(AD148)),IFERROR(AD171/AD148,""),"")</f>
        <v/>
      </c>
      <c r="AE260" s="39">
        <f>IF(AND(ISNUMBER(AE171),ISNUMBER(AE148)),IFERROR(AE171/AE148,""),"")</f>
        <v/>
      </c>
      <c r="AF260" s="39">
        <f>IF(AND(ISNUMBER(AF171),ISNUMBER(AF148)),IFERROR(AF171/AF148,""),"")</f>
        <v/>
      </c>
      <c r="AG260" s="39">
        <f>IF(AND(ISNUMBER(AG171),ISNUMBER(AG148)),IFERROR(AG171/AG148,""),"")</f>
        <v/>
      </c>
      <c r="AH260" s="39">
        <f>IF(AND(ISNUMBER(AH171),ISNUMBER(AH148)),IFERROR(AH171/AH148,""),"")</f>
        <v/>
      </c>
      <c r="AI260" s="39">
        <f>IF(AND(ISNUMBER(AI171),ISNUMBER(AI148)),IFERROR(AI171/AI148,""),"")</f>
        <v/>
      </c>
      <c r="AJ260" s="39">
        <f>IF(AND(ISNUMBER(AJ171),ISNUMBER(AJ148)),IFERROR(AJ171/AJ148,""),"")</f>
        <v/>
      </c>
      <c r="AK260" s="39">
        <f>IF(AND(ISNUMBER(AK171),ISNUMBER(AK148)),IFERROR(AK171/AK148,""),"")</f>
        <v/>
      </c>
      <c r="AL260" s="39">
        <f>IF(AND(ISNUMBER(AL171),ISNUMBER(AL148)),IFERROR(AL171/AL148,""),"")</f>
        <v/>
      </c>
      <c r="AM260" s="39">
        <f>IF(AND(ISNUMBER(AM171),ISNUMBER(AM148)),IFERROR(AM171/AM148,""),"")</f>
        <v/>
      </c>
      <c r="AN260" s="39">
        <f>IF(AND(ISNUMBER(AN171),ISNUMBER(AN148)),IFERROR(AN171/AN148,""),"")</f>
        <v/>
      </c>
      <c r="AO260" s="39">
        <f>IF(AND(ISNUMBER(AO171),ISNUMBER(AO148)),IFERROR(AO171/AO148,""),"")</f>
        <v/>
      </c>
      <c r="AP260" s="39">
        <f>IF(AND(ISNUMBER(AP171),ISNUMBER(AP148)),IFERROR(AP171/AP148,""),"")</f>
        <v/>
      </c>
      <c r="AQ260" s="39">
        <f>IF(AND(ISNUMBER(AQ171),ISNUMBER(AQ148)),IFERROR(AQ171/AQ148,""),"")</f>
        <v/>
      </c>
      <c r="AR260" s="39">
        <f>IF(AND(ISNUMBER(AR171),ISNUMBER(AR148)),IFERROR(AR171/AR148,""),"")</f>
        <v/>
      </c>
      <c r="AS260" s="39">
        <f>IF(AND(ISNUMBER(AS171),ISNUMBER(AS148)),IFERROR(AS171/AS148,""),"")</f>
        <v/>
      </c>
      <c r="AT260" s="39">
        <f>IF(AND(ISNUMBER(AT171),ISNUMBER(AT148)),IFERROR(AT171/AT148,""),"")</f>
        <v/>
      </c>
      <c r="AU260" s="25">
        <f>IFERROR(AU171/AU148,"")</f>
        <v/>
      </c>
      <c r="AV260" s="25">
        <f>IFERROR(AV171/AV148,"")</f>
        <v/>
      </c>
      <c r="AW260" s="25">
        <f>IFERROR(AW171/AW148,"")</f>
        <v/>
      </c>
      <c r="AX260" s="25">
        <f>IFERROR(AX171/AX148,"")</f>
        <v/>
      </c>
      <c r="AY260" s="25">
        <f>IFERROR(AY171/AY148,"")</f>
        <v/>
      </c>
      <c r="AZ260" s="25">
        <f>IFERROR(AZ171/AZ148,"")</f>
        <v/>
      </c>
      <c r="BA260" s="25">
        <f>IFERROR(BA171/BA148,"")</f>
        <v/>
      </c>
      <c r="BB260" s="26" t="n"/>
    </row>
    <row r="262">
      <c r="B262" s="10" t="inlineStr">
        <is>
          <t>CONSOLIDATED STATEMENT OF CASH FLOWS</t>
        </is>
      </c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inlineStr">
        <is>
          <t>CASH FLOW — forecast logic (annual; 2026E = 1H/26 actual + 2H estimate; historical quarters = discrete, from year-to-date statements)</t>
        </is>
      </c>
    </row>
    <row r="263">
      <c r="B263" s="16" t="inlineStr">
        <is>
          <t>Net income (loss) including non-controlling interests</t>
        </is>
      </c>
      <c r="C263" s="17" t="n">
        <v>-370</v>
      </c>
      <c r="D263" s="17" t="n">
        <v>-4033</v>
      </c>
      <c r="E263" s="17" t="n">
        <v>3748</v>
      </c>
      <c r="F263" s="17" t="n">
        <v>-878</v>
      </c>
      <c r="G263" s="17" t="n">
        <v>-994</v>
      </c>
      <c r="H263" s="17" t="n">
        <v>-889</v>
      </c>
      <c r="I263" s="17" t="n">
        <v>987</v>
      </c>
      <c r="J263" s="17" t="n">
        <v>-1016</v>
      </c>
      <c r="K263" s="17" t="n">
        <v>-5246</v>
      </c>
      <c r="L263" s="17" t="n">
        <v>-1159</v>
      </c>
      <c r="M263" s="17" t="n">
        <v>-1091</v>
      </c>
      <c r="N263" s="17" t="n">
        <v>-8512</v>
      </c>
      <c r="O263" s="17" t="n">
        <v>-2946</v>
      </c>
      <c r="P263" s="17" t="n">
        <v>-1772</v>
      </c>
      <c r="Q263" s="17" t="n">
        <v>-1108</v>
      </c>
      <c r="R263" s="17" t="n">
        <v>-962</v>
      </c>
      <c r="S263" s="17" t="n">
        <v>-6788</v>
      </c>
      <c r="T263" s="17" t="n">
        <v>-122</v>
      </c>
      <c r="U263" s="17" t="n">
        <v>1112</v>
      </c>
      <c r="V263" s="17" t="n">
        <v>-2439</v>
      </c>
      <c r="W263" s="17" t="n">
        <v>879</v>
      </c>
      <c r="X263" s="17" t="n">
        <v>-570</v>
      </c>
      <c r="Y263" s="17" t="n">
        <v>-5918</v>
      </c>
      <c r="Z263" s="17" t="n">
        <v>-2616</v>
      </c>
      <c r="AA263" s="17" t="n">
        <v>-1204</v>
      </c>
      <c r="AB263" s="17" t="n">
        <v>600</v>
      </c>
      <c r="AC263" s="17" t="n">
        <v>-9138</v>
      </c>
      <c r="AD263" s="17" t="n">
        <v>-157</v>
      </c>
      <c r="AE263" s="17" t="n">
        <v>394</v>
      </c>
      <c r="AF263" s="17" t="n">
        <v>219</v>
      </c>
      <c r="AG263" s="17" t="n">
        <v>1700</v>
      </c>
      <c r="AH263" s="17" t="n">
        <v>2156</v>
      </c>
      <c r="AI263" s="17" t="n">
        <v>-663</v>
      </c>
      <c r="AJ263" s="17" t="n">
        <v>1008</v>
      </c>
      <c r="AK263" s="17" t="n">
        <v>2599</v>
      </c>
      <c r="AL263" s="17" t="n">
        <v>6901</v>
      </c>
      <c r="AM263" s="17" t="n">
        <v>9845</v>
      </c>
      <c r="AN263" s="17" t="n">
        <v>1774</v>
      </c>
      <c r="AO263" s="17" t="n">
        <v>1350</v>
      </c>
      <c r="AP263" s="17" t="n">
        <v>6652</v>
      </c>
      <c r="AQ263" s="17" t="n">
        <v>317</v>
      </c>
      <c r="AR263" s="17" t="n">
        <v>10093</v>
      </c>
      <c r="AS263" s="17" t="n">
        <v>282</v>
      </c>
      <c r="AT263" s="17" t="n">
        <v>2416</v>
      </c>
      <c r="AU263" s="18" t="n"/>
      <c r="AV263" s="18" t="n"/>
      <c r="AW263" s="18">
        <f>AW166</f>
        <v/>
      </c>
      <c r="AX263" s="18">
        <f>AX166</f>
        <v/>
      </c>
      <c r="AY263" s="18">
        <f>AY166</f>
        <v/>
      </c>
      <c r="AZ263" s="18">
        <f>AZ166</f>
        <v/>
      </c>
      <c r="BA263" s="18">
        <f>BA166</f>
        <v/>
      </c>
      <c r="BB263" s="26" t="n"/>
    </row>
    <row r="264">
      <c r="B264" s="27" t="inlineStr">
        <is>
          <t>Adjustments:</t>
        </is>
      </c>
    </row>
    <row r="265">
      <c r="B265" s="27" t="inlineStr">
        <is>
          <t xml:space="preserve">  Depreciation and amortization</t>
        </is>
      </c>
      <c r="C265" s="44" t="n">
        <v>347</v>
      </c>
      <c r="D265" s="44" t="n">
        <v>510</v>
      </c>
      <c r="E265" s="44" t="n">
        <v>88</v>
      </c>
      <c r="F265" s="44" t="n">
        <v>98</v>
      </c>
      <c r="G265" s="44" t="n">
        <v>131</v>
      </c>
      <c r="H265" s="44" t="n">
        <v>109</v>
      </c>
      <c r="I265" s="44" t="n">
        <v>426</v>
      </c>
      <c r="J265" s="44" t="n">
        <v>146</v>
      </c>
      <c r="K265" s="44" t="n">
        <v>123</v>
      </c>
      <c r="L265" s="44" t="n">
        <v>102</v>
      </c>
      <c r="M265" s="44" t="n">
        <v>101</v>
      </c>
      <c r="N265" s="44" t="n">
        <v>472</v>
      </c>
      <c r="O265" s="44" t="n">
        <v>128</v>
      </c>
      <c r="P265" s="44" t="n">
        <v>129</v>
      </c>
      <c r="Q265" s="44" t="n">
        <v>138</v>
      </c>
      <c r="R265" s="44" t="n">
        <v>180</v>
      </c>
      <c r="S265" s="44" t="n">
        <v>575</v>
      </c>
      <c r="T265" s="44" t="n">
        <v>212</v>
      </c>
      <c r="U265" s="44" t="n">
        <v>226</v>
      </c>
      <c r="V265" s="44" t="n">
        <v>218</v>
      </c>
      <c r="W265" s="44" t="n">
        <v>246</v>
      </c>
      <c r="X265" s="44" t="n">
        <v>902</v>
      </c>
      <c r="Y265" s="44" t="n">
        <v>254</v>
      </c>
      <c r="Z265" s="44" t="n">
        <v>243</v>
      </c>
      <c r="AA265" s="44" t="n">
        <v>227</v>
      </c>
      <c r="AB265" s="44" t="n">
        <v>223</v>
      </c>
      <c r="AC265" s="44" t="n">
        <v>947</v>
      </c>
      <c r="AD265" s="44" t="n">
        <v>207</v>
      </c>
      <c r="AE265" s="44" t="n">
        <v>208</v>
      </c>
      <c r="AF265" s="44" t="n">
        <v>205</v>
      </c>
      <c r="AG265" s="44" t="n">
        <v>203</v>
      </c>
      <c r="AH265" s="44" t="n">
        <v>823</v>
      </c>
      <c r="AI265" s="44" t="n">
        <v>194</v>
      </c>
      <c r="AJ265" s="44" t="n">
        <v>181</v>
      </c>
      <c r="AK265" s="44" t="n">
        <v>186</v>
      </c>
      <c r="AL265" s="44" t="n">
        <v>176</v>
      </c>
      <c r="AM265" s="44" t="n">
        <v>737</v>
      </c>
      <c r="AN265" s="44" t="n">
        <v>178</v>
      </c>
      <c r="AO265" s="44" t="n">
        <v>181</v>
      </c>
      <c r="AP265" s="44" t="n">
        <v>195</v>
      </c>
      <c r="AQ265" s="44" t="n">
        <v>193</v>
      </c>
      <c r="AR265" s="44" t="n">
        <v>747</v>
      </c>
      <c r="AS265" s="44" t="n">
        <v>191</v>
      </c>
      <c r="AT265" s="44" t="n">
        <v>195</v>
      </c>
      <c r="AU265" s="45" t="n"/>
      <c r="AV265" s="45" t="n"/>
      <c r="AW265" s="45">
        <f>AS265+AT265+AU155+AV155</f>
        <v/>
      </c>
      <c r="AX265" s="45">
        <f>AX155</f>
        <v/>
      </c>
      <c r="AY265" s="45">
        <f>AY155</f>
        <v/>
      </c>
      <c r="AZ265" s="45">
        <f>AZ155</f>
        <v/>
      </c>
      <c r="BA265" s="45">
        <f>BA155</f>
        <v/>
      </c>
      <c r="BB265" s="26" t="n"/>
    </row>
    <row r="266">
      <c r="B266" s="27" t="inlineStr">
        <is>
          <t xml:space="preserve">  Stock-based compensation</t>
        </is>
      </c>
      <c r="C266" s="44" t="n">
        <v>107</v>
      </c>
      <c r="D266" s="44" t="n">
        <v>124</v>
      </c>
      <c r="E266" s="44" t="n">
        <v>61</v>
      </c>
      <c r="F266" s="44" t="n">
        <v>20</v>
      </c>
      <c r="G266" s="44" t="n">
        <v>64</v>
      </c>
      <c r="H266" s="44" t="n">
        <v>25</v>
      </c>
      <c r="I266" s="44" t="n">
        <v>170</v>
      </c>
      <c r="J266" s="44" t="n">
        <v>11</v>
      </c>
      <c r="K266" s="44" t="n">
        <v>3941</v>
      </c>
      <c r="L266" s="44" t="n">
        <v>401</v>
      </c>
      <c r="M266" s="44" t="n">
        <v>243</v>
      </c>
      <c r="N266" s="44" t="n">
        <v>4596</v>
      </c>
      <c r="O266" s="44" t="n">
        <v>277</v>
      </c>
      <c r="P266" s="44" t="n">
        <v>131</v>
      </c>
      <c r="Q266" s="44" t="n">
        <v>183</v>
      </c>
      <c r="R266" s="44" t="n">
        <v>236</v>
      </c>
      <c r="S266" s="44" t="n">
        <v>827</v>
      </c>
      <c r="T266" s="44" t="n">
        <v>281</v>
      </c>
      <c r="U266" s="44" t="n">
        <v>272</v>
      </c>
      <c r="V266" s="44" t="n">
        <v>281</v>
      </c>
      <c r="W266" s="44" t="n">
        <v>334</v>
      </c>
      <c r="X266" s="44" t="n">
        <v>1168</v>
      </c>
      <c r="Y266" s="44" t="n">
        <v>359</v>
      </c>
      <c r="Z266" s="44" t="n">
        <v>470</v>
      </c>
      <c r="AA266" s="44" t="n">
        <v>482</v>
      </c>
      <c r="AB266" s="44" t="n">
        <v>482</v>
      </c>
      <c r="AC266" s="44" t="n">
        <v>1793</v>
      </c>
      <c r="AD266" s="44" t="n">
        <v>470</v>
      </c>
      <c r="AE266" s="44" t="n">
        <v>504</v>
      </c>
      <c r="AF266" s="44" t="n">
        <v>492</v>
      </c>
      <c r="AG266" s="44" t="n">
        <v>469</v>
      </c>
      <c r="AH266" s="44" t="n">
        <v>1935</v>
      </c>
      <c r="AI266" s="44" t="n">
        <v>484</v>
      </c>
      <c r="AJ266" s="44" t="n">
        <v>455</v>
      </c>
      <c r="AK266" s="44" t="n">
        <v>438</v>
      </c>
      <c r="AL266" s="44" t="n">
        <v>419</v>
      </c>
      <c r="AM266" s="44" t="n">
        <v>1796</v>
      </c>
      <c r="AN266" s="44" t="n">
        <v>435</v>
      </c>
      <c r="AO266" s="44" t="n">
        <v>475</v>
      </c>
      <c r="AP266" s="44" t="n">
        <v>465</v>
      </c>
      <c r="AQ266" s="44" t="n">
        <v>451</v>
      </c>
      <c r="AR266" s="44" t="n">
        <v>1826</v>
      </c>
      <c r="AS266" s="44" t="n">
        <v>473</v>
      </c>
      <c r="AT266" s="44" t="n">
        <v>550</v>
      </c>
      <c r="AU266" s="45" t="n"/>
      <c r="AV266" s="45" t="n"/>
      <c r="AW266" s="45">
        <f>AS266+AT266+AU171+AV171</f>
        <v/>
      </c>
      <c r="AX266" s="45">
        <f>AX171</f>
        <v/>
      </c>
      <c r="AY266" s="45">
        <f>AY171</f>
        <v/>
      </c>
      <c r="AZ266" s="45">
        <f>AZ171</f>
        <v/>
      </c>
      <c r="BA266" s="45">
        <f>BA171</f>
        <v/>
      </c>
      <c r="BB266" s="26" t="n"/>
    </row>
    <row r="267">
      <c r="B267" s="27" t="inlineStr">
        <is>
          <t xml:space="preserve">  (Gains) losses on investments, divestitures, derivatives &amp; equity-method results (non-cash)</t>
        </is>
      </c>
      <c r="C267" s="44" t="n">
        <v>-4557</v>
      </c>
      <c r="D267" s="44" t="n">
        <v>173</v>
      </c>
      <c r="E267" s="44" t="n">
        <v>-4775</v>
      </c>
      <c r="F267" s="44" t="n">
        <v>9</v>
      </c>
      <c r="G267" s="44" t="n">
        <v>97</v>
      </c>
      <c r="H267" s="44" t="n">
        <v>2</v>
      </c>
      <c r="I267" s="44" t="n">
        <v>-4667</v>
      </c>
      <c r="J267" s="44" t="n">
        <v>-201</v>
      </c>
      <c r="K267" s="44" t="n">
        <v>131</v>
      </c>
      <c r="L267" s="44" t="n">
        <v>35</v>
      </c>
      <c r="M267" s="44" t="n">
        <v>7</v>
      </c>
      <c r="N267" s="44" t="n">
        <v>-28</v>
      </c>
      <c r="O267" s="44" t="n">
        <v>1835</v>
      </c>
      <c r="P267" s="44" t="n">
        <v>23</v>
      </c>
      <c r="Q267" s="44" t="n">
        <v>-145</v>
      </c>
      <c r="R267" s="44" t="n">
        <v>1747</v>
      </c>
      <c r="S267" s="44" t="n">
        <v>3460</v>
      </c>
      <c r="T267" s="44" t="n">
        <v>-1739</v>
      </c>
      <c r="U267" s="44" t="n">
        <v>-1905</v>
      </c>
      <c r="V267" s="44" t="n">
        <v>1873</v>
      </c>
      <c r="W267" s="44" t="n">
        <v>-1431</v>
      </c>
      <c r="X267" s="44" t="n">
        <v>-3202</v>
      </c>
      <c r="Y267" s="44" t="n">
        <v>5553</v>
      </c>
      <c r="Z267" s="44" t="n">
        <v>1671</v>
      </c>
      <c r="AA267" s="44" t="n">
        <v>496</v>
      </c>
      <c r="AB267" s="44" t="n">
        <v>-805</v>
      </c>
      <c r="AC267" s="44" t="n">
        <v>6915</v>
      </c>
      <c r="AD267" s="44" t="n">
        <v>-356</v>
      </c>
      <c r="AE267" s="44" t="n">
        <v>-316</v>
      </c>
      <c r="AF267" s="44" t="n">
        <v>93</v>
      </c>
      <c r="AG267" s="44" t="n">
        <v>-1209</v>
      </c>
      <c r="AH267" s="44" t="n">
        <v>-1788</v>
      </c>
      <c r="AI267" s="44" t="n">
        <v>725</v>
      </c>
      <c r="AJ267" s="44" t="n">
        <v>-321</v>
      </c>
      <c r="AK267" s="44" t="n">
        <v>-1652</v>
      </c>
      <c r="AL267" s="44" t="n">
        <v>-546</v>
      </c>
      <c r="AM267" s="44" t="n">
        <v>-1794</v>
      </c>
      <c r="AN267" s="44" t="n">
        <v>-51</v>
      </c>
      <c r="AO267" s="44" t="n">
        <v>17</v>
      </c>
      <c r="AP267" s="44" t="n">
        <v>-1471</v>
      </c>
      <c r="AQ267" s="44" t="n">
        <v>1602</v>
      </c>
      <c r="AR267" s="44" t="n">
        <v>97</v>
      </c>
      <c r="AS267" s="44" t="n">
        <v>1474</v>
      </c>
      <c r="AT267" s="44" t="n">
        <v>-1612</v>
      </c>
      <c r="AU267" s="45" t="n"/>
      <c r="AV267" s="45" t="n"/>
      <c r="AW267" s="45">
        <f>AS267+AT267-AU164-AV164</f>
        <v/>
      </c>
      <c r="AX267" s="45">
        <f>-AX160-AX164</f>
        <v/>
      </c>
      <c r="AY267" s="45">
        <f>-AY160-AY164</f>
        <v/>
      </c>
      <c r="AZ267" s="45">
        <f>-AZ160-AZ164</f>
        <v/>
      </c>
      <c r="BA267" s="45">
        <f>-BA160-BA164</f>
        <v/>
      </c>
      <c r="BB267" s="19" t="inlineStr">
        <is>
          <t>2026E = 1H/26 actual (incl. $1.6bn Q2 revaluation gain) + 2H equity-method results; none forecast.</t>
        </is>
      </c>
    </row>
    <row r="268">
      <c r="B268" s="27" t="inlineStr">
        <is>
          <t xml:space="preserve">  Deferred income taxes</t>
        </is>
      </c>
      <c r="C268" s="44" t="n">
        <v>5</v>
      </c>
      <c r="D268" s="44" t="n">
        <v>-762</v>
      </c>
      <c r="E268" s="44" t="n">
        <v>486</v>
      </c>
      <c r="F268" s="44" t="n">
        <v>-16</v>
      </c>
      <c r="G268" s="44" t="n">
        <v>-50</v>
      </c>
      <c r="H268" s="44" t="n">
        <v>-385</v>
      </c>
      <c r="I268" s="44" t="n">
        <v>35</v>
      </c>
      <c r="J268" s="44" t="n">
        <v>4</v>
      </c>
      <c r="K268" s="44" t="n">
        <v>-35</v>
      </c>
      <c r="L268" s="44" t="n">
        <v>-24</v>
      </c>
      <c r="M268" s="44" t="n">
        <v>-33</v>
      </c>
      <c r="N268" s="44" t="n">
        <v>-88</v>
      </c>
      <c r="O268" s="44" t="n">
        <v>-273</v>
      </c>
      <c r="P268" s="44" t="n">
        <v>-9</v>
      </c>
      <c r="Q268" s="44" t="n">
        <v>10</v>
      </c>
      <c r="R268" s="44" t="n">
        <v>6</v>
      </c>
      <c r="S268" s="44" t="n">
        <v>-266</v>
      </c>
      <c r="T268" s="44" t="n">
        <v>120</v>
      </c>
      <c r="U268" s="44" t="n">
        <v>-487</v>
      </c>
      <c r="V268" s="44" t="n">
        <v>-115</v>
      </c>
      <c r="W268" s="44" t="n">
        <v>-210</v>
      </c>
      <c r="X268" s="44" t="n">
        <v>-692</v>
      </c>
      <c r="Y268" s="44" t="n">
        <v>-281</v>
      </c>
      <c r="Z268" s="44" t="n">
        <v>14</v>
      </c>
      <c r="AA268" s="44" t="n">
        <v>16</v>
      </c>
      <c r="AB268" s="44" t="n">
        <v>-190</v>
      </c>
      <c r="AC268" s="44" t="n">
        <v>-441</v>
      </c>
      <c r="AD268" s="44" t="n">
        <v>10</v>
      </c>
      <c r="AE268" s="44" t="n">
        <v>6</v>
      </c>
      <c r="AF268" s="44" t="n">
        <v>16</v>
      </c>
      <c r="AG268" s="44" t="n">
        <v>-6</v>
      </c>
      <c r="AH268" s="44" t="n">
        <v>26</v>
      </c>
      <c r="AI268" s="44" t="n">
        <v>-16</v>
      </c>
      <c r="AJ268" s="44" t="n">
        <v>-7</v>
      </c>
      <c r="AK268" s="44" t="n">
        <v>124</v>
      </c>
      <c r="AL268" s="44" t="n">
        <v>-6128</v>
      </c>
      <c r="AM268" s="44" t="n">
        <v>-6027</v>
      </c>
      <c r="AN268" s="44" t="n">
        <v>-412</v>
      </c>
      <c r="AO268" s="44" t="n">
        <v>87</v>
      </c>
      <c r="AP268" s="44" t="n">
        <v>-4167</v>
      </c>
      <c r="AQ268" s="44" t="n">
        <v>-287</v>
      </c>
      <c r="AR268" s="44" t="n">
        <v>-4779</v>
      </c>
      <c r="AS268" s="44" t="n">
        <v>106</v>
      </c>
      <c r="AT268" s="44" t="n">
        <v>665</v>
      </c>
      <c r="AU268" s="45" t="n"/>
      <c r="AV268" s="45" t="n"/>
      <c r="AW268" s="45">
        <f>AS268+AT268</f>
        <v/>
      </c>
      <c r="AX268" s="45">
        <f>-N(AX79)*$AX$394</f>
        <v/>
      </c>
      <c r="AY268" s="45">
        <f>-N(AY79)*$AX$394</f>
        <v/>
      </c>
      <c r="AZ268" s="45">
        <f>-N(AZ79)*$AX$394</f>
        <v/>
      </c>
      <c r="BA268" s="45">
        <f>-N(BA79)*$AX$394</f>
        <v/>
      </c>
      <c r="BB268" s="19" t="inlineStr">
        <is>
          <t>2027E+: unwind of the deferred tax liability on Delivery Hero intangibles (book &gt; tax).</t>
        </is>
      </c>
    </row>
    <row r="269">
      <c r="B269" s="27" t="inlineStr">
        <is>
          <t xml:space="preserve">  Other non-cash items, net (derived)</t>
        </is>
      </c>
      <c r="C269" s="43">
        <f>IF(ISNUMBER(C271),C271-(C263+C265+C266+N(C267)+N(C268)+N(C270)),"")</f>
        <v/>
      </c>
      <c r="D269" s="43">
        <f>IF(ISNUMBER(D271),D271-(D263+D265+D266+N(D267)+N(D268)+N(D270)),"")</f>
        <v/>
      </c>
      <c r="E269" s="43">
        <f>IF(ISNUMBER(E271),E271-(E263+E265+E266+N(E267)+N(E268)+N(E270)),"")</f>
        <v/>
      </c>
      <c r="F269" s="43">
        <f>IF(ISNUMBER(F271),F271-(F263+F265+F266+N(F267)+N(F268)+N(F270)),"")</f>
        <v/>
      </c>
      <c r="G269" s="43">
        <f>IF(ISNUMBER(G271),G271-(G263+G265+G266+N(G267)+N(G268)+N(G270)),"")</f>
        <v/>
      </c>
      <c r="H269" s="43">
        <f>IF(ISNUMBER(H271),H271-(H263+H265+H266+N(H267)+N(H268)+N(H270)),"")</f>
        <v/>
      </c>
      <c r="I269" s="43">
        <f>IF(ISNUMBER(I271),I271-(I263+I265+I266+N(I267)+N(I268)+N(I270)),"")</f>
        <v/>
      </c>
      <c r="J269" s="43">
        <f>IF(ISNUMBER(J271),J271-(J263+J265+J266+N(J267)+N(J268)+N(J270)),"")</f>
        <v/>
      </c>
      <c r="K269" s="43">
        <f>IF(ISNUMBER(K271),K271-(K263+K265+K266+N(K267)+N(K268)+N(K270)),"")</f>
        <v/>
      </c>
      <c r="L269" s="43">
        <f>IF(ISNUMBER(L271),L271-(L263+L265+L266+N(L267)+N(L268)+N(L270)),"")</f>
        <v/>
      </c>
      <c r="M269" s="43">
        <f>IF(ISNUMBER(M271),M271-(M263+M265+M266+N(M267)+N(M268)+N(M270)),"")</f>
        <v/>
      </c>
      <c r="N269" s="43">
        <f>IF(ISNUMBER(N271),N271-(N263+N265+N266+N(N267)+N(N268)+N(N270)),"")</f>
        <v/>
      </c>
      <c r="O269" s="43">
        <f>IF(ISNUMBER(O271),O271-(O263+O265+O266+N(O267)+N(O268)+N(O270)),"")</f>
        <v/>
      </c>
      <c r="P269" s="43">
        <f>IF(ISNUMBER(P271),P271-(P263+P265+P266+N(P267)+N(P268)+N(P270)),"")</f>
        <v/>
      </c>
      <c r="Q269" s="43">
        <f>IF(ISNUMBER(Q271),Q271-(Q263+Q265+Q266+N(Q267)+N(Q268)+N(Q270)),"")</f>
        <v/>
      </c>
      <c r="R269" s="43">
        <f>IF(ISNUMBER(R271),R271-(R263+R265+R266+N(R267)+N(R268)+N(R270)),"")</f>
        <v/>
      </c>
      <c r="S269" s="43">
        <f>IF(ISNUMBER(S271),S271-(S263+S265+S266+N(S267)+N(S268)+N(S270)),"")</f>
        <v/>
      </c>
      <c r="T269" s="43">
        <f>IF(ISNUMBER(T271),T271-(T263+T265+T266+N(T267)+N(T268)+N(T270)),"")</f>
        <v/>
      </c>
      <c r="U269" s="43">
        <f>IF(ISNUMBER(U271),U271-(U263+U265+U266+N(U267)+N(U268)+N(U270)),"")</f>
        <v/>
      </c>
      <c r="V269" s="43">
        <f>IF(ISNUMBER(V271),V271-(V263+V265+V266+N(V267)+N(V268)+N(V270)),"")</f>
        <v/>
      </c>
      <c r="W269" s="43">
        <f>IF(ISNUMBER(W271),W271-(W263+W265+W266+N(W267)+N(W268)+N(W270)),"")</f>
        <v/>
      </c>
      <c r="X269" s="43">
        <f>IF(ISNUMBER(X271),X271-(X263+X265+X266+N(X267)+N(X268)+N(X270)),"")</f>
        <v/>
      </c>
      <c r="Y269" s="43">
        <f>IF(ISNUMBER(Y271),Y271-(Y263+Y265+Y266+N(Y267)+N(Y268)+N(Y270)),"")</f>
        <v/>
      </c>
      <c r="Z269" s="43">
        <f>IF(ISNUMBER(Z271),Z271-(Z263+Z265+Z266+N(Z267)+N(Z268)+N(Z270)),"")</f>
        <v/>
      </c>
      <c r="AA269" s="43">
        <f>IF(ISNUMBER(AA271),AA271-(AA263+AA265+AA266+N(AA267)+N(AA268)+N(AA270)),"")</f>
        <v/>
      </c>
      <c r="AB269" s="43">
        <f>IF(ISNUMBER(AB271),AB271-(AB263+AB265+AB266+N(AB267)+N(AB268)+N(AB270)),"")</f>
        <v/>
      </c>
      <c r="AC269" s="43">
        <f>IF(ISNUMBER(AC271),AC271-(AC263+AC265+AC266+N(AC267)+N(AC268)+N(AC270)),"")</f>
        <v/>
      </c>
      <c r="AD269" s="43">
        <f>IF(ISNUMBER(AD271),AD271-(AD263+AD265+AD266+N(AD267)+N(AD268)+N(AD270)),"")</f>
        <v/>
      </c>
      <c r="AE269" s="43">
        <f>IF(ISNUMBER(AE271),AE271-(AE263+AE265+AE266+N(AE267)+N(AE268)+N(AE270)),"")</f>
        <v/>
      </c>
      <c r="AF269" s="43">
        <f>IF(ISNUMBER(AF271),AF271-(AF263+AF265+AF266+N(AF267)+N(AF268)+N(AF270)),"")</f>
        <v/>
      </c>
      <c r="AG269" s="43">
        <f>IF(ISNUMBER(AG271),AG271-(AG263+AG265+AG266+N(AG267)+N(AG268)+N(AG270)),"")</f>
        <v/>
      </c>
      <c r="AH269" s="43">
        <f>IF(ISNUMBER(AH271),AH271-(AH263+AH265+AH266+N(AH267)+N(AH268)+N(AH270)),"")</f>
        <v/>
      </c>
      <c r="AI269" s="43">
        <f>IF(ISNUMBER(AI271),AI271-(AI263+AI265+AI266+N(AI267)+N(AI268)+N(AI270)),"")</f>
        <v/>
      </c>
      <c r="AJ269" s="43">
        <f>IF(ISNUMBER(AJ271),AJ271-(AJ263+AJ265+AJ266+N(AJ267)+N(AJ268)+N(AJ270)),"")</f>
        <v/>
      </c>
      <c r="AK269" s="43">
        <f>IF(ISNUMBER(AK271),AK271-(AK263+AK265+AK266+N(AK267)+N(AK268)+N(AK270)),"")</f>
        <v/>
      </c>
      <c r="AL269" s="43">
        <f>IF(ISNUMBER(AL271),AL271-(AL263+AL265+AL266+N(AL267)+N(AL268)+N(AL270)),"")</f>
        <v/>
      </c>
      <c r="AM269" s="43">
        <f>IF(ISNUMBER(AM271),AM271-(AM263+AM265+AM266+N(AM267)+N(AM268)+N(AM270)),"")</f>
        <v/>
      </c>
      <c r="AN269" s="43">
        <f>IF(ISNUMBER(AN271),AN271-(AN263+AN265+AN266+N(AN267)+N(AN268)+N(AN270)),"")</f>
        <v/>
      </c>
      <c r="AO269" s="43">
        <f>IF(ISNUMBER(AO271),AO271-(AO263+AO265+AO266+N(AO267)+N(AO268)+N(AO270)),"")</f>
        <v/>
      </c>
      <c r="AP269" s="43">
        <f>IF(ISNUMBER(AP271),AP271-(AP263+AP265+AP266+N(AP267)+N(AP268)+N(AP270)),"")</f>
        <v/>
      </c>
      <c r="AQ269" s="43">
        <f>IF(ISNUMBER(AQ271),AQ271-(AQ263+AQ265+AQ266+N(AQ267)+N(AQ268)+N(AQ270)),"")</f>
        <v/>
      </c>
      <c r="AR269" s="43">
        <f>IF(ISNUMBER(AR271),AR271-(AR263+AR265+AR266+N(AR267)+N(AR268)+N(AR270)),"")</f>
        <v/>
      </c>
      <c r="AS269" s="43">
        <f>IF(ISNUMBER(AS271),AS271-(AS263+AS265+AS266+N(AS267)+N(AS268)+N(AS270)),"")</f>
        <v/>
      </c>
      <c r="AT269" s="43">
        <f>IF(ISNUMBER(AT271),AT271-(AT263+AT265+AT266+N(AT267)+N(AT268)+N(AT270)),"")</f>
        <v/>
      </c>
      <c r="AU269" s="45" t="n"/>
      <c r="AV269" s="45" t="n"/>
      <c r="AW269" s="45">
        <f>AS269+AT269</f>
        <v/>
      </c>
      <c r="AX269" s="47" t="n">
        <v>0</v>
      </c>
      <c r="AY269" s="47" t="n">
        <v>0</v>
      </c>
      <c r="AZ269" s="47" t="n">
        <v>0</v>
      </c>
      <c r="BA269" s="47" t="n">
        <v>0</v>
      </c>
      <c r="BB269" s="26" t="n"/>
    </row>
    <row r="270">
      <c r="B270" s="27" t="inlineStr">
        <is>
          <t xml:space="preserve">  Changes in operating assets &amp; liabilities (incl. accrued insurance reserves)</t>
        </is>
      </c>
      <c r="C270" s="44" t="n">
        <v>1072</v>
      </c>
      <c r="D270" s="44" t="n">
        <v>1910</v>
      </c>
      <c r="E270" s="44" t="n">
        <v>89</v>
      </c>
      <c r="F270" s="44" t="n">
        <v>396</v>
      </c>
      <c r="G270" s="44" t="n">
        <v>153</v>
      </c>
      <c r="H270" s="44" t="n">
        <v>252</v>
      </c>
      <c r="I270" s="44" t="n">
        <v>890</v>
      </c>
      <c r="J270" s="44" t="n">
        <v>222</v>
      </c>
      <c r="K270" s="44" t="n">
        <v>581</v>
      </c>
      <c r="L270" s="44" t="n">
        <v>-280</v>
      </c>
      <c r="M270" s="44" t="n">
        <v>-1075</v>
      </c>
      <c r="N270" s="44" t="n">
        <v>-552</v>
      </c>
      <c r="O270" s="44" t="n">
        <v>284</v>
      </c>
      <c r="P270" s="44" t="n">
        <v>292</v>
      </c>
      <c r="Q270" s="44" t="n">
        <v>419</v>
      </c>
      <c r="R270" s="44" t="n">
        <v>-263</v>
      </c>
      <c r="S270" s="44" t="n">
        <v>732</v>
      </c>
      <c r="T270" s="44" t="n">
        <v>520</v>
      </c>
      <c r="U270" s="44" t="n">
        <v>433</v>
      </c>
      <c r="V270" s="44" t="n">
        <v>768</v>
      </c>
      <c r="W270" s="44" t="n">
        <v>-39</v>
      </c>
      <c r="X270" s="44" t="n">
        <v>1682</v>
      </c>
      <c r="Y270" s="44" t="n">
        <v>27</v>
      </c>
      <c r="Z270" s="44" t="n">
        <v>604</v>
      </c>
      <c r="AA270" s="44" t="n">
        <v>368</v>
      </c>
      <c r="AB270" s="44" t="n">
        <v>-664</v>
      </c>
      <c r="AC270" s="44" t="n">
        <v>335</v>
      </c>
      <c r="AD270" s="44" t="n">
        <v>258</v>
      </c>
      <c r="AE270" s="44" t="n">
        <v>351</v>
      </c>
      <c r="AF270" s="44" t="n">
        <v>-113</v>
      </c>
      <c r="AG270" s="44" t="n">
        <v>-331</v>
      </c>
      <c r="AH270" s="44" t="n">
        <v>165</v>
      </c>
      <c r="AI270" s="44" t="n">
        <v>575</v>
      </c>
      <c r="AJ270" s="44" t="n">
        <v>515</v>
      </c>
      <c r="AK270" s="44" t="n">
        <v>511</v>
      </c>
      <c r="AL270" s="44" t="n">
        <v>773</v>
      </c>
      <c r="AM270" s="44" t="n">
        <v>2374</v>
      </c>
      <c r="AN270" s="44" t="n">
        <v>478</v>
      </c>
      <c r="AO270" s="44" t="n">
        <v>449</v>
      </c>
      <c r="AP270" s="44" t="n">
        <v>648</v>
      </c>
      <c r="AQ270" s="44" t="n">
        <v>652</v>
      </c>
      <c r="AR270" s="44" t="n">
        <v>2227</v>
      </c>
      <c r="AS270" s="44" t="n">
        <v>-200</v>
      </c>
      <c r="AT270" s="44" t="n">
        <v>410</v>
      </c>
      <c r="AU270" s="45" t="n"/>
      <c r="AV270" s="45" t="n"/>
      <c r="AW270" s="45">
        <f>AS270+AT270-(AW320-AT320)-(AW321-AT321)+(AW336-AT336)+(AW337+AW342-AT337-AT342)+(AW340-AT340)</f>
        <v/>
      </c>
      <c r="AX270" s="45">
        <f>-(AX320-AW320)-(AX321-AW321)+(AX336-AW336)+(AX337+AX342-AW337-AW342)+(AX340-AW340)</f>
        <v/>
      </c>
      <c r="AY270" s="45">
        <f>-(AY320-AX320)-(AY321-AX321)+(AY336-AX336)+(AY337+AY342-AX337-AX342)+(AY340-AX340)</f>
        <v/>
      </c>
      <c r="AZ270" s="45">
        <f>-(AZ320-AY320)-(AZ321-AY321)+(AZ336-AY336)+(AZ337+AZ342-AY337-AY342)+(AZ340-AY340)</f>
        <v/>
      </c>
      <c r="BA270" s="45">
        <f>-(BA320-AZ320)-(BA321-AZ321)+(BA336-AZ336)+(BA337+BA342-AZ337-AZ342)+(BA340-AZ340)</f>
        <v/>
      </c>
      <c r="BB270" s="19" t="inlineStr">
        <is>
          <t>Linked to the balance sheet (Uber standalone working capital; Delivery Hero balances assumed within net debt &amp; other items acquired). Insurance reserves grow with Mobility Gross Bookings.</t>
        </is>
      </c>
    </row>
    <row r="271">
      <c r="B271" s="52" t="inlineStr">
        <is>
          <t>Net cash provided by (used in) operating activities</t>
        </is>
      </c>
      <c r="C271" s="55" t="n">
        <v>-2913</v>
      </c>
      <c r="D271" s="55" t="n">
        <v>-1418</v>
      </c>
      <c r="E271" s="55" t="n">
        <v>-297</v>
      </c>
      <c r="F271" s="55" t="n">
        <v>-153</v>
      </c>
      <c r="G271" s="55" t="n">
        <v>-410</v>
      </c>
      <c r="H271" s="55" t="n">
        <v>-681</v>
      </c>
      <c r="I271" s="55" t="n">
        <v>-1541</v>
      </c>
      <c r="J271" s="55" t="n">
        <v>-722</v>
      </c>
      <c r="K271" s="55" t="n">
        <v>-922</v>
      </c>
      <c r="L271" s="55" t="n">
        <v>-878</v>
      </c>
      <c r="M271" s="55" t="n">
        <v>-1799</v>
      </c>
      <c r="N271" s="55" t="n">
        <v>-4321</v>
      </c>
      <c r="O271" s="55" t="n">
        <v>-463</v>
      </c>
      <c r="P271" s="55" t="n">
        <v>-1071</v>
      </c>
      <c r="Q271" s="55" t="n">
        <v>-406</v>
      </c>
      <c r="R271" s="55" t="n">
        <v>-805</v>
      </c>
      <c r="S271" s="55" t="n">
        <v>-2745</v>
      </c>
      <c r="T271" s="55" t="n">
        <v>-611</v>
      </c>
      <c r="U271" s="55" t="n">
        <v>-341</v>
      </c>
      <c r="V271" s="55" t="n">
        <v>614</v>
      </c>
      <c r="W271" s="55" t="n">
        <v>-107</v>
      </c>
      <c r="X271" s="55" t="n">
        <v>-445</v>
      </c>
      <c r="Y271" s="55" t="n">
        <v>15</v>
      </c>
      <c r="Z271" s="55" t="n">
        <v>439</v>
      </c>
      <c r="AA271" s="55" t="n">
        <v>432</v>
      </c>
      <c r="AB271" s="55" t="n">
        <v>-244</v>
      </c>
      <c r="AC271" s="55" t="n">
        <v>642</v>
      </c>
      <c r="AD271" s="55" t="n">
        <v>606</v>
      </c>
      <c r="AE271" s="55" t="n">
        <v>1190</v>
      </c>
      <c r="AF271" s="55" t="n">
        <v>966</v>
      </c>
      <c r="AG271" s="55" t="n">
        <v>823</v>
      </c>
      <c r="AH271" s="55" t="n">
        <v>3585</v>
      </c>
      <c r="AI271" s="55" t="n">
        <v>1416</v>
      </c>
      <c r="AJ271" s="55" t="n">
        <v>1820</v>
      </c>
      <c r="AK271" s="55" t="n">
        <v>2151</v>
      </c>
      <c r="AL271" s="55" t="n">
        <v>1750</v>
      </c>
      <c r="AM271" s="55" t="n">
        <v>7137</v>
      </c>
      <c r="AN271" s="55" t="n">
        <v>2324</v>
      </c>
      <c r="AO271" s="55" t="n">
        <v>2564</v>
      </c>
      <c r="AP271" s="55" t="n">
        <v>2328</v>
      </c>
      <c r="AQ271" s="55" t="n">
        <v>2883</v>
      </c>
      <c r="AR271" s="55" t="n">
        <v>10099</v>
      </c>
      <c r="AS271" s="55" t="n">
        <v>2351</v>
      </c>
      <c r="AT271" s="55" t="n">
        <v>2862</v>
      </c>
      <c r="AU271" s="53" t="n"/>
      <c r="AV271" s="53" t="n"/>
      <c r="AW271" s="53">
        <f>AW263+AW265+AW266+AW267+AW268+AW269+AW270</f>
        <v/>
      </c>
      <c r="AX271" s="53">
        <f>AX263+AX265+AX266+AX267+AX268+AX269+AX270</f>
        <v/>
      </c>
      <c r="AY271" s="53">
        <f>AY263+AY265+AY266+AY267+AY268+AY269+AY270</f>
        <v/>
      </c>
      <c r="AZ271" s="53">
        <f>AZ263+AZ265+AZ266+AZ267+AZ268+AZ269+AZ270</f>
        <v/>
      </c>
      <c r="BA271" s="53">
        <f>BA263+BA265+BA266+BA267+BA268+BA269+BA270</f>
        <v/>
      </c>
      <c r="BB271" s="26" t="n"/>
      <c r="BD271" s="20">
        <f>IFERROR((BA271/AR271)^(1/5)-1,"")</f>
        <v/>
      </c>
      <c r="BE271" s="20">
        <f>IFERROR((AR271/S271)^(1/5)-1,"")</f>
        <v/>
      </c>
      <c r="BF271" s="20">
        <f>IFERROR((AR271/I271)^(1/7)-1,"")</f>
        <v/>
      </c>
      <c r="BG271" s="20">
        <f>IFERROR((AR271/C271)^(1/9)-1,"")</f>
        <v/>
      </c>
    </row>
    <row r="272">
      <c r="B272" s="38" t="inlineStr">
        <is>
          <t xml:space="preserve">  Memo: of which change in accrued insurance reserves</t>
        </is>
      </c>
      <c r="C272" s="44" t="n">
        <v>521</v>
      </c>
      <c r="D272" s="44" t="n">
        <v>1284</v>
      </c>
      <c r="E272" s="44" t="n">
        <v>260</v>
      </c>
      <c r="F272" s="44" t="n">
        <v>256</v>
      </c>
      <c r="G272" s="44" t="n">
        <v>247</v>
      </c>
      <c r="H272" s="44" t="n">
        <v>180</v>
      </c>
      <c r="I272" s="44" t="n">
        <v>943</v>
      </c>
      <c r="J272" s="44" t="n">
        <v>161</v>
      </c>
      <c r="K272" s="44" t="n">
        <v>96</v>
      </c>
      <c r="L272" s="44" t="n">
        <v>99</v>
      </c>
      <c r="M272" s="44" t="n">
        <v>125</v>
      </c>
      <c r="N272" s="44" t="n">
        <v>481</v>
      </c>
      <c r="O272" s="44" t="n">
        <v>77</v>
      </c>
      <c r="P272" s="44" t="n">
        <v>-85</v>
      </c>
      <c r="Q272" s="44" t="n">
        <v>-8</v>
      </c>
      <c r="R272" s="44" t="n">
        <v>13</v>
      </c>
      <c r="S272" s="44" t="n">
        <v>-3</v>
      </c>
      <c r="T272" s="44" t="n">
        <v>-27</v>
      </c>
      <c r="U272" s="44" t="n">
        <v>48</v>
      </c>
      <c r="V272" s="44" t="n">
        <v>469</v>
      </c>
      <c r="W272" s="44" t="n">
        <v>26</v>
      </c>
      <c r="X272" s="44" t="n">
        <v>516</v>
      </c>
      <c r="Y272" s="44" t="n">
        <v>134</v>
      </c>
      <c r="Z272" s="44" t="n">
        <v>192</v>
      </c>
      <c r="AA272" s="44" t="n">
        <v>159</v>
      </c>
      <c r="AB272" s="44" t="n">
        <v>245</v>
      </c>
      <c r="AC272" s="44" t="n">
        <v>730</v>
      </c>
      <c r="AD272" s="44" t="n">
        <v>350</v>
      </c>
      <c r="AE272" s="44" t="n">
        <v>588</v>
      </c>
      <c r="AF272" s="44" t="n">
        <v>678</v>
      </c>
      <c r="AG272" s="44" t="n">
        <v>614</v>
      </c>
      <c r="AH272" s="44" t="n">
        <v>2230</v>
      </c>
      <c r="AI272" s="44" t="n">
        <v>696</v>
      </c>
      <c r="AJ272" s="44" t="n">
        <v>675</v>
      </c>
      <c r="AK272" s="44" t="n">
        <v>790</v>
      </c>
      <c r="AL272" s="44" t="n">
        <v>658</v>
      </c>
      <c r="AM272" s="44" t="n">
        <v>2819</v>
      </c>
      <c r="AN272" s="44" t="n">
        <v>675</v>
      </c>
      <c r="AO272" s="44" t="n">
        <v>812</v>
      </c>
      <c r="AP272" s="44" t="n">
        <v>592</v>
      </c>
      <c r="AQ272" s="44" t="n">
        <v>581</v>
      </c>
      <c r="AR272" s="44" t="n">
        <v>2660</v>
      </c>
      <c r="AS272" s="44" t="n">
        <v>443</v>
      </c>
      <c r="AT272" s="44" t="n">
        <v>387</v>
      </c>
      <c r="AU272" s="45" t="n"/>
      <c r="AV272" s="45" t="n"/>
      <c r="AW272" s="45" t="n"/>
      <c r="AX272" s="45" t="n"/>
      <c r="AY272" s="45" t="n"/>
      <c r="AZ272" s="45" t="n"/>
      <c r="BA272" s="45" t="n"/>
      <c r="BB272" s="26" t="n"/>
    </row>
    <row r="273">
      <c r="B273" s="27" t="inlineStr">
        <is>
          <t>Purchases of property and equipment</t>
        </is>
      </c>
      <c r="C273" s="44" t="n">
        <v>-1629</v>
      </c>
      <c r="D273" s="44" t="n">
        <v>-821</v>
      </c>
      <c r="E273" s="44" t="n">
        <v>-90</v>
      </c>
      <c r="F273" s="44" t="n">
        <v>-119</v>
      </c>
      <c r="G273" s="44" t="n">
        <v>-153</v>
      </c>
      <c r="H273" s="44" t="n">
        <v>-196</v>
      </c>
      <c r="I273" s="44" t="n">
        <v>-558</v>
      </c>
      <c r="J273" s="44" t="n">
        <v>-129</v>
      </c>
      <c r="K273" s="44" t="n">
        <v>-148</v>
      </c>
      <c r="L273" s="44" t="n">
        <v>-129</v>
      </c>
      <c r="M273" s="44" t="n">
        <v>-182</v>
      </c>
      <c r="N273" s="44" t="n">
        <v>-588</v>
      </c>
      <c r="O273" s="44" t="n">
        <v>-198</v>
      </c>
      <c r="P273" s="44" t="n">
        <v>-164</v>
      </c>
      <c r="Q273" s="44" t="n">
        <v>-131</v>
      </c>
      <c r="R273" s="44" t="n">
        <v>-123</v>
      </c>
      <c r="S273" s="44" t="n">
        <v>-616</v>
      </c>
      <c r="T273" s="44" t="n">
        <v>-71</v>
      </c>
      <c r="U273" s="44" t="n">
        <v>-57</v>
      </c>
      <c r="V273" s="44" t="n">
        <v>-90</v>
      </c>
      <c r="W273" s="44" t="n">
        <v>-80</v>
      </c>
      <c r="X273" s="44" t="n">
        <v>-298</v>
      </c>
      <c r="Y273" s="44" t="n">
        <v>-62</v>
      </c>
      <c r="Z273" s="44" t="n">
        <v>-57</v>
      </c>
      <c r="AA273" s="44" t="n">
        <v>-74</v>
      </c>
      <c r="AB273" s="44" t="n">
        <v>-59</v>
      </c>
      <c r="AC273" s="44" t="n">
        <v>-252</v>
      </c>
      <c r="AD273" s="44" t="n">
        <v>-57</v>
      </c>
      <c r="AE273" s="44" t="n">
        <v>-50</v>
      </c>
      <c r="AF273" s="44" t="n">
        <v>-61</v>
      </c>
      <c r="AG273" s="44" t="n">
        <v>-55</v>
      </c>
      <c r="AH273" s="44" t="n">
        <v>-223</v>
      </c>
      <c r="AI273" s="44" t="n">
        <v>-57</v>
      </c>
      <c r="AJ273" s="44" t="n">
        <v>-99</v>
      </c>
      <c r="AK273" s="44" t="n">
        <v>-42</v>
      </c>
      <c r="AL273" s="44" t="n">
        <v>-44</v>
      </c>
      <c r="AM273" s="44" t="n">
        <v>-242</v>
      </c>
      <c r="AN273" s="44" t="n">
        <v>-74</v>
      </c>
      <c r="AO273" s="44" t="n">
        <v>-89</v>
      </c>
      <c r="AP273" s="44" t="n">
        <v>-98</v>
      </c>
      <c r="AQ273" s="44" t="n">
        <v>-75</v>
      </c>
      <c r="AR273" s="44" t="n">
        <v>-336</v>
      </c>
      <c r="AS273" s="44" t="n">
        <v>-65</v>
      </c>
      <c r="AT273" s="44" t="n">
        <v>-70</v>
      </c>
      <c r="AU273" s="45" t="n"/>
      <c r="AV273" s="45" t="n"/>
      <c r="AW273" s="45">
        <f>AS273+AT273-(AU148+AV148)*AX302</f>
        <v/>
      </c>
      <c r="AX273" s="45">
        <f>-AX148*AX302</f>
        <v/>
      </c>
      <c r="AY273" s="45">
        <f>-AY148*AY302</f>
        <v/>
      </c>
      <c r="AZ273" s="45">
        <f>-AZ148*AZ302</f>
        <v/>
      </c>
      <c r="BA273" s="45">
        <f>-BA148*BA302</f>
        <v/>
      </c>
      <c r="BB273" s="26" t="n"/>
    </row>
    <row r="274">
      <c r="B274" s="27" t="inlineStr">
        <is>
          <t>Acquisition of businesses, net of cash acquired</t>
        </is>
      </c>
      <c r="C274" s="44" t="n">
        <v>-22</v>
      </c>
      <c r="D274" s="44" t="n">
        <v>0</v>
      </c>
      <c r="E274" s="44" t="n">
        <v>0</v>
      </c>
      <c r="F274" s="44" t="n">
        <v>-64</v>
      </c>
      <c r="G274" s="44" t="n">
        <v>0</v>
      </c>
      <c r="H274" s="44" t="n">
        <v>0</v>
      </c>
      <c r="I274" s="44" t="n">
        <v>-64</v>
      </c>
      <c r="J274" s="44" t="n">
        <v>0</v>
      </c>
      <c r="K274" s="44" t="n">
        <v>-7</v>
      </c>
      <c r="L274" s="44" t="n">
        <v>0</v>
      </c>
      <c r="M274" s="44" t="n">
        <v>0</v>
      </c>
      <c r="N274" s="44" t="n">
        <v>-7</v>
      </c>
      <c r="O274" s="44" t="n">
        <v>-1346</v>
      </c>
      <c r="P274" s="44" t="n">
        <v>0</v>
      </c>
      <c r="Q274" s="44" t="n">
        <v>-190</v>
      </c>
      <c r="R274" s="44" t="n">
        <v>65</v>
      </c>
      <c r="S274" s="44" t="n">
        <v>-1471</v>
      </c>
      <c r="T274" s="44" t="n">
        <v>-28</v>
      </c>
      <c r="U274" s="44" t="n">
        <v>-52</v>
      </c>
      <c r="V274" s="44" t="n">
        <v>-31</v>
      </c>
      <c r="W274" s="44" t="n">
        <v>-2203</v>
      </c>
      <c r="X274" s="44" t="n">
        <v>-2314</v>
      </c>
      <c r="Y274" s="44" t="n">
        <v>-59</v>
      </c>
      <c r="Z274" s="44" t="n">
        <v>0</v>
      </c>
      <c r="AA274" s="44" t="n">
        <v>0</v>
      </c>
      <c r="AB274" s="44" t="n">
        <v>0</v>
      </c>
      <c r="AC274" s="44" t="n">
        <v>-59</v>
      </c>
      <c r="AD274" s="44" t="n">
        <v>0</v>
      </c>
      <c r="AE274" s="44" t="n">
        <v>0</v>
      </c>
      <c r="AF274" s="44" t="n">
        <v>0</v>
      </c>
      <c r="AG274" s="44" t="n">
        <v>0</v>
      </c>
      <c r="AH274" s="44" t="n">
        <v>0</v>
      </c>
      <c r="AI274" s="44" t="n">
        <v>0</v>
      </c>
      <c r="AJ274" s="44" t="n">
        <v>0</v>
      </c>
      <c r="AK274" s="44" t="n">
        <v>0</v>
      </c>
      <c r="AL274" s="44" t="n">
        <v>0</v>
      </c>
      <c r="AM274" s="44" t="n">
        <v>0</v>
      </c>
      <c r="AN274" s="44" t="n">
        <v>0</v>
      </c>
      <c r="AO274" s="44" t="n">
        <v>-804</v>
      </c>
      <c r="AP274" s="44" t="n">
        <v>0</v>
      </c>
      <c r="AQ274" s="44" t="n">
        <v>-11</v>
      </c>
      <c r="AR274" s="44" t="n">
        <v>-815</v>
      </c>
      <c r="AS274" s="44" t="n">
        <v>-6</v>
      </c>
      <c r="AT274" s="44" t="n">
        <v>-647</v>
      </c>
      <c r="AU274" s="45" t="n"/>
      <c r="AV274" s="45" t="n"/>
      <c r="AW274" s="45">
        <f>AS274+AT274</f>
        <v/>
      </c>
      <c r="AX274" s="45">
        <f>-N(AX385)-N(AX83)</f>
        <v/>
      </c>
      <c r="AY274" s="45">
        <f>-N(AY385)-N(AY83)</f>
        <v/>
      </c>
      <c r="AZ274" s="45">
        <f>-N(AZ385)-N(AZ83)</f>
        <v/>
      </c>
      <c r="BA274" s="45">
        <f>-N(BA385)-N(BA83)</f>
        <v/>
      </c>
      <c r="BB274" s="19" t="inlineStr">
        <is>
          <t>2026E = 1H/26 actual. 2027E: Delivery Hero cash consideration (shares beyond Uber's 24.8% stake + 11.7% swaps) + M&amp;A lever.</t>
        </is>
      </c>
    </row>
    <row r="275">
      <c r="B275" s="27" t="inlineStr">
        <is>
          <t>Net (purchases) / sales of marketable &amp; non-marketable securities, notes and swaps</t>
        </is>
      </c>
      <c r="C275" s="43" t="n"/>
      <c r="D275" s="44" t="n">
        <v>0</v>
      </c>
      <c r="E275" s="44" t="n">
        <v>-423</v>
      </c>
      <c r="F275" s="44" t="n">
        <v>0</v>
      </c>
      <c r="G275" s="44" t="n">
        <v>-19</v>
      </c>
      <c r="H275" s="44" t="n">
        <v>0</v>
      </c>
      <c r="I275" s="44" t="n">
        <v>-442</v>
      </c>
      <c r="J275" s="44" t="n">
        <v>0</v>
      </c>
      <c r="K275" s="44" t="n">
        <v>0</v>
      </c>
      <c r="L275" s="44" t="n">
        <v>0</v>
      </c>
      <c r="M275" s="44" t="n">
        <v>-539</v>
      </c>
      <c r="N275" s="44" t="n">
        <v>-539</v>
      </c>
      <c r="O275" s="44" t="n">
        <v>-403</v>
      </c>
      <c r="P275" s="44" t="n">
        <v>-282</v>
      </c>
      <c r="Q275" s="44" t="n">
        <v>-102</v>
      </c>
      <c r="R275" s="44" t="n">
        <v>-149</v>
      </c>
      <c r="S275" s="44" t="n">
        <v>-936</v>
      </c>
      <c r="T275" s="44" t="n">
        <v>-159</v>
      </c>
      <c r="U275" s="44" t="n">
        <v>201</v>
      </c>
      <c r="V275" s="44" t="n">
        <v>537</v>
      </c>
      <c r="W275" s="44" t="n">
        <v>-180</v>
      </c>
      <c r="X275" s="44" t="n">
        <v>399</v>
      </c>
      <c r="Y275" s="44" t="n">
        <v>-13</v>
      </c>
      <c r="Z275" s="44" t="n">
        <v>-1</v>
      </c>
      <c r="AA275" s="44" t="n">
        <v>376</v>
      </c>
      <c r="AB275" s="44" t="n">
        <v>-1708</v>
      </c>
      <c r="AC275" s="44" t="n">
        <v>-1346</v>
      </c>
      <c r="AD275" s="44" t="n">
        <v>-346</v>
      </c>
      <c r="AE275" s="44" t="n">
        <v>-234</v>
      </c>
      <c r="AF275" s="44" t="n">
        <v>-2399</v>
      </c>
      <c r="AG275" s="44" t="n">
        <v>-778</v>
      </c>
      <c r="AH275" s="44" t="n">
        <v>-3757</v>
      </c>
      <c r="AI275" s="44" t="n">
        <v>-173</v>
      </c>
      <c r="AJ275" s="44" t="n">
        <v>-1525</v>
      </c>
      <c r="AK275" s="44" t="n">
        <v>-2568</v>
      </c>
      <c r="AL275" s="44" t="n">
        <v>1416</v>
      </c>
      <c r="AM275" s="44" t="n">
        <v>-2850</v>
      </c>
      <c r="AN275" s="44" t="n">
        <v>-362</v>
      </c>
      <c r="AO275" s="44" t="n">
        <v>-431</v>
      </c>
      <c r="AP275" s="44" t="n">
        <v>109</v>
      </c>
      <c r="AQ275" s="44" t="n">
        <v>-1393</v>
      </c>
      <c r="AR275" s="44" t="n">
        <v>-2077</v>
      </c>
      <c r="AS275" s="44" t="n">
        <v>-732</v>
      </c>
      <c r="AT275" s="44" t="n">
        <v>-4694</v>
      </c>
      <c r="AU275" s="45" t="n"/>
      <c r="AV275" s="45" t="n"/>
      <c r="AW275" s="45">
        <f>AS275+AT275+182</f>
        <v/>
      </c>
      <c r="AX275" s="47" t="n">
        <v>0</v>
      </c>
      <c r="AY275" s="47" t="n">
        <v>0</v>
      </c>
      <c r="AZ275" s="47" t="n">
        <v>0</v>
      </c>
      <c r="BA275" s="47" t="n">
        <v>0</v>
      </c>
      <c r="BB275" s="19" t="inlineStr">
        <is>
          <t>1H/26 includes $1.64bn total return swaps on Delivery Hero (11.7% economic interest). 2H/26: +$182m sale of 29.4m Aurora shares at $6.205 (Form 4, 15-Sep-2026).</t>
        </is>
      </c>
    </row>
    <row r="276">
      <c r="B276" s="27" t="inlineStr">
        <is>
          <t>Proceeds from business divestitures &amp; sales of equity-method investments</t>
        </is>
      </c>
      <c r="C276" s="43" t="n"/>
      <c r="D276" s="44" t="n">
        <v>0</v>
      </c>
      <c r="E276" s="44" t="n">
        <v>0</v>
      </c>
      <c r="F276" s="44" t="n">
        <v>0</v>
      </c>
      <c r="G276" s="44" t="n">
        <v>0</v>
      </c>
      <c r="H276" s="44" t="n">
        <v>0</v>
      </c>
      <c r="I276" s="44" t="n">
        <v>0</v>
      </c>
      <c r="J276" s="44" t="n">
        <v>293</v>
      </c>
      <c r="K276" s="44" t="n">
        <v>0</v>
      </c>
      <c r="L276" s="44" t="n">
        <v>0</v>
      </c>
      <c r="M276" s="44" t="n">
        <v>0</v>
      </c>
      <c r="N276" s="44" t="n">
        <v>293</v>
      </c>
      <c r="O276" s="44" t="n">
        <v>0</v>
      </c>
      <c r="P276" s="44" t="n">
        <v>0</v>
      </c>
      <c r="Q276" s="44" t="n">
        <v>0</v>
      </c>
      <c r="R276" s="44" t="n">
        <v>0</v>
      </c>
      <c r="S276" s="44" t="n">
        <v>0</v>
      </c>
      <c r="T276" s="44" t="n">
        <v>0</v>
      </c>
      <c r="U276" s="44" t="n">
        <v>0</v>
      </c>
      <c r="V276" s="44" t="n">
        <v>800</v>
      </c>
      <c r="W276" s="44" t="n">
        <v>200</v>
      </c>
      <c r="X276" s="44" t="n">
        <v>1000</v>
      </c>
      <c r="Y276" s="44" t="n">
        <v>0</v>
      </c>
      <c r="Z276" s="44" t="n">
        <v>0</v>
      </c>
      <c r="AA276" s="44" t="n">
        <v>26</v>
      </c>
      <c r="AB276" s="44" t="n">
        <v>0</v>
      </c>
      <c r="AC276" s="44" t="n">
        <v>26</v>
      </c>
      <c r="AD276" s="44" t="n">
        <v>0</v>
      </c>
      <c r="AE276" s="44" t="n">
        <v>703</v>
      </c>
      <c r="AF276" s="44" t="n">
        <v>18</v>
      </c>
      <c r="AG276" s="44" t="n">
        <v>0</v>
      </c>
      <c r="AH276" s="44" t="n">
        <v>721</v>
      </c>
      <c r="AI276" s="44" t="n">
        <v>9</v>
      </c>
      <c r="AJ276" s="44" t="n">
        <v>8</v>
      </c>
      <c r="AK276" s="44" t="n">
        <v>0</v>
      </c>
      <c r="AL276" s="44" t="n">
        <v>0</v>
      </c>
      <c r="AM276" s="44" t="n">
        <v>17</v>
      </c>
      <c r="AN276" s="44" t="n">
        <v>0</v>
      </c>
      <c r="AO276" s="44" t="n">
        <v>0</v>
      </c>
      <c r="AP276" s="44" t="n">
        <v>0</v>
      </c>
      <c r="AQ276" s="44" t="n">
        <v>0</v>
      </c>
      <c r="AR276" s="44" t="n">
        <v>0</v>
      </c>
      <c r="AS276" s="44" t="n">
        <v>0</v>
      </c>
      <c r="AT276" s="44" t="n">
        <v>0</v>
      </c>
      <c r="AU276" s="45" t="n"/>
      <c r="AV276" s="45" t="n"/>
      <c r="AW276" s="45">
        <f>AS276+AT276</f>
        <v/>
      </c>
      <c r="AX276" s="47" t="n">
        <v>0</v>
      </c>
      <c r="AY276" s="47" t="n">
        <v>0</v>
      </c>
      <c r="AZ276" s="47" t="n">
        <v>0</v>
      </c>
      <c r="BA276" s="47" t="n">
        <v>0</v>
      </c>
      <c r="BB276" s="26" t="n"/>
    </row>
    <row r="277">
      <c r="B277" s="27" t="inlineStr">
        <is>
          <t>Other investing activities, net (derived)</t>
        </is>
      </c>
      <c r="C277" s="43">
        <f>IF(ISNUMBER(C278),C278-(N(C273)+N(C274)+N(C275)+N(C276)),"")</f>
        <v/>
      </c>
      <c r="D277" s="43">
        <f>IF(ISNUMBER(D278),D278-(N(D273)+N(D274)+N(D275)+N(D276)),"")</f>
        <v/>
      </c>
      <c r="E277" s="43">
        <f>IF(ISNUMBER(E278),E278-(N(E273)+N(E274)+N(E275)+N(E276)),"")</f>
        <v/>
      </c>
      <c r="F277" s="43">
        <f>IF(ISNUMBER(F278),F278-(N(F273)+N(F274)+N(F275)+N(F276)),"")</f>
        <v/>
      </c>
      <c r="G277" s="43">
        <f>IF(ISNUMBER(G278),G278-(N(G273)+N(G274)+N(G275)+N(G276)),"")</f>
        <v/>
      </c>
      <c r="H277" s="43">
        <f>IF(ISNUMBER(H278),H278-(N(H273)+N(H274)+N(H275)+N(H276)),"")</f>
        <v/>
      </c>
      <c r="I277" s="43">
        <f>IF(ISNUMBER(I278),I278-(N(I273)+N(I274)+N(I275)+N(I276)),"")</f>
        <v/>
      </c>
      <c r="J277" s="43">
        <f>IF(ISNUMBER(J278),J278-(N(J273)+N(J274)+N(J275)+N(J276)),"")</f>
        <v/>
      </c>
      <c r="K277" s="43">
        <f>IF(ISNUMBER(K278),K278-(N(K273)+N(K274)+N(K275)+N(K276)),"")</f>
        <v/>
      </c>
      <c r="L277" s="43">
        <f>IF(ISNUMBER(L278),L278-(N(L273)+N(L274)+N(L275)+N(L276)),"")</f>
        <v/>
      </c>
      <c r="M277" s="43">
        <f>IF(ISNUMBER(M278),M278-(N(M273)+N(M274)+N(M275)+N(M276)),"")</f>
        <v/>
      </c>
      <c r="N277" s="43">
        <f>IF(ISNUMBER(N278),N278-(N(N273)+N(N274)+N(N275)+N(N276)),"")</f>
        <v/>
      </c>
      <c r="O277" s="43">
        <f>IF(ISNUMBER(O278),O278-(N(O273)+N(O274)+N(O275)+N(O276)),"")</f>
        <v/>
      </c>
      <c r="P277" s="43">
        <f>IF(ISNUMBER(P278),P278-(N(P273)+N(P274)+N(P275)+N(P276)),"")</f>
        <v/>
      </c>
      <c r="Q277" s="43">
        <f>IF(ISNUMBER(Q278),Q278-(N(Q273)+N(Q274)+N(Q275)+N(Q276)),"")</f>
        <v/>
      </c>
      <c r="R277" s="43">
        <f>IF(ISNUMBER(R278),R278-(N(R273)+N(R274)+N(R275)+N(R276)),"")</f>
        <v/>
      </c>
      <c r="S277" s="43">
        <f>IF(ISNUMBER(S278),S278-(N(S273)+N(S274)+N(S275)+N(S276)),"")</f>
        <v/>
      </c>
      <c r="T277" s="43">
        <f>IF(ISNUMBER(T278),T278-(N(T273)+N(T274)+N(T275)+N(T276)),"")</f>
        <v/>
      </c>
      <c r="U277" s="43">
        <f>IF(ISNUMBER(U278),U278-(N(U273)+N(U274)+N(U275)+N(U276)),"")</f>
        <v/>
      </c>
      <c r="V277" s="43">
        <f>IF(ISNUMBER(V278),V278-(N(V273)+N(V274)+N(V275)+N(V276)),"")</f>
        <v/>
      </c>
      <c r="W277" s="43">
        <f>IF(ISNUMBER(W278),W278-(N(W273)+N(W274)+N(W275)+N(W276)),"")</f>
        <v/>
      </c>
      <c r="X277" s="43">
        <f>IF(ISNUMBER(X278),X278-(N(X273)+N(X274)+N(X275)+N(X276)),"")</f>
        <v/>
      </c>
      <c r="Y277" s="43">
        <f>IF(ISNUMBER(Y278),Y278-(N(Y273)+N(Y274)+N(Y275)+N(Y276)),"")</f>
        <v/>
      </c>
      <c r="Z277" s="43">
        <f>IF(ISNUMBER(Z278),Z278-(N(Z273)+N(Z274)+N(Z275)+N(Z276)),"")</f>
        <v/>
      </c>
      <c r="AA277" s="43">
        <f>IF(ISNUMBER(AA278),AA278-(N(AA273)+N(AA274)+N(AA275)+N(AA276)),"")</f>
        <v/>
      </c>
      <c r="AB277" s="43">
        <f>IF(ISNUMBER(AB278),AB278-(N(AB273)+N(AB274)+N(AB275)+N(AB276)),"")</f>
        <v/>
      </c>
      <c r="AC277" s="43">
        <f>IF(ISNUMBER(AC278),AC278-(N(AC273)+N(AC274)+N(AC275)+N(AC276)),"")</f>
        <v/>
      </c>
      <c r="AD277" s="43">
        <f>IF(ISNUMBER(AD278),AD278-(N(AD273)+N(AD274)+N(AD275)+N(AD276)),"")</f>
        <v/>
      </c>
      <c r="AE277" s="43">
        <f>IF(ISNUMBER(AE278),AE278-(N(AE273)+N(AE274)+N(AE275)+N(AE276)),"")</f>
        <v/>
      </c>
      <c r="AF277" s="43">
        <f>IF(ISNUMBER(AF278),AF278-(N(AF273)+N(AF274)+N(AF275)+N(AF276)),"")</f>
        <v/>
      </c>
      <c r="AG277" s="43">
        <f>IF(ISNUMBER(AG278),AG278-(N(AG273)+N(AG274)+N(AG275)+N(AG276)),"")</f>
        <v/>
      </c>
      <c r="AH277" s="43">
        <f>IF(ISNUMBER(AH278),AH278-(N(AH273)+N(AH274)+N(AH275)+N(AH276)),"")</f>
        <v/>
      </c>
      <c r="AI277" s="43">
        <f>IF(ISNUMBER(AI278),AI278-(N(AI273)+N(AI274)+N(AI275)+N(AI276)),"")</f>
        <v/>
      </c>
      <c r="AJ277" s="43">
        <f>IF(ISNUMBER(AJ278),AJ278-(N(AJ273)+N(AJ274)+N(AJ275)+N(AJ276)),"")</f>
        <v/>
      </c>
      <c r="AK277" s="43">
        <f>IF(ISNUMBER(AK278),AK278-(N(AK273)+N(AK274)+N(AK275)+N(AK276)),"")</f>
        <v/>
      </c>
      <c r="AL277" s="43">
        <f>IF(ISNUMBER(AL278),AL278-(N(AL273)+N(AL274)+N(AL275)+N(AL276)),"")</f>
        <v/>
      </c>
      <c r="AM277" s="43">
        <f>IF(ISNUMBER(AM278),AM278-(N(AM273)+N(AM274)+N(AM275)+N(AM276)),"")</f>
        <v/>
      </c>
      <c r="AN277" s="43">
        <f>IF(ISNUMBER(AN278),AN278-(N(AN273)+N(AN274)+N(AN275)+N(AN276)),"")</f>
        <v/>
      </c>
      <c r="AO277" s="43">
        <f>IF(ISNUMBER(AO278),AO278-(N(AO273)+N(AO274)+N(AO275)+N(AO276)),"")</f>
        <v/>
      </c>
      <c r="AP277" s="43">
        <f>IF(ISNUMBER(AP278),AP278-(N(AP273)+N(AP274)+N(AP275)+N(AP276)),"")</f>
        <v/>
      </c>
      <c r="AQ277" s="43">
        <f>IF(ISNUMBER(AQ278),AQ278-(N(AQ273)+N(AQ274)+N(AQ275)+N(AQ276)),"")</f>
        <v/>
      </c>
      <c r="AR277" s="43">
        <f>IF(ISNUMBER(AR278),AR278-(N(AR273)+N(AR274)+N(AR275)+N(AR276)),"")</f>
        <v/>
      </c>
      <c r="AS277" s="43">
        <f>IF(ISNUMBER(AS278),AS278-(N(AS273)+N(AS274)+N(AS275)+N(AS276)),"")</f>
        <v/>
      </c>
      <c r="AT277" s="43">
        <f>IF(ISNUMBER(AT278),AT278-(N(AT273)+N(AT274)+N(AT275)+N(AT276)),"")</f>
        <v/>
      </c>
      <c r="AU277" s="45" t="n"/>
      <c r="AV277" s="45" t="n"/>
      <c r="AW277" s="45">
        <f>AS277+AT277</f>
        <v/>
      </c>
      <c r="AX277" s="47" t="n">
        <v>0</v>
      </c>
      <c r="AY277" s="47" t="n">
        <v>0</v>
      </c>
      <c r="AZ277" s="47" t="n">
        <v>0</v>
      </c>
      <c r="BA277" s="47" t="n">
        <v>0</v>
      </c>
      <c r="BB277" s="26" t="n"/>
    </row>
    <row r="278">
      <c r="B278" s="52" t="inlineStr">
        <is>
          <t>Net cash provided by (used in) investing activities</t>
        </is>
      </c>
      <c r="C278" s="55" t="n">
        <v>-1858</v>
      </c>
      <c r="D278" s="55" t="n">
        <v>-487</v>
      </c>
      <c r="E278" s="55" t="n">
        <v>-375</v>
      </c>
      <c r="F278" s="55" t="n">
        <v>-91</v>
      </c>
      <c r="G278" s="55" t="n">
        <v>-73</v>
      </c>
      <c r="H278" s="55" t="n">
        <v>-156</v>
      </c>
      <c r="I278" s="55" t="n">
        <v>-695</v>
      </c>
      <c r="J278" s="55" t="n">
        <v>204</v>
      </c>
      <c r="K278" s="55" t="n">
        <v>-154</v>
      </c>
      <c r="L278" s="55" t="n">
        <v>-129</v>
      </c>
      <c r="M278" s="55" t="n">
        <v>-711</v>
      </c>
      <c r="N278" s="55" t="n">
        <v>-790</v>
      </c>
      <c r="O278" s="55" t="n">
        <v>-1856</v>
      </c>
      <c r="P278" s="55" t="n">
        <v>-456</v>
      </c>
      <c r="Q278" s="55" t="n">
        <v>-365</v>
      </c>
      <c r="R278" s="55" t="n">
        <v>-192</v>
      </c>
      <c r="S278" s="55" t="n">
        <v>-2869</v>
      </c>
      <c r="T278" s="55" t="n">
        <v>-250</v>
      </c>
      <c r="U278" s="55" t="n">
        <v>101</v>
      </c>
      <c r="V278" s="55" t="n">
        <v>1216</v>
      </c>
      <c r="W278" s="55" t="n">
        <v>-2268</v>
      </c>
      <c r="X278" s="55" t="n">
        <v>-1201</v>
      </c>
      <c r="Y278" s="55" t="n">
        <v>-135</v>
      </c>
      <c r="Z278" s="55" t="n">
        <v>-54</v>
      </c>
      <c r="AA278" s="55" t="n">
        <v>321</v>
      </c>
      <c r="AB278" s="55" t="n">
        <v>-1769</v>
      </c>
      <c r="AC278" s="55" t="n">
        <v>-1637</v>
      </c>
      <c r="AD278" s="55" t="n">
        <v>-399</v>
      </c>
      <c r="AE278" s="55" t="n">
        <v>408</v>
      </c>
      <c r="AF278" s="55" t="n">
        <v>-2416</v>
      </c>
      <c r="AG278" s="55" t="n">
        <v>-819</v>
      </c>
      <c r="AH278" s="55" t="n">
        <v>-3226</v>
      </c>
      <c r="AI278" s="55" t="n">
        <v>-242</v>
      </c>
      <c r="AJ278" s="55" t="n">
        <v>-1676</v>
      </c>
      <c r="AK278" s="55" t="n">
        <v>-2692</v>
      </c>
      <c r="AL278" s="55" t="n">
        <v>1433</v>
      </c>
      <c r="AM278" s="55" t="n">
        <v>-3177</v>
      </c>
      <c r="AN278" s="55" t="n">
        <v>-542</v>
      </c>
      <c r="AO278" s="55" t="n">
        <v>-1461</v>
      </c>
      <c r="AP278" s="55" t="n">
        <v>53</v>
      </c>
      <c r="AQ278" s="55" t="n">
        <v>-1614</v>
      </c>
      <c r="AR278" s="55" t="n">
        <v>-3564</v>
      </c>
      <c r="AS278" s="55" t="n">
        <v>-773</v>
      </c>
      <c r="AT278" s="55" t="n">
        <v>-5389</v>
      </c>
      <c r="AU278" s="53" t="n"/>
      <c r="AV278" s="53" t="n"/>
      <c r="AW278" s="53">
        <f>AW273+AW274+AW275+AW276+AW277</f>
        <v/>
      </c>
      <c r="AX278" s="53">
        <f>AX273+AX274+AX275+AX276+AX277</f>
        <v/>
      </c>
      <c r="AY278" s="53">
        <f>AY273+AY274+AY275+AY276+AY277</f>
        <v/>
      </c>
      <c r="AZ278" s="53">
        <f>AZ273+AZ274+AZ275+AZ276+AZ277</f>
        <v/>
      </c>
      <c r="BA278" s="53">
        <f>BA273+BA274+BA275+BA276+BA277</f>
        <v/>
      </c>
      <c r="BB278" s="26" t="n"/>
    </row>
    <row r="279">
      <c r="B279" s="27" t="inlineStr">
        <is>
          <t>Proceeds from term loans, notes &amp; credit facilities (net of issuance costs)</t>
        </is>
      </c>
      <c r="C279" s="44" t="n">
        <v>1460</v>
      </c>
      <c r="D279" s="44" t="n">
        <v>202</v>
      </c>
      <c r="E279" s="44" t="n">
        <v>0</v>
      </c>
      <c r="F279" s="44" t="n">
        <v>1478</v>
      </c>
      <c r="G279" s="44" t="n">
        <v>0</v>
      </c>
      <c r="H279" s="44" t="n">
        <v>1988</v>
      </c>
      <c r="I279" s="44" t="n">
        <v>3466</v>
      </c>
      <c r="J279" s="44" t="n">
        <v>0</v>
      </c>
      <c r="K279" s="44" t="n">
        <v>0</v>
      </c>
      <c r="L279" s="44" t="n">
        <v>1189</v>
      </c>
      <c r="M279" s="44" t="n">
        <v>0</v>
      </c>
      <c r="N279" s="44" t="n">
        <v>1189</v>
      </c>
      <c r="O279" s="44" t="n">
        <v>0</v>
      </c>
      <c r="P279" s="44" t="n">
        <v>992</v>
      </c>
      <c r="Q279" s="44" t="n">
        <v>500</v>
      </c>
      <c r="R279" s="44" t="n">
        <v>1136</v>
      </c>
      <c r="S279" s="44" t="n">
        <v>2628</v>
      </c>
      <c r="T279" s="44" t="n">
        <v>0</v>
      </c>
      <c r="U279" s="44" t="n">
        <v>0</v>
      </c>
      <c r="V279" s="44" t="n">
        <v>1485</v>
      </c>
      <c r="W279" s="44" t="n">
        <v>281</v>
      </c>
      <c r="X279" s="44" t="n">
        <v>1766</v>
      </c>
      <c r="Y279" s="44" t="n">
        <v>0</v>
      </c>
      <c r="Z279" s="44" t="n">
        <v>0</v>
      </c>
      <c r="AA279" s="44" t="n">
        <v>0</v>
      </c>
      <c r="AB279" s="44" t="n">
        <v>0</v>
      </c>
      <c r="AC279" s="44" t="n">
        <v>0</v>
      </c>
      <c r="AD279" s="44" t="n">
        <v>1121</v>
      </c>
      <c r="AE279" s="44" t="n">
        <v>0</v>
      </c>
      <c r="AF279" s="44" t="n">
        <v>0</v>
      </c>
      <c r="AG279" s="44" t="n">
        <v>1703</v>
      </c>
      <c r="AH279" s="44" t="n">
        <v>2824</v>
      </c>
      <c r="AI279" s="44" t="n">
        <v>0</v>
      </c>
      <c r="AJ279" s="44" t="n">
        <v>0</v>
      </c>
      <c r="AK279" s="44" t="n">
        <v>3972</v>
      </c>
      <c r="AL279" s="44" t="n">
        <v>0</v>
      </c>
      <c r="AM279" s="44" t="n">
        <v>3972</v>
      </c>
      <c r="AN279" s="44" t="n">
        <v>0</v>
      </c>
      <c r="AO279" s="44" t="n">
        <v>1127</v>
      </c>
      <c r="AP279" s="44" t="n">
        <v>2232</v>
      </c>
      <c r="AQ279" s="44" t="n">
        <v>0</v>
      </c>
      <c r="AR279" s="44" t="n">
        <v>3359</v>
      </c>
      <c r="AS279" s="44" t="n">
        <v>0</v>
      </c>
      <c r="AT279" s="44" t="n">
        <v>3997</v>
      </c>
      <c r="AU279" s="45" t="n"/>
      <c r="AV279" s="45" t="n"/>
      <c r="AW279" s="45">
        <f>AS279+AT279+AW409+MAX(0,AW414-AT414)</f>
        <v/>
      </c>
      <c r="AX279" s="45">
        <f>AX407+MAX(0,AX414-AW414-N(AX389))</f>
        <v/>
      </c>
      <c r="AY279" s="45">
        <f>AY407+MAX(0,AY414-AX414-N(AY389))</f>
        <v/>
      </c>
      <c r="AZ279" s="45">
        <f>AZ407+MAX(0,AZ414-AY414-N(AZ389))</f>
        <v/>
      </c>
      <c r="BA279" s="45">
        <f>BA407+MAX(0,BA414-AZ414-N(BA389))</f>
        <v/>
      </c>
      <c r="BB279" s="19" t="inlineStr">
        <is>
          <t>Net issuance / (repayment) per the debt schedule (scheduled maturities, refinancing, prepayable facilities).</t>
        </is>
      </c>
    </row>
    <row r="280">
      <c r="B280" s="27" t="inlineStr">
        <is>
          <t>Principal repayment on term loans, notes &amp; credit facilities</t>
        </is>
      </c>
      <c r="C280" s="44" t="n">
        <v>-31</v>
      </c>
      <c r="D280" s="44" t="n">
        <v>-88</v>
      </c>
      <c r="E280" s="44" t="n">
        <v>-80</v>
      </c>
      <c r="F280" s="44" t="n">
        <v>-123</v>
      </c>
      <c r="G280" s="44" t="n">
        <v>-300</v>
      </c>
      <c r="H280" s="44" t="n">
        <v>-7</v>
      </c>
      <c r="I280" s="44" t="n">
        <v>-510</v>
      </c>
      <c r="J280" s="44" t="n">
        <v>-7</v>
      </c>
      <c r="K280" s="44" t="n">
        <v>-6</v>
      </c>
      <c r="L280" s="44" t="n">
        <v>-7</v>
      </c>
      <c r="M280" s="44" t="n">
        <v>-7</v>
      </c>
      <c r="N280" s="44" t="n">
        <v>-27</v>
      </c>
      <c r="O280" s="44" t="n">
        <v>0</v>
      </c>
      <c r="P280" s="44" t="n">
        <v>-891</v>
      </c>
      <c r="Q280" s="44" t="n">
        <v>0</v>
      </c>
      <c r="R280" s="44" t="n">
        <v>-527</v>
      </c>
      <c r="S280" s="44" t="n">
        <v>-1418</v>
      </c>
      <c r="T280" s="44" t="n">
        <v>-194</v>
      </c>
      <c r="U280" s="44" t="n">
        <v>0</v>
      </c>
      <c r="V280" s="44" t="n">
        <v>-1</v>
      </c>
      <c r="W280" s="44" t="n">
        <v>-421</v>
      </c>
      <c r="X280" s="44" t="n">
        <v>-616</v>
      </c>
      <c r="Y280" s="44" t="n">
        <v>-6</v>
      </c>
      <c r="Z280" s="44" t="n">
        <v>6</v>
      </c>
      <c r="AA280" s="44" t="n">
        <v>0</v>
      </c>
      <c r="AB280" s="44" t="n">
        <v>-80</v>
      </c>
      <c r="AC280" s="44" t="n">
        <v>-80</v>
      </c>
      <c r="AD280" s="44" t="n">
        <v>-2274</v>
      </c>
      <c r="AE280" s="44" t="n">
        <v>-14</v>
      </c>
      <c r="AF280" s="44" t="n">
        <v>1113</v>
      </c>
      <c r="AG280" s="44" t="n">
        <v>-1525</v>
      </c>
      <c r="AH280" s="44" t="n">
        <v>-2700</v>
      </c>
      <c r="AI280" s="44" t="n">
        <v>-6</v>
      </c>
      <c r="AJ280" s="44" t="n">
        <v>-7</v>
      </c>
      <c r="AK280" s="44" t="n">
        <v>-1973</v>
      </c>
      <c r="AL280" s="44" t="n">
        <v>-2000</v>
      </c>
      <c r="AM280" s="44" t="n">
        <v>-3986</v>
      </c>
      <c r="AN280" s="44" t="n">
        <v>0</v>
      </c>
      <c r="AO280" s="44" t="n">
        <v>0</v>
      </c>
      <c r="AP280" s="44" t="n">
        <v>-1200</v>
      </c>
      <c r="AQ280" s="44" t="n">
        <v>-1150</v>
      </c>
      <c r="AR280" s="44" t="n">
        <v>-2350</v>
      </c>
      <c r="AS280" s="44" t="n">
        <v>0</v>
      </c>
      <c r="AT280" s="44" t="n">
        <v>-2000</v>
      </c>
      <c r="AU280" s="45" t="n"/>
      <c r="AV280" s="45" t="n"/>
      <c r="AW280" s="45">
        <f>AS280+AT280+MIN(0,AW414-AT414)</f>
        <v/>
      </c>
      <c r="AX280" s="45">
        <f>AX405+MIN(0,AX414-AW414-N(AX389))</f>
        <v/>
      </c>
      <c r="AY280" s="45">
        <f>AY405+MIN(0,AY414-AX414-N(AY389))</f>
        <v/>
      </c>
      <c r="AZ280" s="45">
        <f>AZ405+MIN(0,AZ414-AY414-N(AZ389))</f>
        <v/>
      </c>
      <c r="BA280" s="45">
        <f>BA405+MIN(0,BA414-AZ414-N(BA389))</f>
        <v/>
      </c>
      <c r="BB280" s="26" t="n"/>
    </row>
    <row r="281">
      <c r="B281" s="27" t="inlineStr">
        <is>
          <t>Repurchases of common stock</t>
        </is>
      </c>
      <c r="C281" s="44" t="n">
        <v>-90</v>
      </c>
      <c r="D281" s="44" t="n">
        <v>-131</v>
      </c>
      <c r="E281" s="44" t="n">
        <v>-7</v>
      </c>
      <c r="F281" s="44" t="n">
        <v>-2</v>
      </c>
      <c r="G281" s="44" t="n">
        <v>-1</v>
      </c>
      <c r="H281" s="44" t="n">
        <v>0</v>
      </c>
      <c r="I281" s="44" t="n">
        <v>-10</v>
      </c>
      <c r="J281" s="44" t="n">
        <v>0</v>
      </c>
      <c r="K281" s="44" t="n">
        <v>0</v>
      </c>
      <c r="L281" s="44" t="n">
        <v>0</v>
      </c>
      <c r="M281" s="44" t="n">
        <v>0</v>
      </c>
      <c r="N281" s="44" t="n">
        <v>0</v>
      </c>
      <c r="O281" s="44" t="n">
        <v>0</v>
      </c>
      <c r="P281" s="44" t="n">
        <v>0</v>
      </c>
      <c r="Q281" s="44" t="n">
        <v>0</v>
      </c>
      <c r="R281" s="44" t="n">
        <v>0</v>
      </c>
      <c r="S281" s="44" t="n">
        <v>0</v>
      </c>
      <c r="T281" s="44" t="n">
        <v>0</v>
      </c>
      <c r="U281" s="44" t="n">
        <v>0</v>
      </c>
      <c r="V281" s="44" t="n">
        <v>0</v>
      </c>
      <c r="W281" s="44" t="n">
        <v>0</v>
      </c>
      <c r="X281" s="44" t="n">
        <v>0</v>
      </c>
      <c r="Y281" s="44" t="n">
        <v>0</v>
      </c>
      <c r="Z281" s="44" t="n">
        <v>0</v>
      </c>
      <c r="AA281" s="44" t="n">
        <v>0</v>
      </c>
      <c r="AB281" s="44" t="n">
        <v>0</v>
      </c>
      <c r="AC281" s="44" t="n">
        <v>0</v>
      </c>
      <c r="AD281" s="44" t="n">
        <v>0</v>
      </c>
      <c r="AE281" s="44" t="n">
        <v>0</v>
      </c>
      <c r="AF281" s="44" t="n">
        <v>0</v>
      </c>
      <c r="AG281" s="44" t="n">
        <v>0</v>
      </c>
      <c r="AH281" s="44" t="n">
        <v>0</v>
      </c>
      <c r="AI281" s="44" t="n">
        <v>0</v>
      </c>
      <c r="AJ281" s="44" t="n">
        <v>-325</v>
      </c>
      <c r="AK281" s="44" t="n">
        <v>-372</v>
      </c>
      <c r="AL281" s="44" t="n">
        <v>-555</v>
      </c>
      <c r="AM281" s="44" t="n">
        <v>-1252</v>
      </c>
      <c r="AN281" s="44" t="n">
        <v>-1785</v>
      </c>
      <c r="AO281" s="44" t="n">
        <v>-1363</v>
      </c>
      <c r="AP281" s="44" t="n">
        <v>-1463</v>
      </c>
      <c r="AQ281" s="44" t="n">
        <v>-1912</v>
      </c>
      <c r="AR281" s="44" t="n">
        <v>-6523</v>
      </c>
      <c r="AS281" s="44" t="n">
        <v>-3011</v>
      </c>
      <c r="AT281" s="44" t="n">
        <v>-518</v>
      </c>
      <c r="AU281" s="45" t="n"/>
      <c r="AV281" s="45" t="n"/>
      <c r="AW281" s="45">
        <f>AS281+AT281-CHOOSE(MATCH($BB$2,{"Bull","Base","Bear"},0),$BK$18,$BL$18,$BM$18)</f>
        <v/>
      </c>
      <c r="AX281" s="45">
        <f>-AX425</f>
        <v/>
      </c>
      <c r="AY281" s="45">
        <f>-AY425</f>
        <v/>
      </c>
      <c r="AZ281" s="45">
        <f>-AZ425</f>
        <v/>
      </c>
      <c r="BA281" s="45">
        <f>-BA425</f>
        <v/>
      </c>
      <c r="BB281" s="19" t="inlineStr">
        <is>
          <t>2026E = 1H/26 actual ($3.5bn) + 2H scenario amount; 2027E+ = MAX(leverage plug, minimum % of FCF).</t>
        </is>
      </c>
    </row>
    <row r="282">
      <c r="B282" s="27" t="inlineStr">
        <is>
          <t>Issuance of stock (IPO, private placements, preferred, ESPP) net of tax withholding on equity awards</t>
        </is>
      </c>
      <c r="C282" s="44" t="n">
        <v>4863</v>
      </c>
      <c r="D282" s="44" t="n">
        <v>1011</v>
      </c>
      <c r="E282" s="44" t="n">
        <v>1265</v>
      </c>
      <c r="F282" s="44" t="n">
        <v>0</v>
      </c>
      <c r="G282" s="44" t="n">
        <v>11</v>
      </c>
      <c r="H282" s="44" t="n">
        <v>501</v>
      </c>
      <c r="I282" s="44" t="n">
        <v>1777</v>
      </c>
      <c r="J282" s="44" t="n">
        <v>2</v>
      </c>
      <c r="K282" s="44" t="n">
        <v>7112</v>
      </c>
      <c r="L282" s="44" t="n">
        <v>-150</v>
      </c>
      <c r="M282" s="44" t="n">
        <v>4</v>
      </c>
      <c r="N282" s="44" t="n">
        <v>6968</v>
      </c>
      <c r="O282" s="44" t="n">
        <v>0</v>
      </c>
      <c r="P282" s="44" t="n">
        <v>82</v>
      </c>
      <c r="Q282" s="44" t="n">
        <v>-15</v>
      </c>
      <c r="R282" s="44" t="n">
        <v>41</v>
      </c>
      <c r="S282" s="44" t="n">
        <v>108</v>
      </c>
      <c r="T282" s="44" t="n">
        <v>0</v>
      </c>
      <c r="U282" s="44" t="n">
        <v>67</v>
      </c>
      <c r="V282" s="44" t="n">
        <v>0</v>
      </c>
      <c r="W282" s="44" t="n">
        <v>13</v>
      </c>
      <c r="X282" s="44" t="n">
        <v>80</v>
      </c>
      <c r="Y282" s="44" t="n">
        <v>0</v>
      </c>
      <c r="Z282" s="44" t="n">
        <v>59</v>
      </c>
      <c r="AA282" s="44" t="n">
        <v>0</v>
      </c>
      <c r="AB282" s="44" t="n">
        <v>33</v>
      </c>
      <c r="AC282" s="44" t="n">
        <v>92</v>
      </c>
      <c r="AD282" s="44" t="n">
        <v>0</v>
      </c>
      <c r="AE282" s="44" t="n">
        <v>85</v>
      </c>
      <c r="AF282" s="44" t="n">
        <v>0</v>
      </c>
      <c r="AG282" s="44" t="n">
        <v>45</v>
      </c>
      <c r="AH282" s="44" t="n">
        <v>130</v>
      </c>
      <c r="AI282" s="44" t="n">
        <v>0</v>
      </c>
      <c r="AJ282" s="44" t="n">
        <v>103</v>
      </c>
      <c r="AK282" s="44" t="n">
        <v>0</v>
      </c>
      <c r="AL282" s="44" t="n">
        <v>53</v>
      </c>
      <c r="AM282" s="44" t="n">
        <v>156</v>
      </c>
      <c r="AN282" s="44" t="n">
        <v>0</v>
      </c>
      <c r="AO282" s="44" t="n">
        <v>120</v>
      </c>
      <c r="AP282" s="44" t="n">
        <v>0</v>
      </c>
      <c r="AQ282" s="44" t="n">
        <v>63</v>
      </c>
      <c r="AR282" s="44" t="n">
        <v>183</v>
      </c>
      <c r="AS282" s="44" t="n">
        <v>0</v>
      </c>
      <c r="AT282" s="44" t="n">
        <v>136</v>
      </c>
      <c r="AU282" s="45" t="n"/>
      <c r="AV282" s="45" t="n"/>
      <c r="AW282" s="45">
        <f>(AS282+AT282)*2</f>
        <v/>
      </c>
      <c r="AX282" s="47" t="n">
        <v>150</v>
      </c>
      <c r="AY282" s="47" t="n">
        <v>150</v>
      </c>
      <c r="AZ282" s="47" t="n">
        <v>150</v>
      </c>
      <c r="BA282" s="47" t="n">
        <v>150</v>
      </c>
      <c r="BB282" s="26" t="n"/>
    </row>
    <row r="283">
      <c r="B283" s="27" t="inlineStr">
        <is>
          <t>Other financing activities, net (derived; finance-lease principal, NCI, other)</t>
        </is>
      </c>
      <c r="C283" s="43">
        <f>IF(ISNUMBER(C284),C284-(N(C279)+N(C280)+N(C281)+N(C282)),"")</f>
        <v/>
      </c>
      <c r="D283" s="43">
        <f>IF(ISNUMBER(D284),D284-(N(D279)+N(D280)+N(D281)+N(D282)),"")</f>
        <v/>
      </c>
      <c r="E283" s="43">
        <f>IF(ISNUMBER(E284),E284-(N(E279)+N(E280)+N(E281)+N(E282)),"")</f>
        <v/>
      </c>
      <c r="F283" s="43">
        <f>IF(ISNUMBER(F284),F284-(N(F279)+N(F280)+N(F281)+N(F282)),"")</f>
        <v/>
      </c>
      <c r="G283" s="43">
        <f>IF(ISNUMBER(G284),G284-(N(G279)+N(G280)+N(G281)+N(G282)),"")</f>
        <v/>
      </c>
      <c r="H283" s="43">
        <f>IF(ISNUMBER(H284),H284-(N(H279)+N(H280)+N(H281)+N(H282)),"")</f>
        <v/>
      </c>
      <c r="I283" s="43">
        <f>IF(ISNUMBER(I284),I284-(N(I279)+N(I280)+N(I281)+N(I282)),"")</f>
        <v/>
      </c>
      <c r="J283" s="43">
        <f>IF(ISNUMBER(J284),J284-(N(J279)+N(J280)+N(J281)+N(J282)),"")</f>
        <v/>
      </c>
      <c r="K283" s="43">
        <f>IF(ISNUMBER(K284),K284-(N(K279)+N(K280)+N(K281)+N(K282)),"")</f>
        <v/>
      </c>
      <c r="L283" s="43">
        <f>IF(ISNUMBER(L284),L284-(N(L279)+N(L280)+N(L281)+N(L282)),"")</f>
        <v/>
      </c>
      <c r="M283" s="43">
        <f>IF(ISNUMBER(M284),M284-(N(M279)+N(M280)+N(M281)+N(M282)),"")</f>
        <v/>
      </c>
      <c r="N283" s="43">
        <f>IF(ISNUMBER(N284),N284-(N(N279)+N(N280)+N(N281)+N(N282)),"")</f>
        <v/>
      </c>
      <c r="O283" s="43">
        <f>IF(ISNUMBER(O284),O284-(N(O279)+N(O280)+N(O281)+N(O282)),"")</f>
        <v/>
      </c>
      <c r="P283" s="43">
        <f>IF(ISNUMBER(P284),P284-(N(P279)+N(P280)+N(P281)+N(P282)),"")</f>
        <v/>
      </c>
      <c r="Q283" s="43">
        <f>IF(ISNUMBER(Q284),Q284-(N(Q279)+N(Q280)+N(Q281)+N(Q282)),"")</f>
        <v/>
      </c>
      <c r="R283" s="43">
        <f>IF(ISNUMBER(R284),R284-(N(R279)+N(R280)+N(R281)+N(R282)),"")</f>
        <v/>
      </c>
      <c r="S283" s="43">
        <f>IF(ISNUMBER(S284),S284-(N(S279)+N(S280)+N(S281)+N(S282)),"")</f>
        <v/>
      </c>
      <c r="T283" s="43">
        <f>IF(ISNUMBER(T284),T284-(N(T279)+N(T280)+N(T281)+N(T282)),"")</f>
        <v/>
      </c>
      <c r="U283" s="43">
        <f>IF(ISNUMBER(U284),U284-(N(U279)+N(U280)+N(U281)+N(U282)),"")</f>
        <v/>
      </c>
      <c r="V283" s="43">
        <f>IF(ISNUMBER(V284),V284-(N(V279)+N(V280)+N(V281)+N(V282)),"")</f>
        <v/>
      </c>
      <c r="W283" s="43">
        <f>IF(ISNUMBER(W284),W284-(N(W279)+N(W280)+N(W281)+N(W282)),"")</f>
        <v/>
      </c>
      <c r="X283" s="43">
        <f>IF(ISNUMBER(X284),X284-(N(X279)+N(X280)+N(X281)+N(X282)),"")</f>
        <v/>
      </c>
      <c r="Y283" s="43">
        <f>IF(ISNUMBER(Y284),Y284-(N(Y279)+N(Y280)+N(Y281)+N(Y282)),"")</f>
        <v/>
      </c>
      <c r="Z283" s="43">
        <f>IF(ISNUMBER(Z284),Z284-(N(Z279)+N(Z280)+N(Z281)+N(Z282)),"")</f>
        <v/>
      </c>
      <c r="AA283" s="43">
        <f>IF(ISNUMBER(AA284),AA284-(N(AA279)+N(AA280)+N(AA281)+N(AA282)),"")</f>
        <v/>
      </c>
      <c r="AB283" s="43">
        <f>IF(ISNUMBER(AB284),AB284-(N(AB279)+N(AB280)+N(AB281)+N(AB282)),"")</f>
        <v/>
      </c>
      <c r="AC283" s="43">
        <f>IF(ISNUMBER(AC284),AC284-(N(AC279)+N(AC280)+N(AC281)+N(AC282)),"")</f>
        <v/>
      </c>
      <c r="AD283" s="43">
        <f>IF(ISNUMBER(AD284),AD284-(N(AD279)+N(AD280)+N(AD281)+N(AD282)),"")</f>
        <v/>
      </c>
      <c r="AE283" s="43">
        <f>IF(ISNUMBER(AE284),AE284-(N(AE279)+N(AE280)+N(AE281)+N(AE282)),"")</f>
        <v/>
      </c>
      <c r="AF283" s="43">
        <f>IF(ISNUMBER(AF284),AF284-(N(AF279)+N(AF280)+N(AF281)+N(AF282)),"")</f>
        <v/>
      </c>
      <c r="AG283" s="43">
        <f>IF(ISNUMBER(AG284),AG284-(N(AG279)+N(AG280)+N(AG281)+N(AG282)),"")</f>
        <v/>
      </c>
      <c r="AH283" s="43">
        <f>IF(ISNUMBER(AH284),AH284-(N(AH279)+N(AH280)+N(AH281)+N(AH282)),"")</f>
        <v/>
      </c>
      <c r="AI283" s="43">
        <f>IF(ISNUMBER(AI284),AI284-(N(AI279)+N(AI280)+N(AI281)+N(AI282)),"")</f>
        <v/>
      </c>
      <c r="AJ283" s="43">
        <f>IF(ISNUMBER(AJ284),AJ284-(N(AJ279)+N(AJ280)+N(AJ281)+N(AJ282)),"")</f>
        <v/>
      </c>
      <c r="AK283" s="43">
        <f>IF(ISNUMBER(AK284),AK284-(N(AK279)+N(AK280)+N(AK281)+N(AK282)),"")</f>
        <v/>
      </c>
      <c r="AL283" s="43">
        <f>IF(ISNUMBER(AL284),AL284-(N(AL279)+N(AL280)+N(AL281)+N(AL282)),"")</f>
        <v/>
      </c>
      <c r="AM283" s="43">
        <f>IF(ISNUMBER(AM284),AM284-(N(AM279)+N(AM280)+N(AM281)+N(AM282)),"")</f>
        <v/>
      </c>
      <c r="AN283" s="43">
        <f>IF(ISNUMBER(AN284),AN284-(N(AN279)+N(AN280)+N(AN281)+N(AN282)),"")</f>
        <v/>
      </c>
      <c r="AO283" s="43">
        <f>IF(ISNUMBER(AO284),AO284-(N(AO279)+N(AO280)+N(AO281)+N(AO282)),"")</f>
        <v/>
      </c>
      <c r="AP283" s="43">
        <f>IF(ISNUMBER(AP284),AP284-(N(AP279)+N(AP280)+N(AP281)+N(AP282)),"")</f>
        <v/>
      </c>
      <c r="AQ283" s="43">
        <f>IF(ISNUMBER(AQ284),AQ284-(N(AQ279)+N(AQ280)+N(AQ281)+N(AQ282)),"")</f>
        <v/>
      </c>
      <c r="AR283" s="43">
        <f>IF(ISNUMBER(AR284),AR284-(N(AR279)+N(AR280)+N(AR281)+N(AR282)),"")</f>
        <v/>
      </c>
      <c r="AS283" s="43">
        <f>IF(ISNUMBER(AS284),AS284-(N(AS279)+N(AS280)+N(AS281)+N(AS282)),"")</f>
        <v/>
      </c>
      <c r="AT283" s="43">
        <f>IF(ISNUMBER(AT284),AT284-(N(AT279)+N(AT280)+N(AT281)+N(AT282)),"")</f>
        <v/>
      </c>
      <c r="AU283" s="45" t="n"/>
      <c r="AV283" s="45" t="n"/>
      <c r="AW283" s="45">
        <f>AS283+AT283-AW400/2</f>
        <v/>
      </c>
      <c r="AX283" s="45">
        <f>-AX400</f>
        <v/>
      </c>
      <c r="AY283" s="45">
        <f>-AY400</f>
        <v/>
      </c>
      <c r="AZ283" s="45">
        <f>-AZ400</f>
        <v/>
      </c>
      <c r="BA283" s="45">
        <f>-BA400</f>
        <v/>
      </c>
      <c r="BB283" s="26" t="n"/>
    </row>
    <row r="284">
      <c r="B284" s="52" t="inlineStr">
        <is>
          <t>Net cash provided by (used in) financing activities</t>
        </is>
      </c>
      <c r="C284" s="55" t="n">
        <v>6194</v>
      </c>
      <c r="D284" s="55" t="n">
        <v>1015</v>
      </c>
      <c r="E284" s="55" t="n">
        <v>1114</v>
      </c>
      <c r="F284" s="55" t="n">
        <v>1362</v>
      </c>
      <c r="G284" s="55" t="n">
        <v>-313</v>
      </c>
      <c r="H284" s="55" t="n">
        <v>2477</v>
      </c>
      <c r="I284" s="55" t="n">
        <v>4640</v>
      </c>
      <c r="J284" s="55" t="n">
        <v>-46</v>
      </c>
      <c r="K284" s="55" t="n">
        <v>7075</v>
      </c>
      <c r="L284" s="55" t="n">
        <v>1993</v>
      </c>
      <c r="M284" s="55" t="n">
        <v>-83</v>
      </c>
      <c r="N284" s="55" t="n">
        <v>8939</v>
      </c>
      <c r="O284" s="55" t="n">
        <v>-63</v>
      </c>
      <c r="P284" s="55" t="n">
        <v>118</v>
      </c>
      <c r="Q284" s="55" t="n">
        <v>428</v>
      </c>
      <c r="R284" s="55" t="n">
        <v>896</v>
      </c>
      <c r="S284" s="55" t="n">
        <v>1379</v>
      </c>
      <c r="T284" s="55" t="n">
        <v>-226</v>
      </c>
      <c r="U284" s="55" t="n">
        <v>36</v>
      </c>
      <c r="V284" s="55" t="n">
        <v>1556</v>
      </c>
      <c r="W284" s="55" t="n">
        <v>414</v>
      </c>
      <c r="X284" s="55" t="n">
        <v>1780</v>
      </c>
      <c r="Y284" s="55" t="n">
        <v>-113</v>
      </c>
      <c r="Z284" s="55" t="n">
        <v>5</v>
      </c>
      <c r="AA284" s="55" t="n">
        <v>212</v>
      </c>
      <c r="AB284" s="55" t="n">
        <v>-89</v>
      </c>
      <c r="AC284" s="55" t="n">
        <v>15</v>
      </c>
      <c r="AD284" s="55" t="n">
        <v>-107</v>
      </c>
      <c r="AE284" s="55" t="n">
        <v>42</v>
      </c>
      <c r="AF284" s="55" t="n">
        <v>-76</v>
      </c>
      <c r="AG284" s="55" t="n">
        <v>46</v>
      </c>
      <c r="AH284" s="55" t="n">
        <v>-95</v>
      </c>
      <c r="AI284" s="55" t="n">
        <v>-100</v>
      </c>
      <c r="AJ284" s="55" t="n">
        <v>-191</v>
      </c>
      <c r="AK284" s="55" t="n">
        <v>1601</v>
      </c>
      <c r="AL284" s="55" t="n">
        <v>-3397</v>
      </c>
      <c r="AM284" s="55" t="n">
        <v>-2087</v>
      </c>
      <c r="AN284" s="55" t="n">
        <v>-1862</v>
      </c>
      <c r="AO284" s="55" t="n">
        <v>-195</v>
      </c>
      <c r="AP284" s="55" t="n">
        <v>-538</v>
      </c>
      <c r="AQ284" s="55" t="n">
        <v>-3118</v>
      </c>
      <c r="AR284" s="55" t="n">
        <v>-5713</v>
      </c>
      <c r="AS284" s="55" t="n">
        <v>-3091</v>
      </c>
      <c r="AT284" s="55" t="n">
        <v>1540</v>
      </c>
      <c r="AU284" s="53" t="n"/>
      <c r="AV284" s="53" t="n"/>
      <c r="AW284" s="53">
        <f>AW279+AW280+AW281+AW282+AW283</f>
        <v/>
      </c>
      <c r="AX284" s="53">
        <f>AX279+AX280+AX281+AX282+AX283</f>
        <v/>
      </c>
      <c r="AY284" s="53">
        <f>AY279+AY280+AY281+AY282+AY283</f>
        <v/>
      </c>
      <c r="AZ284" s="53">
        <f>AZ279+AZ280+AZ281+AZ282+AZ283</f>
        <v/>
      </c>
      <c r="BA284" s="53">
        <f>BA279+BA280+BA281+BA282+BA283</f>
        <v/>
      </c>
      <c r="BB284" s="26" t="n"/>
    </row>
    <row r="285">
      <c r="B285" s="27" t="inlineStr">
        <is>
          <t>Effect of exchange rate changes on cash</t>
        </is>
      </c>
      <c r="C285" s="44" t="n">
        <v>-25</v>
      </c>
      <c r="D285" s="44" t="n">
        <v>22</v>
      </c>
      <c r="E285" s="44" t="n">
        <v>2</v>
      </c>
      <c r="F285" s="44" t="n">
        <v>-104</v>
      </c>
      <c r="G285" s="44" t="n">
        <v>-31</v>
      </c>
      <c r="H285" s="44" t="n">
        <v>14</v>
      </c>
      <c r="I285" s="44" t="n">
        <v>-119</v>
      </c>
      <c r="J285" s="44" t="n">
        <v>3</v>
      </c>
      <c r="K285" s="44" t="n">
        <v>9</v>
      </c>
      <c r="L285" s="44" t="n">
        <v>-35</v>
      </c>
      <c r="M285" s="44" t="n">
        <v>19</v>
      </c>
      <c r="N285" s="44" t="n">
        <v>-4</v>
      </c>
      <c r="O285" s="44" t="n">
        <v>-156</v>
      </c>
      <c r="P285" s="44" t="n">
        <v>-19</v>
      </c>
      <c r="Q285" s="44" t="n">
        <v>8</v>
      </c>
      <c r="R285" s="44" t="n">
        <v>75</v>
      </c>
      <c r="S285" s="44" t="n">
        <v>-92</v>
      </c>
      <c r="T285" s="44" t="n">
        <v>-46</v>
      </c>
      <c r="U285" s="44" t="n">
        <v>51</v>
      </c>
      <c r="V285" s="44" t="n">
        <v>-50</v>
      </c>
      <c r="W285" s="44" t="n">
        <v>-24</v>
      </c>
      <c r="X285" s="44" t="n">
        <v>-69</v>
      </c>
      <c r="Y285" s="44" t="n">
        <v>20</v>
      </c>
      <c r="Z285" s="44" t="n">
        <v>-118</v>
      </c>
      <c r="AA285" s="44" t="n">
        <v>-195</v>
      </c>
      <c r="AB285" s="44" t="n">
        <v>145</v>
      </c>
      <c r="AC285" s="44" t="n">
        <v>-148</v>
      </c>
      <c r="AD285" s="44" t="n">
        <v>16</v>
      </c>
      <c r="AE285" s="44" t="n">
        <v>27</v>
      </c>
      <c r="AF285" s="44" t="n">
        <v>-69</v>
      </c>
      <c r="AG285" s="44" t="n">
        <v>89</v>
      </c>
      <c r="AH285" s="44" t="n">
        <v>63</v>
      </c>
      <c r="AI285" s="44" t="n">
        <v>-94</v>
      </c>
      <c r="AJ285" s="44" t="n">
        <v>-56</v>
      </c>
      <c r="AK285" s="44" t="n">
        <v>62</v>
      </c>
      <c r="AL285" s="44" t="n">
        <v>-179</v>
      </c>
      <c r="AM285" s="44" t="n">
        <v>-267</v>
      </c>
      <c r="AN285" s="44" t="n">
        <v>70</v>
      </c>
      <c r="AO285" s="44" t="n">
        <v>159</v>
      </c>
      <c r="AP285" s="44" t="n">
        <v>-27</v>
      </c>
      <c r="AQ285" s="44" t="n">
        <v>13</v>
      </c>
      <c r="AR285" s="44" t="n">
        <v>215</v>
      </c>
      <c r="AS285" s="44" t="n">
        <v>-24</v>
      </c>
      <c r="AT285" s="44" t="n">
        <v>54</v>
      </c>
      <c r="AU285" s="45" t="n"/>
      <c r="AV285" s="45" t="n"/>
      <c r="AW285" s="45">
        <f>AS285+AT285</f>
        <v/>
      </c>
      <c r="AX285" s="47" t="n">
        <v>0</v>
      </c>
      <c r="AY285" s="47" t="n">
        <v>0</v>
      </c>
      <c r="AZ285" s="47" t="n">
        <v>0</v>
      </c>
      <c r="BA285" s="47" t="n">
        <v>0</v>
      </c>
      <c r="BB285" s="26" t="n"/>
    </row>
    <row r="286">
      <c r="B286" s="16" t="inlineStr">
        <is>
          <t>Net increase (decrease) in cash, cash equivalents &amp; restricted cash</t>
        </is>
      </c>
      <c r="C286" s="36">
        <f>IF(ISNUMBER(C271),C271+C278+C284+N(C285),"")</f>
        <v/>
      </c>
      <c r="D286" s="36">
        <f>IF(ISNUMBER(D271),D271+D278+D284+N(D285),"")</f>
        <v/>
      </c>
      <c r="E286" s="36">
        <f>IF(ISNUMBER(E271),E271+E278+E284+N(E285),"")</f>
        <v/>
      </c>
      <c r="F286" s="36">
        <f>IF(ISNUMBER(F271),F271+F278+F284+N(F285),"")</f>
        <v/>
      </c>
      <c r="G286" s="36">
        <f>IF(ISNUMBER(G271),G271+G278+G284+N(G285),"")</f>
        <v/>
      </c>
      <c r="H286" s="36">
        <f>IF(ISNUMBER(H271),H271+H278+H284+N(H285),"")</f>
        <v/>
      </c>
      <c r="I286" s="36">
        <f>IF(ISNUMBER(I271),I271+I278+I284+N(I285),"")</f>
        <v/>
      </c>
      <c r="J286" s="36">
        <f>IF(ISNUMBER(J271),J271+J278+J284+N(J285),"")</f>
        <v/>
      </c>
      <c r="K286" s="36">
        <f>IF(ISNUMBER(K271),K271+K278+K284+N(K285),"")</f>
        <v/>
      </c>
      <c r="L286" s="36">
        <f>IF(ISNUMBER(L271),L271+L278+L284+N(L285),"")</f>
        <v/>
      </c>
      <c r="M286" s="36">
        <f>IF(ISNUMBER(M271),M271+M278+M284+N(M285),"")</f>
        <v/>
      </c>
      <c r="N286" s="36">
        <f>IF(ISNUMBER(N271),N271+N278+N284+N(N285),"")</f>
        <v/>
      </c>
      <c r="O286" s="36">
        <f>IF(ISNUMBER(O271),O271+O278+O284+N(O285),"")</f>
        <v/>
      </c>
      <c r="P286" s="36">
        <f>IF(ISNUMBER(P271),P271+P278+P284+N(P285),"")</f>
        <v/>
      </c>
      <c r="Q286" s="36">
        <f>IF(ISNUMBER(Q271),Q271+Q278+Q284+N(Q285),"")</f>
        <v/>
      </c>
      <c r="R286" s="36">
        <f>IF(ISNUMBER(R271),R271+R278+R284+N(R285),"")</f>
        <v/>
      </c>
      <c r="S286" s="36">
        <f>IF(ISNUMBER(S271),S271+S278+S284+N(S285),"")</f>
        <v/>
      </c>
      <c r="T286" s="36">
        <f>IF(ISNUMBER(T271),T271+T278+T284+N(T285),"")</f>
        <v/>
      </c>
      <c r="U286" s="36">
        <f>IF(ISNUMBER(U271),U271+U278+U284+N(U285),"")</f>
        <v/>
      </c>
      <c r="V286" s="36">
        <f>IF(ISNUMBER(V271),V271+V278+V284+N(V285),"")</f>
        <v/>
      </c>
      <c r="W286" s="36">
        <f>IF(ISNUMBER(W271),W271+W278+W284+N(W285),"")</f>
        <v/>
      </c>
      <c r="X286" s="36">
        <f>IF(ISNUMBER(X271),X271+X278+X284+N(X285),"")</f>
        <v/>
      </c>
      <c r="Y286" s="36">
        <f>IF(ISNUMBER(Y271),Y271+Y278+Y284+N(Y285),"")</f>
        <v/>
      </c>
      <c r="Z286" s="36">
        <f>IF(ISNUMBER(Z271),Z271+Z278+Z284+N(Z285),"")</f>
        <v/>
      </c>
      <c r="AA286" s="36">
        <f>IF(ISNUMBER(AA271),AA271+AA278+AA284+N(AA285),"")</f>
        <v/>
      </c>
      <c r="AB286" s="36">
        <f>IF(ISNUMBER(AB271),AB271+AB278+AB284+N(AB285),"")</f>
        <v/>
      </c>
      <c r="AC286" s="36">
        <f>IF(ISNUMBER(AC271),AC271+AC278+AC284+N(AC285),"")</f>
        <v/>
      </c>
      <c r="AD286" s="36">
        <f>IF(ISNUMBER(AD271),AD271+AD278+AD284+N(AD285),"")</f>
        <v/>
      </c>
      <c r="AE286" s="36">
        <f>IF(ISNUMBER(AE271),AE271+AE278+AE284+N(AE285),"")</f>
        <v/>
      </c>
      <c r="AF286" s="36">
        <f>IF(ISNUMBER(AF271),AF271+AF278+AF284+N(AF285),"")</f>
        <v/>
      </c>
      <c r="AG286" s="36">
        <f>IF(ISNUMBER(AG271),AG271+AG278+AG284+N(AG285),"")</f>
        <v/>
      </c>
      <c r="AH286" s="36">
        <f>IF(ISNUMBER(AH271),AH271+AH278+AH284+N(AH285),"")</f>
        <v/>
      </c>
      <c r="AI286" s="36">
        <f>IF(ISNUMBER(AI271),AI271+AI278+AI284+N(AI285),"")</f>
        <v/>
      </c>
      <c r="AJ286" s="36">
        <f>IF(ISNUMBER(AJ271),AJ271+AJ278+AJ284+N(AJ285),"")</f>
        <v/>
      </c>
      <c r="AK286" s="36">
        <f>IF(ISNUMBER(AK271),AK271+AK278+AK284+N(AK285),"")</f>
        <v/>
      </c>
      <c r="AL286" s="36">
        <f>IF(ISNUMBER(AL271),AL271+AL278+AL284+N(AL285),"")</f>
        <v/>
      </c>
      <c r="AM286" s="36">
        <f>IF(ISNUMBER(AM271),AM271+AM278+AM284+N(AM285),"")</f>
        <v/>
      </c>
      <c r="AN286" s="36">
        <f>IF(ISNUMBER(AN271),AN271+AN278+AN284+N(AN285),"")</f>
        <v/>
      </c>
      <c r="AO286" s="36">
        <f>IF(ISNUMBER(AO271),AO271+AO278+AO284+N(AO285),"")</f>
        <v/>
      </c>
      <c r="AP286" s="36">
        <f>IF(ISNUMBER(AP271),AP271+AP278+AP284+N(AP285),"")</f>
        <v/>
      </c>
      <c r="AQ286" s="36">
        <f>IF(ISNUMBER(AQ271),AQ271+AQ278+AQ284+N(AQ285),"")</f>
        <v/>
      </c>
      <c r="AR286" s="36">
        <f>IF(ISNUMBER(AR271),AR271+AR278+AR284+N(AR285),"")</f>
        <v/>
      </c>
      <c r="AS286" s="36">
        <f>IF(ISNUMBER(AS271),AS271+AS278+AS284+N(AS285),"")</f>
        <v/>
      </c>
      <c r="AT286" s="36">
        <f>IF(ISNUMBER(AT271),AT271+AT278+AT284+N(AT285),"")</f>
        <v/>
      </c>
      <c r="AU286" s="18" t="n"/>
      <c r="AV286" s="18" t="n"/>
      <c r="AW286" s="18">
        <f>AW271+AW278+AW284+AW285</f>
        <v/>
      </c>
      <c r="AX286" s="18">
        <f>AX271+AX278+AX284+AX285</f>
        <v/>
      </c>
      <c r="AY286" s="18">
        <f>AY271+AY278+AY284+AY285</f>
        <v/>
      </c>
      <c r="AZ286" s="18">
        <f>AZ271+AZ278+AZ284+AZ285</f>
        <v/>
      </c>
      <c r="BA286" s="18">
        <f>BA271+BA278+BA284+BA285</f>
        <v/>
      </c>
      <c r="BB286" s="26" t="n"/>
    </row>
    <row r="287">
      <c r="B287" s="27" t="inlineStr">
        <is>
          <t xml:space="preserve">  Reclassification from (to) assets held for sale</t>
        </is>
      </c>
      <c r="C287" s="43" t="n"/>
      <c r="D287" s="44" t="n">
        <v>-130</v>
      </c>
      <c r="E287" s="44" t="n">
        <v>-10</v>
      </c>
      <c r="F287" s="44" t="n">
        <v>4</v>
      </c>
      <c r="G287" s="44" t="n">
        <v>60</v>
      </c>
      <c r="H287" s="44" t="n">
        <v>42</v>
      </c>
      <c r="I287" s="44" t="n">
        <v>96</v>
      </c>
      <c r="J287" s="44" t="n">
        <v>34</v>
      </c>
      <c r="K287" s="44" t="n">
        <v>0</v>
      </c>
      <c r="L287" s="44" t="n">
        <v>0</v>
      </c>
      <c r="M287" s="44" t="n">
        <v>0</v>
      </c>
      <c r="N287" s="44" t="n">
        <v>34</v>
      </c>
      <c r="O287" s="44" t="n">
        <v>0</v>
      </c>
      <c r="P287" s="44" t="n">
        <v>0</v>
      </c>
      <c r="Q287" s="44" t="n">
        <v>0</v>
      </c>
      <c r="R287" s="44" t="n">
        <v>-349</v>
      </c>
      <c r="S287" s="44" t="n">
        <v>-349</v>
      </c>
      <c r="T287" s="44" t="n">
        <v>349</v>
      </c>
      <c r="U287" s="44" t="n">
        <v>0</v>
      </c>
      <c r="V287" s="44" t="n">
        <v>0</v>
      </c>
      <c r="W287" s="44" t="n">
        <v>0</v>
      </c>
      <c r="X287" s="44" t="n">
        <v>349</v>
      </c>
      <c r="Y287" s="44" t="n">
        <v>0</v>
      </c>
      <c r="Z287" s="44" t="n">
        <v>0</v>
      </c>
      <c r="AA287" s="44" t="n">
        <v>0</v>
      </c>
      <c r="AB287" s="44" t="n">
        <v>0</v>
      </c>
      <c r="AC287" s="44" t="n">
        <v>0</v>
      </c>
      <c r="AD287" s="44" t="n">
        <v>0</v>
      </c>
      <c r="AE287" s="44" t="n">
        <v>0</v>
      </c>
      <c r="AF287" s="44" t="n">
        <v>0</v>
      </c>
      <c r="AG287" s="44" t="n">
        <v>0</v>
      </c>
      <c r="AH287" s="44" t="n">
        <v>0</v>
      </c>
      <c r="AI287" s="44" t="n">
        <v>0</v>
      </c>
      <c r="AJ287" s="44" t="n">
        <v>0</v>
      </c>
      <c r="AK287" s="44" t="n">
        <v>0</v>
      </c>
      <c r="AL287" s="44" t="n">
        <v>0</v>
      </c>
      <c r="AM287" s="44" t="n">
        <v>0</v>
      </c>
      <c r="AN287" s="44" t="n">
        <v>0</v>
      </c>
      <c r="AO287" s="44" t="n">
        <v>0</v>
      </c>
      <c r="AP287" s="44" t="n">
        <v>0</v>
      </c>
      <c r="AQ287" s="44" t="n">
        <v>0</v>
      </c>
      <c r="AR287" s="44" t="n">
        <v>0</v>
      </c>
      <c r="AS287" s="44" t="n">
        <v>0</v>
      </c>
      <c r="AT287" s="44" t="n">
        <v>0</v>
      </c>
      <c r="AU287" s="45" t="n"/>
      <c r="AV287" s="45" t="n"/>
      <c r="AW287" s="45" t="n"/>
      <c r="AX287" s="45" t="n"/>
      <c r="AY287" s="45" t="n"/>
      <c r="AZ287" s="45" t="n"/>
      <c r="BA287" s="45" t="n"/>
      <c r="BB287" s="26" t="n"/>
    </row>
    <row r="288">
      <c r="B288" s="27" t="inlineStr">
        <is>
          <t>Cash, cash equivalents &amp; restricted cash — beginning of period</t>
        </is>
      </c>
      <c r="C288" s="43">
        <f>C289-C286-N(C287)</f>
        <v/>
      </c>
      <c r="D288" s="44" t="n">
        <v>6826</v>
      </c>
      <c r="E288" s="44" t="n">
        <v>5828</v>
      </c>
      <c r="F288" s="44" t="n">
        <v>6262</v>
      </c>
      <c r="G288" s="44" t="n">
        <v>7280</v>
      </c>
      <c r="H288" s="44" t="n">
        <v>6513</v>
      </c>
      <c r="I288" s="44" t="n">
        <v>5828</v>
      </c>
      <c r="J288" s="44" t="n">
        <v>8209</v>
      </c>
      <c r="K288" s="44" t="n">
        <v>7682</v>
      </c>
      <c r="L288" s="44" t="n">
        <v>13690</v>
      </c>
      <c r="M288" s="44" t="n">
        <v>14641</v>
      </c>
      <c r="N288" s="44" t="n">
        <v>8209</v>
      </c>
      <c r="O288" s="44" t="n">
        <v>12067</v>
      </c>
      <c r="P288" s="44" t="n">
        <v>9529</v>
      </c>
      <c r="Q288" s="44" t="n">
        <v>8101</v>
      </c>
      <c r="R288" s="44" t="n">
        <v>7766</v>
      </c>
      <c r="S288" s="44" t="n">
        <v>12067</v>
      </c>
      <c r="T288" s="44" t="n">
        <v>7391</v>
      </c>
      <c r="U288" s="44" t="n">
        <v>6607</v>
      </c>
      <c r="V288" s="44" t="n">
        <v>6454</v>
      </c>
      <c r="W288" s="44" t="n">
        <v>9790</v>
      </c>
      <c r="X288" s="44" t="n">
        <v>7391</v>
      </c>
      <c r="Y288" s="44" t="n">
        <v>7805</v>
      </c>
      <c r="Z288" s="44" t="n">
        <v>7592</v>
      </c>
      <c r="AA288" s="44" t="n">
        <v>7864</v>
      </c>
      <c r="AB288" s="44" t="n">
        <v>8634</v>
      </c>
      <c r="AC288" s="44" t="n">
        <v>7805</v>
      </c>
      <c r="AD288" s="44" t="n">
        <v>6677</v>
      </c>
      <c r="AE288" s="44" t="n">
        <v>6793</v>
      </c>
      <c r="AF288" s="44" t="n">
        <v>8460</v>
      </c>
      <c r="AG288" s="44" t="n">
        <v>6865</v>
      </c>
      <c r="AH288" s="44" t="n">
        <v>6677</v>
      </c>
      <c r="AI288" s="44" t="n">
        <v>7004</v>
      </c>
      <c r="AJ288" s="44" t="n">
        <v>7984</v>
      </c>
      <c r="AK288" s="44" t="n">
        <v>7881</v>
      </c>
      <c r="AL288" s="44" t="n">
        <v>9003</v>
      </c>
      <c r="AM288" s="44" t="n">
        <v>7004</v>
      </c>
      <c r="AN288" s="44" t="n">
        <v>8610</v>
      </c>
      <c r="AO288" s="44" t="n">
        <v>8600</v>
      </c>
      <c r="AP288" s="44" t="n">
        <v>9667</v>
      </c>
      <c r="AQ288" s="44" t="n">
        <v>11483</v>
      </c>
      <c r="AR288" s="44" t="n">
        <v>8610</v>
      </c>
      <c r="AS288" s="44" t="n">
        <v>9647</v>
      </c>
      <c r="AT288" s="44" t="n">
        <v>8110</v>
      </c>
      <c r="AU288" s="45" t="n"/>
      <c r="AV288" s="45" t="n"/>
      <c r="AW288" s="45">
        <f>AR289</f>
        <v/>
      </c>
      <c r="AX288" s="45">
        <f>AW289</f>
        <v/>
      </c>
      <c r="AY288" s="45">
        <f>AX289</f>
        <v/>
      </c>
      <c r="AZ288" s="45">
        <f>AY289</f>
        <v/>
      </c>
      <c r="BA288" s="45">
        <f>AZ289</f>
        <v/>
      </c>
      <c r="BB288" s="26" t="n"/>
    </row>
    <row r="289">
      <c r="B289" s="16" t="inlineStr">
        <is>
          <t>Cash, cash equivalents &amp; restricted cash — end of period</t>
        </is>
      </c>
      <c r="C289" s="17" t="n">
        <v>6826</v>
      </c>
      <c r="D289" s="17" t="n">
        <v>5828</v>
      </c>
      <c r="E289" s="17" t="n">
        <v>6262</v>
      </c>
      <c r="F289" s="17" t="n">
        <v>7280</v>
      </c>
      <c r="G289" s="17" t="n">
        <v>6513</v>
      </c>
      <c r="H289" s="17" t="n">
        <v>8209</v>
      </c>
      <c r="I289" s="17" t="n">
        <v>8209</v>
      </c>
      <c r="J289" s="17" t="n">
        <v>7682</v>
      </c>
      <c r="K289" s="17" t="n">
        <v>13690</v>
      </c>
      <c r="L289" s="17" t="n">
        <v>14641</v>
      </c>
      <c r="M289" s="17" t="n">
        <v>12067</v>
      </c>
      <c r="N289" s="17" t="n">
        <v>12067</v>
      </c>
      <c r="O289" s="17" t="n">
        <v>9529</v>
      </c>
      <c r="P289" s="17" t="n">
        <v>8101</v>
      </c>
      <c r="Q289" s="17" t="n">
        <v>7766</v>
      </c>
      <c r="R289" s="17" t="n">
        <v>7391</v>
      </c>
      <c r="S289" s="17" t="n">
        <v>7391</v>
      </c>
      <c r="T289" s="17" t="n">
        <v>6607</v>
      </c>
      <c r="U289" s="17" t="n">
        <v>6454</v>
      </c>
      <c r="V289" s="17" t="n">
        <v>9790</v>
      </c>
      <c r="W289" s="17" t="n">
        <v>7805</v>
      </c>
      <c r="X289" s="17" t="n">
        <v>7805</v>
      </c>
      <c r="Y289" s="17" t="n">
        <v>7592</v>
      </c>
      <c r="Z289" s="17" t="n">
        <v>7864</v>
      </c>
      <c r="AA289" s="17" t="n">
        <v>8634</v>
      </c>
      <c r="AB289" s="17" t="n">
        <v>6677</v>
      </c>
      <c r="AC289" s="17" t="n">
        <v>6677</v>
      </c>
      <c r="AD289" s="17" t="n">
        <v>6793</v>
      </c>
      <c r="AE289" s="17" t="n">
        <v>8460</v>
      </c>
      <c r="AF289" s="17" t="n">
        <v>6865</v>
      </c>
      <c r="AG289" s="17" t="n">
        <v>7004</v>
      </c>
      <c r="AH289" s="17" t="n">
        <v>7004</v>
      </c>
      <c r="AI289" s="17" t="n">
        <v>7984</v>
      </c>
      <c r="AJ289" s="17" t="n">
        <v>7881</v>
      </c>
      <c r="AK289" s="17" t="n">
        <v>9003</v>
      </c>
      <c r="AL289" s="17" t="n">
        <v>8610</v>
      </c>
      <c r="AM289" s="17" t="n">
        <v>8610</v>
      </c>
      <c r="AN289" s="17" t="n">
        <v>8600</v>
      </c>
      <c r="AO289" s="17" t="n">
        <v>9667</v>
      </c>
      <c r="AP289" s="17" t="n">
        <v>11483</v>
      </c>
      <c r="AQ289" s="17" t="n">
        <v>9647</v>
      </c>
      <c r="AR289" s="17" t="n">
        <v>9647</v>
      </c>
      <c r="AS289" s="17" t="n">
        <v>8110</v>
      </c>
      <c r="AT289" s="17" t="n">
        <v>7177</v>
      </c>
      <c r="AU289" s="18" t="n"/>
      <c r="AV289" s="18" t="n"/>
      <c r="AW289" s="18">
        <f>AW288+AW286+N(AW287)</f>
        <v/>
      </c>
      <c r="AX289" s="18">
        <f>AX288+AX286+N(AX287)</f>
        <v/>
      </c>
      <c r="AY289" s="18">
        <f>AY288+AY286+N(AY287)</f>
        <v/>
      </c>
      <c r="AZ289" s="18">
        <f>AZ288+AZ286+N(AZ287)</f>
        <v/>
      </c>
      <c r="BA289" s="18">
        <f>BA288+BA286+N(BA287)</f>
        <v/>
      </c>
      <c r="BB289" s="26" t="n"/>
    </row>
    <row r="290">
      <c r="B290" s="54" t="inlineStr">
        <is>
          <t xml:space="preserve">  Check: beginning cash + net change + reclassification = ending cash (should be 0)</t>
        </is>
      </c>
      <c r="C290" s="43">
        <f>IF(AND(ISNUMBER(C288),ISNUMBER(C286)),ROUND(C288+C286+N(C287)-C289,1),"")</f>
        <v/>
      </c>
      <c r="D290" s="43">
        <f>IF(AND(ISNUMBER(D288),ISNUMBER(D286)),ROUND(D288+D286+N(D287)-D289,1),"")</f>
        <v/>
      </c>
      <c r="E290" s="43">
        <f>IF(AND(ISNUMBER(E288),ISNUMBER(E286)),ROUND(E288+E286+N(E287)-E289,1),"")</f>
        <v/>
      </c>
      <c r="F290" s="43">
        <f>IF(AND(ISNUMBER(F288),ISNUMBER(F286)),ROUND(F288+F286+N(F287)-F289,1),"")</f>
        <v/>
      </c>
      <c r="G290" s="43">
        <f>IF(AND(ISNUMBER(G288),ISNUMBER(G286)),ROUND(G288+G286+N(G287)-G289,1),"")</f>
        <v/>
      </c>
      <c r="H290" s="43">
        <f>IF(AND(ISNUMBER(H288),ISNUMBER(H286)),ROUND(H288+H286+N(H287)-H289,1),"")</f>
        <v/>
      </c>
      <c r="I290" s="43">
        <f>IF(AND(ISNUMBER(I288),ISNUMBER(I286)),ROUND(I288+I286+N(I287)-I289,1),"")</f>
        <v/>
      </c>
      <c r="J290" s="43">
        <f>IF(AND(ISNUMBER(J288),ISNUMBER(J286)),ROUND(J288+J286+N(J287)-J289,1),"")</f>
        <v/>
      </c>
      <c r="K290" s="43">
        <f>IF(AND(ISNUMBER(K288),ISNUMBER(K286)),ROUND(K288+K286+N(K287)-K289,1),"")</f>
        <v/>
      </c>
      <c r="L290" s="43">
        <f>IF(AND(ISNUMBER(L288),ISNUMBER(L286)),ROUND(L288+L286+N(L287)-L289,1),"")</f>
        <v/>
      </c>
      <c r="M290" s="43">
        <f>IF(AND(ISNUMBER(M288),ISNUMBER(M286)),ROUND(M288+M286+N(M287)-M289,1),"")</f>
        <v/>
      </c>
      <c r="N290" s="43">
        <f>IF(AND(ISNUMBER(N288),ISNUMBER(N286)),ROUND(N288+N286+N(N287)-N289,1),"")</f>
        <v/>
      </c>
      <c r="O290" s="43">
        <f>IF(AND(ISNUMBER(O288),ISNUMBER(O286)),ROUND(O288+O286+N(O287)-O289,1),"")</f>
        <v/>
      </c>
      <c r="P290" s="43">
        <f>IF(AND(ISNUMBER(P288),ISNUMBER(P286)),ROUND(P288+P286+N(P287)-P289,1),"")</f>
        <v/>
      </c>
      <c r="Q290" s="43">
        <f>IF(AND(ISNUMBER(Q288),ISNUMBER(Q286)),ROUND(Q288+Q286+N(Q287)-Q289,1),"")</f>
        <v/>
      </c>
      <c r="R290" s="43">
        <f>IF(AND(ISNUMBER(R288),ISNUMBER(R286)),ROUND(R288+R286+N(R287)-R289,1),"")</f>
        <v/>
      </c>
      <c r="S290" s="43">
        <f>IF(AND(ISNUMBER(S288),ISNUMBER(S286)),ROUND(S288+S286+N(S287)-S289,1),"")</f>
        <v/>
      </c>
      <c r="T290" s="43">
        <f>IF(AND(ISNUMBER(T288),ISNUMBER(T286)),ROUND(T288+T286+N(T287)-T289,1),"")</f>
        <v/>
      </c>
      <c r="U290" s="43">
        <f>IF(AND(ISNUMBER(U288),ISNUMBER(U286)),ROUND(U288+U286+N(U287)-U289,1),"")</f>
        <v/>
      </c>
      <c r="V290" s="43">
        <f>IF(AND(ISNUMBER(V288),ISNUMBER(V286)),ROUND(V288+V286+N(V287)-V289,1),"")</f>
        <v/>
      </c>
      <c r="W290" s="43">
        <f>IF(AND(ISNUMBER(W288),ISNUMBER(W286)),ROUND(W288+W286+N(W287)-W289,1),"")</f>
        <v/>
      </c>
      <c r="X290" s="43">
        <f>IF(AND(ISNUMBER(X288),ISNUMBER(X286)),ROUND(X288+X286+N(X287)-X289,1),"")</f>
        <v/>
      </c>
      <c r="Y290" s="43">
        <f>IF(AND(ISNUMBER(Y288),ISNUMBER(Y286)),ROUND(Y288+Y286+N(Y287)-Y289,1),"")</f>
        <v/>
      </c>
      <c r="Z290" s="43">
        <f>IF(AND(ISNUMBER(Z288),ISNUMBER(Z286)),ROUND(Z288+Z286+N(Z287)-Z289,1),"")</f>
        <v/>
      </c>
      <c r="AA290" s="43">
        <f>IF(AND(ISNUMBER(AA288),ISNUMBER(AA286)),ROUND(AA288+AA286+N(AA287)-AA289,1),"")</f>
        <v/>
      </c>
      <c r="AB290" s="43">
        <f>IF(AND(ISNUMBER(AB288),ISNUMBER(AB286)),ROUND(AB288+AB286+N(AB287)-AB289,1),"")</f>
        <v/>
      </c>
      <c r="AC290" s="43">
        <f>IF(AND(ISNUMBER(AC288),ISNUMBER(AC286)),ROUND(AC288+AC286+N(AC287)-AC289,1),"")</f>
        <v/>
      </c>
      <c r="AD290" s="43">
        <f>IF(AND(ISNUMBER(AD288),ISNUMBER(AD286)),ROUND(AD288+AD286+N(AD287)-AD289,1),"")</f>
        <v/>
      </c>
      <c r="AE290" s="43">
        <f>IF(AND(ISNUMBER(AE288),ISNUMBER(AE286)),ROUND(AE288+AE286+N(AE287)-AE289,1),"")</f>
        <v/>
      </c>
      <c r="AF290" s="43">
        <f>IF(AND(ISNUMBER(AF288),ISNUMBER(AF286)),ROUND(AF288+AF286+N(AF287)-AF289,1),"")</f>
        <v/>
      </c>
      <c r="AG290" s="43">
        <f>IF(AND(ISNUMBER(AG288),ISNUMBER(AG286)),ROUND(AG288+AG286+N(AG287)-AG289,1),"")</f>
        <v/>
      </c>
      <c r="AH290" s="43">
        <f>IF(AND(ISNUMBER(AH288),ISNUMBER(AH286)),ROUND(AH288+AH286+N(AH287)-AH289,1),"")</f>
        <v/>
      </c>
      <c r="AI290" s="43">
        <f>IF(AND(ISNUMBER(AI288),ISNUMBER(AI286)),ROUND(AI288+AI286+N(AI287)-AI289,1),"")</f>
        <v/>
      </c>
      <c r="AJ290" s="43">
        <f>IF(AND(ISNUMBER(AJ288),ISNUMBER(AJ286)),ROUND(AJ288+AJ286+N(AJ287)-AJ289,1),"")</f>
        <v/>
      </c>
      <c r="AK290" s="43">
        <f>IF(AND(ISNUMBER(AK288),ISNUMBER(AK286)),ROUND(AK288+AK286+N(AK287)-AK289,1),"")</f>
        <v/>
      </c>
      <c r="AL290" s="43">
        <f>IF(AND(ISNUMBER(AL288),ISNUMBER(AL286)),ROUND(AL288+AL286+N(AL287)-AL289,1),"")</f>
        <v/>
      </c>
      <c r="AM290" s="43">
        <f>IF(AND(ISNUMBER(AM288),ISNUMBER(AM286)),ROUND(AM288+AM286+N(AM287)-AM289,1),"")</f>
        <v/>
      </c>
      <c r="AN290" s="43">
        <f>IF(AND(ISNUMBER(AN288),ISNUMBER(AN286)),ROUND(AN288+AN286+N(AN287)-AN289,1),"")</f>
        <v/>
      </c>
      <c r="AO290" s="43">
        <f>IF(AND(ISNUMBER(AO288),ISNUMBER(AO286)),ROUND(AO288+AO286+N(AO287)-AO289,1),"")</f>
        <v/>
      </c>
      <c r="AP290" s="43">
        <f>IF(AND(ISNUMBER(AP288),ISNUMBER(AP286)),ROUND(AP288+AP286+N(AP287)-AP289,1),"")</f>
        <v/>
      </c>
      <c r="AQ290" s="43">
        <f>IF(AND(ISNUMBER(AQ288),ISNUMBER(AQ286)),ROUND(AQ288+AQ286+N(AQ287)-AQ289,1),"")</f>
        <v/>
      </c>
      <c r="AR290" s="43">
        <f>IF(AND(ISNUMBER(AR288),ISNUMBER(AR286)),ROUND(AR288+AR286+N(AR287)-AR289,1),"")</f>
        <v/>
      </c>
      <c r="AS290" s="43">
        <f>IF(AND(ISNUMBER(AS288),ISNUMBER(AS286)),ROUND(AS288+AS286+N(AS287)-AS289,1),"")</f>
        <v/>
      </c>
      <c r="AT290" s="43">
        <f>IF(AND(ISNUMBER(AT288),ISNUMBER(AT286)),ROUND(AT288+AT286+N(AT287)-AT289,1),"")</f>
        <v/>
      </c>
      <c r="AU290" s="45" t="n"/>
      <c r="AV290" s="45" t="n"/>
      <c r="AW290" s="45">
        <f>ROUND(AW288+AW286+N(AW287)-AW289,1)</f>
        <v/>
      </c>
      <c r="AX290" s="45">
        <f>ROUND(AX288+AX286+N(AX287)-AX289,1)</f>
        <v/>
      </c>
      <c r="AY290" s="45">
        <f>ROUND(AY288+AY286+N(AY287)-AY289,1)</f>
        <v/>
      </c>
      <c r="AZ290" s="45">
        <f>ROUND(AZ288+AZ286+N(AZ287)-AZ289,1)</f>
        <v/>
      </c>
      <c r="BA290" s="45">
        <f>ROUND(BA288+BA286+N(BA287)-BA289,1)</f>
        <v/>
      </c>
      <c r="BB290" s="26" t="n"/>
    </row>
    <row r="291">
      <c r="B291" s="54" t="inlineStr">
        <is>
          <t xml:space="preserve">  Check: CF ending cash vs balance sheet (cash + restricted cash current &amp; non-current; should be 0)</t>
        </is>
      </c>
      <c r="C291" s="43">
        <f>IF(AND(ISNUMBER(C317),ISNUMBER(C289)),ROUND(C289-(C317+N(C319)+N(C324)),1),"")</f>
        <v/>
      </c>
      <c r="D291" s="43">
        <f>IF(AND(ISNUMBER(D317),ISNUMBER(D289)),ROUND(D289-(D317+N(D319)+N(D324)),1),"")</f>
        <v/>
      </c>
      <c r="E291" s="43">
        <f>IF(AND(ISNUMBER(E317),ISNUMBER(E289)),ROUND(E289-(E317+N(E319)+N(E324)),1),"")</f>
        <v/>
      </c>
      <c r="F291" s="43">
        <f>IF(AND(ISNUMBER(F317),ISNUMBER(F289)),ROUND(F289-(F317+N(F319)+N(F324)),1),"")</f>
        <v/>
      </c>
      <c r="G291" s="43">
        <f>IF(AND(ISNUMBER(G317),ISNUMBER(G289)),ROUND(G289-(G317+N(G319)+N(G324)),1),"")</f>
        <v/>
      </c>
      <c r="H291" s="43">
        <f>IF(AND(ISNUMBER(H317),ISNUMBER(H289)),ROUND(H289-(H317+N(H319)+N(H324)),1),"")</f>
        <v/>
      </c>
      <c r="I291" s="43">
        <f>IF(AND(ISNUMBER(I317),ISNUMBER(I289)),ROUND(I289-(I317+N(I319)+N(I324)),1),"")</f>
        <v/>
      </c>
      <c r="J291" s="43">
        <f>IF(AND(ISNUMBER(J317),ISNUMBER(J289)),ROUND(J289-(J317+N(J319)+N(J324)),1),"")</f>
        <v/>
      </c>
      <c r="K291" s="43">
        <f>IF(AND(ISNUMBER(K317),ISNUMBER(K289)),ROUND(K289-(K317+N(K319)+N(K324)),1),"")</f>
        <v/>
      </c>
      <c r="L291" s="43">
        <f>IF(AND(ISNUMBER(L317),ISNUMBER(L289)),ROUND(L289-(L317+N(L319)+N(L324)),1),"")</f>
        <v/>
      </c>
      <c r="M291" s="43">
        <f>IF(AND(ISNUMBER(M317),ISNUMBER(M289)),ROUND(M289-(M317+N(M319)+N(M324)),1),"")</f>
        <v/>
      </c>
      <c r="N291" s="43">
        <f>IF(AND(ISNUMBER(N317),ISNUMBER(N289)),ROUND(N289-(N317+N(N319)+N(N324)),1),"")</f>
        <v/>
      </c>
      <c r="O291" s="43">
        <f>IF(AND(ISNUMBER(O317),ISNUMBER(O289)),ROUND(O289-(O317+N(O319)+N(O324)),1),"")</f>
        <v/>
      </c>
      <c r="P291" s="43">
        <f>IF(AND(ISNUMBER(P317),ISNUMBER(P289)),ROUND(P289-(P317+N(P319)+N(P324)),1),"")</f>
        <v/>
      </c>
      <c r="Q291" s="43">
        <f>IF(AND(ISNUMBER(Q317),ISNUMBER(Q289)),ROUND(Q289-(Q317+N(Q319)+N(Q324)),1),"")</f>
        <v/>
      </c>
      <c r="R291" s="43">
        <f>IF(AND(ISNUMBER(R317),ISNUMBER(R289)),ROUND(R289-(R317+N(R319)+N(R324)),1),"")</f>
        <v/>
      </c>
      <c r="S291" s="43">
        <f>IF(AND(ISNUMBER(S317),ISNUMBER(S289)),ROUND(S289-(S317+N(S319)+N(S324)),1),"")</f>
        <v/>
      </c>
      <c r="T291" s="43">
        <f>IF(AND(ISNUMBER(T317),ISNUMBER(T289)),ROUND(T289-(T317+N(T319)+N(T324)),1),"")</f>
        <v/>
      </c>
      <c r="U291" s="43">
        <f>IF(AND(ISNUMBER(U317),ISNUMBER(U289)),ROUND(U289-(U317+N(U319)+N(U324)),1),"")</f>
        <v/>
      </c>
      <c r="V291" s="43">
        <f>IF(AND(ISNUMBER(V317),ISNUMBER(V289)),ROUND(V289-(V317+N(V319)+N(V324)),1),"")</f>
        <v/>
      </c>
      <c r="W291" s="43">
        <f>IF(AND(ISNUMBER(W317),ISNUMBER(W289)),ROUND(W289-(W317+N(W319)+N(W324)),1),"")</f>
        <v/>
      </c>
      <c r="X291" s="43">
        <f>IF(AND(ISNUMBER(X317),ISNUMBER(X289)),ROUND(X289-(X317+N(X319)+N(X324)),1),"")</f>
        <v/>
      </c>
      <c r="Y291" s="43">
        <f>IF(AND(ISNUMBER(Y317),ISNUMBER(Y289)),ROUND(Y289-(Y317+N(Y319)+N(Y324)),1),"")</f>
        <v/>
      </c>
      <c r="Z291" s="43">
        <f>IF(AND(ISNUMBER(Z317),ISNUMBER(Z289)),ROUND(Z289-(Z317+N(Z319)+N(Z324)),1),"")</f>
        <v/>
      </c>
      <c r="AA291" s="43">
        <f>IF(AND(ISNUMBER(AA317),ISNUMBER(AA289)),ROUND(AA289-(AA317+N(AA319)+N(AA324)),1),"")</f>
        <v/>
      </c>
      <c r="AB291" s="43">
        <f>IF(AND(ISNUMBER(AB317),ISNUMBER(AB289)),ROUND(AB289-(AB317+N(AB319)+N(AB324)),1),"")</f>
        <v/>
      </c>
      <c r="AC291" s="43">
        <f>IF(AND(ISNUMBER(AC317),ISNUMBER(AC289)),ROUND(AC289-(AC317+N(AC319)+N(AC324)),1),"")</f>
        <v/>
      </c>
      <c r="AD291" s="43">
        <f>IF(AND(ISNUMBER(AD317),ISNUMBER(AD289)),ROUND(AD289-(AD317+N(AD319)+N(AD324)),1),"")</f>
        <v/>
      </c>
      <c r="AE291" s="43">
        <f>IF(AND(ISNUMBER(AE317),ISNUMBER(AE289)),ROUND(AE289-(AE317+N(AE319)+N(AE324)),1),"")</f>
        <v/>
      </c>
      <c r="AF291" s="43">
        <f>IF(AND(ISNUMBER(AF317),ISNUMBER(AF289)),ROUND(AF289-(AF317+N(AF319)+N(AF324)),1),"")</f>
        <v/>
      </c>
      <c r="AG291" s="43">
        <f>IF(AND(ISNUMBER(AG317),ISNUMBER(AG289)),ROUND(AG289-(AG317+N(AG319)+N(AG324)),1),"")</f>
        <v/>
      </c>
      <c r="AH291" s="43">
        <f>IF(AND(ISNUMBER(AH317),ISNUMBER(AH289)),ROUND(AH289-(AH317+N(AH319)+N(AH324)),1),"")</f>
        <v/>
      </c>
      <c r="AI291" s="43">
        <f>IF(AND(ISNUMBER(AI317),ISNUMBER(AI289)),ROUND(AI289-(AI317+N(AI319)+N(AI324)),1),"")</f>
        <v/>
      </c>
      <c r="AJ291" s="43">
        <f>IF(AND(ISNUMBER(AJ317),ISNUMBER(AJ289)),ROUND(AJ289-(AJ317+N(AJ319)+N(AJ324)),1),"")</f>
        <v/>
      </c>
      <c r="AK291" s="43">
        <f>IF(AND(ISNUMBER(AK317),ISNUMBER(AK289)),ROUND(AK289-(AK317+N(AK319)+N(AK324)),1),"")</f>
        <v/>
      </c>
      <c r="AL291" s="43">
        <f>IF(AND(ISNUMBER(AL317),ISNUMBER(AL289)),ROUND(AL289-(AL317+N(AL319)+N(AL324)),1),"")</f>
        <v/>
      </c>
      <c r="AM291" s="43">
        <f>IF(AND(ISNUMBER(AM317),ISNUMBER(AM289)),ROUND(AM289-(AM317+N(AM319)+N(AM324)),1),"")</f>
        <v/>
      </c>
      <c r="AN291" s="43">
        <f>IF(AND(ISNUMBER(AN317),ISNUMBER(AN289)),ROUND(AN289-(AN317+N(AN319)+N(AN324)),1),"")</f>
        <v/>
      </c>
      <c r="AO291" s="43">
        <f>IF(AND(ISNUMBER(AO317),ISNUMBER(AO289)),ROUND(AO289-(AO317+N(AO319)+N(AO324)),1),"")</f>
        <v/>
      </c>
      <c r="AP291" s="43">
        <f>IF(AND(ISNUMBER(AP317),ISNUMBER(AP289)),ROUND(AP289-(AP317+N(AP319)+N(AP324)),1),"")</f>
        <v/>
      </c>
      <c r="AQ291" s="43">
        <f>IF(AND(ISNUMBER(AQ317),ISNUMBER(AQ289)),ROUND(AQ289-(AQ317+N(AQ319)+N(AQ324)),1),"")</f>
        <v/>
      </c>
      <c r="AR291" s="43">
        <f>IF(AND(ISNUMBER(AR317),ISNUMBER(AR289)),ROUND(AR289-(AR317+N(AR319)+N(AR324)),1),"")</f>
        <v/>
      </c>
      <c r="AS291" s="43">
        <f>IF(AND(ISNUMBER(AS317),ISNUMBER(AS289)),ROUND(AS289-(AS317+N(AS319)+N(AS324)),1),"")</f>
        <v/>
      </c>
      <c r="AT291" s="43">
        <f>IF(AND(ISNUMBER(AT317),ISNUMBER(AT289)),ROUND(AT289-(AT317+N(AT319)+N(AT324)),1),"")</f>
        <v/>
      </c>
      <c r="AU291" s="45" t="n"/>
      <c r="AV291" s="45" t="n"/>
      <c r="AW291" s="45">
        <f>ROUND(AW289-(AW317+AW319+AW324),1)</f>
        <v/>
      </c>
      <c r="AX291" s="45">
        <f>ROUND(AX289-(AX317+AX319+AX324),1)</f>
        <v/>
      </c>
      <c r="AY291" s="45">
        <f>ROUND(AY289-(AY317+AY319+AY324),1)</f>
        <v/>
      </c>
      <c r="AZ291" s="45">
        <f>ROUND(AZ289-(AZ317+AZ319+AZ324),1)</f>
        <v/>
      </c>
      <c r="BA291" s="45">
        <f>ROUND(BA289-(BA317+BA319+BA324),1)</f>
        <v/>
      </c>
      <c r="BB291" s="26" t="n"/>
    </row>
    <row r="292">
      <c r="B292" s="27" t="inlineStr">
        <is>
          <t>(Memo)</t>
        </is>
      </c>
    </row>
    <row r="293">
      <c r="B293" s="16" t="inlineStr">
        <is>
          <t>Free cash flow (operating cash flow − purchases of property &amp; equipment; company definition)</t>
        </is>
      </c>
      <c r="C293" s="36">
        <f>IF(ISNUMBER(C271),C271+C273,"")</f>
        <v/>
      </c>
      <c r="D293" s="36">
        <f>IF(ISNUMBER(D271),D271+D273,"")</f>
        <v/>
      </c>
      <c r="E293" s="36">
        <f>IF(ISNUMBER(E271),E271+E273,"")</f>
        <v/>
      </c>
      <c r="F293" s="36">
        <f>IF(ISNUMBER(F271),F271+F273,"")</f>
        <v/>
      </c>
      <c r="G293" s="36">
        <f>IF(ISNUMBER(G271),G271+G273,"")</f>
        <v/>
      </c>
      <c r="H293" s="36">
        <f>IF(ISNUMBER(H271),H271+H273,"")</f>
        <v/>
      </c>
      <c r="I293" s="36">
        <f>IF(ISNUMBER(I271),I271+I273,"")</f>
        <v/>
      </c>
      <c r="J293" s="36">
        <f>IF(ISNUMBER(J271),J271+J273,"")</f>
        <v/>
      </c>
      <c r="K293" s="36">
        <f>IF(ISNUMBER(K271),K271+K273,"")</f>
        <v/>
      </c>
      <c r="L293" s="36">
        <f>IF(ISNUMBER(L271),L271+L273,"")</f>
        <v/>
      </c>
      <c r="M293" s="36">
        <f>IF(ISNUMBER(M271),M271+M273,"")</f>
        <v/>
      </c>
      <c r="N293" s="36">
        <f>IF(ISNUMBER(N271),N271+N273,"")</f>
        <v/>
      </c>
      <c r="O293" s="36">
        <f>IF(ISNUMBER(O271),O271+O273,"")</f>
        <v/>
      </c>
      <c r="P293" s="36">
        <f>IF(ISNUMBER(P271),P271+P273,"")</f>
        <v/>
      </c>
      <c r="Q293" s="36">
        <f>IF(ISNUMBER(Q271),Q271+Q273,"")</f>
        <v/>
      </c>
      <c r="R293" s="36">
        <f>IF(ISNUMBER(R271),R271+R273,"")</f>
        <v/>
      </c>
      <c r="S293" s="36">
        <f>IF(ISNUMBER(S271),S271+S273,"")</f>
        <v/>
      </c>
      <c r="T293" s="36">
        <f>IF(ISNUMBER(T271),T271+T273,"")</f>
        <v/>
      </c>
      <c r="U293" s="36">
        <f>IF(ISNUMBER(U271),U271+U273,"")</f>
        <v/>
      </c>
      <c r="V293" s="36">
        <f>IF(ISNUMBER(V271),V271+V273,"")</f>
        <v/>
      </c>
      <c r="W293" s="36">
        <f>IF(ISNUMBER(W271),W271+W273,"")</f>
        <v/>
      </c>
      <c r="X293" s="36">
        <f>IF(ISNUMBER(X271),X271+X273,"")</f>
        <v/>
      </c>
      <c r="Y293" s="36">
        <f>IF(ISNUMBER(Y271),Y271+Y273,"")</f>
        <v/>
      </c>
      <c r="Z293" s="36">
        <f>IF(ISNUMBER(Z271),Z271+Z273,"")</f>
        <v/>
      </c>
      <c r="AA293" s="36">
        <f>IF(ISNUMBER(AA271),AA271+AA273,"")</f>
        <v/>
      </c>
      <c r="AB293" s="36">
        <f>IF(ISNUMBER(AB271),AB271+AB273,"")</f>
        <v/>
      </c>
      <c r="AC293" s="36">
        <f>IF(ISNUMBER(AC271),AC271+AC273,"")</f>
        <v/>
      </c>
      <c r="AD293" s="36">
        <f>IF(ISNUMBER(AD271),AD271+AD273,"")</f>
        <v/>
      </c>
      <c r="AE293" s="36">
        <f>IF(ISNUMBER(AE271),AE271+AE273,"")</f>
        <v/>
      </c>
      <c r="AF293" s="36">
        <f>IF(ISNUMBER(AF271),AF271+AF273,"")</f>
        <v/>
      </c>
      <c r="AG293" s="36">
        <f>IF(ISNUMBER(AG271),AG271+AG273,"")</f>
        <v/>
      </c>
      <c r="AH293" s="36">
        <f>IF(ISNUMBER(AH271),AH271+AH273,"")</f>
        <v/>
      </c>
      <c r="AI293" s="36">
        <f>IF(ISNUMBER(AI271),AI271+AI273,"")</f>
        <v/>
      </c>
      <c r="AJ293" s="36">
        <f>IF(ISNUMBER(AJ271),AJ271+AJ273,"")</f>
        <v/>
      </c>
      <c r="AK293" s="36">
        <f>IF(ISNUMBER(AK271),AK271+AK273,"")</f>
        <v/>
      </c>
      <c r="AL293" s="36">
        <f>IF(ISNUMBER(AL271),AL271+AL273,"")</f>
        <v/>
      </c>
      <c r="AM293" s="36">
        <f>IF(ISNUMBER(AM271),AM271+AM273,"")</f>
        <v/>
      </c>
      <c r="AN293" s="36">
        <f>IF(ISNUMBER(AN271),AN271+AN273,"")</f>
        <v/>
      </c>
      <c r="AO293" s="36">
        <f>IF(ISNUMBER(AO271),AO271+AO273,"")</f>
        <v/>
      </c>
      <c r="AP293" s="36">
        <f>IF(ISNUMBER(AP271),AP271+AP273,"")</f>
        <v/>
      </c>
      <c r="AQ293" s="36">
        <f>IF(ISNUMBER(AQ271),AQ271+AQ273,"")</f>
        <v/>
      </c>
      <c r="AR293" s="36">
        <f>IF(ISNUMBER(AR271),AR271+AR273,"")</f>
        <v/>
      </c>
      <c r="AS293" s="36">
        <f>IF(ISNUMBER(AS271),AS271+AS273,"")</f>
        <v/>
      </c>
      <c r="AT293" s="36">
        <f>IF(ISNUMBER(AT271),AT271+AT273,"")</f>
        <v/>
      </c>
      <c r="AU293" s="18" t="n"/>
      <c r="AV293" s="18" t="n"/>
      <c r="AW293" s="18">
        <f>AW271+AW273</f>
        <v/>
      </c>
      <c r="AX293" s="18">
        <f>AX271+AX273</f>
        <v/>
      </c>
      <c r="AY293" s="18">
        <f>AY271+AY273</f>
        <v/>
      </c>
      <c r="AZ293" s="18">
        <f>AZ271+AZ273</f>
        <v/>
      </c>
      <c r="BA293" s="18">
        <f>BA271+BA273</f>
        <v/>
      </c>
      <c r="BB293" s="26" t="n"/>
      <c r="BD293" s="20">
        <f>IFERROR((BA293/AR293)^(1/5)-1,"")</f>
        <v/>
      </c>
      <c r="BE293" s="20">
        <f>IFERROR((AR293/S293)^(1/5)-1,"")</f>
        <v/>
      </c>
      <c r="BF293" s="20">
        <f>IFERROR((AR293/I293)^(1/7)-1,"")</f>
        <v/>
      </c>
      <c r="BG293" s="20">
        <f>IFERROR((AR293/C293)^(1/9)-1,"")</f>
        <v/>
      </c>
    </row>
    <row r="294">
      <c r="B294" s="27" t="inlineStr">
        <is>
          <t xml:space="preserve">  Company-published free cash flow</t>
        </is>
      </c>
      <c r="C294" s="43" t="n"/>
      <c r="D294" s="43" t="n"/>
      <c r="E294" s="43" t="n"/>
      <c r="F294" s="43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4" t="n">
        <v>-682</v>
      </c>
      <c r="U294" s="44" t="n">
        <v>-398</v>
      </c>
      <c r="V294" s="44" t="n">
        <v>524</v>
      </c>
      <c r="W294" s="44" t="n">
        <v>-187</v>
      </c>
      <c r="X294" s="44" t="n">
        <v>-743</v>
      </c>
      <c r="Y294" s="44" t="n">
        <v>-47</v>
      </c>
      <c r="Z294" s="44" t="n">
        <v>382</v>
      </c>
      <c r="AA294" s="44" t="n">
        <v>358</v>
      </c>
      <c r="AB294" s="44" t="n">
        <v>-303</v>
      </c>
      <c r="AC294" s="44" t="n">
        <v>390</v>
      </c>
      <c r="AD294" s="44" t="n">
        <v>549</v>
      </c>
      <c r="AE294" s="44" t="n">
        <v>1140</v>
      </c>
      <c r="AF294" s="44" t="n">
        <v>905</v>
      </c>
      <c r="AG294" s="44" t="n">
        <v>768</v>
      </c>
      <c r="AH294" s="44" t="n">
        <v>3362</v>
      </c>
      <c r="AI294" s="44" t="n">
        <v>1359</v>
      </c>
      <c r="AJ294" s="44" t="n">
        <v>1721</v>
      </c>
      <c r="AK294" s="44" t="n">
        <v>2109</v>
      </c>
      <c r="AL294" s="44" t="n">
        <v>1706</v>
      </c>
      <c r="AM294" s="44" t="n">
        <v>6895</v>
      </c>
      <c r="AN294" s="44" t="n">
        <v>2250</v>
      </c>
      <c r="AO294" s="44" t="n">
        <v>2475</v>
      </c>
      <c r="AP294" s="44" t="n">
        <v>2230</v>
      </c>
      <c r="AQ294" s="44" t="n">
        <v>2808</v>
      </c>
      <c r="AR294" s="44" t="n">
        <v>9763</v>
      </c>
      <c r="AS294" s="44" t="n">
        <v>2286</v>
      </c>
      <c r="AT294" s="44" t="n">
        <v>2792</v>
      </c>
      <c r="AU294" s="45" t="n"/>
      <c r="AV294" s="45" t="n"/>
      <c r="AW294" s="45" t="n"/>
      <c r="AX294" s="45" t="n"/>
      <c r="AY294" s="45" t="n"/>
      <c r="AZ294" s="45" t="n"/>
      <c r="BA294" s="45" t="n"/>
      <c r="BB294" s="26" t="n"/>
    </row>
    <row r="295">
      <c r="B295" s="54" t="inlineStr">
        <is>
          <t xml:space="preserve">  Check: model vs company-published FCF (should be 0)</t>
        </is>
      </c>
      <c r="C295" s="43">
        <f>IF(ISNUMBER(C294),ROUND(C293-C294,1),"n/p")</f>
        <v/>
      </c>
      <c r="D295" s="43">
        <f>IF(ISNUMBER(D294),ROUND(D293-D294,1),"n/p")</f>
        <v/>
      </c>
      <c r="E295" s="43">
        <f>IF(ISNUMBER(E294),ROUND(E293-E294,1),"n/p")</f>
        <v/>
      </c>
      <c r="F295" s="43">
        <f>IF(ISNUMBER(F294),ROUND(F293-F294,1),"n/p")</f>
        <v/>
      </c>
      <c r="G295" s="43">
        <f>IF(ISNUMBER(G294),ROUND(G293-G294,1),"n/p")</f>
        <v/>
      </c>
      <c r="H295" s="43">
        <f>IF(ISNUMBER(H294),ROUND(H293-H294,1),"n/p")</f>
        <v/>
      </c>
      <c r="I295" s="43">
        <f>IF(ISNUMBER(I294),ROUND(I293-I294,1),"n/p")</f>
        <v/>
      </c>
      <c r="J295" s="43">
        <f>IF(ISNUMBER(J294),ROUND(J293-J294,1),"n/p")</f>
        <v/>
      </c>
      <c r="K295" s="43">
        <f>IF(ISNUMBER(K294),ROUND(K293-K294,1),"n/p")</f>
        <v/>
      </c>
      <c r="L295" s="43">
        <f>IF(ISNUMBER(L294),ROUND(L293-L294,1),"n/p")</f>
        <v/>
      </c>
      <c r="M295" s="43">
        <f>IF(ISNUMBER(M294),ROUND(M293-M294,1),"n/p")</f>
        <v/>
      </c>
      <c r="N295" s="43">
        <f>IF(ISNUMBER(N294),ROUND(N293-N294,1),"n/p")</f>
        <v/>
      </c>
      <c r="O295" s="43">
        <f>IF(ISNUMBER(O294),ROUND(O293-O294,1),"n/p")</f>
        <v/>
      </c>
      <c r="P295" s="43">
        <f>IF(ISNUMBER(P294),ROUND(P293-P294,1),"n/p")</f>
        <v/>
      </c>
      <c r="Q295" s="43">
        <f>IF(ISNUMBER(Q294),ROUND(Q293-Q294,1),"n/p")</f>
        <v/>
      </c>
      <c r="R295" s="43">
        <f>IF(ISNUMBER(R294),ROUND(R293-R294,1),"n/p")</f>
        <v/>
      </c>
      <c r="S295" s="43">
        <f>IF(ISNUMBER(S294),ROUND(S293-S294,1),"n/p")</f>
        <v/>
      </c>
      <c r="T295" s="43">
        <f>IF(ISNUMBER(T294),ROUND(T293-T294,1),"n/p")</f>
        <v/>
      </c>
      <c r="U295" s="43">
        <f>IF(ISNUMBER(U294),ROUND(U293-U294,1),"n/p")</f>
        <v/>
      </c>
      <c r="V295" s="43">
        <f>IF(ISNUMBER(V294),ROUND(V293-V294,1),"n/p")</f>
        <v/>
      </c>
      <c r="W295" s="43">
        <f>IF(ISNUMBER(W294),ROUND(W293-W294,1),"n/p")</f>
        <v/>
      </c>
      <c r="X295" s="43">
        <f>IF(ISNUMBER(X294),ROUND(X293-X294,1),"n/p")</f>
        <v/>
      </c>
      <c r="Y295" s="43">
        <f>IF(ISNUMBER(Y294),ROUND(Y293-Y294,1),"n/p")</f>
        <v/>
      </c>
      <c r="Z295" s="43">
        <f>IF(ISNUMBER(Z294),ROUND(Z293-Z294,1),"n/p")</f>
        <v/>
      </c>
      <c r="AA295" s="43">
        <f>IF(ISNUMBER(AA294),ROUND(AA293-AA294,1),"n/p")</f>
        <v/>
      </c>
      <c r="AB295" s="43">
        <f>IF(ISNUMBER(AB294),ROUND(AB293-AB294,1),"n/p")</f>
        <v/>
      </c>
      <c r="AC295" s="43">
        <f>IF(ISNUMBER(AC294),ROUND(AC293-AC294,1),"n/p")</f>
        <v/>
      </c>
      <c r="AD295" s="43">
        <f>IF(ISNUMBER(AD294),ROUND(AD293-AD294,1),"n/p")</f>
        <v/>
      </c>
      <c r="AE295" s="43">
        <f>IF(ISNUMBER(AE294),ROUND(AE293-AE294,1),"n/p")</f>
        <v/>
      </c>
      <c r="AF295" s="43">
        <f>IF(ISNUMBER(AF294),ROUND(AF293-AF294,1),"n/p")</f>
        <v/>
      </c>
      <c r="AG295" s="43">
        <f>IF(ISNUMBER(AG294),ROUND(AG293-AG294,1),"n/p")</f>
        <v/>
      </c>
      <c r="AH295" s="43">
        <f>IF(ISNUMBER(AH294),ROUND(AH293-AH294,1),"n/p")</f>
        <v/>
      </c>
      <c r="AI295" s="43">
        <f>IF(ISNUMBER(AI294),ROUND(AI293-AI294,1),"n/p")</f>
        <v/>
      </c>
      <c r="AJ295" s="43">
        <f>IF(ISNUMBER(AJ294),ROUND(AJ293-AJ294,1),"n/p")</f>
        <v/>
      </c>
      <c r="AK295" s="43">
        <f>IF(ISNUMBER(AK294),ROUND(AK293-AK294,1),"n/p")</f>
        <v/>
      </c>
      <c r="AL295" s="43">
        <f>IF(ISNUMBER(AL294),ROUND(AL293-AL294,1),"n/p")</f>
        <v/>
      </c>
      <c r="AM295" s="43">
        <f>IF(ISNUMBER(AM294),ROUND(AM293-AM294,1),"n/p")</f>
        <v/>
      </c>
      <c r="AN295" s="43">
        <f>IF(ISNUMBER(AN294),ROUND(AN293-AN294,1),"n/p")</f>
        <v/>
      </c>
      <c r="AO295" s="43">
        <f>IF(ISNUMBER(AO294),ROUND(AO293-AO294,1),"n/p")</f>
        <v/>
      </c>
      <c r="AP295" s="43">
        <f>IF(ISNUMBER(AP294),ROUND(AP293-AP294,1),"n/p")</f>
        <v/>
      </c>
      <c r="AQ295" s="43">
        <f>IF(ISNUMBER(AQ294),ROUND(AQ293-AQ294,1),"n/p")</f>
        <v/>
      </c>
      <c r="AR295" s="43">
        <f>IF(ISNUMBER(AR294),ROUND(AR293-AR294,1),"n/p")</f>
        <v/>
      </c>
      <c r="AS295" s="43">
        <f>IF(ISNUMBER(AS294),ROUND(AS293-AS294,1),"n/p")</f>
        <v/>
      </c>
      <c r="AT295" s="43">
        <f>IF(ISNUMBER(AT294),ROUND(AT293-AT294,1),"n/p")</f>
        <v/>
      </c>
      <c r="AU295" s="45" t="n"/>
      <c r="AV295" s="45" t="n"/>
      <c r="AW295" s="45" t="n"/>
      <c r="AX295" s="45" t="n"/>
      <c r="AY295" s="45" t="n"/>
      <c r="AZ295" s="45" t="n"/>
      <c r="BA295" s="45" t="n"/>
      <c r="BB295" s="26" t="n"/>
    </row>
    <row r="296">
      <c r="B296" s="23" t="inlineStr">
        <is>
          <t xml:space="preserve">  FCF y/y %</t>
        </is>
      </c>
      <c r="C296" s="24" t="n"/>
      <c r="D296" s="24">
        <f>IF(AND(ISNUMBER(D293),ISNUMBER(C293)),IFERROR(D293/C293-1,""),"")</f>
        <v/>
      </c>
      <c r="E296" s="24" t="n"/>
      <c r="F296" s="24" t="n"/>
      <c r="G296" s="24" t="n"/>
      <c r="H296" s="24" t="n"/>
      <c r="I296" s="24">
        <f>IF(AND(ISNUMBER(I293),ISNUMBER(D293)),IFERROR(I293/D293-1,""),"")</f>
        <v/>
      </c>
      <c r="J296" s="24">
        <f>IF(AND(ISNUMBER(J293),ISNUMBER(E293)),IFERROR(J293/E293-1,""),"")</f>
        <v/>
      </c>
      <c r="K296" s="24">
        <f>IF(AND(ISNUMBER(K293),ISNUMBER(F293)),IFERROR(K293/F293-1,""),"")</f>
        <v/>
      </c>
      <c r="L296" s="24">
        <f>IF(AND(ISNUMBER(L293),ISNUMBER(G293)),IFERROR(L293/G293-1,""),"")</f>
        <v/>
      </c>
      <c r="M296" s="24">
        <f>IF(AND(ISNUMBER(M293),ISNUMBER(H293)),IFERROR(M293/H293-1,""),"")</f>
        <v/>
      </c>
      <c r="N296" s="24">
        <f>IF(AND(ISNUMBER(N293),ISNUMBER(I293)),IFERROR(N293/I293-1,""),"")</f>
        <v/>
      </c>
      <c r="O296" s="24">
        <f>IF(AND(ISNUMBER(O293),ISNUMBER(J293)),IFERROR(O293/J293-1,""),"")</f>
        <v/>
      </c>
      <c r="P296" s="24">
        <f>IF(AND(ISNUMBER(P293),ISNUMBER(K293)),IFERROR(P293/K293-1,""),"")</f>
        <v/>
      </c>
      <c r="Q296" s="24">
        <f>IF(AND(ISNUMBER(Q293),ISNUMBER(L293)),IFERROR(Q293/L293-1,""),"")</f>
        <v/>
      </c>
      <c r="R296" s="24">
        <f>IF(AND(ISNUMBER(R293),ISNUMBER(M293)),IFERROR(R293/M293-1,""),"")</f>
        <v/>
      </c>
      <c r="S296" s="24">
        <f>IF(AND(ISNUMBER(S293),ISNUMBER(N293)),IFERROR(S293/N293-1,""),"")</f>
        <v/>
      </c>
      <c r="T296" s="24">
        <f>IF(AND(ISNUMBER(T293),ISNUMBER(O293)),IFERROR(T293/O293-1,""),"")</f>
        <v/>
      </c>
      <c r="U296" s="24">
        <f>IF(AND(ISNUMBER(U293),ISNUMBER(P293)),IFERROR(U293/P293-1,""),"")</f>
        <v/>
      </c>
      <c r="V296" s="24">
        <f>IF(AND(ISNUMBER(V293),ISNUMBER(Q293)),IFERROR(V293/Q293-1,""),"")</f>
        <v/>
      </c>
      <c r="W296" s="24">
        <f>IF(AND(ISNUMBER(W293),ISNUMBER(R293)),IFERROR(W293/R293-1,""),"")</f>
        <v/>
      </c>
      <c r="X296" s="24">
        <f>IF(AND(ISNUMBER(X293),ISNUMBER(S293)),IFERROR(X293/S293-1,""),"")</f>
        <v/>
      </c>
      <c r="Y296" s="24">
        <f>IF(AND(ISNUMBER(Y293),ISNUMBER(T293)),IFERROR(Y293/T293-1,""),"")</f>
        <v/>
      </c>
      <c r="Z296" s="24">
        <f>IF(AND(ISNUMBER(Z293),ISNUMBER(U293)),IFERROR(Z293/U293-1,""),"")</f>
        <v/>
      </c>
      <c r="AA296" s="24">
        <f>IF(AND(ISNUMBER(AA293),ISNUMBER(V293)),IFERROR(AA293/V293-1,""),"")</f>
        <v/>
      </c>
      <c r="AB296" s="24">
        <f>IF(AND(ISNUMBER(AB293),ISNUMBER(W293)),IFERROR(AB293/W293-1,""),"")</f>
        <v/>
      </c>
      <c r="AC296" s="24">
        <f>IF(AND(ISNUMBER(AC293),ISNUMBER(X293)),IFERROR(AC293/X293-1,""),"")</f>
        <v/>
      </c>
      <c r="AD296" s="24">
        <f>IF(AND(ISNUMBER(AD293),ISNUMBER(Y293)),IFERROR(AD293/Y293-1,""),"")</f>
        <v/>
      </c>
      <c r="AE296" s="24">
        <f>IF(AND(ISNUMBER(AE293),ISNUMBER(Z293)),IFERROR(AE293/Z293-1,""),"")</f>
        <v/>
      </c>
      <c r="AF296" s="24">
        <f>IF(AND(ISNUMBER(AF293),ISNUMBER(AA293)),IFERROR(AF293/AA293-1,""),"")</f>
        <v/>
      </c>
      <c r="AG296" s="24">
        <f>IF(AND(ISNUMBER(AG293),ISNUMBER(AB293)),IFERROR(AG293/AB293-1,""),"")</f>
        <v/>
      </c>
      <c r="AH296" s="24">
        <f>IF(AND(ISNUMBER(AH293),ISNUMBER(AC293)),IFERROR(AH293/AC293-1,""),"")</f>
        <v/>
      </c>
      <c r="AI296" s="24">
        <f>IF(AND(ISNUMBER(AI293),ISNUMBER(AD293)),IFERROR(AI293/AD293-1,""),"")</f>
        <v/>
      </c>
      <c r="AJ296" s="24">
        <f>IF(AND(ISNUMBER(AJ293),ISNUMBER(AE293)),IFERROR(AJ293/AE293-1,""),"")</f>
        <v/>
      </c>
      <c r="AK296" s="24">
        <f>IF(AND(ISNUMBER(AK293),ISNUMBER(AF293)),IFERROR(AK293/AF293-1,""),"")</f>
        <v/>
      </c>
      <c r="AL296" s="24">
        <f>IF(AND(ISNUMBER(AL293),ISNUMBER(AG293)),IFERROR(AL293/AG293-1,""),"")</f>
        <v/>
      </c>
      <c r="AM296" s="24">
        <f>IF(AND(ISNUMBER(AM293),ISNUMBER(AH293)),IFERROR(AM293/AH293-1,""),"")</f>
        <v/>
      </c>
      <c r="AN296" s="24">
        <f>IF(AND(ISNUMBER(AN293),ISNUMBER(AI293)),IFERROR(AN293/AI293-1,""),"")</f>
        <v/>
      </c>
      <c r="AO296" s="24">
        <f>IF(AND(ISNUMBER(AO293),ISNUMBER(AJ293)),IFERROR(AO293/AJ293-1,""),"")</f>
        <v/>
      </c>
      <c r="AP296" s="24">
        <f>IF(AND(ISNUMBER(AP293),ISNUMBER(AK293)),IFERROR(AP293/AK293-1,""),"")</f>
        <v/>
      </c>
      <c r="AQ296" s="24">
        <f>IF(AND(ISNUMBER(AQ293),ISNUMBER(AL293)),IFERROR(AQ293/AL293-1,""),"")</f>
        <v/>
      </c>
      <c r="AR296" s="24">
        <f>IF(AND(ISNUMBER(AR293),ISNUMBER(AM293)),IFERROR(AR293/AM293-1,""),"")</f>
        <v/>
      </c>
      <c r="AS296" s="24">
        <f>IF(AND(ISNUMBER(AS293),ISNUMBER(AN293)),IFERROR(AS293/AN293-1,""),"")</f>
        <v/>
      </c>
      <c r="AT296" s="24">
        <f>IF(AND(ISNUMBER(AT293),ISNUMBER(AO293)),IFERROR(AT293/AO293-1,""),"")</f>
        <v/>
      </c>
      <c r="AU296" s="25" t="n"/>
      <c r="AV296" s="25" t="n"/>
      <c r="AW296" s="25">
        <f>IFERROR(AW293/AR293-1,"")</f>
        <v/>
      </c>
      <c r="AX296" s="25">
        <f>IFERROR(AX293/AW293-1,"")</f>
        <v/>
      </c>
      <c r="AY296" s="25">
        <f>IFERROR(AY293/AX293-1,"")</f>
        <v/>
      </c>
      <c r="AZ296" s="25">
        <f>IFERROR(AZ293/AY293-1,"")</f>
        <v/>
      </c>
      <c r="BA296" s="25">
        <f>IFERROR(BA293/AZ293-1,"")</f>
        <v/>
      </c>
      <c r="BB296" s="26" t="n"/>
    </row>
    <row r="297">
      <c r="B297" s="27" t="inlineStr">
        <is>
          <t xml:space="preserve">  FCF % of Gross Bookings</t>
        </is>
      </c>
      <c r="C297" s="39">
        <f>IF(AND(ISNUMBER(C293),ISNUMBER(C99)),IFERROR(C293/C99,""),"")</f>
        <v/>
      </c>
      <c r="D297" s="39">
        <f>IF(AND(ISNUMBER(D293),ISNUMBER(D99)),IFERROR(D293/D99,""),"")</f>
        <v/>
      </c>
      <c r="E297" s="39">
        <f>IF(AND(ISNUMBER(E293),ISNUMBER(E99)),IFERROR(E293/E99,""),"")</f>
        <v/>
      </c>
      <c r="F297" s="39">
        <f>IF(AND(ISNUMBER(F293),ISNUMBER(F99)),IFERROR(F293/F99,""),"")</f>
        <v/>
      </c>
      <c r="G297" s="39">
        <f>IF(AND(ISNUMBER(G293),ISNUMBER(G99)),IFERROR(G293/G99,""),"")</f>
        <v/>
      </c>
      <c r="H297" s="39">
        <f>IF(AND(ISNUMBER(H293),ISNUMBER(H99)),IFERROR(H293/H99,""),"")</f>
        <v/>
      </c>
      <c r="I297" s="39">
        <f>IF(AND(ISNUMBER(I293),ISNUMBER(I99)),IFERROR(I293/I99,""),"")</f>
        <v/>
      </c>
      <c r="J297" s="39">
        <f>IF(AND(ISNUMBER(J293),ISNUMBER(J99)),IFERROR(J293/J99,""),"")</f>
        <v/>
      </c>
      <c r="K297" s="39">
        <f>IF(AND(ISNUMBER(K293),ISNUMBER(K99)),IFERROR(K293/K99,""),"")</f>
        <v/>
      </c>
      <c r="L297" s="39">
        <f>IF(AND(ISNUMBER(L293),ISNUMBER(L99)),IFERROR(L293/L99,""),"")</f>
        <v/>
      </c>
      <c r="M297" s="39">
        <f>IF(AND(ISNUMBER(M293),ISNUMBER(M99)),IFERROR(M293/M99,""),"")</f>
        <v/>
      </c>
      <c r="N297" s="39">
        <f>IF(AND(ISNUMBER(N293),ISNUMBER(N99)),IFERROR(N293/N99,""),"")</f>
        <v/>
      </c>
      <c r="O297" s="39">
        <f>IF(AND(ISNUMBER(O293),ISNUMBER(O99)),IFERROR(O293/O99,""),"")</f>
        <v/>
      </c>
      <c r="P297" s="39">
        <f>IF(AND(ISNUMBER(P293),ISNUMBER(P99)),IFERROR(P293/P99,""),"")</f>
        <v/>
      </c>
      <c r="Q297" s="39">
        <f>IF(AND(ISNUMBER(Q293),ISNUMBER(Q99)),IFERROR(Q293/Q99,""),"")</f>
        <v/>
      </c>
      <c r="R297" s="39">
        <f>IF(AND(ISNUMBER(R293),ISNUMBER(R99)),IFERROR(R293/R99,""),"")</f>
        <v/>
      </c>
      <c r="S297" s="39">
        <f>IF(AND(ISNUMBER(S293),ISNUMBER(S99)),IFERROR(S293/S99,""),"")</f>
        <v/>
      </c>
      <c r="T297" s="39">
        <f>IF(AND(ISNUMBER(T293),ISNUMBER(T99)),IFERROR(T293/T99,""),"")</f>
        <v/>
      </c>
      <c r="U297" s="39">
        <f>IF(AND(ISNUMBER(U293),ISNUMBER(U99)),IFERROR(U293/U99,""),"")</f>
        <v/>
      </c>
      <c r="V297" s="39">
        <f>IF(AND(ISNUMBER(V293),ISNUMBER(V99)),IFERROR(V293/V99,""),"")</f>
        <v/>
      </c>
      <c r="W297" s="39">
        <f>IF(AND(ISNUMBER(W293),ISNUMBER(W99)),IFERROR(W293/W99,""),"")</f>
        <v/>
      </c>
      <c r="X297" s="39">
        <f>IF(AND(ISNUMBER(X293),ISNUMBER(X99)),IFERROR(X293/X99,""),"")</f>
        <v/>
      </c>
      <c r="Y297" s="39">
        <f>IF(AND(ISNUMBER(Y293),ISNUMBER(Y99)),IFERROR(Y293/Y99,""),"")</f>
        <v/>
      </c>
      <c r="Z297" s="39">
        <f>IF(AND(ISNUMBER(Z293),ISNUMBER(Z99)),IFERROR(Z293/Z99,""),"")</f>
        <v/>
      </c>
      <c r="AA297" s="39">
        <f>IF(AND(ISNUMBER(AA293),ISNUMBER(AA99)),IFERROR(AA293/AA99,""),"")</f>
        <v/>
      </c>
      <c r="AB297" s="39">
        <f>IF(AND(ISNUMBER(AB293),ISNUMBER(AB99)),IFERROR(AB293/AB99,""),"")</f>
        <v/>
      </c>
      <c r="AC297" s="39">
        <f>IF(AND(ISNUMBER(AC293),ISNUMBER(AC99)),IFERROR(AC293/AC99,""),"")</f>
        <v/>
      </c>
      <c r="AD297" s="39">
        <f>IF(AND(ISNUMBER(AD293),ISNUMBER(AD99)),IFERROR(AD293/AD99,""),"")</f>
        <v/>
      </c>
      <c r="AE297" s="39">
        <f>IF(AND(ISNUMBER(AE293),ISNUMBER(AE99)),IFERROR(AE293/AE99,""),"")</f>
        <v/>
      </c>
      <c r="AF297" s="39">
        <f>IF(AND(ISNUMBER(AF293),ISNUMBER(AF99)),IFERROR(AF293/AF99,""),"")</f>
        <v/>
      </c>
      <c r="AG297" s="39">
        <f>IF(AND(ISNUMBER(AG293),ISNUMBER(AG99)),IFERROR(AG293/AG99,""),"")</f>
        <v/>
      </c>
      <c r="AH297" s="39">
        <f>IF(AND(ISNUMBER(AH293),ISNUMBER(AH99)),IFERROR(AH293/AH99,""),"")</f>
        <v/>
      </c>
      <c r="AI297" s="39">
        <f>IF(AND(ISNUMBER(AI293),ISNUMBER(AI99)),IFERROR(AI293/AI99,""),"")</f>
        <v/>
      </c>
      <c r="AJ297" s="39">
        <f>IF(AND(ISNUMBER(AJ293),ISNUMBER(AJ99)),IFERROR(AJ293/AJ99,""),"")</f>
        <v/>
      </c>
      <c r="AK297" s="39">
        <f>IF(AND(ISNUMBER(AK293),ISNUMBER(AK99)),IFERROR(AK293/AK99,""),"")</f>
        <v/>
      </c>
      <c r="AL297" s="39">
        <f>IF(AND(ISNUMBER(AL293),ISNUMBER(AL99)),IFERROR(AL293/AL99,""),"")</f>
        <v/>
      </c>
      <c r="AM297" s="39">
        <f>IF(AND(ISNUMBER(AM293),ISNUMBER(AM99)),IFERROR(AM293/AM99,""),"")</f>
        <v/>
      </c>
      <c r="AN297" s="39">
        <f>IF(AND(ISNUMBER(AN293),ISNUMBER(AN99)),IFERROR(AN293/AN99,""),"")</f>
        <v/>
      </c>
      <c r="AO297" s="39">
        <f>IF(AND(ISNUMBER(AO293),ISNUMBER(AO99)),IFERROR(AO293/AO99,""),"")</f>
        <v/>
      </c>
      <c r="AP297" s="39">
        <f>IF(AND(ISNUMBER(AP293),ISNUMBER(AP99)),IFERROR(AP293/AP99,""),"")</f>
        <v/>
      </c>
      <c r="AQ297" s="39">
        <f>IF(AND(ISNUMBER(AQ293),ISNUMBER(AQ99)),IFERROR(AQ293/AQ99,""),"")</f>
        <v/>
      </c>
      <c r="AR297" s="39">
        <f>IF(AND(ISNUMBER(AR293),ISNUMBER(AR99)),IFERROR(AR293/AR99,""),"")</f>
        <v/>
      </c>
      <c r="AS297" s="39">
        <f>IF(AND(ISNUMBER(AS293),ISNUMBER(AS99)),IFERROR(AS293/AS99,""),"")</f>
        <v/>
      </c>
      <c r="AT297" s="39">
        <f>IF(AND(ISNUMBER(AT293),ISNUMBER(AT99)),IFERROR(AT293/AT99,""),"")</f>
        <v/>
      </c>
      <c r="AU297" s="25" t="n"/>
      <c r="AV297" s="25" t="n"/>
      <c r="AW297" s="25">
        <f>IFERROR(AW293/AW99,"")</f>
        <v/>
      </c>
      <c r="AX297" s="25">
        <f>IFERROR(AX293/AX99,"")</f>
        <v/>
      </c>
      <c r="AY297" s="25">
        <f>IFERROR(AY293/AY99,"")</f>
        <v/>
      </c>
      <c r="AZ297" s="25">
        <f>IFERROR(AZ293/AZ99,"")</f>
        <v/>
      </c>
      <c r="BA297" s="25">
        <f>IFERROR(BA293/BA99,"")</f>
        <v/>
      </c>
      <c r="BB297" s="26" t="n"/>
    </row>
    <row r="298">
      <c r="B298" s="27" t="inlineStr">
        <is>
          <t xml:space="preserve">  FCF % of revenue</t>
        </is>
      </c>
      <c r="C298" s="39">
        <f>IF(AND(ISNUMBER(C293),ISNUMBER(C148)),IFERROR(C293/C148,""),"")</f>
        <v/>
      </c>
      <c r="D298" s="39">
        <f>IF(AND(ISNUMBER(D293),ISNUMBER(D148)),IFERROR(D293/D148,""),"")</f>
        <v/>
      </c>
      <c r="E298" s="39">
        <f>IF(AND(ISNUMBER(E293),ISNUMBER(E148)),IFERROR(E293/E148,""),"")</f>
        <v/>
      </c>
      <c r="F298" s="39">
        <f>IF(AND(ISNUMBER(F293),ISNUMBER(F148)),IFERROR(F293/F148,""),"")</f>
        <v/>
      </c>
      <c r="G298" s="39">
        <f>IF(AND(ISNUMBER(G293),ISNUMBER(G148)),IFERROR(G293/G148,""),"")</f>
        <v/>
      </c>
      <c r="H298" s="39">
        <f>IF(AND(ISNUMBER(H293),ISNUMBER(H148)),IFERROR(H293/H148,""),"")</f>
        <v/>
      </c>
      <c r="I298" s="39">
        <f>IF(AND(ISNUMBER(I293),ISNUMBER(I148)),IFERROR(I293/I148,""),"")</f>
        <v/>
      </c>
      <c r="J298" s="39">
        <f>IF(AND(ISNUMBER(J293),ISNUMBER(J148)),IFERROR(J293/J148,""),"")</f>
        <v/>
      </c>
      <c r="K298" s="39">
        <f>IF(AND(ISNUMBER(K293),ISNUMBER(K148)),IFERROR(K293/K148,""),"")</f>
        <v/>
      </c>
      <c r="L298" s="39">
        <f>IF(AND(ISNUMBER(L293),ISNUMBER(L148)),IFERROR(L293/L148,""),"")</f>
        <v/>
      </c>
      <c r="M298" s="39">
        <f>IF(AND(ISNUMBER(M293),ISNUMBER(M148)),IFERROR(M293/M148,""),"")</f>
        <v/>
      </c>
      <c r="N298" s="39">
        <f>IF(AND(ISNUMBER(N293),ISNUMBER(N148)),IFERROR(N293/N148,""),"")</f>
        <v/>
      </c>
      <c r="O298" s="39">
        <f>IF(AND(ISNUMBER(O293),ISNUMBER(O148)),IFERROR(O293/O148,""),"")</f>
        <v/>
      </c>
      <c r="P298" s="39">
        <f>IF(AND(ISNUMBER(P293),ISNUMBER(P148)),IFERROR(P293/P148,""),"")</f>
        <v/>
      </c>
      <c r="Q298" s="39">
        <f>IF(AND(ISNUMBER(Q293),ISNUMBER(Q148)),IFERROR(Q293/Q148,""),"")</f>
        <v/>
      </c>
      <c r="R298" s="39">
        <f>IF(AND(ISNUMBER(R293),ISNUMBER(R148)),IFERROR(R293/R148,""),"")</f>
        <v/>
      </c>
      <c r="S298" s="39">
        <f>IF(AND(ISNUMBER(S293),ISNUMBER(S148)),IFERROR(S293/S148,""),"")</f>
        <v/>
      </c>
      <c r="T298" s="39">
        <f>IF(AND(ISNUMBER(T293),ISNUMBER(T148)),IFERROR(T293/T148,""),"")</f>
        <v/>
      </c>
      <c r="U298" s="39">
        <f>IF(AND(ISNUMBER(U293),ISNUMBER(U148)),IFERROR(U293/U148,""),"")</f>
        <v/>
      </c>
      <c r="V298" s="39">
        <f>IF(AND(ISNUMBER(V293),ISNUMBER(V148)),IFERROR(V293/V148,""),"")</f>
        <v/>
      </c>
      <c r="W298" s="39">
        <f>IF(AND(ISNUMBER(W293),ISNUMBER(W148)),IFERROR(W293/W148,""),"")</f>
        <v/>
      </c>
      <c r="X298" s="39">
        <f>IF(AND(ISNUMBER(X293),ISNUMBER(X148)),IFERROR(X293/X148,""),"")</f>
        <v/>
      </c>
      <c r="Y298" s="39">
        <f>IF(AND(ISNUMBER(Y293),ISNUMBER(Y148)),IFERROR(Y293/Y148,""),"")</f>
        <v/>
      </c>
      <c r="Z298" s="39">
        <f>IF(AND(ISNUMBER(Z293),ISNUMBER(Z148)),IFERROR(Z293/Z148,""),"")</f>
        <v/>
      </c>
      <c r="AA298" s="39">
        <f>IF(AND(ISNUMBER(AA293),ISNUMBER(AA148)),IFERROR(AA293/AA148,""),"")</f>
        <v/>
      </c>
      <c r="AB298" s="39">
        <f>IF(AND(ISNUMBER(AB293),ISNUMBER(AB148)),IFERROR(AB293/AB148,""),"")</f>
        <v/>
      </c>
      <c r="AC298" s="39">
        <f>IF(AND(ISNUMBER(AC293),ISNUMBER(AC148)),IFERROR(AC293/AC148,""),"")</f>
        <v/>
      </c>
      <c r="AD298" s="39">
        <f>IF(AND(ISNUMBER(AD293),ISNUMBER(AD148)),IFERROR(AD293/AD148,""),"")</f>
        <v/>
      </c>
      <c r="AE298" s="39">
        <f>IF(AND(ISNUMBER(AE293),ISNUMBER(AE148)),IFERROR(AE293/AE148,""),"")</f>
        <v/>
      </c>
      <c r="AF298" s="39">
        <f>IF(AND(ISNUMBER(AF293),ISNUMBER(AF148)),IFERROR(AF293/AF148,""),"")</f>
        <v/>
      </c>
      <c r="AG298" s="39">
        <f>IF(AND(ISNUMBER(AG293),ISNUMBER(AG148)),IFERROR(AG293/AG148,""),"")</f>
        <v/>
      </c>
      <c r="AH298" s="39">
        <f>IF(AND(ISNUMBER(AH293),ISNUMBER(AH148)),IFERROR(AH293/AH148,""),"")</f>
        <v/>
      </c>
      <c r="AI298" s="39">
        <f>IF(AND(ISNUMBER(AI293),ISNUMBER(AI148)),IFERROR(AI293/AI148,""),"")</f>
        <v/>
      </c>
      <c r="AJ298" s="39">
        <f>IF(AND(ISNUMBER(AJ293),ISNUMBER(AJ148)),IFERROR(AJ293/AJ148,""),"")</f>
        <v/>
      </c>
      <c r="AK298" s="39">
        <f>IF(AND(ISNUMBER(AK293),ISNUMBER(AK148)),IFERROR(AK293/AK148,""),"")</f>
        <v/>
      </c>
      <c r="AL298" s="39">
        <f>IF(AND(ISNUMBER(AL293),ISNUMBER(AL148)),IFERROR(AL293/AL148,""),"")</f>
        <v/>
      </c>
      <c r="AM298" s="39">
        <f>IF(AND(ISNUMBER(AM293),ISNUMBER(AM148)),IFERROR(AM293/AM148,""),"")</f>
        <v/>
      </c>
      <c r="AN298" s="39">
        <f>IF(AND(ISNUMBER(AN293),ISNUMBER(AN148)),IFERROR(AN293/AN148,""),"")</f>
        <v/>
      </c>
      <c r="AO298" s="39">
        <f>IF(AND(ISNUMBER(AO293),ISNUMBER(AO148)),IFERROR(AO293/AO148,""),"")</f>
        <v/>
      </c>
      <c r="AP298" s="39">
        <f>IF(AND(ISNUMBER(AP293),ISNUMBER(AP148)),IFERROR(AP293/AP148,""),"")</f>
        <v/>
      </c>
      <c r="AQ298" s="39">
        <f>IF(AND(ISNUMBER(AQ293),ISNUMBER(AQ148)),IFERROR(AQ293/AQ148,""),"")</f>
        <v/>
      </c>
      <c r="AR298" s="39">
        <f>IF(AND(ISNUMBER(AR293),ISNUMBER(AR148)),IFERROR(AR293/AR148,""),"")</f>
        <v/>
      </c>
      <c r="AS298" s="39">
        <f>IF(AND(ISNUMBER(AS293),ISNUMBER(AS148)),IFERROR(AS293/AS148,""),"")</f>
        <v/>
      </c>
      <c r="AT298" s="39">
        <f>IF(AND(ISNUMBER(AT293),ISNUMBER(AT148)),IFERROR(AT293/AT148,""),"")</f>
        <v/>
      </c>
      <c r="AU298" s="25" t="n"/>
      <c r="AV298" s="25" t="n"/>
      <c r="AW298" s="25">
        <f>IFERROR(AW293/AW148,"")</f>
        <v/>
      </c>
      <c r="AX298" s="25">
        <f>IFERROR(AX293/AX148,"")</f>
        <v/>
      </c>
      <c r="AY298" s="25">
        <f>IFERROR(AY293/AY148,"")</f>
        <v/>
      </c>
      <c r="AZ298" s="25">
        <f>IFERROR(AZ293/AZ148,"")</f>
        <v/>
      </c>
      <c r="BA298" s="25">
        <f>IFERROR(BA293/BA148,"")</f>
        <v/>
      </c>
      <c r="BB298" s="26" t="n"/>
    </row>
    <row r="299">
      <c r="B299" s="27" t="inlineStr">
        <is>
          <t xml:space="preserve">  FCF / Non-GAAP net income conversion %</t>
        </is>
      </c>
      <c r="C299" s="39">
        <f>IF(AND(ISNUMBER(C293),ISNUMBER(C231)),IFERROR(C293/C231,""),"")</f>
        <v/>
      </c>
      <c r="D299" s="39">
        <f>IF(AND(ISNUMBER(D293),ISNUMBER(D231)),IFERROR(D293/D231,""),"")</f>
        <v/>
      </c>
      <c r="E299" s="39">
        <f>IF(AND(ISNUMBER(E293),ISNUMBER(E231)),IFERROR(E293/E231,""),"")</f>
        <v/>
      </c>
      <c r="F299" s="39">
        <f>IF(AND(ISNUMBER(F293),ISNUMBER(F231)),IFERROR(F293/F231,""),"")</f>
        <v/>
      </c>
      <c r="G299" s="39">
        <f>IF(AND(ISNUMBER(G293),ISNUMBER(G231)),IFERROR(G293/G231,""),"")</f>
        <v/>
      </c>
      <c r="H299" s="39">
        <f>IF(AND(ISNUMBER(H293),ISNUMBER(H231)),IFERROR(H293/H231,""),"")</f>
        <v/>
      </c>
      <c r="I299" s="39">
        <f>IF(AND(ISNUMBER(I293),ISNUMBER(I231)),IFERROR(I293/I231,""),"")</f>
        <v/>
      </c>
      <c r="J299" s="39">
        <f>IF(AND(ISNUMBER(J293),ISNUMBER(J231)),IFERROR(J293/J231,""),"")</f>
        <v/>
      </c>
      <c r="K299" s="39">
        <f>IF(AND(ISNUMBER(K293),ISNUMBER(K231)),IFERROR(K293/K231,""),"")</f>
        <v/>
      </c>
      <c r="L299" s="39">
        <f>IF(AND(ISNUMBER(L293),ISNUMBER(L231)),IFERROR(L293/L231,""),"")</f>
        <v/>
      </c>
      <c r="M299" s="39">
        <f>IF(AND(ISNUMBER(M293),ISNUMBER(M231)),IFERROR(M293/M231,""),"")</f>
        <v/>
      </c>
      <c r="N299" s="39">
        <f>IF(AND(ISNUMBER(N293),ISNUMBER(N231)),IFERROR(N293/N231,""),"")</f>
        <v/>
      </c>
      <c r="O299" s="39">
        <f>IF(AND(ISNUMBER(O293),ISNUMBER(O231)),IFERROR(O293/O231,""),"")</f>
        <v/>
      </c>
      <c r="P299" s="39">
        <f>IF(AND(ISNUMBER(P293),ISNUMBER(P231)),IFERROR(P293/P231,""),"")</f>
        <v/>
      </c>
      <c r="Q299" s="39">
        <f>IF(AND(ISNUMBER(Q293),ISNUMBER(Q231)),IFERROR(Q293/Q231,""),"")</f>
        <v/>
      </c>
      <c r="R299" s="39">
        <f>IF(AND(ISNUMBER(R293),ISNUMBER(R231)),IFERROR(R293/R231,""),"")</f>
        <v/>
      </c>
      <c r="S299" s="39">
        <f>IF(AND(ISNUMBER(S293),ISNUMBER(S231)),IFERROR(S293/S231,""),"")</f>
        <v/>
      </c>
      <c r="T299" s="39">
        <f>IF(AND(ISNUMBER(T293),ISNUMBER(T231)),IFERROR(T293/T231,""),"")</f>
        <v/>
      </c>
      <c r="U299" s="39">
        <f>IF(AND(ISNUMBER(U293),ISNUMBER(U231)),IFERROR(U293/U231,""),"")</f>
        <v/>
      </c>
      <c r="V299" s="39">
        <f>IF(AND(ISNUMBER(V293),ISNUMBER(V231)),IFERROR(V293/V231,""),"")</f>
        <v/>
      </c>
      <c r="W299" s="39">
        <f>IF(AND(ISNUMBER(W293),ISNUMBER(W231)),IFERROR(W293/W231,""),"")</f>
        <v/>
      </c>
      <c r="X299" s="39">
        <f>IF(AND(ISNUMBER(X293),ISNUMBER(X231)),IFERROR(X293/X231,""),"")</f>
        <v/>
      </c>
      <c r="Y299" s="39">
        <f>IF(AND(ISNUMBER(Y293),ISNUMBER(Y231)),IFERROR(Y293/Y231,""),"")</f>
        <v/>
      </c>
      <c r="Z299" s="39">
        <f>IF(AND(ISNUMBER(Z293),ISNUMBER(Z231)),IFERROR(Z293/Z231,""),"")</f>
        <v/>
      </c>
      <c r="AA299" s="39">
        <f>IF(AND(ISNUMBER(AA293),ISNUMBER(AA231)),IFERROR(AA293/AA231,""),"")</f>
        <v/>
      </c>
      <c r="AB299" s="39">
        <f>IF(AND(ISNUMBER(AB293),ISNUMBER(AB231)),IFERROR(AB293/AB231,""),"")</f>
        <v/>
      </c>
      <c r="AC299" s="39">
        <f>IF(AND(ISNUMBER(AC293),ISNUMBER(AC231)),IFERROR(AC293/AC231,""),"")</f>
        <v/>
      </c>
      <c r="AD299" s="39">
        <f>IF(AND(ISNUMBER(AD293),ISNUMBER(AD231)),IFERROR(AD293/AD231,""),"")</f>
        <v/>
      </c>
      <c r="AE299" s="39">
        <f>IF(AND(ISNUMBER(AE293),ISNUMBER(AE231)),IFERROR(AE293/AE231,""),"")</f>
        <v/>
      </c>
      <c r="AF299" s="39">
        <f>IF(AND(ISNUMBER(AF293),ISNUMBER(AF231)),IFERROR(AF293/AF231,""),"")</f>
        <v/>
      </c>
      <c r="AG299" s="39">
        <f>IF(AND(ISNUMBER(AG293),ISNUMBER(AG231)),IFERROR(AG293/AG231,""),"")</f>
        <v/>
      </c>
      <c r="AH299" s="39">
        <f>IF(AND(ISNUMBER(AH293),ISNUMBER(AH231)),IFERROR(AH293/AH231,""),"")</f>
        <v/>
      </c>
      <c r="AI299" s="39">
        <f>IF(AND(ISNUMBER(AI293),ISNUMBER(AI231)),IFERROR(AI293/AI231,""),"")</f>
        <v/>
      </c>
      <c r="AJ299" s="39">
        <f>IF(AND(ISNUMBER(AJ293),ISNUMBER(AJ231)),IFERROR(AJ293/AJ231,""),"")</f>
        <v/>
      </c>
      <c r="AK299" s="39">
        <f>IF(AND(ISNUMBER(AK293),ISNUMBER(AK231)),IFERROR(AK293/AK231,""),"")</f>
        <v/>
      </c>
      <c r="AL299" s="39">
        <f>IF(AND(ISNUMBER(AL293),ISNUMBER(AL231)),IFERROR(AL293/AL231,""),"")</f>
        <v/>
      </c>
      <c r="AM299" s="39">
        <f>IF(AND(ISNUMBER(AM293),ISNUMBER(AM231)),IFERROR(AM293/AM231,""),"")</f>
        <v/>
      </c>
      <c r="AN299" s="39">
        <f>IF(AND(ISNUMBER(AN293),ISNUMBER(AN231)),IFERROR(AN293/AN231,""),"")</f>
        <v/>
      </c>
      <c r="AO299" s="39">
        <f>IF(AND(ISNUMBER(AO293),ISNUMBER(AO231)),IFERROR(AO293/AO231,""),"")</f>
        <v/>
      </c>
      <c r="AP299" s="39">
        <f>IF(AND(ISNUMBER(AP293),ISNUMBER(AP231)),IFERROR(AP293/AP231,""),"")</f>
        <v/>
      </c>
      <c r="AQ299" s="39">
        <f>IF(AND(ISNUMBER(AQ293),ISNUMBER(AQ231)),IFERROR(AQ293/AQ231,""),"")</f>
        <v/>
      </c>
      <c r="AR299" s="39">
        <f>IF(AND(ISNUMBER(AR293),ISNUMBER(AR231)),IFERROR(AR293/AR231,""),"")</f>
        <v/>
      </c>
      <c r="AS299" s="39">
        <f>IF(AND(ISNUMBER(AS293),ISNUMBER(AS231)),IFERROR(AS293/AS231,""),"")</f>
        <v/>
      </c>
      <c r="AT299" s="39">
        <f>IF(AND(ISNUMBER(AT293),ISNUMBER(AT231)),IFERROR(AT293/AT231,""),"")</f>
        <v/>
      </c>
      <c r="AU299" s="25" t="n"/>
      <c r="AV299" s="25" t="n"/>
      <c r="AW299" s="25">
        <f>IFERROR(AW293/AW231,"")</f>
        <v/>
      </c>
      <c r="AX299" s="25">
        <f>IFERROR(AX293/AX231,"")</f>
        <v/>
      </c>
      <c r="AY299" s="25">
        <f>IFERROR(AY293/AY231,"")</f>
        <v/>
      </c>
      <c r="AZ299" s="25">
        <f>IFERROR(AZ293/AZ231,"")</f>
        <v/>
      </c>
      <c r="BA299" s="25">
        <f>IFERROR(BA293/BA231,"")</f>
        <v/>
      </c>
      <c r="BB299" s="26" t="n"/>
    </row>
    <row r="300">
      <c r="B300" s="27" t="inlineStr">
        <is>
          <t xml:space="preserve">  FCF per diluted share ($)</t>
        </is>
      </c>
      <c r="C300" s="30">
        <f>IF(AND(ISNUMBER(C293),ISNUMBER(C175)),IFERROR(C293/C175,""),"")</f>
        <v/>
      </c>
      <c r="D300" s="30">
        <f>IF(AND(ISNUMBER(D293),ISNUMBER(D175)),IFERROR(D293/D175,""),"")</f>
        <v/>
      </c>
      <c r="E300" s="30">
        <f>IF(AND(ISNUMBER(E293),ISNUMBER(E175)),IFERROR(E293/E175,""),"")</f>
        <v/>
      </c>
      <c r="F300" s="30">
        <f>IF(AND(ISNUMBER(F293),ISNUMBER(F175)),IFERROR(F293/F175,""),"")</f>
        <v/>
      </c>
      <c r="G300" s="30">
        <f>IF(AND(ISNUMBER(G293),ISNUMBER(G175)),IFERROR(G293/G175,""),"")</f>
        <v/>
      </c>
      <c r="H300" s="30">
        <f>IF(AND(ISNUMBER(H293),ISNUMBER(H175)),IFERROR(H293/H175,""),"")</f>
        <v/>
      </c>
      <c r="I300" s="30">
        <f>IF(AND(ISNUMBER(I293),ISNUMBER(I175)),IFERROR(I293/I175,""),"")</f>
        <v/>
      </c>
      <c r="J300" s="30">
        <f>IF(AND(ISNUMBER(J293),ISNUMBER(J175)),IFERROR(J293/J175,""),"")</f>
        <v/>
      </c>
      <c r="K300" s="30">
        <f>IF(AND(ISNUMBER(K293),ISNUMBER(K175)),IFERROR(K293/K175,""),"")</f>
        <v/>
      </c>
      <c r="L300" s="30">
        <f>IF(AND(ISNUMBER(L293),ISNUMBER(L175)),IFERROR(L293/L175,""),"")</f>
        <v/>
      </c>
      <c r="M300" s="30">
        <f>IF(AND(ISNUMBER(M293),ISNUMBER(M175)),IFERROR(M293/M175,""),"")</f>
        <v/>
      </c>
      <c r="N300" s="30">
        <f>IF(AND(ISNUMBER(N293),ISNUMBER(N175)),IFERROR(N293/N175,""),"")</f>
        <v/>
      </c>
      <c r="O300" s="30">
        <f>IF(AND(ISNUMBER(O293),ISNUMBER(O175)),IFERROR(O293/O175,""),"")</f>
        <v/>
      </c>
      <c r="P300" s="30">
        <f>IF(AND(ISNUMBER(P293),ISNUMBER(P175)),IFERROR(P293/P175,""),"")</f>
        <v/>
      </c>
      <c r="Q300" s="30">
        <f>IF(AND(ISNUMBER(Q293),ISNUMBER(Q175)),IFERROR(Q293/Q175,""),"")</f>
        <v/>
      </c>
      <c r="R300" s="30">
        <f>IF(AND(ISNUMBER(R293),ISNUMBER(R175)),IFERROR(R293/R175,""),"")</f>
        <v/>
      </c>
      <c r="S300" s="30">
        <f>IF(AND(ISNUMBER(S293),ISNUMBER(S175)),IFERROR(S293/S175,""),"")</f>
        <v/>
      </c>
      <c r="T300" s="30">
        <f>IF(AND(ISNUMBER(T293),ISNUMBER(T175)),IFERROR(T293/T175,""),"")</f>
        <v/>
      </c>
      <c r="U300" s="30">
        <f>IF(AND(ISNUMBER(U293),ISNUMBER(U175)),IFERROR(U293/U175,""),"")</f>
        <v/>
      </c>
      <c r="V300" s="30">
        <f>IF(AND(ISNUMBER(V293),ISNUMBER(V175)),IFERROR(V293/V175,""),"")</f>
        <v/>
      </c>
      <c r="W300" s="30">
        <f>IF(AND(ISNUMBER(W293),ISNUMBER(W175)),IFERROR(W293/W175,""),"")</f>
        <v/>
      </c>
      <c r="X300" s="30">
        <f>IF(AND(ISNUMBER(X293),ISNUMBER(X175)),IFERROR(X293/X175,""),"")</f>
        <v/>
      </c>
      <c r="Y300" s="30">
        <f>IF(AND(ISNUMBER(Y293),ISNUMBER(Y175)),IFERROR(Y293/Y175,""),"")</f>
        <v/>
      </c>
      <c r="Z300" s="30">
        <f>IF(AND(ISNUMBER(Z293),ISNUMBER(Z175)),IFERROR(Z293/Z175,""),"")</f>
        <v/>
      </c>
      <c r="AA300" s="30">
        <f>IF(AND(ISNUMBER(AA293),ISNUMBER(AA175)),IFERROR(AA293/AA175,""),"")</f>
        <v/>
      </c>
      <c r="AB300" s="30">
        <f>IF(AND(ISNUMBER(AB293),ISNUMBER(AB175)),IFERROR(AB293/AB175,""),"")</f>
        <v/>
      </c>
      <c r="AC300" s="30">
        <f>IF(AND(ISNUMBER(AC293),ISNUMBER(AC175)),IFERROR(AC293/AC175,""),"")</f>
        <v/>
      </c>
      <c r="AD300" s="30">
        <f>IF(AND(ISNUMBER(AD293),ISNUMBER(AD175)),IFERROR(AD293/AD175,""),"")</f>
        <v/>
      </c>
      <c r="AE300" s="30">
        <f>IF(AND(ISNUMBER(AE293),ISNUMBER(AE175)),IFERROR(AE293/AE175,""),"")</f>
        <v/>
      </c>
      <c r="AF300" s="30">
        <f>IF(AND(ISNUMBER(AF293),ISNUMBER(AF175)),IFERROR(AF293/AF175,""),"")</f>
        <v/>
      </c>
      <c r="AG300" s="30">
        <f>IF(AND(ISNUMBER(AG293),ISNUMBER(AG175)),IFERROR(AG293/AG175,""),"")</f>
        <v/>
      </c>
      <c r="AH300" s="30">
        <f>IF(AND(ISNUMBER(AH293),ISNUMBER(AH175)),IFERROR(AH293/AH175,""),"")</f>
        <v/>
      </c>
      <c r="AI300" s="30">
        <f>IF(AND(ISNUMBER(AI293),ISNUMBER(AI175)),IFERROR(AI293/AI175,""),"")</f>
        <v/>
      </c>
      <c r="AJ300" s="30">
        <f>IF(AND(ISNUMBER(AJ293),ISNUMBER(AJ175)),IFERROR(AJ293/AJ175,""),"")</f>
        <v/>
      </c>
      <c r="AK300" s="30">
        <f>IF(AND(ISNUMBER(AK293),ISNUMBER(AK175)),IFERROR(AK293/AK175,""),"")</f>
        <v/>
      </c>
      <c r="AL300" s="30">
        <f>IF(AND(ISNUMBER(AL293),ISNUMBER(AL175)),IFERROR(AL293/AL175,""),"")</f>
        <v/>
      </c>
      <c r="AM300" s="30">
        <f>IF(AND(ISNUMBER(AM293),ISNUMBER(AM175)),IFERROR(AM293/AM175,""),"")</f>
        <v/>
      </c>
      <c r="AN300" s="30">
        <f>IF(AND(ISNUMBER(AN293),ISNUMBER(AN175)),IFERROR(AN293/AN175,""),"")</f>
        <v/>
      </c>
      <c r="AO300" s="30">
        <f>IF(AND(ISNUMBER(AO293),ISNUMBER(AO175)),IFERROR(AO293/AO175,""),"")</f>
        <v/>
      </c>
      <c r="AP300" s="30">
        <f>IF(AND(ISNUMBER(AP293),ISNUMBER(AP175)),IFERROR(AP293/AP175,""),"")</f>
        <v/>
      </c>
      <c r="AQ300" s="30">
        <f>IF(AND(ISNUMBER(AQ293),ISNUMBER(AQ175)),IFERROR(AQ293/AQ175,""),"")</f>
        <v/>
      </c>
      <c r="AR300" s="30">
        <f>IF(AND(ISNUMBER(AR293),ISNUMBER(AR175)),IFERROR(AR293/AR175,""),"")</f>
        <v/>
      </c>
      <c r="AS300" s="30">
        <f>IF(AND(ISNUMBER(AS293),ISNUMBER(AS175)),IFERROR(AS293/AS175,""),"")</f>
        <v/>
      </c>
      <c r="AT300" s="30">
        <f>IF(AND(ISNUMBER(AT293),ISNUMBER(AT175)),IFERROR(AT293/AT175,""),"")</f>
        <v/>
      </c>
      <c r="AU300" s="31" t="n"/>
      <c r="AV300" s="31" t="n"/>
      <c r="AW300" s="31">
        <f>IFERROR(AW293/AW175,"")</f>
        <v/>
      </c>
      <c r="AX300" s="31">
        <f>IFERROR(AX293/AX175,"")</f>
        <v/>
      </c>
      <c r="AY300" s="31">
        <f>IFERROR(AY293/AY175,"")</f>
        <v/>
      </c>
      <c r="AZ300" s="31">
        <f>IFERROR(AZ293/AZ175,"")</f>
        <v/>
      </c>
      <c r="BA300" s="31">
        <f>IFERROR(BA293/BA175,"")</f>
        <v/>
      </c>
      <c r="BB300" s="26" t="n"/>
    </row>
    <row r="301">
      <c r="B301" s="27" t="inlineStr">
        <is>
          <t>Capex ratios</t>
        </is>
      </c>
    </row>
    <row r="302">
      <c r="B302" s="27" t="inlineStr">
        <is>
          <t xml:space="preserve">  Capex % of revenue</t>
        </is>
      </c>
      <c r="C302" s="39">
        <f>IFERROR(-N(C273)/C148,"")</f>
        <v/>
      </c>
      <c r="D302" s="39">
        <f>IFERROR(-N(D273)/D148,"")</f>
        <v/>
      </c>
      <c r="E302" s="39">
        <f>IFERROR(-N(E273)/E148,"")</f>
        <v/>
      </c>
      <c r="F302" s="39">
        <f>IFERROR(-N(F273)/F148,"")</f>
        <v/>
      </c>
      <c r="G302" s="39">
        <f>IFERROR(-N(G273)/G148,"")</f>
        <v/>
      </c>
      <c r="H302" s="39">
        <f>IFERROR(-N(H273)/H148,"")</f>
        <v/>
      </c>
      <c r="I302" s="39">
        <f>IFERROR(-N(I273)/I148,"")</f>
        <v/>
      </c>
      <c r="J302" s="39">
        <f>IFERROR(-N(J273)/J148,"")</f>
        <v/>
      </c>
      <c r="K302" s="39">
        <f>IFERROR(-N(K273)/K148,"")</f>
        <v/>
      </c>
      <c r="L302" s="39">
        <f>IFERROR(-N(L273)/L148,"")</f>
        <v/>
      </c>
      <c r="M302" s="39">
        <f>IFERROR(-N(M273)/M148,"")</f>
        <v/>
      </c>
      <c r="N302" s="39">
        <f>IFERROR(-N(N273)/N148,"")</f>
        <v/>
      </c>
      <c r="O302" s="39">
        <f>IFERROR(-N(O273)/O148,"")</f>
        <v/>
      </c>
      <c r="P302" s="39">
        <f>IFERROR(-N(P273)/P148,"")</f>
        <v/>
      </c>
      <c r="Q302" s="39">
        <f>IFERROR(-N(Q273)/Q148,"")</f>
        <v/>
      </c>
      <c r="R302" s="39">
        <f>IFERROR(-N(R273)/R148,"")</f>
        <v/>
      </c>
      <c r="S302" s="39">
        <f>IFERROR(-N(S273)/S148,"")</f>
        <v/>
      </c>
      <c r="T302" s="39">
        <f>IFERROR(-N(T273)/T148,"")</f>
        <v/>
      </c>
      <c r="U302" s="39">
        <f>IFERROR(-N(U273)/U148,"")</f>
        <v/>
      </c>
      <c r="V302" s="39">
        <f>IFERROR(-N(V273)/V148,"")</f>
        <v/>
      </c>
      <c r="W302" s="39">
        <f>IFERROR(-N(W273)/W148,"")</f>
        <v/>
      </c>
      <c r="X302" s="39">
        <f>IFERROR(-N(X273)/X148,"")</f>
        <v/>
      </c>
      <c r="Y302" s="39">
        <f>IFERROR(-N(Y273)/Y148,"")</f>
        <v/>
      </c>
      <c r="Z302" s="39">
        <f>IFERROR(-N(Z273)/Z148,"")</f>
        <v/>
      </c>
      <c r="AA302" s="39">
        <f>IFERROR(-N(AA273)/AA148,"")</f>
        <v/>
      </c>
      <c r="AB302" s="39">
        <f>IFERROR(-N(AB273)/AB148,"")</f>
        <v/>
      </c>
      <c r="AC302" s="39">
        <f>IFERROR(-N(AC273)/AC148,"")</f>
        <v/>
      </c>
      <c r="AD302" s="39">
        <f>IFERROR(-N(AD273)/AD148,"")</f>
        <v/>
      </c>
      <c r="AE302" s="39">
        <f>IFERROR(-N(AE273)/AE148,"")</f>
        <v/>
      </c>
      <c r="AF302" s="39">
        <f>IFERROR(-N(AF273)/AF148,"")</f>
        <v/>
      </c>
      <c r="AG302" s="39">
        <f>IFERROR(-N(AG273)/AG148,"")</f>
        <v/>
      </c>
      <c r="AH302" s="39">
        <f>IFERROR(-N(AH273)/AH148,"")</f>
        <v/>
      </c>
      <c r="AI302" s="39">
        <f>IFERROR(-N(AI273)/AI148,"")</f>
        <v/>
      </c>
      <c r="AJ302" s="39">
        <f>IFERROR(-N(AJ273)/AJ148,"")</f>
        <v/>
      </c>
      <c r="AK302" s="39">
        <f>IFERROR(-N(AK273)/AK148,"")</f>
        <v/>
      </c>
      <c r="AL302" s="39">
        <f>IFERROR(-N(AL273)/AL148,"")</f>
        <v/>
      </c>
      <c r="AM302" s="39">
        <f>IFERROR(-N(AM273)/AM148,"")</f>
        <v/>
      </c>
      <c r="AN302" s="39">
        <f>IFERROR(-N(AN273)/AN148,"")</f>
        <v/>
      </c>
      <c r="AO302" s="39">
        <f>IFERROR(-N(AO273)/AO148,"")</f>
        <v/>
      </c>
      <c r="AP302" s="39">
        <f>IFERROR(-N(AP273)/AP148,"")</f>
        <v/>
      </c>
      <c r="AQ302" s="39">
        <f>IFERROR(-N(AQ273)/AQ148,"")</f>
        <v/>
      </c>
      <c r="AR302" s="39">
        <f>IFERROR(-N(AR273)/AR148,"")</f>
        <v/>
      </c>
      <c r="AS302" s="39">
        <f>IFERROR(-N(AS273)/AS148,"")</f>
        <v/>
      </c>
      <c r="AT302" s="39">
        <f>IFERROR(-N(AT273)/AT148,"")</f>
        <v/>
      </c>
      <c r="AU302" s="25" t="n"/>
      <c r="AV302" s="25" t="n"/>
      <c r="AW302" s="25">
        <f>IFERROR(-AW273/AW148,"")</f>
        <v/>
      </c>
      <c r="AX302" s="32" t="n">
        <v>0.0065</v>
      </c>
      <c r="AY302" s="32" t="n">
        <v>0.0065</v>
      </c>
      <c r="AZ302" s="32" t="n">
        <v>0.0065</v>
      </c>
      <c r="BA302" s="32" t="n">
        <v>0.0065</v>
      </c>
      <c r="BB302" s="19" t="inlineStr">
        <is>
          <t>2027E+ input 0.65% (FY25 0.65%; 1H/26 0.5%); asset-light — AV fleets assumed partner-financed.</t>
        </is>
      </c>
    </row>
    <row r="303">
      <c r="B303" s="27" t="inlineStr">
        <is>
          <t xml:space="preserve">  Capex / D&amp;A (x)</t>
        </is>
      </c>
      <c r="C303" s="155">
        <f>IFERROR(-N(C273)/C155,"")</f>
        <v/>
      </c>
      <c r="D303" s="155">
        <f>IFERROR(-N(D273)/D155,"")</f>
        <v/>
      </c>
      <c r="E303" s="155">
        <f>IFERROR(-N(E273)/E155,"")</f>
        <v/>
      </c>
      <c r="F303" s="155">
        <f>IFERROR(-N(F273)/F155,"")</f>
        <v/>
      </c>
      <c r="G303" s="155">
        <f>IFERROR(-N(G273)/G155,"")</f>
        <v/>
      </c>
      <c r="H303" s="155">
        <f>IFERROR(-N(H273)/H155,"")</f>
        <v/>
      </c>
      <c r="I303" s="155">
        <f>IFERROR(-N(I273)/I155,"")</f>
        <v/>
      </c>
      <c r="J303" s="155">
        <f>IFERROR(-N(J273)/J155,"")</f>
        <v/>
      </c>
      <c r="K303" s="155">
        <f>IFERROR(-N(K273)/K155,"")</f>
        <v/>
      </c>
      <c r="L303" s="155">
        <f>IFERROR(-N(L273)/L155,"")</f>
        <v/>
      </c>
      <c r="M303" s="155">
        <f>IFERROR(-N(M273)/M155,"")</f>
        <v/>
      </c>
      <c r="N303" s="155">
        <f>IFERROR(-N(N273)/N155,"")</f>
        <v/>
      </c>
      <c r="O303" s="155">
        <f>IFERROR(-N(O273)/O155,"")</f>
        <v/>
      </c>
      <c r="P303" s="155">
        <f>IFERROR(-N(P273)/P155,"")</f>
        <v/>
      </c>
      <c r="Q303" s="155">
        <f>IFERROR(-N(Q273)/Q155,"")</f>
        <v/>
      </c>
      <c r="R303" s="155">
        <f>IFERROR(-N(R273)/R155,"")</f>
        <v/>
      </c>
      <c r="S303" s="155">
        <f>IFERROR(-N(S273)/S155,"")</f>
        <v/>
      </c>
      <c r="T303" s="155">
        <f>IFERROR(-N(T273)/T155,"")</f>
        <v/>
      </c>
      <c r="U303" s="155">
        <f>IFERROR(-N(U273)/U155,"")</f>
        <v/>
      </c>
      <c r="V303" s="155">
        <f>IFERROR(-N(V273)/V155,"")</f>
        <v/>
      </c>
      <c r="W303" s="155">
        <f>IFERROR(-N(W273)/W155,"")</f>
        <v/>
      </c>
      <c r="X303" s="155">
        <f>IFERROR(-N(X273)/X155,"")</f>
        <v/>
      </c>
      <c r="Y303" s="155">
        <f>IFERROR(-N(Y273)/Y155,"")</f>
        <v/>
      </c>
      <c r="Z303" s="155">
        <f>IFERROR(-N(Z273)/Z155,"")</f>
        <v/>
      </c>
      <c r="AA303" s="155">
        <f>IFERROR(-N(AA273)/AA155,"")</f>
        <v/>
      </c>
      <c r="AB303" s="155">
        <f>IFERROR(-N(AB273)/AB155,"")</f>
        <v/>
      </c>
      <c r="AC303" s="155">
        <f>IFERROR(-N(AC273)/AC155,"")</f>
        <v/>
      </c>
      <c r="AD303" s="155">
        <f>IFERROR(-N(AD273)/AD155,"")</f>
        <v/>
      </c>
      <c r="AE303" s="155">
        <f>IFERROR(-N(AE273)/AE155,"")</f>
        <v/>
      </c>
      <c r="AF303" s="155">
        <f>IFERROR(-N(AF273)/AF155,"")</f>
        <v/>
      </c>
      <c r="AG303" s="155">
        <f>IFERROR(-N(AG273)/AG155,"")</f>
        <v/>
      </c>
      <c r="AH303" s="155">
        <f>IFERROR(-N(AH273)/AH155,"")</f>
        <v/>
      </c>
      <c r="AI303" s="155">
        <f>IFERROR(-N(AI273)/AI155,"")</f>
        <v/>
      </c>
      <c r="AJ303" s="155">
        <f>IFERROR(-N(AJ273)/AJ155,"")</f>
        <v/>
      </c>
      <c r="AK303" s="155">
        <f>IFERROR(-N(AK273)/AK155,"")</f>
        <v/>
      </c>
      <c r="AL303" s="155">
        <f>IFERROR(-N(AL273)/AL155,"")</f>
        <v/>
      </c>
      <c r="AM303" s="155">
        <f>IFERROR(-N(AM273)/AM155,"")</f>
        <v/>
      </c>
      <c r="AN303" s="155">
        <f>IFERROR(-N(AN273)/AN155,"")</f>
        <v/>
      </c>
      <c r="AO303" s="155">
        <f>IFERROR(-N(AO273)/AO155,"")</f>
        <v/>
      </c>
      <c r="AP303" s="155">
        <f>IFERROR(-N(AP273)/AP155,"")</f>
        <v/>
      </c>
      <c r="AQ303" s="155">
        <f>IFERROR(-N(AQ273)/AQ155,"")</f>
        <v/>
      </c>
      <c r="AR303" s="155">
        <f>IFERROR(-N(AR273)/AR155,"")</f>
        <v/>
      </c>
      <c r="AS303" s="155">
        <f>IFERROR(-N(AS273)/AS155,"")</f>
        <v/>
      </c>
      <c r="AT303" s="155">
        <f>IFERROR(-N(AT273)/AT155,"")</f>
        <v/>
      </c>
      <c r="AU303" s="156" t="n"/>
      <c r="AV303" s="156" t="n"/>
      <c r="AW303" s="156">
        <f>IFERROR(-AW273/AW155,"")</f>
        <v/>
      </c>
      <c r="AX303" s="156">
        <f>IFERROR(-AX273/AX155,"")</f>
        <v/>
      </c>
      <c r="AY303" s="156">
        <f>IFERROR(-AY273/AY155,"")</f>
        <v/>
      </c>
      <c r="AZ303" s="156">
        <f>IFERROR(-AZ273/AZ155,"")</f>
        <v/>
      </c>
      <c r="BA303" s="156">
        <f>IFERROR(-BA273/BA155,"")</f>
        <v/>
      </c>
      <c r="BB303" s="26" t="n"/>
    </row>
    <row r="305">
      <c r="B305" s="10" t="inlineStr">
        <is>
          <t>SHARE BUYBACK SCHEDULE</t>
        </is>
      </c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0" t="n"/>
      <c r="AL305" s="10" t="n"/>
      <c r="AM305" s="10" t="n"/>
      <c r="AN305" s="10" t="n"/>
      <c r="AO305" s="10" t="n"/>
      <c r="AP305" s="10" t="n"/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0" t="inlineStr">
        <is>
          <t>SHARES — 2026E from shares outstanding at 30-Jun-2026; $20bn authorisation (Aug-2025)</t>
        </is>
      </c>
    </row>
    <row r="306">
      <c r="B306" s="27" t="inlineStr">
        <is>
          <t xml:space="preserve">  Avg buyback price ($)</t>
        </is>
      </c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  <c r="AA306" s="30" t="n"/>
      <c r="AB306" s="30" t="n"/>
      <c r="AC306" s="30" t="n"/>
      <c r="AD306" s="30" t="n"/>
      <c r="AE306" s="30" t="n"/>
      <c r="AF306" s="30" t="n"/>
      <c r="AG306" s="30" t="n"/>
      <c r="AH306" s="30" t="n"/>
      <c r="AI306" s="30" t="n"/>
      <c r="AJ306" s="30" t="n"/>
      <c r="AK306" s="30" t="n"/>
      <c r="AL306" s="30" t="n"/>
      <c r="AM306" s="30" t="n"/>
      <c r="AN306" s="30" t="n"/>
      <c r="AO306" s="30" t="n"/>
      <c r="AP306" s="30" t="n"/>
      <c r="AQ306" s="30" t="n"/>
      <c r="AR306" s="30" t="n"/>
      <c r="AS306" s="30" t="n"/>
      <c r="AT306" s="30" t="n"/>
      <c r="AU306" s="31" t="n"/>
      <c r="AV306" s="31" t="n"/>
      <c r="AW306" s="31">
        <f>AW463</f>
        <v/>
      </c>
      <c r="AX306" s="31">
        <f>AW306*(1+AX402)</f>
        <v/>
      </c>
      <c r="AY306" s="31">
        <f>AX306*(1+AY402)</f>
        <v/>
      </c>
      <c r="AZ306" s="31">
        <f>AY306*(1+AZ402)</f>
        <v/>
      </c>
      <c r="BA306" s="31">
        <f>AZ306*(1+BA402)</f>
        <v/>
      </c>
      <c r="BB306" s="19" t="inlineStr">
        <is>
          <t>2026E = current share price (valuation input); appreciates with the share-price input.</t>
        </is>
      </c>
    </row>
    <row r="307">
      <c r="B307" s="27" t="inlineStr">
        <is>
          <t xml:space="preserve">  Buyback cash deployed (USDm)</t>
        </is>
      </c>
      <c r="C307" s="43" t="n"/>
      <c r="D307" s="43" t="n"/>
      <c r="E307" s="43" t="n"/>
      <c r="F307" s="43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  <c r="W307" s="43" t="n"/>
      <c r="X307" s="43" t="n"/>
      <c r="Y307" s="43" t="n"/>
      <c r="Z307" s="43" t="n"/>
      <c r="AA307" s="43" t="n"/>
      <c r="AB307" s="43" t="n"/>
      <c r="AC307" s="43" t="n"/>
      <c r="AD307" s="43" t="n"/>
      <c r="AE307" s="43" t="n"/>
      <c r="AF307" s="43" t="n"/>
      <c r="AG307" s="43" t="n"/>
      <c r="AH307" s="43" t="n"/>
      <c r="AI307" s="43" t="n"/>
      <c r="AJ307" s="43" t="n"/>
      <c r="AK307" s="43" t="n"/>
      <c r="AL307" s="43" t="n"/>
      <c r="AM307" s="43" t="n"/>
      <c r="AN307" s="43" t="n"/>
      <c r="AO307" s="43" t="n"/>
      <c r="AP307" s="43" t="n"/>
      <c r="AQ307" s="43" t="n"/>
      <c r="AR307" s="43" t="n"/>
      <c r="AS307" s="43" t="n"/>
      <c r="AT307" s="43" t="n"/>
      <c r="AU307" s="45" t="n"/>
      <c r="AV307" s="45" t="n"/>
      <c r="AW307" s="45">
        <f>CHOOSE(MATCH($BB$2,{"Bull","Base","Bear"},0),$BK$18,$BL$18,$BM$18)</f>
        <v/>
      </c>
      <c r="AX307" s="45">
        <f>-AX281</f>
        <v/>
      </c>
      <c r="AY307" s="45">
        <f>-AY281</f>
        <v/>
      </c>
      <c r="AZ307" s="45">
        <f>-AZ281</f>
        <v/>
      </c>
      <c r="BA307" s="45">
        <f>-BA281</f>
        <v/>
      </c>
      <c r="BB307" s="19" t="inlineStr">
        <is>
          <t>2026E row = 2H/26 only (1H/26 repurchases already in the Q1/Q2 share counts).</t>
        </is>
      </c>
    </row>
    <row r="308">
      <c r="B308" s="27" t="inlineStr">
        <is>
          <t xml:space="preserve">  Implied shares repurchased (m)</t>
        </is>
      </c>
      <c r="C308" s="160" t="n"/>
      <c r="D308" s="160" t="n"/>
      <c r="E308" s="160" t="n"/>
      <c r="F308" s="160" t="n"/>
      <c r="G308" s="160" t="n"/>
      <c r="H308" s="160" t="n"/>
      <c r="I308" s="160" t="n"/>
      <c r="J308" s="160" t="n"/>
      <c r="K308" s="160" t="n"/>
      <c r="L308" s="160" t="n"/>
      <c r="M308" s="160" t="n"/>
      <c r="N308" s="160" t="n"/>
      <c r="O308" s="160" t="n"/>
      <c r="P308" s="160" t="n"/>
      <c r="Q308" s="160" t="n"/>
      <c r="R308" s="160" t="n"/>
      <c r="S308" s="160" t="n"/>
      <c r="T308" s="160" t="n"/>
      <c r="U308" s="160" t="n"/>
      <c r="V308" s="160" t="n"/>
      <c r="W308" s="160" t="n"/>
      <c r="X308" s="160" t="n"/>
      <c r="Y308" s="160" t="n"/>
      <c r="Z308" s="160" t="n"/>
      <c r="AA308" s="160" t="n"/>
      <c r="AB308" s="160" t="n"/>
      <c r="AC308" s="160" t="n"/>
      <c r="AD308" s="160" t="n"/>
      <c r="AE308" s="160" t="n"/>
      <c r="AF308" s="160" t="n"/>
      <c r="AG308" s="160" t="n"/>
      <c r="AH308" s="160" t="n"/>
      <c r="AI308" s="160" t="n"/>
      <c r="AJ308" s="160" t="n"/>
      <c r="AK308" s="160" t="n"/>
      <c r="AL308" s="160" t="n"/>
      <c r="AM308" s="160" t="n"/>
      <c r="AN308" s="160" t="n"/>
      <c r="AO308" s="160" t="n"/>
      <c r="AP308" s="160" t="n"/>
      <c r="AQ308" s="160" t="n"/>
      <c r="AR308" s="160" t="n"/>
      <c r="AS308" s="160" t="n"/>
      <c r="AT308" s="160" t="n"/>
      <c r="AU308" s="159" t="n"/>
      <c r="AV308" s="159" t="n"/>
      <c r="AW308" s="159">
        <f>IFERROR(AW307/AW306,0)</f>
        <v/>
      </c>
      <c r="AX308" s="159">
        <f>IFERROR(AX307/AX306,0)</f>
        <v/>
      </c>
      <c r="AY308" s="159">
        <f>IFERROR(AY307/AY306,0)</f>
        <v/>
      </c>
      <c r="AZ308" s="159">
        <f>IFERROR(AZ307/AZ306,0)</f>
        <v/>
      </c>
      <c r="BA308" s="159">
        <f>IFERROR(BA307/BA306,0)</f>
        <v/>
      </c>
      <c r="BB308" s="26" t="n"/>
    </row>
    <row r="309">
      <c r="B309" s="27" t="inlineStr">
        <is>
          <t xml:space="preserve">  Shares issued under equity plans, net of withholding (m)</t>
        </is>
      </c>
      <c r="C309" s="160" t="n"/>
      <c r="D309" s="160" t="n"/>
      <c r="E309" s="160" t="n"/>
      <c r="F309" s="160" t="n"/>
      <c r="G309" s="160" t="n"/>
      <c r="H309" s="160" t="n"/>
      <c r="I309" s="160" t="n"/>
      <c r="J309" s="160" t="n"/>
      <c r="K309" s="160" t="n"/>
      <c r="L309" s="160" t="n"/>
      <c r="M309" s="160" t="n"/>
      <c r="N309" s="160" t="n"/>
      <c r="O309" s="160" t="n"/>
      <c r="P309" s="160" t="n"/>
      <c r="Q309" s="160" t="n"/>
      <c r="R309" s="160" t="n"/>
      <c r="S309" s="160" t="n"/>
      <c r="T309" s="160" t="n"/>
      <c r="U309" s="160" t="n"/>
      <c r="V309" s="160" t="n"/>
      <c r="W309" s="160" t="n"/>
      <c r="X309" s="160" t="n"/>
      <c r="Y309" s="160" t="n"/>
      <c r="Z309" s="160" t="n"/>
      <c r="AA309" s="160" t="n"/>
      <c r="AB309" s="160" t="n"/>
      <c r="AC309" s="160" t="n"/>
      <c r="AD309" s="160" t="n"/>
      <c r="AE309" s="160" t="n"/>
      <c r="AF309" s="160" t="n"/>
      <c r="AG309" s="160" t="n"/>
      <c r="AH309" s="160" t="n"/>
      <c r="AI309" s="160" t="n"/>
      <c r="AJ309" s="160" t="n"/>
      <c r="AK309" s="160" t="n"/>
      <c r="AL309" s="160" t="n"/>
      <c r="AM309" s="160" t="n"/>
      <c r="AN309" s="160" t="n"/>
      <c r="AO309" s="160" t="n"/>
      <c r="AP309" s="160" t="n"/>
      <c r="AQ309" s="160" t="n"/>
      <c r="AR309" s="160" t="n"/>
      <c r="AS309" s="160" t="n"/>
      <c r="AT309" s="160" t="n"/>
      <c r="AU309" s="159" t="n"/>
      <c r="AV309" s="159" t="n"/>
      <c r="AW309" s="161" t="n">
        <v>20</v>
      </c>
      <c r="AX309" s="161" t="n">
        <v>40</v>
      </c>
      <c r="AY309" s="161" t="n">
        <v>40</v>
      </c>
      <c r="AZ309" s="161" t="n">
        <v>40</v>
      </c>
      <c r="BA309" s="161" t="n">
        <v>40</v>
      </c>
      <c r="BB309" s="19" t="inlineStr">
        <is>
          <t>FY25: ~41m net issuance (2,108m → 2,068m with ~81m repurchased). 2H/26 20m; 2027E+ 40m p.a.</t>
        </is>
      </c>
    </row>
    <row r="310">
      <c r="B310" s="27" t="inlineStr">
        <is>
          <t xml:space="preserve">  Beginning shares outstanding (m)</t>
        </is>
      </c>
      <c r="C310" s="160" t="n"/>
      <c r="D310" s="160" t="n"/>
      <c r="E310" s="160" t="n"/>
      <c r="F310" s="160" t="n"/>
      <c r="G310" s="160" t="n"/>
      <c r="H310" s="160" t="n"/>
      <c r="I310" s="160" t="n"/>
      <c r="J310" s="160" t="n"/>
      <c r="K310" s="160" t="n"/>
      <c r="L310" s="160" t="n"/>
      <c r="M310" s="160" t="n"/>
      <c r="N310" s="160" t="n"/>
      <c r="O310" s="160" t="n"/>
      <c r="P310" s="160" t="n"/>
      <c r="Q310" s="160" t="n"/>
      <c r="R310" s="160" t="n"/>
      <c r="S310" s="160" t="n"/>
      <c r="T310" s="160" t="n"/>
      <c r="U310" s="160" t="n"/>
      <c r="V310" s="160" t="n"/>
      <c r="W310" s="160" t="n"/>
      <c r="X310" s="160" t="n"/>
      <c r="Y310" s="160" t="n"/>
      <c r="Z310" s="160" t="n"/>
      <c r="AA310" s="160" t="n"/>
      <c r="AB310" s="160" t="n"/>
      <c r="AC310" s="160" t="n"/>
      <c r="AD310" s="160" t="n"/>
      <c r="AE310" s="160" t="n"/>
      <c r="AF310" s="160" t="n"/>
      <c r="AG310" s="160" t="n"/>
      <c r="AH310" s="160" t="n"/>
      <c r="AI310" s="160" t="n"/>
      <c r="AJ310" s="160" t="n"/>
      <c r="AK310" s="160" t="n"/>
      <c r="AL310" s="160" t="n"/>
      <c r="AM310" s="160" t="n"/>
      <c r="AN310" s="160" t="n"/>
      <c r="AO310" s="160" t="n"/>
      <c r="AP310" s="160" t="n"/>
      <c r="AQ310" s="160" t="n"/>
      <c r="AR310" s="160" t="n"/>
      <c r="AS310" s="160" t="n"/>
      <c r="AT310" s="160" t="n"/>
      <c r="AU310" s="159" t="n"/>
      <c r="AV310" s="159" t="n"/>
      <c r="AW310" s="159">
        <f>AT360</f>
        <v/>
      </c>
      <c r="AX310" s="159">
        <f>AW311</f>
        <v/>
      </c>
      <c r="AY310" s="159">
        <f>AX311</f>
        <v/>
      </c>
      <c r="AZ310" s="159">
        <f>AY311</f>
        <v/>
      </c>
      <c r="BA310" s="159">
        <f>AZ311</f>
        <v/>
      </c>
      <c r="BB310" s="26" t="n"/>
    </row>
    <row r="311">
      <c r="B311" s="27" t="inlineStr">
        <is>
          <t xml:space="preserve">  Ending shares outstanding (m)</t>
        </is>
      </c>
      <c r="C311" s="160" t="n"/>
      <c r="D311" s="160" t="n"/>
      <c r="E311" s="160" t="n"/>
      <c r="F311" s="160" t="n"/>
      <c r="G311" s="160" t="n"/>
      <c r="H311" s="160" t="n"/>
      <c r="I311" s="160" t="n"/>
      <c r="J311" s="160" t="n"/>
      <c r="K311" s="160" t="n"/>
      <c r="L311" s="160" t="n"/>
      <c r="M311" s="160" t="n"/>
      <c r="N311" s="160" t="n"/>
      <c r="O311" s="160" t="n"/>
      <c r="P311" s="160" t="n"/>
      <c r="Q311" s="160" t="n"/>
      <c r="R311" s="160" t="n"/>
      <c r="S311" s="160" t="n"/>
      <c r="T311" s="160" t="n"/>
      <c r="U311" s="160" t="n"/>
      <c r="V311" s="160" t="n"/>
      <c r="W311" s="160" t="n"/>
      <c r="X311" s="160" t="n"/>
      <c r="Y311" s="160" t="n"/>
      <c r="Z311" s="160" t="n"/>
      <c r="AA311" s="160" t="n"/>
      <c r="AB311" s="160" t="n"/>
      <c r="AC311" s="160" t="n"/>
      <c r="AD311" s="160" t="n"/>
      <c r="AE311" s="160" t="n"/>
      <c r="AF311" s="160" t="n"/>
      <c r="AG311" s="160" t="n"/>
      <c r="AH311" s="160" t="n"/>
      <c r="AI311" s="160" t="n"/>
      <c r="AJ311" s="160" t="n"/>
      <c r="AK311" s="160" t="n"/>
      <c r="AL311" s="160" t="n"/>
      <c r="AM311" s="160" t="n"/>
      <c r="AN311" s="160" t="n"/>
      <c r="AO311" s="160" t="n"/>
      <c r="AP311" s="160" t="n"/>
      <c r="AQ311" s="160" t="n"/>
      <c r="AR311" s="160" t="n"/>
      <c r="AS311" s="160" t="n"/>
      <c r="AT311" s="160" t="n"/>
      <c r="AU311" s="159">
        <f>AU310-AU308+AU309</f>
        <v/>
      </c>
      <c r="AV311" s="159">
        <f>AV310-AV308+AV309</f>
        <v/>
      </c>
      <c r="AW311" s="159">
        <f>AW310-AW308+AW309</f>
        <v/>
      </c>
      <c r="AX311" s="159">
        <f>AX310-AX308+AX309</f>
        <v/>
      </c>
      <c r="AY311" s="159">
        <f>AY310-AY308+AY309</f>
        <v/>
      </c>
      <c r="AZ311" s="159">
        <f>AZ310-AZ308+AZ309</f>
        <v/>
      </c>
      <c r="BA311" s="159">
        <f>BA310-BA308+BA309</f>
        <v/>
      </c>
      <c r="BB311" s="26" t="n"/>
    </row>
    <row r="312">
      <c r="B312" s="27" t="inlineStr">
        <is>
          <t xml:space="preserve">  % of shares repurchased</t>
        </is>
      </c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  <c r="AE312" s="39" t="n"/>
      <c r="AF312" s="39" t="n"/>
      <c r="AG312" s="39" t="n"/>
      <c r="AH312" s="39" t="n"/>
      <c r="AI312" s="39" t="n"/>
      <c r="AJ312" s="39" t="n"/>
      <c r="AK312" s="39" t="n"/>
      <c r="AL312" s="39" t="n"/>
      <c r="AM312" s="39" t="n"/>
      <c r="AN312" s="39" t="n"/>
      <c r="AO312" s="39" t="n"/>
      <c r="AP312" s="39" t="n"/>
      <c r="AQ312" s="39" t="n"/>
      <c r="AR312" s="39" t="n"/>
      <c r="AS312" s="39" t="n"/>
      <c r="AT312" s="39" t="n"/>
      <c r="AU312" s="25">
        <f>IFERROR(AU308/AU310,"")</f>
        <v/>
      </c>
      <c r="AV312" s="25">
        <f>IFERROR(AV308/AV310,"")</f>
        <v/>
      </c>
      <c r="AW312" s="25">
        <f>IFERROR(AW308/AW310,"")</f>
        <v/>
      </c>
      <c r="AX312" s="25">
        <f>IFERROR(AX308/AX310,"")</f>
        <v/>
      </c>
      <c r="AY312" s="25">
        <f>IFERROR(AY308/AY310,"")</f>
        <v/>
      </c>
      <c r="AZ312" s="25">
        <f>IFERROR(AZ308/AZ310,"")</f>
        <v/>
      </c>
      <c r="BA312" s="25">
        <f>IFERROR(BA308/BA310,"")</f>
        <v/>
      </c>
      <c r="BB312" s="26" t="n"/>
    </row>
    <row r="313">
      <c r="B313" s="38" t="inlineStr">
        <is>
          <t xml:space="preserve">  Memo: cumulative shares repurchased since 2H/26 (m)</t>
        </is>
      </c>
      <c r="C313" s="160" t="n"/>
      <c r="D313" s="160" t="n"/>
      <c r="E313" s="160" t="n"/>
      <c r="F313" s="160" t="n"/>
      <c r="G313" s="160" t="n"/>
      <c r="H313" s="160" t="n"/>
      <c r="I313" s="160" t="n"/>
      <c r="J313" s="160" t="n"/>
      <c r="K313" s="160" t="n"/>
      <c r="L313" s="160" t="n"/>
      <c r="M313" s="160" t="n"/>
      <c r="N313" s="160" t="n"/>
      <c r="O313" s="160" t="n"/>
      <c r="P313" s="160" t="n"/>
      <c r="Q313" s="160" t="n"/>
      <c r="R313" s="160" t="n"/>
      <c r="S313" s="160" t="n"/>
      <c r="T313" s="160" t="n"/>
      <c r="U313" s="160" t="n"/>
      <c r="V313" s="160" t="n"/>
      <c r="W313" s="160" t="n"/>
      <c r="X313" s="160" t="n"/>
      <c r="Y313" s="160" t="n"/>
      <c r="Z313" s="160" t="n"/>
      <c r="AA313" s="160" t="n"/>
      <c r="AB313" s="160" t="n"/>
      <c r="AC313" s="160" t="n"/>
      <c r="AD313" s="160" t="n"/>
      <c r="AE313" s="160" t="n"/>
      <c r="AF313" s="160" t="n"/>
      <c r="AG313" s="160" t="n"/>
      <c r="AH313" s="160" t="n"/>
      <c r="AI313" s="160" t="n"/>
      <c r="AJ313" s="160" t="n"/>
      <c r="AK313" s="160" t="n"/>
      <c r="AL313" s="160" t="n"/>
      <c r="AM313" s="160" t="n"/>
      <c r="AN313" s="160" t="n"/>
      <c r="AO313" s="160" t="n"/>
      <c r="AP313" s="160" t="n"/>
      <c r="AQ313" s="160" t="n"/>
      <c r="AR313" s="160" t="n"/>
      <c r="AS313" s="160" t="n"/>
      <c r="AT313" s="160" t="n"/>
      <c r="AU313" s="159" t="n"/>
      <c r="AV313" s="159" t="n"/>
      <c r="AW313" s="159">
        <f>AW308</f>
        <v/>
      </c>
      <c r="AX313" s="159">
        <f>AW313+AX308</f>
        <v/>
      </c>
      <c r="AY313" s="159">
        <f>AX313+AY308</f>
        <v/>
      </c>
      <c r="AZ313" s="159">
        <f>AY313+AZ308</f>
        <v/>
      </c>
      <c r="BA313" s="159">
        <f>AZ313+BA308</f>
        <v/>
      </c>
      <c r="BB313" s="26" t="n"/>
    </row>
    <row r="315">
      <c r="B315" s="10" t="inlineStr">
        <is>
          <t>CONSOLIDATED BALANCE SHEET</t>
        </is>
      </c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0" t="n"/>
      <c r="AL315" s="10" t="n"/>
      <c r="AM315" s="10" t="n"/>
      <c r="AN315" s="10" t="n"/>
      <c r="AO315" s="10" t="n"/>
      <c r="AP315" s="10" t="n"/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0" t="inlineStr">
        <is>
          <t>BS FORECAST — 2026E rolled forward from the 30-Jun-2026 balance sheet + 2H flows; 2027E+ from prior year end (+ Delivery Hero PPA in 2027E)</t>
        </is>
      </c>
    </row>
    <row r="316">
      <c r="B316" s="27" t="inlineStr">
        <is>
          <t>ASSETS</t>
        </is>
      </c>
    </row>
    <row r="317">
      <c r="B317" s="27" t="inlineStr">
        <is>
          <t xml:space="preserve">  Cash and cash equivalents</t>
        </is>
      </c>
      <c r="C317" s="43" t="n"/>
      <c r="D317" s="44" t="n">
        <v>4393</v>
      </c>
      <c r="E317" s="43" t="n"/>
      <c r="F317" s="43" t="n"/>
      <c r="G317" s="43" t="n"/>
      <c r="H317" s="44" t="n">
        <v>6406</v>
      </c>
      <c r="I317" s="44" t="n">
        <v>6406</v>
      </c>
      <c r="J317" s="44" t="n">
        <v>5745</v>
      </c>
      <c r="K317" s="44" t="n">
        <v>11744</v>
      </c>
      <c r="L317" s="44" t="n">
        <v>12650</v>
      </c>
      <c r="M317" s="44" t="n">
        <v>10873</v>
      </c>
      <c r="N317" s="44" t="n">
        <v>10873</v>
      </c>
      <c r="O317" s="44" t="n">
        <v>8165</v>
      </c>
      <c r="P317" s="44" t="n">
        <v>6754</v>
      </c>
      <c r="Q317" s="44" t="n">
        <v>6154</v>
      </c>
      <c r="R317" s="44" t="n">
        <v>5647</v>
      </c>
      <c r="S317" s="44" t="n">
        <v>5647</v>
      </c>
      <c r="T317" s="44" t="n">
        <v>4836</v>
      </c>
      <c r="U317" s="44" t="n">
        <v>4443</v>
      </c>
      <c r="V317" s="44" t="n">
        <v>6482</v>
      </c>
      <c r="W317" s="44" t="n">
        <v>4295</v>
      </c>
      <c r="X317" s="44" t="n">
        <v>4295</v>
      </c>
      <c r="Y317" s="44" t="n">
        <v>4184</v>
      </c>
      <c r="Z317" s="44" t="n">
        <v>4397</v>
      </c>
      <c r="AA317" s="44" t="n">
        <v>4865</v>
      </c>
      <c r="AB317" s="44" t="n">
        <v>4208</v>
      </c>
      <c r="AC317" s="44" t="n">
        <v>4208</v>
      </c>
      <c r="AD317" s="44" t="n">
        <v>4045</v>
      </c>
      <c r="AE317" s="44" t="n">
        <v>4995</v>
      </c>
      <c r="AF317" s="44" t="n">
        <v>4448</v>
      </c>
      <c r="AG317" s="44" t="n">
        <v>4680</v>
      </c>
      <c r="AH317" s="44" t="n">
        <v>4680</v>
      </c>
      <c r="AI317" s="44" t="n">
        <v>5019</v>
      </c>
      <c r="AJ317" s="44" t="n">
        <v>4497</v>
      </c>
      <c r="AK317" s="44" t="n">
        <v>6150</v>
      </c>
      <c r="AL317" s="44" t="n">
        <v>5893</v>
      </c>
      <c r="AM317" s="44" t="n">
        <v>5893</v>
      </c>
      <c r="AN317" s="44" t="n">
        <v>5132</v>
      </c>
      <c r="AO317" s="44" t="n">
        <v>6438</v>
      </c>
      <c r="AP317" s="44" t="n">
        <v>8432</v>
      </c>
      <c r="AQ317" s="44" t="n">
        <v>7105</v>
      </c>
      <c r="AR317" s="44" t="n">
        <v>7105</v>
      </c>
      <c r="AS317" s="44" t="n">
        <v>5558</v>
      </c>
      <c r="AT317" s="44" t="n">
        <v>4870</v>
      </c>
      <c r="AU317" s="45" t="n"/>
      <c r="AV317" s="45" t="n"/>
      <c r="AW317" s="45">
        <f>AW289-AW319-AW324</f>
        <v/>
      </c>
      <c r="AX317" s="45">
        <f>AX289-AX319-AX324</f>
        <v/>
      </c>
      <c r="AY317" s="45">
        <f>AY289-AY319-AY324</f>
        <v/>
      </c>
      <c r="AZ317" s="45">
        <f>AZ289-AZ319-AZ324</f>
        <v/>
      </c>
      <c r="BA317" s="45">
        <f>BA289-BA319-BA324</f>
        <v/>
      </c>
      <c r="BB317" s="26" t="n"/>
    </row>
    <row r="318">
      <c r="B318" s="27" t="inlineStr">
        <is>
          <t xml:space="preserve">  Short-term investments</t>
        </is>
      </c>
      <c r="C318" s="43" t="n"/>
      <c r="D318" s="43" t="n"/>
      <c r="E318" s="43" t="n"/>
      <c r="F318" s="43" t="n"/>
      <c r="G318" s="43" t="n"/>
      <c r="H318" s="44" t="n">
        <v>0</v>
      </c>
      <c r="I318" s="44" t="n">
        <v>0</v>
      </c>
      <c r="J318" s="43" t="n"/>
      <c r="K318" s="43" t="n"/>
      <c r="L318" s="43" t="n"/>
      <c r="M318" s="44" t="n">
        <v>440</v>
      </c>
      <c r="N318" s="44" t="n">
        <v>440</v>
      </c>
      <c r="O318" s="44" t="n">
        <v>831</v>
      </c>
      <c r="P318" s="44" t="n">
        <v>1033</v>
      </c>
      <c r="Q318" s="44" t="n">
        <v>1132</v>
      </c>
      <c r="R318" s="44" t="n">
        <v>1180</v>
      </c>
      <c r="S318" s="44" t="n">
        <v>1180</v>
      </c>
      <c r="T318" s="44" t="n">
        <v>819</v>
      </c>
      <c r="U318" s="44" t="n">
        <v>560</v>
      </c>
      <c r="V318" s="44" t="n">
        <v>0</v>
      </c>
      <c r="W318" s="44" t="n">
        <v>0</v>
      </c>
      <c r="X318" s="44" t="n">
        <v>0</v>
      </c>
      <c r="Y318" s="43" t="n"/>
      <c r="Z318" s="43" t="n"/>
      <c r="AA318" s="43" t="n"/>
      <c r="AB318" s="44" t="n">
        <v>103</v>
      </c>
      <c r="AC318" s="44" t="n">
        <v>103</v>
      </c>
      <c r="AD318" s="44" t="n">
        <v>121</v>
      </c>
      <c r="AE318" s="44" t="n">
        <v>538</v>
      </c>
      <c r="AF318" s="44" t="n">
        <v>725</v>
      </c>
      <c r="AG318" s="44" t="n">
        <v>727</v>
      </c>
      <c r="AH318" s="44" t="n">
        <v>727</v>
      </c>
      <c r="AI318" s="44" t="n">
        <v>744</v>
      </c>
      <c r="AJ318" s="44" t="n">
        <v>1795</v>
      </c>
      <c r="AK318" s="44" t="n">
        <v>2913</v>
      </c>
      <c r="AL318" s="44" t="n">
        <v>1084</v>
      </c>
      <c r="AM318" s="44" t="n">
        <v>1084</v>
      </c>
      <c r="AN318" s="44" t="n">
        <v>894</v>
      </c>
      <c r="AO318" s="44" t="n">
        <v>932</v>
      </c>
      <c r="AP318" s="44" t="n">
        <v>654</v>
      </c>
      <c r="AQ318" s="44" t="n">
        <v>528</v>
      </c>
      <c r="AR318" s="44" t="n">
        <v>528</v>
      </c>
      <c r="AS318" s="44" t="n">
        <v>533</v>
      </c>
      <c r="AT318" s="44" t="n">
        <v>521</v>
      </c>
      <c r="AU318" s="45" t="n"/>
      <c r="AV318" s="45" t="n"/>
      <c r="AW318" s="45">
        <f>AT318</f>
        <v/>
      </c>
      <c r="AX318" s="45">
        <f>AW318</f>
        <v/>
      </c>
      <c r="AY318" s="45">
        <f>AX318</f>
        <v/>
      </c>
      <c r="AZ318" s="45">
        <f>AY318</f>
        <v/>
      </c>
      <c r="BA318" s="45">
        <f>AZ318</f>
        <v/>
      </c>
      <c r="BB318" s="26" t="n"/>
    </row>
    <row r="319">
      <c r="B319" s="27" t="inlineStr">
        <is>
          <t xml:space="preserve">  Restricted cash and cash equivalents — current</t>
        </is>
      </c>
      <c r="C319" s="43" t="n"/>
      <c r="D319" s="44" t="n">
        <v>142</v>
      </c>
      <c r="E319" s="43" t="n"/>
      <c r="F319" s="43" t="n"/>
      <c r="G319" s="43" t="n"/>
      <c r="H319" s="44" t="n">
        <v>67</v>
      </c>
      <c r="I319" s="44" t="n">
        <v>67</v>
      </c>
      <c r="J319" s="44" t="n">
        <v>136</v>
      </c>
      <c r="K319" s="44" t="n">
        <v>137</v>
      </c>
      <c r="L319" s="44" t="n">
        <v>33</v>
      </c>
      <c r="M319" s="44" t="n">
        <v>99</v>
      </c>
      <c r="N319" s="44" t="n">
        <v>99</v>
      </c>
      <c r="O319" s="44" t="n">
        <v>193</v>
      </c>
      <c r="P319" s="44" t="n">
        <v>123</v>
      </c>
      <c r="Q319" s="44" t="n">
        <v>218</v>
      </c>
      <c r="R319" s="44" t="n">
        <v>250</v>
      </c>
      <c r="S319" s="44" t="n">
        <v>250</v>
      </c>
      <c r="T319" s="44" t="n">
        <v>247</v>
      </c>
      <c r="U319" s="44" t="n">
        <v>324</v>
      </c>
      <c r="V319" s="44" t="n">
        <v>414</v>
      </c>
      <c r="W319" s="44" t="n">
        <v>631</v>
      </c>
      <c r="X319" s="44" t="n">
        <v>631</v>
      </c>
      <c r="Y319" s="44" t="n">
        <v>543</v>
      </c>
      <c r="Z319" s="44" t="n">
        <v>526</v>
      </c>
      <c r="AA319" s="44" t="n">
        <v>593</v>
      </c>
      <c r="AB319" s="44" t="n">
        <v>680</v>
      </c>
      <c r="AC319" s="44" t="n">
        <v>680</v>
      </c>
      <c r="AD319" s="44" t="n">
        <v>897</v>
      </c>
      <c r="AE319" s="44" t="n">
        <v>909</v>
      </c>
      <c r="AF319" s="44" t="n">
        <v>833</v>
      </c>
      <c r="AG319" s="44" t="n">
        <v>805</v>
      </c>
      <c r="AH319" s="44" t="n">
        <v>805</v>
      </c>
      <c r="AI319" s="44" t="n">
        <v>808</v>
      </c>
      <c r="AJ319" s="44" t="n">
        <v>776</v>
      </c>
      <c r="AK319" s="44" t="n">
        <v>933</v>
      </c>
      <c r="AL319" s="44" t="n">
        <v>545</v>
      </c>
      <c r="AM319" s="44" t="n">
        <v>545</v>
      </c>
      <c r="AN319" s="44" t="n">
        <v>1253</v>
      </c>
      <c r="AO319" s="44" t="n">
        <v>1191</v>
      </c>
      <c r="AP319" s="44" t="n">
        <v>477</v>
      </c>
      <c r="AQ319" s="44" t="n">
        <v>631</v>
      </c>
      <c r="AR319" s="44" t="n">
        <v>631</v>
      </c>
      <c r="AS319" s="44" t="n">
        <v>680</v>
      </c>
      <c r="AT319" s="44" t="n">
        <v>661</v>
      </c>
      <c r="AU319" s="45" t="n"/>
      <c r="AV319" s="45" t="n"/>
      <c r="AW319" s="45">
        <f>AT319</f>
        <v/>
      </c>
      <c r="AX319" s="45">
        <f>AW319</f>
        <v/>
      </c>
      <c r="AY319" s="45">
        <f>AX319</f>
        <v/>
      </c>
      <c r="AZ319" s="45">
        <f>AY319</f>
        <v/>
      </c>
      <c r="BA319" s="45">
        <f>AZ319</f>
        <v/>
      </c>
      <c r="BB319" s="26" t="n"/>
    </row>
    <row r="320">
      <c r="B320" s="27" t="inlineStr">
        <is>
          <t xml:space="preserve">  Accounts receivable, net</t>
        </is>
      </c>
      <c r="C320" s="43" t="n"/>
      <c r="D320" s="44" t="n">
        <v>739</v>
      </c>
      <c r="E320" s="43" t="n"/>
      <c r="F320" s="43" t="n"/>
      <c r="G320" s="43" t="n"/>
      <c r="H320" s="44" t="n">
        <v>919</v>
      </c>
      <c r="I320" s="44" t="n">
        <v>919</v>
      </c>
      <c r="J320" s="44" t="n">
        <v>1074</v>
      </c>
      <c r="K320" s="44" t="n">
        <v>1290</v>
      </c>
      <c r="L320" s="44" t="n">
        <v>1154</v>
      </c>
      <c r="M320" s="44" t="n">
        <v>1214</v>
      </c>
      <c r="N320" s="44" t="n">
        <v>1214</v>
      </c>
      <c r="O320" s="44" t="n">
        <v>683</v>
      </c>
      <c r="P320" s="44" t="n">
        <v>604</v>
      </c>
      <c r="Q320" s="44" t="n">
        <v>773</v>
      </c>
      <c r="R320" s="44" t="n">
        <v>1073</v>
      </c>
      <c r="S320" s="44" t="n">
        <v>1073</v>
      </c>
      <c r="T320" s="44" t="n">
        <v>1075</v>
      </c>
      <c r="U320" s="44" t="n">
        <v>1201</v>
      </c>
      <c r="V320" s="44" t="n">
        <v>1333</v>
      </c>
      <c r="W320" s="44" t="n">
        <v>2439</v>
      </c>
      <c r="X320" s="44" t="n">
        <v>2439</v>
      </c>
      <c r="Y320" s="44" t="n">
        <v>2476</v>
      </c>
      <c r="Z320" s="44" t="n">
        <v>2459</v>
      </c>
      <c r="AA320" s="44" t="n">
        <v>2468</v>
      </c>
      <c r="AB320" s="44" t="n">
        <v>2779</v>
      </c>
      <c r="AC320" s="44" t="n">
        <v>2779</v>
      </c>
      <c r="AD320" s="44" t="n">
        <v>2571</v>
      </c>
      <c r="AE320" s="44" t="n">
        <v>2576</v>
      </c>
      <c r="AF320" s="44" t="n">
        <v>3000</v>
      </c>
      <c r="AG320" s="44" t="n">
        <v>3404</v>
      </c>
      <c r="AH320" s="44" t="n">
        <v>3404</v>
      </c>
      <c r="AI320" s="44" t="n">
        <v>3708</v>
      </c>
      <c r="AJ320" s="44" t="n">
        <v>3783</v>
      </c>
      <c r="AK320" s="44" t="n">
        <v>3719</v>
      </c>
      <c r="AL320" s="44" t="n">
        <v>3333</v>
      </c>
      <c r="AM320" s="44" t="n">
        <v>3333</v>
      </c>
      <c r="AN320" s="44" t="n">
        <v>3489</v>
      </c>
      <c r="AO320" s="44" t="n">
        <v>3769</v>
      </c>
      <c r="AP320" s="44" t="n">
        <v>3773</v>
      </c>
      <c r="AQ320" s="44" t="n">
        <v>3827</v>
      </c>
      <c r="AR320" s="44" t="n">
        <v>3827</v>
      </c>
      <c r="AS320" s="44" t="n">
        <v>3895</v>
      </c>
      <c r="AT320" s="44" t="n">
        <v>4298</v>
      </c>
      <c r="AU320" s="45" t="n"/>
      <c r="AV320" s="45" t="n"/>
      <c r="AW320" s="45">
        <f>AW363*AW366/365</f>
        <v/>
      </c>
      <c r="AX320" s="45">
        <f>AX363*AX366/365</f>
        <v/>
      </c>
      <c r="AY320" s="45">
        <f>AY363*AY366/365</f>
        <v/>
      </c>
      <c r="AZ320" s="45">
        <f>AZ363*AZ366/365</f>
        <v/>
      </c>
      <c r="BA320" s="45">
        <f>BA363*BA366/365</f>
        <v/>
      </c>
      <c r="BB320" s="26" t="n"/>
    </row>
    <row r="321">
      <c r="B321" s="27" t="inlineStr">
        <is>
          <t xml:space="preserve">  Prepaid expenses and other current assets</t>
        </is>
      </c>
      <c r="C321" s="43" t="n"/>
      <c r="D321" s="44" t="n">
        <v>425</v>
      </c>
      <c r="E321" s="43" t="n"/>
      <c r="F321" s="43" t="n"/>
      <c r="G321" s="43" t="n"/>
      <c r="H321" s="44" t="n">
        <v>860</v>
      </c>
      <c r="I321" s="44" t="n">
        <v>860</v>
      </c>
      <c r="J321" s="44" t="n">
        <v>975</v>
      </c>
      <c r="K321" s="44" t="n">
        <v>1129</v>
      </c>
      <c r="L321" s="44" t="n">
        <v>1316</v>
      </c>
      <c r="M321" s="44" t="n">
        <v>1299</v>
      </c>
      <c r="N321" s="44" t="n">
        <v>1299</v>
      </c>
      <c r="O321" s="44" t="n">
        <v>1242</v>
      </c>
      <c r="P321" s="44" t="n">
        <v>1148</v>
      </c>
      <c r="Q321" s="44" t="n">
        <v>1135</v>
      </c>
      <c r="R321" s="44" t="n">
        <v>1215</v>
      </c>
      <c r="S321" s="44" t="n">
        <v>1215</v>
      </c>
      <c r="T321" s="44" t="n">
        <v>1318</v>
      </c>
      <c r="U321" s="44" t="n">
        <v>1255</v>
      </c>
      <c r="V321" s="44" t="n">
        <v>1455</v>
      </c>
      <c r="W321" s="44" t="n">
        <v>1454</v>
      </c>
      <c r="X321" s="44" t="n">
        <v>1454</v>
      </c>
      <c r="Y321" s="44" t="n">
        <v>1462</v>
      </c>
      <c r="Z321" s="44" t="n">
        <v>1369</v>
      </c>
      <c r="AA321" s="44" t="n">
        <v>1442</v>
      </c>
      <c r="AB321" s="44" t="n">
        <v>1479</v>
      </c>
      <c r="AC321" s="44" t="n">
        <v>1479</v>
      </c>
      <c r="AD321" s="44" t="n">
        <v>1562</v>
      </c>
      <c r="AE321" s="44" t="n">
        <v>1646</v>
      </c>
      <c r="AF321" s="44" t="n">
        <v>1673</v>
      </c>
      <c r="AG321" s="44" t="n">
        <v>1681</v>
      </c>
      <c r="AH321" s="44" t="n">
        <v>1681</v>
      </c>
      <c r="AI321" s="44" t="n">
        <v>1795</v>
      </c>
      <c r="AJ321" s="44" t="n">
        <v>1632</v>
      </c>
      <c r="AK321" s="44" t="n">
        <v>1616</v>
      </c>
      <c r="AL321" s="44" t="n">
        <v>1390</v>
      </c>
      <c r="AM321" s="44" t="n">
        <v>1390</v>
      </c>
      <c r="AN321" s="44" t="n">
        <v>1582</v>
      </c>
      <c r="AO321" s="44" t="n">
        <v>1777</v>
      </c>
      <c r="AP321" s="44" t="n">
        <v>1803</v>
      </c>
      <c r="AQ321" s="44" t="n">
        <v>1902</v>
      </c>
      <c r="AR321" s="44" t="n">
        <v>1902</v>
      </c>
      <c r="AS321" s="44" t="n">
        <v>2157</v>
      </c>
      <c r="AT321" s="44" t="n">
        <v>2179</v>
      </c>
      <c r="AU321" s="45" t="n"/>
      <c r="AV321" s="45" t="n"/>
      <c r="AW321" s="45">
        <f>AW363*AW367</f>
        <v/>
      </c>
      <c r="AX321" s="45">
        <f>AX363*AX367</f>
        <v/>
      </c>
      <c r="AY321" s="45">
        <f>AY363*AY367</f>
        <v/>
      </c>
      <c r="AZ321" s="45">
        <f>AZ363*AZ367</f>
        <v/>
      </c>
      <c r="BA321" s="45">
        <f>BA363*BA367</f>
        <v/>
      </c>
      <c r="BB321" s="26" t="n"/>
    </row>
    <row r="322">
      <c r="B322" s="27" t="inlineStr">
        <is>
          <t xml:space="preserve">  Assets held for sale &amp; other current assets (derived)</t>
        </is>
      </c>
      <c r="C322" s="43" t="n"/>
      <c r="D322" s="44" t="n">
        <v>1138</v>
      </c>
      <c r="E322" s="43" t="n"/>
      <c r="F322" s="43" t="n"/>
      <c r="G322" s="43" t="n"/>
      <c r="H322" s="44" t="n">
        <v>406</v>
      </c>
      <c r="I322" s="44" t="n">
        <v>406</v>
      </c>
      <c r="J322" s="44" t="n">
        <v>0</v>
      </c>
      <c r="K322" s="44" t="n">
        <v>0</v>
      </c>
      <c r="L322" s="44" t="n">
        <v>0</v>
      </c>
      <c r="M322" s="44" t="n">
        <v>0</v>
      </c>
      <c r="N322" s="44" t="n">
        <v>0</v>
      </c>
      <c r="O322" s="44" t="n">
        <v>0</v>
      </c>
      <c r="P322" s="44" t="n">
        <v>0</v>
      </c>
      <c r="Q322" s="44" t="n">
        <v>0</v>
      </c>
      <c r="R322" s="44" t="n">
        <v>517</v>
      </c>
      <c r="S322" s="44" t="n">
        <v>517</v>
      </c>
      <c r="T322" s="44" t="n">
        <v>0</v>
      </c>
      <c r="U322" s="44" t="n">
        <v>0</v>
      </c>
      <c r="V322" s="44" t="n">
        <v>0</v>
      </c>
      <c r="W322" s="44" t="n">
        <v>0</v>
      </c>
      <c r="X322" s="44" t="n">
        <v>0</v>
      </c>
      <c r="Y322" s="44" t="n">
        <v>0</v>
      </c>
      <c r="Z322" s="44" t="n">
        <v>0</v>
      </c>
      <c r="AA322" s="44" t="n">
        <v>0</v>
      </c>
      <c r="AB322" s="44" t="n">
        <v>0</v>
      </c>
      <c r="AC322" s="44" t="n">
        <v>0</v>
      </c>
      <c r="AD322" s="44" t="n">
        <v>0</v>
      </c>
      <c r="AE322" s="44" t="n">
        <v>0</v>
      </c>
      <c r="AF322" s="44" t="n">
        <v>0</v>
      </c>
      <c r="AG322" s="44" t="n">
        <v>0</v>
      </c>
      <c r="AH322" s="44" t="n">
        <v>0</v>
      </c>
      <c r="AI322" s="44" t="n">
        <v>0</v>
      </c>
      <c r="AJ322" s="44" t="n">
        <v>0</v>
      </c>
      <c r="AK322" s="44" t="n">
        <v>0</v>
      </c>
      <c r="AL322" s="44" t="n">
        <v>0</v>
      </c>
      <c r="AM322" s="44" t="n">
        <v>0</v>
      </c>
      <c r="AN322" s="44" t="n">
        <v>0</v>
      </c>
      <c r="AO322" s="44" t="n">
        <v>0</v>
      </c>
      <c r="AP322" s="44" t="n">
        <v>0</v>
      </c>
      <c r="AQ322" s="44" t="n">
        <v>0</v>
      </c>
      <c r="AR322" s="44" t="n">
        <v>0</v>
      </c>
      <c r="AS322" s="44" t="n">
        <v>0</v>
      </c>
      <c r="AT322" s="44" t="n">
        <v>0</v>
      </c>
      <c r="AU322" s="45" t="n"/>
      <c r="AV322" s="45" t="n"/>
      <c r="AW322" s="45">
        <f>AT322</f>
        <v/>
      </c>
      <c r="AX322" s="45">
        <f>AW322</f>
        <v/>
      </c>
      <c r="AY322" s="45">
        <f>AX322</f>
        <v/>
      </c>
      <c r="AZ322" s="45">
        <f>AY322</f>
        <v/>
      </c>
      <c r="BA322" s="45">
        <f>AZ322</f>
        <v/>
      </c>
      <c r="BB322" s="26" t="n"/>
    </row>
    <row r="323">
      <c r="B323" s="16" t="inlineStr">
        <is>
          <t>Total current assets</t>
        </is>
      </c>
      <c r="C323" s="36">
        <f>IF(ISNUMBER(C317),SUM(C317,C318,C319,C320,C321,C322),"")</f>
        <v/>
      </c>
      <c r="D323" s="36">
        <f>IF(ISNUMBER(D317),SUM(D317,D318,D319,D320,D321,D322),"")</f>
        <v/>
      </c>
      <c r="E323" s="36">
        <f>IF(ISNUMBER(E317),SUM(E317,E318,E319,E320,E321,E322),"")</f>
        <v/>
      </c>
      <c r="F323" s="36">
        <f>IF(ISNUMBER(F317),SUM(F317,F318,F319,F320,F321,F322),"")</f>
        <v/>
      </c>
      <c r="G323" s="36">
        <f>IF(ISNUMBER(G317),SUM(G317,G318,G319,G320,G321,G322),"")</f>
        <v/>
      </c>
      <c r="H323" s="36">
        <f>IF(ISNUMBER(H317),SUM(H317,H318,H319,H320,H321,H322),"")</f>
        <v/>
      </c>
      <c r="I323" s="36">
        <f>IF(ISNUMBER(I317),SUM(I317,I318,I319,I320,I321,I322),"")</f>
        <v/>
      </c>
      <c r="J323" s="36">
        <f>IF(ISNUMBER(J317),SUM(J317,J318,J319,J320,J321,J322),"")</f>
        <v/>
      </c>
      <c r="K323" s="36">
        <f>IF(ISNUMBER(K317),SUM(K317,K318,K319,K320,K321,K322),"")</f>
        <v/>
      </c>
      <c r="L323" s="36">
        <f>IF(ISNUMBER(L317),SUM(L317,L318,L319,L320,L321,L322),"")</f>
        <v/>
      </c>
      <c r="M323" s="36">
        <f>IF(ISNUMBER(M317),SUM(M317,M318,M319,M320,M321,M322),"")</f>
        <v/>
      </c>
      <c r="N323" s="36">
        <f>IF(ISNUMBER(N317),SUM(N317,N318,N319,N320,N321,N322),"")</f>
        <v/>
      </c>
      <c r="O323" s="36">
        <f>IF(ISNUMBER(O317),SUM(O317,O318,O319,O320,O321,O322),"")</f>
        <v/>
      </c>
      <c r="P323" s="36">
        <f>IF(ISNUMBER(P317),SUM(P317,P318,P319,P320,P321,P322),"")</f>
        <v/>
      </c>
      <c r="Q323" s="36">
        <f>IF(ISNUMBER(Q317),SUM(Q317,Q318,Q319,Q320,Q321,Q322),"")</f>
        <v/>
      </c>
      <c r="R323" s="36">
        <f>IF(ISNUMBER(R317),SUM(R317,R318,R319,R320,R321,R322),"")</f>
        <v/>
      </c>
      <c r="S323" s="36">
        <f>IF(ISNUMBER(S317),SUM(S317,S318,S319,S320,S321,S322),"")</f>
        <v/>
      </c>
      <c r="T323" s="36">
        <f>IF(ISNUMBER(T317),SUM(T317,T318,T319,T320,T321,T322),"")</f>
        <v/>
      </c>
      <c r="U323" s="36">
        <f>IF(ISNUMBER(U317),SUM(U317,U318,U319,U320,U321,U322),"")</f>
        <v/>
      </c>
      <c r="V323" s="36">
        <f>IF(ISNUMBER(V317),SUM(V317,V318,V319,V320,V321,V322),"")</f>
        <v/>
      </c>
      <c r="W323" s="36">
        <f>IF(ISNUMBER(W317),SUM(W317,W318,W319,W320,W321,W322),"")</f>
        <v/>
      </c>
      <c r="X323" s="36">
        <f>IF(ISNUMBER(X317),SUM(X317,X318,X319,X320,X321,X322),"")</f>
        <v/>
      </c>
      <c r="Y323" s="36">
        <f>IF(ISNUMBER(Y317),SUM(Y317,Y318,Y319,Y320,Y321,Y322),"")</f>
        <v/>
      </c>
      <c r="Z323" s="36">
        <f>IF(ISNUMBER(Z317),SUM(Z317,Z318,Z319,Z320,Z321,Z322),"")</f>
        <v/>
      </c>
      <c r="AA323" s="36">
        <f>IF(ISNUMBER(AA317),SUM(AA317,AA318,AA319,AA320,AA321,AA322),"")</f>
        <v/>
      </c>
      <c r="AB323" s="36">
        <f>IF(ISNUMBER(AB317),SUM(AB317,AB318,AB319,AB320,AB321,AB322),"")</f>
        <v/>
      </c>
      <c r="AC323" s="36">
        <f>IF(ISNUMBER(AC317),SUM(AC317,AC318,AC319,AC320,AC321,AC322),"")</f>
        <v/>
      </c>
      <c r="AD323" s="36">
        <f>IF(ISNUMBER(AD317),SUM(AD317,AD318,AD319,AD320,AD321,AD322),"")</f>
        <v/>
      </c>
      <c r="AE323" s="36">
        <f>IF(ISNUMBER(AE317),SUM(AE317,AE318,AE319,AE320,AE321,AE322),"")</f>
        <v/>
      </c>
      <c r="AF323" s="36">
        <f>IF(ISNUMBER(AF317),SUM(AF317,AF318,AF319,AF320,AF321,AF322),"")</f>
        <v/>
      </c>
      <c r="AG323" s="36">
        <f>IF(ISNUMBER(AG317),SUM(AG317,AG318,AG319,AG320,AG321,AG322),"")</f>
        <v/>
      </c>
      <c r="AH323" s="36">
        <f>IF(ISNUMBER(AH317),SUM(AH317,AH318,AH319,AH320,AH321,AH322),"")</f>
        <v/>
      </c>
      <c r="AI323" s="36">
        <f>IF(ISNUMBER(AI317),SUM(AI317,AI318,AI319,AI320,AI321,AI322),"")</f>
        <v/>
      </c>
      <c r="AJ323" s="36">
        <f>IF(ISNUMBER(AJ317),SUM(AJ317,AJ318,AJ319,AJ320,AJ321,AJ322),"")</f>
        <v/>
      </c>
      <c r="AK323" s="36">
        <f>IF(ISNUMBER(AK317),SUM(AK317,AK318,AK319,AK320,AK321,AK322),"")</f>
        <v/>
      </c>
      <c r="AL323" s="36">
        <f>IF(ISNUMBER(AL317),SUM(AL317,AL318,AL319,AL320,AL321,AL322),"")</f>
        <v/>
      </c>
      <c r="AM323" s="36">
        <f>IF(ISNUMBER(AM317),SUM(AM317,AM318,AM319,AM320,AM321,AM322),"")</f>
        <v/>
      </c>
      <c r="AN323" s="36">
        <f>IF(ISNUMBER(AN317),SUM(AN317,AN318,AN319,AN320,AN321,AN322),"")</f>
        <v/>
      </c>
      <c r="AO323" s="36">
        <f>IF(ISNUMBER(AO317),SUM(AO317,AO318,AO319,AO320,AO321,AO322),"")</f>
        <v/>
      </c>
      <c r="AP323" s="36">
        <f>IF(ISNUMBER(AP317),SUM(AP317,AP318,AP319,AP320,AP321,AP322),"")</f>
        <v/>
      </c>
      <c r="AQ323" s="36">
        <f>IF(ISNUMBER(AQ317),SUM(AQ317,AQ318,AQ319,AQ320,AQ321,AQ322),"")</f>
        <v/>
      </c>
      <c r="AR323" s="36">
        <f>IF(ISNUMBER(AR317),SUM(AR317,AR318,AR319,AR320,AR321,AR322),"")</f>
        <v/>
      </c>
      <c r="AS323" s="36">
        <f>IF(ISNUMBER(AS317),SUM(AS317,AS318,AS319,AS320,AS321,AS322),"")</f>
        <v/>
      </c>
      <c r="AT323" s="36">
        <f>IF(ISNUMBER(AT317),SUM(AT317,AT318,AT319,AT320,AT321,AT322),"")</f>
        <v/>
      </c>
      <c r="AU323" s="18" t="n"/>
      <c r="AV323" s="18" t="n"/>
      <c r="AW323" s="18">
        <f>SUM(AW317,AW318,AW319,AW320,AW321,AW322)</f>
        <v/>
      </c>
      <c r="AX323" s="18">
        <f>SUM(AX317,AX318,AX319,AX320,AX321,AX322)</f>
        <v/>
      </c>
      <c r="AY323" s="18">
        <f>SUM(AY317,AY318,AY319,AY320,AY321,AY322)</f>
        <v/>
      </c>
      <c r="AZ323" s="18">
        <f>SUM(AZ317,AZ318,AZ319,AZ320,AZ321,AZ322)</f>
        <v/>
      </c>
      <c r="BA323" s="18">
        <f>SUM(BA317,BA318,BA319,BA320,BA321,BA322)</f>
        <v/>
      </c>
      <c r="BB323" s="26" t="n"/>
    </row>
    <row r="324">
      <c r="B324" s="27" t="inlineStr">
        <is>
          <t xml:space="preserve">  Restricted cash and cash equivalents — non-current</t>
        </is>
      </c>
      <c r="C324" s="43" t="n"/>
      <c r="D324" s="44" t="n">
        <v>1293</v>
      </c>
      <c r="E324" s="43" t="n"/>
      <c r="F324" s="43" t="n"/>
      <c r="G324" s="43" t="n"/>
      <c r="H324" s="44" t="n">
        <v>1736</v>
      </c>
      <c r="I324" s="44" t="n">
        <v>1736</v>
      </c>
      <c r="J324" s="44" t="n">
        <v>1801</v>
      </c>
      <c r="K324" s="44" t="n">
        <v>1809</v>
      </c>
      <c r="L324" s="44" t="n">
        <v>1958</v>
      </c>
      <c r="M324" s="44" t="n">
        <v>1095</v>
      </c>
      <c r="N324" s="44" t="n">
        <v>1095</v>
      </c>
      <c r="O324" s="44" t="n">
        <v>1171</v>
      </c>
      <c r="P324" s="44" t="n">
        <v>1224</v>
      </c>
      <c r="Q324" s="44" t="n">
        <v>1394</v>
      </c>
      <c r="R324" s="44" t="n">
        <v>1494</v>
      </c>
      <c r="S324" s="44" t="n">
        <v>1494</v>
      </c>
      <c r="T324" s="44" t="n">
        <v>1524</v>
      </c>
      <c r="U324" s="44" t="n">
        <v>1687</v>
      </c>
      <c r="V324" s="44" t="n">
        <v>2894</v>
      </c>
      <c r="W324" s="44" t="n">
        <v>2879</v>
      </c>
      <c r="X324" s="44" t="n">
        <v>2879</v>
      </c>
      <c r="Y324" s="44" t="n">
        <v>2865</v>
      </c>
      <c r="Z324" s="44" t="n">
        <v>2941</v>
      </c>
      <c r="AA324" s="44" t="n">
        <v>3176</v>
      </c>
      <c r="AB324" s="44" t="n">
        <v>1789</v>
      </c>
      <c r="AC324" s="44" t="n">
        <v>1789</v>
      </c>
      <c r="AD324" s="44" t="n">
        <v>1851</v>
      </c>
      <c r="AE324" s="44" t="n">
        <v>2556</v>
      </c>
      <c r="AF324" s="44" t="n">
        <v>1584</v>
      </c>
      <c r="AG324" s="44" t="n">
        <v>1519</v>
      </c>
      <c r="AH324" s="44" t="n">
        <v>1519</v>
      </c>
      <c r="AI324" s="44" t="n">
        <v>2157</v>
      </c>
      <c r="AJ324" s="44" t="n">
        <v>2608</v>
      </c>
      <c r="AK324" s="44" t="n">
        <v>1920</v>
      </c>
      <c r="AL324" s="44" t="n">
        <v>2172</v>
      </c>
      <c r="AM324" s="44" t="n">
        <v>2172</v>
      </c>
      <c r="AN324" s="44" t="n">
        <v>2215</v>
      </c>
      <c r="AO324" s="44" t="n">
        <v>2038</v>
      </c>
      <c r="AP324" s="44" t="n">
        <v>2574</v>
      </c>
      <c r="AQ324" s="44" t="n">
        <v>1911</v>
      </c>
      <c r="AR324" s="44" t="n">
        <v>1911</v>
      </c>
      <c r="AS324" s="44" t="n">
        <v>1872</v>
      </c>
      <c r="AT324" s="44" t="n">
        <v>1646</v>
      </c>
      <c r="AU324" s="45" t="n"/>
      <c r="AV324" s="45" t="n"/>
      <c r="AW324" s="45">
        <f>AT324</f>
        <v/>
      </c>
      <c r="AX324" s="45">
        <f>AW324</f>
        <v/>
      </c>
      <c r="AY324" s="45">
        <f>AX324</f>
        <v/>
      </c>
      <c r="AZ324" s="45">
        <f>AY324</f>
        <v/>
      </c>
      <c r="BA324" s="45">
        <f>AZ324</f>
        <v/>
      </c>
      <c r="BB324" s="26" t="n"/>
    </row>
    <row r="325">
      <c r="B325" s="27" t="inlineStr">
        <is>
          <t xml:space="preserve">  Restricted investments &amp; collateral held by insurer (insurance float)</t>
        </is>
      </c>
      <c r="C325" s="43" t="n"/>
      <c r="D325" s="43" t="n"/>
      <c r="E325" s="43" t="n"/>
      <c r="F325" s="43" t="n"/>
      <c r="G325" s="43" t="n"/>
      <c r="H325" s="44" t="n">
        <v>0</v>
      </c>
      <c r="I325" s="44" t="n">
        <v>0</v>
      </c>
      <c r="J325" s="43" t="n"/>
      <c r="K325" s="43" t="n"/>
      <c r="L325" s="43" t="n"/>
      <c r="M325" s="44" t="n">
        <v>1199</v>
      </c>
      <c r="N325" s="44" t="n">
        <v>1199</v>
      </c>
      <c r="O325" s="44" t="n">
        <v>1107</v>
      </c>
      <c r="P325" s="44" t="n">
        <v>1021</v>
      </c>
      <c r="Q325" s="44" t="n">
        <v>940</v>
      </c>
      <c r="R325" s="44" t="n">
        <v>860</v>
      </c>
      <c r="S325" s="44" t="n">
        <v>860</v>
      </c>
      <c r="T325" s="44" t="n">
        <v>752</v>
      </c>
      <c r="U325" s="44" t="n">
        <v>724</v>
      </c>
      <c r="V325" s="44" t="n">
        <v>0</v>
      </c>
      <c r="W325" s="44" t="n">
        <v>0</v>
      </c>
      <c r="X325" s="44" t="n">
        <v>0</v>
      </c>
      <c r="Y325" s="43" t="n"/>
      <c r="Z325" s="43" t="n"/>
      <c r="AA325" s="43" t="n"/>
      <c r="AB325" s="44" t="n">
        <v>1614</v>
      </c>
      <c r="AC325" s="44" t="n">
        <v>1614</v>
      </c>
      <c r="AD325" s="44" t="n">
        <v>1964</v>
      </c>
      <c r="AE325" s="44" t="n">
        <v>1808</v>
      </c>
      <c r="AF325" s="44" t="n">
        <v>3944</v>
      </c>
      <c r="AG325" s="44" t="n">
        <v>4779</v>
      </c>
      <c r="AH325" s="44" t="n">
        <v>4779</v>
      </c>
      <c r="AI325" s="44" t="n">
        <v>4812</v>
      </c>
      <c r="AJ325" s="44" t="n">
        <v>5061</v>
      </c>
      <c r="AK325" s="44" t="n">
        <v>6552</v>
      </c>
      <c r="AL325" s="44" t="n">
        <v>7019</v>
      </c>
      <c r="AM325" s="44" t="n">
        <v>7019</v>
      </c>
      <c r="AN325" s="44" t="n">
        <v>7371</v>
      </c>
      <c r="AO325" s="44" t="n">
        <v>7864</v>
      </c>
      <c r="AP325" s="44" t="n">
        <v>7882</v>
      </c>
      <c r="AQ325" s="44" t="n">
        <v>8874</v>
      </c>
      <c r="AR325" s="44" t="n">
        <v>8874</v>
      </c>
      <c r="AS325" s="44" t="n">
        <v>9026</v>
      </c>
      <c r="AT325" s="44" t="n">
        <v>9486</v>
      </c>
      <c r="AU325" s="45" t="n"/>
      <c r="AV325" s="45" t="n"/>
      <c r="AW325" s="45">
        <f>AT325</f>
        <v/>
      </c>
      <c r="AX325" s="45">
        <f>AW325</f>
        <v/>
      </c>
      <c r="AY325" s="45">
        <f>AX325</f>
        <v/>
      </c>
      <c r="AZ325" s="45">
        <f>AY325</f>
        <v/>
      </c>
      <c r="BA325" s="45">
        <f>AZ325</f>
        <v/>
      </c>
      <c r="BB325" s="26" t="n"/>
    </row>
    <row r="326">
      <c r="B326" s="27" t="inlineStr">
        <is>
          <t xml:space="preserve">  Investments — marketable &amp; non-marketable securities (Didi, Aurora, Grab, Lime, other)</t>
        </is>
      </c>
      <c r="C326" s="43" t="n"/>
      <c r="D326" s="44" t="n">
        <v>5969</v>
      </c>
      <c r="E326" s="43" t="n"/>
      <c r="F326" s="43" t="n"/>
      <c r="G326" s="43" t="n"/>
      <c r="H326" s="44" t="n">
        <v>10355</v>
      </c>
      <c r="I326" s="44" t="n">
        <v>10355</v>
      </c>
      <c r="J326" s="44" t="n">
        <v>10396</v>
      </c>
      <c r="K326" s="44" t="n">
        <v>10415</v>
      </c>
      <c r="L326" s="44" t="n">
        <v>10412</v>
      </c>
      <c r="M326" s="44" t="n">
        <v>10527</v>
      </c>
      <c r="N326" s="44" t="n">
        <v>10527</v>
      </c>
      <c r="O326" s="44" t="n">
        <v>8687</v>
      </c>
      <c r="P326" s="44" t="n">
        <v>8813</v>
      </c>
      <c r="Q326" s="44" t="n">
        <v>8983</v>
      </c>
      <c r="R326" s="44" t="n">
        <v>9052</v>
      </c>
      <c r="S326" s="44" t="n">
        <v>9052</v>
      </c>
      <c r="T326" s="44" t="n">
        <v>11794</v>
      </c>
      <c r="U326" s="44" t="n">
        <v>13774</v>
      </c>
      <c r="V326" s="44" t="n">
        <v>12239</v>
      </c>
      <c r="W326" s="44" t="n">
        <v>11806</v>
      </c>
      <c r="X326" s="44" t="n">
        <v>11806</v>
      </c>
      <c r="Y326" s="44" t="n">
        <v>6247</v>
      </c>
      <c r="Z326" s="44" t="n">
        <v>4572</v>
      </c>
      <c r="AA326" s="44" t="n">
        <v>3643</v>
      </c>
      <c r="AB326" s="44" t="n">
        <v>4401</v>
      </c>
      <c r="AC326" s="44" t="n">
        <v>4401</v>
      </c>
      <c r="AD326" s="44" t="n">
        <v>4718</v>
      </c>
      <c r="AE326" s="44" t="n">
        <v>5108</v>
      </c>
      <c r="AF326" s="44" t="n">
        <v>5091</v>
      </c>
      <c r="AG326" s="44" t="n">
        <v>6101</v>
      </c>
      <c r="AH326" s="44" t="n">
        <v>6101</v>
      </c>
      <c r="AI326" s="44" t="n">
        <v>5587</v>
      </c>
      <c r="AJ326" s="44" t="n">
        <v>6203</v>
      </c>
      <c r="AK326" s="44" t="n">
        <v>7921</v>
      </c>
      <c r="AL326" s="44" t="n">
        <v>8460</v>
      </c>
      <c r="AM326" s="44" t="n">
        <v>8460</v>
      </c>
      <c r="AN326" s="44" t="n">
        <v>8746</v>
      </c>
      <c r="AO326" s="44" t="n">
        <v>8660</v>
      </c>
      <c r="AP326" s="44" t="n">
        <v>10330</v>
      </c>
      <c r="AQ326" s="44" t="n">
        <v>9178</v>
      </c>
      <c r="AR326" s="44" t="n">
        <v>9178</v>
      </c>
      <c r="AS326" s="44" t="n">
        <v>8109</v>
      </c>
      <c r="AT326" s="44" t="n">
        <v>8759</v>
      </c>
      <c r="AU326" s="45" t="n"/>
      <c r="AV326" s="45" t="n"/>
      <c r="AW326" s="45">
        <f>AT326-182</f>
        <v/>
      </c>
      <c r="AX326" s="45">
        <f>AW326</f>
        <v/>
      </c>
      <c r="AY326" s="45">
        <f>AX326</f>
        <v/>
      </c>
      <c r="AZ326" s="45">
        <f>AY326</f>
        <v/>
      </c>
      <c r="BA326" s="45">
        <f>AZ326</f>
        <v/>
      </c>
      <c r="BB326" s="19" t="inlineStr">
        <is>
          <t>2026E: − $182m Aurora shares sold Sep-2026. Carried at fair value / measurement alternative; added back in valuation.</t>
        </is>
      </c>
    </row>
    <row r="327">
      <c r="B327" s="27" t="inlineStr">
        <is>
          <t xml:space="preserve">  Equity method investments (incl. ~24.8% Delivery Hero stake from Q2/26)</t>
        </is>
      </c>
      <c r="C327" s="43" t="n"/>
      <c r="D327" s="44" t="n">
        <v>0</v>
      </c>
      <c r="E327" s="43" t="n"/>
      <c r="F327" s="43" t="n"/>
      <c r="G327" s="43" t="n"/>
      <c r="H327" s="44" t="n">
        <v>1312</v>
      </c>
      <c r="I327" s="44" t="n">
        <v>1312</v>
      </c>
      <c r="J327" s="44" t="n">
        <v>1320</v>
      </c>
      <c r="K327" s="44" t="n">
        <v>1370</v>
      </c>
      <c r="L327" s="44" t="n">
        <v>1393</v>
      </c>
      <c r="M327" s="44" t="n">
        <v>1364</v>
      </c>
      <c r="N327" s="44" t="n">
        <v>1364</v>
      </c>
      <c r="O327" s="44" t="n">
        <v>1299</v>
      </c>
      <c r="P327" s="44" t="n">
        <v>1062</v>
      </c>
      <c r="Q327" s="44" t="n">
        <v>1190</v>
      </c>
      <c r="R327" s="44" t="n">
        <v>1079</v>
      </c>
      <c r="S327" s="44" t="n">
        <v>1079</v>
      </c>
      <c r="T327" s="44" t="n">
        <v>1127</v>
      </c>
      <c r="U327" s="44" t="n">
        <v>1097</v>
      </c>
      <c r="V327" s="44" t="n">
        <v>971</v>
      </c>
      <c r="W327" s="44" t="n">
        <v>800</v>
      </c>
      <c r="X327" s="44" t="n">
        <v>800</v>
      </c>
      <c r="Y327" s="44" t="n">
        <v>624</v>
      </c>
      <c r="Z327" s="44" t="n">
        <v>521</v>
      </c>
      <c r="AA327" s="44" t="n">
        <v>902</v>
      </c>
      <c r="AB327" s="44" t="n">
        <v>870</v>
      </c>
      <c r="AC327" s="44" t="n">
        <v>870</v>
      </c>
      <c r="AD327" s="44" t="n">
        <v>740</v>
      </c>
      <c r="AE327" s="44" t="n">
        <v>59</v>
      </c>
      <c r="AF327" s="44" t="n">
        <v>50</v>
      </c>
      <c r="AG327" s="44" t="n">
        <v>353</v>
      </c>
      <c r="AH327" s="44" t="n">
        <v>353</v>
      </c>
      <c r="AI327" s="44" t="n">
        <v>354</v>
      </c>
      <c r="AJ327" s="44" t="n">
        <v>342</v>
      </c>
      <c r="AK327" s="44" t="n">
        <v>314</v>
      </c>
      <c r="AL327" s="44" t="n">
        <v>302</v>
      </c>
      <c r="AM327" s="44" t="n">
        <v>302</v>
      </c>
      <c r="AN327" s="44" t="n">
        <v>338</v>
      </c>
      <c r="AO327" s="44" t="n">
        <v>331</v>
      </c>
      <c r="AP327" s="44" t="n">
        <v>315</v>
      </c>
      <c r="AQ327" s="44" t="n">
        <v>287</v>
      </c>
      <c r="AR327" s="44" t="n">
        <v>287</v>
      </c>
      <c r="AS327" s="44" t="n">
        <v>268</v>
      </c>
      <c r="AT327" s="44" t="n">
        <v>3773</v>
      </c>
      <c r="AU327" s="45" t="n"/>
      <c r="AV327" s="45" t="n"/>
      <c r="AW327" s="45">
        <f>AT327+AU164+AV164</f>
        <v/>
      </c>
      <c r="AX327" s="45">
        <f>AW327+AX164-N(AX386)*$BL$19*(AX64&gt;0)</f>
        <v/>
      </c>
      <c r="AY327" s="45">
        <f>AX327+AY164-N(AY386)*$BL$19*(AY64&gt;0)</f>
        <v/>
      </c>
      <c r="AZ327" s="45">
        <f>AY327+AZ164-N(AZ386)*$BL$19*(AZ64&gt;0)</f>
        <v/>
      </c>
      <c r="BA327" s="45">
        <f>AZ327+BA164-N(BA386)*$BL$19*(BA64&gt;0)</f>
        <v/>
      </c>
      <c r="BB327" s="19" t="inlineStr">
        <is>
          <t>2027E: Delivery Hero stake derecognised on consolidation.</t>
        </is>
      </c>
    </row>
    <row r="328">
      <c r="B328" s="27" t="inlineStr">
        <is>
          <t xml:space="preserve">  Property and equipment, net</t>
        </is>
      </c>
      <c r="C328" s="43" t="n"/>
      <c r="D328" s="44" t="n">
        <v>1192</v>
      </c>
      <c r="E328" s="43" t="n"/>
      <c r="F328" s="43" t="n"/>
      <c r="G328" s="43" t="n"/>
      <c r="H328" s="44" t="n">
        <v>1641</v>
      </c>
      <c r="I328" s="44" t="n">
        <v>1641</v>
      </c>
      <c r="J328" s="44" t="n">
        <v>1325</v>
      </c>
      <c r="K328" s="44" t="n">
        <v>1447</v>
      </c>
      <c r="L328" s="44" t="n">
        <v>1537</v>
      </c>
      <c r="M328" s="44" t="n">
        <v>1731</v>
      </c>
      <c r="N328" s="44" t="n">
        <v>1731</v>
      </c>
      <c r="O328" s="44" t="n">
        <v>1851</v>
      </c>
      <c r="P328" s="44" t="n">
        <v>1846</v>
      </c>
      <c r="Q328" s="44" t="n">
        <v>1883</v>
      </c>
      <c r="R328" s="44" t="n">
        <v>1814</v>
      </c>
      <c r="S328" s="44" t="n">
        <v>1814</v>
      </c>
      <c r="T328" s="44" t="n">
        <v>1757</v>
      </c>
      <c r="U328" s="44" t="n">
        <v>1776</v>
      </c>
      <c r="V328" s="44" t="n">
        <v>1781</v>
      </c>
      <c r="W328" s="44" t="n">
        <v>1853</v>
      </c>
      <c r="X328" s="44" t="n">
        <v>1853</v>
      </c>
      <c r="Y328" s="44" t="n">
        <v>1853</v>
      </c>
      <c r="Z328" s="44" t="n">
        <v>1861</v>
      </c>
      <c r="AA328" s="44" t="n">
        <v>1942</v>
      </c>
      <c r="AB328" s="44" t="n">
        <v>2082</v>
      </c>
      <c r="AC328" s="44" t="n">
        <v>2082</v>
      </c>
      <c r="AD328" s="44" t="n">
        <v>2142</v>
      </c>
      <c r="AE328" s="44" t="n">
        <v>2116</v>
      </c>
      <c r="AF328" s="44" t="n">
        <v>2100</v>
      </c>
      <c r="AG328" s="44" t="n">
        <v>2073</v>
      </c>
      <c r="AH328" s="44" t="n">
        <v>2073</v>
      </c>
      <c r="AI328" s="44" t="n">
        <v>2033</v>
      </c>
      <c r="AJ328" s="44" t="n">
        <v>2034</v>
      </c>
      <c r="AK328" s="44" t="n">
        <v>1982</v>
      </c>
      <c r="AL328" s="44" t="n">
        <v>1952</v>
      </c>
      <c r="AM328" s="44" t="n">
        <v>1952</v>
      </c>
      <c r="AN328" s="44" t="n">
        <v>1941</v>
      </c>
      <c r="AO328" s="44" t="n">
        <v>1948</v>
      </c>
      <c r="AP328" s="44" t="n">
        <v>1930</v>
      </c>
      <c r="AQ328" s="44" t="n">
        <v>1897</v>
      </c>
      <c r="AR328" s="44" t="n">
        <v>1897</v>
      </c>
      <c r="AS328" s="44" t="n">
        <v>1842</v>
      </c>
      <c r="AT328" s="44" t="n">
        <v>1809</v>
      </c>
      <c r="AU328" s="45" t="n"/>
      <c r="AV328" s="45" t="n"/>
      <c r="AW328" s="45">
        <f>AT328-(AW273-(AS273+AT273))-((AU155+AV155)-(AU172+AV172))+AW400/2</f>
        <v/>
      </c>
      <c r="AX328" s="45">
        <f>AW328-AX273-(AX155-AX172)+AX400+N(AX390)</f>
        <v/>
      </c>
      <c r="AY328" s="45">
        <f>AX328-AY273-(AY155-AY172)+AY400+N(AY390)</f>
        <v/>
      </c>
      <c r="AZ328" s="45">
        <f>AY328-AZ273-(AZ155-AZ172)+AZ400+N(AZ390)</f>
        <v/>
      </c>
      <c r="BA328" s="45">
        <f>AZ328-BA273-(BA155-BA172)+BA400+N(BA390)</f>
        <v/>
      </c>
      <c r="BB328" s="19" t="inlineStr">
        <is>
          <t>Roll-forward: prior + capex + finance-lease additions − depreciation (D&amp;A less intangible amortization) + PP&amp;E acquired with Delivery Hero.</t>
        </is>
      </c>
    </row>
    <row r="329">
      <c r="B329" s="27" t="inlineStr">
        <is>
          <t xml:space="preserve">  Operating lease right-of-use assets</t>
        </is>
      </c>
      <c r="C329" s="43" t="n"/>
      <c r="D329" s="43" t="n"/>
      <c r="E329" s="43" t="n"/>
      <c r="F329" s="43" t="n"/>
      <c r="G329" s="43" t="n"/>
      <c r="H329" s="43" t="n"/>
      <c r="I329" s="43" t="n"/>
      <c r="J329" s="44" t="n">
        <v>1323</v>
      </c>
      <c r="K329" s="44" t="n">
        <v>1337</v>
      </c>
      <c r="L329" s="44" t="n">
        <v>1538</v>
      </c>
      <c r="M329" s="44" t="n">
        <v>1594</v>
      </c>
      <c r="N329" s="44" t="n">
        <v>1594</v>
      </c>
      <c r="O329" s="44" t="n">
        <v>1589</v>
      </c>
      <c r="P329" s="44" t="n">
        <v>1441</v>
      </c>
      <c r="Q329" s="44" t="n">
        <v>1327</v>
      </c>
      <c r="R329" s="44" t="n">
        <v>1274</v>
      </c>
      <c r="S329" s="44" t="n">
        <v>1274</v>
      </c>
      <c r="T329" s="44" t="n">
        <v>1267</v>
      </c>
      <c r="U329" s="44" t="n">
        <v>1238</v>
      </c>
      <c r="V329" s="44" t="n">
        <v>1218</v>
      </c>
      <c r="W329" s="44" t="n">
        <v>1388</v>
      </c>
      <c r="X329" s="44" t="n">
        <v>1388</v>
      </c>
      <c r="Y329" s="44" t="n">
        <v>1439</v>
      </c>
      <c r="Z329" s="44" t="n">
        <v>1481</v>
      </c>
      <c r="AA329" s="44" t="n">
        <v>1405</v>
      </c>
      <c r="AB329" s="44" t="n">
        <v>1449</v>
      </c>
      <c r="AC329" s="44" t="n">
        <v>1449</v>
      </c>
      <c r="AD329" s="44" t="n">
        <v>1335</v>
      </c>
      <c r="AE329" s="44" t="n">
        <v>1295</v>
      </c>
      <c r="AF329" s="44" t="n">
        <v>1259</v>
      </c>
      <c r="AG329" s="44" t="n">
        <v>1241</v>
      </c>
      <c r="AH329" s="44" t="n">
        <v>1241</v>
      </c>
      <c r="AI329" s="44" t="n">
        <v>1216</v>
      </c>
      <c r="AJ329" s="44" t="n">
        <v>1181</v>
      </c>
      <c r="AK329" s="44" t="n">
        <v>1190</v>
      </c>
      <c r="AL329" s="44" t="n">
        <v>1158</v>
      </c>
      <c r="AM329" s="44" t="n">
        <v>1158</v>
      </c>
      <c r="AN329" s="44" t="n">
        <v>1162</v>
      </c>
      <c r="AO329" s="44" t="n">
        <v>1153</v>
      </c>
      <c r="AP329" s="44" t="n">
        <v>1126</v>
      </c>
      <c r="AQ329" s="44" t="n">
        <v>1114</v>
      </c>
      <c r="AR329" s="44" t="n">
        <v>1114</v>
      </c>
      <c r="AS329" s="44" t="n">
        <v>1458</v>
      </c>
      <c r="AT329" s="44" t="n">
        <v>1558</v>
      </c>
      <c r="AU329" s="45" t="n"/>
      <c r="AV329" s="45" t="n"/>
      <c r="AW329" s="45">
        <f>AT329</f>
        <v/>
      </c>
      <c r="AX329" s="45">
        <f>AW329</f>
        <v/>
      </c>
      <c r="AY329" s="45">
        <f>AX329</f>
        <v/>
      </c>
      <c r="AZ329" s="45">
        <f>AY329</f>
        <v/>
      </c>
      <c r="BA329" s="45">
        <f>AZ329</f>
        <v/>
      </c>
      <c r="BB329" s="26" t="n"/>
    </row>
    <row r="330">
      <c r="B330" s="27" t="inlineStr">
        <is>
          <t xml:space="preserve">  Intangible assets, net</t>
        </is>
      </c>
      <c r="C330" s="43" t="n"/>
      <c r="D330" s="44" t="n">
        <v>54</v>
      </c>
      <c r="E330" s="43" t="n"/>
      <c r="F330" s="43" t="n"/>
      <c r="G330" s="43" t="n"/>
      <c r="H330" s="44" t="n">
        <v>82</v>
      </c>
      <c r="I330" s="44" t="n">
        <v>82</v>
      </c>
      <c r="J330" s="44" t="n">
        <v>78</v>
      </c>
      <c r="K330" s="44" t="n">
        <v>78</v>
      </c>
      <c r="L330" s="44" t="n">
        <v>74</v>
      </c>
      <c r="M330" s="44" t="n">
        <v>71</v>
      </c>
      <c r="N330" s="44" t="n">
        <v>71</v>
      </c>
      <c r="O330" s="44" t="n">
        <v>560</v>
      </c>
      <c r="P330" s="44" t="n">
        <v>533</v>
      </c>
      <c r="Q330" s="44" t="n">
        <v>654</v>
      </c>
      <c r="R330" s="44" t="n">
        <v>1564</v>
      </c>
      <c r="S330" s="44" t="n">
        <v>1564</v>
      </c>
      <c r="T330" s="44" t="n">
        <v>1455</v>
      </c>
      <c r="U330" s="44" t="n">
        <v>1378</v>
      </c>
      <c r="V330" s="44" t="n">
        <v>1278</v>
      </c>
      <c r="W330" s="44" t="n">
        <v>2412</v>
      </c>
      <c r="X330" s="44" t="n">
        <v>2412</v>
      </c>
      <c r="Y330" s="44" t="n">
        <v>2269</v>
      </c>
      <c r="Z330" s="44" t="n">
        <v>2122</v>
      </c>
      <c r="AA330" s="44" t="n">
        <v>1992</v>
      </c>
      <c r="AB330" s="44" t="n">
        <v>1874</v>
      </c>
      <c r="AC330" s="44" t="n">
        <v>1874</v>
      </c>
      <c r="AD330" s="44" t="n">
        <v>1766</v>
      </c>
      <c r="AE330" s="44" t="n">
        <v>1607</v>
      </c>
      <c r="AF330" s="44" t="n">
        <v>1511</v>
      </c>
      <c r="AG330" s="44" t="n">
        <v>1425</v>
      </c>
      <c r="AH330" s="44" t="n">
        <v>1425</v>
      </c>
      <c r="AI330" s="44" t="n">
        <v>1335</v>
      </c>
      <c r="AJ330" s="44" t="n">
        <v>1265</v>
      </c>
      <c r="AK330" s="44" t="n">
        <v>1192</v>
      </c>
      <c r="AL330" s="44" t="n">
        <v>1125</v>
      </c>
      <c r="AM330" s="44" t="n">
        <v>1125</v>
      </c>
      <c r="AN330" s="44" t="n">
        <v>1065</v>
      </c>
      <c r="AO330" s="44" t="n">
        <v>1187</v>
      </c>
      <c r="AP330" s="44" t="n">
        <v>1104</v>
      </c>
      <c r="AQ330" s="44" t="n">
        <v>1048</v>
      </c>
      <c r="AR330" s="44" t="n">
        <v>1048</v>
      </c>
      <c r="AS330" s="44" t="n">
        <v>990</v>
      </c>
      <c r="AT330" s="44" t="n">
        <v>1132</v>
      </c>
      <c r="AU330" s="45" t="n"/>
      <c r="AV330" s="45" t="n"/>
      <c r="AW330" s="45">
        <f>AT330-(AU172+AV172)</f>
        <v/>
      </c>
      <c r="AX330" s="45">
        <f>AW330-AX172+N(AX392)+AX83*AX93</f>
        <v/>
      </c>
      <c r="AY330" s="45">
        <f>AX330-AY172+N(AY392)+AY83*AY93</f>
        <v/>
      </c>
      <c r="AZ330" s="45">
        <f>AY330-AZ172+N(AZ392)+AZ83*AZ93</f>
        <v/>
      </c>
      <c r="BA330" s="45">
        <f>AZ330-BA172+N(BA392)+BA83*BA93</f>
        <v/>
      </c>
      <c r="BB330" s="26" t="n"/>
    </row>
    <row r="331">
      <c r="B331" s="27" t="inlineStr">
        <is>
          <t xml:space="preserve">  Goodwill</t>
        </is>
      </c>
      <c r="C331" s="43" t="n"/>
      <c r="D331" s="44" t="n">
        <v>39</v>
      </c>
      <c r="E331" s="43" t="n"/>
      <c r="F331" s="43" t="n"/>
      <c r="G331" s="43" t="n"/>
      <c r="H331" s="44" t="n">
        <v>153</v>
      </c>
      <c r="I331" s="44" t="n">
        <v>153</v>
      </c>
      <c r="J331" s="44" t="n">
        <v>153</v>
      </c>
      <c r="K331" s="44" t="n">
        <v>167</v>
      </c>
      <c r="L331" s="44" t="n">
        <v>167</v>
      </c>
      <c r="M331" s="44" t="n">
        <v>167</v>
      </c>
      <c r="N331" s="44" t="n">
        <v>167</v>
      </c>
      <c r="O331" s="44" t="n">
        <v>2566</v>
      </c>
      <c r="P331" s="44" t="n">
        <v>2518</v>
      </c>
      <c r="Q331" s="44" t="n">
        <v>2988</v>
      </c>
      <c r="R331" s="44" t="n">
        <v>6109</v>
      </c>
      <c r="S331" s="44" t="n">
        <v>6109</v>
      </c>
      <c r="T331" s="44" t="n">
        <v>6352</v>
      </c>
      <c r="U331" s="44" t="n">
        <v>6448</v>
      </c>
      <c r="V331" s="44" t="n">
        <v>6447</v>
      </c>
      <c r="W331" s="44" t="n">
        <v>8420</v>
      </c>
      <c r="X331" s="44" t="n">
        <v>8420</v>
      </c>
      <c r="Y331" s="44" t="n">
        <v>8435</v>
      </c>
      <c r="Z331" s="44" t="n">
        <v>8359</v>
      </c>
      <c r="AA331" s="44" t="n">
        <v>8300</v>
      </c>
      <c r="AB331" s="44" t="n">
        <v>8263</v>
      </c>
      <c r="AC331" s="44" t="n">
        <v>8263</v>
      </c>
      <c r="AD331" s="44" t="n">
        <v>8185</v>
      </c>
      <c r="AE331" s="44" t="n">
        <v>8151</v>
      </c>
      <c r="AF331" s="44" t="n">
        <v>8140</v>
      </c>
      <c r="AG331" s="44" t="n">
        <v>8151</v>
      </c>
      <c r="AH331" s="44" t="n">
        <v>8151</v>
      </c>
      <c r="AI331" s="44" t="n">
        <v>8089</v>
      </c>
      <c r="AJ331" s="44" t="n">
        <v>8083</v>
      </c>
      <c r="AK331" s="44" t="n">
        <v>8086</v>
      </c>
      <c r="AL331" s="44" t="n">
        <v>8066</v>
      </c>
      <c r="AM331" s="44" t="n">
        <v>8066</v>
      </c>
      <c r="AN331" s="44" t="n">
        <v>8069</v>
      </c>
      <c r="AO331" s="44" t="n">
        <v>8907</v>
      </c>
      <c r="AP331" s="44" t="n">
        <v>8917</v>
      </c>
      <c r="AQ331" s="44" t="n">
        <v>8931</v>
      </c>
      <c r="AR331" s="44" t="n">
        <v>8931</v>
      </c>
      <c r="AS331" s="44" t="n">
        <v>8919</v>
      </c>
      <c r="AT331" s="44" t="n">
        <v>9472</v>
      </c>
      <c r="AU331" s="45" t="n"/>
      <c r="AV331" s="45" t="n"/>
      <c r="AW331" s="45">
        <f>AT331</f>
        <v/>
      </c>
      <c r="AX331" s="45">
        <f>AW331+N(AX396)+AX83*(1-AX93)</f>
        <v/>
      </c>
      <c r="AY331" s="45">
        <f>AX331+N(AY396)+AY83*(1-AY93)</f>
        <v/>
      </c>
      <c r="AZ331" s="45">
        <f>AY331+N(AZ396)+AZ83*(1-AZ93)</f>
        <v/>
      </c>
      <c r="BA331" s="45">
        <f>AZ331+N(BA396)+BA83*(1-BA93)</f>
        <v/>
      </c>
      <c r="BB331" s="26" t="n"/>
    </row>
    <row r="332">
      <c r="B332" s="27" t="inlineStr">
        <is>
          <t xml:space="preserve">  Deferred tax assets (on balance sheet from Q4/24 valuation-allowance release)</t>
        </is>
      </c>
      <c r="C332" s="43" t="n"/>
      <c r="D332" s="43" t="n"/>
      <c r="E332" s="43" t="n"/>
      <c r="F332" s="43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3" t="n"/>
      <c r="AB332" s="43" t="n"/>
      <c r="AC332" s="43" t="n"/>
      <c r="AD332" s="43" t="n"/>
      <c r="AE332" s="43" t="n"/>
      <c r="AF332" s="43" t="n"/>
      <c r="AG332" s="44" t="n">
        <v>170</v>
      </c>
      <c r="AH332" s="44" t="n">
        <v>170</v>
      </c>
      <c r="AI332" s="43" t="n"/>
      <c r="AJ332" s="43" t="n"/>
      <c r="AK332" s="43" t="n"/>
      <c r="AL332" s="44" t="n">
        <v>6171</v>
      </c>
      <c r="AM332" s="44" t="n">
        <v>6171</v>
      </c>
      <c r="AN332" s="44" t="n">
        <v>6592</v>
      </c>
      <c r="AO332" s="44" t="n">
        <v>6524</v>
      </c>
      <c r="AP332" s="44" t="n">
        <v>10710</v>
      </c>
      <c r="AQ332" s="44" t="n">
        <v>10951</v>
      </c>
      <c r="AR332" s="44" t="n">
        <v>10951</v>
      </c>
      <c r="AS332" s="44" t="n">
        <v>10844</v>
      </c>
      <c r="AT332" s="44" t="n">
        <v>10162</v>
      </c>
      <c r="AU332" s="45" t="n"/>
      <c r="AV332" s="45" t="n"/>
      <c r="AW332" s="45">
        <f>AT332</f>
        <v/>
      </c>
      <c r="AX332" s="45">
        <f>AW332</f>
        <v/>
      </c>
      <c r="AY332" s="45">
        <f>AX332</f>
        <v/>
      </c>
      <c r="AZ332" s="45">
        <f>AY332</f>
        <v/>
      </c>
      <c r="BA332" s="45">
        <f>AZ332</f>
        <v/>
      </c>
      <c r="BB332" s="26" t="n"/>
    </row>
    <row r="333">
      <c r="B333" s="27" t="inlineStr">
        <is>
          <t xml:space="preserve">  Other non-current assets (derived; incl. Delivery Hero total return swaps)</t>
        </is>
      </c>
      <c r="C333" s="44" t="n">
        <v>15713</v>
      </c>
      <c r="D333" s="44" t="n">
        <v>42</v>
      </c>
      <c r="E333" s="43" t="n"/>
      <c r="F333" s="43" t="n"/>
      <c r="G333" s="43" t="n"/>
      <c r="H333" s="44" t="n">
        <v>51</v>
      </c>
      <c r="I333" s="44" t="n">
        <v>51</v>
      </c>
      <c r="J333" s="44" t="n">
        <v>64</v>
      </c>
      <c r="K333" s="44" t="n">
        <v>57</v>
      </c>
      <c r="L333" s="44" t="n">
        <v>60</v>
      </c>
      <c r="M333" s="44" t="n">
        <v>88</v>
      </c>
      <c r="N333" s="44" t="n">
        <v>88</v>
      </c>
      <c r="O333" s="44" t="n">
        <v>146</v>
      </c>
      <c r="P333" s="44" t="n">
        <v>120</v>
      </c>
      <c r="Q333" s="44" t="n">
        <v>123</v>
      </c>
      <c r="R333" s="44" t="n">
        <v>124</v>
      </c>
      <c r="S333" s="44" t="n">
        <v>124</v>
      </c>
      <c r="T333" s="44" t="n">
        <v>332</v>
      </c>
      <c r="U333" s="44" t="n">
        <v>346</v>
      </c>
      <c r="V333" s="44" t="n">
        <v>372</v>
      </c>
      <c r="W333" s="44" t="n">
        <v>397</v>
      </c>
      <c r="X333" s="44" t="n">
        <v>397</v>
      </c>
      <c r="Y333" s="44" t="n">
        <v>415</v>
      </c>
      <c r="Z333" s="44" t="n">
        <v>406</v>
      </c>
      <c r="AA333" s="44" t="n">
        <v>384</v>
      </c>
      <c r="AB333" s="44" t="n">
        <v>518</v>
      </c>
      <c r="AC333" s="44" t="n">
        <v>518</v>
      </c>
      <c r="AD333" s="44" t="n">
        <v>554</v>
      </c>
      <c r="AE333" s="44" t="n">
        <v>704</v>
      </c>
      <c r="AF333" s="44" t="n">
        <v>1591</v>
      </c>
      <c r="AG333" s="44" t="n">
        <v>1590</v>
      </c>
      <c r="AH333" s="44" t="n">
        <v>1590</v>
      </c>
      <c r="AI333" s="44" t="n">
        <v>1942</v>
      </c>
      <c r="AJ333" s="44" t="n">
        <v>2254</v>
      </c>
      <c r="AK333" s="44" t="n">
        <v>2629</v>
      </c>
      <c r="AL333" s="44" t="n">
        <v>2574</v>
      </c>
      <c r="AM333" s="44" t="n">
        <v>2574</v>
      </c>
      <c r="AN333" s="44" t="n">
        <v>2973</v>
      </c>
      <c r="AO333" s="44" t="n">
        <v>3263</v>
      </c>
      <c r="AP333" s="44" t="n">
        <v>3317</v>
      </c>
      <c r="AQ333" s="44" t="n">
        <v>3618</v>
      </c>
      <c r="AR333" s="44" t="n">
        <v>3618</v>
      </c>
      <c r="AS333" s="44" t="n">
        <v>3734</v>
      </c>
      <c r="AT333" s="44" t="n">
        <v>5475</v>
      </c>
      <c r="AU333" s="45" t="n"/>
      <c r="AV333" s="45" t="n"/>
      <c r="AW333" s="45">
        <f>AT333</f>
        <v/>
      </c>
      <c r="AX333" s="45">
        <f>AW333-N(AX387)*$BL$19*(AX64&gt;0)</f>
        <v/>
      </c>
      <c r="AY333" s="45">
        <f>AX333-N(AY387)*$BL$19*(AY64&gt;0)</f>
        <v/>
      </c>
      <c r="AZ333" s="45">
        <f>AY333-N(AZ387)*$BL$19*(AZ64&gt;0)</f>
        <v/>
      </c>
      <c r="BA333" s="45">
        <f>AZ333-N(BA387)*$BL$19*(BA64&gt;0)</f>
        <v/>
      </c>
      <c r="BB333" s="26" t="n"/>
    </row>
    <row r="334">
      <c r="B334" s="52" t="inlineStr">
        <is>
          <t>TOTAL ASSETS</t>
        </is>
      </c>
      <c r="C334" s="53">
        <f>IF(ISNUMBER(C323),C323+SUM(C324,C325,C326,C327,C328,C329,C330,C331,C332,C333),"")</f>
        <v/>
      </c>
      <c r="D334" s="53">
        <f>IF(ISNUMBER(D323),D323+SUM(D324,D325,D326,D327,D328,D329,D330,D331,D332,D333),"")</f>
        <v/>
      </c>
      <c r="E334" s="53">
        <f>IF(ISNUMBER(E323),E323+SUM(E324,E325,E326,E327,E328,E329,E330,E331,E332,E333),"")</f>
        <v/>
      </c>
      <c r="F334" s="53">
        <f>IF(ISNUMBER(F323),F323+SUM(F324,F325,F326,F327,F328,F329,F330,F331,F332,F333),"")</f>
        <v/>
      </c>
      <c r="G334" s="53">
        <f>IF(ISNUMBER(G323),G323+SUM(G324,G325,G326,G327,G328,G329,G330,G331,G332,G333),"")</f>
        <v/>
      </c>
      <c r="H334" s="53">
        <f>IF(ISNUMBER(H323),H323+SUM(H324,H325,H326,H327,H328,H329,H330,H331,H332,H333),"")</f>
        <v/>
      </c>
      <c r="I334" s="53">
        <f>IF(ISNUMBER(I323),I323+SUM(I324,I325,I326,I327,I328,I329,I330,I331,I332,I333),"")</f>
        <v/>
      </c>
      <c r="J334" s="53">
        <f>IF(ISNUMBER(J323),J323+SUM(J324,J325,J326,J327,J328,J329,J330,J331,J332,J333),"")</f>
        <v/>
      </c>
      <c r="K334" s="53">
        <f>IF(ISNUMBER(K323),K323+SUM(K324,K325,K326,K327,K328,K329,K330,K331,K332,K333),"")</f>
        <v/>
      </c>
      <c r="L334" s="53">
        <f>IF(ISNUMBER(L323),L323+SUM(L324,L325,L326,L327,L328,L329,L330,L331,L332,L333),"")</f>
        <v/>
      </c>
      <c r="M334" s="53">
        <f>IF(ISNUMBER(M323),M323+SUM(M324,M325,M326,M327,M328,M329,M330,M331,M332,M333),"")</f>
        <v/>
      </c>
      <c r="N334" s="53">
        <f>IF(ISNUMBER(N323),N323+SUM(N324,N325,N326,N327,N328,N329,N330,N331,N332,N333),"")</f>
        <v/>
      </c>
      <c r="O334" s="53">
        <f>IF(ISNUMBER(O323),O323+SUM(O324,O325,O326,O327,O328,O329,O330,O331,O332,O333),"")</f>
        <v/>
      </c>
      <c r="P334" s="53">
        <f>IF(ISNUMBER(P323),P323+SUM(P324,P325,P326,P327,P328,P329,P330,P331,P332,P333),"")</f>
        <v/>
      </c>
      <c r="Q334" s="53">
        <f>IF(ISNUMBER(Q323),Q323+SUM(Q324,Q325,Q326,Q327,Q328,Q329,Q330,Q331,Q332,Q333),"")</f>
        <v/>
      </c>
      <c r="R334" s="53">
        <f>IF(ISNUMBER(R323),R323+SUM(R324,R325,R326,R327,R328,R329,R330,R331,R332,R333),"")</f>
        <v/>
      </c>
      <c r="S334" s="53">
        <f>IF(ISNUMBER(S323),S323+SUM(S324,S325,S326,S327,S328,S329,S330,S331,S332,S333),"")</f>
        <v/>
      </c>
      <c r="T334" s="53">
        <f>IF(ISNUMBER(T323),T323+SUM(T324,T325,T326,T327,T328,T329,T330,T331,T332,T333),"")</f>
        <v/>
      </c>
      <c r="U334" s="53">
        <f>IF(ISNUMBER(U323),U323+SUM(U324,U325,U326,U327,U328,U329,U330,U331,U332,U333),"")</f>
        <v/>
      </c>
      <c r="V334" s="53">
        <f>IF(ISNUMBER(V323),V323+SUM(V324,V325,V326,V327,V328,V329,V330,V331,V332,V333),"")</f>
        <v/>
      </c>
      <c r="W334" s="53">
        <f>IF(ISNUMBER(W323),W323+SUM(W324,W325,W326,W327,W328,W329,W330,W331,W332,W333),"")</f>
        <v/>
      </c>
      <c r="X334" s="53">
        <f>IF(ISNUMBER(X323),X323+SUM(X324,X325,X326,X327,X328,X329,X330,X331,X332,X333),"")</f>
        <v/>
      </c>
      <c r="Y334" s="53">
        <f>IF(ISNUMBER(Y323),Y323+SUM(Y324,Y325,Y326,Y327,Y328,Y329,Y330,Y331,Y332,Y333),"")</f>
        <v/>
      </c>
      <c r="Z334" s="53">
        <f>IF(ISNUMBER(Z323),Z323+SUM(Z324,Z325,Z326,Z327,Z328,Z329,Z330,Z331,Z332,Z333),"")</f>
        <v/>
      </c>
      <c r="AA334" s="53">
        <f>IF(ISNUMBER(AA323),AA323+SUM(AA324,AA325,AA326,AA327,AA328,AA329,AA330,AA331,AA332,AA333),"")</f>
        <v/>
      </c>
      <c r="AB334" s="53">
        <f>IF(ISNUMBER(AB323),AB323+SUM(AB324,AB325,AB326,AB327,AB328,AB329,AB330,AB331,AB332,AB333),"")</f>
        <v/>
      </c>
      <c r="AC334" s="53">
        <f>IF(ISNUMBER(AC323),AC323+SUM(AC324,AC325,AC326,AC327,AC328,AC329,AC330,AC331,AC332,AC333),"")</f>
        <v/>
      </c>
      <c r="AD334" s="53">
        <f>IF(ISNUMBER(AD323),AD323+SUM(AD324,AD325,AD326,AD327,AD328,AD329,AD330,AD331,AD332,AD333),"")</f>
        <v/>
      </c>
      <c r="AE334" s="53">
        <f>IF(ISNUMBER(AE323),AE323+SUM(AE324,AE325,AE326,AE327,AE328,AE329,AE330,AE331,AE332,AE333),"")</f>
        <v/>
      </c>
      <c r="AF334" s="53">
        <f>IF(ISNUMBER(AF323),AF323+SUM(AF324,AF325,AF326,AF327,AF328,AF329,AF330,AF331,AF332,AF333),"")</f>
        <v/>
      </c>
      <c r="AG334" s="53">
        <f>IF(ISNUMBER(AG323),AG323+SUM(AG324,AG325,AG326,AG327,AG328,AG329,AG330,AG331,AG332,AG333),"")</f>
        <v/>
      </c>
      <c r="AH334" s="53">
        <f>IF(ISNUMBER(AH323),AH323+SUM(AH324,AH325,AH326,AH327,AH328,AH329,AH330,AH331,AH332,AH333),"")</f>
        <v/>
      </c>
      <c r="AI334" s="53">
        <f>IF(ISNUMBER(AI323),AI323+SUM(AI324,AI325,AI326,AI327,AI328,AI329,AI330,AI331,AI332,AI333),"")</f>
        <v/>
      </c>
      <c r="AJ334" s="53">
        <f>IF(ISNUMBER(AJ323),AJ323+SUM(AJ324,AJ325,AJ326,AJ327,AJ328,AJ329,AJ330,AJ331,AJ332,AJ333),"")</f>
        <v/>
      </c>
      <c r="AK334" s="53">
        <f>IF(ISNUMBER(AK323),AK323+SUM(AK324,AK325,AK326,AK327,AK328,AK329,AK330,AK331,AK332,AK333),"")</f>
        <v/>
      </c>
      <c r="AL334" s="53">
        <f>IF(ISNUMBER(AL323),AL323+SUM(AL324,AL325,AL326,AL327,AL328,AL329,AL330,AL331,AL332,AL333),"")</f>
        <v/>
      </c>
      <c r="AM334" s="53">
        <f>IF(ISNUMBER(AM323),AM323+SUM(AM324,AM325,AM326,AM327,AM328,AM329,AM330,AM331,AM332,AM333),"")</f>
        <v/>
      </c>
      <c r="AN334" s="53">
        <f>IF(ISNUMBER(AN323),AN323+SUM(AN324,AN325,AN326,AN327,AN328,AN329,AN330,AN331,AN332,AN333),"")</f>
        <v/>
      </c>
      <c r="AO334" s="53">
        <f>IF(ISNUMBER(AO323),AO323+SUM(AO324,AO325,AO326,AO327,AO328,AO329,AO330,AO331,AO332,AO333),"")</f>
        <v/>
      </c>
      <c r="AP334" s="53">
        <f>IF(ISNUMBER(AP323),AP323+SUM(AP324,AP325,AP326,AP327,AP328,AP329,AP330,AP331,AP332,AP333),"")</f>
        <v/>
      </c>
      <c r="AQ334" s="53">
        <f>IF(ISNUMBER(AQ323),AQ323+SUM(AQ324,AQ325,AQ326,AQ327,AQ328,AQ329,AQ330,AQ331,AQ332,AQ333),"")</f>
        <v/>
      </c>
      <c r="AR334" s="53">
        <f>IF(ISNUMBER(AR323),AR323+SUM(AR324,AR325,AR326,AR327,AR328,AR329,AR330,AR331,AR332,AR333),"")</f>
        <v/>
      </c>
      <c r="AS334" s="53">
        <f>IF(ISNUMBER(AS323),AS323+SUM(AS324,AS325,AS326,AS327,AS328,AS329,AS330,AS331,AS332,AS333),"")</f>
        <v/>
      </c>
      <c r="AT334" s="53">
        <f>IF(ISNUMBER(AT323),AT323+SUM(AT324,AT325,AT326,AT327,AT328,AT329,AT330,AT331,AT332,AT333),"")</f>
        <v/>
      </c>
      <c r="AU334" s="53" t="n"/>
      <c r="AV334" s="53" t="n"/>
      <c r="AW334" s="53">
        <f>AW323+SUM(AW324,AW325,AW326,AW327,AW328,AW329,AW330,AW331,AW332,AW333)</f>
        <v/>
      </c>
      <c r="AX334" s="53">
        <f>AX323+SUM(AX324,AX325,AX326,AX327,AX328,AX329,AX330,AX331,AX332,AX333)</f>
        <v/>
      </c>
      <c r="AY334" s="53">
        <f>AY323+SUM(AY324,AY325,AY326,AY327,AY328,AY329,AY330,AY331,AY332,AY333)</f>
        <v/>
      </c>
      <c r="AZ334" s="53">
        <f>AZ323+SUM(AZ324,AZ325,AZ326,AZ327,AZ328,AZ329,AZ330,AZ331,AZ332,AZ333)</f>
        <v/>
      </c>
      <c r="BA334" s="53">
        <f>BA323+SUM(BA324,BA325,BA326,BA327,BA328,BA329,BA330,BA331,BA332,BA333)</f>
        <v/>
      </c>
      <c r="BB334" s="26" t="n"/>
    </row>
    <row r="335">
      <c r="B335" s="27" t="inlineStr">
        <is>
          <t>LIABILITIES, MEZZANINE EQUITY AND EQUITY</t>
        </is>
      </c>
    </row>
    <row r="336">
      <c r="B336" s="27" t="inlineStr">
        <is>
          <t xml:space="preserve">  Accounts payable</t>
        </is>
      </c>
      <c r="C336" s="43" t="n"/>
      <c r="D336" s="44" t="n">
        <v>213</v>
      </c>
      <c r="E336" s="43" t="n"/>
      <c r="F336" s="43" t="n"/>
      <c r="G336" s="43" t="n"/>
      <c r="H336" s="44" t="n">
        <v>150</v>
      </c>
      <c r="I336" s="44" t="n">
        <v>150</v>
      </c>
      <c r="J336" s="44" t="n">
        <v>151</v>
      </c>
      <c r="K336" s="44" t="n">
        <v>167</v>
      </c>
      <c r="L336" s="44" t="n">
        <v>126</v>
      </c>
      <c r="M336" s="44" t="n">
        <v>272</v>
      </c>
      <c r="N336" s="44" t="n">
        <v>272</v>
      </c>
      <c r="O336" s="44" t="n">
        <v>215</v>
      </c>
      <c r="P336" s="44" t="n">
        <v>253</v>
      </c>
      <c r="Q336" s="44" t="n">
        <v>240</v>
      </c>
      <c r="R336" s="44" t="n">
        <v>235</v>
      </c>
      <c r="S336" s="44" t="n">
        <v>235</v>
      </c>
      <c r="T336" s="44" t="n">
        <v>232</v>
      </c>
      <c r="U336" s="44" t="n">
        <v>429</v>
      </c>
      <c r="V336" s="44" t="n">
        <v>310</v>
      </c>
      <c r="W336" s="44" t="n">
        <v>860</v>
      </c>
      <c r="X336" s="44" t="n">
        <v>860</v>
      </c>
      <c r="Y336" s="44" t="n">
        <v>862</v>
      </c>
      <c r="Z336" s="44" t="n">
        <v>810</v>
      </c>
      <c r="AA336" s="44" t="n">
        <v>774</v>
      </c>
      <c r="AB336" s="44" t="n">
        <v>728</v>
      </c>
      <c r="AC336" s="44" t="n">
        <v>728</v>
      </c>
      <c r="AD336" s="44" t="n">
        <v>712</v>
      </c>
      <c r="AE336" s="44" t="n">
        <v>694</v>
      </c>
      <c r="AF336" s="44" t="n">
        <v>799</v>
      </c>
      <c r="AG336" s="44" t="n">
        <v>790</v>
      </c>
      <c r="AH336" s="44" t="n">
        <v>790</v>
      </c>
      <c r="AI336" s="44" t="n">
        <v>833</v>
      </c>
      <c r="AJ336" s="44" t="n">
        <v>752</v>
      </c>
      <c r="AK336" s="44" t="n">
        <v>802</v>
      </c>
      <c r="AL336" s="44" t="n">
        <v>858</v>
      </c>
      <c r="AM336" s="44" t="n">
        <v>858</v>
      </c>
      <c r="AN336" s="44" t="n">
        <v>873</v>
      </c>
      <c r="AO336" s="44" t="n">
        <v>1022</v>
      </c>
      <c r="AP336" s="44" t="n">
        <v>1119</v>
      </c>
      <c r="AQ336" s="44" t="n">
        <v>1013</v>
      </c>
      <c r="AR336" s="44" t="n">
        <v>1013</v>
      </c>
      <c r="AS336" s="44" t="n">
        <v>1189</v>
      </c>
      <c r="AT336" s="44" t="n">
        <v>1366</v>
      </c>
      <c r="AU336" s="45" t="n"/>
      <c r="AV336" s="45" t="n"/>
      <c r="AW336" s="45">
        <f>AW364*AW368/365</f>
        <v/>
      </c>
      <c r="AX336" s="45">
        <f>AX364*AX368/365</f>
        <v/>
      </c>
      <c r="AY336" s="45">
        <f>AY364*AY368/365</f>
        <v/>
      </c>
      <c r="AZ336" s="45">
        <f>AZ364*AZ368/365</f>
        <v/>
      </c>
      <c r="BA336" s="45">
        <f>BA364*BA368/365</f>
        <v/>
      </c>
      <c r="BB336" s="26" t="n"/>
    </row>
    <row r="337">
      <c r="B337" s="27" t="inlineStr">
        <is>
          <t xml:space="preserve">  Short-term insurance reserves</t>
        </is>
      </c>
      <c r="C337" s="43" t="n"/>
      <c r="D337" s="44" t="n">
        <v>469</v>
      </c>
      <c r="E337" s="43" t="n"/>
      <c r="F337" s="43" t="n"/>
      <c r="G337" s="43" t="n"/>
      <c r="H337" s="44" t="n">
        <v>941</v>
      </c>
      <c r="I337" s="44" t="n">
        <v>941</v>
      </c>
      <c r="J337" s="44" t="n">
        <v>961</v>
      </c>
      <c r="K337" s="44" t="n">
        <v>977</v>
      </c>
      <c r="L337" s="44" t="n">
        <v>1023</v>
      </c>
      <c r="M337" s="44" t="n">
        <v>1121</v>
      </c>
      <c r="N337" s="44" t="n">
        <v>1121</v>
      </c>
      <c r="O337" s="44" t="n">
        <v>1073</v>
      </c>
      <c r="P337" s="44" t="n">
        <v>1248</v>
      </c>
      <c r="Q337" s="44" t="n">
        <v>1289</v>
      </c>
      <c r="R337" s="44" t="n">
        <v>1243</v>
      </c>
      <c r="S337" s="44" t="n">
        <v>1243</v>
      </c>
      <c r="T337" s="44" t="n">
        <v>1216</v>
      </c>
      <c r="U337" s="44" t="n">
        <v>1221</v>
      </c>
      <c r="V337" s="44" t="n">
        <v>1379</v>
      </c>
      <c r="W337" s="44" t="n">
        <v>1442</v>
      </c>
      <c r="X337" s="44" t="n">
        <v>1442</v>
      </c>
      <c r="Y337" s="44" t="n">
        <v>1415</v>
      </c>
      <c r="Z337" s="44" t="n">
        <v>1449</v>
      </c>
      <c r="AA337" s="44" t="n">
        <v>1433</v>
      </c>
      <c r="AB337" s="44" t="n">
        <v>1692</v>
      </c>
      <c r="AC337" s="44" t="n">
        <v>1692</v>
      </c>
      <c r="AD337" s="44" t="n">
        <v>1658</v>
      </c>
      <c r="AE337" s="44" t="n">
        <v>1729</v>
      </c>
      <c r="AF337" s="44" t="n">
        <v>1823</v>
      </c>
      <c r="AG337" s="44" t="n">
        <v>2016</v>
      </c>
      <c r="AH337" s="44" t="n">
        <v>2016</v>
      </c>
      <c r="AI337" s="44" t="n">
        <v>2082</v>
      </c>
      <c r="AJ337" s="44" t="n">
        <v>2387</v>
      </c>
      <c r="AK337" s="44" t="n">
        <v>2523</v>
      </c>
      <c r="AL337" s="44" t="n">
        <v>2754</v>
      </c>
      <c r="AM337" s="44" t="n">
        <v>2754</v>
      </c>
      <c r="AN337" s="44" t="n">
        <v>2873</v>
      </c>
      <c r="AO337" s="44" t="n">
        <v>3107</v>
      </c>
      <c r="AP337" s="44" t="n">
        <v>3268</v>
      </c>
      <c r="AQ337" s="44" t="n">
        <v>3387</v>
      </c>
      <c r="AR337" s="44" t="n">
        <v>3387</v>
      </c>
      <c r="AS337" s="44" t="n">
        <v>3467</v>
      </c>
      <c r="AT337" s="44" t="n">
        <v>3758</v>
      </c>
      <c r="AU337" s="45" t="n"/>
      <c r="AV337" s="45" t="n"/>
      <c r="AW337" s="45">
        <f>AW369*AW371</f>
        <v/>
      </c>
      <c r="AX337" s="45">
        <f>AX369*AX371</f>
        <v/>
      </c>
      <c r="AY337" s="45">
        <f>AY369*AY371</f>
        <v/>
      </c>
      <c r="AZ337" s="45">
        <f>AZ369*AZ371</f>
        <v/>
      </c>
      <c r="BA337" s="45">
        <f>BA369*BA371</f>
        <v/>
      </c>
      <c r="BB337" s="26" t="n"/>
    </row>
    <row r="338">
      <c r="B338" s="27" t="inlineStr">
        <is>
          <t xml:space="preserve">  Operating lease liabilities, current</t>
        </is>
      </c>
      <c r="C338" s="43" t="n"/>
      <c r="D338" s="43" t="n"/>
      <c r="E338" s="43" t="n"/>
      <c r="F338" s="43" t="n"/>
      <c r="G338" s="43" t="n"/>
      <c r="H338" s="43" t="n"/>
      <c r="I338" s="43" t="n"/>
      <c r="J338" s="44" t="n">
        <v>178</v>
      </c>
      <c r="K338" s="44" t="n">
        <v>180</v>
      </c>
      <c r="L338" s="44" t="n">
        <v>197</v>
      </c>
      <c r="M338" s="44" t="n">
        <v>196</v>
      </c>
      <c r="N338" s="44" t="n">
        <v>196</v>
      </c>
      <c r="O338" s="44" t="n">
        <v>205</v>
      </c>
      <c r="P338" s="44" t="n">
        <v>188</v>
      </c>
      <c r="Q338" s="44" t="n">
        <v>175</v>
      </c>
      <c r="R338" s="44" t="n">
        <v>175</v>
      </c>
      <c r="S338" s="44" t="n">
        <v>175</v>
      </c>
      <c r="T338" s="44" t="n">
        <v>171</v>
      </c>
      <c r="U338" s="44" t="n">
        <v>177</v>
      </c>
      <c r="V338" s="44" t="n">
        <v>168</v>
      </c>
      <c r="W338" s="44" t="n">
        <v>185</v>
      </c>
      <c r="X338" s="44" t="n">
        <v>185</v>
      </c>
      <c r="Y338" s="44" t="n">
        <v>209</v>
      </c>
      <c r="Z338" s="44" t="n">
        <v>215</v>
      </c>
      <c r="AA338" s="44" t="n">
        <v>189</v>
      </c>
      <c r="AB338" s="44" t="n">
        <v>201</v>
      </c>
      <c r="AC338" s="44" t="n">
        <v>201</v>
      </c>
      <c r="AD338" s="44" t="n">
        <v>193</v>
      </c>
      <c r="AE338" s="44" t="n">
        <v>179</v>
      </c>
      <c r="AF338" s="44" t="n">
        <v>174</v>
      </c>
      <c r="AG338" s="44" t="n">
        <v>190</v>
      </c>
      <c r="AH338" s="44" t="n">
        <v>190</v>
      </c>
      <c r="AI338" s="44" t="n">
        <v>184</v>
      </c>
      <c r="AJ338" s="44" t="n">
        <v>198</v>
      </c>
      <c r="AK338" s="44" t="n">
        <v>178</v>
      </c>
      <c r="AL338" s="44" t="n">
        <v>175</v>
      </c>
      <c r="AM338" s="44" t="n">
        <v>175</v>
      </c>
      <c r="AN338" s="44" t="n">
        <v>177</v>
      </c>
      <c r="AO338" s="44" t="n">
        <v>176</v>
      </c>
      <c r="AP338" s="44" t="n">
        <v>163</v>
      </c>
      <c r="AQ338" s="44" t="n">
        <v>169</v>
      </c>
      <c r="AR338" s="44" t="n">
        <v>169</v>
      </c>
      <c r="AS338" s="44" t="n">
        <v>195</v>
      </c>
      <c r="AT338" s="44" t="n">
        <v>178</v>
      </c>
      <c r="AU338" s="45" t="n"/>
      <c r="AV338" s="45" t="n"/>
      <c r="AW338" s="45">
        <f>AT338</f>
        <v/>
      </c>
      <c r="AX338" s="45">
        <f>AW338</f>
        <v/>
      </c>
      <c r="AY338" s="45">
        <f>AX338</f>
        <v/>
      </c>
      <c r="AZ338" s="45">
        <f>AY338</f>
        <v/>
      </c>
      <c r="BA338" s="45">
        <f>AZ338</f>
        <v/>
      </c>
      <c r="BB338" s="26" t="n"/>
    </row>
    <row r="339">
      <c r="B339" s="27" t="inlineStr">
        <is>
          <t xml:space="preserve">  Short-term debt &amp; current portion of long-term debt</t>
        </is>
      </c>
      <c r="C339" s="43" t="n"/>
      <c r="D339" s="44" t="n">
        <v>0</v>
      </c>
      <c r="E339" s="43" t="n"/>
      <c r="F339" s="43" t="n"/>
      <c r="G339" s="43" t="n"/>
      <c r="H339" s="44" t="n">
        <v>27</v>
      </c>
      <c r="I339" s="44" t="n">
        <v>27</v>
      </c>
      <c r="J339" s="44" t="n">
        <v>27</v>
      </c>
      <c r="K339" s="44" t="n">
        <v>27</v>
      </c>
      <c r="L339" s="44" t="n">
        <v>27</v>
      </c>
      <c r="M339" s="44" t="n">
        <v>27</v>
      </c>
      <c r="N339" s="44" t="n">
        <v>27</v>
      </c>
      <c r="O339" s="44" t="n">
        <v>27</v>
      </c>
      <c r="P339" s="44" t="n">
        <v>27</v>
      </c>
      <c r="Q339" s="44" t="n">
        <v>527</v>
      </c>
      <c r="R339" s="44" t="n">
        <v>27</v>
      </c>
      <c r="S339" s="44" t="n">
        <v>27</v>
      </c>
      <c r="T339" s="44" t="n">
        <v>27</v>
      </c>
      <c r="U339" s="44" t="n">
        <v>27</v>
      </c>
      <c r="V339" s="44" t="n">
        <v>27</v>
      </c>
      <c r="W339" s="44" t="n">
        <v>27</v>
      </c>
      <c r="X339" s="44" t="n">
        <v>27</v>
      </c>
      <c r="Y339" s="44" t="n">
        <v>27</v>
      </c>
      <c r="Z339" s="44" t="n">
        <v>27</v>
      </c>
      <c r="AA339" s="44" t="n">
        <v>27</v>
      </c>
      <c r="AB339" s="44" t="n">
        <v>27</v>
      </c>
      <c r="AC339" s="44" t="n">
        <v>27</v>
      </c>
      <c r="AD339" s="44" t="n">
        <v>25</v>
      </c>
      <c r="AE339" s="44" t="n">
        <v>25</v>
      </c>
      <c r="AF339" s="44" t="n">
        <v>25</v>
      </c>
      <c r="AG339" s="44" t="n">
        <v>25</v>
      </c>
      <c r="AH339" s="44" t="n">
        <v>25</v>
      </c>
      <c r="AI339" s="44" t="n">
        <v>25</v>
      </c>
      <c r="AJ339" s="44" t="n">
        <v>25</v>
      </c>
      <c r="AK339" s="44" t="n">
        <v>500</v>
      </c>
      <c r="AL339" s="44" t="n">
        <v>1150</v>
      </c>
      <c r="AM339" s="44" t="n">
        <v>1150</v>
      </c>
      <c r="AN339" s="44" t="n">
        <v>1150</v>
      </c>
      <c r="AO339" s="44" t="n">
        <v>1150</v>
      </c>
      <c r="AP339" s="44" t="n">
        <v>1150</v>
      </c>
      <c r="AQ339" s="44" t="n">
        <v>0</v>
      </c>
      <c r="AR339" s="44" t="n">
        <v>0</v>
      </c>
      <c r="AS339" s="43" t="n"/>
      <c r="AT339" s="44" t="n">
        <v>1997</v>
      </c>
      <c r="AU339" s="45" t="n"/>
      <c r="AV339" s="45" t="n"/>
      <c r="AW339" s="45">
        <f>MIN(AW404,-AX405)</f>
        <v/>
      </c>
      <c r="AX339" s="45">
        <f>MIN(AX404,-AY405)</f>
        <v/>
      </c>
      <c r="AY339" s="45">
        <f>MIN(AY404,-AZ405)</f>
        <v/>
      </c>
      <c r="AZ339" s="45">
        <f>MIN(AZ404,-BA405)</f>
        <v/>
      </c>
      <c r="BA339" s="47" t="n">
        <v>0</v>
      </c>
      <c r="BB339" s="19" t="inlineStr">
        <is>
          <t>Forecast: next year's scheduled note maturities. Pre-2026 the current portion sat within accrued and other current liabilities (shown here).</t>
        </is>
      </c>
    </row>
    <row r="340">
      <c r="B340" s="27" t="inlineStr">
        <is>
          <t xml:space="preserve">  Accrued and other current liabilities (derived; excl. current debt; incl. held for sale)</t>
        </is>
      </c>
      <c r="C340" s="43" t="n"/>
      <c r="D340" s="44" t="n">
        <v>3165</v>
      </c>
      <c r="E340" s="43" t="n"/>
      <c r="F340" s="43" t="n"/>
      <c r="G340" s="43" t="n"/>
      <c r="H340" s="44" t="n">
        <v>3141</v>
      </c>
      <c r="I340" s="44" t="n">
        <v>3141</v>
      </c>
      <c r="J340" s="44" t="n">
        <v>3397</v>
      </c>
      <c r="K340" s="44" t="n">
        <v>4219</v>
      </c>
      <c r="L340" s="44" t="n">
        <v>3999</v>
      </c>
      <c r="M340" s="44" t="n">
        <v>4023</v>
      </c>
      <c r="N340" s="44" t="n">
        <v>4023</v>
      </c>
      <c r="O340" s="44" t="n">
        <v>5111</v>
      </c>
      <c r="P340" s="44" t="n">
        <v>4175</v>
      </c>
      <c r="Q340" s="44" t="n">
        <v>4690</v>
      </c>
      <c r="R340" s="44" t="n">
        <v>5185</v>
      </c>
      <c r="S340" s="44" t="n">
        <v>5185</v>
      </c>
      <c r="T340" s="44" t="n">
        <v>5642</v>
      </c>
      <c r="U340" s="44" t="n">
        <v>5830</v>
      </c>
      <c r="V340" s="44" t="n">
        <v>6242</v>
      </c>
      <c r="W340" s="44" t="n">
        <v>6510</v>
      </c>
      <c r="X340" s="44" t="n">
        <v>6510</v>
      </c>
      <c r="Y340" s="44" t="n">
        <v>6139</v>
      </c>
      <c r="Z340" s="44" t="n">
        <v>6444</v>
      </c>
      <c r="AA340" s="44" t="n">
        <v>6597</v>
      </c>
      <c r="AB340" s="44" t="n">
        <v>6205</v>
      </c>
      <c r="AC340" s="44" t="n">
        <v>6205</v>
      </c>
      <c r="AD340" s="44" t="n">
        <v>6095</v>
      </c>
      <c r="AE340" s="44" t="n">
        <v>6008</v>
      </c>
      <c r="AF340" s="44" t="n">
        <v>6584</v>
      </c>
      <c r="AG340" s="44" t="n">
        <v>6433</v>
      </c>
      <c r="AH340" s="44" t="n">
        <v>6433</v>
      </c>
      <c r="AI340" s="44" t="n">
        <v>6869</v>
      </c>
      <c r="AJ340" s="44" t="n">
        <v>6956</v>
      </c>
      <c r="AK340" s="44" t="n">
        <v>6832</v>
      </c>
      <c r="AL340" s="44" t="n">
        <v>6539</v>
      </c>
      <c r="AM340" s="44" t="n">
        <v>6539</v>
      </c>
      <c r="AN340" s="44" t="n">
        <v>7040</v>
      </c>
      <c r="AO340" s="44" t="n">
        <v>7231</v>
      </c>
      <c r="AP340" s="44" t="n">
        <v>7421</v>
      </c>
      <c r="AQ340" s="44" t="n">
        <v>7751</v>
      </c>
      <c r="AR340" s="44" t="n">
        <v>7751</v>
      </c>
      <c r="AS340" s="44" t="n">
        <v>7142</v>
      </c>
      <c r="AT340" s="44" t="n">
        <v>7572</v>
      </c>
      <c r="AU340" s="45" t="n"/>
      <c r="AV340" s="45" t="n"/>
      <c r="AW340" s="45">
        <f>AW363*AW372</f>
        <v/>
      </c>
      <c r="AX340" s="45">
        <f>AX363*AX372</f>
        <v/>
      </c>
      <c r="AY340" s="45">
        <f>AY363*AY372</f>
        <v/>
      </c>
      <c r="AZ340" s="45">
        <f>AZ363*AZ372</f>
        <v/>
      </c>
      <c r="BA340" s="45">
        <f>BA363*BA372</f>
        <v/>
      </c>
      <c r="BB340" s="26" t="n"/>
    </row>
    <row r="341">
      <c r="B341" s="16" t="inlineStr">
        <is>
          <t>Total current liabilities</t>
        </is>
      </c>
      <c r="C341" s="36">
        <f>IF(ISNUMBER(C336),SUM(C336,C337,C338,C339,C340),"")</f>
        <v/>
      </c>
      <c r="D341" s="36">
        <f>IF(ISNUMBER(D336),SUM(D336,D337,D338,D339,D340),"")</f>
        <v/>
      </c>
      <c r="E341" s="36">
        <f>IF(ISNUMBER(E336),SUM(E336,E337,E338,E339,E340),"")</f>
        <v/>
      </c>
      <c r="F341" s="36">
        <f>IF(ISNUMBER(F336),SUM(F336,F337,F338,F339,F340),"")</f>
        <v/>
      </c>
      <c r="G341" s="36">
        <f>IF(ISNUMBER(G336),SUM(G336,G337,G338,G339,G340),"")</f>
        <v/>
      </c>
      <c r="H341" s="36">
        <f>IF(ISNUMBER(H336),SUM(H336,H337,H338,H339,H340),"")</f>
        <v/>
      </c>
      <c r="I341" s="36">
        <f>IF(ISNUMBER(I336),SUM(I336,I337,I338,I339,I340),"")</f>
        <v/>
      </c>
      <c r="J341" s="36">
        <f>IF(ISNUMBER(J336),SUM(J336,J337,J338,J339,J340),"")</f>
        <v/>
      </c>
      <c r="K341" s="36">
        <f>IF(ISNUMBER(K336),SUM(K336,K337,K338,K339,K340),"")</f>
        <v/>
      </c>
      <c r="L341" s="36">
        <f>IF(ISNUMBER(L336),SUM(L336,L337,L338,L339,L340),"")</f>
        <v/>
      </c>
      <c r="M341" s="36">
        <f>IF(ISNUMBER(M336),SUM(M336,M337,M338,M339,M340),"")</f>
        <v/>
      </c>
      <c r="N341" s="36">
        <f>IF(ISNUMBER(N336),SUM(N336,N337,N338,N339,N340),"")</f>
        <v/>
      </c>
      <c r="O341" s="36">
        <f>IF(ISNUMBER(O336),SUM(O336,O337,O338,O339,O340),"")</f>
        <v/>
      </c>
      <c r="P341" s="36">
        <f>IF(ISNUMBER(P336),SUM(P336,P337,P338,P339,P340),"")</f>
        <v/>
      </c>
      <c r="Q341" s="36">
        <f>IF(ISNUMBER(Q336),SUM(Q336,Q337,Q338,Q339,Q340),"")</f>
        <v/>
      </c>
      <c r="R341" s="36">
        <f>IF(ISNUMBER(R336),SUM(R336,R337,R338,R339,R340),"")</f>
        <v/>
      </c>
      <c r="S341" s="36">
        <f>IF(ISNUMBER(S336),SUM(S336,S337,S338,S339,S340),"")</f>
        <v/>
      </c>
      <c r="T341" s="36">
        <f>IF(ISNUMBER(T336),SUM(T336,T337,T338,T339,T340),"")</f>
        <v/>
      </c>
      <c r="U341" s="36">
        <f>IF(ISNUMBER(U336),SUM(U336,U337,U338,U339,U340),"")</f>
        <v/>
      </c>
      <c r="V341" s="36">
        <f>IF(ISNUMBER(V336),SUM(V336,V337,V338,V339,V340),"")</f>
        <v/>
      </c>
      <c r="W341" s="36">
        <f>IF(ISNUMBER(W336),SUM(W336,W337,W338,W339,W340),"")</f>
        <v/>
      </c>
      <c r="X341" s="36">
        <f>IF(ISNUMBER(X336),SUM(X336,X337,X338,X339,X340),"")</f>
        <v/>
      </c>
      <c r="Y341" s="36">
        <f>IF(ISNUMBER(Y336),SUM(Y336,Y337,Y338,Y339,Y340),"")</f>
        <v/>
      </c>
      <c r="Z341" s="36">
        <f>IF(ISNUMBER(Z336),SUM(Z336,Z337,Z338,Z339,Z340),"")</f>
        <v/>
      </c>
      <c r="AA341" s="36">
        <f>IF(ISNUMBER(AA336),SUM(AA336,AA337,AA338,AA339,AA340),"")</f>
        <v/>
      </c>
      <c r="AB341" s="36">
        <f>IF(ISNUMBER(AB336),SUM(AB336,AB337,AB338,AB339,AB340),"")</f>
        <v/>
      </c>
      <c r="AC341" s="36">
        <f>IF(ISNUMBER(AC336),SUM(AC336,AC337,AC338,AC339,AC340),"")</f>
        <v/>
      </c>
      <c r="AD341" s="36">
        <f>IF(ISNUMBER(AD336),SUM(AD336,AD337,AD338,AD339,AD340),"")</f>
        <v/>
      </c>
      <c r="AE341" s="36">
        <f>IF(ISNUMBER(AE336),SUM(AE336,AE337,AE338,AE339,AE340),"")</f>
        <v/>
      </c>
      <c r="AF341" s="36">
        <f>IF(ISNUMBER(AF336),SUM(AF336,AF337,AF338,AF339,AF340),"")</f>
        <v/>
      </c>
      <c r="AG341" s="36">
        <f>IF(ISNUMBER(AG336),SUM(AG336,AG337,AG338,AG339,AG340),"")</f>
        <v/>
      </c>
      <c r="AH341" s="36">
        <f>IF(ISNUMBER(AH336),SUM(AH336,AH337,AH338,AH339,AH340),"")</f>
        <v/>
      </c>
      <c r="AI341" s="36">
        <f>IF(ISNUMBER(AI336),SUM(AI336,AI337,AI338,AI339,AI340),"")</f>
        <v/>
      </c>
      <c r="AJ341" s="36">
        <f>IF(ISNUMBER(AJ336),SUM(AJ336,AJ337,AJ338,AJ339,AJ340),"")</f>
        <v/>
      </c>
      <c r="AK341" s="36">
        <f>IF(ISNUMBER(AK336),SUM(AK336,AK337,AK338,AK339,AK340),"")</f>
        <v/>
      </c>
      <c r="AL341" s="36">
        <f>IF(ISNUMBER(AL336),SUM(AL336,AL337,AL338,AL339,AL340),"")</f>
        <v/>
      </c>
      <c r="AM341" s="36">
        <f>IF(ISNUMBER(AM336),SUM(AM336,AM337,AM338,AM339,AM340),"")</f>
        <v/>
      </c>
      <c r="AN341" s="36">
        <f>IF(ISNUMBER(AN336),SUM(AN336,AN337,AN338,AN339,AN340),"")</f>
        <v/>
      </c>
      <c r="AO341" s="36">
        <f>IF(ISNUMBER(AO336),SUM(AO336,AO337,AO338,AO339,AO340),"")</f>
        <v/>
      </c>
      <c r="AP341" s="36">
        <f>IF(ISNUMBER(AP336),SUM(AP336,AP337,AP338,AP339,AP340),"")</f>
        <v/>
      </c>
      <c r="AQ341" s="36">
        <f>IF(ISNUMBER(AQ336),SUM(AQ336,AQ337,AQ338,AQ339,AQ340),"")</f>
        <v/>
      </c>
      <c r="AR341" s="36">
        <f>IF(ISNUMBER(AR336),SUM(AR336,AR337,AR338,AR339,AR340),"")</f>
        <v/>
      </c>
      <c r="AS341" s="36">
        <f>IF(ISNUMBER(AS336),SUM(AS336,AS337,AS338,AS339,AS340),"")</f>
        <v/>
      </c>
      <c r="AT341" s="36">
        <f>IF(ISNUMBER(AT336),SUM(AT336,AT337,AT338,AT339,AT340),"")</f>
        <v/>
      </c>
      <c r="AU341" s="18" t="n"/>
      <c r="AV341" s="18" t="n"/>
      <c r="AW341" s="18">
        <f>SUM(AW336,AW337,AW338,AW339,AW340)</f>
        <v/>
      </c>
      <c r="AX341" s="18">
        <f>SUM(AX336,AX337,AX338,AX339,AX340)</f>
        <v/>
      </c>
      <c r="AY341" s="18">
        <f>SUM(AY336,AY337,AY338,AY339,AY340)</f>
        <v/>
      </c>
      <c r="AZ341" s="18">
        <f>SUM(AZ336,AZ337,AZ338,AZ339,AZ340)</f>
        <v/>
      </c>
      <c r="BA341" s="18">
        <f>SUM(BA336,BA337,BA338,BA339,BA340)</f>
        <v/>
      </c>
      <c r="BB341" s="26" t="n"/>
    </row>
    <row r="342">
      <c r="B342" s="27" t="inlineStr">
        <is>
          <t xml:space="preserve">  Long-term insurance reserves</t>
        </is>
      </c>
      <c r="C342" s="43" t="n"/>
      <c r="D342" s="44" t="n">
        <v>1527</v>
      </c>
      <c r="E342" s="43" t="n"/>
      <c r="F342" s="43" t="n"/>
      <c r="G342" s="43" t="n"/>
      <c r="H342" s="44" t="n">
        <v>1996</v>
      </c>
      <c r="I342" s="44" t="n">
        <v>1996</v>
      </c>
      <c r="J342" s="44" t="n">
        <v>2137</v>
      </c>
      <c r="K342" s="44" t="n">
        <v>2217</v>
      </c>
      <c r="L342" s="44" t="n">
        <v>2271</v>
      </c>
      <c r="M342" s="44" t="n">
        <v>2297</v>
      </c>
      <c r="N342" s="44" t="n">
        <v>2297</v>
      </c>
      <c r="O342" s="44" t="n">
        <v>2421</v>
      </c>
      <c r="P342" s="44" t="n">
        <v>2161</v>
      </c>
      <c r="Q342" s="44" t="n">
        <v>2113</v>
      </c>
      <c r="R342" s="44" t="n">
        <v>2223</v>
      </c>
      <c r="S342" s="44" t="n">
        <v>2223</v>
      </c>
      <c r="T342" s="44" t="n">
        <v>2224</v>
      </c>
      <c r="U342" s="44" t="n">
        <v>2268</v>
      </c>
      <c r="V342" s="44" t="n">
        <v>2577</v>
      </c>
      <c r="W342" s="44" t="n">
        <v>2546</v>
      </c>
      <c r="X342" s="44" t="n">
        <v>2546</v>
      </c>
      <c r="Y342" s="44" t="n">
        <v>2709</v>
      </c>
      <c r="Z342" s="44" t="n">
        <v>2865</v>
      </c>
      <c r="AA342" s="44" t="n">
        <v>3036</v>
      </c>
      <c r="AB342" s="44" t="n">
        <v>3028</v>
      </c>
      <c r="AC342" s="44" t="n">
        <v>3028</v>
      </c>
      <c r="AD342" s="44" t="n">
        <v>3412</v>
      </c>
      <c r="AE342" s="44" t="n">
        <v>3931</v>
      </c>
      <c r="AF342" s="44" t="n">
        <v>4337</v>
      </c>
      <c r="AG342" s="44" t="n">
        <v>4722</v>
      </c>
      <c r="AH342" s="44" t="n">
        <v>4722</v>
      </c>
      <c r="AI342" s="44" t="n">
        <v>5346</v>
      </c>
      <c r="AJ342" s="44" t="n">
        <v>5733</v>
      </c>
      <c r="AK342" s="44" t="n">
        <v>6623</v>
      </c>
      <c r="AL342" s="44" t="n">
        <v>7042</v>
      </c>
      <c r="AM342" s="44" t="n">
        <v>7042</v>
      </c>
      <c r="AN342" s="44" t="n">
        <v>7599</v>
      </c>
      <c r="AO342" s="44" t="n">
        <v>8183</v>
      </c>
      <c r="AP342" s="44" t="n">
        <v>8611</v>
      </c>
      <c r="AQ342" s="44" t="n">
        <v>9076</v>
      </c>
      <c r="AR342" s="44" t="n">
        <v>9076</v>
      </c>
      <c r="AS342" s="44" t="n">
        <v>9437</v>
      </c>
      <c r="AT342" s="44" t="n">
        <v>9528</v>
      </c>
      <c r="AU342" s="45" t="n"/>
      <c r="AV342" s="45" t="n"/>
      <c r="AW342" s="45">
        <f>AW369-AW337</f>
        <v/>
      </c>
      <c r="AX342" s="45">
        <f>AX369-AX337</f>
        <v/>
      </c>
      <c r="AY342" s="45">
        <f>AY369-AY337</f>
        <v/>
      </c>
      <c r="AZ342" s="45">
        <f>AZ369-AZ337</f>
        <v/>
      </c>
      <c r="BA342" s="45">
        <f>BA369-BA337</f>
        <v/>
      </c>
      <c r="BB342" s="26" t="n"/>
    </row>
    <row r="343">
      <c r="B343" s="27" t="inlineStr">
        <is>
          <t xml:space="preserve">  Long-term debt, net of current portion</t>
        </is>
      </c>
      <c r="C343" s="43" t="n"/>
      <c r="D343" s="44" t="n">
        <v>3048</v>
      </c>
      <c r="E343" s="43" t="n"/>
      <c r="F343" s="43" t="n"/>
      <c r="G343" s="43" t="n"/>
      <c r="H343" s="44" t="n">
        <v>6869</v>
      </c>
      <c r="I343" s="44" t="n">
        <v>6869</v>
      </c>
      <c r="J343" s="44" t="n">
        <v>6939</v>
      </c>
      <c r="K343" s="44" t="n">
        <v>4526</v>
      </c>
      <c r="L343" s="44" t="n">
        <v>5711</v>
      </c>
      <c r="M343" s="44" t="n">
        <v>5707</v>
      </c>
      <c r="N343" s="44" t="n">
        <v>5707</v>
      </c>
      <c r="O343" s="44" t="n">
        <v>5703</v>
      </c>
      <c r="P343" s="44" t="n">
        <v>6691</v>
      </c>
      <c r="Q343" s="44" t="n">
        <v>6667</v>
      </c>
      <c r="R343" s="44" t="n">
        <v>7560</v>
      </c>
      <c r="S343" s="44" t="n">
        <v>7560</v>
      </c>
      <c r="T343" s="44" t="n">
        <v>7801</v>
      </c>
      <c r="U343" s="44" t="n">
        <v>7798</v>
      </c>
      <c r="V343" s="44" t="n">
        <v>9279</v>
      </c>
      <c r="W343" s="44" t="n">
        <v>9276</v>
      </c>
      <c r="X343" s="44" t="n">
        <v>9276</v>
      </c>
      <c r="Y343" s="44" t="n">
        <v>9273</v>
      </c>
      <c r="Z343" s="44" t="n">
        <v>9271</v>
      </c>
      <c r="AA343" s="44" t="n">
        <v>9268</v>
      </c>
      <c r="AB343" s="44" t="n">
        <v>9265</v>
      </c>
      <c r="AC343" s="44" t="n">
        <v>9265</v>
      </c>
      <c r="AD343" s="44" t="n">
        <v>9257</v>
      </c>
      <c r="AE343" s="44" t="n">
        <v>9255</v>
      </c>
      <c r="AF343" s="44" t="n">
        <v>9252</v>
      </c>
      <c r="AG343" s="44" t="n">
        <v>9459</v>
      </c>
      <c r="AH343" s="44" t="n">
        <v>9459</v>
      </c>
      <c r="AI343" s="44" t="n">
        <v>9457</v>
      </c>
      <c r="AJ343" s="44" t="n">
        <v>9454</v>
      </c>
      <c r="AK343" s="44" t="n">
        <v>10986</v>
      </c>
      <c r="AL343" s="44" t="n">
        <v>8347</v>
      </c>
      <c r="AM343" s="44" t="n">
        <v>8347</v>
      </c>
      <c r="AN343" s="44" t="n">
        <v>8350</v>
      </c>
      <c r="AO343" s="44" t="n">
        <v>9578</v>
      </c>
      <c r="AP343" s="44" t="n">
        <v>10615</v>
      </c>
      <c r="AQ343" s="44" t="n">
        <v>10521</v>
      </c>
      <c r="AR343" s="44" t="n">
        <v>10521</v>
      </c>
      <c r="AS343" s="44" t="n">
        <v>10514</v>
      </c>
      <c r="AT343" s="44" t="n">
        <v>10726</v>
      </c>
      <c r="AU343" s="45" t="n"/>
      <c r="AV343" s="45" t="n"/>
      <c r="AW343" s="45">
        <f>AW404-AW339</f>
        <v/>
      </c>
      <c r="AX343" s="45">
        <f>AX404-AX339</f>
        <v/>
      </c>
      <c r="AY343" s="45">
        <f>AY404-AY339</f>
        <v/>
      </c>
      <c r="AZ343" s="45">
        <f>AZ404-AZ339</f>
        <v/>
      </c>
      <c r="BA343" s="45">
        <f>BA404-BA339</f>
        <v/>
      </c>
      <c r="BB343" s="26" t="n"/>
    </row>
    <row r="344">
      <c r="B344" s="27" t="inlineStr">
        <is>
          <t xml:space="preserve">  Operating lease liabilities, non-current</t>
        </is>
      </c>
      <c r="C344" s="43" t="n"/>
      <c r="D344" s="43" t="n"/>
      <c r="E344" s="43" t="n"/>
      <c r="F344" s="43" t="n"/>
      <c r="G344" s="43" t="n"/>
      <c r="H344" s="43" t="n"/>
      <c r="I344" s="43" t="n"/>
      <c r="J344" s="44" t="n">
        <v>1225</v>
      </c>
      <c r="K344" s="44" t="n">
        <v>1274</v>
      </c>
      <c r="L344" s="44" t="n">
        <v>1459</v>
      </c>
      <c r="M344" s="44" t="n">
        <v>1523</v>
      </c>
      <c r="N344" s="44" t="n">
        <v>1523</v>
      </c>
      <c r="O344" s="44" t="n">
        <v>1519</v>
      </c>
      <c r="P344" s="44" t="n">
        <v>1525</v>
      </c>
      <c r="Q344" s="44" t="n">
        <v>1527</v>
      </c>
      <c r="R344" s="44" t="n">
        <v>1544</v>
      </c>
      <c r="S344" s="44" t="n">
        <v>1544</v>
      </c>
      <c r="T344" s="44" t="n">
        <v>1531</v>
      </c>
      <c r="U344" s="44" t="n">
        <v>1513</v>
      </c>
      <c r="V344" s="44" t="n">
        <v>1488</v>
      </c>
      <c r="W344" s="44" t="n">
        <v>1644</v>
      </c>
      <c r="X344" s="44" t="n">
        <v>1644</v>
      </c>
      <c r="Y344" s="44" t="n">
        <v>1681</v>
      </c>
      <c r="Z344" s="44" t="n">
        <v>1711</v>
      </c>
      <c r="AA344" s="44" t="n">
        <v>1626</v>
      </c>
      <c r="AB344" s="44" t="n">
        <v>1673</v>
      </c>
      <c r="AC344" s="44" t="n">
        <v>1673</v>
      </c>
      <c r="AD344" s="44" t="n">
        <v>1629</v>
      </c>
      <c r="AE344" s="44" t="n">
        <v>1597</v>
      </c>
      <c r="AF344" s="44" t="n">
        <v>1565</v>
      </c>
      <c r="AG344" s="44" t="n">
        <v>1550</v>
      </c>
      <c r="AH344" s="44" t="n">
        <v>1550</v>
      </c>
      <c r="AI344" s="44" t="n">
        <v>1520</v>
      </c>
      <c r="AJ344" s="44" t="n">
        <v>1492</v>
      </c>
      <c r="AK344" s="44" t="n">
        <v>1496</v>
      </c>
      <c r="AL344" s="44" t="n">
        <v>1454</v>
      </c>
      <c r="AM344" s="44" t="n">
        <v>1454</v>
      </c>
      <c r="AN344" s="44" t="n">
        <v>1447</v>
      </c>
      <c r="AO344" s="44" t="n">
        <v>1438</v>
      </c>
      <c r="AP344" s="44" t="n">
        <v>1412</v>
      </c>
      <c r="AQ344" s="44" t="n">
        <v>1390</v>
      </c>
      <c r="AR344" s="44" t="n">
        <v>1390</v>
      </c>
      <c r="AS344" s="44" t="n">
        <v>1710</v>
      </c>
      <c r="AT344" s="44" t="n">
        <v>1830</v>
      </c>
      <c r="AU344" s="45" t="n"/>
      <c r="AV344" s="45" t="n"/>
      <c r="AW344" s="45">
        <f>AT344</f>
        <v/>
      </c>
      <c r="AX344" s="45">
        <f>AW344</f>
        <v/>
      </c>
      <c r="AY344" s="45">
        <f>AX344</f>
        <v/>
      </c>
      <c r="AZ344" s="45">
        <f>AY344</f>
        <v/>
      </c>
      <c r="BA344" s="45">
        <f>AZ344</f>
        <v/>
      </c>
      <c r="BB344" s="26" t="n"/>
    </row>
    <row r="345">
      <c r="B345" s="27" t="inlineStr">
        <is>
          <t xml:space="preserve">  Other non-current liabilities (derived; incl. deferred tax liabilities)</t>
        </is>
      </c>
      <c r="C345" s="43" t="n"/>
      <c r="D345" s="44" t="n">
        <v>3351</v>
      </c>
      <c r="E345" s="43" t="n"/>
      <c r="F345" s="43" t="n"/>
      <c r="G345" s="43" t="n"/>
      <c r="H345" s="44" t="n">
        <v>4072</v>
      </c>
      <c r="I345" s="44" t="n">
        <v>4072</v>
      </c>
      <c r="J345" s="44" t="n">
        <v>3587</v>
      </c>
      <c r="K345" s="44" t="n">
        <v>1485</v>
      </c>
      <c r="L345" s="44" t="n">
        <v>1428</v>
      </c>
      <c r="M345" s="44" t="n">
        <v>1412</v>
      </c>
      <c r="N345" s="44" t="n">
        <v>1412</v>
      </c>
      <c r="O345" s="44" t="n">
        <v>1498</v>
      </c>
      <c r="P345" s="44" t="n">
        <v>1451</v>
      </c>
      <c r="Q345" s="44" t="n">
        <v>1484</v>
      </c>
      <c r="R345" s="44" t="n">
        <v>1306</v>
      </c>
      <c r="S345" s="44" t="n">
        <v>1306</v>
      </c>
      <c r="T345" s="44" t="n">
        <v>1740</v>
      </c>
      <c r="U345" s="44" t="n">
        <v>1244</v>
      </c>
      <c r="V345" s="44" t="n">
        <v>1129</v>
      </c>
      <c r="W345" s="44" t="n">
        <v>935</v>
      </c>
      <c r="X345" s="44" t="n">
        <v>935</v>
      </c>
      <c r="Y345" s="44" t="n">
        <v>679</v>
      </c>
      <c r="Z345" s="44" t="n">
        <v>659</v>
      </c>
      <c r="AA345" s="44" t="n">
        <v>762</v>
      </c>
      <c r="AB345" s="44" t="n">
        <v>786</v>
      </c>
      <c r="AC345" s="44" t="n">
        <v>786</v>
      </c>
      <c r="AD345" s="44" t="n">
        <v>798</v>
      </c>
      <c r="AE345" s="44" t="n">
        <v>822</v>
      </c>
      <c r="AF345" s="44" t="n">
        <v>871</v>
      </c>
      <c r="AG345" s="44" t="n">
        <v>832</v>
      </c>
      <c r="AH345" s="44" t="n">
        <v>832</v>
      </c>
      <c r="AI345" s="44" t="n">
        <v>784</v>
      </c>
      <c r="AJ345" s="44" t="n">
        <v>734</v>
      </c>
      <c r="AK345" s="44" t="n">
        <v>638</v>
      </c>
      <c r="AL345" s="44" t="n">
        <v>449</v>
      </c>
      <c r="AM345" s="44" t="n">
        <v>449</v>
      </c>
      <c r="AN345" s="44" t="n">
        <v>408</v>
      </c>
      <c r="AO345" s="44" t="n">
        <v>467</v>
      </c>
      <c r="AP345" s="44" t="n">
        <v>430</v>
      </c>
      <c r="AQ345" s="44" t="n">
        <v>412</v>
      </c>
      <c r="AR345" s="44" t="n">
        <v>412</v>
      </c>
      <c r="AS345" s="44" t="n">
        <v>419</v>
      </c>
      <c r="AT345" s="44" t="n">
        <v>447</v>
      </c>
      <c r="AU345" s="45" t="n"/>
      <c r="AV345" s="45" t="n"/>
      <c r="AW345" s="45">
        <f>AT345+(AW268-(AS268+AT268))</f>
        <v/>
      </c>
      <c r="AX345" s="45">
        <f>AW345+N(AX395)+AX268</f>
        <v/>
      </c>
      <c r="AY345" s="45">
        <f>AX345+N(AY395)+AY268</f>
        <v/>
      </c>
      <c r="AZ345" s="45">
        <f>AY345+N(AZ395)+AZ268</f>
        <v/>
      </c>
      <c r="BA345" s="45">
        <f>AZ345+N(BA395)+BA268</f>
        <v/>
      </c>
      <c r="BB345" s="26" t="n"/>
    </row>
    <row r="346">
      <c r="B346" s="52" t="inlineStr">
        <is>
          <t>Total liabilities</t>
        </is>
      </c>
      <c r="C346" s="53">
        <f>IF(ISNUMBER(C341),C341+SUM(C342,C343,C344,C345),"")</f>
        <v/>
      </c>
      <c r="D346" s="53">
        <f>IF(ISNUMBER(D341),D341+SUM(D342,D343,D344,D345),"")</f>
        <v/>
      </c>
      <c r="E346" s="53">
        <f>IF(ISNUMBER(E341),E341+SUM(E342,E343,E344,E345),"")</f>
        <v/>
      </c>
      <c r="F346" s="53">
        <f>IF(ISNUMBER(F341),F341+SUM(F342,F343,F344,F345),"")</f>
        <v/>
      </c>
      <c r="G346" s="53">
        <f>IF(ISNUMBER(G341),G341+SUM(G342,G343,G344,G345),"")</f>
        <v/>
      </c>
      <c r="H346" s="53">
        <f>IF(ISNUMBER(H341),H341+SUM(H342,H343,H344,H345),"")</f>
        <v/>
      </c>
      <c r="I346" s="53">
        <f>IF(ISNUMBER(I341),I341+SUM(I342,I343,I344,I345),"")</f>
        <v/>
      </c>
      <c r="J346" s="53">
        <f>IF(ISNUMBER(J341),J341+SUM(J342,J343,J344,J345),"")</f>
        <v/>
      </c>
      <c r="K346" s="53">
        <f>IF(ISNUMBER(K341),K341+SUM(K342,K343,K344,K345),"")</f>
        <v/>
      </c>
      <c r="L346" s="53">
        <f>IF(ISNUMBER(L341),L341+SUM(L342,L343,L344,L345),"")</f>
        <v/>
      </c>
      <c r="M346" s="53">
        <f>IF(ISNUMBER(M341),M341+SUM(M342,M343,M344,M345),"")</f>
        <v/>
      </c>
      <c r="N346" s="53">
        <f>IF(ISNUMBER(N341),N341+SUM(N342,N343,N344,N345),"")</f>
        <v/>
      </c>
      <c r="O346" s="53">
        <f>IF(ISNUMBER(O341),O341+SUM(O342,O343,O344,O345),"")</f>
        <v/>
      </c>
      <c r="P346" s="53">
        <f>IF(ISNUMBER(P341),P341+SUM(P342,P343,P344,P345),"")</f>
        <v/>
      </c>
      <c r="Q346" s="53">
        <f>IF(ISNUMBER(Q341),Q341+SUM(Q342,Q343,Q344,Q345),"")</f>
        <v/>
      </c>
      <c r="R346" s="53">
        <f>IF(ISNUMBER(R341),R341+SUM(R342,R343,R344,R345),"")</f>
        <v/>
      </c>
      <c r="S346" s="53">
        <f>IF(ISNUMBER(S341),S341+SUM(S342,S343,S344,S345),"")</f>
        <v/>
      </c>
      <c r="T346" s="53">
        <f>IF(ISNUMBER(T341),T341+SUM(T342,T343,T344,T345),"")</f>
        <v/>
      </c>
      <c r="U346" s="53">
        <f>IF(ISNUMBER(U341),U341+SUM(U342,U343,U344,U345),"")</f>
        <v/>
      </c>
      <c r="V346" s="53">
        <f>IF(ISNUMBER(V341),V341+SUM(V342,V343,V344,V345),"")</f>
        <v/>
      </c>
      <c r="W346" s="53">
        <f>IF(ISNUMBER(W341),W341+SUM(W342,W343,W344,W345),"")</f>
        <v/>
      </c>
      <c r="X346" s="53">
        <f>IF(ISNUMBER(X341),X341+SUM(X342,X343,X344,X345),"")</f>
        <v/>
      </c>
      <c r="Y346" s="53">
        <f>IF(ISNUMBER(Y341),Y341+SUM(Y342,Y343,Y344,Y345),"")</f>
        <v/>
      </c>
      <c r="Z346" s="53">
        <f>IF(ISNUMBER(Z341),Z341+SUM(Z342,Z343,Z344,Z345),"")</f>
        <v/>
      </c>
      <c r="AA346" s="53">
        <f>IF(ISNUMBER(AA341),AA341+SUM(AA342,AA343,AA344,AA345),"")</f>
        <v/>
      </c>
      <c r="AB346" s="53">
        <f>IF(ISNUMBER(AB341),AB341+SUM(AB342,AB343,AB344,AB345),"")</f>
        <v/>
      </c>
      <c r="AC346" s="53">
        <f>IF(ISNUMBER(AC341),AC341+SUM(AC342,AC343,AC344,AC345),"")</f>
        <v/>
      </c>
      <c r="AD346" s="53">
        <f>IF(ISNUMBER(AD341),AD341+SUM(AD342,AD343,AD344,AD345),"")</f>
        <v/>
      </c>
      <c r="AE346" s="53">
        <f>IF(ISNUMBER(AE341),AE341+SUM(AE342,AE343,AE344,AE345),"")</f>
        <v/>
      </c>
      <c r="AF346" s="53">
        <f>IF(ISNUMBER(AF341),AF341+SUM(AF342,AF343,AF344,AF345),"")</f>
        <v/>
      </c>
      <c r="AG346" s="53">
        <f>IF(ISNUMBER(AG341),AG341+SUM(AG342,AG343,AG344,AG345),"")</f>
        <v/>
      </c>
      <c r="AH346" s="53">
        <f>IF(ISNUMBER(AH341),AH341+SUM(AH342,AH343,AH344,AH345),"")</f>
        <v/>
      </c>
      <c r="AI346" s="53">
        <f>IF(ISNUMBER(AI341),AI341+SUM(AI342,AI343,AI344,AI345),"")</f>
        <v/>
      </c>
      <c r="AJ346" s="53">
        <f>IF(ISNUMBER(AJ341),AJ341+SUM(AJ342,AJ343,AJ344,AJ345),"")</f>
        <v/>
      </c>
      <c r="AK346" s="53">
        <f>IF(ISNUMBER(AK341),AK341+SUM(AK342,AK343,AK344,AK345),"")</f>
        <v/>
      </c>
      <c r="AL346" s="53">
        <f>IF(ISNUMBER(AL341),AL341+SUM(AL342,AL343,AL344,AL345),"")</f>
        <v/>
      </c>
      <c r="AM346" s="53">
        <f>IF(ISNUMBER(AM341),AM341+SUM(AM342,AM343,AM344,AM345),"")</f>
        <v/>
      </c>
      <c r="AN346" s="53">
        <f>IF(ISNUMBER(AN341),AN341+SUM(AN342,AN343,AN344,AN345),"")</f>
        <v/>
      </c>
      <c r="AO346" s="53">
        <f>IF(ISNUMBER(AO341),AO341+SUM(AO342,AO343,AO344,AO345),"")</f>
        <v/>
      </c>
      <c r="AP346" s="53">
        <f>IF(ISNUMBER(AP341),AP341+SUM(AP342,AP343,AP344,AP345),"")</f>
        <v/>
      </c>
      <c r="AQ346" s="53">
        <f>IF(ISNUMBER(AQ341),AQ341+SUM(AQ342,AQ343,AQ344,AQ345),"")</f>
        <v/>
      </c>
      <c r="AR346" s="53">
        <f>IF(ISNUMBER(AR341),AR341+SUM(AR342,AR343,AR344,AR345),"")</f>
        <v/>
      </c>
      <c r="AS346" s="53">
        <f>IF(ISNUMBER(AS341),AS341+SUM(AS342,AS343,AS344,AS345),"")</f>
        <v/>
      </c>
      <c r="AT346" s="53">
        <f>IF(ISNUMBER(AT341),AT341+SUM(AT342,AT343,AT344,AT345),"")</f>
        <v/>
      </c>
      <c r="AU346" s="53" t="n"/>
      <c r="AV346" s="53" t="n"/>
      <c r="AW346" s="53">
        <f>AW341+SUM(AW342,AW343,AW344,AW345)</f>
        <v/>
      </c>
      <c r="AX346" s="53">
        <f>AX341+SUM(AX342,AX343,AX344,AX345)</f>
        <v/>
      </c>
      <c r="AY346" s="53">
        <f>AY341+SUM(AY342,AY343,AY344,AY345)</f>
        <v/>
      </c>
      <c r="AZ346" s="53">
        <f>AZ341+SUM(AZ342,AZ343,AZ344,AZ345)</f>
        <v/>
      </c>
      <c r="BA346" s="53">
        <f>BA341+SUM(BA342,BA343,BA344,BA345)</f>
        <v/>
      </c>
      <c r="BB346" s="26" t="n"/>
    </row>
    <row r="347">
      <c r="B347" s="27" t="inlineStr">
        <is>
          <t xml:space="preserve">  Redeemable convertible preferred stock (mezzanine; converted at the May-2019 IPO)</t>
        </is>
      </c>
      <c r="C347" s="43" t="n"/>
      <c r="D347" s="44" t="n">
        <v>12210</v>
      </c>
      <c r="E347" s="43" t="n"/>
      <c r="F347" s="43" t="n"/>
      <c r="G347" s="43" t="n"/>
      <c r="H347" s="44" t="n">
        <v>14177</v>
      </c>
      <c r="I347" s="44" t="n">
        <v>14177</v>
      </c>
      <c r="J347" s="44" t="n">
        <v>14224</v>
      </c>
      <c r="K347" s="44" t="n">
        <v>0</v>
      </c>
      <c r="L347" s="44" t="n">
        <v>0</v>
      </c>
      <c r="M347" s="44" t="n">
        <v>0</v>
      </c>
      <c r="N347" s="44" t="n">
        <v>0</v>
      </c>
      <c r="O347" s="43" t="n"/>
      <c r="P347" s="43" t="n"/>
      <c r="Q347" s="43" t="n"/>
      <c r="R347" s="43" t="n"/>
      <c r="S347" s="43" t="n"/>
      <c r="T347" s="43" t="n"/>
      <c r="U347" s="43" t="n"/>
      <c r="V347" s="43" t="n"/>
      <c r="W347" s="43" t="n"/>
      <c r="X347" s="43" t="n"/>
      <c r="Y347" s="43" t="n"/>
      <c r="Z347" s="43" t="n"/>
      <c r="AA347" s="43" t="n"/>
      <c r="AB347" s="43" t="n"/>
      <c r="AC347" s="43" t="n"/>
      <c r="AD347" s="43" t="n"/>
      <c r="AE347" s="43" t="n"/>
      <c r="AF347" s="43" t="n"/>
      <c r="AG347" s="43" t="n"/>
      <c r="AH347" s="43" t="n"/>
      <c r="AI347" s="43" t="n"/>
      <c r="AJ347" s="43" t="n"/>
      <c r="AK347" s="43" t="n"/>
      <c r="AL347" s="43" t="n"/>
      <c r="AM347" s="43" t="n"/>
      <c r="AN347" s="43" t="n"/>
      <c r="AO347" s="43" t="n"/>
      <c r="AP347" s="43" t="n"/>
      <c r="AQ347" s="43" t="n"/>
      <c r="AR347" s="43" t="n"/>
      <c r="AS347" s="43" t="n"/>
      <c r="AT347" s="43" t="n"/>
      <c r="AU347" s="45" t="n"/>
      <c r="AV347" s="45" t="n"/>
      <c r="AW347" s="45" t="n"/>
      <c r="AX347" s="45" t="n"/>
      <c r="AY347" s="45" t="n"/>
      <c r="AZ347" s="45" t="n"/>
      <c r="BA347" s="45" t="n"/>
      <c r="BB347" s="26" t="n"/>
    </row>
    <row r="348">
      <c r="B348" s="27" t="inlineStr">
        <is>
          <t xml:space="preserve">  Redeemable non-controlling interests (mezzanine)</t>
        </is>
      </c>
      <c r="C348" s="43" t="n"/>
      <c r="D348" s="44" t="n">
        <v>0</v>
      </c>
      <c r="E348" s="43" t="n"/>
      <c r="F348" s="43" t="n"/>
      <c r="G348" s="43" t="n"/>
      <c r="H348" s="44" t="n">
        <v>0</v>
      </c>
      <c r="I348" s="44" t="n">
        <v>0</v>
      </c>
      <c r="J348" s="44" t="n">
        <v>-4</v>
      </c>
      <c r="K348" s="44" t="n">
        <v>-14</v>
      </c>
      <c r="L348" s="44" t="n">
        <v>309</v>
      </c>
      <c r="M348" s="44" t="n">
        <v>311</v>
      </c>
      <c r="N348" s="44" t="n">
        <v>311</v>
      </c>
      <c r="O348" s="44" t="n">
        <v>290</v>
      </c>
      <c r="P348" s="44" t="n">
        <v>282</v>
      </c>
      <c r="Q348" s="44" t="n">
        <v>549</v>
      </c>
      <c r="R348" s="44" t="n">
        <v>787</v>
      </c>
      <c r="S348" s="44" t="n">
        <v>787</v>
      </c>
      <c r="T348" s="44" t="n">
        <v>473</v>
      </c>
      <c r="U348" s="44" t="n">
        <v>1569</v>
      </c>
      <c r="V348" s="44" t="n">
        <v>229</v>
      </c>
      <c r="W348" s="44" t="n">
        <v>204</v>
      </c>
      <c r="X348" s="44" t="n">
        <v>204</v>
      </c>
      <c r="Y348" s="44" t="n">
        <v>205</v>
      </c>
      <c r="Z348" s="44" t="n">
        <v>194</v>
      </c>
      <c r="AA348" s="44" t="n">
        <v>430</v>
      </c>
      <c r="AB348" s="44" t="n">
        <v>430</v>
      </c>
      <c r="AC348" s="44" t="n">
        <v>430</v>
      </c>
      <c r="AD348" s="44" t="n">
        <v>419</v>
      </c>
      <c r="AE348" s="44" t="n">
        <v>408</v>
      </c>
      <c r="AF348" s="44" t="n">
        <v>394</v>
      </c>
      <c r="AG348" s="44" t="n">
        <v>654</v>
      </c>
      <c r="AH348" s="44" t="n">
        <v>654</v>
      </c>
      <c r="AI348" s="44" t="n">
        <v>651</v>
      </c>
      <c r="AJ348" s="44" t="n">
        <v>631</v>
      </c>
      <c r="AK348" s="44" t="n">
        <v>946</v>
      </c>
      <c r="AL348" s="44" t="n">
        <v>93</v>
      </c>
      <c r="AM348" s="44" t="n">
        <v>93</v>
      </c>
      <c r="AN348" s="44" t="n">
        <v>93</v>
      </c>
      <c r="AO348" s="44" t="n">
        <v>183</v>
      </c>
      <c r="AP348" s="44" t="n">
        <v>158</v>
      </c>
      <c r="AQ348" s="44" t="n">
        <v>165</v>
      </c>
      <c r="AR348" s="44" t="n">
        <v>165</v>
      </c>
      <c r="AS348" s="44" t="n">
        <v>171</v>
      </c>
      <c r="AT348" s="44" t="n">
        <v>180</v>
      </c>
      <c r="AU348" s="45" t="n"/>
      <c r="AV348" s="45" t="n"/>
      <c r="AW348" s="45">
        <f>AT348</f>
        <v/>
      </c>
      <c r="AX348" s="45">
        <f>AW348</f>
        <v/>
      </c>
      <c r="AY348" s="45">
        <f>AX348</f>
        <v/>
      </c>
      <c r="AZ348" s="45">
        <f>AY348</f>
        <v/>
      </c>
      <c r="BA348" s="45">
        <f>AZ348</f>
        <v/>
      </c>
      <c r="BB348" s="26" t="n"/>
    </row>
    <row r="349">
      <c r="B349" s="27" t="inlineStr">
        <is>
          <t>Stockholders' equity:</t>
        </is>
      </c>
    </row>
    <row r="350">
      <c r="B350" s="27" t="inlineStr">
        <is>
          <t xml:space="preserve">  Common stock &amp; additional paid-in capital</t>
        </is>
      </c>
      <c r="C350" s="43" t="n"/>
      <c r="D350" s="44" t="n">
        <v>320</v>
      </c>
      <c r="E350" s="43" t="n"/>
      <c r="F350" s="43" t="n"/>
      <c r="G350" s="43" t="n"/>
      <c r="H350" s="44" t="n">
        <v>668</v>
      </c>
      <c r="I350" s="44" t="n">
        <v>668</v>
      </c>
      <c r="J350" s="44" t="n">
        <v>682</v>
      </c>
      <c r="K350" s="44" t="n">
        <v>30193</v>
      </c>
      <c r="L350" s="44" t="n">
        <v>30513</v>
      </c>
      <c r="M350" s="44" t="n">
        <v>30739</v>
      </c>
      <c r="N350" s="44" t="n">
        <v>30739</v>
      </c>
      <c r="O350" s="44" t="n">
        <v>31035</v>
      </c>
      <c r="P350" s="44" t="n">
        <v>31267</v>
      </c>
      <c r="Q350" s="44" t="n">
        <v>31549</v>
      </c>
      <c r="R350" s="44" t="n">
        <v>35931</v>
      </c>
      <c r="S350" s="44" t="n">
        <v>35931</v>
      </c>
      <c r="T350" s="44" t="n">
        <v>36182</v>
      </c>
      <c r="U350" s="44" t="n">
        <v>35588</v>
      </c>
      <c r="V350" s="44" t="n">
        <v>37281</v>
      </c>
      <c r="W350" s="44" t="n">
        <v>38608</v>
      </c>
      <c r="X350" s="44" t="n">
        <v>38608</v>
      </c>
      <c r="Y350" s="44" t="n">
        <v>38977</v>
      </c>
      <c r="Z350" s="44" t="n">
        <v>39523</v>
      </c>
      <c r="AA350" s="44" t="n">
        <v>40020</v>
      </c>
      <c r="AB350" s="44" t="n">
        <v>40550</v>
      </c>
      <c r="AC350" s="44" t="n">
        <v>40550</v>
      </c>
      <c r="AD350" s="44" t="n">
        <v>41030</v>
      </c>
      <c r="AE350" s="44" t="n">
        <v>41637</v>
      </c>
      <c r="AF350" s="44" t="n">
        <v>42147</v>
      </c>
      <c r="AG350" s="44" t="n">
        <v>42264</v>
      </c>
      <c r="AH350" s="44" t="n">
        <v>42264</v>
      </c>
      <c r="AI350" s="44" t="n">
        <v>42743</v>
      </c>
      <c r="AJ350" s="44" t="n">
        <v>43062</v>
      </c>
      <c r="AK350" s="44" t="n">
        <v>42825</v>
      </c>
      <c r="AL350" s="44" t="n">
        <v>42801</v>
      </c>
      <c r="AM350" s="44" t="n">
        <v>42801</v>
      </c>
      <c r="AN350" s="44" t="n">
        <v>41406</v>
      </c>
      <c r="AO350" s="44" t="n">
        <v>40625</v>
      </c>
      <c r="AP350" s="44" t="n">
        <v>39499</v>
      </c>
      <c r="AQ350" s="44" t="n">
        <v>38101</v>
      </c>
      <c r="AR350" s="44" t="n">
        <v>38101</v>
      </c>
      <c r="AS350" s="44" t="n">
        <v>35527</v>
      </c>
      <c r="AT350" s="44" t="n">
        <v>35698</v>
      </c>
      <c r="AU350" s="45" t="n"/>
      <c r="AV350" s="45" t="n"/>
      <c r="AW350" s="45">
        <f>AT350+AU171+AV171+(AW282-(AS282+AT282))+(AW281-(AS281+AT281))</f>
        <v/>
      </c>
      <c r="AX350" s="45">
        <f>AW350+AX171+AX282+AX281</f>
        <v/>
      </c>
      <c r="AY350" s="45">
        <f>AX350+AY171+AY282+AY281</f>
        <v/>
      </c>
      <c r="AZ350" s="45">
        <f>AY350+AZ171+AZ282+AZ281</f>
        <v/>
      </c>
      <c r="BA350" s="45">
        <f>AZ350+BA171+BA282+BA281</f>
        <v/>
      </c>
      <c r="BB350" s="19" t="inlineStr">
        <is>
          <t>+ stock-based compensation + net issuance − share repurchases (Uber retires repurchased shares against APIC).</t>
        </is>
      </c>
    </row>
    <row r="351">
      <c r="B351" s="27" t="inlineStr">
        <is>
          <t xml:space="preserve">  Accumulated deficit / retained earnings</t>
        </is>
      </c>
      <c r="C351" s="43" t="n"/>
      <c r="D351" s="44" t="n">
        <v>-8874</v>
      </c>
      <c r="E351" s="43" t="n"/>
      <c r="F351" s="43" t="n"/>
      <c r="G351" s="43" t="n"/>
      <c r="H351" s="44" t="n">
        <v>-7865</v>
      </c>
      <c r="I351" s="44" t="n">
        <v>-7865</v>
      </c>
      <c r="J351" s="44" t="n">
        <v>-8868</v>
      </c>
      <c r="K351" s="44" t="n">
        <v>-14104</v>
      </c>
      <c r="L351" s="44" t="n">
        <v>-15266</v>
      </c>
      <c r="M351" s="44" t="n">
        <v>-16362</v>
      </c>
      <c r="N351" s="44" t="n">
        <v>-16362</v>
      </c>
      <c r="O351" s="44" t="n">
        <v>-19298</v>
      </c>
      <c r="P351" s="44" t="n">
        <v>-21073</v>
      </c>
      <c r="Q351" s="44" t="n">
        <v>-22162</v>
      </c>
      <c r="R351" s="44" t="n">
        <v>-23130</v>
      </c>
      <c r="S351" s="44" t="n">
        <v>-23130</v>
      </c>
      <c r="T351" s="44" t="n">
        <v>-23238</v>
      </c>
      <c r="U351" s="44" t="n">
        <v>-22094</v>
      </c>
      <c r="V351" s="44" t="n">
        <v>-24518</v>
      </c>
      <c r="W351" s="44" t="n">
        <v>-23626</v>
      </c>
      <c r="X351" s="44" t="n">
        <v>-23626</v>
      </c>
      <c r="Y351" s="44" t="n">
        <v>-29556</v>
      </c>
      <c r="Z351" s="44" t="n">
        <v>-32157</v>
      </c>
      <c r="AA351" s="44" t="n">
        <v>-33363</v>
      </c>
      <c r="AB351" s="44" t="n">
        <v>-32767</v>
      </c>
      <c r="AC351" s="44" t="n">
        <v>-32767</v>
      </c>
      <c r="AD351" s="44" t="n">
        <v>-32924</v>
      </c>
      <c r="AE351" s="44" t="n">
        <v>-32530</v>
      </c>
      <c r="AF351" s="44" t="n">
        <v>-32309</v>
      </c>
      <c r="AG351" s="44" t="n">
        <v>-30594</v>
      </c>
      <c r="AH351" s="44" t="n">
        <v>-30594</v>
      </c>
      <c r="AI351" s="44" t="n">
        <v>-31248</v>
      </c>
      <c r="AJ351" s="44" t="n">
        <v>-30233</v>
      </c>
      <c r="AK351" s="44" t="n">
        <v>-27621</v>
      </c>
      <c r="AL351" s="44" t="n">
        <v>-20726</v>
      </c>
      <c r="AM351" s="44" t="n">
        <v>-20726</v>
      </c>
      <c r="AN351" s="44" t="n">
        <v>-18946</v>
      </c>
      <c r="AO351" s="44" t="n">
        <v>-17592</v>
      </c>
      <c r="AP351" s="44" t="n">
        <v>-10935</v>
      </c>
      <c r="AQ351" s="44" t="n">
        <v>-10628</v>
      </c>
      <c r="AR351" s="44" t="n">
        <v>-10628</v>
      </c>
      <c r="AS351" s="44" t="n">
        <v>-10355</v>
      </c>
      <c r="AT351" s="44" t="n">
        <v>-7950</v>
      </c>
      <c r="AU351" s="45" t="n"/>
      <c r="AV351" s="45" t="n"/>
      <c r="AW351" s="45">
        <f>AT351+AU168+AV168</f>
        <v/>
      </c>
      <c r="AX351" s="45">
        <f>AW351+AX168</f>
        <v/>
      </c>
      <c r="AY351" s="45">
        <f>AX351+AY168</f>
        <v/>
      </c>
      <c r="AZ351" s="45">
        <f>AY351+AZ168</f>
        <v/>
      </c>
      <c r="BA351" s="45">
        <f>AZ351+BA168</f>
        <v/>
      </c>
      <c r="BB351" s="26" t="n"/>
    </row>
    <row r="352">
      <c r="B352" s="27" t="inlineStr">
        <is>
          <t xml:space="preserve">  Accumulated other comprehensive income (loss)</t>
        </is>
      </c>
      <c r="C352" s="43" t="n"/>
      <c r="D352" s="44" t="n">
        <v>-3</v>
      </c>
      <c r="E352" s="43" t="n"/>
      <c r="F352" s="43" t="n"/>
      <c r="G352" s="43" t="n"/>
      <c r="H352" s="44" t="n">
        <v>-188</v>
      </c>
      <c r="I352" s="44" t="n">
        <v>-188</v>
      </c>
      <c r="J352" s="44" t="n">
        <v>-246</v>
      </c>
      <c r="K352" s="44" t="n">
        <v>-167</v>
      </c>
      <c r="L352" s="44" t="n">
        <v>-185</v>
      </c>
      <c r="M352" s="44" t="n">
        <v>-187</v>
      </c>
      <c r="N352" s="44" t="n">
        <v>-187</v>
      </c>
      <c r="O352" s="44" t="n">
        <v>-395</v>
      </c>
      <c r="P352" s="44" t="n">
        <v>-644</v>
      </c>
      <c r="Q352" s="44" t="n">
        <v>-445</v>
      </c>
      <c r="R352" s="44" t="n">
        <v>-535</v>
      </c>
      <c r="S352" s="44" t="n">
        <v>-535</v>
      </c>
      <c r="T352" s="44" t="n">
        <v>654</v>
      </c>
      <c r="U352" s="44" t="n">
        <v>681</v>
      </c>
      <c r="V352" s="44" t="n">
        <v>1168</v>
      </c>
      <c r="W352" s="44" t="n">
        <v>-524</v>
      </c>
      <c r="X352" s="44" t="n">
        <v>-524</v>
      </c>
      <c r="Y352" s="44" t="n">
        <v>-505</v>
      </c>
      <c r="Z352" s="44" t="n">
        <v>-705</v>
      </c>
      <c r="AA352" s="44" t="n">
        <v>-410</v>
      </c>
      <c r="AB352" s="44" t="n">
        <v>-443</v>
      </c>
      <c r="AC352" s="44" t="n">
        <v>-443</v>
      </c>
      <c r="AD352" s="44" t="n">
        <v>-598</v>
      </c>
      <c r="AE352" s="44" t="n">
        <v>-443</v>
      </c>
      <c r="AF352" s="44" t="n">
        <v>-480</v>
      </c>
      <c r="AG352" s="44" t="n">
        <v>-421</v>
      </c>
      <c r="AH352" s="44" t="n">
        <v>-421</v>
      </c>
      <c r="AI352" s="44" t="n">
        <v>-437</v>
      </c>
      <c r="AJ352" s="44" t="n">
        <v>-479</v>
      </c>
      <c r="AK352" s="44" t="n">
        <v>-424</v>
      </c>
      <c r="AL352" s="44" t="n">
        <v>-517</v>
      </c>
      <c r="AM352" s="44" t="n">
        <v>-517</v>
      </c>
      <c r="AN352" s="44" t="n">
        <v>-485</v>
      </c>
      <c r="AO352" s="44" t="n">
        <v>-435</v>
      </c>
      <c r="AP352" s="44" t="n">
        <v>-430</v>
      </c>
      <c r="AQ352" s="44" t="n">
        <v>-432</v>
      </c>
      <c r="AR352" s="44" t="n">
        <v>-432</v>
      </c>
      <c r="AS352" s="44" t="n">
        <v>-421</v>
      </c>
      <c r="AT352" s="44" t="n">
        <v>-432</v>
      </c>
      <c r="AU352" s="45" t="n"/>
      <c r="AV352" s="45" t="n"/>
      <c r="AW352" s="45">
        <f>AT352</f>
        <v/>
      </c>
      <c r="AX352" s="45">
        <f>AW352</f>
        <v/>
      </c>
      <c r="AY352" s="45">
        <f>AX352</f>
        <v/>
      </c>
      <c r="AZ352" s="45">
        <f>AY352</f>
        <v/>
      </c>
      <c r="BA352" s="45">
        <f>AZ352</f>
        <v/>
      </c>
      <c r="BB352" s="26" t="n"/>
    </row>
    <row r="353">
      <c r="B353" s="16" t="inlineStr">
        <is>
          <t>Total Uber Technologies, Inc. stockholders' equity</t>
        </is>
      </c>
      <c r="C353" s="36">
        <f>IF(ISNUMBER(C350),SUM(C350,C351,C352),"")</f>
        <v/>
      </c>
      <c r="D353" s="36">
        <f>IF(ISNUMBER(D350),SUM(D350,D351,D352),"")</f>
        <v/>
      </c>
      <c r="E353" s="36">
        <f>IF(ISNUMBER(E350),SUM(E350,E351,E352),"")</f>
        <v/>
      </c>
      <c r="F353" s="36">
        <f>IF(ISNUMBER(F350),SUM(F350,F351,F352),"")</f>
        <v/>
      </c>
      <c r="G353" s="36">
        <f>IF(ISNUMBER(G350),SUM(G350,G351,G352),"")</f>
        <v/>
      </c>
      <c r="H353" s="36">
        <f>IF(ISNUMBER(H350),SUM(H350,H351,H352),"")</f>
        <v/>
      </c>
      <c r="I353" s="36">
        <f>IF(ISNUMBER(I350),SUM(I350,I351,I352),"")</f>
        <v/>
      </c>
      <c r="J353" s="36">
        <f>IF(ISNUMBER(J350),SUM(J350,J351,J352),"")</f>
        <v/>
      </c>
      <c r="K353" s="36">
        <f>IF(ISNUMBER(K350),SUM(K350,K351,K352),"")</f>
        <v/>
      </c>
      <c r="L353" s="36">
        <f>IF(ISNUMBER(L350),SUM(L350,L351,L352),"")</f>
        <v/>
      </c>
      <c r="M353" s="36">
        <f>IF(ISNUMBER(M350),SUM(M350,M351,M352),"")</f>
        <v/>
      </c>
      <c r="N353" s="36">
        <f>IF(ISNUMBER(N350),SUM(N350,N351,N352),"")</f>
        <v/>
      </c>
      <c r="O353" s="36">
        <f>IF(ISNUMBER(O350),SUM(O350,O351,O352),"")</f>
        <v/>
      </c>
      <c r="P353" s="36">
        <f>IF(ISNUMBER(P350),SUM(P350,P351,P352),"")</f>
        <v/>
      </c>
      <c r="Q353" s="36">
        <f>IF(ISNUMBER(Q350),SUM(Q350,Q351,Q352),"")</f>
        <v/>
      </c>
      <c r="R353" s="36">
        <f>IF(ISNUMBER(R350),SUM(R350,R351,R352),"")</f>
        <v/>
      </c>
      <c r="S353" s="36">
        <f>IF(ISNUMBER(S350),SUM(S350,S351,S352),"")</f>
        <v/>
      </c>
      <c r="T353" s="36">
        <f>IF(ISNUMBER(T350),SUM(T350,T351,T352),"")</f>
        <v/>
      </c>
      <c r="U353" s="36">
        <f>IF(ISNUMBER(U350),SUM(U350,U351,U352),"")</f>
        <v/>
      </c>
      <c r="V353" s="36">
        <f>IF(ISNUMBER(V350),SUM(V350,V351,V352),"")</f>
        <v/>
      </c>
      <c r="W353" s="36">
        <f>IF(ISNUMBER(W350),SUM(W350,W351,W352),"")</f>
        <v/>
      </c>
      <c r="X353" s="36">
        <f>IF(ISNUMBER(X350),SUM(X350,X351,X352),"")</f>
        <v/>
      </c>
      <c r="Y353" s="36">
        <f>IF(ISNUMBER(Y350),SUM(Y350,Y351,Y352),"")</f>
        <v/>
      </c>
      <c r="Z353" s="36">
        <f>IF(ISNUMBER(Z350),SUM(Z350,Z351,Z352),"")</f>
        <v/>
      </c>
      <c r="AA353" s="36">
        <f>IF(ISNUMBER(AA350),SUM(AA350,AA351,AA352),"")</f>
        <v/>
      </c>
      <c r="AB353" s="36">
        <f>IF(ISNUMBER(AB350),SUM(AB350,AB351,AB352),"")</f>
        <v/>
      </c>
      <c r="AC353" s="36">
        <f>IF(ISNUMBER(AC350),SUM(AC350,AC351,AC352),"")</f>
        <v/>
      </c>
      <c r="AD353" s="36">
        <f>IF(ISNUMBER(AD350),SUM(AD350,AD351,AD352),"")</f>
        <v/>
      </c>
      <c r="AE353" s="36">
        <f>IF(ISNUMBER(AE350),SUM(AE350,AE351,AE352),"")</f>
        <v/>
      </c>
      <c r="AF353" s="36">
        <f>IF(ISNUMBER(AF350),SUM(AF350,AF351,AF352),"")</f>
        <v/>
      </c>
      <c r="AG353" s="36">
        <f>IF(ISNUMBER(AG350),SUM(AG350,AG351,AG352),"")</f>
        <v/>
      </c>
      <c r="AH353" s="36">
        <f>IF(ISNUMBER(AH350),SUM(AH350,AH351,AH352),"")</f>
        <v/>
      </c>
      <c r="AI353" s="36">
        <f>IF(ISNUMBER(AI350),SUM(AI350,AI351,AI352),"")</f>
        <v/>
      </c>
      <c r="AJ353" s="36">
        <f>IF(ISNUMBER(AJ350),SUM(AJ350,AJ351,AJ352),"")</f>
        <v/>
      </c>
      <c r="AK353" s="36">
        <f>IF(ISNUMBER(AK350),SUM(AK350,AK351,AK352),"")</f>
        <v/>
      </c>
      <c r="AL353" s="36">
        <f>IF(ISNUMBER(AL350),SUM(AL350,AL351,AL352),"")</f>
        <v/>
      </c>
      <c r="AM353" s="36">
        <f>IF(ISNUMBER(AM350),SUM(AM350,AM351,AM352),"")</f>
        <v/>
      </c>
      <c r="AN353" s="36">
        <f>IF(ISNUMBER(AN350),SUM(AN350,AN351,AN352),"")</f>
        <v/>
      </c>
      <c r="AO353" s="36">
        <f>IF(ISNUMBER(AO350),SUM(AO350,AO351,AO352),"")</f>
        <v/>
      </c>
      <c r="AP353" s="36">
        <f>IF(ISNUMBER(AP350),SUM(AP350,AP351,AP352),"")</f>
        <v/>
      </c>
      <c r="AQ353" s="36">
        <f>IF(ISNUMBER(AQ350),SUM(AQ350,AQ351,AQ352),"")</f>
        <v/>
      </c>
      <c r="AR353" s="36">
        <f>IF(ISNUMBER(AR350),SUM(AR350,AR351,AR352),"")</f>
        <v/>
      </c>
      <c r="AS353" s="36">
        <f>IF(ISNUMBER(AS350),SUM(AS350,AS351,AS352),"")</f>
        <v/>
      </c>
      <c r="AT353" s="36">
        <f>IF(ISNUMBER(AT350),SUM(AT350,AT351,AT352),"")</f>
        <v/>
      </c>
      <c r="AU353" s="18" t="n"/>
      <c r="AV353" s="18" t="n"/>
      <c r="AW353" s="18">
        <f>SUM(AW350,AW351,AW352)</f>
        <v/>
      </c>
      <c r="AX353" s="18">
        <f>SUM(AX350,AX351,AX352)</f>
        <v/>
      </c>
      <c r="AY353" s="18">
        <f>SUM(AY350,AY351,AY352)</f>
        <v/>
      </c>
      <c r="AZ353" s="18">
        <f>SUM(AZ350,AZ351,AZ352)</f>
        <v/>
      </c>
      <c r="BA353" s="18">
        <f>SUM(BA350,BA351,BA352)</f>
        <v/>
      </c>
      <c r="BB353" s="26" t="n"/>
    </row>
    <row r="354">
      <c r="B354" s="27" t="inlineStr">
        <is>
          <t xml:space="preserve">  Non-redeemable non-controlling interests</t>
        </is>
      </c>
      <c r="C354" s="43" t="n"/>
      <c r="D354" s="43" t="n"/>
      <c r="E354" s="43" t="n"/>
      <c r="F354" s="43" t="n"/>
      <c r="G354" s="43" t="n"/>
      <c r="H354" s="44" t="n">
        <v>0</v>
      </c>
      <c r="I354" s="44" t="n">
        <v>0</v>
      </c>
      <c r="J354" s="43" t="n"/>
      <c r="K354" s="43" t="n"/>
      <c r="L354" s="44" t="n">
        <v>680</v>
      </c>
      <c r="M354" s="44" t="n">
        <v>682</v>
      </c>
      <c r="N354" s="44" t="n">
        <v>682</v>
      </c>
      <c r="O354" s="44" t="n">
        <v>686</v>
      </c>
      <c r="P354" s="44" t="n">
        <v>689</v>
      </c>
      <c r="Q354" s="44" t="n">
        <v>691</v>
      </c>
      <c r="R354" s="44" t="n">
        <v>701</v>
      </c>
      <c r="S354" s="44" t="n">
        <v>701</v>
      </c>
      <c r="T354" s="44" t="n">
        <v>0</v>
      </c>
      <c r="U354" s="44" t="n">
        <v>0</v>
      </c>
      <c r="V354" s="44" t="n">
        <v>125</v>
      </c>
      <c r="W354" s="44" t="n">
        <v>687</v>
      </c>
      <c r="X354" s="44" t="n">
        <v>687</v>
      </c>
      <c r="Y354" s="44" t="n">
        <v>697</v>
      </c>
      <c r="Z354" s="44" t="n">
        <v>708</v>
      </c>
      <c r="AA354" s="44" t="n">
        <v>723</v>
      </c>
      <c r="AB354" s="44" t="n">
        <v>734</v>
      </c>
      <c r="AC354" s="44" t="n">
        <v>734</v>
      </c>
      <c r="AD354" s="44" t="n">
        <v>745</v>
      </c>
      <c r="AE354" s="44" t="n">
        <v>756</v>
      </c>
      <c r="AF354" s="44" t="n">
        <v>767</v>
      </c>
      <c r="AG354" s="44" t="n">
        <v>779</v>
      </c>
      <c r="AH354" s="44" t="n">
        <v>779</v>
      </c>
      <c r="AI354" s="44" t="n">
        <v>790</v>
      </c>
      <c r="AJ354" s="44" t="n">
        <v>802</v>
      </c>
      <c r="AK354" s="44" t="n">
        <v>813</v>
      </c>
      <c r="AL354" s="44" t="n">
        <v>825</v>
      </c>
      <c r="AM354" s="44" t="n">
        <v>825</v>
      </c>
      <c r="AN354" s="44" t="n">
        <v>837</v>
      </c>
      <c r="AO354" s="44" t="n">
        <v>849</v>
      </c>
      <c r="AP354" s="44" t="n">
        <v>863</v>
      </c>
      <c r="AQ354" s="44" t="n">
        <v>877</v>
      </c>
      <c r="AR354" s="44" t="n">
        <v>877</v>
      </c>
      <c r="AS354" s="44" t="n">
        <v>890</v>
      </c>
      <c r="AT354" s="44" t="n">
        <v>903</v>
      </c>
      <c r="AU354" s="45" t="n"/>
      <c r="AV354" s="45" t="n"/>
      <c r="AW354" s="45">
        <f>AT354+AU167+AV167</f>
        <v/>
      </c>
      <c r="AX354" s="45">
        <f>AW354+AX167+N(AX388)</f>
        <v/>
      </c>
      <c r="AY354" s="45">
        <f>AX354+AY167+N(AY388)</f>
        <v/>
      </c>
      <c r="AZ354" s="45">
        <f>AY354+AZ167+N(AZ388)</f>
        <v/>
      </c>
      <c r="BA354" s="45">
        <f>AZ354+BA167+N(BA388)</f>
        <v/>
      </c>
      <c r="BB354" s="19" t="inlineStr">
        <is>
          <t>2027E: + Delivery Hero minority interests at fair value (offer price).</t>
        </is>
      </c>
    </row>
    <row r="355">
      <c r="B355" s="16" t="inlineStr">
        <is>
          <t>Total equity</t>
        </is>
      </c>
      <c r="C355" s="36">
        <f>IF(ISNUMBER(C353),C353+N(C354),"")</f>
        <v/>
      </c>
      <c r="D355" s="36">
        <f>IF(ISNUMBER(D353),D353+N(D354),"")</f>
        <v/>
      </c>
      <c r="E355" s="36">
        <f>IF(ISNUMBER(E353),E353+N(E354),"")</f>
        <v/>
      </c>
      <c r="F355" s="36">
        <f>IF(ISNUMBER(F353),F353+N(F354),"")</f>
        <v/>
      </c>
      <c r="G355" s="36">
        <f>IF(ISNUMBER(G353),G353+N(G354),"")</f>
        <v/>
      </c>
      <c r="H355" s="36">
        <f>IF(ISNUMBER(H353),H353+N(H354),"")</f>
        <v/>
      </c>
      <c r="I355" s="36">
        <f>IF(ISNUMBER(I353),I353+N(I354),"")</f>
        <v/>
      </c>
      <c r="J355" s="36">
        <f>IF(ISNUMBER(J353),J353+N(J354),"")</f>
        <v/>
      </c>
      <c r="K355" s="36">
        <f>IF(ISNUMBER(K353),K353+N(K354),"")</f>
        <v/>
      </c>
      <c r="L355" s="36">
        <f>IF(ISNUMBER(L353),L353+N(L354),"")</f>
        <v/>
      </c>
      <c r="M355" s="36">
        <f>IF(ISNUMBER(M353),M353+N(M354),"")</f>
        <v/>
      </c>
      <c r="N355" s="36">
        <f>IF(ISNUMBER(N353),N353+N(N354),"")</f>
        <v/>
      </c>
      <c r="O355" s="36">
        <f>IF(ISNUMBER(O353),O353+N(O354),"")</f>
        <v/>
      </c>
      <c r="P355" s="36">
        <f>IF(ISNUMBER(P353),P353+N(P354),"")</f>
        <v/>
      </c>
      <c r="Q355" s="36">
        <f>IF(ISNUMBER(Q353),Q353+N(Q354),"")</f>
        <v/>
      </c>
      <c r="R355" s="36">
        <f>IF(ISNUMBER(R353),R353+N(R354),"")</f>
        <v/>
      </c>
      <c r="S355" s="36">
        <f>IF(ISNUMBER(S353),S353+N(S354),"")</f>
        <v/>
      </c>
      <c r="T355" s="36">
        <f>IF(ISNUMBER(T353),T353+N(T354),"")</f>
        <v/>
      </c>
      <c r="U355" s="36">
        <f>IF(ISNUMBER(U353),U353+N(U354),"")</f>
        <v/>
      </c>
      <c r="V355" s="36">
        <f>IF(ISNUMBER(V353),V353+N(V354),"")</f>
        <v/>
      </c>
      <c r="W355" s="36">
        <f>IF(ISNUMBER(W353),W353+N(W354),"")</f>
        <v/>
      </c>
      <c r="X355" s="36">
        <f>IF(ISNUMBER(X353),X353+N(X354),"")</f>
        <v/>
      </c>
      <c r="Y355" s="36">
        <f>IF(ISNUMBER(Y353),Y353+N(Y354),"")</f>
        <v/>
      </c>
      <c r="Z355" s="36">
        <f>IF(ISNUMBER(Z353),Z353+N(Z354),"")</f>
        <v/>
      </c>
      <c r="AA355" s="36">
        <f>IF(ISNUMBER(AA353),AA353+N(AA354),"")</f>
        <v/>
      </c>
      <c r="AB355" s="36">
        <f>IF(ISNUMBER(AB353),AB353+N(AB354),"")</f>
        <v/>
      </c>
      <c r="AC355" s="36">
        <f>IF(ISNUMBER(AC353),AC353+N(AC354),"")</f>
        <v/>
      </c>
      <c r="AD355" s="36">
        <f>IF(ISNUMBER(AD353),AD353+N(AD354),"")</f>
        <v/>
      </c>
      <c r="AE355" s="36">
        <f>IF(ISNUMBER(AE353),AE353+N(AE354),"")</f>
        <v/>
      </c>
      <c r="AF355" s="36">
        <f>IF(ISNUMBER(AF353),AF353+N(AF354),"")</f>
        <v/>
      </c>
      <c r="AG355" s="36">
        <f>IF(ISNUMBER(AG353),AG353+N(AG354),"")</f>
        <v/>
      </c>
      <c r="AH355" s="36">
        <f>IF(ISNUMBER(AH353),AH353+N(AH354),"")</f>
        <v/>
      </c>
      <c r="AI355" s="36">
        <f>IF(ISNUMBER(AI353),AI353+N(AI354),"")</f>
        <v/>
      </c>
      <c r="AJ355" s="36">
        <f>IF(ISNUMBER(AJ353),AJ353+N(AJ354),"")</f>
        <v/>
      </c>
      <c r="AK355" s="36">
        <f>IF(ISNUMBER(AK353),AK353+N(AK354),"")</f>
        <v/>
      </c>
      <c r="AL355" s="36">
        <f>IF(ISNUMBER(AL353),AL353+N(AL354),"")</f>
        <v/>
      </c>
      <c r="AM355" s="36">
        <f>IF(ISNUMBER(AM353),AM353+N(AM354),"")</f>
        <v/>
      </c>
      <c r="AN355" s="36">
        <f>IF(ISNUMBER(AN353),AN353+N(AN354),"")</f>
        <v/>
      </c>
      <c r="AO355" s="36">
        <f>IF(ISNUMBER(AO353),AO353+N(AO354),"")</f>
        <v/>
      </c>
      <c r="AP355" s="36">
        <f>IF(ISNUMBER(AP353),AP353+N(AP354),"")</f>
        <v/>
      </c>
      <c r="AQ355" s="36">
        <f>IF(ISNUMBER(AQ353),AQ353+N(AQ354),"")</f>
        <v/>
      </c>
      <c r="AR355" s="36">
        <f>IF(ISNUMBER(AR353),AR353+N(AR354),"")</f>
        <v/>
      </c>
      <c r="AS355" s="36">
        <f>IF(ISNUMBER(AS353),AS353+N(AS354),"")</f>
        <v/>
      </c>
      <c r="AT355" s="36">
        <f>IF(ISNUMBER(AT353),AT353+N(AT354),"")</f>
        <v/>
      </c>
      <c r="AU355" s="18" t="n"/>
      <c r="AV355" s="18" t="n"/>
      <c r="AW355" s="18">
        <f>AW353+AW354</f>
        <v/>
      </c>
      <c r="AX355" s="18">
        <f>AX353+AX354</f>
        <v/>
      </c>
      <c r="AY355" s="18">
        <f>AY353+AY354</f>
        <v/>
      </c>
      <c r="AZ355" s="18">
        <f>AZ353+AZ354</f>
        <v/>
      </c>
      <c r="BA355" s="18">
        <f>BA353+BA354</f>
        <v/>
      </c>
      <c r="BB355" s="26" t="n"/>
    </row>
    <row r="356">
      <c r="B356" s="52" t="inlineStr">
        <is>
          <t>TOTAL LIABILITIES, MEZZANINE EQUITY AND EQUITY</t>
        </is>
      </c>
      <c r="C356" s="53">
        <f>IF(ISNUMBER(C346),C346+N(C347)+N(C348)+C355,"")</f>
        <v/>
      </c>
      <c r="D356" s="53">
        <f>IF(ISNUMBER(D346),D346+N(D347)+N(D348)+D355,"")</f>
        <v/>
      </c>
      <c r="E356" s="53">
        <f>IF(ISNUMBER(E346),E346+N(E347)+N(E348)+E355,"")</f>
        <v/>
      </c>
      <c r="F356" s="53">
        <f>IF(ISNUMBER(F346),F346+N(F347)+N(F348)+F355,"")</f>
        <v/>
      </c>
      <c r="G356" s="53">
        <f>IF(ISNUMBER(G346),G346+N(G347)+N(G348)+G355,"")</f>
        <v/>
      </c>
      <c r="H356" s="53">
        <f>IF(ISNUMBER(H346),H346+N(H347)+N(H348)+H355,"")</f>
        <v/>
      </c>
      <c r="I356" s="53">
        <f>IF(ISNUMBER(I346),I346+N(I347)+N(I348)+I355,"")</f>
        <v/>
      </c>
      <c r="J356" s="53">
        <f>IF(ISNUMBER(J346),J346+N(J347)+N(J348)+J355,"")</f>
        <v/>
      </c>
      <c r="K356" s="53">
        <f>IF(ISNUMBER(K346),K346+N(K347)+N(K348)+K355,"")</f>
        <v/>
      </c>
      <c r="L356" s="53">
        <f>IF(ISNUMBER(L346),L346+N(L347)+N(L348)+L355,"")</f>
        <v/>
      </c>
      <c r="M356" s="53">
        <f>IF(ISNUMBER(M346),M346+N(M347)+N(M348)+M355,"")</f>
        <v/>
      </c>
      <c r="N356" s="53">
        <f>IF(ISNUMBER(N346),N346+N(N347)+N(N348)+N355,"")</f>
        <v/>
      </c>
      <c r="O356" s="53">
        <f>IF(ISNUMBER(O346),O346+N(O347)+N(O348)+O355,"")</f>
        <v/>
      </c>
      <c r="P356" s="53">
        <f>IF(ISNUMBER(P346),P346+N(P347)+N(P348)+P355,"")</f>
        <v/>
      </c>
      <c r="Q356" s="53">
        <f>IF(ISNUMBER(Q346),Q346+N(Q347)+N(Q348)+Q355,"")</f>
        <v/>
      </c>
      <c r="R356" s="53">
        <f>IF(ISNUMBER(R346),R346+N(R347)+N(R348)+R355,"")</f>
        <v/>
      </c>
      <c r="S356" s="53">
        <f>IF(ISNUMBER(S346),S346+N(S347)+N(S348)+S355,"")</f>
        <v/>
      </c>
      <c r="T356" s="53">
        <f>IF(ISNUMBER(T346),T346+N(T347)+N(T348)+T355,"")</f>
        <v/>
      </c>
      <c r="U356" s="53">
        <f>IF(ISNUMBER(U346),U346+N(U347)+N(U348)+U355,"")</f>
        <v/>
      </c>
      <c r="V356" s="53">
        <f>IF(ISNUMBER(V346),V346+N(V347)+N(V348)+V355,"")</f>
        <v/>
      </c>
      <c r="W356" s="53">
        <f>IF(ISNUMBER(W346),W346+N(W347)+N(W348)+W355,"")</f>
        <v/>
      </c>
      <c r="X356" s="53">
        <f>IF(ISNUMBER(X346),X346+N(X347)+N(X348)+X355,"")</f>
        <v/>
      </c>
      <c r="Y356" s="53">
        <f>IF(ISNUMBER(Y346),Y346+N(Y347)+N(Y348)+Y355,"")</f>
        <v/>
      </c>
      <c r="Z356" s="53">
        <f>IF(ISNUMBER(Z346),Z346+N(Z347)+N(Z348)+Z355,"")</f>
        <v/>
      </c>
      <c r="AA356" s="53">
        <f>IF(ISNUMBER(AA346),AA346+N(AA347)+N(AA348)+AA355,"")</f>
        <v/>
      </c>
      <c r="AB356" s="53">
        <f>IF(ISNUMBER(AB346),AB346+N(AB347)+N(AB348)+AB355,"")</f>
        <v/>
      </c>
      <c r="AC356" s="53">
        <f>IF(ISNUMBER(AC346),AC346+N(AC347)+N(AC348)+AC355,"")</f>
        <v/>
      </c>
      <c r="AD356" s="53">
        <f>IF(ISNUMBER(AD346),AD346+N(AD347)+N(AD348)+AD355,"")</f>
        <v/>
      </c>
      <c r="AE356" s="53">
        <f>IF(ISNUMBER(AE346),AE346+N(AE347)+N(AE348)+AE355,"")</f>
        <v/>
      </c>
      <c r="AF356" s="53">
        <f>IF(ISNUMBER(AF346),AF346+N(AF347)+N(AF348)+AF355,"")</f>
        <v/>
      </c>
      <c r="AG356" s="53">
        <f>IF(ISNUMBER(AG346),AG346+N(AG347)+N(AG348)+AG355,"")</f>
        <v/>
      </c>
      <c r="AH356" s="53">
        <f>IF(ISNUMBER(AH346),AH346+N(AH347)+N(AH348)+AH355,"")</f>
        <v/>
      </c>
      <c r="AI356" s="53">
        <f>IF(ISNUMBER(AI346),AI346+N(AI347)+N(AI348)+AI355,"")</f>
        <v/>
      </c>
      <c r="AJ356" s="53">
        <f>IF(ISNUMBER(AJ346),AJ346+N(AJ347)+N(AJ348)+AJ355,"")</f>
        <v/>
      </c>
      <c r="AK356" s="53">
        <f>IF(ISNUMBER(AK346),AK346+N(AK347)+N(AK348)+AK355,"")</f>
        <v/>
      </c>
      <c r="AL356" s="53">
        <f>IF(ISNUMBER(AL346),AL346+N(AL347)+N(AL348)+AL355,"")</f>
        <v/>
      </c>
      <c r="AM356" s="53">
        <f>IF(ISNUMBER(AM346),AM346+N(AM347)+N(AM348)+AM355,"")</f>
        <v/>
      </c>
      <c r="AN356" s="53">
        <f>IF(ISNUMBER(AN346),AN346+N(AN347)+N(AN348)+AN355,"")</f>
        <v/>
      </c>
      <c r="AO356" s="53">
        <f>IF(ISNUMBER(AO346),AO346+N(AO347)+N(AO348)+AO355,"")</f>
        <v/>
      </c>
      <c r="AP356" s="53">
        <f>IF(ISNUMBER(AP346),AP346+N(AP347)+N(AP348)+AP355,"")</f>
        <v/>
      </c>
      <c r="AQ356" s="53">
        <f>IF(ISNUMBER(AQ346),AQ346+N(AQ347)+N(AQ348)+AQ355,"")</f>
        <v/>
      </c>
      <c r="AR356" s="53">
        <f>IF(ISNUMBER(AR346),AR346+N(AR347)+N(AR348)+AR355,"")</f>
        <v/>
      </c>
      <c r="AS356" s="53">
        <f>IF(ISNUMBER(AS346),AS346+N(AS347)+N(AS348)+AS355,"")</f>
        <v/>
      </c>
      <c r="AT356" s="53">
        <f>IF(ISNUMBER(AT346),AT346+N(AT347)+N(AT348)+AT355,"")</f>
        <v/>
      </c>
      <c r="AU356" s="53" t="n"/>
      <c r="AV356" s="53" t="n"/>
      <c r="AW356" s="53">
        <f>AW346+N(AW347)+AW348+AW355</f>
        <v/>
      </c>
      <c r="AX356" s="53">
        <f>AX346+N(AX347)+AX348+AX355</f>
        <v/>
      </c>
      <c r="AY356" s="53">
        <f>AY346+N(AY347)+AY348+AY355</f>
        <v/>
      </c>
      <c r="AZ356" s="53">
        <f>AZ346+N(AZ347)+AZ348+AZ355</f>
        <v/>
      </c>
      <c r="BA356" s="53">
        <f>BA346+N(BA347)+BA348+BA355</f>
        <v/>
      </c>
      <c r="BB356" s="26" t="n"/>
    </row>
    <row r="357">
      <c r="B357" s="54" t="inlineStr">
        <is>
          <t>BS tie-out check (TA − TL&amp;E)</t>
        </is>
      </c>
      <c r="C357" s="43">
        <f>IF(ISNUMBER(C334),ROUND(C334-C356,1),"")</f>
        <v/>
      </c>
      <c r="D357" s="43">
        <f>IF(ISNUMBER(D334),ROUND(D334-D356,1),"")</f>
        <v/>
      </c>
      <c r="E357" s="43">
        <f>IF(ISNUMBER(E334),ROUND(E334-E356,1),"")</f>
        <v/>
      </c>
      <c r="F357" s="43">
        <f>IF(ISNUMBER(F334),ROUND(F334-F356,1),"")</f>
        <v/>
      </c>
      <c r="G357" s="43">
        <f>IF(ISNUMBER(G334),ROUND(G334-G356,1),"")</f>
        <v/>
      </c>
      <c r="H357" s="43">
        <f>IF(ISNUMBER(H334),ROUND(H334-H356,1),"")</f>
        <v/>
      </c>
      <c r="I357" s="43">
        <f>IF(ISNUMBER(I334),ROUND(I334-I356,1),"")</f>
        <v/>
      </c>
      <c r="J357" s="43">
        <f>IF(ISNUMBER(J334),ROUND(J334-J356,1),"")</f>
        <v/>
      </c>
      <c r="K357" s="43">
        <f>IF(ISNUMBER(K334),ROUND(K334-K356,1),"")</f>
        <v/>
      </c>
      <c r="L357" s="43">
        <f>IF(ISNUMBER(L334),ROUND(L334-L356,1),"")</f>
        <v/>
      </c>
      <c r="M357" s="43">
        <f>IF(ISNUMBER(M334),ROUND(M334-M356,1),"")</f>
        <v/>
      </c>
      <c r="N357" s="43">
        <f>IF(ISNUMBER(N334),ROUND(N334-N356,1),"")</f>
        <v/>
      </c>
      <c r="O357" s="43">
        <f>IF(ISNUMBER(O334),ROUND(O334-O356,1),"")</f>
        <v/>
      </c>
      <c r="P357" s="43">
        <f>IF(ISNUMBER(P334),ROUND(P334-P356,1),"")</f>
        <v/>
      </c>
      <c r="Q357" s="43">
        <f>IF(ISNUMBER(Q334),ROUND(Q334-Q356,1),"")</f>
        <v/>
      </c>
      <c r="R357" s="43">
        <f>IF(ISNUMBER(R334),ROUND(R334-R356,1),"")</f>
        <v/>
      </c>
      <c r="S357" s="43">
        <f>IF(ISNUMBER(S334),ROUND(S334-S356,1),"")</f>
        <v/>
      </c>
      <c r="T357" s="43">
        <f>IF(ISNUMBER(T334),ROUND(T334-T356,1),"")</f>
        <v/>
      </c>
      <c r="U357" s="43">
        <f>IF(ISNUMBER(U334),ROUND(U334-U356,1),"")</f>
        <v/>
      </c>
      <c r="V357" s="43">
        <f>IF(ISNUMBER(V334),ROUND(V334-V356,1),"")</f>
        <v/>
      </c>
      <c r="W357" s="43">
        <f>IF(ISNUMBER(W334),ROUND(W334-W356,1),"")</f>
        <v/>
      </c>
      <c r="X357" s="43">
        <f>IF(ISNUMBER(X334),ROUND(X334-X356,1),"")</f>
        <v/>
      </c>
      <c r="Y357" s="43">
        <f>IF(ISNUMBER(Y334),ROUND(Y334-Y356,1),"")</f>
        <v/>
      </c>
      <c r="Z357" s="43">
        <f>IF(ISNUMBER(Z334),ROUND(Z334-Z356,1),"")</f>
        <v/>
      </c>
      <c r="AA357" s="43">
        <f>IF(ISNUMBER(AA334),ROUND(AA334-AA356,1),"")</f>
        <v/>
      </c>
      <c r="AB357" s="43">
        <f>IF(ISNUMBER(AB334),ROUND(AB334-AB356,1),"")</f>
        <v/>
      </c>
      <c r="AC357" s="43">
        <f>IF(ISNUMBER(AC334),ROUND(AC334-AC356,1),"")</f>
        <v/>
      </c>
      <c r="AD357" s="43">
        <f>IF(ISNUMBER(AD334),ROUND(AD334-AD356,1),"")</f>
        <v/>
      </c>
      <c r="AE357" s="43">
        <f>IF(ISNUMBER(AE334),ROUND(AE334-AE356,1),"")</f>
        <v/>
      </c>
      <c r="AF357" s="43">
        <f>IF(ISNUMBER(AF334),ROUND(AF334-AF356,1),"")</f>
        <v/>
      </c>
      <c r="AG357" s="43">
        <f>IF(ISNUMBER(AG334),ROUND(AG334-AG356,1),"")</f>
        <v/>
      </c>
      <c r="AH357" s="43">
        <f>IF(ISNUMBER(AH334),ROUND(AH334-AH356,1),"")</f>
        <v/>
      </c>
      <c r="AI357" s="43">
        <f>IF(ISNUMBER(AI334),ROUND(AI334-AI356,1),"")</f>
        <v/>
      </c>
      <c r="AJ357" s="43">
        <f>IF(ISNUMBER(AJ334),ROUND(AJ334-AJ356,1),"")</f>
        <v/>
      </c>
      <c r="AK357" s="43">
        <f>IF(ISNUMBER(AK334),ROUND(AK334-AK356,1),"")</f>
        <v/>
      </c>
      <c r="AL357" s="43">
        <f>IF(ISNUMBER(AL334),ROUND(AL334-AL356,1),"")</f>
        <v/>
      </c>
      <c r="AM357" s="43">
        <f>IF(ISNUMBER(AM334),ROUND(AM334-AM356,1),"")</f>
        <v/>
      </c>
      <c r="AN357" s="43">
        <f>IF(ISNUMBER(AN334),ROUND(AN334-AN356,1),"")</f>
        <v/>
      </c>
      <c r="AO357" s="43">
        <f>IF(ISNUMBER(AO334),ROUND(AO334-AO356,1),"")</f>
        <v/>
      </c>
      <c r="AP357" s="43">
        <f>IF(ISNUMBER(AP334),ROUND(AP334-AP356,1),"")</f>
        <v/>
      </c>
      <c r="AQ357" s="43">
        <f>IF(ISNUMBER(AQ334),ROUND(AQ334-AQ356,1),"")</f>
        <v/>
      </c>
      <c r="AR357" s="43">
        <f>IF(ISNUMBER(AR334),ROUND(AR334-AR356,1),"")</f>
        <v/>
      </c>
      <c r="AS357" s="43">
        <f>IF(ISNUMBER(AS334),ROUND(AS334-AS356,1),"")</f>
        <v/>
      </c>
      <c r="AT357" s="43">
        <f>IF(ISNUMBER(AT334),ROUND(AT334-AT356,1),"")</f>
        <v/>
      </c>
      <c r="AU357" s="45" t="n"/>
      <c r="AV357" s="45" t="n"/>
      <c r="AW357" s="45">
        <f>ROUND(AW334-AW356,1)</f>
        <v/>
      </c>
      <c r="AX357" s="45">
        <f>ROUND(AX334-AX356,1)</f>
        <v/>
      </c>
      <c r="AY357" s="45">
        <f>ROUND(AY334-AY356,1)</f>
        <v/>
      </c>
      <c r="AZ357" s="45">
        <f>ROUND(AZ334-AZ356,1)</f>
        <v/>
      </c>
      <c r="BA357" s="45">
        <f>ROUND(BA334-BA356,1)</f>
        <v/>
      </c>
      <c r="BB357" s="26" t="n"/>
    </row>
    <row r="358">
      <c r="B358" s="54" t="inlineStr">
        <is>
          <t xml:space="preserve">  Check: model total assets vs reported (should be 0)</t>
        </is>
      </c>
      <c r="C358" s="43">
        <f>IF(AND(ISNUMBER(C334),ISNUMBER(C359)),ROUND(C334-C359,1),"")</f>
        <v/>
      </c>
      <c r="D358" s="43">
        <f>IF(AND(ISNUMBER(D334),ISNUMBER(D359)),ROUND(D334-D359,1),"")</f>
        <v/>
      </c>
      <c r="E358" s="43">
        <f>IF(AND(ISNUMBER(E334),ISNUMBER(E359)),ROUND(E334-E359,1),"")</f>
        <v/>
      </c>
      <c r="F358" s="43">
        <f>IF(AND(ISNUMBER(F334),ISNUMBER(F359)),ROUND(F334-F359,1),"")</f>
        <v/>
      </c>
      <c r="G358" s="43">
        <f>IF(AND(ISNUMBER(G334),ISNUMBER(G359)),ROUND(G334-G359,1),"")</f>
        <v/>
      </c>
      <c r="H358" s="43">
        <f>IF(AND(ISNUMBER(H334),ISNUMBER(H359)),ROUND(H334-H359,1),"")</f>
        <v/>
      </c>
      <c r="I358" s="43">
        <f>IF(AND(ISNUMBER(I334),ISNUMBER(I359)),ROUND(I334-I359,1),"")</f>
        <v/>
      </c>
      <c r="J358" s="43">
        <f>IF(AND(ISNUMBER(J334),ISNUMBER(J359)),ROUND(J334-J359,1),"")</f>
        <v/>
      </c>
      <c r="K358" s="43">
        <f>IF(AND(ISNUMBER(K334),ISNUMBER(K359)),ROUND(K334-K359,1),"")</f>
        <v/>
      </c>
      <c r="L358" s="43">
        <f>IF(AND(ISNUMBER(L334),ISNUMBER(L359)),ROUND(L334-L359,1),"")</f>
        <v/>
      </c>
      <c r="M358" s="43">
        <f>IF(AND(ISNUMBER(M334),ISNUMBER(M359)),ROUND(M334-M359,1),"")</f>
        <v/>
      </c>
      <c r="N358" s="43">
        <f>IF(AND(ISNUMBER(N334),ISNUMBER(N359)),ROUND(N334-N359,1),"")</f>
        <v/>
      </c>
      <c r="O358" s="43">
        <f>IF(AND(ISNUMBER(O334),ISNUMBER(O359)),ROUND(O334-O359,1),"")</f>
        <v/>
      </c>
      <c r="P358" s="43">
        <f>IF(AND(ISNUMBER(P334),ISNUMBER(P359)),ROUND(P334-P359,1),"")</f>
        <v/>
      </c>
      <c r="Q358" s="43">
        <f>IF(AND(ISNUMBER(Q334),ISNUMBER(Q359)),ROUND(Q334-Q359,1),"")</f>
        <v/>
      </c>
      <c r="R358" s="43">
        <f>IF(AND(ISNUMBER(R334),ISNUMBER(R359)),ROUND(R334-R359,1),"")</f>
        <v/>
      </c>
      <c r="S358" s="43">
        <f>IF(AND(ISNUMBER(S334),ISNUMBER(S359)),ROUND(S334-S359,1),"")</f>
        <v/>
      </c>
      <c r="T358" s="43">
        <f>IF(AND(ISNUMBER(T334),ISNUMBER(T359)),ROUND(T334-T359,1),"")</f>
        <v/>
      </c>
      <c r="U358" s="43">
        <f>IF(AND(ISNUMBER(U334),ISNUMBER(U359)),ROUND(U334-U359,1),"")</f>
        <v/>
      </c>
      <c r="V358" s="43">
        <f>IF(AND(ISNUMBER(V334),ISNUMBER(V359)),ROUND(V334-V359,1),"")</f>
        <v/>
      </c>
      <c r="W358" s="43">
        <f>IF(AND(ISNUMBER(W334),ISNUMBER(W359)),ROUND(W334-W359,1),"")</f>
        <v/>
      </c>
      <c r="X358" s="43">
        <f>IF(AND(ISNUMBER(X334),ISNUMBER(X359)),ROUND(X334-X359,1),"")</f>
        <v/>
      </c>
      <c r="Y358" s="43">
        <f>IF(AND(ISNUMBER(Y334),ISNUMBER(Y359)),ROUND(Y334-Y359,1),"")</f>
        <v/>
      </c>
      <c r="Z358" s="43">
        <f>IF(AND(ISNUMBER(Z334),ISNUMBER(Z359)),ROUND(Z334-Z359,1),"")</f>
        <v/>
      </c>
      <c r="AA358" s="43">
        <f>IF(AND(ISNUMBER(AA334),ISNUMBER(AA359)),ROUND(AA334-AA359,1),"")</f>
        <v/>
      </c>
      <c r="AB358" s="43">
        <f>IF(AND(ISNUMBER(AB334),ISNUMBER(AB359)),ROUND(AB334-AB359,1),"")</f>
        <v/>
      </c>
      <c r="AC358" s="43">
        <f>IF(AND(ISNUMBER(AC334),ISNUMBER(AC359)),ROUND(AC334-AC359,1),"")</f>
        <v/>
      </c>
      <c r="AD358" s="43">
        <f>IF(AND(ISNUMBER(AD334),ISNUMBER(AD359)),ROUND(AD334-AD359,1),"")</f>
        <v/>
      </c>
      <c r="AE358" s="43">
        <f>IF(AND(ISNUMBER(AE334),ISNUMBER(AE359)),ROUND(AE334-AE359,1),"")</f>
        <v/>
      </c>
      <c r="AF358" s="43">
        <f>IF(AND(ISNUMBER(AF334),ISNUMBER(AF359)),ROUND(AF334-AF359,1),"")</f>
        <v/>
      </c>
      <c r="AG358" s="43">
        <f>IF(AND(ISNUMBER(AG334),ISNUMBER(AG359)),ROUND(AG334-AG359,1),"")</f>
        <v/>
      </c>
      <c r="AH358" s="43">
        <f>IF(AND(ISNUMBER(AH334),ISNUMBER(AH359)),ROUND(AH334-AH359,1),"")</f>
        <v/>
      </c>
      <c r="AI358" s="43">
        <f>IF(AND(ISNUMBER(AI334),ISNUMBER(AI359)),ROUND(AI334-AI359,1),"")</f>
        <v/>
      </c>
      <c r="AJ358" s="43">
        <f>IF(AND(ISNUMBER(AJ334),ISNUMBER(AJ359)),ROUND(AJ334-AJ359,1),"")</f>
        <v/>
      </c>
      <c r="AK358" s="43">
        <f>IF(AND(ISNUMBER(AK334),ISNUMBER(AK359)),ROUND(AK334-AK359,1),"")</f>
        <v/>
      </c>
      <c r="AL358" s="43">
        <f>IF(AND(ISNUMBER(AL334),ISNUMBER(AL359)),ROUND(AL334-AL359,1),"")</f>
        <v/>
      </c>
      <c r="AM358" s="43">
        <f>IF(AND(ISNUMBER(AM334),ISNUMBER(AM359)),ROUND(AM334-AM359,1),"")</f>
        <v/>
      </c>
      <c r="AN358" s="43">
        <f>IF(AND(ISNUMBER(AN334),ISNUMBER(AN359)),ROUND(AN334-AN359,1),"")</f>
        <v/>
      </c>
      <c r="AO358" s="43">
        <f>IF(AND(ISNUMBER(AO334),ISNUMBER(AO359)),ROUND(AO334-AO359,1),"")</f>
        <v/>
      </c>
      <c r="AP358" s="43">
        <f>IF(AND(ISNUMBER(AP334),ISNUMBER(AP359)),ROUND(AP334-AP359,1),"")</f>
        <v/>
      </c>
      <c r="AQ358" s="43">
        <f>IF(AND(ISNUMBER(AQ334),ISNUMBER(AQ359)),ROUND(AQ334-AQ359,1),"")</f>
        <v/>
      </c>
      <c r="AR358" s="43">
        <f>IF(AND(ISNUMBER(AR334),ISNUMBER(AR359)),ROUND(AR334-AR359,1),"")</f>
        <v/>
      </c>
      <c r="AS358" s="43">
        <f>IF(AND(ISNUMBER(AS334),ISNUMBER(AS359)),ROUND(AS334-AS359,1),"")</f>
        <v/>
      </c>
      <c r="AT358" s="43">
        <f>IF(AND(ISNUMBER(AT334),ISNUMBER(AT359)),ROUND(AT334-AT359,1),"")</f>
        <v/>
      </c>
      <c r="AU358" s="45" t="n"/>
      <c r="AV358" s="45" t="n"/>
      <c r="AW358" s="45" t="n"/>
      <c r="AX358" s="45" t="n"/>
      <c r="AY358" s="45" t="n"/>
      <c r="AZ358" s="45" t="n"/>
      <c r="BA358" s="45" t="n"/>
      <c r="BB358" s="26" t="n"/>
    </row>
    <row r="359">
      <c r="B359" s="38" t="inlineStr">
        <is>
          <t xml:space="preserve">  Memo: total assets as reported</t>
        </is>
      </c>
      <c r="C359" s="44" t="n">
        <v>15713</v>
      </c>
      <c r="D359" s="44" t="n">
        <v>15426</v>
      </c>
      <c r="E359" s="43" t="n"/>
      <c r="F359" s="43" t="n"/>
      <c r="G359" s="43" t="n"/>
      <c r="H359" s="44" t="n">
        <v>23988</v>
      </c>
      <c r="I359" s="44" t="n">
        <v>23988</v>
      </c>
      <c r="J359" s="44" t="n">
        <v>24390</v>
      </c>
      <c r="K359" s="44" t="n">
        <v>30980</v>
      </c>
      <c r="L359" s="44" t="n">
        <v>32292</v>
      </c>
      <c r="M359" s="44" t="n">
        <v>31761</v>
      </c>
      <c r="N359" s="44" t="n">
        <v>31761</v>
      </c>
      <c r="O359" s="44" t="n">
        <v>30090</v>
      </c>
      <c r="P359" s="44" t="n">
        <v>28240</v>
      </c>
      <c r="Q359" s="44" t="n">
        <v>28894</v>
      </c>
      <c r="R359" s="44" t="n">
        <v>33252</v>
      </c>
      <c r="S359" s="44" t="n">
        <v>33252</v>
      </c>
      <c r="T359" s="44" t="n">
        <v>34655</v>
      </c>
      <c r="U359" s="44" t="n">
        <v>36251</v>
      </c>
      <c r="V359" s="44" t="n">
        <v>36884</v>
      </c>
      <c r="W359" s="44" t="n">
        <v>38774</v>
      </c>
      <c r="X359" s="44" t="n">
        <v>38774</v>
      </c>
      <c r="Y359" s="44" t="n">
        <v>32812</v>
      </c>
      <c r="Z359" s="44" t="n">
        <v>31014</v>
      </c>
      <c r="AA359" s="44" t="n">
        <v>31112</v>
      </c>
      <c r="AB359" s="44" t="n">
        <v>32109</v>
      </c>
      <c r="AC359" s="44" t="n">
        <v>32109</v>
      </c>
      <c r="AD359" s="44" t="n">
        <v>32451</v>
      </c>
      <c r="AE359" s="44" t="n">
        <v>34068</v>
      </c>
      <c r="AF359" s="44" t="n">
        <v>35949</v>
      </c>
      <c r="AG359" s="44" t="n">
        <v>38699</v>
      </c>
      <c r="AH359" s="44" t="n">
        <v>38699</v>
      </c>
      <c r="AI359" s="44" t="n">
        <v>39599</v>
      </c>
      <c r="AJ359" s="44" t="n">
        <v>41514</v>
      </c>
      <c r="AK359" s="44" t="n">
        <v>47117</v>
      </c>
      <c r="AL359" s="44" t="n">
        <v>51244</v>
      </c>
      <c r="AM359" s="44" t="n">
        <v>51244</v>
      </c>
      <c r="AN359" s="44" t="n">
        <v>52822</v>
      </c>
      <c r="AO359" s="44" t="n">
        <v>55982</v>
      </c>
      <c r="AP359" s="44" t="n">
        <v>63344</v>
      </c>
      <c r="AQ359" s="44" t="n">
        <v>61802</v>
      </c>
      <c r="AR359" s="44" t="n">
        <v>61802</v>
      </c>
      <c r="AS359" s="44" t="n">
        <v>59885</v>
      </c>
      <c r="AT359" s="44" t="n">
        <v>65801</v>
      </c>
      <c r="AU359" s="45" t="n"/>
      <c r="AV359" s="45" t="n"/>
      <c r="AW359" s="45" t="n"/>
      <c r="AX359" s="45" t="n"/>
      <c r="AY359" s="45" t="n"/>
      <c r="AZ359" s="45" t="n"/>
      <c r="BA359" s="45" t="n"/>
      <c r="BB359" s="26" t="n"/>
    </row>
    <row r="360">
      <c r="B360" s="38" t="inlineStr">
        <is>
          <t xml:space="preserve">  Memo: common shares outstanding at period end (m)</t>
        </is>
      </c>
      <c r="C360" s="160" t="n"/>
      <c r="D360" s="160" t="n"/>
      <c r="E360" s="160" t="n"/>
      <c r="F360" s="160" t="n"/>
      <c r="G360" s="160" t="n"/>
      <c r="H360" s="158" t="n">
        <v>457.189</v>
      </c>
      <c r="I360" s="158" t="n">
        <v>457.189</v>
      </c>
      <c r="J360" s="158" t="n">
        <v>457.833</v>
      </c>
      <c r="K360" s="158" t="n">
        <v>1697.614</v>
      </c>
      <c r="L360" s="158" t="n">
        <v>1703.63</v>
      </c>
      <c r="M360" s="158" t="n">
        <v>1716.681</v>
      </c>
      <c r="N360" s="158" t="n">
        <v>1716.681</v>
      </c>
      <c r="O360" s="158" t="n">
        <v>1729.85</v>
      </c>
      <c r="P360" s="158" t="n">
        <v>1745.957</v>
      </c>
      <c r="Q360" s="158" t="n">
        <v>1760.817</v>
      </c>
      <c r="R360" s="158" t="n">
        <v>1849.794</v>
      </c>
      <c r="S360" s="158" t="n">
        <v>1849.794</v>
      </c>
      <c r="T360" s="158" t="n">
        <v>1867.369</v>
      </c>
      <c r="U360" s="158" t="n">
        <v>1880.31</v>
      </c>
      <c r="V360" s="158" t="n">
        <v>1918.591</v>
      </c>
      <c r="W360" s="158" t="n">
        <v>1949.316</v>
      </c>
      <c r="X360" s="158" t="n">
        <v>1949.316</v>
      </c>
      <c r="Y360" s="158" t="n">
        <v>1959.794</v>
      </c>
      <c r="Z360" s="158" t="n">
        <v>1976.225</v>
      </c>
      <c r="AA360" s="158" t="n">
        <v>1990.396</v>
      </c>
      <c r="AB360" s="158" t="n">
        <v>2005.486</v>
      </c>
      <c r="AC360" s="158" t="n">
        <v>2005.486</v>
      </c>
      <c r="AD360" s="158" t="n">
        <v>2019.194</v>
      </c>
      <c r="AE360" s="158" t="n">
        <v>2038.892</v>
      </c>
      <c r="AF360" s="158" t="n">
        <v>2053.437</v>
      </c>
      <c r="AG360" s="158" t="n">
        <v>2071.144</v>
      </c>
      <c r="AH360" s="158" t="n">
        <v>2071.144</v>
      </c>
      <c r="AI360" s="158" t="n">
        <v>2086.247</v>
      </c>
      <c r="AJ360" s="158" t="n">
        <v>2097.951</v>
      </c>
      <c r="AK360" s="158" t="n">
        <v>2104.178</v>
      </c>
      <c r="AL360" s="158" t="n">
        <v>2107.953</v>
      </c>
      <c r="AM360" s="158" t="n">
        <v>2107.953</v>
      </c>
      <c r="AN360" s="158" t="n">
        <v>2091.856</v>
      </c>
      <c r="AO360" s="158" t="n">
        <v>2086.768</v>
      </c>
      <c r="AP360" s="158" t="n">
        <v>2079.769</v>
      </c>
      <c r="AQ360" s="158" t="n">
        <v>2067.905</v>
      </c>
      <c r="AR360" s="158" t="n">
        <v>2067.905</v>
      </c>
      <c r="AS360" s="158" t="n">
        <v>2036.424</v>
      </c>
      <c r="AT360" s="158" t="n">
        <v>2039.994</v>
      </c>
      <c r="AU360" s="159">
        <f>AT360+(AW309-AW308)/2</f>
        <v/>
      </c>
      <c r="AV360" s="159">
        <f>AW311</f>
        <v/>
      </c>
      <c r="AW360" s="159">
        <f>AW311</f>
        <v/>
      </c>
      <c r="AX360" s="159">
        <f>AX311</f>
        <v/>
      </c>
      <c r="AY360" s="159">
        <f>AY311</f>
        <v/>
      </c>
      <c r="AZ360" s="159">
        <f>AZ311</f>
        <v/>
      </c>
      <c r="BA360" s="159">
        <f>BA311</f>
        <v/>
      </c>
      <c r="BB360" s="26" t="n"/>
    </row>
    <row r="362">
      <c r="B362" s="10" t="inlineStr">
        <is>
          <t>WORKING CAPITAL &amp; CASH CONVERSION</t>
        </is>
      </c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0" t="n"/>
      <c r="AL362" s="10" t="n"/>
      <c r="AM362" s="10" t="n"/>
      <c r="AN362" s="10" t="n"/>
      <c r="AO362" s="10" t="n"/>
      <c r="AP362" s="10" t="n"/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0" t="inlineStr">
        <is>
          <t>WORKING CAPITAL — forecast drivers (blue = input); Uber runs negative working capital (insurance reserves, accrued Driver / Merchant payables)</t>
        </is>
      </c>
    </row>
    <row r="363">
      <c r="B363" s="27" t="inlineStr">
        <is>
          <t xml:space="preserve">  Revenue — Uber standalone (working-capital basis; excl. Delivery Hero)</t>
        </is>
      </c>
      <c r="C363" s="43">
        <f>C148</f>
        <v/>
      </c>
      <c r="D363" s="43">
        <f>D148</f>
        <v/>
      </c>
      <c r="E363" s="43">
        <f>E148</f>
        <v/>
      </c>
      <c r="F363" s="43">
        <f>F148</f>
        <v/>
      </c>
      <c r="G363" s="43">
        <f>G148</f>
        <v/>
      </c>
      <c r="H363" s="43">
        <f>H148</f>
        <v/>
      </c>
      <c r="I363" s="43">
        <f>I148</f>
        <v/>
      </c>
      <c r="J363" s="43">
        <f>J148</f>
        <v/>
      </c>
      <c r="K363" s="43">
        <f>K148</f>
        <v/>
      </c>
      <c r="L363" s="43">
        <f>L148</f>
        <v/>
      </c>
      <c r="M363" s="43">
        <f>M148</f>
        <v/>
      </c>
      <c r="N363" s="43">
        <f>N148</f>
        <v/>
      </c>
      <c r="O363" s="43">
        <f>O148</f>
        <v/>
      </c>
      <c r="P363" s="43">
        <f>P148</f>
        <v/>
      </c>
      <c r="Q363" s="43">
        <f>Q148</f>
        <v/>
      </c>
      <c r="R363" s="43">
        <f>R148</f>
        <v/>
      </c>
      <c r="S363" s="43">
        <f>S148</f>
        <v/>
      </c>
      <c r="T363" s="43">
        <f>T148</f>
        <v/>
      </c>
      <c r="U363" s="43">
        <f>U148</f>
        <v/>
      </c>
      <c r="V363" s="43">
        <f>V148</f>
        <v/>
      </c>
      <c r="W363" s="43">
        <f>W148</f>
        <v/>
      </c>
      <c r="X363" s="43">
        <f>X148</f>
        <v/>
      </c>
      <c r="Y363" s="43">
        <f>Y148</f>
        <v/>
      </c>
      <c r="Z363" s="43">
        <f>Z148</f>
        <v/>
      </c>
      <c r="AA363" s="43">
        <f>AA148</f>
        <v/>
      </c>
      <c r="AB363" s="43">
        <f>AB148</f>
        <v/>
      </c>
      <c r="AC363" s="43">
        <f>AC148</f>
        <v/>
      </c>
      <c r="AD363" s="43">
        <f>AD148</f>
        <v/>
      </c>
      <c r="AE363" s="43">
        <f>AE148</f>
        <v/>
      </c>
      <c r="AF363" s="43">
        <f>AF148</f>
        <v/>
      </c>
      <c r="AG363" s="43">
        <f>AG148</f>
        <v/>
      </c>
      <c r="AH363" s="43">
        <f>AH148</f>
        <v/>
      </c>
      <c r="AI363" s="43">
        <f>AI148</f>
        <v/>
      </c>
      <c r="AJ363" s="43">
        <f>AJ148</f>
        <v/>
      </c>
      <c r="AK363" s="43">
        <f>AK148</f>
        <v/>
      </c>
      <c r="AL363" s="43">
        <f>AL148</f>
        <v/>
      </c>
      <c r="AM363" s="43">
        <f>AM148</f>
        <v/>
      </c>
      <c r="AN363" s="43">
        <f>AN148</f>
        <v/>
      </c>
      <c r="AO363" s="43">
        <f>AO148</f>
        <v/>
      </c>
      <c r="AP363" s="43">
        <f>AP148</f>
        <v/>
      </c>
      <c r="AQ363" s="43">
        <f>AQ148</f>
        <v/>
      </c>
      <c r="AR363" s="43">
        <f>AR148</f>
        <v/>
      </c>
      <c r="AS363" s="43">
        <f>AS148</f>
        <v/>
      </c>
      <c r="AT363" s="43">
        <f>AT148</f>
        <v/>
      </c>
      <c r="AU363" s="45" t="n"/>
      <c r="AV363" s="45" t="n"/>
      <c r="AW363" s="45">
        <f>AW148-N(AW69)</f>
        <v/>
      </c>
      <c r="AX363" s="45">
        <f>AX148-N(AX69)</f>
        <v/>
      </c>
      <c r="AY363" s="45">
        <f>AY148-N(AY69)</f>
        <v/>
      </c>
      <c r="AZ363" s="45">
        <f>AZ148-N(AZ69)</f>
        <v/>
      </c>
      <c r="BA363" s="45">
        <f>BA148-N(BA69)</f>
        <v/>
      </c>
      <c r="BB363" s="26" t="n"/>
    </row>
    <row r="364">
      <c r="B364" s="27" t="inlineStr">
        <is>
          <t xml:space="preserve">  Cost of revenue — standalone basis</t>
        </is>
      </c>
      <c r="C364" s="43">
        <f>C150</f>
        <v/>
      </c>
      <c r="D364" s="43">
        <f>D150</f>
        <v/>
      </c>
      <c r="E364" s="43">
        <f>E150</f>
        <v/>
      </c>
      <c r="F364" s="43">
        <f>F150</f>
        <v/>
      </c>
      <c r="G364" s="43">
        <f>G150</f>
        <v/>
      </c>
      <c r="H364" s="43">
        <f>H150</f>
        <v/>
      </c>
      <c r="I364" s="43">
        <f>I150</f>
        <v/>
      </c>
      <c r="J364" s="43">
        <f>J150</f>
        <v/>
      </c>
      <c r="K364" s="43">
        <f>K150</f>
        <v/>
      </c>
      <c r="L364" s="43">
        <f>L150</f>
        <v/>
      </c>
      <c r="M364" s="43">
        <f>M150</f>
        <v/>
      </c>
      <c r="N364" s="43">
        <f>N150</f>
        <v/>
      </c>
      <c r="O364" s="43">
        <f>O150</f>
        <v/>
      </c>
      <c r="P364" s="43">
        <f>P150</f>
        <v/>
      </c>
      <c r="Q364" s="43">
        <f>Q150</f>
        <v/>
      </c>
      <c r="R364" s="43">
        <f>R150</f>
        <v/>
      </c>
      <c r="S364" s="43">
        <f>S150</f>
        <v/>
      </c>
      <c r="T364" s="43">
        <f>T150</f>
        <v/>
      </c>
      <c r="U364" s="43">
        <f>U150</f>
        <v/>
      </c>
      <c r="V364" s="43">
        <f>V150</f>
        <v/>
      </c>
      <c r="W364" s="43">
        <f>W150</f>
        <v/>
      </c>
      <c r="X364" s="43">
        <f>X150</f>
        <v/>
      </c>
      <c r="Y364" s="43">
        <f>Y150</f>
        <v/>
      </c>
      <c r="Z364" s="43">
        <f>Z150</f>
        <v/>
      </c>
      <c r="AA364" s="43">
        <f>AA150</f>
        <v/>
      </c>
      <c r="AB364" s="43">
        <f>AB150</f>
        <v/>
      </c>
      <c r="AC364" s="43">
        <f>AC150</f>
        <v/>
      </c>
      <c r="AD364" s="43">
        <f>AD150</f>
        <v/>
      </c>
      <c r="AE364" s="43">
        <f>AE150</f>
        <v/>
      </c>
      <c r="AF364" s="43">
        <f>AF150</f>
        <v/>
      </c>
      <c r="AG364" s="43">
        <f>AG150</f>
        <v/>
      </c>
      <c r="AH364" s="43">
        <f>AH150</f>
        <v/>
      </c>
      <c r="AI364" s="43">
        <f>AI150</f>
        <v/>
      </c>
      <c r="AJ364" s="43">
        <f>AJ150</f>
        <v/>
      </c>
      <c r="AK364" s="43">
        <f>AK150</f>
        <v/>
      </c>
      <c r="AL364" s="43">
        <f>AL150</f>
        <v/>
      </c>
      <c r="AM364" s="43">
        <f>AM150</f>
        <v/>
      </c>
      <c r="AN364" s="43">
        <f>AN150</f>
        <v/>
      </c>
      <c r="AO364" s="43">
        <f>AO150</f>
        <v/>
      </c>
      <c r="AP364" s="43">
        <f>AP150</f>
        <v/>
      </c>
      <c r="AQ364" s="43">
        <f>AQ150</f>
        <v/>
      </c>
      <c r="AR364" s="43">
        <f>AR150</f>
        <v/>
      </c>
      <c r="AS364" s="43">
        <f>AS150</f>
        <v/>
      </c>
      <c r="AT364" s="43">
        <f>AT150</f>
        <v/>
      </c>
      <c r="AU364" s="45" t="n"/>
      <c r="AV364" s="45" t="n"/>
      <c r="AW364" s="45">
        <f>AW150*AW363/AW148</f>
        <v/>
      </c>
      <c r="AX364" s="45">
        <f>AX150*AX363/AX148</f>
        <v/>
      </c>
      <c r="AY364" s="45">
        <f>AY150*AY363/AY148</f>
        <v/>
      </c>
      <c r="AZ364" s="45">
        <f>AZ150*AZ363/AZ148</f>
        <v/>
      </c>
      <c r="BA364" s="45">
        <f>BA150*BA363/BA148</f>
        <v/>
      </c>
      <c r="BB364" s="26" t="n"/>
    </row>
    <row r="365">
      <c r="B365" s="27" t="inlineStr">
        <is>
          <t xml:space="preserve">  Mobility Gross Bookings — annualised</t>
        </is>
      </c>
      <c r="C365" s="43">
        <f>C24</f>
        <v/>
      </c>
      <c r="D365" s="43">
        <f>D24</f>
        <v/>
      </c>
      <c r="E365" s="43">
        <f>E24*4</f>
        <v/>
      </c>
      <c r="F365" s="43">
        <f>F24*4</f>
        <v/>
      </c>
      <c r="G365" s="43">
        <f>G24*4</f>
        <v/>
      </c>
      <c r="H365" s="43">
        <f>H24*4</f>
        <v/>
      </c>
      <c r="I365" s="43">
        <f>I24</f>
        <v/>
      </c>
      <c r="J365" s="43">
        <f>J24*4</f>
        <v/>
      </c>
      <c r="K365" s="43">
        <f>K24*4</f>
        <v/>
      </c>
      <c r="L365" s="43">
        <f>L24*4</f>
        <v/>
      </c>
      <c r="M365" s="43">
        <f>M24*4</f>
        <v/>
      </c>
      <c r="N365" s="43">
        <f>N24</f>
        <v/>
      </c>
      <c r="O365" s="43">
        <f>O24*4</f>
        <v/>
      </c>
      <c r="P365" s="43">
        <f>P24*4</f>
        <v/>
      </c>
      <c r="Q365" s="43">
        <f>Q24*4</f>
        <v/>
      </c>
      <c r="R365" s="43">
        <f>R24*4</f>
        <v/>
      </c>
      <c r="S365" s="43">
        <f>S24</f>
        <v/>
      </c>
      <c r="T365" s="43">
        <f>T24*4</f>
        <v/>
      </c>
      <c r="U365" s="43">
        <f>U24*4</f>
        <v/>
      </c>
      <c r="V365" s="43">
        <f>V24*4</f>
        <v/>
      </c>
      <c r="W365" s="43">
        <f>W24*4</f>
        <v/>
      </c>
      <c r="X365" s="43">
        <f>X24</f>
        <v/>
      </c>
      <c r="Y365" s="43">
        <f>Y24*4</f>
        <v/>
      </c>
      <c r="Z365" s="43">
        <f>Z24*4</f>
        <v/>
      </c>
      <c r="AA365" s="43">
        <f>AA24*4</f>
        <v/>
      </c>
      <c r="AB365" s="43">
        <f>AB24*4</f>
        <v/>
      </c>
      <c r="AC365" s="43">
        <f>AC24</f>
        <v/>
      </c>
      <c r="AD365" s="43">
        <f>AD24*4</f>
        <v/>
      </c>
      <c r="AE365" s="43">
        <f>AE24*4</f>
        <v/>
      </c>
      <c r="AF365" s="43">
        <f>AF24*4</f>
        <v/>
      </c>
      <c r="AG365" s="43">
        <f>AG24*4</f>
        <v/>
      </c>
      <c r="AH365" s="43">
        <f>AH24</f>
        <v/>
      </c>
      <c r="AI365" s="43">
        <f>AI24*4</f>
        <v/>
      </c>
      <c r="AJ365" s="43">
        <f>AJ24*4</f>
        <v/>
      </c>
      <c r="AK365" s="43">
        <f>AK24*4</f>
        <v/>
      </c>
      <c r="AL365" s="43">
        <f>AL24*4</f>
        <v/>
      </c>
      <c r="AM365" s="43">
        <f>AM24</f>
        <v/>
      </c>
      <c r="AN365" s="43">
        <f>AN24*4</f>
        <v/>
      </c>
      <c r="AO365" s="43">
        <f>AO24*4</f>
        <v/>
      </c>
      <c r="AP365" s="43">
        <f>AP24*4</f>
        <v/>
      </c>
      <c r="AQ365" s="43">
        <f>AQ24*4</f>
        <v/>
      </c>
      <c r="AR365" s="43">
        <f>AR24</f>
        <v/>
      </c>
      <c r="AS365" s="43">
        <f>AS24*4</f>
        <v/>
      </c>
      <c r="AT365" s="43">
        <f>AT24*4</f>
        <v/>
      </c>
      <c r="AU365" s="45" t="n"/>
      <c r="AV365" s="45" t="n"/>
      <c r="AW365" s="45">
        <f>AW24</f>
        <v/>
      </c>
      <c r="AX365" s="45">
        <f>AX24</f>
        <v/>
      </c>
      <c r="AY365" s="45">
        <f>AY24</f>
        <v/>
      </c>
      <c r="AZ365" s="45">
        <f>AZ24</f>
        <v/>
      </c>
      <c r="BA365" s="45">
        <f>BA24</f>
        <v/>
      </c>
      <c r="BB365" s="26" t="n"/>
    </row>
    <row r="366">
      <c r="B366" s="27" t="inlineStr">
        <is>
          <t xml:space="preserve">  DSO — receivables / revenue × 365</t>
        </is>
      </c>
      <c r="C366" s="160">
        <f>IFERROR(C320/C363*365,"")</f>
        <v/>
      </c>
      <c r="D366" s="160">
        <f>IFERROR(D320/D363*365,"")</f>
        <v/>
      </c>
      <c r="E366" s="160">
        <f>IFERROR(E320/E363*91.25,"")</f>
        <v/>
      </c>
      <c r="F366" s="160">
        <f>IFERROR(F320/F363*91.25,"")</f>
        <v/>
      </c>
      <c r="G366" s="160">
        <f>IFERROR(G320/G363*91.25,"")</f>
        <v/>
      </c>
      <c r="H366" s="160">
        <f>IFERROR(H320/H363*91.25,"")</f>
        <v/>
      </c>
      <c r="I366" s="160">
        <f>IFERROR(I320/I363*365,"")</f>
        <v/>
      </c>
      <c r="J366" s="160">
        <f>IFERROR(J320/J363*91.25,"")</f>
        <v/>
      </c>
      <c r="K366" s="160">
        <f>IFERROR(K320/K363*91.25,"")</f>
        <v/>
      </c>
      <c r="L366" s="160">
        <f>IFERROR(L320/L363*91.25,"")</f>
        <v/>
      </c>
      <c r="M366" s="160">
        <f>IFERROR(M320/M363*91.25,"")</f>
        <v/>
      </c>
      <c r="N366" s="160">
        <f>IFERROR(N320/N363*365,"")</f>
        <v/>
      </c>
      <c r="O366" s="160">
        <f>IFERROR(O320/O363*91.25,"")</f>
        <v/>
      </c>
      <c r="P366" s="160">
        <f>IFERROR(P320/P363*91.25,"")</f>
        <v/>
      </c>
      <c r="Q366" s="160">
        <f>IFERROR(Q320/Q363*91.25,"")</f>
        <v/>
      </c>
      <c r="R366" s="160">
        <f>IFERROR(R320/R363*91.25,"")</f>
        <v/>
      </c>
      <c r="S366" s="160">
        <f>IFERROR(S320/S363*365,"")</f>
        <v/>
      </c>
      <c r="T366" s="160">
        <f>IFERROR(T320/T363*91.25,"")</f>
        <v/>
      </c>
      <c r="U366" s="160">
        <f>IFERROR(U320/U363*91.25,"")</f>
        <v/>
      </c>
      <c r="V366" s="160">
        <f>IFERROR(V320/V363*91.25,"")</f>
        <v/>
      </c>
      <c r="W366" s="160">
        <f>IFERROR(W320/W363*91.25,"")</f>
        <v/>
      </c>
      <c r="X366" s="160">
        <f>IFERROR(X320/X363*365,"")</f>
        <v/>
      </c>
      <c r="Y366" s="160">
        <f>IFERROR(Y320/Y363*91.25,"")</f>
        <v/>
      </c>
      <c r="Z366" s="160">
        <f>IFERROR(Z320/Z363*91.25,"")</f>
        <v/>
      </c>
      <c r="AA366" s="160">
        <f>IFERROR(AA320/AA363*91.25,"")</f>
        <v/>
      </c>
      <c r="AB366" s="160">
        <f>IFERROR(AB320/AB363*91.25,"")</f>
        <v/>
      </c>
      <c r="AC366" s="160">
        <f>IFERROR(AC320/AC363*365,"")</f>
        <v/>
      </c>
      <c r="AD366" s="160">
        <f>IFERROR(AD320/AD363*91.25,"")</f>
        <v/>
      </c>
      <c r="AE366" s="160">
        <f>IFERROR(AE320/AE363*91.25,"")</f>
        <v/>
      </c>
      <c r="AF366" s="160">
        <f>IFERROR(AF320/AF363*91.25,"")</f>
        <v/>
      </c>
      <c r="AG366" s="160">
        <f>IFERROR(AG320/AG363*91.25,"")</f>
        <v/>
      </c>
      <c r="AH366" s="160">
        <f>IFERROR(AH320/AH363*365,"")</f>
        <v/>
      </c>
      <c r="AI366" s="160">
        <f>IFERROR(AI320/AI363*91.25,"")</f>
        <v/>
      </c>
      <c r="AJ366" s="160">
        <f>IFERROR(AJ320/AJ363*91.25,"")</f>
        <v/>
      </c>
      <c r="AK366" s="160">
        <f>IFERROR(AK320/AK363*91.25,"")</f>
        <v/>
      </c>
      <c r="AL366" s="160">
        <f>IFERROR(AL320/AL363*91.25,"")</f>
        <v/>
      </c>
      <c r="AM366" s="160">
        <f>IFERROR(AM320/AM363*365,"")</f>
        <v/>
      </c>
      <c r="AN366" s="160">
        <f>IFERROR(AN320/AN363*91.25,"")</f>
        <v/>
      </c>
      <c r="AO366" s="160">
        <f>IFERROR(AO320/AO363*91.25,"")</f>
        <v/>
      </c>
      <c r="AP366" s="160">
        <f>IFERROR(AP320/AP363*91.25,"")</f>
        <v/>
      </c>
      <c r="AQ366" s="160">
        <f>IFERROR(AQ320/AQ363*91.25,"")</f>
        <v/>
      </c>
      <c r="AR366" s="160">
        <f>IFERROR(AR320/AR363*365,"")</f>
        <v/>
      </c>
      <c r="AS366" s="160">
        <f>IFERROR(AS320/AS363*91.25,"")</f>
        <v/>
      </c>
      <c r="AT366" s="160">
        <f>IFERROR(AT320/AT363*91.25,"")</f>
        <v/>
      </c>
      <c r="AU366" s="159" t="n"/>
      <c r="AV366" s="159" t="n"/>
      <c r="AW366" s="161" t="n">
        <v>27</v>
      </c>
      <c r="AX366" s="159">
        <f>AW366</f>
        <v/>
      </c>
      <c r="AY366" s="159">
        <f>AX366</f>
        <v/>
      </c>
      <c r="AZ366" s="159">
        <f>AY366</f>
        <v/>
      </c>
      <c r="BA366" s="159">
        <f>AZ366</f>
        <v/>
      </c>
      <c r="BB366" s="19" t="inlineStr">
        <is>
          <t>Forecast inputs at FY2025 levels (DSO 27d, prepaid 3.7%, payables 12d, insurance reserves 12.5% of Mobility GB, accrued 14.5%).</t>
        </is>
      </c>
    </row>
    <row r="367">
      <c r="B367" s="27" t="inlineStr">
        <is>
          <t xml:space="preserve">  Prepaid &amp; other current assets % of revenue</t>
        </is>
      </c>
      <c r="C367" s="39">
        <f>IFERROR(C321/C363,"")</f>
        <v/>
      </c>
      <c r="D367" s="39">
        <f>IFERROR(D321/D363,"")</f>
        <v/>
      </c>
      <c r="E367" s="39">
        <f>IFERROR(E321/(E363*4),"")</f>
        <v/>
      </c>
      <c r="F367" s="39">
        <f>IFERROR(F321/(F363*4),"")</f>
        <v/>
      </c>
      <c r="G367" s="39">
        <f>IFERROR(G321/(G363*4),"")</f>
        <v/>
      </c>
      <c r="H367" s="39">
        <f>IFERROR(H321/(H363*4),"")</f>
        <v/>
      </c>
      <c r="I367" s="39">
        <f>IFERROR(I321/I363,"")</f>
        <v/>
      </c>
      <c r="J367" s="39">
        <f>IFERROR(J321/(J363*4),"")</f>
        <v/>
      </c>
      <c r="K367" s="39">
        <f>IFERROR(K321/(K363*4),"")</f>
        <v/>
      </c>
      <c r="L367" s="39">
        <f>IFERROR(L321/(L363*4),"")</f>
        <v/>
      </c>
      <c r="M367" s="39">
        <f>IFERROR(M321/(M363*4),"")</f>
        <v/>
      </c>
      <c r="N367" s="39">
        <f>IFERROR(N321/N363,"")</f>
        <v/>
      </c>
      <c r="O367" s="39">
        <f>IFERROR(O321/(O363*4),"")</f>
        <v/>
      </c>
      <c r="P367" s="39">
        <f>IFERROR(P321/(P363*4),"")</f>
        <v/>
      </c>
      <c r="Q367" s="39">
        <f>IFERROR(Q321/(Q363*4),"")</f>
        <v/>
      </c>
      <c r="R367" s="39">
        <f>IFERROR(R321/(R363*4),"")</f>
        <v/>
      </c>
      <c r="S367" s="39">
        <f>IFERROR(S321/S363,"")</f>
        <v/>
      </c>
      <c r="T367" s="39">
        <f>IFERROR(T321/(T363*4),"")</f>
        <v/>
      </c>
      <c r="U367" s="39">
        <f>IFERROR(U321/(U363*4),"")</f>
        <v/>
      </c>
      <c r="V367" s="39">
        <f>IFERROR(V321/(V363*4),"")</f>
        <v/>
      </c>
      <c r="W367" s="39">
        <f>IFERROR(W321/(W363*4),"")</f>
        <v/>
      </c>
      <c r="X367" s="39">
        <f>IFERROR(X321/X363,"")</f>
        <v/>
      </c>
      <c r="Y367" s="39">
        <f>IFERROR(Y321/(Y363*4),"")</f>
        <v/>
      </c>
      <c r="Z367" s="39">
        <f>IFERROR(Z321/(Z363*4),"")</f>
        <v/>
      </c>
      <c r="AA367" s="39">
        <f>IFERROR(AA321/(AA363*4),"")</f>
        <v/>
      </c>
      <c r="AB367" s="39">
        <f>IFERROR(AB321/(AB363*4),"")</f>
        <v/>
      </c>
      <c r="AC367" s="39">
        <f>IFERROR(AC321/AC363,"")</f>
        <v/>
      </c>
      <c r="AD367" s="39">
        <f>IFERROR(AD321/(AD363*4),"")</f>
        <v/>
      </c>
      <c r="AE367" s="39">
        <f>IFERROR(AE321/(AE363*4),"")</f>
        <v/>
      </c>
      <c r="AF367" s="39">
        <f>IFERROR(AF321/(AF363*4),"")</f>
        <v/>
      </c>
      <c r="AG367" s="39">
        <f>IFERROR(AG321/(AG363*4),"")</f>
        <v/>
      </c>
      <c r="AH367" s="39">
        <f>IFERROR(AH321/AH363,"")</f>
        <v/>
      </c>
      <c r="AI367" s="39">
        <f>IFERROR(AI321/(AI363*4),"")</f>
        <v/>
      </c>
      <c r="AJ367" s="39">
        <f>IFERROR(AJ321/(AJ363*4),"")</f>
        <v/>
      </c>
      <c r="AK367" s="39">
        <f>IFERROR(AK321/(AK363*4),"")</f>
        <v/>
      </c>
      <c r="AL367" s="39">
        <f>IFERROR(AL321/(AL363*4),"")</f>
        <v/>
      </c>
      <c r="AM367" s="39">
        <f>IFERROR(AM321/AM363,"")</f>
        <v/>
      </c>
      <c r="AN367" s="39">
        <f>IFERROR(AN321/(AN363*4),"")</f>
        <v/>
      </c>
      <c r="AO367" s="39">
        <f>IFERROR(AO321/(AO363*4),"")</f>
        <v/>
      </c>
      <c r="AP367" s="39">
        <f>IFERROR(AP321/(AP363*4),"")</f>
        <v/>
      </c>
      <c r="AQ367" s="39">
        <f>IFERROR(AQ321/(AQ363*4),"")</f>
        <v/>
      </c>
      <c r="AR367" s="39">
        <f>IFERROR(AR321/AR363,"")</f>
        <v/>
      </c>
      <c r="AS367" s="39">
        <f>IFERROR(AS321/(AS363*4),"")</f>
        <v/>
      </c>
      <c r="AT367" s="39">
        <f>IFERROR(AT321/(AT363*4),"")</f>
        <v/>
      </c>
      <c r="AU367" s="25" t="n"/>
      <c r="AV367" s="25" t="n"/>
      <c r="AW367" s="32" t="n">
        <v>0.037</v>
      </c>
      <c r="AX367" s="25">
        <f>AW367</f>
        <v/>
      </c>
      <c r="AY367" s="25">
        <f>AX367</f>
        <v/>
      </c>
      <c r="AZ367" s="25">
        <f>AY367</f>
        <v/>
      </c>
      <c r="BA367" s="25">
        <f>AZ367</f>
        <v/>
      </c>
      <c r="BB367" s="26" t="n"/>
    </row>
    <row r="368">
      <c r="B368" s="27" t="inlineStr">
        <is>
          <t xml:space="preserve">  Payable days — payables / cost of revenue × 365</t>
        </is>
      </c>
      <c r="C368" s="160">
        <f>IFERROR(C336/C364*365,"")</f>
        <v/>
      </c>
      <c r="D368" s="160">
        <f>IFERROR(D336/D364*365,"")</f>
        <v/>
      </c>
      <c r="E368" s="160">
        <f>IFERROR(E336/E364*91.25,"")</f>
        <v/>
      </c>
      <c r="F368" s="160">
        <f>IFERROR(F336/F364*91.25,"")</f>
        <v/>
      </c>
      <c r="G368" s="160">
        <f>IFERROR(G336/G364*91.25,"")</f>
        <v/>
      </c>
      <c r="H368" s="160">
        <f>IFERROR(H336/H364*91.25,"")</f>
        <v/>
      </c>
      <c r="I368" s="160">
        <f>IFERROR(I336/I364*365,"")</f>
        <v/>
      </c>
      <c r="J368" s="160">
        <f>IFERROR(J336/J364*91.25,"")</f>
        <v/>
      </c>
      <c r="K368" s="160">
        <f>IFERROR(K336/K364*91.25,"")</f>
        <v/>
      </c>
      <c r="L368" s="160">
        <f>IFERROR(L336/L364*91.25,"")</f>
        <v/>
      </c>
      <c r="M368" s="160">
        <f>IFERROR(M336/M364*91.25,"")</f>
        <v/>
      </c>
      <c r="N368" s="160">
        <f>IFERROR(N336/N364*365,"")</f>
        <v/>
      </c>
      <c r="O368" s="160">
        <f>IFERROR(O336/O364*91.25,"")</f>
        <v/>
      </c>
      <c r="P368" s="160">
        <f>IFERROR(P336/P364*91.25,"")</f>
        <v/>
      </c>
      <c r="Q368" s="160">
        <f>IFERROR(Q336/Q364*91.25,"")</f>
        <v/>
      </c>
      <c r="R368" s="160">
        <f>IFERROR(R336/R364*91.25,"")</f>
        <v/>
      </c>
      <c r="S368" s="160">
        <f>IFERROR(S336/S364*365,"")</f>
        <v/>
      </c>
      <c r="T368" s="160">
        <f>IFERROR(T336/T364*91.25,"")</f>
        <v/>
      </c>
      <c r="U368" s="160">
        <f>IFERROR(U336/U364*91.25,"")</f>
        <v/>
      </c>
      <c r="V368" s="160">
        <f>IFERROR(V336/V364*91.25,"")</f>
        <v/>
      </c>
      <c r="W368" s="160">
        <f>IFERROR(W336/W364*91.25,"")</f>
        <v/>
      </c>
      <c r="X368" s="160">
        <f>IFERROR(X336/X364*365,"")</f>
        <v/>
      </c>
      <c r="Y368" s="160">
        <f>IFERROR(Y336/Y364*91.25,"")</f>
        <v/>
      </c>
      <c r="Z368" s="160">
        <f>IFERROR(Z336/Z364*91.25,"")</f>
        <v/>
      </c>
      <c r="AA368" s="160">
        <f>IFERROR(AA336/AA364*91.25,"")</f>
        <v/>
      </c>
      <c r="AB368" s="160">
        <f>IFERROR(AB336/AB364*91.25,"")</f>
        <v/>
      </c>
      <c r="AC368" s="160">
        <f>IFERROR(AC336/AC364*365,"")</f>
        <v/>
      </c>
      <c r="AD368" s="160">
        <f>IFERROR(AD336/AD364*91.25,"")</f>
        <v/>
      </c>
      <c r="AE368" s="160">
        <f>IFERROR(AE336/AE364*91.25,"")</f>
        <v/>
      </c>
      <c r="AF368" s="160">
        <f>IFERROR(AF336/AF364*91.25,"")</f>
        <v/>
      </c>
      <c r="AG368" s="160">
        <f>IFERROR(AG336/AG364*91.25,"")</f>
        <v/>
      </c>
      <c r="AH368" s="160">
        <f>IFERROR(AH336/AH364*365,"")</f>
        <v/>
      </c>
      <c r="AI368" s="160">
        <f>IFERROR(AI336/AI364*91.25,"")</f>
        <v/>
      </c>
      <c r="AJ368" s="160">
        <f>IFERROR(AJ336/AJ364*91.25,"")</f>
        <v/>
      </c>
      <c r="AK368" s="160">
        <f>IFERROR(AK336/AK364*91.25,"")</f>
        <v/>
      </c>
      <c r="AL368" s="160">
        <f>IFERROR(AL336/AL364*91.25,"")</f>
        <v/>
      </c>
      <c r="AM368" s="160">
        <f>IFERROR(AM336/AM364*365,"")</f>
        <v/>
      </c>
      <c r="AN368" s="160">
        <f>IFERROR(AN336/AN364*91.25,"")</f>
        <v/>
      </c>
      <c r="AO368" s="160">
        <f>IFERROR(AO336/AO364*91.25,"")</f>
        <v/>
      </c>
      <c r="AP368" s="160">
        <f>IFERROR(AP336/AP364*91.25,"")</f>
        <v/>
      </c>
      <c r="AQ368" s="160">
        <f>IFERROR(AQ336/AQ364*91.25,"")</f>
        <v/>
      </c>
      <c r="AR368" s="160">
        <f>IFERROR(AR336/AR364*365,"")</f>
        <v/>
      </c>
      <c r="AS368" s="160">
        <f>IFERROR(AS336/AS364*91.25,"")</f>
        <v/>
      </c>
      <c r="AT368" s="160">
        <f>IFERROR(AT336/AT364*91.25,"")</f>
        <v/>
      </c>
      <c r="AU368" s="159" t="n"/>
      <c r="AV368" s="159" t="n"/>
      <c r="AW368" s="161" t="n">
        <v>12</v>
      </c>
      <c r="AX368" s="159">
        <f>AW368</f>
        <v/>
      </c>
      <c r="AY368" s="159">
        <f>AX368</f>
        <v/>
      </c>
      <c r="AZ368" s="159">
        <f>AY368</f>
        <v/>
      </c>
      <c r="BA368" s="159">
        <f>AZ368</f>
        <v/>
      </c>
      <c r="BB368" s="26" t="n"/>
    </row>
    <row r="369">
      <c r="B369" s="27" t="inlineStr">
        <is>
          <t xml:space="preserve">  Insurance reserves — short + long term</t>
        </is>
      </c>
      <c r="C369" s="43">
        <f>IF(ISNUMBER(C337),C337+C342,"")</f>
        <v/>
      </c>
      <c r="D369" s="43">
        <f>IF(ISNUMBER(D337),D337+D342,"")</f>
        <v/>
      </c>
      <c r="E369" s="43">
        <f>IF(ISNUMBER(E337),E337+E342,"")</f>
        <v/>
      </c>
      <c r="F369" s="43">
        <f>IF(ISNUMBER(F337),F337+F342,"")</f>
        <v/>
      </c>
      <c r="G369" s="43">
        <f>IF(ISNUMBER(G337),G337+G342,"")</f>
        <v/>
      </c>
      <c r="H369" s="43">
        <f>IF(ISNUMBER(H337),H337+H342,"")</f>
        <v/>
      </c>
      <c r="I369" s="43">
        <f>IF(ISNUMBER(I337),I337+I342,"")</f>
        <v/>
      </c>
      <c r="J369" s="43">
        <f>IF(ISNUMBER(J337),J337+J342,"")</f>
        <v/>
      </c>
      <c r="K369" s="43">
        <f>IF(ISNUMBER(K337),K337+K342,"")</f>
        <v/>
      </c>
      <c r="L369" s="43">
        <f>IF(ISNUMBER(L337),L337+L342,"")</f>
        <v/>
      </c>
      <c r="M369" s="43">
        <f>IF(ISNUMBER(M337),M337+M342,"")</f>
        <v/>
      </c>
      <c r="N369" s="43">
        <f>IF(ISNUMBER(N337),N337+N342,"")</f>
        <v/>
      </c>
      <c r="O369" s="43">
        <f>IF(ISNUMBER(O337),O337+O342,"")</f>
        <v/>
      </c>
      <c r="P369" s="43">
        <f>IF(ISNUMBER(P337),P337+P342,"")</f>
        <v/>
      </c>
      <c r="Q369" s="43">
        <f>IF(ISNUMBER(Q337),Q337+Q342,"")</f>
        <v/>
      </c>
      <c r="R369" s="43">
        <f>IF(ISNUMBER(R337),R337+R342,"")</f>
        <v/>
      </c>
      <c r="S369" s="43">
        <f>IF(ISNUMBER(S337),S337+S342,"")</f>
        <v/>
      </c>
      <c r="T369" s="43">
        <f>IF(ISNUMBER(T337),T337+T342,"")</f>
        <v/>
      </c>
      <c r="U369" s="43">
        <f>IF(ISNUMBER(U337),U337+U342,"")</f>
        <v/>
      </c>
      <c r="V369" s="43">
        <f>IF(ISNUMBER(V337),V337+V342,"")</f>
        <v/>
      </c>
      <c r="W369" s="43">
        <f>IF(ISNUMBER(W337),W337+W342,"")</f>
        <v/>
      </c>
      <c r="X369" s="43">
        <f>IF(ISNUMBER(X337),X337+X342,"")</f>
        <v/>
      </c>
      <c r="Y369" s="43">
        <f>IF(ISNUMBER(Y337),Y337+Y342,"")</f>
        <v/>
      </c>
      <c r="Z369" s="43">
        <f>IF(ISNUMBER(Z337),Z337+Z342,"")</f>
        <v/>
      </c>
      <c r="AA369" s="43">
        <f>IF(ISNUMBER(AA337),AA337+AA342,"")</f>
        <v/>
      </c>
      <c r="AB369" s="43">
        <f>IF(ISNUMBER(AB337),AB337+AB342,"")</f>
        <v/>
      </c>
      <c r="AC369" s="43">
        <f>IF(ISNUMBER(AC337),AC337+AC342,"")</f>
        <v/>
      </c>
      <c r="AD369" s="43">
        <f>IF(ISNUMBER(AD337),AD337+AD342,"")</f>
        <v/>
      </c>
      <c r="AE369" s="43">
        <f>IF(ISNUMBER(AE337),AE337+AE342,"")</f>
        <v/>
      </c>
      <c r="AF369" s="43">
        <f>IF(ISNUMBER(AF337),AF337+AF342,"")</f>
        <v/>
      </c>
      <c r="AG369" s="43">
        <f>IF(ISNUMBER(AG337),AG337+AG342,"")</f>
        <v/>
      </c>
      <c r="AH369" s="43">
        <f>IF(ISNUMBER(AH337),AH337+AH342,"")</f>
        <v/>
      </c>
      <c r="AI369" s="43">
        <f>IF(ISNUMBER(AI337),AI337+AI342,"")</f>
        <v/>
      </c>
      <c r="AJ369" s="43">
        <f>IF(ISNUMBER(AJ337),AJ337+AJ342,"")</f>
        <v/>
      </c>
      <c r="AK369" s="43">
        <f>IF(ISNUMBER(AK337),AK337+AK342,"")</f>
        <v/>
      </c>
      <c r="AL369" s="43">
        <f>IF(ISNUMBER(AL337),AL337+AL342,"")</f>
        <v/>
      </c>
      <c r="AM369" s="43">
        <f>IF(ISNUMBER(AM337),AM337+AM342,"")</f>
        <v/>
      </c>
      <c r="AN369" s="43">
        <f>IF(ISNUMBER(AN337),AN337+AN342,"")</f>
        <v/>
      </c>
      <c r="AO369" s="43">
        <f>IF(ISNUMBER(AO337),AO337+AO342,"")</f>
        <v/>
      </c>
      <c r="AP369" s="43">
        <f>IF(ISNUMBER(AP337),AP337+AP342,"")</f>
        <v/>
      </c>
      <c r="AQ369" s="43">
        <f>IF(ISNUMBER(AQ337),AQ337+AQ342,"")</f>
        <v/>
      </c>
      <c r="AR369" s="43">
        <f>IF(ISNUMBER(AR337),AR337+AR342,"")</f>
        <v/>
      </c>
      <c r="AS369" s="43">
        <f>IF(ISNUMBER(AS337),AS337+AS342,"")</f>
        <v/>
      </c>
      <c r="AT369" s="43">
        <f>IF(ISNUMBER(AT337),AT337+AT342,"")</f>
        <v/>
      </c>
      <c r="AU369" s="45" t="n"/>
      <c r="AV369" s="45" t="n"/>
      <c r="AW369" s="45">
        <f>AW365*AW370</f>
        <v/>
      </c>
      <c r="AX369" s="45">
        <f>AX365*AX370</f>
        <v/>
      </c>
      <c r="AY369" s="45">
        <f>AY365*AY370</f>
        <v/>
      </c>
      <c r="AZ369" s="45">
        <f>AZ365*AZ370</f>
        <v/>
      </c>
      <c r="BA369" s="45">
        <f>BA365*BA370</f>
        <v/>
      </c>
      <c r="BB369" s="26" t="n"/>
    </row>
    <row r="370">
      <c r="B370" s="27" t="inlineStr">
        <is>
          <t xml:space="preserve">  Insurance reserves % of Mobility Gross Bookings (annualised)</t>
        </is>
      </c>
      <c r="C370" s="39">
        <f>IFERROR(C369/C365,"")</f>
        <v/>
      </c>
      <c r="D370" s="39">
        <f>IFERROR(D369/D365,"")</f>
        <v/>
      </c>
      <c r="E370" s="39">
        <f>IFERROR(E369/E365,"")</f>
        <v/>
      </c>
      <c r="F370" s="39">
        <f>IFERROR(F369/F365,"")</f>
        <v/>
      </c>
      <c r="G370" s="39">
        <f>IFERROR(G369/G365,"")</f>
        <v/>
      </c>
      <c r="H370" s="39">
        <f>IFERROR(H369/H365,"")</f>
        <v/>
      </c>
      <c r="I370" s="39">
        <f>IFERROR(I369/I365,"")</f>
        <v/>
      </c>
      <c r="J370" s="39">
        <f>IFERROR(J369/J365,"")</f>
        <v/>
      </c>
      <c r="K370" s="39">
        <f>IFERROR(K369/K365,"")</f>
        <v/>
      </c>
      <c r="L370" s="39">
        <f>IFERROR(L369/L365,"")</f>
        <v/>
      </c>
      <c r="M370" s="39">
        <f>IFERROR(M369/M365,"")</f>
        <v/>
      </c>
      <c r="N370" s="39">
        <f>IFERROR(N369/N365,"")</f>
        <v/>
      </c>
      <c r="O370" s="39">
        <f>IFERROR(O369/O365,"")</f>
        <v/>
      </c>
      <c r="P370" s="39">
        <f>IFERROR(P369/P365,"")</f>
        <v/>
      </c>
      <c r="Q370" s="39">
        <f>IFERROR(Q369/Q365,"")</f>
        <v/>
      </c>
      <c r="R370" s="39">
        <f>IFERROR(R369/R365,"")</f>
        <v/>
      </c>
      <c r="S370" s="39">
        <f>IFERROR(S369/S365,"")</f>
        <v/>
      </c>
      <c r="T370" s="39">
        <f>IFERROR(T369/T365,"")</f>
        <v/>
      </c>
      <c r="U370" s="39">
        <f>IFERROR(U369/U365,"")</f>
        <v/>
      </c>
      <c r="V370" s="39">
        <f>IFERROR(V369/V365,"")</f>
        <v/>
      </c>
      <c r="W370" s="39">
        <f>IFERROR(W369/W365,"")</f>
        <v/>
      </c>
      <c r="X370" s="39">
        <f>IFERROR(X369/X365,"")</f>
        <v/>
      </c>
      <c r="Y370" s="39">
        <f>IFERROR(Y369/Y365,"")</f>
        <v/>
      </c>
      <c r="Z370" s="39">
        <f>IFERROR(Z369/Z365,"")</f>
        <v/>
      </c>
      <c r="AA370" s="39">
        <f>IFERROR(AA369/AA365,"")</f>
        <v/>
      </c>
      <c r="AB370" s="39">
        <f>IFERROR(AB369/AB365,"")</f>
        <v/>
      </c>
      <c r="AC370" s="39">
        <f>IFERROR(AC369/AC365,"")</f>
        <v/>
      </c>
      <c r="AD370" s="39">
        <f>IFERROR(AD369/AD365,"")</f>
        <v/>
      </c>
      <c r="AE370" s="39">
        <f>IFERROR(AE369/AE365,"")</f>
        <v/>
      </c>
      <c r="AF370" s="39">
        <f>IFERROR(AF369/AF365,"")</f>
        <v/>
      </c>
      <c r="AG370" s="39">
        <f>IFERROR(AG369/AG365,"")</f>
        <v/>
      </c>
      <c r="AH370" s="39">
        <f>IFERROR(AH369/AH365,"")</f>
        <v/>
      </c>
      <c r="AI370" s="39">
        <f>IFERROR(AI369/AI365,"")</f>
        <v/>
      </c>
      <c r="AJ370" s="39">
        <f>IFERROR(AJ369/AJ365,"")</f>
        <v/>
      </c>
      <c r="AK370" s="39">
        <f>IFERROR(AK369/AK365,"")</f>
        <v/>
      </c>
      <c r="AL370" s="39">
        <f>IFERROR(AL369/AL365,"")</f>
        <v/>
      </c>
      <c r="AM370" s="39">
        <f>IFERROR(AM369/AM365,"")</f>
        <v/>
      </c>
      <c r="AN370" s="39">
        <f>IFERROR(AN369/AN365,"")</f>
        <v/>
      </c>
      <c r="AO370" s="39">
        <f>IFERROR(AO369/AO365,"")</f>
        <v/>
      </c>
      <c r="AP370" s="39">
        <f>IFERROR(AP369/AP365,"")</f>
        <v/>
      </c>
      <c r="AQ370" s="39">
        <f>IFERROR(AQ369/AQ365,"")</f>
        <v/>
      </c>
      <c r="AR370" s="39">
        <f>IFERROR(AR369/AR365,"")</f>
        <v/>
      </c>
      <c r="AS370" s="39">
        <f>IFERROR(AS369/AS365,"")</f>
        <v/>
      </c>
      <c r="AT370" s="39">
        <f>IFERROR(AT369/AT365,"")</f>
        <v/>
      </c>
      <c r="AU370" s="25" t="n"/>
      <c r="AV370" s="25" t="n"/>
      <c r="AW370" s="32" t="n">
        <v>0.125</v>
      </c>
      <c r="AX370" s="25">
        <f>AW370</f>
        <v/>
      </c>
      <c r="AY370" s="25">
        <f>AX370</f>
        <v/>
      </c>
      <c r="AZ370" s="25">
        <f>AY370</f>
        <v/>
      </c>
      <c r="BA370" s="25">
        <f>AZ370</f>
        <v/>
      </c>
      <c r="BB370" s="26" t="n"/>
    </row>
    <row r="371">
      <c r="B371" s="27" t="inlineStr">
        <is>
          <t xml:space="preserve">  Short-term share of insurance reserves %</t>
        </is>
      </c>
      <c r="C371" s="39">
        <f>IFERROR(C337/C369,"")</f>
        <v/>
      </c>
      <c r="D371" s="39">
        <f>IFERROR(D337/D369,"")</f>
        <v/>
      </c>
      <c r="E371" s="39">
        <f>IFERROR(E337/E369,"")</f>
        <v/>
      </c>
      <c r="F371" s="39">
        <f>IFERROR(F337/F369,"")</f>
        <v/>
      </c>
      <c r="G371" s="39">
        <f>IFERROR(G337/G369,"")</f>
        <v/>
      </c>
      <c r="H371" s="39">
        <f>IFERROR(H337/H369,"")</f>
        <v/>
      </c>
      <c r="I371" s="39">
        <f>IFERROR(I337/I369,"")</f>
        <v/>
      </c>
      <c r="J371" s="39">
        <f>IFERROR(J337/J369,"")</f>
        <v/>
      </c>
      <c r="K371" s="39">
        <f>IFERROR(K337/K369,"")</f>
        <v/>
      </c>
      <c r="L371" s="39">
        <f>IFERROR(L337/L369,"")</f>
        <v/>
      </c>
      <c r="M371" s="39">
        <f>IFERROR(M337/M369,"")</f>
        <v/>
      </c>
      <c r="N371" s="39">
        <f>IFERROR(N337/N369,"")</f>
        <v/>
      </c>
      <c r="O371" s="39">
        <f>IFERROR(O337/O369,"")</f>
        <v/>
      </c>
      <c r="P371" s="39">
        <f>IFERROR(P337/P369,"")</f>
        <v/>
      </c>
      <c r="Q371" s="39">
        <f>IFERROR(Q337/Q369,"")</f>
        <v/>
      </c>
      <c r="R371" s="39">
        <f>IFERROR(R337/R369,"")</f>
        <v/>
      </c>
      <c r="S371" s="39">
        <f>IFERROR(S337/S369,"")</f>
        <v/>
      </c>
      <c r="T371" s="39">
        <f>IFERROR(T337/T369,"")</f>
        <v/>
      </c>
      <c r="U371" s="39">
        <f>IFERROR(U337/U369,"")</f>
        <v/>
      </c>
      <c r="V371" s="39">
        <f>IFERROR(V337/V369,"")</f>
        <v/>
      </c>
      <c r="W371" s="39">
        <f>IFERROR(W337/W369,"")</f>
        <v/>
      </c>
      <c r="X371" s="39">
        <f>IFERROR(X337/X369,"")</f>
        <v/>
      </c>
      <c r="Y371" s="39">
        <f>IFERROR(Y337/Y369,"")</f>
        <v/>
      </c>
      <c r="Z371" s="39">
        <f>IFERROR(Z337/Z369,"")</f>
        <v/>
      </c>
      <c r="AA371" s="39">
        <f>IFERROR(AA337/AA369,"")</f>
        <v/>
      </c>
      <c r="AB371" s="39">
        <f>IFERROR(AB337/AB369,"")</f>
        <v/>
      </c>
      <c r="AC371" s="39">
        <f>IFERROR(AC337/AC369,"")</f>
        <v/>
      </c>
      <c r="AD371" s="39">
        <f>IFERROR(AD337/AD369,"")</f>
        <v/>
      </c>
      <c r="AE371" s="39">
        <f>IFERROR(AE337/AE369,"")</f>
        <v/>
      </c>
      <c r="AF371" s="39">
        <f>IFERROR(AF337/AF369,"")</f>
        <v/>
      </c>
      <c r="AG371" s="39">
        <f>IFERROR(AG337/AG369,"")</f>
        <v/>
      </c>
      <c r="AH371" s="39">
        <f>IFERROR(AH337/AH369,"")</f>
        <v/>
      </c>
      <c r="AI371" s="39">
        <f>IFERROR(AI337/AI369,"")</f>
        <v/>
      </c>
      <c r="AJ371" s="39">
        <f>IFERROR(AJ337/AJ369,"")</f>
        <v/>
      </c>
      <c r="AK371" s="39">
        <f>IFERROR(AK337/AK369,"")</f>
        <v/>
      </c>
      <c r="AL371" s="39">
        <f>IFERROR(AL337/AL369,"")</f>
        <v/>
      </c>
      <c r="AM371" s="39">
        <f>IFERROR(AM337/AM369,"")</f>
        <v/>
      </c>
      <c r="AN371" s="39">
        <f>IFERROR(AN337/AN369,"")</f>
        <v/>
      </c>
      <c r="AO371" s="39">
        <f>IFERROR(AO337/AO369,"")</f>
        <v/>
      </c>
      <c r="AP371" s="39">
        <f>IFERROR(AP337/AP369,"")</f>
        <v/>
      </c>
      <c r="AQ371" s="39">
        <f>IFERROR(AQ337/AQ369,"")</f>
        <v/>
      </c>
      <c r="AR371" s="39">
        <f>IFERROR(AR337/AR369,"")</f>
        <v/>
      </c>
      <c r="AS371" s="39">
        <f>IFERROR(AS337/AS369,"")</f>
        <v/>
      </c>
      <c r="AT371" s="39">
        <f>IFERROR(AT337/AT369,"")</f>
        <v/>
      </c>
      <c r="AU371" s="25" t="n"/>
      <c r="AV371" s="25" t="n"/>
      <c r="AW371" s="32" t="n">
        <v>0.27</v>
      </c>
      <c r="AX371" s="25">
        <f>AW371</f>
        <v/>
      </c>
      <c r="AY371" s="25">
        <f>AX371</f>
        <v/>
      </c>
      <c r="AZ371" s="25">
        <f>AY371</f>
        <v/>
      </c>
      <c r="BA371" s="25">
        <f>AZ371</f>
        <v/>
      </c>
      <c r="BB371" s="26" t="n"/>
    </row>
    <row r="372">
      <c r="B372" s="27" t="inlineStr">
        <is>
          <t xml:space="preserve">  Accrued &amp; other current liabilities % of revenue</t>
        </is>
      </c>
      <c r="C372" s="39">
        <f>IFERROR(C340/C363,"")</f>
        <v/>
      </c>
      <c r="D372" s="39">
        <f>IFERROR(D340/D363,"")</f>
        <v/>
      </c>
      <c r="E372" s="39">
        <f>IFERROR(E340/(E363*4),"")</f>
        <v/>
      </c>
      <c r="F372" s="39">
        <f>IFERROR(F340/(F363*4),"")</f>
        <v/>
      </c>
      <c r="G372" s="39">
        <f>IFERROR(G340/(G363*4),"")</f>
        <v/>
      </c>
      <c r="H372" s="39">
        <f>IFERROR(H340/(H363*4),"")</f>
        <v/>
      </c>
      <c r="I372" s="39">
        <f>IFERROR(I340/I363,"")</f>
        <v/>
      </c>
      <c r="J372" s="39">
        <f>IFERROR(J340/(J363*4),"")</f>
        <v/>
      </c>
      <c r="K372" s="39">
        <f>IFERROR(K340/(K363*4),"")</f>
        <v/>
      </c>
      <c r="L372" s="39">
        <f>IFERROR(L340/(L363*4),"")</f>
        <v/>
      </c>
      <c r="M372" s="39">
        <f>IFERROR(M340/(M363*4),"")</f>
        <v/>
      </c>
      <c r="N372" s="39">
        <f>IFERROR(N340/N363,"")</f>
        <v/>
      </c>
      <c r="O372" s="39">
        <f>IFERROR(O340/(O363*4),"")</f>
        <v/>
      </c>
      <c r="P372" s="39">
        <f>IFERROR(P340/(P363*4),"")</f>
        <v/>
      </c>
      <c r="Q372" s="39">
        <f>IFERROR(Q340/(Q363*4),"")</f>
        <v/>
      </c>
      <c r="R372" s="39">
        <f>IFERROR(R340/(R363*4),"")</f>
        <v/>
      </c>
      <c r="S372" s="39">
        <f>IFERROR(S340/S363,"")</f>
        <v/>
      </c>
      <c r="T372" s="39">
        <f>IFERROR(T340/(T363*4),"")</f>
        <v/>
      </c>
      <c r="U372" s="39">
        <f>IFERROR(U340/(U363*4),"")</f>
        <v/>
      </c>
      <c r="V372" s="39">
        <f>IFERROR(V340/(V363*4),"")</f>
        <v/>
      </c>
      <c r="W372" s="39">
        <f>IFERROR(W340/(W363*4),"")</f>
        <v/>
      </c>
      <c r="X372" s="39">
        <f>IFERROR(X340/X363,"")</f>
        <v/>
      </c>
      <c r="Y372" s="39">
        <f>IFERROR(Y340/(Y363*4),"")</f>
        <v/>
      </c>
      <c r="Z372" s="39">
        <f>IFERROR(Z340/(Z363*4),"")</f>
        <v/>
      </c>
      <c r="AA372" s="39">
        <f>IFERROR(AA340/(AA363*4),"")</f>
        <v/>
      </c>
      <c r="AB372" s="39">
        <f>IFERROR(AB340/(AB363*4),"")</f>
        <v/>
      </c>
      <c r="AC372" s="39">
        <f>IFERROR(AC340/AC363,"")</f>
        <v/>
      </c>
      <c r="AD372" s="39">
        <f>IFERROR(AD340/(AD363*4),"")</f>
        <v/>
      </c>
      <c r="AE372" s="39">
        <f>IFERROR(AE340/(AE363*4),"")</f>
        <v/>
      </c>
      <c r="AF372" s="39">
        <f>IFERROR(AF340/(AF363*4),"")</f>
        <v/>
      </c>
      <c r="AG372" s="39">
        <f>IFERROR(AG340/(AG363*4),"")</f>
        <v/>
      </c>
      <c r="AH372" s="39">
        <f>IFERROR(AH340/AH363,"")</f>
        <v/>
      </c>
      <c r="AI372" s="39">
        <f>IFERROR(AI340/(AI363*4),"")</f>
        <v/>
      </c>
      <c r="AJ372" s="39">
        <f>IFERROR(AJ340/(AJ363*4),"")</f>
        <v/>
      </c>
      <c r="AK372" s="39">
        <f>IFERROR(AK340/(AK363*4),"")</f>
        <v/>
      </c>
      <c r="AL372" s="39">
        <f>IFERROR(AL340/(AL363*4),"")</f>
        <v/>
      </c>
      <c r="AM372" s="39">
        <f>IFERROR(AM340/AM363,"")</f>
        <v/>
      </c>
      <c r="AN372" s="39">
        <f>IFERROR(AN340/(AN363*4),"")</f>
        <v/>
      </c>
      <c r="AO372" s="39">
        <f>IFERROR(AO340/(AO363*4),"")</f>
        <v/>
      </c>
      <c r="AP372" s="39">
        <f>IFERROR(AP340/(AP363*4),"")</f>
        <v/>
      </c>
      <c r="AQ372" s="39">
        <f>IFERROR(AQ340/(AQ363*4),"")</f>
        <v/>
      </c>
      <c r="AR372" s="39">
        <f>IFERROR(AR340/AR363,"")</f>
        <v/>
      </c>
      <c r="AS372" s="39">
        <f>IFERROR(AS340/(AS363*4),"")</f>
        <v/>
      </c>
      <c r="AT372" s="39">
        <f>IFERROR(AT340/(AT363*4),"")</f>
        <v/>
      </c>
      <c r="AU372" s="25" t="n"/>
      <c r="AV372" s="25" t="n"/>
      <c r="AW372" s="32" t="n">
        <v>0.145</v>
      </c>
      <c r="AX372" s="25">
        <f>AW372</f>
        <v/>
      </c>
      <c r="AY372" s="25">
        <f>AX372</f>
        <v/>
      </c>
      <c r="AZ372" s="25">
        <f>AY372</f>
        <v/>
      </c>
      <c r="BA372" s="25">
        <f>AZ372</f>
        <v/>
      </c>
      <c r="BB372" s="26" t="n"/>
    </row>
    <row r="373">
      <c r="B373" s="27" t="inlineStr">
        <is>
          <t xml:space="preserve">  Operating NWC (receivables + prepaid − payables − insurance reserves − accrued)</t>
        </is>
      </c>
      <c r="C373" s="43">
        <f>IF(ISNUMBER(C320),C320+C321-C336-C369-C340,"")</f>
        <v/>
      </c>
      <c r="D373" s="43">
        <f>IF(ISNUMBER(D320),D320+D321-D336-D369-D340,"")</f>
        <v/>
      </c>
      <c r="E373" s="43">
        <f>IF(ISNUMBER(E320),E320+E321-E336-E369-E340,"")</f>
        <v/>
      </c>
      <c r="F373" s="43">
        <f>IF(ISNUMBER(F320),F320+F321-F336-F369-F340,"")</f>
        <v/>
      </c>
      <c r="G373" s="43">
        <f>IF(ISNUMBER(G320),G320+G321-G336-G369-G340,"")</f>
        <v/>
      </c>
      <c r="H373" s="43">
        <f>IF(ISNUMBER(H320),H320+H321-H336-H369-H340,"")</f>
        <v/>
      </c>
      <c r="I373" s="43">
        <f>IF(ISNUMBER(I320),I320+I321-I336-I369-I340,"")</f>
        <v/>
      </c>
      <c r="J373" s="43">
        <f>IF(ISNUMBER(J320),J320+J321-J336-J369-J340,"")</f>
        <v/>
      </c>
      <c r="K373" s="43">
        <f>IF(ISNUMBER(K320),K320+K321-K336-K369-K340,"")</f>
        <v/>
      </c>
      <c r="L373" s="43">
        <f>IF(ISNUMBER(L320),L320+L321-L336-L369-L340,"")</f>
        <v/>
      </c>
      <c r="M373" s="43">
        <f>IF(ISNUMBER(M320),M320+M321-M336-M369-M340,"")</f>
        <v/>
      </c>
      <c r="N373" s="43">
        <f>IF(ISNUMBER(N320),N320+N321-N336-N369-N340,"")</f>
        <v/>
      </c>
      <c r="O373" s="43">
        <f>IF(ISNUMBER(O320),O320+O321-O336-O369-O340,"")</f>
        <v/>
      </c>
      <c r="P373" s="43">
        <f>IF(ISNUMBER(P320),P320+P321-P336-P369-P340,"")</f>
        <v/>
      </c>
      <c r="Q373" s="43">
        <f>IF(ISNUMBER(Q320),Q320+Q321-Q336-Q369-Q340,"")</f>
        <v/>
      </c>
      <c r="R373" s="43">
        <f>IF(ISNUMBER(R320),R320+R321-R336-R369-R340,"")</f>
        <v/>
      </c>
      <c r="S373" s="43">
        <f>IF(ISNUMBER(S320),S320+S321-S336-S369-S340,"")</f>
        <v/>
      </c>
      <c r="T373" s="43">
        <f>IF(ISNUMBER(T320),T320+T321-T336-T369-T340,"")</f>
        <v/>
      </c>
      <c r="U373" s="43">
        <f>IF(ISNUMBER(U320),U320+U321-U336-U369-U340,"")</f>
        <v/>
      </c>
      <c r="V373" s="43">
        <f>IF(ISNUMBER(V320),V320+V321-V336-V369-V340,"")</f>
        <v/>
      </c>
      <c r="W373" s="43">
        <f>IF(ISNUMBER(W320),W320+W321-W336-W369-W340,"")</f>
        <v/>
      </c>
      <c r="X373" s="43">
        <f>IF(ISNUMBER(X320),X320+X321-X336-X369-X340,"")</f>
        <v/>
      </c>
      <c r="Y373" s="43">
        <f>IF(ISNUMBER(Y320),Y320+Y321-Y336-Y369-Y340,"")</f>
        <v/>
      </c>
      <c r="Z373" s="43">
        <f>IF(ISNUMBER(Z320),Z320+Z321-Z336-Z369-Z340,"")</f>
        <v/>
      </c>
      <c r="AA373" s="43">
        <f>IF(ISNUMBER(AA320),AA320+AA321-AA336-AA369-AA340,"")</f>
        <v/>
      </c>
      <c r="AB373" s="43">
        <f>IF(ISNUMBER(AB320),AB320+AB321-AB336-AB369-AB340,"")</f>
        <v/>
      </c>
      <c r="AC373" s="43">
        <f>IF(ISNUMBER(AC320),AC320+AC321-AC336-AC369-AC340,"")</f>
        <v/>
      </c>
      <c r="AD373" s="43">
        <f>IF(ISNUMBER(AD320),AD320+AD321-AD336-AD369-AD340,"")</f>
        <v/>
      </c>
      <c r="AE373" s="43">
        <f>IF(ISNUMBER(AE320),AE320+AE321-AE336-AE369-AE340,"")</f>
        <v/>
      </c>
      <c r="AF373" s="43">
        <f>IF(ISNUMBER(AF320),AF320+AF321-AF336-AF369-AF340,"")</f>
        <v/>
      </c>
      <c r="AG373" s="43">
        <f>IF(ISNUMBER(AG320),AG320+AG321-AG336-AG369-AG340,"")</f>
        <v/>
      </c>
      <c r="AH373" s="43">
        <f>IF(ISNUMBER(AH320),AH320+AH321-AH336-AH369-AH340,"")</f>
        <v/>
      </c>
      <c r="AI373" s="43">
        <f>IF(ISNUMBER(AI320),AI320+AI321-AI336-AI369-AI340,"")</f>
        <v/>
      </c>
      <c r="AJ373" s="43">
        <f>IF(ISNUMBER(AJ320),AJ320+AJ321-AJ336-AJ369-AJ340,"")</f>
        <v/>
      </c>
      <c r="AK373" s="43">
        <f>IF(ISNUMBER(AK320),AK320+AK321-AK336-AK369-AK340,"")</f>
        <v/>
      </c>
      <c r="AL373" s="43">
        <f>IF(ISNUMBER(AL320),AL320+AL321-AL336-AL369-AL340,"")</f>
        <v/>
      </c>
      <c r="AM373" s="43">
        <f>IF(ISNUMBER(AM320),AM320+AM321-AM336-AM369-AM340,"")</f>
        <v/>
      </c>
      <c r="AN373" s="43">
        <f>IF(ISNUMBER(AN320),AN320+AN321-AN336-AN369-AN340,"")</f>
        <v/>
      </c>
      <c r="AO373" s="43">
        <f>IF(ISNUMBER(AO320),AO320+AO321-AO336-AO369-AO340,"")</f>
        <v/>
      </c>
      <c r="AP373" s="43">
        <f>IF(ISNUMBER(AP320),AP320+AP321-AP336-AP369-AP340,"")</f>
        <v/>
      </c>
      <c r="AQ373" s="43">
        <f>IF(ISNUMBER(AQ320),AQ320+AQ321-AQ336-AQ369-AQ340,"")</f>
        <v/>
      </c>
      <c r="AR373" s="43">
        <f>IF(ISNUMBER(AR320),AR320+AR321-AR336-AR369-AR340,"")</f>
        <v/>
      </c>
      <c r="AS373" s="43">
        <f>IF(ISNUMBER(AS320),AS320+AS321-AS336-AS369-AS340,"")</f>
        <v/>
      </c>
      <c r="AT373" s="43">
        <f>IF(ISNUMBER(AT320),AT320+AT321-AT336-AT369-AT340,"")</f>
        <v/>
      </c>
      <c r="AU373" s="45" t="n"/>
      <c r="AV373" s="45" t="n"/>
      <c r="AW373" s="45">
        <f>AW320+AW321-AW336-AW369-AW340</f>
        <v/>
      </c>
      <c r="AX373" s="45">
        <f>AX320+AX321-AX336-AX369-AX340</f>
        <v/>
      </c>
      <c r="AY373" s="45">
        <f>AY320+AY321-AY336-AY369-AY340</f>
        <v/>
      </c>
      <c r="AZ373" s="45">
        <f>AZ320+AZ321-AZ336-AZ369-AZ340</f>
        <v/>
      </c>
      <c r="BA373" s="45">
        <f>BA320+BA321-BA336-BA369-BA340</f>
        <v/>
      </c>
      <c r="BB373" s="26" t="n"/>
    </row>
    <row r="374">
      <c r="B374" s="27" t="inlineStr">
        <is>
          <t xml:space="preserve">  NWC % of revenue</t>
        </is>
      </c>
      <c r="C374" s="39">
        <f>IFERROR(C373/C363,"")</f>
        <v/>
      </c>
      <c r="D374" s="39">
        <f>IFERROR(D373/D363,"")</f>
        <v/>
      </c>
      <c r="E374" s="39">
        <f>IFERROR(E373/(E363*4),"")</f>
        <v/>
      </c>
      <c r="F374" s="39">
        <f>IFERROR(F373/(F363*4),"")</f>
        <v/>
      </c>
      <c r="G374" s="39">
        <f>IFERROR(G373/(G363*4),"")</f>
        <v/>
      </c>
      <c r="H374" s="39">
        <f>IFERROR(H373/(H363*4),"")</f>
        <v/>
      </c>
      <c r="I374" s="39">
        <f>IFERROR(I373/I363,"")</f>
        <v/>
      </c>
      <c r="J374" s="39">
        <f>IFERROR(J373/(J363*4),"")</f>
        <v/>
      </c>
      <c r="K374" s="39">
        <f>IFERROR(K373/(K363*4),"")</f>
        <v/>
      </c>
      <c r="L374" s="39">
        <f>IFERROR(L373/(L363*4),"")</f>
        <v/>
      </c>
      <c r="M374" s="39">
        <f>IFERROR(M373/(M363*4),"")</f>
        <v/>
      </c>
      <c r="N374" s="39">
        <f>IFERROR(N373/N363,"")</f>
        <v/>
      </c>
      <c r="O374" s="39">
        <f>IFERROR(O373/(O363*4),"")</f>
        <v/>
      </c>
      <c r="P374" s="39">
        <f>IFERROR(P373/(P363*4),"")</f>
        <v/>
      </c>
      <c r="Q374" s="39">
        <f>IFERROR(Q373/(Q363*4),"")</f>
        <v/>
      </c>
      <c r="R374" s="39">
        <f>IFERROR(R373/(R363*4),"")</f>
        <v/>
      </c>
      <c r="S374" s="39">
        <f>IFERROR(S373/S363,"")</f>
        <v/>
      </c>
      <c r="T374" s="39">
        <f>IFERROR(T373/(T363*4),"")</f>
        <v/>
      </c>
      <c r="U374" s="39">
        <f>IFERROR(U373/(U363*4),"")</f>
        <v/>
      </c>
      <c r="V374" s="39">
        <f>IFERROR(V373/(V363*4),"")</f>
        <v/>
      </c>
      <c r="W374" s="39">
        <f>IFERROR(W373/(W363*4),"")</f>
        <v/>
      </c>
      <c r="X374" s="39">
        <f>IFERROR(X373/X363,"")</f>
        <v/>
      </c>
      <c r="Y374" s="39">
        <f>IFERROR(Y373/(Y363*4),"")</f>
        <v/>
      </c>
      <c r="Z374" s="39">
        <f>IFERROR(Z373/(Z363*4),"")</f>
        <v/>
      </c>
      <c r="AA374" s="39">
        <f>IFERROR(AA373/(AA363*4),"")</f>
        <v/>
      </c>
      <c r="AB374" s="39">
        <f>IFERROR(AB373/(AB363*4),"")</f>
        <v/>
      </c>
      <c r="AC374" s="39">
        <f>IFERROR(AC373/AC363,"")</f>
        <v/>
      </c>
      <c r="AD374" s="39">
        <f>IFERROR(AD373/(AD363*4),"")</f>
        <v/>
      </c>
      <c r="AE374" s="39">
        <f>IFERROR(AE373/(AE363*4),"")</f>
        <v/>
      </c>
      <c r="AF374" s="39">
        <f>IFERROR(AF373/(AF363*4),"")</f>
        <v/>
      </c>
      <c r="AG374" s="39">
        <f>IFERROR(AG373/(AG363*4),"")</f>
        <v/>
      </c>
      <c r="AH374" s="39">
        <f>IFERROR(AH373/AH363,"")</f>
        <v/>
      </c>
      <c r="AI374" s="39">
        <f>IFERROR(AI373/(AI363*4),"")</f>
        <v/>
      </c>
      <c r="AJ374" s="39">
        <f>IFERROR(AJ373/(AJ363*4),"")</f>
        <v/>
      </c>
      <c r="AK374" s="39">
        <f>IFERROR(AK373/(AK363*4),"")</f>
        <v/>
      </c>
      <c r="AL374" s="39">
        <f>IFERROR(AL373/(AL363*4),"")</f>
        <v/>
      </c>
      <c r="AM374" s="39">
        <f>IFERROR(AM373/AM363,"")</f>
        <v/>
      </c>
      <c r="AN374" s="39">
        <f>IFERROR(AN373/(AN363*4),"")</f>
        <v/>
      </c>
      <c r="AO374" s="39">
        <f>IFERROR(AO373/(AO363*4),"")</f>
        <v/>
      </c>
      <c r="AP374" s="39">
        <f>IFERROR(AP373/(AP363*4),"")</f>
        <v/>
      </c>
      <c r="AQ374" s="39">
        <f>IFERROR(AQ373/(AQ363*4),"")</f>
        <v/>
      </c>
      <c r="AR374" s="39">
        <f>IFERROR(AR373/AR363,"")</f>
        <v/>
      </c>
      <c r="AS374" s="39">
        <f>IFERROR(AS373/(AS363*4),"")</f>
        <v/>
      </c>
      <c r="AT374" s="39">
        <f>IFERROR(AT373/(AT363*4),"")</f>
        <v/>
      </c>
      <c r="AU374" s="25" t="n"/>
      <c r="AV374" s="25" t="n"/>
      <c r="AW374" s="25">
        <f>IFERROR(AW373/AW363,"")</f>
        <v/>
      </c>
      <c r="AX374" s="25">
        <f>IFERROR(AX373/AX363,"")</f>
        <v/>
      </c>
      <c r="AY374" s="25">
        <f>IFERROR(AY373/AY363,"")</f>
        <v/>
      </c>
      <c r="AZ374" s="25">
        <f>IFERROR(AZ373/AZ363,"")</f>
        <v/>
      </c>
      <c r="BA374" s="25">
        <f>IFERROR(BA373/BA363,"")</f>
        <v/>
      </c>
      <c r="BB374" s="26" t="n"/>
    </row>
    <row r="375">
      <c r="B375" s="27" t="inlineStr">
        <is>
          <t xml:space="preserve">  ΔNWC (y/y)</t>
        </is>
      </c>
      <c r="C375" s="43" t="n"/>
      <c r="D375" s="43">
        <f>IFERROR(D373-C373,"")</f>
        <v/>
      </c>
      <c r="E375" s="43" t="n"/>
      <c r="F375" s="43" t="n"/>
      <c r="G375" s="43" t="n"/>
      <c r="H375" s="43" t="n"/>
      <c r="I375" s="43">
        <f>IFERROR(I373-D373,"")</f>
        <v/>
      </c>
      <c r="J375" s="43">
        <f>IFERROR(J373-E373,"")</f>
        <v/>
      </c>
      <c r="K375" s="43">
        <f>IFERROR(K373-F373,"")</f>
        <v/>
      </c>
      <c r="L375" s="43">
        <f>IFERROR(L373-G373,"")</f>
        <v/>
      </c>
      <c r="M375" s="43">
        <f>IFERROR(M373-H373,"")</f>
        <v/>
      </c>
      <c r="N375" s="43">
        <f>IFERROR(N373-I373,"")</f>
        <v/>
      </c>
      <c r="O375" s="43">
        <f>IFERROR(O373-J373,"")</f>
        <v/>
      </c>
      <c r="P375" s="43">
        <f>IFERROR(P373-K373,"")</f>
        <v/>
      </c>
      <c r="Q375" s="43">
        <f>IFERROR(Q373-L373,"")</f>
        <v/>
      </c>
      <c r="R375" s="43">
        <f>IFERROR(R373-M373,"")</f>
        <v/>
      </c>
      <c r="S375" s="43">
        <f>IFERROR(S373-N373,"")</f>
        <v/>
      </c>
      <c r="T375" s="43">
        <f>IFERROR(T373-O373,"")</f>
        <v/>
      </c>
      <c r="U375" s="43">
        <f>IFERROR(U373-P373,"")</f>
        <v/>
      </c>
      <c r="V375" s="43">
        <f>IFERROR(V373-Q373,"")</f>
        <v/>
      </c>
      <c r="W375" s="43">
        <f>IFERROR(W373-R373,"")</f>
        <v/>
      </c>
      <c r="X375" s="43">
        <f>IFERROR(X373-S373,"")</f>
        <v/>
      </c>
      <c r="Y375" s="43">
        <f>IFERROR(Y373-T373,"")</f>
        <v/>
      </c>
      <c r="Z375" s="43">
        <f>IFERROR(Z373-U373,"")</f>
        <v/>
      </c>
      <c r="AA375" s="43">
        <f>IFERROR(AA373-V373,"")</f>
        <v/>
      </c>
      <c r="AB375" s="43">
        <f>IFERROR(AB373-W373,"")</f>
        <v/>
      </c>
      <c r="AC375" s="43">
        <f>IFERROR(AC373-X373,"")</f>
        <v/>
      </c>
      <c r="AD375" s="43">
        <f>IFERROR(AD373-Y373,"")</f>
        <v/>
      </c>
      <c r="AE375" s="43">
        <f>IFERROR(AE373-Z373,"")</f>
        <v/>
      </c>
      <c r="AF375" s="43">
        <f>IFERROR(AF373-AA373,"")</f>
        <v/>
      </c>
      <c r="AG375" s="43">
        <f>IFERROR(AG373-AB373,"")</f>
        <v/>
      </c>
      <c r="AH375" s="43">
        <f>IFERROR(AH373-AC373,"")</f>
        <v/>
      </c>
      <c r="AI375" s="43">
        <f>IFERROR(AI373-AD373,"")</f>
        <v/>
      </c>
      <c r="AJ375" s="43">
        <f>IFERROR(AJ373-AE373,"")</f>
        <v/>
      </c>
      <c r="AK375" s="43">
        <f>IFERROR(AK373-AF373,"")</f>
        <v/>
      </c>
      <c r="AL375" s="43">
        <f>IFERROR(AL373-AG373,"")</f>
        <v/>
      </c>
      <c r="AM375" s="43">
        <f>IFERROR(AM373-AH373,"")</f>
        <v/>
      </c>
      <c r="AN375" s="43">
        <f>IFERROR(AN373-AI373,"")</f>
        <v/>
      </c>
      <c r="AO375" s="43">
        <f>IFERROR(AO373-AJ373,"")</f>
        <v/>
      </c>
      <c r="AP375" s="43">
        <f>IFERROR(AP373-AK373,"")</f>
        <v/>
      </c>
      <c r="AQ375" s="43">
        <f>IFERROR(AQ373-AL373,"")</f>
        <v/>
      </c>
      <c r="AR375" s="43">
        <f>IFERROR(AR373-AM373,"")</f>
        <v/>
      </c>
      <c r="AS375" s="43">
        <f>IFERROR(AS373-AN373,"")</f>
        <v/>
      </c>
      <c r="AT375" s="43">
        <f>IFERROR(AT373-AO373,"")</f>
        <v/>
      </c>
      <c r="AU375" s="45" t="n"/>
      <c r="AV375" s="45" t="n"/>
      <c r="AW375" s="45">
        <f>IFERROR(AW373-AR373,"")</f>
        <v/>
      </c>
      <c r="AX375" s="45">
        <f>IFERROR(AX373-AW373,"")</f>
        <v/>
      </c>
      <c r="AY375" s="45">
        <f>IFERROR(AY373-AX373,"")</f>
        <v/>
      </c>
      <c r="AZ375" s="45">
        <f>IFERROR(AZ373-AY373,"")</f>
        <v/>
      </c>
      <c r="BA375" s="45">
        <f>IFERROR(BA373-AZ373,"")</f>
        <v/>
      </c>
      <c r="BB375" s="26" t="n"/>
    </row>
    <row r="377">
      <c r="B377" s="10" t="inlineStr">
        <is>
          <t>BALANCE SHEET FORECAST SCHEDULES</t>
        </is>
      </c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inlineStr">
        <is>
          <t>BS FORECAST SCHEDULES — explicit driver assumptions</t>
        </is>
      </c>
    </row>
    <row r="378">
      <c r="B378" s="14" t="inlineStr">
        <is>
          <t>Delivery Hero acquisition — consideration &amp; illustrative purchase-price allocation (assumed closing 1-Oct-2027; values in the 2027E column)</t>
        </is>
      </c>
      <c r="C378" s="14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  <c r="AH378" s="14" t="n"/>
      <c r="AI378" s="14" t="n"/>
      <c r="AJ378" s="14" t="n"/>
      <c r="AK378" s="14" t="n"/>
      <c r="AL378" s="14" t="n"/>
      <c r="AM378" s="14" t="n"/>
      <c r="AN378" s="14" t="n"/>
      <c r="AO378" s="14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5" t="inlineStr">
        <is>
          <t>No pro forma PPA published yet (German tender offer document pending BaFin approval) — allocation below is an assumption set; refine on the offer document / closing 8-K.</t>
        </is>
      </c>
    </row>
    <row r="379">
      <c r="B379" s="27" t="inlineStr">
        <is>
          <t xml:space="preserve">  Delivery Hero fully diluted shares (m)</t>
        </is>
      </c>
      <c r="C379" s="43" t="n"/>
      <c r="D379" s="43" t="n"/>
      <c r="E379" s="43" t="n"/>
      <c r="F379" s="43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  <c r="W379" s="43" t="n"/>
      <c r="X379" s="43" t="n"/>
      <c r="Y379" s="43" t="n"/>
      <c r="Z379" s="43" t="n"/>
      <c r="AA379" s="43" t="n"/>
      <c r="AB379" s="43" t="n"/>
      <c r="AC379" s="43" t="n"/>
      <c r="AD379" s="43" t="n"/>
      <c r="AE379" s="43" t="n"/>
      <c r="AF379" s="43" t="n"/>
      <c r="AG379" s="43" t="n"/>
      <c r="AH379" s="43" t="n"/>
      <c r="AI379" s="43" t="n"/>
      <c r="AJ379" s="43" t="n"/>
      <c r="AK379" s="43" t="n"/>
      <c r="AL379" s="43" t="n"/>
      <c r="AM379" s="43" t="n"/>
      <c r="AN379" s="43" t="n"/>
      <c r="AO379" s="43" t="n"/>
      <c r="AP379" s="43" t="n"/>
      <c r="AQ379" s="43" t="n"/>
      <c r="AR379" s="43" t="n"/>
      <c r="AS379" s="43" t="n"/>
      <c r="AT379" s="43" t="n"/>
      <c r="AU379" s="45" t="n"/>
      <c r="AV379" s="45" t="n"/>
      <c r="AW379" s="45" t="n"/>
      <c r="AX379" s="47" t="n">
        <v>314</v>
      </c>
      <c r="AY379" s="45" t="n"/>
      <c r="AZ379" s="45" t="n"/>
      <c r="BA379" s="45" t="n"/>
      <c r="BB379" s="26" t="n"/>
    </row>
    <row r="380">
      <c r="B380" s="27" t="inlineStr">
        <is>
          <t xml:space="preserve">  Offer price (€ per share)</t>
        </is>
      </c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  <c r="AA380" s="30" t="n"/>
      <c r="AB380" s="30" t="n"/>
      <c r="AC380" s="30" t="n"/>
      <c r="AD380" s="30" t="n"/>
      <c r="AE380" s="30" t="n"/>
      <c r="AF380" s="30" t="n"/>
      <c r="AG380" s="30" t="n"/>
      <c r="AH380" s="30" t="n"/>
      <c r="AI380" s="30" t="n"/>
      <c r="AJ380" s="30" t="n"/>
      <c r="AK380" s="30" t="n"/>
      <c r="AL380" s="30" t="n"/>
      <c r="AM380" s="30" t="n"/>
      <c r="AN380" s="30" t="n"/>
      <c r="AO380" s="30" t="n"/>
      <c r="AP380" s="30" t="n"/>
      <c r="AQ380" s="30" t="n"/>
      <c r="AR380" s="30" t="n"/>
      <c r="AS380" s="30" t="n"/>
      <c r="AT380" s="30" t="n"/>
      <c r="AU380" s="31" t="n"/>
      <c r="AV380" s="31" t="n"/>
      <c r="AW380" s="31" t="n"/>
      <c r="AX380" s="67" t="n">
        <v>41.5</v>
      </c>
      <c r="AY380" s="31" t="n"/>
      <c r="AZ380" s="31" t="n"/>
      <c r="BA380" s="31" t="n"/>
      <c r="BB380" s="26" t="n"/>
    </row>
    <row r="381">
      <c r="B381" s="27" t="inlineStr">
        <is>
          <t xml:space="preserve">  Equity value — 100% ($m; USD/EUR implied by the $14.8bn headline)</t>
        </is>
      </c>
      <c r="C381" s="43" t="n"/>
      <c r="D381" s="43" t="n"/>
      <c r="E381" s="43" t="n"/>
      <c r="F381" s="43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  <c r="W381" s="43" t="n"/>
      <c r="X381" s="43" t="n"/>
      <c r="Y381" s="43" t="n"/>
      <c r="Z381" s="43" t="n"/>
      <c r="AA381" s="43" t="n"/>
      <c r="AB381" s="43" t="n"/>
      <c r="AC381" s="43" t="n"/>
      <c r="AD381" s="43" t="n"/>
      <c r="AE381" s="43" t="n"/>
      <c r="AF381" s="43" t="n"/>
      <c r="AG381" s="43" t="n"/>
      <c r="AH381" s="43" t="n"/>
      <c r="AI381" s="43" t="n"/>
      <c r="AJ381" s="43" t="n"/>
      <c r="AK381" s="43" t="n"/>
      <c r="AL381" s="43" t="n"/>
      <c r="AM381" s="43" t="n"/>
      <c r="AN381" s="43" t="n"/>
      <c r="AO381" s="43" t="n"/>
      <c r="AP381" s="43" t="n"/>
      <c r="AQ381" s="43" t="n"/>
      <c r="AR381" s="43" t="n"/>
      <c r="AS381" s="43" t="n"/>
      <c r="AT381" s="43" t="n"/>
      <c r="AU381" s="45" t="n"/>
      <c r="AV381" s="45" t="n"/>
      <c r="AW381" s="45" t="n"/>
      <c r="AX381" s="45">
        <f>AX379*AX380*$BL$17</f>
        <v/>
      </c>
      <c r="AY381" s="45" t="n"/>
      <c r="AZ381" s="45" t="n"/>
      <c r="BA381" s="45" t="n"/>
      <c r="BB381" s="26" t="n"/>
    </row>
    <row r="382">
      <c r="B382" s="27" t="inlineStr">
        <is>
          <t xml:space="preserve">  Uber direct stake before the offer (% of voting capital)</t>
        </is>
      </c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39" t="n"/>
      <c r="AA382" s="39" t="n"/>
      <c r="AB382" s="39" t="n"/>
      <c r="AC382" s="39" t="n"/>
      <c r="AD382" s="39" t="n"/>
      <c r="AE382" s="39" t="n"/>
      <c r="AF382" s="39" t="n"/>
      <c r="AG382" s="39" t="n"/>
      <c r="AH382" s="39" t="n"/>
      <c r="AI382" s="39" t="n"/>
      <c r="AJ382" s="39" t="n"/>
      <c r="AK382" s="39" t="n"/>
      <c r="AL382" s="39" t="n"/>
      <c r="AM382" s="39" t="n"/>
      <c r="AN382" s="39" t="n"/>
      <c r="AO382" s="39" t="n"/>
      <c r="AP382" s="39" t="n"/>
      <c r="AQ382" s="39" t="n"/>
      <c r="AR382" s="39" t="n"/>
      <c r="AS382" s="39" t="n"/>
      <c r="AT382" s="39" t="n"/>
      <c r="AU382" s="25" t="n"/>
      <c r="AV382" s="25" t="n"/>
      <c r="AW382" s="25" t="n"/>
      <c r="AX382" s="32" t="n">
        <v>0.2477</v>
      </c>
      <c r="AY382" s="25" t="n"/>
      <c r="AZ382" s="25" t="n"/>
      <c r="BA382" s="25" t="n"/>
      <c r="BB382" s="26" t="n"/>
    </row>
    <row r="383">
      <c r="B383" s="27" t="inlineStr">
        <is>
          <t xml:space="preserve">  Additional economic exposure via total return swaps (%)</t>
        </is>
      </c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39" t="n"/>
      <c r="AA383" s="39" t="n"/>
      <c r="AB383" s="39" t="n"/>
      <c r="AC383" s="39" t="n"/>
      <c r="AD383" s="39" t="n"/>
      <c r="AE383" s="39" t="n"/>
      <c r="AF383" s="39" t="n"/>
      <c r="AG383" s="39" t="n"/>
      <c r="AH383" s="39" t="n"/>
      <c r="AI383" s="39" t="n"/>
      <c r="AJ383" s="39" t="n"/>
      <c r="AK383" s="39" t="n"/>
      <c r="AL383" s="39" t="n"/>
      <c r="AM383" s="39" t="n"/>
      <c r="AN383" s="39" t="n"/>
      <c r="AO383" s="39" t="n"/>
      <c r="AP383" s="39" t="n"/>
      <c r="AQ383" s="39" t="n"/>
      <c r="AR383" s="39" t="n"/>
      <c r="AS383" s="39" t="n"/>
      <c r="AT383" s="39" t="n"/>
      <c r="AU383" s="25" t="n"/>
      <c r="AV383" s="25" t="n"/>
      <c r="AW383" s="25" t="n"/>
      <c r="AX383" s="32" t="n">
        <v>0.1174</v>
      </c>
      <c r="AY383" s="25" t="n"/>
      <c r="AZ383" s="25" t="n"/>
      <c r="BA383" s="25" t="n"/>
      <c r="BB383" s="26" t="n"/>
    </row>
    <row r="384">
      <c r="B384" s="27" t="inlineStr">
        <is>
          <t xml:space="preserve">  Uber ownership after the offer (assumption)</t>
        </is>
      </c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39" t="n"/>
      <c r="AA384" s="39" t="n"/>
      <c r="AB384" s="39" t="n"/>
      <c r="AC384" s="39" t="n"/>
      <c r="AD384" s="39" t="n"/>
      <c r="AE384" s="39" t="n"/>
      <c r="AF384" s="39" t="n"/>
      <c r="AG384" s="39" t="n"/>
      <c r="AH384" s="39" t="n"/>
      <c r="AI384" s="39" t="n"/>
      <c r="AJ384" s="39" t="n"/>
      <c r="AK384" s="39" t="n"/>
      <c r="AL384" s="39" t="n"/>
      <c r="AM384" s="39" t="n"/>
      <c r="AN384" s="39" t="n"/>
      <c r="AO384" s="39" t="n"/>
      <c r="AP384" s="39" t="n"/>
      <c r="AQ384" s="39" t="n"/>
      <c r="AR384" s="39" t="n"/>
      <c r="AS384" s="39" t="n"/>
      <c r="AT384" s="39" t="n"/>
      <c r="AU384" s="25" t="n"/>
      <c r="AV384" s="25" t="n"/>
      <c r="AW384" s="25" t="n"/>
      <c r="AX384" s="25">
        <f>$BL$20</f>
        <v/>
      </c>
      <c r="AY384" s="25" t="n"/>
      <c r="AZ384" s="25" t="n"/>
      <c r="BA384" s="25" t="n"/>
      <c r="BB384" s="19" t="inlineStr">
        <is>
          <t>Assumption 75%: committed ~53% (24.8% stake + 11.7% swaps + Prosus ~17% irrevocable) plus ~half of the free float tendering. No DPLTA for 3 years.</t>
        </is>
      </c>
    </row>
    <row r="385">
      <c r="B385" s="27" t="inlineStr">
        <is>
          <t xml:space="preserve">  Cash consideration at closing (shares beyond stake + swaps)</t>
        </is>
      </c>
      <c r="C385" s="43" t="n"/>
      <c r="D385" s="43" t="n"/>
      <c r="E385" s="43" t="n"/>
      <c r="F385" s="43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  <c r="W385" s="43" t="n"/>
      <c r="X385" s="43" t="n"/>
      <c r="Y385" s="43" t="n"/>
      <c r="Z385" s="43" t="n"/>
      <c r="AA385" s="43" t="n"/>
      <c r="AB385" s="43" t="n"/>
      <c r="AC385" s="43" t="n"/>
      <c r="AD385" s="43" t="n"/>
      <c r="AE385" s="43" t="n"/>
      <c r="AF385" s="43" t="n"/>
      <c r="AG385" s="43" t="n"/>
      <c r="AH385" s="43" t="n"/>
      <c r="AI385" s="43" t="n"/>
      <c r="AJ385" s="43" t="n"/>
      <c r="AK385" s="43" t="n"/>
      <c r="AL385" s="43" t="n"/>
      <c r="AM385" s="43" t="n"/>
      <c r="AN385" s="43" t="n"/>
      <c r="AO385" s="43" t="n"/>
      <c r="AP385" s="43" t="n"/>
      <c r="AQ385" s="43" t="n"/>
      <c r="AR385" s="43" t="n"/>
      <c r="AS385" s="43" t="n"/>
      <c r="AT385" s="43" t="n"/>
      <c r="AU385" s="45" t="n"/>
      <c r="AV385" s="45" t="n"/>
      <c r="AW385" s="45" t="n"/>
      <c r="AX385" s="45">
        <f>MAX(0,AX384-AX382-AX383)*AX381*$BL$19</f>
        <v/>
      </c>
      <c r="AY385" s="45" t="n"/>
      <c r="AZ385" s="45" t="n"/>
      <c r="BA385" s="45" t="n"/>
      <c r="BB385" s="26" t="n"/>
    </row>
    <row r="386">
      <c r="B386" s="27" t="inlineStr">
        <is>
          <t xml:space="preserve">  Carrying value of existing ~24.8% stake (equity method at 30-Jun-26; derecognised)</t>
        </is>
      </c>
      <c r="C386" s="43" t="n"/>
      <c r="D386" s="43" t="n"/>
      <c r="E386" s="43" t="n"/>
      <c r="F386" s="43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  <c r="W386" s="43" t="n"/>
      <c r="X386" s="43" t="n"/>
      <c r="Y386" s="43" t="n"/>
      <c r="Z386" s="43" t="n"/>
      <c r="AA386" s="43" t="n"/>
      <c r="AB386" s="43" t="n"/>
      <c r="AC386" s="43" t="n"/>
      <c r="AD386" s="43" t="n"/>
      <c r="AE386" s="43" t="n"/>
      <c r="AF386" s="43" t="n"/>
      <c r="AG386" s="43" t="n"/>
      <c r="AH386" s="43" t="n"/>
      <c r="AI386" s="43" t="n"/>
      <c r="AJ386" s="43" t="n"/>
      <c r="AK386" s="43" t="n"/>
      <c r="AL386" s="43" t="n"/>
      <c r="AM386" s="43" t="n"/>
      <c r="AN386" s="43" t="n"/>
      <c r="AO386" s="43" t="n"/>
      <c r="AP386" s="43" t="n"/>
      <c r="AQ386" s="43" t="n"/>
      <c r="AR386" s="43" t="n"/>
      <c r="AS386" s="43" t="n"/>
      <c r="AT386" s="43" t="n"/>
      <c r="AU386" s="45" t="n"/>
      <c r="AV386" s="45" t="n"/>
      <c r="AW386" s="45" t="n"/>
      <c r="AX386" s="45">
        <f>AT327-AS327</f>
        <v/>
      </c>
      <c r="AY386" s="45" t="n"/>
      <c r="AZ386" s="45" t="n"/>
      <c r="BA386" s="45" t="n"/>
      <c r="BB386" s="19" t="inlineStr">
        <is>
          <t>Q2/26 equity-method balance $3,773m less Q1/26 $268m (other investees) ≈ Delivery Hero stake; no remeasurement gain assumed.</t>
        </is>
      </c>
    </row>
    <row r="387">
      <c r="B387" s="27" t="inlineStr">
        <is>
          <t xml:space="preserve">  Total return swaps (prepaid 1H/26; derecognised on settlement)</t>
        </is>
      </c>
      <c r="C387" s="43" t="n"/>
      <c r="D387" s="43" t="n"/>
      <c r="E387" s="43" t="n"/>
      <c r="F387" s="43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  <c r="W387" s="43" t="n"/>
      <c r="X387" s="43" t="n"/>
      <c r="Y387" s="43" t="n"/>
      <c r="Z387" s="43" t="n"/>
      <c r="AA387" s="43" t="n"/>
      <c r="AB387" s="43" t="n"/>
      <c r="AC387" s="43" t="n"/>
      <c r="AD387" s="43" t="n"/>
      <c r="AE387" s="43" t="n"/>
      <c r="AF387" s="43" t="n"/>
      <c r="AG387" s="43" t="n"/>
      <c r="AH387" s="43" t="n"/>
      <c r="AI387" s="43" t="n"/>
      <c r="AJ387" s="43" t="n"/>
      <c r="AK387" s="43" t="n"/>
      <c r="AL387" s="43" t="n"/>
      <c r="AM387" s="43" t="n"/>
      <c r="AN387" s="43" t="n"/>
      <c r="AO387" s="43" t="n"/>
      <c r="AP387" s="43" t="n"/>
      <c r="AQ387" s="43" t="n"/>
      <c r="AR387" s="43" t="n"/>
      <c r="AS387" s="43" t="n"/>
      <c r="AT387" s="43" t="n"/>
      <c r="AU387" s="45" t="n"/>
      <c r="AV387" s="45" t="n"/>
      <c r="AW387" s="45" t="n"/>
      <c r="AX387" s="47" t="n">
        <v>1640</v>
      </c>
      <c r="AY387" s="45" t="n"/>
      <c r="AZ387" s="45" t="n"/>
      <c r="BA387" s="45" t="n"/>
      <c r="BB387" s="26" t="n"/>
    </row>
    <row r="388">
      <c r="B388" s="27" t="inlineStr">
        <is>
          <t xml:space="preserve">  Non-controlling interests at fair value ((1 − ownership) × equity value)</t>
        </is>
      </c>
      <c r="C388" s="43" t="n"/>
      <c r="D388" s="43" t="n"/>
      <c r="E388" s="43" t="n"/>
      <c r="F388" s="43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  <c r="W388" s="43" t="n"/>
      <c r="X388" s="43" t="n"/>
      <c r="Y388" s="43" t="n"/>
      <c r="Z388" s="43" t="n"/>
      <c r="AA388" s="43" t="n"/>
      <c r="AB388" s="43" t="n"/>
      <c r="AC388" s="43" t="n"/>
      <c r="AD388" s="43" t="n"/>
      <c r="AE388" s="43" t="n"/>
      <c r="AF388" s="43" t="n"/>
      <c r="AG388" s="43" t="n"/>
      <c r="AH388" s="43" t="n"/>
      <c r="AI388" s="43" t="n"/>
      <c r="AJ388" s="43" t="n"/>
      <c r="AK388" s="43" t="n"/>
      <c r="AL388" s="43" t="n"/>
      <c r="AM388" s="43" t="n"/>
      <c r="AN388" s="43" t="n"/>
      <c r="AO388" s="43" t="n"/>
      <c r="AP388" s="43" t="n"/>
      <c r="AQ388" s="43" t="n"/>
      <c r="AR388" s="43" t="n"/>
      <c r="AS388" s="43" t="n"/>
      <c r="AT388" s="43" t="n"/>
      <c r="AU388" s="45" t="n"/>
      <c r="AV388" s="45" t="n"/>
      <c r="AW388" s="45" t="n"/>
      <c r="AX388" s="45">
        <f>(1-AX384)*AX381*$BL$19</f>
        <v/>
      </c>
      <c r="AY388" s="45" t="n"/>
      <c r="AZ388" s="45" t="n"/>
      <c r="BA388" s="45" t="n"/>
      <c r="BB388" s="26" t="n"/>
    </row>
    <row r="389">
      <c r="B389" s="27" t="inlineStr">
        <is>
          <t xml:space="preserve">  Net debt &amp; other bridge items assumed (incl. talabat minorities)</t>
        </is>
      </c>
      <c r="C389" s="43" t="n"/>
      <c r="D389" s="43" t="n"/>
      <c r="E389" s="43" t="n"/>
      <c r="F389" s="43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  <c r="W389" s="43" t="n"/>
      <c r="X389" s="43" t="n"/>
      <c r="Y389" s="43" t="n"/>
      <c r="Z389" s="43" t="n"/>
      <c r="AA389" s="43" t="n"/>
      <c r="AB389" s="43" t="n"/>
      <c r="AC389" s="43" t="n"/>
      <c r="AD389" s="43" t="n"/>
      <c r="AE389" s="43" t="n"/>
      <c r="AF389" s="43" t="n"/>
      <c r="AG389" s="43" t="n"/>
      <c r="AH389" s="43" t="n"/>
      <c r="AI389" s="43" t="n"/>
      <c r="AJ389" s="43" t="n"/>
      <c r="AK389" s="43" t="n"/>
      <c r="AL389" s="43" t="n"/>
      <c r="AM389" s="43" t="n"/>
      <c r="AN389" s="43" t="n"/>
      <c r="AO389" s="43" t="n"/>
      <c r="AP389" s="43" t="n"/>
      <c r="AQ389" s="43" t="n"/>
      <c r="AR389" s="43" t="n"/>
      <c r="AS389" s="43" t="n"/>
      <c r="AT389" s="43" t="n"/>
      <c r="AU389" s="45" t="n"/>
      <c r="AV389" s="45" t="n"/>
      <c r="AW389" s="45" t="n"/>
      <c r="AX389" s="45">
        <f>4200*$BL$19</f>
        <v/>
      </c>
      <c r="AY389" s="45" t="n"/>
      <c r="AZ389" s="45" t="n"/>
      <c r="BA389" s="45" t="n"/>
      <c r="BB389" s="26" t="n"/>
    </row>
    <row r="390">
      <c r="B390" s="27" t="inlineStr">
        <is>
          <t xml:space="preserve">  PP&amp;E and right-of-use assets acquired (assumption)</t>
        </is>
      </c>
      <c r="C390" s="43" t="n"/>
      <c r="D390" s="43" t="n"/>
      <c r="E390" s="43" t="n"/>
      <c r="F390" s="43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  <c r="W390" s="43" t="n"/>
      <c r="X390" s="43" t="n"/>
      <c r="Y390" s="43" t="n"/>
      <c r="Z390" s="43" t="n"/>
      <c r="AA390" s="43" t="n"/>
      <c r="AB390" s="43" t="n"/>
      <c r="AC390" s="43" t="n"/>
      <c r="AD390" s="43" t="n"/>
      <c r="AE390" s="43" t="n"/>
      <c r="AF390" s="43" t="n"/>
      <c r="AG390" s="43" t="n"/>
      <c r="AH390" s="43" t="n"/>
      <c r="AI390" s="43" t="n"/>
      <c r="AJ390" s="43" t="n"/>
      <c r="AK390" s="43" t="n"/>
      <c r="AL390" s="43" t="n"/>
      <c r="AM390" s="43" t="n"/>
      <c r="AN390" s="43" t="n"/>
      <c r="AO390" s="43" t="n"/>
      <c r="AP390" s="43" t="n"/>
      <c r="AQ390" s="43" t="n"/>
      <c r="AR390" s="43" t="n"/>
      <c r="AS390" s="43" t="n"/>
      <c r="AT390" s="43" t="n"/>
      <c r="AU390" s="45" t="n"/>
      <c r="AV390" s="45" t="n"/>
      <c r="AW390" s="45" t="n"/>
      <c r="AX390" s="45">
        <f>1500*$BL$19</f>
        <v/>
      </c>
      <c r="AY390" s="45" t="n"/>
      <c r="AZ390" s="45" t="n"/>
      <c r="BA390" s="45" t="n"/>
      <c r="BB390" s="26" t="n"/>
    </row>
    <row r="391">
      <c r="B391" s="27" t="inlineStr">
        <is>
          <t xml:space="preserve">  Identifiable intangibles % of enterprise value (assumption: brands, customer &amp; merchant relationships, technology)</t>
        </is>
      </c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39" t="n"/>
      <c r="AA391" s="39" t="n"/>
      <c r="AB391" s="39" t="n"/>
      <c r="AC391" s="39" t="n"/>
      <c r="AD391" s="39" t="n"/>
      <c r="AE391" s="39" t="n"/>
      <c r="AF391" s="39" t="n"/>
      <c r="AG391" s="39" t="n"/>
      <c r="AH391" s="39" t="n"/>
      <c r="AI391" s="39" t="n"/>
      <c r="AJ391" s="39" t="n"/>
      <c r="AK391" s="39" t="n"/>
      <c r="AL391" s="39" t="n"/>
      <c r="AM391" s="39" t="n"/>
      <c r="AN391" s="39" t="n"/>
      <c r="AO391" s="39" t="n"/>
      <c r="AP391" s="39" t="n"/>
      <c r="AQ391" s="39" t="n"/>
      <c r="AR391" s="39" t="n"/>
      <c r="AS391" s="39" t="n"/>
      <c r="AT391" s="39" t="n"/>
      <c r="AU391" s="25" t="n"/>
      <c r="AV391" s="25" t="n"/>
      <c r="AW391" s="25" t="n"/>
      <c r="AX391" s="32" t="n">
        <v>0.3</v>
      </c>
      <c r="AY391" s="25" t="n"/>
      <c r="AZ391" s="25" t="n"/>
      <c r="BA391" s="25" t="n"/>
      <c r="BB391" s="26" t="n"/>
    </row>
    <row r="392">
      <c r="B392" s="27" t="inlineStr">
        <is>
          <t xml:space="preserve">  Other intangible assets acquired</t>
        </is>
      </c>
      <c r="C392" s="43" t="n"/>
      <c r="D392" s="43" t="n"/>
      <c r="E392" s="43" t="n"/>
      <c r="F392" s="43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  <c r="W392" s="43" t="n"/>
      <c r="X392" s="43" t="n"/>
      <c r="Y392" s="43" t="n"/>
      <c r="Z392" s="43" t="n"/>
      <c r="AA392" s="43" t="n"/>
      <c r="AB392" s="43" t="n"/>
      <c r="AC392" s="43" t="n"/>
      <c r="AD392" s="43" t="n"/>
      <c r="AE392" s="43" t="n"/>
      <c r="AF392" s="43" t="n"/>
      <c r="AG392" s="43" t="n"/>
      <c r="AH392" s="43" t="n"/>
      <c r="AI392" s="43" t="n"/>
      <c r="AJ392" s="43" t="n"/>
      <c r="AK392" s="43" t="n"/>
      <c r="AL392" s="43" t="n"/>
      <c r="AM392" s="43" t="n"/>
      <c r="AN392" s="43" t="n"/>
      <c r="AO392" s="43" t="n"/>
      <c r="AP392" s="43" t="n"/>
      <c r="AQ392" s="43" t="n"/>
      <c r="AR392" s="43" t="n"/>
      <c r="AS392" s="43" t="n"/>
      <c r="AT392" s="43" t="n"/>
      <c r="AU392" s="45" t="n"/>
      <c r="AV392" s="45" t="n"/>
      <c r="AW392" s="45" t="n"/>
      <c r="AX392" s="45">
        <f>(AX381+4200)*AX391*$BL$19</f>
        <v/>
      </c>
      <c r="AY392" s="45" t="n"/>
      <c r="AZ392" s="45" t="n"/>
      <c r="BA392" s="45" t="n"/>
      <c r="BB392" s="26" t="n"/>
    </row>
    <row r="393">
      <c r="B393" s="27" t="inlineStr">
        <is>
          <t xml:space="preserve">  Intangible amortization life (years)</t>
        </is>
      </c>
      <c r="C393" s="43" t="n"/>
      <c r="D393" s="43" t="n"/>
      <c r="E393" s="43" t="n"/>
      <c r="F393" s="43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  <c r="W393" s="43" t="n"/>
      <c r="X393" s="43" t="n"/>
      <c r="Y393" s="43" t="n"/>
      <c r="Z393" s="43" t="n"/>
      <c r="AA393" s="43" t="n"/>
      <c r="AB393" s="43" t="n"/>
      <c r="AC393" s="43" t="n"/>
      <c r="AD393" s="43" t="n"/>
      <c r="AE393" s="43" t="n"/>
      <c r="AF393" s="43" t="n"/>
      <c r="AG393" s="43" t="n"/>
      <c r="AH393" s="43" t="n"/>
      <c r="AI393" s="43" t="n"/>
      <c r="AJ393" s="43" t="n"/>
      <c r="AK393" s="43" t="n"/>
      <c r="AL393" s="43" t="n"/>
      <c r="AM393" s="43" t="n"/>
      <c r="AN393" s="43" t="n"/>
      <c r="AO393" s="43" t="n"/>
      <c r="AP393" s="43" t="n"/>
      <c r="AQ393" s="43" t="n"/>
      <c r="AR393" s="43" t="n"/>
      <c r="AS393" s="43" t="n"/>
      <c r="AT393" s="43" t="n"/>
      <c r="AU393" s="45" t="n"/>
      <c r="AV393" s="45" t="n"/>
      <c r="AW393" s="45" t="n"/>
      <c r="AX393" s="47" t="n">
        <v>10</v>
      </c>
      <c r="AY393" s="45" t="n"/>
      <c r="AZ393" s="45" t="n"/>
      <c r="BA393" s="45" t="n"/>
      <c r="BB393" s="26" t="n"/>
    </row>
    <row r="394">
      <c r="B394" s="27" t="inlineStr">
        <is>
          <t xml:space="preserve">  Deferred tax rate on intangibles</t>
        </is>
      </c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39" t="n"/>
      <c r="AA394" s="39" t="n"/>
      <c r="AB394" s="39" t="n"/>
      <c r="AC394" s="39" t="n"/>
      <c r="AD394" s="39" t="n"/>
      <c r="AE394" s="39" t="n"/>
      <c r="AF394" s="39" t="n"/>
      <c r="AG394" s="39" t="n"/>
      <c r="AH394" s="39" t="n"/>
      <c r="AI394" s="39" t="n"/>
      <c r="AJ394" s="39" t="n"/>
      <c r="AK394" s="39" t="n"/>
      <c r="AL394" s="39" t="n"/>
      <c r="AM394" s="39" t="n"/>
      <c r="AN394" s="39" t="n"/>
      <c r="AO394" s="39" t="n"/>
      <c r="AP394" s="39" t="n"/>
      <c r="AQ394" s="39" t="n"/>
      <c r="AR394" s="39" t="n"/>
      <c r="AS394" s="39" t="n"/>
      <c r="AT394" s="39" t="n"/>
      <c r="AU394" s="25" t="n"/>
      <c r="AV394" s="25" t="n"/>
      <c r="AW394" s="25" t="n"/>
      <c r="AX394" s="32" t="n">
        <v>0.25</v>
      </c>
      <c r="AY394" s="25" t="n"/>
      <c r="AZ394" s="25" t="n"/>
      <c r="BA394" s="25" t="n"/>
      <c r="BB394" s="26" t="n"/>
    </row>
    <row r="395">
      <c r="B395" s="27" t="inlineStr">
        <is>
          <t xml:space="preserve">  Deferred tax liabilities on intangibles</t>
        </is>
      </c>
      <c r="C395" s="43" t="n"/>
      <c r="D395" s="43" t="n"/>
      <c r="E395" s="43" t="n"/>
      <c r="F395" s="43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  <c r="W395" s="43" t="n"/>
      <c r="X395" s="43" t="n"/>
      <c r="Y395" s="43" t="n"/>
      <c r="Z395" s="43" t="n"/>
      <c r="AA395" s="43" t="n"/>
      <c r="AB395" s="43" t="n"/>
      <c r="AC395" s="43" t="n"/>
      <c r="AD395" s="43" t="n"/>
      <c r="AE395" s="43" t="n"/>
      <c r="AF395" s="43" t="n"/>
      <c r="AG395" s="43" t="n"/>
      <c r="AH395" s="43" t="n"/>
      <c r="AI395" s="43" t="n"/>
      <c r="AJ395" s="43" t="n"/>
      <c r="AK395" s="43" t="n"/>
      <c r="AL395" s="43" t="n"/>
      <c r="AM395" s="43" t="n"/>
      <c r="AN395" s="43" t="n"/>
      <c r="AO395" s="43" t="n"/>
      <c r="AP395" s="43" t="n"/>
      <c r="AQ395" s="43" t="n"/>
      <c r="AR395" s="43" t="n"/>
      <c r="AS395" s="43" t="n"/>
      <c r="AT395" s="43" t="n"/>
      <c r="AU395" s="45" t="n"/>
      <c r="AV395" s="45" t="n"/>
      <c r="AW395" s="45" t="n"/>
      <c r="AX395" s="45">
        <f>AX392*AX394</f>
        <v/>
      </c>
      <c r="AY395" s="45" t="n"/>
      <c r="AZ395" s="45" t="n"/>
      <c r="BA395" s="45" t="n"/>
      <c r="BB395" s="26" t="n"/>
    </row>
    <row r="396">
      <c r="B396" s="27" t="inlineStr">
        <is>
          <t xml:space="preserve">  Goodwill (residual)</t>
        </is>
      </c>
      <c r="C396" s="43" t="n"/>
      <c r="D396" s="43" t="n"/>
      <c r="E396" s="43" t="n"/>
      <c r="F396" s="43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  <c r="W396" s="43" t="n"/>
      <c r="X396" s="43" t="n"/>
      <c r="Y396" s="43" t="n"/>
      <c r="Z396" s="43" t="n"/>
      <c r="AA396" s="43" t="n"/>
      <c r="AB396" s="43" t="n"/>
      <c r="AC396" s="43" t="n"/>
      <c r="AD396" s="43" t="n"/>
      <c r="AE396" s="43" t="n"/>
      <c r="AF396" s="43" t="n"/>
      <c r="AG396" s="43" t="n"/>
      <c r="AH396" s="43" t="n"/>
      <c r="AI396" s="43" t="n"/>
      <c r="AJ396" s="43" t="n"/>
      <c r="AK396" s="43" t="n"/>
      <c r="AL396" s="43" t="n"/>
      <c r="AM396" s="43" t="n"/>
      <c r="AN396" s="43" t="n"/>
      <c r="AO396" s="43" t="n"/>
      <c r="AP396" s="43" t="n"/>
      <c r="AQ396" s="43" t="n"/>
      <c r="AR396" s="43" t="n"/>
      <c r="AS396" s="43" t="n"/>
      <c r="AT396" s="43" t="n"/>
      <c r="AU396" s="45" t="n"/>
      <c r="AV396" s="45" t="n"/>
      <c r="AW396" s="45" t="n"/>
      <c r="AX396" s="45">
        <f>AX385+(AX386+AX387)*$BL$19+AX388+AX389+AX395-AX392-AX390</f>
        <v/>
      </c>
      <c r="AY396" s="45" t="n"/>
      <c r="AZ396" s="45" t="n"/>
      <c r="BA396" s="45" t="n"/>
      <c r="BB396" s="26" t="n"/>
    </row>
    <row r="397">
      <c r="B397" s="54" t="inlineStr">
        <is>
          <t xml:space="preserve">  Check: assets acquired − liabilities assumed − consideration (should be 0)</t>
        </is>
      </c>
      <c r="C397" s="43" t="n"/>
      <c r="D397" s="43" t="n"/>
      <c r="E397" s="43" t="n"/>
      <c r="F397" s="43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  <c r="W397" s="43" t="n"/>
      <c r="X397" s="43" t="n"/>
      <c r="Y397" s="43" t="n"/>
      <c r="Z397" s="43" t="n"/>
      <c r="AA397" s="43" t="n"/>
      <c r="AB397" s="43" t="n"/>
      <c r="AC397" s="43" t="n"/>
      <c r="AD397" s="43" t="n"/>
      <c r="AE397" s="43" t="n"/>
      <c r="AF397" s="43" t="n"/>
      <c r="AG397" s="43" t="n"/>
      <c r="AH397" s="43" t="n"/>
      <c r="AI397" s="43" t="n"/>
      <c r="AJ397" s="43" t="n"/>
      <c r="AK397" s="43" t="n"/>
      <c r="AL397" s="43" t="n"/>
      <c r="AM397" s="43" t="n"/>
      <c r="AN397" s="43" t="n"/>
      <c r="AO397" s="43" t="n"/>
      <c r="AP397" s="43" t="n"/>
      <c r="AQ397" s="43" t="n"/>
      <c r="AR397" s="43" t="n"/>
      <c r="AS397" s="43" t="n"/>
      <c r="AT397" s="43" t="n"/>
      <c r="AU397" s="45" t="n"/>
      <c r="AV397" s="45" t="n"/>
      <c r="AW397" s="45" t="n"/>
      <c r="AX397" s="45">
        <f>ROUND(AX392+AX396+AX390-AX395-AX389-(AX385+(AX386+AX387)*$BL$19+AX388),1)</f>
        <v/>
      </c>
      <c r="AY397" s="45" t="n"/>
      <c r="AZ397" s="45" t="n"/>
      <c r="BA397" s="45" t="n"/>
      <c r="BB397" s="26" t="n"/>
    </row>
    <row r="398">
      <c r="B398" s="38" t="inlineStr">
        <is>
          <t xml:space="preserve">  Memo: EV / 2027E pro forma Adjusted EBITDA incl. run-rate synergies (x) — deck: ~8x</t>
        </is>
      </c>
      <c r="C398" s="155" t="n"/>
      <c r="D398" s="155" t="n"/>
      <c r="E398" s="155" t="n"/>
      <c r="F398" s="155" t="n"/>
      <c r="G398" s="155" t="n"/>
      <c r="H398" s="155" t="n"/>
      <c r="I398" s="155" t="n"/>
      <c r="J398" s="155" t="n"/>
      <c r="K398" s="155" t="n"/>
      <c r="L398" s="155" t="n"/>
      <c r="M398" s="155" t="n"/>
      <c r="N398" s="155" t="n"/>
      <c r="O398" s="155" t="n"/>
      <c r="P398" s="155" t="n"/>
      <c r="Q398" s="155" t="n"/>
      <c r="R398" s="155" t="n"/>
      <c r="S398" s="155" t="n"/>
      <c r="T398" s="155" t="n"/>
      <c r="U398" s="155" t="n"/>
      <c r="V398" s="155" t="n"/>
      <c r="W398" s="155" t="n"/>
      <c r="X398" s="155" t="n"/>
      <c r="Y398" s="155" t="n"/>
      <c r="Z398" s="155" t="n"/>
      <c r="AA398" s="155" t="n"/>
      <c r="AB398" s="155" t="n"/>
      <c r="AC398" s="155" t="n"/>
      <c r="AD398" s="155" t="n"/>
      <c r="AE398" s="155" t="n"/>
      <c r="AF398" s="155" t="n"/>
      <c r="AG398" s="155" t="n"/>
      <c r="AH398" s="155" t="n"/>
      <c r="AI398" s="155" t="n"/>
      <c r="AJ398" s="155" t="n"/>
      <c r="AK398" s="155" t="n"/>
      <c r="AL398" s="155" t="n"/>
      <c r="AM398" s="155" t="n"/>
      <c r="AN398" s="155" t="n"/>
      <c r="AO398" s="155" t="n"/>
      <c r="AP398" s="155" t="n"/>
      <c r="AQ398" s="155" t="n"/>
      <c r="AR398" s="155" t="n"/>
      <c r="AS398" s="155" t="n"/>
      <c r="AT398" s="155" t="n"/>
      <c r="AU398" s="156" t="n"/>
      <c r="AV398" s="156" t="n"/>
      <c r="AW398" s="156" t="n"/>
      <c r="AX398" s="156">
        <f>IFERROR((AX381+4200)/(AX65*AX70+$BL$21),"")</f>
        <v/>
      </c>
      <c r="AY398" s="156" t="n"/>
      <c r="AZ398" s="156" t="n"/>
      <c r="BA398" s="156" t="n"/>
      <c r="BB398" s="26" t="n"/>
    </row>
    <row r="399">
      <c r="B399" s="14" t="inlineStr">
        <is>
          <t>Asset roll-forwards &amp; non-cash items</t>
        </is>
      </c>
      <c r="C399" s="14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  <c r="AA399" s="14" t="n"/>
      <c r="AB399" s="14" t="n"/>
      <c r="AC399" s="14" t="n"/>
      <c r="AD399" s="14" t="n"/>
      <c r="AE399" s="14" t="n"/>
      <c r="AF399" s="14" t="n"/>
      <c r="AG399" s="14" t="n"/>
      <c r="AH399" s="14" t="n"/>
      <c r="AI399" s="14" t="n"/>
      <c r="AJ399" s="14" t="n"/>
      <c r="AK399" s="14" t="n"/>
      <c r="AL399" s="14" t="n"/>
      <c r="AM399" s="14" t="n"/>
      <c r="AN399" s="14" t="n"/>
      <c r="AO399" s="14" t="n"/>
      <c r="AP399" s="14" t="n"/>
      <c r="AQ399" s="14" t="n"/>
      <c r="AR399" s="14" t="n"/>
      <c r="AS399" s="14" t="n"/>
      <c r="AT399" s="14" t="n"/>
      <c r="AU399" s="14" t="n"/>
      <c r="AV399" s="14" t="n"/>
      <c r="AW399" s="14" t="n"/>
      <c r="AX399" s="14" t="n"/>
      <c r="AY399" s="14" t="n"/>
      <c r="AZ399" s="14" t="n"/>
      <c r="BA399" s="14" t="n"/>
    </row>
    <row r="400">
      <c r="B400" s="27" t="inlineStr">
        <is>
          <t xml:space="preserve">  PP&amp;E acquired under finance leases (non-cash; principal repaid in financing)</t>
        </is>
      </c>
      <c r="C400" s="43" t="n"/>
      <c r="D400" s="43" t="n"/>
      <c r="E400" s="43" t="n"/>
      <c r="F400" s="43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  <c r="W400" s="43" t="n"/>
      <c r="X400" s="43" t="n"/>
      <c r="Y400" s="43" t="n"/>
      <c r="Z400" s="43" t="n"/>
      <c r="AA400" s="43" t="n"/>
      <c r="AB400" s="43" t="n"/>
      <c r="AC400" s="43" t="n"/>
      <c r="AD400" s="43" t="n"/>
      <c r="AE400" s="43" t="n"/>
      <c r="AF400" s="43" t="n"/>
      <c r="AG400" s="43" t="n"/>
      <c r="AH400" s="43" t="n"/>
      <c r="AI400" s="43" t="n"/>
      <c r="AJ400" s="43" t="n"/>
      <c r="AK400" s="43" t="n"/>
      <c r="AL400" s="43" t="n"/>
      <c r="AM400" s="43" t="n"/>
      <c r="AN400" s="43" t="n"/>
      <c r="AO400" s="43" t="n"/>
      <c r="AP400" s="43" t="n"/>
      <c r="AQ400" s="43" t="n"/>
      <c r="AR400" s="43" t="n"/>
      <c r="AS400" s="43" t="n"/>
      <c r="AT400" s="43" t="n"/>
      <c r="AU400" s="45" t="n"/>
      <c r="AV400" s="45" t="n"/>
      <c r="AW400" s="47" t="n">
        <v>175</v>
      </c>
      <c r="AX400" s="47" t="n">
        <v>175</v>
      </c>
      <c r="AY400" s="47" t="n">
        <v>175</v>
      </c>
      <c r="AZ400" s="47" t="n">
        <v>175</v>
      </c>
      <c r="BA400" s="47" t="n">
        <v>175</v>
      </c>
      <c r="BB400" s="19" t="inlineStr">
        <is>
          <t>Finance-lease additions ~$150–200m p.a. (10-K non-cash disclosure).</t>
        </is>
      </c>
    </row>
    <row r="401">
      <c r="B401" s="27" t="inlineStr">
        <is>
          <t xml:space="preserve">  Dilutive securities (m shares)</t>
        </is>
      </c>
      <c r="C401" s="160" t="n"/>
      <c r="D401" s="160" t="n"/>
      <c r="E401" s="160" t="n"/>
      <c r="F401" s="160" t="n"/>
      <c r="G401" s="160" t="n"/>
      <c r="H401" s="160" t="n"/>
      <c r="I401" s="160" t="n"/>
      <c r="J401" s="160" t="n"/>
      <c r="K401" s="160" t="n"/>
      <c r="L401" s="160" t="n"/>
      <c r="M401" s="160" t="n"/>
      <c r="N401" s="160" t="n"/>
      <c r="O401" s="160" t="n"/>
      <c r="P401" s="160" t="n"/>
      <c r="Q401" s="160" t="n"/>
      <c r="R401" s="160" t="n"/>
      <c r="S401" s="160" t="n"/>
      <c r="T401" s="160" t="n"/>
      <c r="U401" s="160" t="n"/>
      <c r="V401" s="160" t="n"/>
      <c r="W401" s="160" t="n"/>
      <c r="X401" s="160" t="n"/>
      <c r="Y401" s="160" t="n"/>
      <c r="Z401" s="160" t="n"/>
      <c r="AA401" s="160" t="n"/>
      <c r="AB401" s="160" t="n"/>
      <c r="AC401" s="160" t="n"/>
      <c r="AD401" s="160" t="n"/>
      <c r="AE401" s="160" t="n"/>
      <c r="AF401" s="160" t="n"/>
      <c r="AG401" s="160" t="n"/>
      <c r="AH401" s="160" t="n"/>
      <c r="AI401" s="160" t="n"/>
      <c r="AJ401" s="160" t="n"/>
      <c r="AK401" s="160" t="n"/>
      <c r="AL401" s="160" t="n"/>
      <c r="AM401" s="160" t="n"/>
      <c r="AN401" s="160" t="n"/>
      <c r="AO401" s="160" t="n"/>
      <c r="AP401" s="160" t="n"/>
      <c r="AQ401" s="160" t="n"/>
      <c r="AR401" s="160" t="n"/>
      <c r="AS401" s="160" t="n"/>
      <c r="AT401" s="160" t="n"/>
      <c r="AU401" s="159" t="n"/>
      <c r="AV401" s="159" t="n"/>
      <c r="AW401" s="159" t="n"/>
      <c r="AX401" s="161" t="n">
        <v>15</v>
      </c>
      <c r="AY401" s="161" t="n">
        <v>15</v>
      </c>
      <c r="AZ401" s="161" t="n">
        <v>15</v>
      </c>
      <c r="BA401" s="161" t="n">
        <v>15</v>
      </c>
      <c r="BB401" s="26" t="n"/>
    </row>
    <row r="402">
      <c r="B402" s="27" t="inlineStr">
        <is>
          <t xml:space="preserve">  Share-price appreciation % (buyback pricing)</t>
        </is>
      </c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39" t="n"/>
      <c r="AA402" s="39" t="n"/>
      <c r="AB402" s="39" t="n"/>
      <c r="AC402" s="39" t="n"/>
      <c r="AD402" s="39" t="n"/>
      <c r="AE402" s="39" t="n"/>
      <c r="AF402" s="39" t="n"/>
      <c r="AG402" s="39" t="n"/>
      <c r="AH402" s="39" t="n"/>
      <c r="AI402" s="39" t="n"/>
      <c r="AJ402" s="39" t="n"/>
      <c r="AK402" s="39" t="n"/>
      <c r="AL402" s="39" t="n"/>
      <c r="AM402" s="39" t="n"/>
      <c r="AN402" s="39" t="n"/>
      <c r="AO402" s="39" t="n"/>
      <c r="AP402" s="39" t="n"/>
      <c r="AQ402" s="39" t="n"/>
      <c r="AR402" s="39" t="n"/>
      <c r="AS402" s="39" t="n"/>
      <c r="AT402" s="39" t="n"/>
      <c r="AU402" s="25" t="n"/>
      <c r="AV402" s="25" t="n"/>
      <c r="AW402" s="25" t="n"/>
      <c r="AX402" s="32" t="n">
        <v>0.1</v>
      </c>
      <c r="AY402" s="32" t="n">
        <v>0.1</v>
      </c>
      <c r="AZ402" s="32" t="n">
        <v>0.1</v>
      </c>
      <c r="BA402" s="32" t="n">
        <v>0.1</v>
      </c>
      <c r="BB402" s="26" t="n"/>
    </row>
    <row r="403">
      <c r="B403" s="14" t="inlineStr">
        <is>
          <t>Debt schedule (scheduled maturities + prepayable facilities to a minimum cash balance)</t>
        </is>
      </c>
      <c r="C403" s="14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  <c r="AA403" s="14" t="n"/>
      <c r="AB403" s="14" t="n"/>
      <c r="AC403" s="14" t="n"/>
      <c r="AD403" s="14" t="n"/>
      <c r="AE403" s="14" t="n"/>
      <c r="AF403" s="14" t="n"/>
      <c r="AG403" s="14" t="n"/>
      <c r="AH403" s="14" t="n"/>
      <c r="AI403" s="14" t="n"/>
      <c r="AJ403" s="14" t="n"/>
      <c r="AK403" s="14" t="n"/>
      <c r="AL403" s="14" t="n"/>
      <c r="AM403" s="14" t="n"/>
      <c r="AN403" s="14" t="n"/>
      <c r="AO403" s="14" t="n"/>
      <c r="AP403" s="14" t="n"/>
      <c r="AQ403" s="14" t="n"/>
      <c r="AR403" s="14" t="n"/>
      <c r="AS403" s="14" t="n"/>
      <c r="AT403" s="14" t="n"/>
      <c r="AU403" s="14" t="n"/>
      <c r="AV403" s="14" t="n"/>
      <c r="AW403" s="14" t="n"/>
      <c r="AX403" s="14" t="n"/>
      <c r="AY403" s="14" t="n"/>
      <c r="AZ403" s="14" t="n"/>
      <c r="BA403" s="14" t="n"/>
    </row>
    <row r="404">
      <c r="B404" s="16" t="inlineStr">
        <is>
          <t xml:space="preserve">  Total debt (current + long-term)</t>
        </is>
      </c>
      <c r="C404" s="36">
        <f>IF(ISNUMBER(C343),N(C339)+C343,"")</f>
        <v/>
      </c>
      <c r="D404" s="36">
        <f>IF(ISNUMBER(D343),N(D339)+D343,"")</f>
        <v/>
      </c>
      <c r="E404" s="36">
        <f>IF(ISNUMBER(E343),N(E339)+E343,"")</f>
        <v/>
      </c>
      <c r="F404" s="36">
        <f>IF(ISNUMBER(F343),N(F339)+F343,"")</f>
        <v/>
      </c>
      <c r="G404" s="36">
        <f>IF(ISNUMBER(G343),N(G339)+G343,"")</f>
        <v/>
      </c>
      <c r="H404" s="36">
        <f>IF(ISNUMBER(H343),N(H339)+H343,"")</f>
        <v/>
      </c>
      <c r="I404" s="36">
        <f>IF(ISNUMBER(I343),N(I339)+I343,"")</f>
        <v/>
      </c>
      <c r="J404" s="36">
        <f>IF(ISNUMBER(J343),N(J339)+J343,"")</f>
        <v/>
      </c>
      <c r="K404" s="36">
        <f>IF(ISNUMBER(K343),N(K339)+K343,"")</f>
        <v/>
      </c>
      <c r="L404" s="36">
        <f>IF(ISNUMBER(L343),N(L339)+L343,"")</f>
        <v/>
      </c>
      <c r="M404" s="36">
        <f>IF(ISNUMBER(M343),N(M339)+M343,"")</f>
        <v/>
      </c>
      <c r="N404" s="36">
        <f>IF(ISNUMBER(N343),N(N339)+N343,"")</f>
        <v/>
      </c>
      <c r="O404" s="36">
        <f>IF(ISNUMBER(O343),N(O339)+O343,"")</f>
        <v/>
      </c>
      <c r="P404" s="36">
        <f>IF(ISNUMBER(P343),N(P339)+P343,"")</f>
        <v/>
      </c>
      <c r="Q404" s="36">
        <f>IF(ISNUMBER(Q343),N(Q339)+Q343,"")</f>
        <v/>
      </c>
      <c r="R404" s="36">
        <f>IF(ISNUMBER(R343),N(R339)+R343,"")</f>
        <v/>
      </c>
      <c r="S404" s="36">
        <f>IF(ISNUMBER(S343),N(S339)+S343,"")</f>
        <v/>
      </c>
      <c r="T404" s="36">
        <f>IF(ISNUMBER(T343),N(T339)+T343,"")</f>
        <v/>
      </c>
      <c r="U404" s="36">
        <f>IF(ISNUMBER(U343),N(U339)+U343,"")</f>
        <v/>
      </c>
      <c r="V404" s="36">
        <f>IF(ISNUMBER(V343),N(V339)+V343,"")</f>
        <v/>
      </c>
      <c r="W404" s="36">
        <f>IF(ISNUMBER(W343),N(W339)+W343,"")</f>
        <v/>
      </c>
      <c r="X404" s="36">
        <f>IF(ISNUMBER(X343),N(X339)+X343,"")</f>
        <v/>
      </c>
      <c r="Y404" s="36">
        <f>IF(ISNUMBER(Y343),N(Y339)+Y343,"")</f>
        <v/>
      </c>
      <c r="Z404" s="36">
        <f>IF(ISNUMBER(Z343),N(Z339)+Z343,"")</f>
        <v/>
      </c>
      <c r="AA404" s="36">
        <f>IF(ISNUMBER(AA343),N(AA339)+AA343,"")</f>
        <v/>
      </c>
      <c r="AB404" s="36">
        <f>IF(ISNUMBER(AB343),N(AB339)+AB343,"")</f>
        <v/>
      </c>
      <c r="AC404" s="36">
        <f>IF(ISNUMBER(AC343),N(AC339)+AC343,"")</f>
        <v/>
      </c>
      <c r="AD404" s="36">
        <f>IF(ISNUMBER(AD343),N(AD339)+AD343,"")</f>
        <v/>
      </c>
      <c r="AE404" s="36">
        <f>IF(ISNUMBER(AE343),N(AE339)+AE343,"")</f>
        <v/>
      </c>
      <c r="AF404" s="36">
        <f>IF(ISNUMBER(AF343),N(AF339)+AF343,"")</f>
        <v/>
      </c>
      <c r="AG404" s="36">
        <f>IF(ISNUMBER(AG343),N(AG339)+AG343,"")</f>
        <v/>
      </c>
      <c r="AH404" s="36">
        <f>IF(ISNUMBER(AH343),N(AH339)+AH343,"")</f>
        <v/>
      </c>
      <c r="AI404" s="36">
        <f>IF(ISNUMBER(AI343),N(AI339)+AI343,"")</f>
        <v/>
      </c>
      <c r="AJ404" s="36">
        <f>IF(ISNUMBER(AJ343),N(AJ339)+AJ343,"")</f>
        <v/>
      </c>
      <c r="AK404" s="36">
        <f>IF(ISNUMBER(AK343),N(AK339)+AK343,"")</f>
        <v/>
      </c>
      <c r="AL404" s="36">
        <f>IF(ISNUMBER(AL343),N(AL339)+AL343,"")</f>
        <v/>
      </c>
      <c r="AM404" s="36">
        <f>IF(ISNUMBER(AM343),N(AM339)+AM343,"")</f>
        <v/>
      </c>
      <c r="AN404" s="36">
        <f>IF(ISNUMBER(AN343),N(AN339)+AN343,"")</f>
        <v/>
      </c>
      <c r="AO404" s="36">
        <f>IF(ISNUMBER(AO343),N(AO339)+AO343,"")</f>
        <v/>
      </c>
      <c r="AP404" s="36">
        <f>IF(ISNUMBER(AP343),N(AP339)+AP343,"")</f>
        <v/>
      </c>
      <c r="AQ404" s="36">
        <f>IF(ISNUMBER(AQ343),N(AQ339)+AQ343,"")</f>
        <v/>
      </c>
      <c r="AR404" s="36">
        <f>IF(ISNUMBER(AR343),N(AR339)+AR343,"")</f>
        <v/>
      </c>
      <c r="AS404" s="36">
        <f>IF(ISNUMBER(AS343),N(AS339)+AS343,"")</f>
        <v/>
      </c>
      <c r="AT404" s="36">
        <f>IF(ISNUMBER(AT343),N(AT339)+AT343,"")</f>
        <v/>
      </c>
      <c r="AU404" s="18" t="n"/>
      <c r="AV404" s="18" t="n"/>
      <c r="AW404" s="18">
        <f>AW408+AW414</f>
        <v/>
      </c>
      <c r="AX404" s="18">
        <f>AX408+AX414</f>
        <v/>
      </c>
      <c r="AY404" s="18">
        <f>AY408+AY414</f>
        <v/>
      </c>
      <c r="AZ404" s="18">
        <f>AZ408+AZ414</f>
        <v/>
      </c>
      <c r="BA404" s="18">
        <f>BA408+BA414</f>
        <v/>
      </c>
      <c r="BB404" s="19" t="inlineStr">
        <is>
          <t>Debt at 30-Jun-26 $12,723m: 2026 term loan $2.0bn (SOFR+0.825%, Dec-26), 0.875% 2028 converts $1,725m, 0% 2028 Aurora-exchangeable $1,324m (fair value), senior notes 2029–2054 $8.75bn. Sep-26: + €4.5bn notes (3.750% 2029, 4.125% 2032, 4.375% 2034, 4.750% 2038, 5.250% 2046).</t>
        </is>
      </c>
    </row>
    <row r="405">
      <c r="B405" s="27" t="inlineStr">
        <is>
          <t xml:space="preserve">  Scheduled note maturities (input, negative)</t>
        </is>
      </c>
      <c r="C405" s="43" t="n"/>
      <c r="D405" s="43" t="n"/>
      <c r="E405" s="43" t="n"/>
      <c r="F405" s="43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  <c r="W405" s="43" t="n"/>
      <c r="X405" s="43" t="n"/>
      <c r="Y405" s="43" t="n"/>
      <c r="Z405" s="43" t="n"/>
      <c r="AA405" s="43" t="n"/>
      <c r="AB405" s="43" t="n"/>
      <c r="AC405" s="43" t="n"/>
      <c r="AD405" s="43" t="n"/>
      <c r="AE405" s="43" t="n"/>
      <c r="AF405" s="43" t="n"/>
      <c r="AG405" s="43" t="n"/>
      <c r="AH405" s="43" t="n"/>
      <c r="AI405" s="43" t="n"/>
      <c r="AJ405" s="43" t="n"/>
      <c r="AK405" s="43" t="n"/>
      <c r="AL405" s="43" t="n"/>
      <c r="AM405" s="43" t="n"/>
      <c r="AN405" s="43" t="n"/>
      <c r="AO405" s="43" t="n"/>
      <c r="AP405" s="43" t="n"/>
      <c r="AQ405" s="43" t="n"/>
      <c r="AR405" s="43" t="n"/>
      <c r="AS405" s="43" t="n"/>
      <c r="AT405" s="43" t="n"/>
      <c r="AU405" s="45" t="n"/>
      <c r="AV405" s="45" t="n"/>
      <c r="AW405" s="47" t="n">
        <v>0</v>
      </c>
      <c r="AX405" s="47" t="n">
        <v>0</v>
      </c>
      <c r="AY405" s="47" t="n">
        <v>-3049</v>
      </c>
      <c r="AZ405" s="45">
        <f>-(1500+750*$BL$17)</f>
        <v/>
      </c>
      <c r="BA405" s="47" t="n">
        <v>-1250</v>
      </c>
      <c r="BB405" s="19" t="inlineStr">
        <is>
          <t>2028: 0.875% converts $1,725m (Dec) + exchangeables $1,324m (May); 2029: 4.50% notes $1.5bn + €750m 3.75%; 2030: 4.30% notes $1.25bn.</t>
        </is>
      </c>
    </row>
    <row r="406">
      <c r="B406" s="27" t="inlineStr">
        <is>
          <t xml:space="preserve">  % of scheduled maturities refinanced (input)</t>
        </is>
      </c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39" t="n"/>
      <c r="AA406" s="39" t="n"/>
      <c r="AB406" s="39" t="n"/>
      <c r="AC406" s="39" t="n"/>
      <c r="AD406" s="39" t="n"/>
      <c r="AE406" s="39" t="n"/>
      <c r="AF406" s="39" t="n"/>
      <c r="AG406" s="39" t="n"/>
      <c r="AH406" s="39" t="n"/>
      <c r="AI406" s="39" t="n"/>
      <c r="AJ406" s="39" t="n"/>
      <c r="AK406" s="39" t="n"/>
      <c r="AL406" s="39" t="n"/>
      <c r="AM406" s="39" t="n"/>
      <c r="AN406" s="39" t="n"/>
      <c r="AO406" s="39" t="n"/>
      <c r="AP406" s="39" t="n"/>
      <c r="AQ406" s="39" t="n"/>
      <c r="AR406" s="39" t="n"/>
      <c r="AS406" s="39" t="n"/>
      <c r="AT406" s="39" t="n"/>
      <c r="AU406" s="25" t="n"/>
      <c r="AV406" s="25" t="n"/>
      <c r="AW406" s="25" t="n"/>
      <c r="AX406" s="32" t="n">
        <v>1</v>
      </c>
      <c r="AY406" s="32" t="n">
        <v>1</v>
      </c>
      <c r="AZ406" s="32" t="n">
        <v>1</v>
      </c>
      <c r="BA406" s="32" t="n">
        <v>1</v>
      </c>
      <c r="BB406" s="26" t="n"/>
    </row>
    <row r="407">
      <c r="B407" s="27" t="inlineStr">
        <is>
          <t xml:space="preserve">  Refinancing issuance</t>
        </is>
      </c>
      <c r="C407" s="43" t="n"/>
      <c r="D407" s="43" t="n"/>
      <c r="E407" s="43" t="n"/>
      <c r="F407" s="43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  <c r="W407" s="43" t="n"/>
      <c r="X407" s="43" t="n"/>
      <c r="Y407" s="43" t="n"/>
      <c r="Z407" s="43" t="n"/>
      <c r="AA407" s="43" t="n"/>
      <c r="AB407" s="43" t="n"/>
      <c r="AC407" s="43" t="n"/>
      <c r="AD407" s="43" t="n"/>
      <c r="AE407" s="43" t="n"/>
      <c r="AF407" s="43" t="n"/>
      <c r="AG407" s="43" t="n"/>
      <c r="AH407" s="43" t="n"/>
      <c r="AI407" s="43" t="n"/>
      <c r="AJ407" s="43" t="n"/>
      <c r="AK407" s="43" t="n"/>
      <c r="AL407" s="43" t="n"/>
      <c r="AM407" s="43" t="n"/>
      <c r="AN407" s="43" t="n"/>
      <c r="AO407" s="43" t="n"/>
      <c r="AP407" s="43" t="n"/>
      <c r="AQ407" s="43" t="n"/>
      <c r="AR407" s="43" t="n"/>
      <c r="AS407" s="43" t="n"/>
      <c r="AT407" s="43" t="n"/>
      <c r="AU407" s="45" t="n"/>
      <c r="AV407" s="45" t="n"/>
      <c r="AW407" s="45" t="n"/>
      <c r="AX407" s="45">
        <f>-AX405*AX406</f>
        <v/>
      </c>
      <c r="AY407" s="45">
        <f>-AY405*AY406</f>
        <v/>
      </c>
      <c r="AZ407" s="45">
        <f>-AZ405*AZ406</f>
        <v/>
      </c>
      <c r="BA407" s="45">
        <f>-BA405*BA406</f>
        <v/>
      </c>
      <c r="BB407" s="26" t="n"/>
    </row>
    <row r="408">
      <c r="B408" s="27" t="inlineStr">
        <is>
          <t xml:space="preserve">  Senior, convertible &amp; exchangeable notes (carrying value, year end)</t>
        </is>
      </c>
      <c r="C408" s="43">
        <f>IF(ISNUMBER(C404),C404-N(C414),"")</f>
        <v/>
      </c>
      <c r="D408" s="43">
        <f>IF(ISNUMBER(D404),D404-N(D414),"")</f>
        <v/>
      </c>
      <c r="E408" s="43">
        <f>IF(ISNUMBER(E404),E404-N(E414),"")</f>
        <v/>
      </c>
      <c r="F408" s="43">
        <f>IF(ISNUMBER(F404),F404-N(F414),"")</f>
        <v/>
      </c>
      <c r="G408" s="43">
        <f>IF(ISNUMBER(G404),G404-N(G414),"")</f>
        <v/>
      </c>
      <c r="H408" s="43">
        <f>IF(ISNUMBER(H404),H404-N(H414),"")</f>
        <v/>
      </c>
      <c r="I408" s="43">
        <f>IF(ISNUMBER(I404),I404-N(I414),"")</f>
        <v/>
      </c>
      <c r="J408" s="43">
        <f>IF(ISNUMBER(J404),J404-N(J414),"")</f>
        <v/>
      </c>
      <c r="K408" s="43">
        <f>IF(ISNUMBER(K404),K404-N(K414),"")</f>
        <v/>
      </c>
      <c r="L408" s="43">
        <f>IF(ISNUMBER(L404),L404-N(L414),"")</f>
        <v/>
      </c>
      <c r="M408" s="43">
        <f>IF(ISNUMBER(M404),M404-N(M414),"")</f>
        <v/>
      </c>
      <c r="N408" s="43">
        <f>IF(ISNUMBER(N404),N404-N(N414),"")</f>
        <v/>
      </c>
      <c r="O408" s="43">
        <f>IF(ISNUMBER(O404),O404-N(O414),"")</f>
        <v/>
      </c>
      <c r="P408" s="43">
        <f>IF(ISNUMBER(P404),P404-N(P414),"")</f>
        <v/>
      </c>
      <c r="Q408" s="43">
        <f>IF(ISNUMBER(Q404),Q404-N(Q414),"")</f>
        <v/>
      </c>
      <c r="R408" s="43">
        <f>IF(ISNUMBER(R404),R404-N(R414),"")</f>
        <v/>
      </c>
      <c r="S408" s="43">
        <f>IF(ISNUMBER(S404),S404-N(S414),"")</f>
        <v/>
      </c>
      <c r="T408" s="43">
        <f>IF(ISNUMBER(T404),T404-N(T414),"")</f>
        <v/>
      </c>
      <c r="U408" s="43">
        <f>IF(ISNUMBER(U404),U404-N(U414),"")</f>
        <v/>
      </c>
      <c r="V408" s="43">
        <f>IF(ISNUMBER(V404),V404-N(V414),"")</f>
        <v/>
      </c>
      <c r="W408" s="43">
        <f>IF(ISNUMBER(W404),W404-N(W414),"")</f>
        <v/>
      </c>
      <c r="X408" s="43">
        <f>IF(ISNUMBER(X404),X404-N(X414),"")</f>
        <v/>
      </c>
      <c r="Y408" s="43">
        <f>IF(ISNUMBER(Y404),Y404-N(Y414),"")</f>
        <v/>
      </c>
      <c r="Z408" s="43">
        <f>IF(ISNUMBER(Z404),Z404-N(Z414),"")</f>
        <v/>
      </c>
      <c r="AA408" s="43">
        <f>IF(ISNUMBER(AA404),AA404-N(AA414),"")</f>
        <v/>
      </c>
      <c r="AB408" s="43">
        <f>IF(ISNUMBER(AB404),AB404-N(AB414),"")</f>
        <v/>
      </c>
      <c r="AC408" s="43">
        <f>IF(ISNUMBER(AC404),AC404-N(AC414),"")</f>
        <v/>
      </c>
      <c r="AD408" s="43">
        <f>IF(ISNUMBER(AD404),AD404-N(AD414),"")</f>
        <v/>
      </c>
      <c r="AE408" s="43">
        <f>IF(ISNUMBER(AE404),AE404-N(AE414),"")</f>
        <v/>
      </c>
      <c r="AF408" s="43">
        <f>IF(ISNUMBER(AF404),AF404-N(AF414),"")</f>
        <v/>
      </c>
      <c r="AG408" s="43">
        <f>IF(ISNUMBER(AG404),AG404-N(AG414),"")</f>
        <v/>
      </c>
      <c r="AH408" s="43">
        <f>IF(ISNUMBER(AH404),AH404-N(AH414),"")</f>
        <v/>
      </c>
      <c r="AI408" s="43">
        <f>IF(ISNUMBER(AI404),AI404-N(AI414),"")</f>
        <v/>
      </c>
      <c r="AJ408" s="43">
        <f>IF(ISNUMBER(AJ404),AJ404-N(AJ414),"")</f>
        <v/>
      </c>
      <c r="AK408" s="43">
        <f>IF(ISNUMBER(AK404),AK404-N(AK414),"")</f>
        <v/>
      </c>
      <c r="AL408" s="43">
        <f>IF(ISNUMBER(AL404),AL404-N(AL414),"")</f>
        <v/>
      </c>
      <c r="AM408" s="43">
        <f>IF(ISNUMBER(AM404),AM404-N(AM414),"")</f>
        <v/>
      </c>
      <c r="AN408" s="43">
        <f>IF(ISNUMBER(AN404),AN404-N(AN414),"")</f>
        <v/>
      </c>
      <c r="AO408" s="43">
        <f>IF(ISNUMBER(AO404),AO404-N(AO414),"")</f>
        <v/>
      </c>
      <c r="AP408" s="43">
        <f>IF(ISNUMBER(AP404),AP404-N(AP414),"")</f>
        <v/>
      </c>
      <c r="AQ408" s="43">
        <f>IF(ISNUMBER(AQ404),AQ404-N(AQ414),"")</f>
        <v/>
      </c>
      <c r="AR408" s="43">
        <f>IF(ISNUMBER(AR404),AR404-N(AR414),"")</f>
        <v/>
      </c>
      <c r="AS408" s="43">
        <f>IF(ISNUMBER(AS404),AS404-N(AS414),"")</f>
        <v/>
      </c>
      <c r="AT408" s="43">
        <f>IF(ISNUMBER(AT404),AT404-N(AT414),"")</f>
        <v/>
      </c>
      <c r="AU408" s="45" t="n"/>
      <c r="AV408" s="45" t="n"/>
      <c r="AW408" s="45">
        <f>AT408+AW409</f>
        <v/>
      </c>
      <c r="AX408" s="45">
        <f>AW408+AX405+AX407</f>
        <v/>
      </c>
      <c r="AY408" s="45">
        <f>AX408+AY405+AY407</f>
        <v/>
      </c>
      <c r="AZ408" s="45">
        <f>AY408+AZ405+AZ407</f>
        <v/>
      </c>
      <c r="BA408" s="45">
        <f>AZ408+BA405+BA407</f>
        <v/>
      </c>
      <c r="BB408" s="26" t="n"/>
    </row>
    <row r="409">
      <c r="B409" s="27" t="inlineStr">
        <is>
          <t xml:space="preserve">  New € senior notes issued 15-Sep-2026 (€4.5bn at the deal-implied USD/EUR)</t>
        </is>
      </c>
      <c r="C409" s="43" t="n"/>
      <c r="D409" s="43" t="n"/>
      <c r="E409" s="43" t="n"/>
      <c r="F409" s="43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3" t="n"/>
      <c r="AB409" s="43" t="n"/>
      <c r="AC409" s="43" t="n"/>
      <c r="AD409" s="43" t="n"/>
      <c r="AE409" s="43" t="n"/>
      <c r="AF409" s="43" t="n"/>
      <c r="AG409" s="43" t="n"/>
      <c r="AH409" s="43" t="n"/>
      <c r="AI409" s="43" t="n"/>
      <c r="AJ409" s="43" t="n"/>
      <c r="AK409" s="43" t="n"/>
      <c r="AL409" s="43" t="n"/>
      <c r="AM409" s="43" t="n"/>
      <c r="AN409" s="43" t="n"/>
      <c r="AO409" s="43" t="n"/>
      <c r="AP409" s="43" t="n"/>
      <c r="AQ409" s="43" t="n"/>
      <c r="AR409" s="43" t="n"/>
      <c r="AS409" s="43" t="n"/>
      <c r="AT409" s="43" t="n"/>
      <c r="AU409" s="45" t="n"/>
      <c r="AV409" s="45" t="n"/>
      <c r="AW409" s="45">
        <f>4500*$BL$17</f>
        <v/>
      </c>
      <c r="AX409" s="45" t="n"/>
      <c r="AY409" s="45" t="n"/>
      <c r="AZ409" s="45" t="n"/>
      <c r="BA409" s="45" t="n"/>
      <c r="BB409" s="26" t="n"/>
    </row>
    <row r="410">
      <c r="B410" s="27" t="inlineStr">
        <is>
          <t xml:space="preserve">  Blended coupon on Sep-2026 € notes %</t>
        </is>
      </c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39" t="n"/>
      <c r="AA410" s="39" t="n"/>
      <c r="AB410" s="39" t="n"/>
      <c r="AC410" s="39" t="n"/>
      <c r="AD410" s="39" t="n"/>
      <c r="AE410" s="39" t="n"/>
      <c r="AF410" s="39" t="n"/>
      <c r="AG410" s="39" t="n"/>
      <c r="AH410" s="39" t="n"/>
      <c r="AI410" s="39" t="n"/>
      <c r="AJ410" s="39" t="n"/>
      <c r="AK410" s="39" t="n"/>
      <c r="AL410" s="39" t="n"/>
      <c r="AM410" s="39" t="n"/>
      <c r="AN410" s="39" t="n"/>
      <c r="AO410" s="39" t="n"/>
      <c r="AP410" s="39" t="n"/>
      <c r="AQ410" s="39" t="n"/>
      <c r="AR410" s="39" t="n"/>
      <c r="AS410" s="39" t="n"/>
      <c r="AT410" s="39" t="n"/>
      <c r="AU410" s="25" t="n"/>
      <c r="AV410" s="25" t="n"/>
      <c r="AW410" s="25">
        <f>(750*3.75%+1000*4.125%+1000*4.375%+1000*4.75%+750*5.25%)/4500</f>
        <v/>
      </c>
      <c r="AX410" s="25" t="n"/>
      <c r="AY410" s="25" t="n"/>
      <c r="AZ410" s="25" t="n"/>
      <c r="BA410" s="25" t="n"/>
      <c r="BB410" s="26" t="n"/>
    </row>
    <row r="411">
      <c r="B411" s="38" t="inlineStr">
        <is>
          <t xml:space="preserve">  Memo: € term loan drawn at Delivery Hero closing (€4.0bn Term Loan Credit Agreement, Aug-2026)</t>
        </is>
      </c>
      <c r="C411" s="43" t="n"/>
      <c r="D411" s="43" t="n"/>
      <c r="E411" s="43" t="n"/>
      <c r="F411" s="43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  <c r="W411" s="43" t="n"/>
      <c r="X411" s="43" t="n"/>
      <c r="Y411" s="43" t="n"/>
      <c r="Z411" s="43" t="n"/>
      <c r="AA411" s="43" t="n"/>
      <c r="AB411" s="43" t="n"/>
      <c r="AC411" s="43" t="n"/>
      <c r="AD411" s="43" t="n"/>
      <c r="AE411" s="43" t="n"/>
      <c r="AF411" s="43" t="n"/>
      <c r="AG411" s="43" t="n"/>
      <c r="AH411" s="43" t="n"/>
      <c r="AI411" s="43" t="n"/>
      <c r="AJ411" s="43" t="n"/>
      <c r="AK411" s="43" t="n"/>
      <c r="AL411" s="43" t="n"/>
      <c r="AM411" s="43" t="n"/>
      <c r="AN411" s="43" t="n"/>
      <c r="AO411" s="43" t="n"/>
      <c r="AP411" s="43" t="n"/>
      <c r="AQ411" s="43" t="n"/>
      <c r="AR411" s="43" t="n"/>
      <c r="AS411" s="43" t="n"/>
      <c r="AT411" s="43" t="n"/>
      <c r="AU411" s="45" t="n"/>
      <c r="AV411" s="45" t="n"/>
      <c r="AW411" s="45" t="n"/>
      <c r="AX411" s="45">
        <f>4000*$BL$17*$BL$19</f>
        <v/>
      </c>
      <c r="AY411" s="45" t="n"/>
      <c r="AZ411" s="45" t="n"/>
      <c r="BA411" s="45" t="n"/>
      <c r="BB411" s="19" t="inlineStr">
        <is>
          <t>Tranche A 18 months / Tranche B 3 years after closing (EURIBOR + margin); sized within the prepayable facilities below. Bridge (€14.2bn, reduced to ~€5.7bn) undrawn.</t>
        </is>
      </c>
    </row>
    <row r="412">
      <c r="B412" s="27" t="inlineStr">
        <is>
          <t xml:space="preserve">  Cash before prepayable facilities (opening cash incl. restricted + CFO + CFI + non-facility financing)</t>
        </is>
      </c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  <c r="AA412" s="43" t="n"/>
      <c r="AB412" s="43" t="n"/>
      <c r="AC412" s="43" t="n"/>
      <c r="AD412" s="43" t="n"/>
      <c r="AE412" s="43" t="n"/>
      <c r="AF412" s="43" t="n"/>
      <c r="AG412" s="43" t="n"/>
      <c r="AH412" s="43" t="n"/>
      <c r="AI412" s="43" t="n"/>
      <c r="AJ412" s="43" t="n"/>
      <c r="AK412" s="43" t="n"/>
      <c r="AL412" s="43" t="n"/>
      <c r="AM412" s="43" t="n"/>
      <c r="AN412" s="43" t="n"/>
      <c r="AO412" s="43" t="n"/>
      <c r="AP412" s="43" t="n"/>
      <c r="AQ412" s="43" t="n"/>
      <c r="AR412" s="43" t="n"/>
      <c r="AS412" s="43" t="n"/>
      <c r="AT412" s="43" t="n"/>
      <c r="AU412" s="45" t="n"/>
      <c r="AV412" s="45" t="n"/>
      <c r="AW412" s="45">
        <f>AR289+AW271+AW278+AW281+AW282+AW283+AW285+(AS279+AT279)+(AS280+AT280)-AT414+AW409</f>
        <v/>
      </c>
      <c r="AX412" s="45">
        <f>AW289+AX271+AX278+AX281+AX282+AX283+AX285+AX405+AX407</f>
        <v/>
      </c>
      <c r="AY412" s="45">
        <f>AX289+AY271+AY278+AY281+AY282+AY283+AY285+AY405+AY407</f>
        <v/>
      </c>
      <c r="AZ412" s="45">
        <f>AY289+AZ271+AZ278+AZ281+AZ282+AZ283+AZ285+AZ405+AZ407</f>
        <v/>
      </c>
      <c r="BA412" s="45">
        <f>AZ289+BA271+BA278+BA281+BA282+BA283+BA285+BA405+BA407</f>
        <v/>
      </c>
      <c r="BB412" s="26" t="n"/>
    </row>
    <row r="413">
      <c r="B413" s="27" t="inlineStr">
        <is>
          <t xml:space="preserve">  Minimum cash balance (incl. ~$2.3bn restricted cash)</t>
        </is>
      </c>
      <c r="C413" s="43" t="n"/>
      <c r="D413" s="43" t="n"/>
      <c r="E413" s="43" t="n"/>
      <c r="F413" s="43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  <c r="W413" s="43" t="n"/>
      <c r="X413" s="43" t="n"/>
      <c r="Y413" s="43" t="n"/>
      <c r="Z413" s="43" t="n"/>
      <c r="AA413" s="43" t="n"/>
      <c r="AB413" s="43" t="n"/>
      <c r="AC413" s="43" t="n"/>
      <c r="AD413" s="43" t="n"/>
      <c r="AE413" s="43" t="n"/>
      <c r="AF413" s="43" t="n"/>
      <c r="AG413" s="43" t="n"/>
      <c r="AH413" s="43" t="n"/>
      <c r="AI413" s="43" t="n"/>
      <c r="AJ413" s="43" t="n"/>
      <c r="AK413" s="43" t="n"/>
      <c r="AL413" s="43" t="n"/>
      <c r="AM413" s="43" t="n"/>
      <c r="AN413" s="43" t="n"/>
      <c r="AO413" s="43" t="n"/>
      <c r="AP413" s="43" t="n"/>
      <c r="AQ413" s="43" t="n"/>
      <c r="AR413" s="43" t="n"/>
      <c r="AS413" s="43" t="n"/>
      <c r="AT413" s="43" t="n"/>
      <c r="AU413" s="45" t="n"/>
      <c r="AV413" s="45" t="n"/>
      <c r="AW413" s="47" t="n">
        <v>7500</v>
      </c>
      <c r="AX413" s="47" t="n">
        <v>7500</v>
      </c>
      <c r="AY413" s="47" t="n">
        <v>7500</v>
      </c>
      <c r="AZ413" s="47" t="n">
        <v>7500</v>
      </c>
      <c r="BA413" s="47" t="n">
        <v>7500</v>
      </c>
      <c r="BB413" s="26" t="n"/>
    </row>
    <row r="414">
      <c r="B414" s="27" t="inlineStr">
        <is>
          <t xml:space="preserve">  Prepayable facilities: 2026 term loan, DH € term loan &amp; assumed DH debt, revolver / CP (year end)</t>
        </is>
      </c>
      <c r="C414" s="43" t="n"/>
      <c r="D414" s="43" t="n"/>
      <c r="E414" s="43" t="n"/>
      <c r="F414" s="43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  <c r="W414" s="43" t="n"/>
      <c r="X414" s="43" t="n"/>
      <c r="Y414" s="43" t="n"/>
      <c r="Z414" s="43" t="n"/>
      <c r="AA414" s="43" t="n"/>
      <c r="AB414" s="43" t="n"/>
      <c r="AC414" s="43" t="n"/>
      <c r="AD414" s="43" t="n"/>
      <c r="AE414" s="43" t="n"/>
      <c r="AF414" s="43" t="n"/>
      <c r="AG414" s="43" t="n"/>
      <c r="AH414" s="43" t="n"/>
      <c r="AI414" s="43" t="n"/>
      <c r="AJ414" s="43" t="n"/>
      <c r="AK414" s="43" t="n"/>
      <c r="AL414" s="43" t="n"/>
      <c r="AM414" s="43" t="n"/>
      <c r="AN414" s="43" t="n"/>
      <c r="AO414" s="43" t="n"/>
      <c r="AP414" s="43" t="n"/>
      <c r="AQ414" s="43" t="n"/>
      <c r="AR414" s="44" t="n">
        <v>0</v>
      </c>
      <c r="AS414" s="44" t="n">
        <v>0</v>
      </c>
      <c r="AT414" s="44" t="n">
        <v>2000</v>
      </c>
      <c r="AU414" s="45" t="n"/>
      <c r="AV414" s="45" t="n"/>
      <c r="AW414" s="45">
        <f>MAX(0,AR414+AW413-AW412)</f>
        <v/>
      </c>
      <c r="AX414" s="45">
        <f>MAX(0,AW414+N(AX389)+AX413-AX412)</f>
        <v/>
      </c>
      <c r="AY414" s="45">
        <f>MAX(0,AX414+N(AY389)+AY413-AY412)</f>
        <v/>
      </c>
      <c r="AZ414" s="45">
        <f>MAX(0,AY414+N(AZ389)+AZ413-AZ412)</f>
        <v/>
      </c>
      <c r="BA414" s="45">
        <f>MAX(0,AZ414+N(BA389)+BA413-BA412)</f>
        <v/>
      </c>
      <c r="BB414" s="19" t="inlineStr">
        <is>
          <t>Drawn / repaid so that cash = minimum balance; surplus cash first repays term loans &amp; facilities (Dec-26 term loan, DH acquisition debt), then funds buybacks.</t>
        </is>
      </c>
    </row>
    <row r="415">
      <c r="B415" s="27" t="inlineStr">
        <is>
          <t xml:space="preserve">  Net issuance / (repayment) of debt</t>
        </is>
      </c>
      <c r="C415" s="43" t="n"/>
      <c r="D415" s="43">
        <f>IFERROR(D404-C404,"")</f>
        <v/>
      </c>
      <c r="E415" s="43" t="n"/>
      <c r="F415" s="43" t="n"/>
      <c r="G415" s="43" t="n"/>
      <c r="H415" s="43" t="n"/>
      <c r="I415" s="43">
        <f>IFERROR(I404-D404,"")</f>
        <v/>
      </c>
      <c r="J415" s="43">
        <f>IFERROR(J404-E404,"")</f>
        <v/>
      </c>
      <c r="K415" s="43">
        <f>IFERROR(K404-F404,"")</f>
        <v/>
      </c>
      <c r="L415" s="43">
        <f>IFERROR(L404-G404,"")</f>
        <v/>
      </c>
      <c r="M415" s="43">
        <f>IFERROR(M404-H404,"")</f>
        <v/>
      </c>
      <c r="N415" s="43">
        <f>IFERROR(N404-I404,"")</f>
        <v/>
      </c>
      <c r="O415" s="43">
        <f>IFERROR(O404-J404,"")</f>
        <v/>
      </c>
      <c r="P415" s="43">
        <f>IFERROR(P404-K404,"")</f>
        <v/>
      </c>
      <c r="Q415" s="43">
        <f>IFERROR(Q404-L404,"")</f>
        <v/>
      </c>
      <c r="R415" s="43">
        <f>IFERROR(R404-M404,"")</f>
        <v/>
      </c>
      <c r="S415" s="43">
        <f>IFERROR(S404-N404,"")</f>
        <v/>
      </c>
      <c r="T415" s="43">
        <f>IFERROR(T404-O404,"")</f>
        <v/>
      </c>
      <c r="U415" s="43">
        <f>IFERROR(U404-P404,"")</f>
        <v/>
      </c>
      <c r="V415" s="43">
        <f>IFERROR(V404-Q404,"")</f>
        <v/>
      </c>
      <c r="W415" s="43">
        <f>IFERROR(W404-R404,"")</f>
        <v/>
      </c>
      <c r="X415" s="43">
        <f>IFERROR(X404-S404,"")</f>
        <v/>
      </c>
      <c r="Y415" s="43">
        <f>IFERROR(Y404-T404,"")</f>
        <v/>
      </c>
      <c r="Z415" s="43">
        <f>IFERROR(Z404-U404,"")</f>
        <v/>
      </c>
      <c r="AA415" s="43">
        <f>IFERROR(AA404-V404,"")</f>
        <v/>
      </c>
      <c r="AB415" s="43">
        <f>IFERROR(AB404-W404,"")</f>
        <v/>
      </c>
      <c r="AC415" s="43">
        <f>IFERROR(AC404-X404,"")</f>
        <v/>
      </c>
      <c r="AD415" s="43">
        <f>IFERROR(AD404-Y404,"")</f>
        <v/>
      </c>
      <c r="AE415" s="43">
        <f>IFERROR(AE404-Z404,"")</f>
        <v/>
      </c>
      <c r="AF415" s="43">
        <f>IFERROR(AF404-AA404,"")</f>
        <v/>
      </c>
      <c r="AG415" s="43">
        <f>IFERROR(AG404-AB404,"")</f>
        <v/>
      </c>
      <c r="AH415" s="43">
        <f>IFERROR(AH404-AC404,"")</f>
        <v/>
      </c>
      <c r="AI415" s="43">
        <f>IFERROR(AI404-AD404,"")</f>
        <v/>
      </c>
      <c r="AJ415" s="43">
        <f>IFERROR(AJ404-AE404,"")</f>
        <v/>
      </c>
      <c r="AK415" s="43">
        <f>IFERROR(AK404-AF404,"")</f>
        <v/>
      </c>
      <c r="AL415" s="43">
        <f>IFERROR(AL404-AG404,"")</f>
        <v/>
      </c>
      <c r="AM415" s="43">
        <f>IFERROR(AM404-AH404,"")</f>
        <v/>
      </c>
      <c r="AN415" s="43">
        <f>IFERROR(AN404-AI404,"")</f>
        <v/>
      </c>
      <c r="AO415" s="43">
        <f>IFERROR(AO404-AJ404,"")</f>
        <v/>
      </c>
      <c r="AP415" s="43">
        <f>IFERROR(AP404-AK404,"")</f>
        <v/>
      </c>
      <c r="AQ415" s="43">
        <f>IFERROR(AQ404-AL404,"")</f>
        <v/>
      </c>
      <c r="AR415" s="43">
        <f>IFERROR(AR404-AM404,"")</f>
        <v/>
      </c>
      <c r="AS415" s="43">
        <f>IFERROR(AS404-AN404,"")</f>
        <v/>
      </c>
      <c r="AT415" s="43">
        <f>IFERROR(AT404-AO404,"")</f>
        <v/>
      </c>
      <c r="AU415" s="45" t="n"/>
      <c r="AV415" s="45" t="n"/>
      <c r="AW415" s="45">
        <f>IFERROR(AW404-AR404,"")</f>
        <v/>
      </c>
      <c r="AX415" s="45">
        <f>IFERROR(AX404-AW404,"")</f>
        <v/>
      </c>
      <c r="AY415" s="45">
        <f>IFERROR(AY404-AX404,"")</f>
        <v/>
      </c>
      <c r="AZ415" s="45">
        <f>IFERROR(AZ404-AY404,"")</f>
        <v/>
      </c>
      <c r="BA415" s="45">
        <f>IFERROR(BA404-AZ404,"")</f>
        <v/>
      </c>
      <c r="BB415" s="26" t="n"/>
    </row>
    <row r="416">
      <c r="B416" s="27" t="inlineStr">
        <is>
          <t xml:space="preserve">  Interest rate on notes (opening balance) %</t>
        </is>
      </c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39" t="n"/>
      <c r="AA416" s="39" t="n"/>
      <c r="AB416" s="39" t="n"/>
      <c r="AC416" s="39" t="n"/>
      <c r="AD416" s="39" t="n"/>
      <c r="AE416" s="39" t="n"/>
      <c r="AF416" s="39" t="n"/>
      <c r="AG416" s="39" t="n"/>
      <c r="AH416" s="39" t="n"/>
      <c r="AI416" s="39" t="n"/>
      <c r="AJ416" s="39" t="n"/>
      <c r="AK416" s="39" t="n"/>
      <c r="AL416" s="39" t="n"/>
      <c r="AM416" s="39" t="n"/>
      <c r="AN416" s="39" t="n"/>
      <c r="AO416" s="39" t="n"/>
      <c r="AP416" s="39" t="n"/>
      <c r="AQ416" s="39" t="n"/>
      <c r="AR416" s="39" t="n"/>
      <c r="AS416" s="39" t="n"/>
      <c r="AT416" s="39" t="n"/>
      <c r="AU416" s="25" t="n"/>
      <c r="AV416" s="25" t="n"/>
      <c r="AW416" s="25" t="n"/>
      <c r="AX416" s="32" t="n">
        <v>0.04</v>
      </c>
      <c r="AY416" s="32" t="n">
        <v>0.041</v>
      </c>
      <c r="AZ416" s="32" t="n">
        <v>0.043</v>
      </c>
      <c r="BA416" s="32" t="n">
        <v>0.045</v>
      </c>
      <c r="BB416" s="19" t="inlineStr">
        <is>
          <t>2027E: $ notes 4.15–5.35%, € notes 4.44%, converts 0.875%, exchangeables 0% ≈ 4.0% blended incl. fees; drifts up as converts refinance at ~5%.</t>
        </is>
      </c>
    </row>
    <row r="417">
      <c r="B417" s="27" t="inlineStr">
        <is>
          <t xml:space="preserve">  Interest rate on prepayable facilities %</t>
        </is>
      </c>
      <c r="C417" s="39" t="n"/>
      <c r="D417" s="39" t="n"/>
      <c r="E417" s="39" t="n"/>
      <c r="F417" s="39" t="n"/>
      <c r="G417" s="39" t="n"/>
      <c r="H417" s="39" t="n"/>
      <c r="I417" s="39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39" t="n"/>
      <c r="AA417" s="39" t="n"/>
      <c r="AB417" s="39" t="n"/>
      <c r="AC417" s="39" t="n"/>
      <c r="AD417" s="39" t="n"/>
      <c r="AE417" s="39" t="n"/>
      <c r="AF417" s="39" t="n"/>
      <c r="AG417" s="39" t="n"/>
      <c r="AH417" s="39" t="n"/>
      <c r="AI417" s="39" t="n"/>
      <c r="AJ417" s="39" t="n"/>
      <c r="AK417" s="39" t="n"/>
      <c r="AL417" s="39" t="n"/>
      <c r="AM417" s="39" t="n"/>
      <c r="AN417" s="39" t="n"/>
      <c r="AO417" s="39" t="n"/>
      <c r="AP417" s="39" t="n"/>
      <c r="AQ417" s="39" t="n"/>
      <c r="AR417" s="39" t="n"/>
      <c r="AS417" s="39" t="n"/>
      <c r="AT417" s="39" t="n"/>
      <c r="AU417" s="25" t="n"/>
      <c r="AV417" s="25" t="n"/>
      <c r="AW417" s="25" t="n"/>
      <c r="AX417" s="32" t="n">
        <v>0.045</v>
      </c>
      <c r="AY417" s="32" t="n">
        <v>0.045</v>
      </c>
      <c r="AZ417" s="32" t="n">
        <v>0.045</v>
      </c>
      <c r="BA417" s="32" t="n">
        <v>0.045</v>
      </c>
      <c r="BB417" s="26" t="n"/>
    </row>
    <row r="418">
      <c r="B418" s="27" t="inlineStr">
        <is>
          <t xml:space="preserve">  Interest income yield on opening cash, investments &amp; insurance float %</t>
        </is>
      </c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39" t="n"/>
      <c r="AA418" s="39" t="n"/>
      <c r="AB418" s="39" t="n"/>
      <c r="AC418" s="39" t="n"/>
      <c r="AD418" s="39" t="n"/>
      <c r="AE418" s="39" t="n"/>
      <c r="AF418" s="39" t="n"/>
      <c r="AG418" s="39" t="n"/>
      <c r="AH418" s="39" t="n"/>
      <c r="AI418" s="39" t="n"/>
      <c r="AJ418" s="39" t="n"/>
      <c r="AK418" s="39" t="n"/>
      <c r="AL418" s="39" t="n"/>
      <c r="AM418" s="39" t="n"/>
      <c r="AN418" s="39" t="n"/>
      <c r="AO418" s="39" t="n"/>
      <c r="AP418" s="39" t="n"/>
      <c r="AQ418" s="39" t="n"/>
      <c r="AR418" s="39" t="n"/>
      <c r="AS418" s="39" t="n"/>
      <c r="AT418" s="39" t="n"/>
      <c r="AU418" s="25" t="n"/>
      <c r="AV418" s="25" t="n"/>
      <c r="AW418" s="25" t="n"/>
      <c r="AX418" s="32" t="n">
        <v>0.0375</v>
      </c>
      <c r="AY418" s="32" t="n">
        <v>0.0375</v>
      </c>
      <c r="AZ418" s="32" t="n">
        <v>0.0375</v>
      </c>
      <c r="BA418" s="32" t="n">
        <v>0.0375</v>
      </c>
      <c r="BB418" s="19" t="inlineStr">
        <is>
          <t>Q2/26 annualised interest income $688m ÷ $17.2bn cash, short-term &amp; restricted investments ≈ 4.0%.</t>
        </is>
      </c>
    </row>
    <row r="419">
      <c r="B419" s="14" t="inlineStr">
        <is>
          <t>Leverage-targeted buybacks (repurchases = MAX(plug to a minimum net debt / Adj. EBITDA, minimum % of FCF))</t>
        </is>
      </c>
      <c r="C419" s="14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  <c r="AA419" s="14" t="n"/>
      <c r="AB419" s="14" t="n"/>
      <c r="AC419" s="14" t="n"/>
      <c r="AD419" s="14" t="n"/>
      <c r="AE419" s="14" t="n"/>
      <c r="AF419" s="14" t="n"/>
      <c r="AG419" s="14" t="n"/>
      <c r="AH419" s="14" t="n"/>
      <c r="AI419" s="14" t="n"/>
      <c r="AJ419" s="14" t="n"/>
      <c r="AK419" s="14" t="n"/>
      <c r="AL419" s="14" t="n"/>
      <c r="AM419" s="14" t="n"/>
      <c r="AN419" s="14" t="n"/>
      <c r="AO419" s="14" t="n"/>
      <c r="AP419" s="14" t="n"/>
      <c r="AQ419" s="14" t="n"/>
      <c r="AR419" s="14" t="n"/>
      <c r="AS419" s="14" t="n"/>
      <c r="AT419" s="14" t="n"/>
      <c r="AU419" s="14" t="n"/>
      <c r="AV419" s="14" t="n"/>
      <c r="AW419" s="14" t="n"/>
      <c r="AX419" s="14" t="n"/>
      <c r="AY419" s="14" t="n"/>
      <c r="AZ419" s="14" t="n"/>
      <c r="BA419" s="14" t="n"/>
    </row>
    <row r="420">
      <c r="B420" s="27" t="inlineStr">
        <is>
          <t xml:space="preserve">  Minimum net debt / Adjusted EBITDA (x) (scenario)</t>
        </is>
      </c>
      <c r="C420" s="155" t="n"/>
      <c r="D420" s="155" t="n"/>
      <c r="E420" s="155" t="n"/>
      <c r="F420" s="155" t="n"/>
      <c r="G420" s="155" t="n"/>
      <c r="H420" s="155" t="n"/>
      <c r="I420" s="155" t="n"/>
      <c r="J420" s="155" t="n"/>
      <c r="K420" s="155" t="n"/>
      <c r="L420" s="155" t="n"/>
      <c r="M420" s="155" t="n"/>
      <c r="N420" s="155" t="n"/>
      <c r="O420" s="155" t="n"/>
      <c r="P420" s="155" t="n"/>
      <c r="Q420" s="155" t="n"/>
      <c r="R420" s="155" t="n"/>
      <c r="S420" s="155" t="n"/>
      <c r="T420" s="155" t="n"/>
      <c r="U420" s="155" t="n"/>
      <c r="V420" s="155" t="n"/>
      <c r="W420" s="155" t="n"/>
      <c r="X420" s="155" t="n"/>
      <c r="Y420" s="155" t="n"/>
      <c r="Z420" s="155" t="n"/>
      <c r="AA420" s="155" t="n"/>
      <c r="AB420" s="155" t="n"/>
      <c r="AC420" s="155" t="n"/>
      <c r="AD420" s="155" t="n"/>
      <c r="AE420" s="155" t="n"/>
      <c r="AF420" s="155" t="n"/>
      <c r="AG420" s="155" t="n"/>
      <c r="AH420" s="155" t="n"/>
      <c r="AI420" s="155" t="n"/>
      <c r="AJ420" s="155" t="n"/>
      <c r="AK420" s="155" t="n"/>
      <c r="AL420" s="155" t="n"/>
      <c r="AM420" s="155" t="n"/>
      <c r="AN420" s="155" t="n"/>
      <c r="AO420" s="155" t="n"/>
      <c r="AP420" s="155" t="n"/>
      <c r="AQ420" s="155" t="n"/>
      <c r="AR420" s="155" t="n"/>
      <c r="AS420" s="155" t="n"/>
      <c r="AT420" s="155" t="n"/>
      <c r="AU420" s="156" t="n"/>
      <c r="AV420" s="156" t="n"/>
      <c r="AW420" s="156" t="n"/>
      <c r="AX420" s="156">
        <f>CHOOSE(MATCH($BB$2,{"Bull","Base","Bear"},0),$BK$22,$BL$22,$BM$22)</f>
        <v/>
      </c>
      <c r="AY420" s="156">
        <f>CHOOSE(MATCH($BB$2,{"Bull","Base","Bear"},0),$BK$22,$BL$22,$BM$22)</f>
        <v/>
      </c>
      <c r="AZ420" s="156">
        <f>CHOOSE(MATCH($BB$2,{"Bull","Base","Bear"},0),$BK$22,$BL$22,$BM$22)</f>
        <v/>
      </c>
      <c r="BA420" s="156">
        <f>CHOOSE(MATCH($BB$2,{"Bull","Base","Bear"},0),$BK$22,$BL$22,$BM$22)</f>
        <v/>
      </c>
      <c r="BB420" s="19" t="inlineStr">
        <is>
          <t>Uber: gross leverage &lt; 2x post Delivery Hero; investment-grade commitment; "return excess capital" framework unchanged.</t>
        </is>
      </c>
    </row>
    <row r="421">
      <c r="B421" s="27" t="inlineStr">
        <is>
          <t xml:space="preserve">  Net debt before buybacks (year end; debt − cash − short-term investments)</t>
        </is>
      </c>
      <c r="C421" s="43" t="n"/>
      <c r="D421" s="43" t="n"/>
      <c r="E421" s="43" t="n"/>
      <c r="F421" s="43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  <c r="W421" s="43" t="n"/>
      <c r="X421" s="43" t="n"/>
      <c r="Y421" s="43" t="n"/>
      <c r="Z421" s="43" t="n"/>
      <c r="AA421" s="43" t="n"/>
      <c r="AB421" s="43" t="n"/>
      <c r="AC421" s="43" t="n"/>
      <c r="AD421" s="43" t="n"/>
      <c r="AE421" s="43" t="n"/>
      <c r="AF421" s="43" t="n"/>
      <c r="AG421" s="43" t="n"/>
      <c r="AH421" s="43" t="n"/>
      <c r="AI421" s="43" t="n"/>
      <c r="AJ421" s="43" t="n"/>
      <c r="AK421" s="43" t="n"/>
      <c r="AL421" s="43" t="n"/>
      <c r="AM421" s="43" t="n"/>
      <c r="AN421" s="43" t="n"/>
      <c r="AO421" s="43" t="n"/>
      <c r="AP421" s="43" t="n"/>
      <c r="AQ421" s="43" t="n"/>
      <c r="AR421" s="43" t="n"/>
      <c r="AS421" s="43" t="n"/>
      <c r="AT421" s="43" t="n"/>
      <c r="AU421" s="45" t="n"/>
      <c r="AV421" s="45" t="n"/>
      <c r="AW421" s="45" t="n"/>
      <c r="AX421" s="45">
        <f>AW404+N(AX389)-(AW317+AW318)-AX271-AX278-AX282-AX283-AX285</f>
        <v/>
      </c>
      <c r="AY421" s="45">
        <f>AX404+N(AY389)-(AX317+AX318)-AY271-AY278-AY282-AY283-AY285</f>
        <v/>
      </c>
      <c r="AZ421" s="45">
        <f>AY404+N(AZ389)-(AY317+AY318)-AZ271-AZ278-AZ282-AZ283-AZ285</f>
        <v/>
      </c>
      <c r="BA421" s="45">
        <f>AZ404+N(BA389)-(AZ317+AZ318)-BA271-BA278-BA282-BA283-BA285</f>
        <v/>
      </c>
      <c r="BB421" s="26" t="n"/>
    </row>
    <row r="422">
      <c r="B422" s="27" t="inlineStr">
        <is>
          <t xml:space="preserve">  Target minimum net debt = min. leverage × Adj. EBITDA (pro forma)</t>
        </is>
      </c>
      <c r="C422" s="43" t="n"/>
      <c r="D422" s="43" t="n"/>
      <c r="E422" s="43" t="n"/>
      <c r="F422" s="43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  <c r="W422" s="43" t="n"/>
      <c r="X422" s="43" t="n"/>
      <c r="Y422" s="43" t="n"/>
      <c r="Z422" s="43" t="n"/>
      <c r="AA422" s="43" t="n"/>
      <c r="AB422" s="43" t="n"/>
      <c r="AC422" s="43" t="n"/>
      <c r="AD422" s="43" t="n"/>
      <c r="AE422" s="43" t="n"/>
      <c r="AF422" s="43" t="n"/>
      <c r="AG422" s="43" t="n"/>
      <c r="AH422" s="43" t="n"/>
      <c r="AI422" s="43" t="n"/>
      <c r="AJ422" s="43" t="n"/>
      <c r="AK422" s="43" t="n"/>
      <c r="AL422" s="43" t="n"/>
      <c r="AM422" s="43" t="n"/>
      <c r="AN422" s="43" t="n"/>
      <c r="AO422" s="43" t="n"/>
      <c r="AP422" s="43" t="n"/>
      <c r="AQ422" s="43" t="n"/>
      <c r="AR422" s="43" t="n"/>
      <c r="AS422" s="43" t="n"/>
      <c r="AT422" s="43" t="n"/>
      <c r="AU422" s="45" t="n"/>
      <c r="AV422" s="45" t="n"/>
      <c r="AW422" s="45" t="n"/>
      <c r="AX422" s="45">
        <f>AX420*AX216</f>
        <v/>
      </c>
      <c r="AY422" s="45">
        <f>AY420*AY216</f>
        <v/>
      </c>
      <c r="AZ422" s="45">
        <f>AZ420*AZ216</f>
        <v/>
      </c>
      <c r="BA422" s="45">
        <f>BA420*BA216</f>
        <v/>
      </c>
      <c r="BB422" s="26" t="n"/>
    </row>
    <row r="423">
      <c r="B423" s="27" t="inlineStr">
        <is>
          <t xml:space="preserve">  Share repurchases: plug to minimum leverage</t>
        </is>
      </c>
      <c r="C423" s="43" t="n"/>
      <c r="D423" s="43" t="n"/>
      <c r="E423" s="43" t="n"/>
      <c r="F423" s="43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  <c r="W423" s="43" t="n"/>
      <c r="X423" s="43" t="n"/>
      <c r="Y423" s="43" t="n"/>
      <c r="Z423" s="43" t="n"/>
      <c r="AA423" s="43" t="n"/>
      <c r="AB423" s="43" t="n"/>
      <c r="AC423" s="43" t="n"/>
      <c r="AD423" s="43" t="n"/>
      <c r="AE423" s="43" t="n"/>
      <c r="AF423" s="43" t="n"/>
      <c r="AG423" s="43" t="n"/>
      <c r="AH423" s="43" t="n"/>
      <c r="AI423" s="43" t="n"/>
      <c r="AJ423" s="43" t="n"/>
      <c r="AK423" s="43" t="n"/>
      <c r="AL423" s="43" t="n"/>
      <c r="AM423" s="43" t="n"/>
      <c r="AN423" s="43" t="n"/>
      <c r="AO423" s="43" t="n"/>
      <c r="AP423" s="43" t="n"/>
      <c r="AQ423" s="43" t="n"/>
      <c r="AR423" s="43" t="n"/>
      <c r="AS423" s="43" t="n"/>
      <c r="AT423" s="43" t="n"/>
      <c r="AU423" s="45" t="n"/>
      <c r="AV423" s="45" t="n"/>
      <c r="AW423" s="45" t="n"/>
      <c r="AX423" s="45">
        <f>MAX(0,AX422-AX421)</f>
        <v/>
      </c>
      <c r="AY423" s="45">
        <f>MAX(0,AY422-AY421)</f>
        <v/>
      </c>
      <c r="AZ423" s="45">
        <f>MAX(0,AZ422-AZ421)</f>
        <v/>
      </c>
      <c r="BA423" s="45">
        <f>MAX(0,BA422-BA421)</f>
        <v/>
      </c>
      <c r="BB423" s="26" t="n"/>
    </row>
    <row r="424">
      <c r="B424" s="27" t="inlineStr">
        <is>
          <t xml:space="preserve">  Minimum share repurchases: % of free cash flow (scenario)</t>
        </is>
      </c>
      <c r="C424" s="43" t="n"/>
      <c r="D424" s="43" t="n"/>
      <c r="E424" s="43" t="n"/>
      <c r="F424" s="43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  <c r="W424" s="43" t="n"/>
      <c r="X424" s="43" t="n"/>
      <c r="Y424" s="43" t="n"/>
      <c r="Z424" s="43" t="n"/>
      <c r="AA424" s="43" t="n"/>
      <c r="AB424" s="43" t="n"/>
      <c r="AC424" s="43" t="n"/>
      <c r="AD424" s="43" t="n"/>
      <c r="AE424" s="43" t="n"/>
      <c r="AF424" s="43" t="n"/>
      <c r="AG424" s="43" t="n"/>
      <c r="AH424" s="43" t="n"/>
      <c r="AI424" s="43" t="n"/>
      <c r="AJ424" s="43" t="n"/>
      <c r="AK424" s="43" t="n"/>
      <c r="AL424" s="43" t="n"/>
      <c r="AM424" s="43" t="n"/>
      <c r="AN424" s="43" t="n"/>
      <c r="AO424" s="43" t="n"/>
      <c r="AP424" s="43" t="n"/>
      <c r="AQ424" s="43" t="n"/>
      <c r="AR424" s="43" t="n"/>
      <c r="AS424" s="43" t="n"/>
      <c r="AT424" s="43" t="n"/>
      <c r="AU424" s="45" t="n"/>
      <c r="AV424" s="45" t="n"/>
      <c r="AW424" s="45" t="n"/>
      <c r="AX424" s="45">
        <f>CHOOSE(MATCH($BB$2,{"Bull","Base","Bear"},0),$BK$23,$BL$23,$BM$23)*AX293</f>
        <v/>
      </c>
      <c r="AY424" s="45">
        <f>CHOOSE(MATCH($BB$2,{"Bull","Base","Bear"},0),$BK$23,$BL$23,$BM$23)*AY293</f>
        <v/>
      </c>
      <c r="AZ424" s="45">
        <f>CHOOSE(MATCH($BB$2,{"Bull","Base","Bear"},0),$BK$23,$BL$23,$BM$23)*AZ293</f>
        <v/>
      </c>
      <c r="BA424" s="45">
        <f>CHOOSE(MATCH($BB$2,{"Bull","Base","Bear"},0),$BK$23,$BL$23,$BM$23)*BA293</f>
        <v/>
      </c>
      <c r="BB424" s="26" t="n"/>
    </row>
    <row r="425">
      <c r="B425" s="16" t="inlineStr">
        <is>
          <t xml:space="preserve">  Share repurchases (USDm)</t>
        </is>
      </c>
      <c r="C425" s="36" t="n"/>
      <c r="D425" s="3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18" t="n"/>
      <c r="AV425" s="18" t="n"/>
      <c r="AW425" s="18" t="n"/>
      <c r="AX425" s="18">
        <f>MAX(AX423,AX424)</f>
        <v/>
      </c>
      <c r="AY425" s="18">
        <f>MAX(AY423,AY424)</f>
        <v/>
      </c>
      <c r="AZ425" s="18">
        <f>MAX(AZ423,AZ424)</f>
        <v/>
      </c>
      <c r="BA425" s="18">
        <f>MAX(BA423,BA424)</f>
        <v/>
      </c>
      <c r="BB425" s="26" t="n"/>
    </row>
    <row r="426">
      <c r="B426" s="14" t="inlineStr">
        <is>
          <t>Historical reference (driver context)</t>
        </is>
      </c>
      <c r="C426" s="14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  <c r="AA426" s="14" t="n"/>
      <c r="AB426" s="14" t="n"/>
      <c r="AC426" s="14" t="n"/>
      <c r="AD426" s="14" t="n"/>
      <c r="AE426" s="14" t="n"/>
      <c r="AF426" s="14" t="n"/>
      <c r="AG426" s="14" t="n"/>
      <c r="AH426" s="14" t="n"/>
      <c r="AI426" s="14" t="n"/>
      <c r="AJ426" s="14" t="n"/>
      <c r="AK426" s="14" t="n"/>
      <c r="AL426" s="14" t="n"/>
      <c r="AM426" s="14" t="n"/>
      <c r="AN426" s="14" t="n"/>
      <c r="AO426" s="14" t="n"/>
      <c r="AP426" s="14" t="n"/>
      <c r="AQ426" s="14" t="n"/>
      <c r="AR426" s="14" t="n"/>
      <c r="AS426" s="14" t="n"/>
      <c r="AT426" s="14" t="n"/>
      <c r="AU426" s="14" t="n"/>
      <c r="AV426" s="14" t="n"/>
      <c r="AW426" s="14" t="n"/>
      <c r="AX426" s="14" t="n"/>
      <c r="AY426" s="14" t="n"/>
      <c r="AZ426" s="14" t="n"/>
      <c r="BA426" s="14" t="n"/>
    </row>
    <row r="427">
      <c r="B427" s="27" t="inlineStr">
        <is>
          <t xml:space="preserve">  Total D&amp;A % of revenue</t>
        </is>
      </c>
      <c r="C427" s="39">
        <f>IF(AND(ISNUMBER(C155),ISNUMBER(C148)),IFERROR(C155/C148,""),"")</f>
        <v/>
      </c>
      <c r="D427" s="39">
        <f>IF(AND(ISNUMBER(D155),ISNUMBER(D148)),IFERROR(D155/D148,""),"")</f>
        <v/>
      </c>
      <c r="E427" s="39">
        <f>IF(AND(ISNUMBER(E155),ISNUMBER(E148)),IFERROR(E155/E148,""),"")</f>
        <v/>
      </c>
      <c r="F427" s="39">
        <f>IF(AND(ISNUMBER(F155),ISNUMBER(F148)),IFERROR(F155/F148,""),"")</f>
        <v/>
      </c>
      <c r="G427" s="39">
        <f>IF(AND(ISNUMBER(G155),ISNUMBER(G148)),IFERROR(G155/G148,""),"")</f>
        <v/>
      </c>
      <c r="H427" s="39">
        <f>IF(AND(ISNUMBER(H155),ISNUMBER(H148)),IFERROR(H155/H148,""),"")</f>
        <v/>
      </c>
      <c r="I427" s="39">
        <f>IF(AND(ISNUMBER(I155),ISNUMBER(I148)),IFERROR(I155/I148,""),"")</f>
        <v/>
      </c>
      <c r="J427" s="39">
        <f>IF(AND(ISNUMBER(J155),ISNUMBER(J148)),IFERROR(J155/J148,""),"")</f>
        <v/>
      </c>
      <c r="K427" s="39">
        <f>IF(AND(ISNUMBER(K155),ISNUMBER(K148)),IFERROR(K155/K148,""),"")</f>
        <v/>
      </c>
      <c r="L427" s="39">
        <f>IF(AND(ISNUMBER(L155),ISNUMBER(L148)),IFERROR(L155/L148,""),"")</f>
        <v/>
      </c>
      <c r="M427" s="39">
        <f>IF(AND(ISNUMBER(M155),ISNUMBER(M148)),IFERROR(M155/M148,""),"")</f>
        <v/>
      </c>
      <c r="N427" s="39">
        <f>IF(AND(ISNUMBER(N155),ISNUMBER(N148)),IFERROR(N155/N148,""),"")</f>
        <v/>
      </c>
      <c r="O427" s="39">
        <f>IF(AND(ISNUMBER(O155),ISNUMBER(O148)),IFERROR(O155/O148,""),"")</f>
        <v/>
      </c>
      <c r="P427" s="39">
        <f>IF(AND(ISNUMBER(P155),ISNUMBER(P148)),IFERROR(P155/P148,""),"")</f>
        <v/>
      </c>
      <c r="Q427" s="39">
        <f>IF(AND(ISNUMBER(Q155),ISNUMBER(Q148)),IFERROR(Q155/Q148,""),"")</f>
        <v/>
      </c>
      <c r="R427" s="39">
        <f>IF(AND(ISNUMBER(R155),ISNUMBER(R148)),IFERROR(R155/R148,""),"")</f>
        <v/>
      </c>
      <c r="S427" s="39">
        <f>IF(AND(ISNUMBER(S155),ISNUMBER(S148)),IFERROR(S155/S148,""),"")</f>
        <v/>
      </c>
      <c r="T427" s="39">
        <f>IF(AND(ISNUMBER(T155),ISNUMBER(T148)),IFERROR(T155/T148,""),"")</f>
        <v/>
      </c>
      <c r="U427" s="39">
        <f>IF(AND(ISNUMBER(U155),ISNUMBER(U148)),IFERROR(U155/U148,""),"")</f>
        <v/>
      </c>
      <c r="V427" s="39">
        <f>IF(AND(ISNUMBER(V155),ISNUMBER(V148)),IFERROR(V155/V148,""),"")</f>
        <v/>
      </c>
      <c r="W427" s="39">
        <f>IF(AND(ISNUMBER(W155),ISNUMBER(W148)),IFERROR(W155/W148,""),"")</f>
        <v/>
      </c>
      <c r="X427" s="39">
        <f>IF(AND(ISNUMBER(X155),ISNUMBER(X148)),IFERROR(X155/X148,""),"")</f>
        <v/>
      </c>
      <c r="Y427" s="39">
        <f>IF(AND(ISNUMBER(Y155),ISNUMBER(Y148)),IFERROR(Y155/Y148,""),"")</f>
        <v/>
      </c>
      <c r="Z427" s="39">
        <f>IF(AND(ISNUMBER(Z155),ISNUMBER(Z148)),IFERROR(Z155/Z148,""),"")</f>
        <v/>
      </c>
      <c r="AA427" s="39">
        <f>IF(AND(ISNUMBER(AA155),ISNUMBER(AA148)),IFERROR(AA155/AA148,""),"")</f>
        <v/>
      </c>
      <c r="AB427" s="39">
        <f>IF(AND(ISNUMBER(AB155),ISNUMBER(AB148)),IFERROR(AB155/AB148,""),"")</f>
        <v/>
      </c>
      <c r="AC427" s="39">
        <f>IF(AND(ISNUMBER(AC155),ISNUMBER(AC148)),IFERROR(AC155/AC148,""),"")</f>
        <v/>
      </c>
      <c r="AD427" s="39">
        <f>IF(AND(ISNUMBER(AD155),ISNUMBER(AD148)),IFERROR(AD155/AD148,""),"")</f>
        <v/>
      </c>
      <c r="AE427" s="39">
        <f>IF(AND(ISNUMBER(AE155),ISNUMBER(AE148)),IFERROR(AE155/AE148,""),"")</f>
        <v/>
      </c>
      <c r="AF427" s="39">
        <f>IF(AND(ISNUMBER(AF155),ISNUMBER(AF148)),IFERROR(AF155/AF148,""),"")</f>
        <v/>
      </c>
      <c r="AG427" s="39">
        <f>IF(AND(ISNUMBER(AG155),ISNUMBER(AG148)),IFERROR(AG155/AG148,""),"")</f>
        <v/>
      </c>
      <c r="AH427" s="39">
        <f>IF(AND(ISNUMBER(AH155),ISNUMBER(AH148)),IFERROR(AH155/AH148,""),"")</f>
        <v/>
      </c>
      <c r="AI427" s="39">
        <f>IF(AND(ISNUMBER(AI155),ISNUMBER(AI148)),IFERROR(AI155/AI148,""),"")</f>
        <v/>
      </c>
      <c r="AJ427" s="39">
        <f>IF(AND(ISNUMBER(AJ155),ISNUMBER(AJ148)),IFERROR(AJ155/AJ148,""),"")</f>
        <v/>
      </c>
      <c r="AK427" s="39">
        <f>IF(AND(ISNUMBER(AK155),ISNUMBER(AK148)),IFERROR(AK155/AK148,""),"")</f>
        <v/>
      </c>
      <c r="AL427" s="39">
        <f>IF(AND(ISNUMBER(AL155),ISNUMBER(AL148)),IFERROR(AL155/AL148,""),"")</f>
        <v/>
      </c>
      <c r="AM427" s="39">
        <f>IF(AND(ISNUMBER(AM155),ISNUMBER(AM148)),IFERROR(AM155/AM148,""),"")</f>
        <v/>
      </c>
      <c r="AN427" s="39">
        <f>IF(AND(ISNUMBER(AN155),ISNUMBER(AN148)),IFERROR(AN155/AN148,""),"")</f>
        <v/>
      </c>
      <c r="AO427" s="39">
        <f>IF(AND(ISNUMBER(AO155),ISNUMBER(AO148)),IFERROR(AO155/AO148,""),"")</f>
        <v/>
      </c>
      <c r="AP427" s="39">
        <f>IF(AND(ISNUMBER(AP155),ISNUMBER(AP148)),IFERROR(AP155/AP148,""),"")</f>
        <v/>
      </c>
      <c r="AQ427" s="39">
        <f>IF(AND(ISNUMBER(AQ155),ISNUMBER(AQ148)),IFERROR(AQ155/AQ148,""),"")</f>
        <v/>
      </c>
      <c r="AR427" s="39">
        <f>IF(AND(ISNUMBER(AR155),ISNUMBER(AR148)),IFERROR(AR155/AR148,""),"")</f>
        <v/>
      </c>
      <c r="AS427" s="39">
        <f>IF(AND(ISNUMBER(AS155),ISNUMBER(AS148)),IFERROR(AS155/AS148,""),"")</f>
        <v/>
      </c>
      <c r="AT427" s="39">
        <f>IF(AND(ISNUMBER(AT155),ISNUMBER(AT148)),IFERROR(AT155/AT148,""),"")</f>
        <v/>
      </c>
      <c r="AU427" s="25" t="n"/>
      <c r="AV427" s="25" t="n"/>
      <c r="AW427" s="25">
        <f>IFERROR(AW155/AW148,"")</f>
        <v/>
      </c>
      <c r="AX427" s="25">
        <f>IFERROR(AX155/AX148,"")</f>
        <v/>
      </c>
      <c r="AY427" s="25">
        <f>IFERROR(AY155/AY148,"")</f>
        <v/>
      </c>
      <c r="AZ427" s="25">
        <f>IFERROR(AZ155/AZ148,"")</f>
        <v/>
      </c>
      <c r="BA427" s="25">
        <f>IFERROR(BA155/BA148,"")</f>
        <v/>
      </c>
      <c r="BB427" s="26" t="n"/>
    </row>
    <row r="428">
      <c r="B428" s="27" t="inlineStr">
        <is>
          <t xml:space="preserve">  Capex % of revenue</t>
        </is>
      </c>
      <c r="C428" s="39">
        <f>IFERROR(-N(C273)/C148,"")</f>
        <v/>
      </c>
      <c r="D428" s="39">
        <f>IFERROR(-N(D273)/D148,"")</f>
        <v/>
      </c>
      <c r="E428" s="39">
        <f>IFERROR(-N(E273)/E148,"")</f>
        <v/>
      </c>
      <c r="F428" s="39">
        <f>IFERROR(-N(F273)/F148,"")</f>
        <v/>
      </c>
      <c r="G428" s="39">
        <f>IFERROR(-N(G273)/G148,"")</f>
        <v/>
      </c>
      <c r="H428" s="39">
        <f>IFERROR(-N(H273)/H148,"")</f>
        <v/>
      </c>
      <c r="I428" s="39">
        <f>IFERROR(-N(I273)/I148,"")</f>
        <v/>
      </c>
      <c r="J428" s="39">
        <f>IFERROR(-N(J273)/J148,"")</f>
        <v/>
      </c>
      <c r="K428" s="39">
        <f>IFERROR(-N(K273)/K148,"")</f>
        <v/>
      </c>
      <c r="L428" s="39">
        <f>IFERROR(-N(L273)/L148,"")</f>
        <v/>
      </c>
      <c r="M428" s="39">
        <f>IFERROR(-N(M273)/M148,"")</f>
        <v/>
      </c>
      <c r="N428" s="39">
        <f>IFERROR(-N(N273)/N148,"")</f>
        <v/>
      </c>
      <c r="O428" s="39">
        <f>IFERROR(-N(O273)/O148,"")</f>
        <v/>
      </c>
      <c r="P428" s="39">
        <f>IFERROR(-N(P273)/P148,"")</f>
        <v/>
      </c>
      <c r="Q428" s="39">
        <f>IFERROR(-N(Q273)/Q148,"")</f>
        <v/>
      </c>
      <c r="R428" s="39">
        <f>IFERROR(-N(R273)/R148,"")</f>
        <v/>
      </c>
      <c r="S428" s="39">
        <f>IFERROR(-N(S273)/S148,"")</f>
        <v/>
      </c>
      <c r="T428" s="39">
        <f>IFERROR(-N(T273)/T148,"")</f>
        <v/>
      </c>
      <c r="U428" s="39">
        <f>IFERROR(-N(U273)/U148,"")</f>
        <v/>
      </c>
      <c r="V428" s="39">
        <f>IFERROR(-N(V273)/V148,"")</f>
        <v/>
      </c>
      <c r="W428" s="39">
        <f>IFERROR(-N(W273)/W148,"")</f>
        <v/>
      </c>
      <c r="X428" s="39">
        <f>IFERROR(-N(X273)/X148,"")</f>
        <v/>
      </c>
      <c r="Y428" s="39">
        <f>IFERROR(-N(Y273)/Y148,"")</f>
        <v/>
      </c>
      <c r="Z428" s="39">
        <f>IFERROR(-N(Z273)/Z148,"")</f>
        <v/>
      </c>
      <c r="AA428" s="39">
        <f>IFERROR(-N(AA273)/AA148,"")</f>
        <v/>
      </c>
      <c r="AB428" s="39">
        <f>IFERROR(-N(AB273)/AB148,"")</f>
        <v/>
      </c>
      <c r="AC428" s="39">
        <f>IFERROR(-N(AC273)/AC148,"")</f>
        <v/>
      </c>
      <c r="AD428" s="39">
        <f>IFERROR(-N(AD273)/AD148,"")</f>
        <v/>
      </c>
      <c r="AE428" s="39">
        <f>IFERROR(-N(AE273)/AE148,"")</f>
        <v/>
      </c>
      <c r="AF428" s="39">
        <f>IFERROR(-N(AF273)/AF148,"")</f>
        <v/>
      </c>
      <c r="AG428" s="39">
        <f>IFERROR(-N(AG273)/AG148,"")</f>
        <v/>
      </c>
      <c r="AH428" s="39">
        <f>IFERROR(-N(AH273)/AH148,"")</f>
        <v/>
      </c>
      <c r="AI428" s="39">
        <f>IFERROR(-N(AI273)/AI148,"")</f>
        <v/>
      </c>
      <c r="AJ428" s="39">
        <f>IFERROR(-N(AJ273)/AJ148,"")</f>
        <v/>
      </c>
      <c r="AK428" s="39">
        <f>IFERROR(-N(AK273)/AK148,"")</f>
        <v/>
      </c>
      <c r="AL428" s="39">
        <f>IFERROR(-N(AL273)/AL148,"")</f>
        <v/>
      </c>
      <c r="AM428" s="39">
        <f>IFERROR(-N(AM273)/AM148,"")</f>
        <v/>
      </c>
      <c r="AN428" s="39">
        <f>IFERROR(-N(AN273)/AN148,"")</f>
        <v/>
      </c>
      <c r="AO428" s="39">
        <f>IFERROR(-N(AO273)/AO148,"")</f>
        <v/>
      </c>
      <c r="AP428" s="39">
        <f>IFERROR(-N(AP273)/AP148,"")</f>
        <v/>
      </c>
      <c r="AQ428" s="39">
        <f>IFERROR(-N(AQ273)/AQ148,"")</f>
        <v/>
      </c>
      <c r="AR428" s="39">
        <f>IFERROR(-N(AR273)/AR148,"")</f>
        <v/>
      </c>
      <c r="AS428" s="39">
        <f>IFERROR(-N(AS273)/AS148,"")</f>
        <v/>
      </c>
      <c r="AT428" s="39">
        <f>IFERROR(-N(AT273)/AT148,"")</f>
        <v/>
      </c>
      <c r="AU428" s="25" t="n"/>
      <c r="AV428" s="25" t="n"/>
      <c r="AW428" s="25">
        <f>IFERROR(-AW273/AW148,"")</f>
        <v/>
      </c>
      <c r="AX428" s="25">
        <f>IFERROR(-AX273/AX148,"")</f>
        <v/>
      </c>
      <c r="AY428" s="25">
        <f>IFERROR(-AY273/AY148,"")</f>
        <v/>
      </c>
      <c r="AZ428" s="25">
        <f>IFERROR(-AZ273/AZ148,"")</f>
        <v/>
      </c>
      <c r="BA428" s="25">
        <f>IFERROR(-BA273/BA148,"")</f>
        <v/>
      </c>
      <c r="BB428" s="26" t="n"/>
    </row>
    <row r="430">
      <c r="B430" s="10" t="inlineStr">
        <is>
          <t>RATIO ANALYSIS</t>
        </is>
      </c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  <c r="AH430" s="10" t="n"/>
      <c r="AI430" s="10" t="n"/>
      <c r="AJ430" s="10" t="n"/>
      <c r="AK430" s="10" t="n"/>
      <c r="AL430" s="10" t="n"/>
      <c r="AM430" s="10" t="n"/>
      <c r="AN430" s="10" t="n"/>
      <c r="AO430" s="10" t="n"/>
      <c r="AP430" s="10" t="n"/>
      <c r="AQ430" s="10" t="n"/>
      <c r="AR430" s="10" t="n"/>
      <c r="AS430" s="10" t="n"/>
      <c r="AT430" s="10" t="n"/>
      <c r="AU430" s="10" t="n"/>
      <c r="AV430" s="10" t="n"/>
      <c r="AW430" s="10" t="n"/>
      <c r="AX430" s="10" t="n"/>
      <c r="AY430" s="10" t="n"/>
      <c r="AZ430" s="10" t="n"/>
      <c r="BA430" s="10" t="n"/>
      <c r="BB430" s="10" t="inlineStr">
        <is>
          <t>RETURNS — annual columns (NOPAT on Adjusted EBIT = Non-GAAP Operating Income; Non-GAAP tax rate — GAAP ETR distorted by valuation-allowance releases)</t>
        </is>
      </c>
    </row>
    <row r="431">
      <c r="B431" s="27" t="inlineStr">
        <is>
          <t>DuPont decomposition of ROIC</t>
        </is>
      </c>
    </row>
    <row r="432">
      <c r="B432" s="16" t="inlineStr">
        <is>
          <t>Adjusted EBIT (Non-GAAP Operating Income)</t>
        </is>
      </c>
      <c r="C432" s="36">
        <f>C217</f>
        <v/>
      </c>
      <c r="D432" s="36">
        <f>D217</f>
        <v/>
      </c>
      <c r="E432" s="36" t="n"/>
      <c r="F432" s="36" t="n"/>
      <c r="G432" s="36" t="n"/>
      <c r="H432" s="36" t="n"/>
      <c r="I432" s="36">
        <f>I217</f>
        <v/>
      </c>
      <c r="J432" s="36" t="n"/>
      <c r="K432" s="36" t="n"/>
      <c r="L432" s="36" t="n"/>
      <c r="M432" s="36" t="n"/>
      <c r="N432" s="36">
        <f>N217</f>
        <v/>
      </c>
      <c r="O432" s="36" t="n"/>
      <c r="P432" s="36" t="n"/>
      <c r="Q432" s="36" t="n"/>
      <c r="R432" s="36" t="n"/>
      <c r="S432" s="36">
        <f>S217</f>
        <v/>
      </c>
      <c r="T432" s="36" t="n"/>
      <c r="U432" s="36" t="n"/>
      <c r="V432" s="36" t="n"/>
      <c r="W432" s="36" t="n"/>
      <c r="X432" s="36">
        <f>X217</f>
        <v/>
      </c>
      <c r="Y432" s="36" t="n"/>
      <c r="Z432" s="36" t="n"/>
      <c r="AA432" s="36" t="n"/>
      <c r="AB432" s="36" t="n"/>
      <c r="AC432" s="36">
        <f>AC217</f>
        <v/>
      </c>
      <c r="AD432" s="36" t="n"/>
      <c r="AE432" s="36" t="n"/>
      <c r="AF432" s="36" t="n"/>
      <c r="AG432" s="36" t="n"/>
      <c r="AH432" s="36">
        <f>AH217</f>
        <v/>
      </c>
      <c r="AI432" s="36" t="n"/>
      <c r="AJ432" s="36" t="n"/>
      <c r="AK432" s="36" t="n"/>
      <c r="AL432" s="36" t="n"/>
      <c r="AM432" s="36">
        <f>AM217</f>
        <v/>
      </c>
      <c r="AN432" s="36" t="n"/>
      <c r="AO432" s="36" t="n"/>
      <c r="AP432" s="36" t="n"/>
      <c r="AQ432" s="36" t="n"/>
      <c r="AR432" s="36">
        <f>AR217</f>
        <v/>
      </c>
      <c r="AS432" s="36" t="n"/>
      <c r="AT432" s="36" t="n"/>
      <c r="AU432" s="18" t="n"/>
      <c r="AV432" s="18" t="n"/>
      <c r="AW432" s="18">
        <f>AW217</f>
        <v/>
      </c>
      <c r="AX432" s="18">
        <f>AX217</f>
        <v/>
      </c>
      <c r="AY432" s="18">
        <f>AY217</f>
        <v/>
      </c>
      <c r="AZ432" s="18">
        <f>AZ217</f>
        <v/>
      </c>
      <c r="BA432" s="18">
        <f>BA217</f>
        <v/>
      </c>
      <c r="BB432" s="26" t="n"/>
    </row>
    <row r="433">
      <c r="B433" s="27" t="inlineStr">
        <is>
          <t>Tax rate (Non-GAAP effective tax rate)</t>
        </is>
      </c>
      <c r="C433" s="39">
        <f>IF(ISNUMBER(C227),C227,0.21)</f>
        <v/>
      </c>
      <c r="D433" s="39">
        <f>IF(ISNUMBER(D227),D227,0.21)</f>
        <v/>
      </c>
      <c r="E433" s="39" t="n"/>
      <c r="F433" s="39" t="n"/>
      <c r="G433" s="39" t="n"/>
      <c r="H433" s="39" t="n"/>
      <c r="I433" s="39">
        <f>IF(ISNUMBER(I227),I227,0.21)</f>
        <v/>
      </c>
      <c r="J433" s="39" t="n"/>
      <c r="K433" s="39" t="n"/>
      <c r="L433" s="39" t="n"/>
      <c r="M433" s="39" t="n"/>
      <c r="N433" s="39">
        <f>IF(ISNUMBER(N227),N227,0.21)</f>
        <v/>
      </c>
      <c r="O433" s="39" t="n"/>
      <c r="P433" s="39" t="n"/>
      <c r="Q433" s="39" t="n"/>
      <c r="R433" s="39" t="n"/>
      <c r="S433" s="39">
        <f>IF(ISNUMBER(S227),S227,0.21)</f>
        <v/>
      </c>
      <c r="T433" s="39" t="n"/>
      <c r="U433" s="39" t="n"/>
      <c r="V433" s="39" t="n"/>
      <c r="W433" s="39" t="n"/>
      <c r="X433" s="39">
        <f>IF(ISNUMBER(X227),X227,0.21)</f>
        <v/>
      </c>
      <c r="Y433" s="39" t="n"/>
      <c r="Z433" s="39" t="n"/>
      <c r="AA433" s="39" t="n"/>
      <c r="AB433" s="39" t="n"/>
      <c r="AC433" s="39">
        <f>IF(ISNUMBER(AC227),AC227,0.21)</f>
        <v/>
      </c>
      <c r="AD433" s="39" t="n"/>
      <c r="AE433" s="39" t="n"/>
      <c r="AF433" s="39" t="n"/>
      <c r="AG433" s="39" t="n"/>
      <c r="AH433" s="39">
        <f>IF(ISNUMBER(AH227),AH227,0.21)</f>
        <v/>
      </c>
      <c r="AI433" s="39" t="n"/>
      <c r="AJ433" s="39" t="n"/>
      <c r="AK433" s="39" t="n"/>
      <c r="AL433" s="39" t="n"/>
      <c r="AM433" s="39">
        <f>IF(ISNUMBER(AM227),AM227,0.21)</f>
        <v/>
      </c>
      <c r="AN433" s="39" t="n"/>
      <c r="AO433" s="39" t="n"/>
      <c r="AP433" s="39" t="n"/>
      <c r="AQ433" s="39" t="n"/>
      <c r="AR433" s="39">
        <f>IF(ISNUMBER(AR227),AR227,0.21)</f>
        <v/>
      </c>
      <c r="AS433" s="39" t="n"/>
      <c r="AT433" s="39" t="n"/>
      <c r="AU433" s="25" t="n"/>
      <c r="AV433" s="25" t="n"/>
      <c r="AW433" s="25">
        <f>AW227</f>
        <v/>
      </c>
      <c r="AX433" s="25">
        <f>AX227</f>
        <v/>
      </c>
      <c r="AY433" s="25">
        <f>AY227</f>
        <v/>
      </c>
      <c r="AZ433" s="25">
        <f>AZ227</f>
        <v/>
      </c>
      <c r="BA433" s="25">
        <f>BA227</f>
        <v/>
      </c>
      <c r="BB433" s="26" t="n"/>
    </row>
    <row r="434">
      <c r="B434" s="16" t="inlineStr">
        <is>
          <t>NOPAT = Adjusted EBIT × (1 − tax rate)</t>
        </is>
      </c>
      <c r="C434" s="36">
        <f>IFERROR(C432*(1-C433),"n/a")</f>
        <v/>
      </c>
      <c r="D434" s="36">
        <f>IFERROR(D432*(1-D433),"n/a")</f>
        <v/>
      </c>
      <c r="E434" s="36" t="n"/>
      <c r="F434" s="36" t="n"/>
      <c r="G434" s="36" t="n"/>
      <c r="H434" s="36" t="n"/>
      <c r="I434" s="36">
        <f>IFERROR(I432*(1-I433),"n/a")</f>
        <v/>
      </c>
      <c r="J434" s="36" t="n"/>
      <c r="K434" s="36" t="n"/>
      <c r="L434" s="36" t="n"/>
      <c r="M434" s="36" t="n"/>
      <c r="N434" s="36">
        <f>IFERROR(N432*(1-N433),"n/a")</f>
        <v/>
      </c>
      <c r="O434" s="36" t="n"/>
      <c r="P434" s="36" t="n"/>
      <c r="Q434" s="36" t="n"/>
      <c r="R434" s="36" t="n"/>
      <c r="S434" s="36">
        <f>IFERROR(S432*(1-S433),"n/a")</f>
        <v/>
      </c>
      <c r="T434" s="36" t="n"/>
      <c r="U434" s="36" t="n"/>
      <c r="V434" s="36" t="n"/>
      <c r="W434" s="36" t="n"/>
      <c r="X434" s="36">
        <f>IFERROR(X432*(1-X433),"n/a")</f>
        <v/>
      </c>
      <c r="Y434" s="36" t="n"/>
      <c r="Z434" s="36" t="n"/>
      <c r="AA434" s="36" t="n"/>
      <c r="AB434" s="36" t="n"/>
      <c r="AC434" s="36">
        <f>IFERROR(AC432*(1-AC433),"n/a")</f>
        <v/>
      </c>
      <c r="AD434" s="36" t="n"/>
      <c r="AE434" s="36" t="n"/>
      <c r="AF434" s="36" t="n"/>
      <c r="AG434" s="36" t="n"/>
      <c r="AH434" s="36">
        <f>IFERROR(AH432*(1-AH433),"n/a")</f>
        <v/>
      </c>
      <c r="AI434" s="36" t="n"/>
      <c r="AJ434" s="36" t="n"/>
      <c r="AK434" s="36" t="n"/>
      <c r="AL434" s="36" t="n"/>
      <c r="AM434" s="36">
        <f>IFERROR(AM432*(1-AM433),"n/a")</f>
        <v/>
      </c>
      <c r="AN434" s="36" t="n"/>
      <c r="AO434" s="36" t="n"/>
      <c r="AP434" s="36" t="n"/>
      <c r="AQ434" s="36" t="n"/>
      <c r="AR434" s="36">
        <f>IFERROR(AR432*(1-AR433),"n/a")</f>
        <v/>
      </c>
      <c r="AS434" s="36" t="n"/>
      <c r="AT434" s="36" t="n"/>
      <c r="AU434" s="18" t="n"/>
      <c r="AV434" s="18" t="n"/>
      <c r="AW434" s="18">
        <f>IFERROR(AW432*(1-AW433),"n/a")</f>
        <v/>
      </c>
      <c r="AX434" s="18">
        <f>IFERROR(AX432*(1-AX433),"n/a")</f>
        <v/>
      </c>
      <c r="AY434" s="18">
        <f>IFERROR(AY432*(1-AY433),"n/a")</f>
        <v/>
      </c>
      <c r="AZ434" s="18">
        <f>IFERROR(AZ432*(1-AZ433),"n/a")</f>
        <v/>
      </c>
      <c r="BA434" s="18">
        <f>IFERROR(BA432*(1-BA433),"n/a")</f>
        <v/>
      </c>
      <c r="BB434" s="26" t="n"/>
    </row>
    <row r="435">
      <c r="B435" s="16" t="inlineStr">
        <is>
          <t>Invested capital (IC) = Equity (incl. NCI &amp; mezzanine) + Net debt − non-operating investments</t>
        </is>
      </c>
      <c r="C435" s="36">
        <f>IFERROR(C436+C437-C438,"n/a")</f>
        <v/>
      </c>
      <c r="D435" s="36">
        <f>IFERROR(D436+D437-D438,"n/a")</f>
        <v/>
      </c>
      <c r="E435" s="36" t="n"/>
      <c r="F435" s="36" t="n"/>
      <c r="G435" s="36" t="n"/>
      <c r="H435" s="36" t="n"/>
      <c r="I435" s="36">
        <f>IFERROR(I436+I437-I438,"n/a")</f>
        <v/>
      </c>
      <c r="J435" s="36" t="n"/>
      <c r="K435" s="36" t="n"/>
      <c r="L435" s="36" t="n"/>
      <c r="M435" s="36" t="n"/>
      <c r="N435" s="36">
        <f>IFERROR(N436+N437-N438,"n/a")</f>
        <v/>
      </c>
      <c r="O435" s="36" t="n"/>
      <c r="P435" s="36" t="n"/>
      <c r="Q435" s="36" t="n"/>
      <c r="R435" s="36" t="n"/>
      <c r="S435" s="36">
        <f>IFERROR(S436+S437-S438,"n/a")</f>
        <v/>
      </c>
      <c r="T435" s="36" t="n"/>
      <c r="U435" s="36" t="n"/>
      <c r="V435" s="36" t="n"/>
      <c r="W435" s="36" t="n"/>
      <c r="X435" s="36">
        <f>IFERROR(X436+X437-X438,"n/a")</f>
        <v/>
      </c>
      <c r="Y435" s="36" t="n"/>
      <c r="Z435" s="36" t="n"/>
      <c r="AA435" s="36" t="n"/>
      <c r="AB435" s="36" t="n"/>
      <c r="AC435" s="36">
        <f>IFERROR(AC436+AC437-AC438,"n/a")</f>
        <v/>
      </c>
      <c r="AD435" s="36" t="n"/>
      <c r="AE435" s="36" t="n"/>
      <c r="AF435" s="36" t="n"/>
      <c r="AG435" s="36" t="n"/>
      <c r="AH435" s="36">
        <f>IFERROR(AH436+AH437-AH438,"n/a")</f>
        <v/>
      </c>
      <c r="AI435" s="36" t="n"/>
      <c r="AJ435" s="36" t="n"/>
      <c r="AK435" s="36" t="n"/>
      <c r="AL435" s="36" t="n"/>
      <c r="AM435" s="36">
        <f>IFERROR(AM436+AM437-AM438,"n/a")</f>
        <v/>
      </c>
      <c r="AN435" s="36" t="n"/>
      <c r="AO435" s="36" t="n"/>
      <c r="AP435" s="36" t="n"/>
      <c r="AQ435" s="36" t="n"/>
      <c r="AR435" s="36">
        <f>IFERROR(AR436+AR437-AR438,"n/a")</f>
        <v/>
      </c>
      <c r="AS435" s="36" t="n"/>
      <c r="AT435" s="36" t="n"/>
      <c r="AU435" s="18" t="n"/>
      <c r="AV435" s="18" t="n"/>
      <c r="AW435" s="18">
        <f>IFERROR(AW436+AW437-AW438,"n/a")</f>
        <v/>
      </c>
      <c r="AX435" s="18">
        <f>IFERROR(AX436+AX437-AX438,"n/a")</f>
        <v/>
      </c>
      <c r="AY435" s="18">
        <f>IFERROR(AY436+AY437-AY438,"n/a")</f>
        <v/>
      </c>
      <c r="AZ435" s="18">
        <f>IFERROR(AZ436+AZ437-AZ438,"n/a")</f>
        <v/>
      </c>
      <c r="BA435" s="18">
        <f>IFERROR(BA436+BA437-BA438,"n/a")</f>
        <v/>
      </c>
      <c r="BB435" s="26" t="n"/>
    </row>
    <row r="436">
      <c r="B436" s="27" t="inlineStr">
        <is>
          <t xml:space="preserve">  Total equity incl. NCI and mezzanine equity</t>
        </is>
      </c>
      <c r="C436" s="43">
        <f>IF(ISNUMBER(C355),C355+N(C347)+N(C348),"n/a")</f>
        <v/>
      </c>
      <c r="D436" s="43">
        <f>IF(ISNUMBER(D355),D355+N(D347)+N(D348),"n/a")</f>
        <v/>
      </c>
      <c r="E436" s="43" t="n"/>
      <c r="F436" s="43" t="n"/>
      <c r="G436" s="43" t="n"/>
      <c r="H436" s="43" t="n"/>
      <c r="I436" s="43">
        <f>IF(ISNUMBER(I355),I355+N(I347)+N(I348),"n/a")</f>
        <v/>
      </c>
      <c r="J436" s="43" t="n"/>
      <c r="K436" s="43" t="n"/>
      <c r="L436" s="43" t="n"/>
      <c r="M436" s="43" t="n"/>
      <c r="N436" s="43">
        <f>IF(ISNUMBER(N355),N355+N(N347)+N(N348),"n/a")</f>
        <v/>
      </c>
      <c r="O436" s="43" t="n"/>
      <c r="P436" s="43" t="n"/>
      <c r="Q436" s="43" t="n"/>
      <c r="R436" s="43" t="n"/>
      <c r="S436" s="43">
        <f>IF(ISNUMBER(S355),S355+N(S347)+N(S348),"n/a")</f>
        <v/>
      </c>
      <c r="T436" s="43" t="n"/>
      <c r="U436" s="43" t="n"/>
      <c r="V436" s="43" t="n"/>
      <c r="W436" s="43" t="n"/>
      <c r="X436" s="43">
        <f>IF(ISNUMBER(X355),X355+N(X347)+N(X348),"n/a")</f>
        <v/>
      </c>
      <c r="Y436" s="43" t="n"/>
      <c r="Z436" s="43" t="n"/>
      <c r="AA436" s="43" t="n"/>
      <c r="AB436" s="43" t="n"/>
      <c r="AC436" s="43">
        <f>IF(ISNUMBER(AC355),AC355+N(AC347)+N(AC348),"n/a")</f>
        <v/>
      </c>
      <c r="AD436" s="43" t="n"/>
      <c r="AE436" s="43" t="n"/>
      <c r="AF436" s="43" t="n"/>
      <c r="AG436" s="43" t="n"/>
      <c r="AH436" s="43">
        <f>IF(ISNUMBER(AH355),AH355+N(AH347)+N(AH348),"n/a")</f>
        <v/>
      </c>
      <c r="AI436" s="43" t="n"/>
      <c r="AJ436" s="43" t="n"/>
      <c r="AK436" s="43" t="n"/>
      <c r="AL436" s="43" t="n"/>
      <c r="AM436" s="43">
        <f>IF(ISNUMBER(AM355),AM355+N(AM347)+N(AM348),"n/a")</f>
        <v/>
      </c>
      <c r="AN436" s="43" t="n"/>
      <c r="AO436" s="43" t="n"/>
      <c r="AP436" s="43" t="n"/>
      <c r="AQ436" s="43" t="n"/>
      <c r="AR436" s="43">
        <f>IF(ISNUMBER(AR355),AR355+N(AR347)+N(AR348),"n/a")</f>
        <v/>
      </c>
      <c r="AS436" s="43" t="n"/>
      <c r="AT436" s="43" t="n"/>
      <c r="AU436" s="45" t="n"/>
      <c r="AV436" s="45" t="n"/>
      <c r="AW436" s="45">
        <f>AW355+N(AW347)+AW348</f>
        <v/>
      </c>
      <c r="AX436" s="45">
        <f>AX355+N(AX347)+AX348</f>
        <v/>
      </c>
      <c r="AY436" s="45">
        <f>AY355+N(AY347)+AY348</f>
        <v/>
      </c>
      <c r="AZ436" s="45">
        <f>AZ355+N(AZ347)+AZ348</f>
        <v/>
      </c>
      <c r="BA436" s="45">
        <f>BA355+N(BA347)+BA348</f>
        <v/>
      </c>
      <c r="BB436" s="26" t="n"/>
    </row>
    <row r="437">
      <c r="B437" s="27" t="inlineStr">
        <is>
          <t xml:space="preserve">  Net debt = Total debt − cash − short-term investments</t>
        </is>
      </c>
      <c r="C437" s="43">
        <f>IF(ISNUMBER(C404),C404-C317-N(C318),"n/a")</f>
        <v/>
      </c>
      <c r="D437" s="43">
        <f>IF(ISNUMBER(D404),D404-D317-N(D318),"n/a")</f>
        <v/>
      </c>
      <c r="E437" s="43" t="n"/>
      <c r="F437" s="43" t="n"/>
      <c r="G437" s="43" t="n"/>
      <c r="H437" s="43" t="n"/>
      <c r="I437" s="43">
        <f>IF(ISNUMBER(I404),I404-I317-N(I318),"n/a")</f>
        <v/>
      </c>
      <c r="J437" s="43" t="n"/>
      <c r="K437" s="43" t="n"/>
      <c r="L437" s="43" t="n"/>
      <c r="M437" s="43" t="n"/>
      <c r="N437" s="43">
        <f>IF(ISNUMBER(N404),N404-N317-N(N318),"n/a")</f>
        <v/>
      </c>
      <c r="O437" s="43" t="n"/>
      <c r="P437" s="43" t="n"/>
      <c r="Q437" s="43" t="n"/>
      <c r="R437" s="43" t="n"/>
      <c r="S437" s="43">
        <f>IF(ISNUMBER(S404),S404-S317-N(S318),"n/a")</f>
        <v/>
      </c>
      <c r="T437" s="43" t="n"/>
      <c r="U437" s="43" t="n"/>
      <c r="V437" s="43" t="n"/>
      <c r="W437" s="43" t="n"/>
      <c r="X437" s="43">
        <f>IF(ISNUMBER(X404),X404-X317-N(X318),"n/a")</f>
        <v/>
      </c>
      <c r="Y437" s="43" t="n"/>
      <c r="Z437" s="43" t="n"/>
      <c r="AA437" s="43" t="n"/>
      <c r="AB437" s="43" t="n"/>
      <c r="AC437" s="43">
        <f>IF(ISNUMBER(AC404),AC404-AC317-N(AC318),"n/a")</f>
        <v/>
      </c>
      <c r="AD437" s="43" t="n"/>
      <c r="AE437" s="43" t="n"/>
      <c r="AF437" s="43" t="n"/>
      <c r="AG437" s="43" t="n"/>
      <c r="AH437" s="43">
        <f>IF(ISNUMBER(AH404),AH404-AH317-N(AH318),"n/a")</f>
        <v/>
      </c>
      <c r="AI437" s="43" t="n"/>
      <c r="AJ437" s="43" t="n"/>
      <c r="AK437" s="43" t="n"/>
      <c r="AL437" s="43" t="n"/>
      <c r="AM437" s="43">
        <f>IF(ISNUMBER(AM404),AM404-AM317-N(AM318),"n/a")</f>
        <v/>
      </c>
      <c r="AN437" s="43" t="n"/>
      <c r="AO437" s="43" t="n"/>
      <c r="AP437" s="43" t="n"/>
      <c r="AQ437" s="43" t="n"/>
      <c r="AR437" s="43">
        <f>IF(ISNUMBER(AR404),AR404-AR317-N(AR318),"n/a")</f>
        <v/>
      </c>
      <c r="AS437" s="43" t="n"/>
      <c r="AT437" s="43" t="n"/>
      <c r="AU437" s="45" t="n"/>
      <c r="AV437" s="45" t="n"/>
      <c r="AW437" s="45">
        <f>AW404-AW317-AW318</f>
        <v/>
      </c>
      <c r="AX437" s="45">
        <f>AX404-AX317-AX318</f>
        <v/>
      </c>
      <c r="AY437" s="45">
        <f>AY404-AY317-AY318</f>
        <v/>
      </c>
      <c r="AZ437" s="45">
        <f>AZ404-AZ317-AZ318</f>
        <v/>
      </c>
      <c r="BA437" s="45">
        <f>BA404-BA317-BA318</f>
        <v/>
      </c>
      <c r="BB437" s="26" t="n"/>
    </row>
    <row r="438">
      <c r="B438" s="27" t="inlineStr">
        <is>
          <t xml:space="preserve">  Non-operating investments (securities + equity-method stakes)</t>
        </is>
      </c>
      <c r="C438" s="43">
        <f>IF(ISNUMBER(C326),C326+N(C327),"n/a")</f>
        <v/>
      </c>
      <c r="D438" s="43">
        <f>IF(ISNUMBER(D326),D326+N(D327),"n/a")</f>
        <v/>
      </c>
      <c r="E438" s="43" t="n"/>
      <c r="F438" s="43" t="n"/>
      <c r="G438" s="43" t="n"/>
      <c r="H438" s="43" t="n"/>
      <c r="I438" s="43">
        <f>IF(ISNUMBER(I326),I326+N(I327),"n/a")</f>
        <v/>
      </c>
      <c r="J438" s="43" t="n"/>
      <c r="K438" s="43" t="n"/>
      <c r="L438" s="43" t="n"/>
      <c r="M438" s="43" t="n"/>
      <c r="N438" s="43">
        <f>IF(ISNUMBER(N326),N326+N(N327),"n/a")</f>
        <v/>
      </c>
      <c r="O438" s="43" t="n"/>
      <c r="P438" s="43" t="n"/>
      <c r="Q438" s="43" t="n"/>
      <c r="R438" s="43" t="n"/>
      <c r="S438" s="43">
        <f>IF(ISNUMBER(S326),S326+N(S327),"n/a")</f>
        <v/>
      </c>
      <c r="T438" s="43" t="n"/>
      <c r="U438" s="43" t="n"/>
      <c r="V438" s="43" t="n"/>
      <c r="W438" s="43" t="n"/>
      <c r="X438" s="43">
        <f>IF(ISNUMBER(X326),X326+N(X327),"n/a")</f>
        <v/>
      </c>
      <c r="Y438" s="43" t="n"/>
      <c r="Z438" s="43" t="n"/>
      <c r="AA438" s="43" t="n"/>
      <c r="AB438" s="43" t="n"/>
      <c r="AC438" s="43">
        <f>IF(ISNUMBER(AC326),AC326+N(AC327),"n/a")</f>
        <v/>
      </c>
      <c r="AD438" s="43" t="n"/>
      <c r="AE438" s="43" t="n"/>
      <c r="AF438" s="43" t="n"/>
      <c r="AG438" s="43" t="n"/>
      <c r="AH438" s="43">
        <f>IF(ISNUMBER(AH326),AH326+N(AH327),"n/a")</f>
        <v/>
      </c>
      <c r="AI438" s="43" t="n"/>
      <c r="AJ438" s="43" t="n"/>
      <c r="AK438" s="43" t="n"/>
      <c r="AL438" s="43" t="n"/>
      <c r="AM438" s="43">
        <f>IF(ISNUMBER(AM326),AM326+N(AM327),"n/a")</f>
        <v/>
      </c>
      <c r="AN438" s="43" t="n"/>
      <c r="AO438" s="43" t="n"/>
      <c r="AP438" s="43" t="n"/>
      <c r="AQ438" s="43" t="n"/>
      <c r="AR438" s="43">
        <f>IF(ISNUMBER(AR326),AR326+N(AR327),"n/a")</f>
        <v/>
      </c>
      <c r="AS438" s="43" t="n"/>
      <c r="AT438" s="43" t="n"/>
      <c r="AU438" s="45" t="n"/>
      <c r="AV438" s="45" t="n"/>
      <c r="AW438" s="45">
        <f>AW326+AW327</f>
        <v/>
      </c>
      <c r="AX438" s="45">
        <f>AX326+AX327</f>
        <v/>
      </c>
      <c r="AY438" s="45">
        <f>AY326+AY327</f>
        <v/>
      </c>
      <c r="AZ438" s="45">
        <f>AZ326+AZ327</f>
        <v/>
      </c>
      <c r="BA438" s="45">
        <f>BA326+BA327</f>
        <v/>
      </c>
      <c r="BB438" s="26" t="n"/>
    </row>
    <row r="439">
      <c r="B439" s="16" t="inlineStr">
        <is>
          <t>ROIC = NOPAT / IC</t>
        </is>
      </c>
      <c r="C439" s="68">
        <f>IF(AND(ISNUMBER(C434),ISNUMBER(C435)),IF(OR(C434&lt;0,C435&lt;=0),"n/m",C434/C435),"n/a")</f>
        <v/>
      </c>
      <c r="D439" s="68">
        <f>IF(AND(ISNUMBER(D434),ISNUMBER(D435)),IF(OR(D434&lt;0,D435&lt;=0),"n/m",D434/D435),"n/a")</f>
        <v/>
      </c>
      <c r="E439" s="68" t="n"/>
      <c r="F439" s="68" t="n"/>
      <c r="G439" s="68" t="n"/>
      <c r="H439" s="68" t="n"/>
      <c r="I439" s="68">
        <f>IF(AND(ISNUMBER(I434),ISNUMBER(I435)),IF(OR(I434&lt;0,I435&lt;=0),"n/m",I434/I435),"n/a")</f>
        <v/>
      </c>
      <c r="J439" s="68" t="n"/>
      <c r="K439" s="68" t="n"/>
      <c r="L439" s="68" t="n"/>
      <c r="M439" s="68" t="n"/>
      <c r="N439" s="68">
        <f>IF(AND(ISNUMBER(N434),ISNUMBER(N435)),IF(OR(N434&lt;0,N435&lt;=0),"n/m",N434/N435),"n/a")</f>
        <v/>
      </c>
      <c r="O439" s="68" t="n"/>
      <c r="P439" s="68" t="n"/>
      <c r="Q439" s="68" t="n"/>
      <c r="R439" s="68" t="n"/>
      <c r="S439" s="68">
        <f>IF(AND(ISNUMBER(S434),ISNUMBER(S435)),IF(OR(S434&lt;0,S435&lt;=0),"n/m",S434/S435),"n/a")</f>
        <v/>
      </c>
      <c r="T439" s="68" t="n"/>
      <c r="U439" s="68" t="n"/>
      <c r="V439" s="68" t="n"/>
      <c r="W439" s="68" t="n"/>
      <c r="X439" s="68">
        <f>IF(AND(ISNUMBER(X434),ISNUMBER(X435)),IF(OR(X434&lt;0,X435&lt;=0),"n/m",X434/X435),"n/a")</f>
        <v/>
      </c>
      <c r="Y439" s="68" t="n"/>
      <c r="Z439" s="68" t="n"/>
      <c r="AA439" s="68" t="n"/>
      <c r="AB439" s="68" t="n"/>
      <c r="AC439" s="68">
        <f>IF(AND(ISNUMBER(AC434),ISNUMBER(AC435)),IF(OR(AC434&lt;0,AC435&lt;=0),"n/m",AC434/AC435),"n/a")</f>
        <v/>
      </c>
      <c r="AD439" s="68" t="n"/>
      <c r="AE439" s="68" t="n"/>
      <c r="AF439" s="68" t="n"/>
      <c r="AG439" s="68" t="n"/>
      <c r="AH439" s="68">
        <f>IF(AND(ISNUMBER(AH434),ISNUMBER(AH435)),IF(OR(AH434&lt;0,AH435&lt;=0),"n/m",AH434/AH435),"n/a")</f>
        <v/>
      </c>
      <c r="AI439" s="68" t="n"/>
      <c r="AJ439" s="68" t="n"/>
      <c r="AK439" s="68" t="n"/>
      <c r="AL439" s="68" t="n"/>
      <c r="AM439" s="68">
        <f>IF(AND(ISNUMBER(AM434),ISNUMBER(AM435)),IF(OR(AM434&lt;0,AM435&lt;=0),"n/m",AM434/AM435),"n/a")</f>
        <v/>
      </c>
      <c r="AN439" s="68" t="n"/>
      <c r="AO439" s="68" t="n"/>
      <c r="AP439" s="68" t="n"/>
      <c r="AQ439" s="68" t="n"/>
      <c r="AR439" s="68">
        <f>IF(AND(ISNUMBER(AR434),ISNUMBER(AR435)),IF(OR(AR434&lt;0,AR435&lt;=0),"n/m",AR434/AR435),"n/a")</f>
        <v/>
      </c>
      <c r="AS439" s="68" t="n"/>
      <c r="AT439" s="68" t="n"/>
      <c r="AU439" s="69" t="n"/>
      <c r="AV439" s="69" t="n"/>
      <c r="AW439" s="69">
        <f>IFERROR(AW434/AW435,"n/a")</f>
        <v/>
      </c>
      <c r="AX439" s="69">
        <f>IFERROR(AX434/AX435,"n/a")</f>
        <v/>
      </c>
      <c r="AY439" s="69">
        <f>IFERROR(AY434/AY435,"n/a")</f>
        <v/>
      </c>
      <c r="AZ439" s="69">
        <f>IFERROR(AZ434/AZ435,"n/a")</f>
        <v/>
      </c>
      <c r="BA439" s="69">
        <f>IFERROR(BA434/BA435,"n/a")</f>
        <v/>
      </c>
      <c r="BB439" s="26" t="n"/>
    </row>
    <row r="440">
      <c r="B440" s="27" t="inlineStr">
        <is>
          <t xml:space="preserve">  Margin = Adjusted EBIT / Revenue</t>
        </is>
      </c>
      <c r="C440" s="39">
        <f>IFERROR(C432/C148,"n/a")</f>
        <v/>
      </c>
      <c r="D440" s="39">
        <f>IFERROR(D432/D148,"n/a")</f>
        <v/>
      </c>
      <c r="E440" s="39" t="n"/>
      <c r="F440" s="39" t="n"/>
      <c r="G440" s="39" t="n"/>
      <c r="H440" s="39" t="n"/>
      <c r="I440" s="39">
        <f>IFERROR(I432/I148,"n/a")</f>
        <v/>
      </c>
      <c r="J440" s="39" t="n"/>
      <c r="K440" s="39" t="n"/>
      <c r="L440" s="39" t="n"/>
      <c r="M440" s="39" t="n"/>
      <c r="N440" s="39">
        <f>IFERROR(N432/N148,"n/a")</f>
        <v/>
      </c>
      <c r="O440" s="39" t="n"/>
      <c r="P440" s="39" t="n"/>
      <c r="Q440" s="39" t="n"/>
      <c r="R440" s="39" t="n"/>
      <c r="S440" s="39">
        <f>IFERROR(S432/S148,"n/a")</f>
        <v/>
      </c>
      <c r="T440" s="39" t="n"/>
      <c r="U440" s="39" t="n"/>
      <c r="V440" s="39" t="n"/>
      <c r="W440" s="39" t="n"/>
      <c r="X440" s="39">
        <f>IFERROR(X432/X148,"n/a")</f>
        <v/>
      </c>
      <c r="Y440" s="39" t="n"/>
      <c r="Z440" s="39" t="n"/>
      <c r="AA440" s="39" t="n"/>
      <c r="AB440" s="39" t="n"/>
      <c r="AC440" s="39">
        <f>IFERROR(AC432/AC148,"n/a")</f>
        <v/>
      </c>
      <c r="AD440" s="39" t="n"/>
      <c r="AE440" s="39" t="n"/>
      <c r="AF440" s="39" t="n"/>
      <c r="AG440" s="39" t="n"/>
      <c r="AH440" s="39">
        <f>IFERROR(AH432/AH148,"n/a")</f>
        <v/>
      </c>
      <c r="AI440" s="39" t="n"/>
      <c r="AJ440" s="39" t="n"/>
      <c r="AK440" s="39" t="n"/>
      <c r="AL440" s="39" t="n"/>
      <c r="AM440" s="39">
        <f>IFERROR(AM432/AM148,"n/a")</f>
        <v/>
      </c>
      <c r="AN440" s="39" t="n"/>
      <c r="AO440" s="39" t="n"/>
      <c r="AP440" s="39" t="n"/>
      <c r="AQ440" s="39" t="n"/>
      <c r="AR440" s="39">
        <f>IFERROR(AR432/AR148,"n/a")</f>
        <v/>
      </c>
      <c r="AS440" s="39" t="n"/>
      <c r="AT440" s="39" t="n"/>
      <c r="AU440" s="25" t="n"/>
      <c r="AV440" s="25" t="n"/>
      <c r="AW440" s="25">
        <f>IFERROR(AW432/AW148,"n/a")</f>
        <v/>
      </c>
      <c r="AX440" s="25">
        <f>IFERROR(AX432/AX148,"n/a")</f>
        <v/>
      </c>
      <c r="AY440" s="25">
        <f>IFERROR(AY432/AY148,"n/a")</f>
        <v/>
      </c>
      <c r="AZ440" s="25">
        <f>IFERROR(AZ432/AZ148,"n/a")</f>
        <v/>
      </c>
      <c r="BA440" s="25">
        <f>IFERROR(BA432/BA148,"n/a")</f>
        <v/>
      </c>
      <c r="BB440" s="26" t="n"/>
    </row>
    <row r="441">
      <c r="B441" s="27" t="inlineStr">
        <is>
          <t xml:space="preserve">  Capital turnover = Revenue / IC</t>
        </is>
      </c>
      <c r="C441" s="155">
        <f>IFERROR(C148/C435,"n/a")</f>
        <v/>
      </c>
      <c r="D441" s="155">
        <f>IFERROR(D148/D435,"n/a")</f>
        <v/>
      </c>
      <c r="E441" s="155" t="n"/>
      <c r="F441" s="155" t="n"/>
      <c r="G441" s="155" t="n"/>
      <c r="H441" s="155" t="n"/>
      <c r="I441" s="155">
        <f>IFERROR(I148/I435,"n/a")</f>
        <v/>
      </c>
      <c r="J441" s="155" t="n"/>
      <c r="K441" s="155" t="n"/>
      <c r="L441" s="155" t="n"/>
      <c r="M441" s="155" t="n"/>
      <c r="N441" s="155">
        <f>IFERROR(N148/N435,"n/a")</f>
        <v/>
      </c>
      <c r="O441" s="155" t="n"/>
      <c r="P441" s="155" t="n"/>
      <c r="Q441" s="155" t="n"/>
      <c r="R441" s="155" t="n"/>
      <c r="S441" s="155">
        <f>IFERROR(S148/S435,"n/a")</f>
        <v/>
      </c>
      <c r="T441" s="155" t="n"/>
      <c r="U441" s="155" t="n"/>
      <c r="V441" s="155" t="n"/>
      <c r="W441" s="155" t="n"/>
      <c r="X441" s="155">
        <f>IFERROR(X148/X435,"n/a")</f>
        <v/>
      </c>
      <c r="Y441" s="155" t="n"/>
      <c r="Z441" s="155" t="n"/>
      <c r="AA441" s="155" t="n"/>
      <c r="AB441" s="155" t="n"/>
      <c r="AC441" s="155">
        <f>IFERROR(AC148/AC435,"n/a")</f>
        <v/>
      </c>
      <c r="AD441" s="155" t="n"/>
      <c r="AE441" s="155" t="n"/>
      <c r="AF441" s="155" t="n"/>
      <c r="AG441" s="155" t="n"/>
      <c r="AH441" s="155">
        <f>IFERROR(AH148/AH435,"n/a")</f>
        <v/>
      </c>
      <c r="AI441" s="155" t="n"/>
      <c r="AJ441" s="155" t="n"/>
      <c r="AK441" s="155" t="n"/>
      <c r="AL441" s="155" t="n"/>
      <c r="AM441" s="155">
        <f>IFERROR(AM148/AM435,"n/a")</f>
        <v/>
      </c>
      <c r="AN441" s="155" t="n"/>
      <c r="AO441" s="155" t="n"/>
      <c r="AP441" s="155" t="n"/>
      <c r="AQ441" s="155" t="n"/>
      <c r="AR441" s="155">
        <f>IFERROR(AR148/AR435,"n/a")</f>
        <v/>
      </c>
      <c r="AS441" s="155" t="n"/>
      <c r="AT441" s="155" t="n"/>
      <c r="AU441" s="156" t="n"/>
      <c r="AV441" s="156" t="n"/>
      <c r="AW441" s="156">
        <f>IFERROR(AW148/AW435,"n/a")</f>
        <v/>
      </c>
      <c r="AX441" s="156">
        <f>IFERROR(AX148/AX435,"n/a")</f>
        <v/>
      </c>
      <c r="AY441" s="156">
        <f>IFERROR(AY148/AY435,"n/a")</f>
        <v/>
      </c>
      <c r="AZ441" s="156">
        <f>IFERROR(AZ148/AZ435,"n/a")</f>
        <v/>
      </c>
      <c r="BA441" s="156">
        <f>IFERROR(BA148/BA435,"n/a")</f>
        <v/>
      </c>
      <c r="BB441" s="26" t="n"/>
    </row>
    <row r="442">
      <c r="B442" s="27" t="inlineStr">
        <is>
          <t xml:space="preserve">  Tax burden = (1 − tax rate)</t>
        </is>
      </c>
      <c r="C442" s="39">
        <f>IFERROR(1-C433,"n/a")</f>
        <v/>
      </c>
      <c r="D442" s="39">
        <f>IFERROR(1-D433,"n/a")</f>
        <v/>
      </c>
      <c r="E442" s="39" t="n"/>
      <c r="F442" s="39" t="n"/>
      <c r="G442" s="39" t="n"/>
      <c r="H442" s="39" t="n"/>
      <c r="I442" s="39">
        <f>IFERROR(1-I433,"n/a")</f>
        <v/>
      </c>
      <c r="J442" s="39" t="n"/>
      <c r="K442" s="39" t="n"/>
      <c r="L442" s="39" t="n"/>
      <c r="M442" s="39" t="n"/>
      <c r="N442" s="39">
        <f>IFERROR(1-N433,"n/a")</f>
        <v/>
      </c>
      <c r="O442" s="39" t="n"/>
      <c r="P442" s="39" t="n"/>
      <c r="Q442" s="39" t="n"/>
      <c r="R442" s="39" t="n"/>
      <c r="S442" s="39">
        <f>IFERROR(1-S433,"n/a")</f>
        <v/>
      </c>
      <c r="T442" s="39" t="n"/>
      <c r="U442" s="39" t="n"/>
      <c r="V442" s="39" t="n"/>
      <c r="W442" s="39" t="n"/>
      <c r="X442" s="39">
        <f>IFERROR(1-X433,"n/a")</f>
        <v/>
      </c>
      <c r="Y442" s="39" t="n"/>
      <c r="Z442" s="39" t="n"/>
      <c r="AA442" s="39" t="n"/>
      <c r="AB442" s="39" t="n"/>
      <c r="AC442" s="39">
        <f>IFERROR(1-AC433,"n/a")</f>
        <v/>
      </c>
      <c r="AD442" s="39" t="n"/>
      <c r="AE442" s="39" t="n"/>
      <c r="AF442" s="39" t="n"/>
      <c r="AG442" s="39" t="n"/>
      <c r="AH442" s="39">
        <f>IFERROR(1-AH433,"n/a")</f>
        <v/>
      </c>
      <c r="AI442" s="39" t="n"/>
      <c r="AJ442" s="39" t="n"/>
      <c r="AK442" s="39" t="n"/>
      <c r="AL442" s="39" t="n"/>
      <c r="AM442" s="39">
        <f>IFERROR(1-AM433,"n/a")</f>
        <v/>
      </c>
      <c r="AN442" s="39" t="n"/>
      <c r="AO442" s="39" t="n"/>
      <c r="AP442" s="39" t="n"/>
      <c r="AQ442" s="39" t="n"/>
      <c r="AR442" s="39">
        <f>IFERROR(1-AR433,"n/a")</f>
        <v/>
      </c>
      <c r="AS442" s="39" t="n"/>
      <c r="AT442" s="39" t="n"/>
      <c r="AU442" s="25" t="n"/>
      <c r="AV442" s="25" t="n"/>
      <c r="AW442" s="25">
        <f>IFERROR(1-AW433,"n/a")</f>
        <v/>
      </c>
      <c r="AX442" s="25">
        <f>IFERROR(1-AX433,"n/a")</f>
        <v/>
      </c>
      <c r="AY442" s="25">
        <f>IFERROR(1-AY433,"n/a")</f>
        <v/>
      </c>
      <c r="AZ442" s="25">
        <f>IFERROR(1-AZ433,"n/a")</f>
        <v/>
      </c>
      <c r="BA442" s="25">
        <f>IFERROR(1-BA433,"n/a")</f>
        <v/>
      </c>
      <c r="BB442" s="26" t="n"/>
    </row>
    <row r="443">
      <c r="B443" s="27" t="inlineStr">
        <is>
          <t xml:space="preserve">  Check: Margin × Turnover × Tax burden = ROIC</t>
        </is>
      </c>
      <c r="C443" s="39">
        <f>IFERROR(C440*C441*C442,"n/a")</f>
        <v/>
      </c>
      <c r="D443" s="39">
        <f>IFERROR(D440*D441*D442,"n/a")</f>
        <v/>
      </c>
      <c r="E443" s="39" t="n"/>
      <c r="F443" s="39" t="n"/>
      <c r="G443" s="39" t="n"/>
      <c r="H443" s="39" t="n"/>
      <c r="I443" s="39">
        <f>IFERROR(I440*I441*I442,"n/a")</f>
        <v/>
      </c>
      <c r="J443" s="39" t="n"/>
      <c r="K443" s="39" t="n"/>
      <c r="L443" s="39" t="n"/>
      <c r="M443" s="39" t="n"/>
      <c r="N443" s="39">
        <f>IFERROR(N440*N441*N442,"n/a")</f>
        <v/>
      </c>
      <c r="O443" s="39" t="n"/>
      <c r="P443" s="39" t="n"/>
      <c r="Q443" s="39" t="n"/>
      <c r="R443" s="39" t="n"/>
      <c r="S443" s="39">
        <f>IFERROR(S440*S441*S442,"n/a")</f>
        <v/>
      </c>
      <c r="T443" s="39" t="n"/>
      <c r="U443" s="39" t="n"/>
      <c r="V443" s="39" t="n"/>
      <c r="W443" s="39" t="n"/>
      <c r="X443" s="39">
        <f>IFERROR(X440*X441*X442,"n/a")</f>
        <v/>
      </c>
      <c r="Y443" s="39" t="n"/>
      <c r="Z443" s="39" t="n"/>
      <c r="AA443" s="39" t="n"/>
      <c r="AB443" s="39" t="n"/>
      <c r="AC443" s="39">
        <f>IFERROR(AC440*AC441*AC442,"n/a")</f>
        <v/>
      </c>
      <c r="AD443" s="39" t="n"/>
      <c r="AE443" s="39" t="n"/>
      <c r="AF443" s="39" t="n"/>
      <c r="AG443" s="39" t="n"/>
      <c r="AH443" s="39">
        <f>IFERROR(AH440*AH441*AH442,"n/a")</f>
        <v/>
      </c>
      <c r="AI443" s="39" t="n"/>
      <c r="AJ443" s="39" t="n"/>
      <c r="AK443" s="39" t="n"/>
      <c r="AL443" s="39" t="n"/>
      <c r="AM443" s="39">
        <f>IFERROR(AM440*AM441*AM442,"n/a")</f>
        <v/>
      </c>
      <c r="AN443" s="39" t="n"/>
      <c r="AO443" s="39" t="n"/>
      <c r="AP443" s="39" t="n"/>
      <c r="AQ443" s="39" t="n"/>
      <c r="AR443" s="39">
        <f>IFERROR(AR440*AR441*AR442,"n/a")</f>
        <v/>
      </c>
      <c r="AS443" s="39" t="n"/>
      <c r="AT443" s="39" t="n"/>
      <c r="AU443" s="25" t="n"/>
      <c r="AV443" s="25" t="n"/>
      <c r="AW443" s="25">
        <f>IFERROR(AW440*AW441*AW442,"n/a")</f>
        <v/>
      </c>
      <c r="AX443" s="25">
        <f>IFERROR(AX440*AX441*AX442,"n/a")</f>
        <v/>
      </c>
      <c r="AY443" s="25">
        <f>IFERROR(AY440*AY441*AY442,"n/a")</f>
        <v/>
      </c>
      <c r="AZ443" s="25">
        <f>IFERROR(AZ440*AZ441*AZ442,"n/a")</f>
        <v/>
      </c>
      <c r="BA443" s="25">
        <f>IFERROR(BA440*BA441*BA442,"n/a")</f>
        <v/>
      </c>
      <c r="BB443" s="26" t="n"/>
    </row>
    <row r="444">
      <c r="B444" s="27" t="inlineStr">
        <is>
          <t>RONTA decomposition</t>
        </is>
      </c>
    </row>
    <row r="445">
      <c r="B445" s="16" t="inlineStr">
        <is>
          <t>NOPAT = Adjusted EBIT × (1 − tax rate)</t>
        </is>
      </c>
      <c r="C445" s="36">
        <f>C434</f>
        <v/>
      </c>
      <c r="D445" s="36">
        <f>D434</f>
        <v/>
      </c>
      <c r="E445" s="36" t="n"/>
      <c r="F445" s="36" t="n"/>
      <c r="G445" s="36" t="n"/>
      <c r="H445" s="36" t="n"/>
      <c r="I445" s="36">
        <f>I434</f>
        <v/>
      </c>
      <c r="J445" s="36" t="n"/>
      <c r="K445" s="36" t="n"/>
      <c r="L445" s="36" t="n"/>
      <c r="M445" s="36" t="n"/>
      <c r="N445" s="36">
        <f>N434</f>
        <v/>
      </c>
      <c r="O445" s="36" t="n"/>
      <c r="P445" s="36" t="n"/>
      <c r="Q445" s="36" t="n"/>
      <c r="R445" s="36" t="n"/>
      <c r="S445" s="36">
        <f>S434</f>
        <v/>
      </c>
      <c r="T445" s="36" t="n"/>
      <c r="U445" s="36" t="n"/>
      <c r="V445" s="36" t="n"/>
      <c r="W445" s="36" t="n"/>
      <c r="X445" s="36">
        <f>X434</f>
        <v/>
      </c>
      <c r="Y445" s="36" t="n"/>
      <c r="Z445" s="36" t="n"/>
      <c r="AA445" s="36" t="n"/>
      <c r="AB445" s="36" t="n"/>
      <c r="AC445" s="36">
        <f>AC434</f>
        <v/>
      </c>
      <c r="AD445" s="36" t="n"/>
      <c r="AE445" s="36" t="n"/>
      <c r="AF445" s="36" t="n"/>
      <c r="AG445" s="36" t="n"/>
      <c r="AH445" s="36">
        <f>AH434</f>
        <v/>
      </c>
      <c r="AI445" s="36" t="n"/>
      <c r="AJ445" s="36" t="n"/>
      <c r="AK445" s="36" t="n"/>
      <c r="AL445" s="36" t="n"/>
      <c r="AM445" s="36">
        <f>AM434</f>
        <v/>
      </c>
      <c r="AN445" s="36" t="n"/>
      <c r="AO445" s="36" t="n"/>
      <c r="AP445" s="36" t="n"/>
      <c r="AQ445" s="36" t="n"/>
      <c r="AR445" s="36">
        <f>AR434</f>
        <v/>
      </c>
      <c r="AS445" s="36" t="n"/>
      <c r="AT445" s="36" t="n"/>
      <c r="AU445" s="18" t="n"/>
      <c r="AV445" s="18" t="n"/>
      <c r="AW445" s="18">
        <f>AW434</f>
        <v/>
      </c>
      <c r="AX445" s="18">
        <f>AX434</f>
        <v/>
      </c>
      <c r="AY445" s="18">
        <f>AY434</f>
        <v/>
      </c>
      <c r="AZ445" s="18">
        <f>AZ434</f>
        <v/>
      </c>
      <c r="BA445" s="18">
        <f>BA434</f>
        <v/>
      </c>
      <c r="BB445" s="26" t="n"/>
    </row>
    <row r="446">
      <c r="B446" s="27" t="inlineStr">
        <is>
          <t xml:space="preserve">  Total assets</t>
        </is>
      </c>
      <c r="C446" s="43">
        <f>C334</f>
        <v/>
      </c>
      <c r="D446" s="43">
        <f>D334</f>
        <v/>
      </c>
      <c r="E446" s="43" t="n"/>
      <c r="F446" s="43" t="n"/>
      <c r="G446" s="43" t="n"/>
      <c r="H446" s="43" t="n"/>
      <c r="I446" s="43">
        <f>I334</f>
        <v/>
      </c>
      <c r="J446" s="43" t="n"/>
      <c r="K446" s="43" t="n"/>
      <c r="L446" s="43" t="n"/>
      <c r="M446" s="43" t="n"/>
      <c r="N446" s="43">
        <f>N334</f>
        <v/>
      </c>
      <c r="O446" s="43" t="n"/>
      <c r="P446" s="43" t="n"/>
      <c r="Q446" s="43" t="n"/>
      <c r="R446" s="43" t="n"/>
      <c r="S446" s="43">
        <f>S334</f>
        <v/>
      </c>
      <c r="T446" s="43" t="n"/>
      <c r="U446" s="43" t="n"/>
      <c r="V446" s="43" t="n"/>
      <c r="W446" s="43" t="n"/>
      <c r="X446" s="43">
        <f>X334</f>
        <v/>
      </c>
      <c r="Y446" s="43" t="n"/>
      <c r="Z446" s="43" t="n"/>
      <c r="AA446" s="43" t="n"/>
      <c r="AB446" s="43" t="n"/>
      <c r="AC446" s="43">
        <f>AC334</f>
        <v/>
      </c>
      <c r="AD446" s="43" t="n"/>
      <c r="AE446" s="43" t="n"/>
      <c r="AF446" s="43" t="n"/>
      <c r="AG446" s="43" t="n"/>
      <c r="AH446" s="43">
        <f>AH334</f>
        <v/>
      </c>
      <c r="AI446" s="43" t="n"/>
      <c r="AJ446" s="43" t="n"/>
      <c r="AK446" s="43" t="n"/>
      <c r="AL446" s="43" t="n"/>
      <c r="AM446" s="43">
        <f>AM334</f>
        <v/>
      </c>
      <c r="AN446" s="43" t="n"/>
      <c r="AO446" s="43" t="n"/>
      <c r="AP446" s="43" t="n"/>
      <c r="AQ446" s="43" t="n"/>
      <c r="AR446" s="43">
        <f>AR334</f>
        <v/>
      </c>
      <c r="AS446" s="43" t="n"/>
      <c r="AT446" s="43" t="n"/>
      <c r="AU446" s="45" t="n"/>
      <c r="AV446" s="45" t="n"/>
      <c r="AW446" s="45">
        <f>AW334</f>
        <v/>
      </c>
      <c r="AX446" s="45">
        <f>AX334</f>
        <v/>
      </c>
      <c r="AY446" s="45">
        <f>AY334</f>
        <v/>
      </c>
      <c r="AZ446" s="45">
        <f>AZ334</f>
        <v/>
      </c>
      <c r="BA446" s="45">
        <f>BA334</f>
        <v/>
      </c>
      <c r="BB446" s="26" t="n"/>
    </row>
    <row r="447">
      <c r="B447" s="27" t="inlineStr">
        <is>
          <t xml:space="preserve">  − Goodwill &amp; acquired intangible assets</t>
        </is>
      </c>
      <c r="C447" s="43">
        <f>IF(ISNUMBER(C331),-(C331+C330),"n/a")</f>
        <v/>
      </c>
      <c r="D447" s="43">
        <f>IF(ISNUMBER(D331),-(D331+D330),"n/a")</f>
        <v/>
      </c>
      <c r="E447" s="43" t="n"/>
      <c r="F447" s="43" t="n"/>
      <c r="G447" s="43" t="n"/>
      <c r="H447" s="43" t="n"/>
      <c r="I447" s="43">
        <f>IF(ISNUMBER(I331),-(I331+I330),"n/a")</f>
        <v/>
      </c>
      <c r="J447" s="43" t="n"/>
      <c r="K447" s="43" t="n"/>
      <c r="L447" s="43" t="n"/>
      <c r="M447" s="43" t="n"/>
      <c r="N447" s="43">
        <f>IF(ISNUMBER(N331),-(N331+N330),"n/a")</f>
        <v/>
      </c>
      <c r="O447" s="43" t="n"/>
      <c r="P447" s="43" t="n"/>
      <c r="Q447" s="43" t="n"/>
      <c r="R447" s="43" t="n"/>
      <c r="S447" s="43">
        <f>IF(ISNUMBER(S331),-(S331+S330),"n/a")</f>
        <v/>
      </c>
      <c r="T447" s="43" t="n"/>
      <c r="U447" s="43" t="n"/>
      <c r="V447" s="43" t="n"/>
      <c r="W447" s="43" t="n"/>
      <c r="X447" s="43">
        <f>IF(ISNUMBER(X331),-(X331+X330),"n/a")</f>
        <v/>
      </c>
      <c r="Y447" s="43" t="n"/>
      <c r="Z447" s="43" t="n"/>
      <c r="AA447" s="43" t="n"/>
      <c r="AB447" s="43" t="n"/>
      <c r="AC447" s="43">
        <f>IF(ISNUMBER(AC331),-(AC331+AC330),"n/a")</f>
        <v/>
      </c>
      <c r="AD447" s="43" t="n"/>
      <c r="AE447" s="43" t="n"/>
      <c r="AF447" s="43" t="n"/>
      <c r="AG447" s="43" t="n"/>
      <c r="AH447" s="43">
        <f>IF(ISNUMBER(AH331),-(AH331+AH330),"n/a")</f>
        <v/>
      </c>
      <c r="AI447" s="43" t="n"/>
      <c r="AJ447" s="43" t="n"/>
      <c r="AK447" s="43" t="n"/>
      <c r="AL447" s="43" t="n"/>
      <c r="AM447" s="43">
        <f>IF(ISNUMBER(AM331),-(AM331+AM330),"n/a")</f>
        <v/>
      </c>
      <c r="AN447" s="43" t="n"/>
      <c r="AO447" s="43" t="n"/>
      <c r="AP447" s="43" t="n"/>
      <c r="AQ447" s="43" t="n"/>
      <c r="AR447" s="43">
        <f>IF(ISNUMBER(AR331),-(AR331+AR330),"n/a")</f>
        <v/>
      </c>
      <c r="AS447" s="43" t="n"/>
      <c r="AT447" s="43" t="n"/>
      <c r="AU447" s="45" t="n"/>
      <c r="AV447" s="45" t="n"/>
      <c r="AW447" s="45">
        <f>-(AW331+AW330)</f>
        <v/>
      </c>
      <c r="AX447" s="45">
        <f>-(AX331+AX330)</f>
        <v/>
      </c>
      <c r="AY447" s="45">
        <f>-(AY331+AY330)</f>
        <v/>
      </c>
      <c r="AZ447" s="45">
        <f>-(AZ331+AZ330)</f>
        <v/>
      </c>
      <c r="BA447" s="45">
        <f>-(BA331+BA330)</f>
        <v/>
      </c>
      <c r="BB447" s="26" t="n"/>
    </row>
    <row r="448">
      <c r="B448" s="27" t="inlineStr">
        <is>
          <t xml:space="preserve">  − Non-operating investments &amp; deferred tax assets</t>
        </is>
      </c>
      <c r="C448" s="43">
        <f>IF(ISNUMBER(C326),-(C326+C327+N(C332)),"n/a")</f>
        <v/>
      </c>
      <c r="D448" s="43">
        <f>IF(ISNUMBER(D326),-(D326+D327+N(D332)),"n/a")</f>
        <v/>
      </c>
      <c r="E448" s="43" t="n"/>
      <c r="F448" s="43" t="n"/>
      <c r="G448" s="43" t="n"/>
      <c r="H448" s="43" t="n"/>
      <c r="I448" s="43">
        <f>IF(ISNUMBER(I326),-(I326+I327+N(I332)),"n/a")</f>
        <v/>
      </c>
      <c r="J448" s="43" t="n"/>
      <c r="K448" s="43" t="n"/>
      <c r="L448" s="43" t="n"/>
      <c r="M448" s="43" t="n"/>
      <c r="N448" s="43">
        <f>IF(ISNUMBER(N326),-(N326+N327+N(N332)),"n/a")</f>
        <v/>
      </c>
      <c r="O448" s="43" t="n"/>
      <c r="P448" s="43" t="n"/>
      <c r="Q448" s="43" t="n"/>
      <c r="R448" s="43" t="n"/>
      <c r="S448" s="43">
        <f>IF(ISNUMBER(S326),-(S326+S327+N(S332)),"n/a")</f>
        <v/>
      </c>
      <c r="T448" s="43" t="n"/>
      <c r="U448" s="43" t="n"/>
      <c r="V448" s="43" t="n"/>
      <c r="W448" s="43" t="n"/>
      <c r="X448" s="43">
        <f>IF(ISNUMBER(X326),-(X326+X327+N(X332)),"n/a")</f>
        <v/>
      </c>
      <c r="Y448" s="43" t="n"/>
      <c r="Z448" s="43" t="n"/>
      <c r="AA448" s="43" t="n"/>
      <c r="AB448" s="43" t="n"/>
      <c r="AC448" s="43">
        <f>IF(ISNUMBER(AC326),-(AC326+AC327+N(AC332)),"n/a")</f>
        <v/>
      </c>
      <c r="AD448" s="43" t="n"/>
      <c r="AE448" s="43" t="n"/>
      <c r="AF448" s="43" t="n"/>
      <c r="AG448" s="43" t="n"/>
      <c r="AH448" s="43">
        <f>IF(ISNUMBER(AH326),-(AH326+AH327+N(AH332)),"n/a")</f>
        <v/>
      </c>
      <c r="AI448" s="43" t="n"/>
      <c r="AJ448" s="43" t="n"/>
      <c r="AK448" s="43" t="n"/>
      <c r="AL448" s="43" t="n"/>
      <c r="AM448" s="43">
        <f>IF(ISNUMBER(AM326),-(AM326+AM327+N(AM332)),"n/a")</f>
        <v/>
      </c>
      <c r="AN448" s="43" t="n"/>
      <c r="AO448" s="43" t="n"/>
      <c r="AP448" s="43" t="n"/>
      <c r="AQ448" s="43" t="n"/>
      <c r="AR448" s="43">
        <f>IF(ISNUMBER(AR326),-(AR326+AR327+N(AR332)),"n/a")</f>
        <v/>
      </c>
      <c r="AS448" s="43" t="n"/>
      <c r="AT448" s="43" t="n"/>
      <c r="AU448" s="45" t="n"/>
      <c r="AV448" s="45" t="n"/>
      <c r="AW448" s="45">
        <f>-(AW326+AW327+AW332)</f>
        <v/>
      </c>
      <c r="AX448" s="45">
        <f>-(AX326+AX327+AX332)</f>
        <v/>
      </c>
      <c r="AY448" s="45">
        <f>-(AY326+AY327+AY332)</f>
        <v/>
      </c>
      <c r="AZ448" s="45">
        <f>-(AZ326+AZ327+AZ332)</f>
        <v/>
      </c>
      <c r="BA448" s="45">
        <f>-(BA326+BA327+BA332)</f>
        <v/>
      </c>
      <c r="BB448" s="26" t="n"/>
    </row>
    <row r="449">
      <c r="B449" s="27" t="inlineStr">
        <is>
          <t xml:space="preserve">  − Non-interest-bearing current liabilities (total CL excl. debt)</t>
        </is>
      </c>
      <c r="C449" s="43">
        <f>IF(ISNUMBER(C341),-(C341-N(C339)),"n/a")</f>
        <v/>
      </c>
      <c r="D449" s="43">
        <f>IF(ISNUMBER(D341),-(D341-N(D339)),"n/a")</f>
        <v/>
      </c>
      <c r="E449" s="43" t="n"/>
      <c r="F449" s="43" t="n"/>
      <c r="G449" s="43" t="n"/>
      <c r="H449" s="43" t="n"/>
      <c r="I449" s="43">
        <f>IF(ISNUMBER(I341),-(I341-N(I339)),"n/a")</f>
        <v/>
      </c>
      <c r="J449" s="43" t="n"/>
      <c r="K449" s="43" t="n"/>
      <c r="L449" s="43" t="n"/>
      <c r="M449" s="43" t="n"/>
      <c r="N449" s="43">
        <f>IF(ISNUMBER(N341),-(N341-N(N339)),"n/a")</f>
        <v/>
      </c>
      <c r="O449" s="43" t="n"/>
      <c r="P449" s="43" t="n"/>
      <c r="Q449" s="43" t="n"/>
      <c r="R449" s="43" t="n"/>
      <c r="S449" s="43">
        <f>IF(ISNUMBER(S341),-(S341-N(S339)),"n/a")</f>
        <v/>
      </c>
      <c r="T449" s="43" t="n"/>
      <c r="U449" s="43" t="n"/>
      <c r="V449" s="43" t="n"/>
      <c r="W449" s="43" t="n"/>
      <c r="X449" s="43">
        <f>IF(ISNUMBER(X341),-(X341-N(X339)),"n/a")</f>
        <v/>
      </c>
      <c r="Y449" s="43" t="n"/>
      <c r="Z449" s="43" t="n"/>
      <c r="AA449" s="43" t="n"/>
      <c r="AB449" s="43" t="n"/>
      <c r="AC449" s="43">
        <f>IF(ISNUMBER(AC341),-(AC341-N(AC339)),"n/a")</f>
        <v/>
      </c>
      <c r="AD449" s="43" t="n"/>
      <c r="AE449" s="43" t="n"/>
      <c r="AF449" s="43" t="n"/>
      <c r="AG449" s="43" t="n"/>
      <c r="AH449" s="43">
        <f>IF(ISNUMBER(AH341),-(AH341-N(AH339)),"n/a")</f>
        <v/>
      </c>
      <c r="AI449" s="43" t="n"/>
      <c r="AJ449" s="43" t="n"/>
      <c r="AK449" s="43" t="n"/>
      <c r="AL449" s="43" t="n"/>
      <c r="AM449" s="43">
        <f>IF(ISNUMBER(AM341),-(AM341-N(AM339)),"n/a")</f>
        <v/>
      </c>
      <c r="AN449" s="43" t="n"/>
      <c r="AO449" s="43" t="n"/>
      <c r="AP449" s="43" t="n"/>
      <c r="AQ449" s="43" t="n"/>
      <c r="AR449" s="43">
        <f>IF(ISNUMBER(AR341),-(AR341-N(AR339)),"n/a")</f>
        <v/>
      </c>
      <c r="AS449" s="43" t="n"/>
      <c r="AT449" s="43" t="n"/>
      <c r="AU449" s="45" t="n"/>
      <c r="AV449" s="45" t="n"/>
      <c r="AW449" s="45">
        <f>-(AW341-AW339)</f>
        <v/>
      </c>
      <c r="AX449" s="45">
        <f>-(AX341-AX339)</f>
        <v/>
      </c>
      <c r="AY449" s="45">
        <f>-(AY341-AY339)</f>
        <v/>
      </c>
      <c r="AZ449" s="45">
        <f>-(AZ341-AZ339)</f>
        <v/>
      </c>
      <c r="BA449" s="45">
        <f>-(BA341-BA339)</f>
        <v/>
      </c>
      <c r="BB449" s="26" t="n"/>
    </row>
    <row r="450">
      <c r="B450" s="27" t="inlineStr">
        <is>
          <t xml:space="preserve">  = Net tangible assets</t>
        </is>
      </c>
      <c r="C450" s="43">
        <f>IFERROR(SUM(C446,C447,C448,C449),"n/a")</f>
        <v/>
      </c>
      <c r="D450" s="43">
        <f>IFERROR(SUM(D446,D447,D448,D449),"n/a")</f>
        <v/>
      </c>
      <c r="E450" s="43" t="n"/>
      <c r="F450" s="43" t="n"/>
      <c r="G450" s="43" t="n"/>
      <c r="H450" s="43" t="n"/>
      <c r="I450" s="43">
        <f>IFERROR(SUM(I446,I447,I448,I449),"n/a")</f>
        <v/>
      </c>
      <c r="J450" s="43" t="n"/>
      <c r="K450" s="43" t="n"/>
      <c r="L450" s="43" t="n"/>
      <c r="M450" s="43" t="n"/>
      <c r="N450" s="43">
        <f>IFERROR(SUM(N446,N447,N448,N449),"n/a")</f>
        <v/>
      </c>
      <c r="O450" s="43" t="n"/>
      <c r="P450" s="43" t="n"/>
      <c r="Q450" s="43" t="n"/>
      <c r="R450" s="43" t="n"/>
      <c r="S450" s="43">
        <f>IFERROR(SUM(S446,S447,S448,S449),"n/a")</f>
        <v/>
      </c>
      <c r="T450" s="43" t="n"/>
      <c r="U450" s="43" t="n"/>
      <c r="V450" s="43" t="n"/>
      <c r="W450" s="43" t="n"/>
      <c r="X450" s="43">
        <f>IFERROR(SUM(X446,X447,X448,X449),"n/a")</f>
        <v/>
      </c>
      <c r="Y450" s="43" t="n"/>
      <c r="Z450" s="43" t="n"/>
      <c r="AA450" s="43" t="n"/>
      <c r="AB450" s="43" t="n"/>
      <c r="AC450" s="43">
        <f>IFERROR(SUM(AC446,AC447,AC448,AC449),"n/a")</f>
        <v/>
      </c>
      <c r="AD450" s="43" t="n"/>
      <c r="AE450" s="43" t="n"/>
      <c r="AF450" s="43" t="n"/>
      <c r="AG450" s="43" t="n"/>
      <c r="AH450" s="43">
        <f>IFERROR(SUM(AH446,AH447,AH448,AH449),"n/a")</f>
        <v/>
      </c>
      <c r="AI450" s="43" t="n"/>
      <c r="AJ450" s="43" t="n"/>
      <c r="AK450" s="43" t="n"/>
      <c r="AL450" s="43" t="n"/>
      <c r="AM450" s="43">
        <f>IFERROR(SUM(AM446,AM447,AM448,AM449),"n/a")</f>
        <v/>
      </c>
      <c r="AN450" s="43" t="n"/>
      <c r="AO450" s="43" t="n"/>
      <c r="AP450" s="43" t="n"/>
      <c r="AQ450" s="43" t="n"/>
      <c r="AR450" s="43">
        <f>IFERROR(SUM(AR446,AR447,AR448,AR449),"n/a")</f>
        <v/>
      </c>
      <c r="AS450" s="43" t="n"/>
      <c r="AT450" s="43" t="n"/>
      <c r="AU450" s="45" t="n"/>
      <c r="AV450" s="45" t="n"/>
      <c r="AW450" s="45">
        <f>SUM(AW446,AW447,AW448,AW449)</f>
        <v/>
      </c>
      <c r="AX450" s="45">
        <f>SUM(AX446,AX447,AX448,AX449)</f>
        <v/>
      </c>
      <c r="AY450" s="45">
        <f>SUM(AY446,AY447,AY448,AY449)</f>
        <v/>
      </c>
      <c r="AZ450" s="45">
        <f>SUM(AZ446,AZ447,AZ448,AZ449)</f>
        <v/>
      </c>
      <c r="BA450" s="45">
        <f>SUM(BA446,BA447,BA448,BA449)</f>
        <v/>
      </c>
      <c r="BB450" s="26" t="n"/>
    </row>
    <row r="451">
      <c r="B451" s="16" t="inlineStr">
        <is>
          <t>RONTA = NOPAT / NTA</t>
        </is>
      </c>
      <c r="C451" s="68">
        <f>IF(AND(ISNUMBER(C445),ISNUMBER(C450)),IF(OR(C445&lt;0,C450&lt;=0),"n/m",C445/C450),"n/a")</f>
        <v/>
      </c>
      <c r="D451" s="68">
        <f>IF(AND(ISNUMBER(D445),ISNUMBER(D450)),IF(OR(D445&lt;0,D450&lt;=0),"n/m",D445/D450),"n/a")</f>
        <v/>
      </c>
      <c r="E451" s="68" t="n"/>
      <c r="F451" s="68" t="n"/>
      <c r="G451" s="68" t="n"/>
      <c r="H451" s="68" t="n"/>
      <c r="I451" s="68">
        <f>IF(AND(ISNUMBER(I445),ISNUMBER(I450)),IF(OR(I445&lt;0,I450&lt;=0),"n/m",I445/I450),"n/a")</f>
        <v/>
      </c>
      <c r="J451" s="68" t="n"/>
      <c r="K451" s="68" t="n"/>
      <c r="L451" s="68" t="n"/>
      <c r="M451" s="68" t="n"/>
      <c r="N451" s="68">
        <f>IF(AND(ISNUMBER(N445),ISNUMBER(N450)),IF(OR(N445&lt;0,N450&lt;=0),"n/m",N445/N450),"n/a")</f>
        <v/>
      </c>
      <c r="O451" s="68" t="n"/>
      <c r="P451" s="68" t="n"/>
      <c r="Q451" s="68" t="n"/>
      <c r="R451" s="68" t="n"/>
      <c r="S451" s="68">
        <f>IF(AND(ISNUMBER(S445),ISNUMBER(S450)),IF(OR(S445&lt;0,S450&lt;=0),"n/m",S445/S450),"n/a")</f>
        <v/>
      </c>
      <c r="T451" s="68" t="n"/>
      <c r="U451" s="68" t="n"/>
      <c r="V451" s="68" t="n"/>
      <c r="W451" s="68" t="n"/>
      <c r="X451" s="68">
        <f>IF(AND(ISNUMBER(X445),ISNUMBER(X450)),IF(OR(X445&lt;0,X450&lt;=0),"n/m",X445/X450),"n/a")</f>
        <v/>
      </c>
      <c r="Y451" s="68" t="n"/>
      <c r="Z451" s="68" t="n"/>
      <c r="AA451" s="68" t="n"/>
      <c r="AB451" s="68" t="n"/>
      <c r="AC451" s="68">
        <f>IF(AND(ISNUMBER(AC445),ISNUMBER(AC450)),IF(OR(AC445&lt;0,AC450&lt;=0),"n/m",AC445/AC450),"n/a")</f>
        <v/>
      </c>
      <c r="AD451" s="68" t="n"/>
      <c r="AE451" s="68" t="n"/>
      <c r="AF451" s="68" t="n"/>
      <c r="AG451" s="68" t="n"/>
      <c r="AH451" s="68">
        <f>IF(AND(ISNUMBER(AH445),ISNUMBER(AH450)),IF(OR(AH445&lt;0,AH450&lt;=0),"n/m",AH445/AH450),"n/a")</f>
        <v/>
      </c>
      <c r="AI451" s="68" t="n"/>
      <c r="AJ451" s="68" t="n"/>
      <c r="AK451" s="68" t="n"/>
      <c r="AL451" s="68" t="n"/>
      <c r="AM451" s="68">
        <f>IF(AND(ISNUMBER(AM445),ISNUMBER(AM450)),IF(OR(AM445&lt;0,AM450&lt;=0),"n/m",AM445/AM450),"n/a")</f>
        <v/>
      </c>
      <c r="AN451" s="68" t="n"/>
      <c r="AO451" s="68" t="n"/>
      <c r="AP451" s="68" t="n"/>
      <c r="AQ451" s="68" t="n"/>
      <c r="AR451" s="68">
        <f>IF(AND(ISNUMBER(AR445),ISNUMBER(AR450)),IF(OR(AR445&lt;0,AR450&lt;=0),"n/m",AR445/AR450),"n/a")</f>
        <v/>
      </c>
      <c r="AS451" s="68" t="n"/>
      <c r="AT451" s="68" t="n"/>
      <c r="AU451" s="69" t="n"/>
      <c r="AV451" s="69" t="n"/>
      <c r="AW451" s="69">
        <f>IFERROR(AW445/AW450,"n/a")</f>
        <v/>
      </c>
      <c r="AX451" s="69">
        <f>IFERROR(AX445/AX450,"n/a")</f>
        <v/>
      </c>
      <c r="AY451" s="69">
        <f>IFERROR(AY445/AY450,"n/a")</f>
        <v/>
      </c>
      <c r="AZ451" s="69">
        <f>IFERROR(AZ445/AZ450,"n/a")</f>
        <v/>
      </c>
      <c r="BA451" s="69">
        <f>IFERROR(BA445/BA450,"n/a")</f>
        <v/>
      </c>
      <c r="BB451" s="26" t="n"/>
    </row>
    <row r="452">
      <c r="B452" s="27" t="inlineStr">
        <is>
          <t>Return on Equity (ROE)</t>
        </is>
      </c>
    </row>
    <row r="453">
      <c r="B453" s="16" t="inlineStr">
        <is>
          <t>Net income attributable to Uber</t>
        </is>
      </c>
      <c r="C453" s="36">
        <f>C168</f>
        <v/>
      </c>
      <c r="D453" s="36">
        <f>D168</f>
        <v/>
      </c>
      <c r="E453" s="36" t="n"/>
      <c r="F453" s="36" t="n"/>
      <c r="G453" s="36" t="n"/>
      <c r="H453" s="36" t="n"/>
      <c r="I453" s="36">
        <f>I168</f>
        <v/>
      </c>
      <c r="J453" s="36" t="n"/>
      <c r="K453" s="36" t="n"/>
      <c r="L453" s="36" t="n"/>
      <c r="M453" s="36" t="n"/>
      <c r="N453" s="36">
        <f>N168</f>
        <v/>
      </c>
      <c r="O453" s="36" t="n"/>
      <c r="P453" s="36" t="n"/>
      <c r="Q453" s="36" t="n"/>
      <c r="R453" s="36" t="n"/>
      <c r="S453" s="36">
        <f>S168</f>
        <v/>
      </c>
      <c r="T453" s="36" t="n"/>
      <c r="U453" s="36" t="n"/>
      <c r="V453" s="36" t="n"/>
      <c r="W453" s="36" t="n"/>
      <c r="X453" s="36">
        <f>X168</f>
        <v/>
      </c>
      <c r="Y453" s="36" t="n"/>
      <c r="Z453" s="36" t="n"/>
      <c r="AA453" s="36" t="n"/>
      <c r="AB453" s="36" t="n"/>
      <c r="AC453" s="36">
        <f>AC168</f>
        <v/>
      </c>
      <c r="AD453" s="36" t="n"/>
      <c r="AE453" s="36" t="n"/>
      <c r="AF453" s="36" t="n"/>
      <c r="AG453" s="36" t="n"/>
      <c r="AH453" s="36">
        <f>AH168</f>
        <v/>
      </c>
      <c r="AI453" s="36" t="n"/>
      <c r="AJ453" s="36" t="n"/>
      <c r="AK453" s="36" t="n"/>
      <c r="AL453" s="36" t="n"/>
      <c r="AM453" s="36">
        <f>AM168</f>
        <v/>
      </c>
      <c r="AN453" s="36" t="n"/>
      <c r="AO453" s="36" t="n"/>
      <c r="AP453" s="36" t="n"/>
      <c r="AQ453" s="36" t="n"/>
      <c r="AR453" s="36">
        <f>AR168</f>
        <v/>
      </c>
      <c r="AS453" s="36" t="n"/>
      <c r="AT453" s="36" t="n"/>
      <c r="AU453" s="18" t="n"/>
      <c r="AV453" s="18" t="n"/>
      <c r="AW453" s="18">
        <f>AW168</f>
        <v/>
      </c>
      <c r="AX453" s="18">
        <f>AX168</f>
        <v/>
      </c>
      <c r="AY453" s="18">
        <f>AY168</f>
        <v/>
      </c>
      <c r="AZ453" s="18">
        <f>AZ168</f>
        <v/>
      </c>
      <c r="BA453" s="18">
        <f>BA168</f>
        <v/>
      </c>
      <c r="BB453" s="26" t="n"/>
    </row>
    <row r="454">
      <c r="B454" s="16" t="inlineStr">
        <is>
          <t>Uber stockholders' equity</t>
        </is>
      </c>
      <c r="C454" s="36">
        <f>C353</f>
        <v/>
      </c>
      <c r="D454" s="36">
        <f>D353</f>
        <v/>
      </c>
      <c r="E454" s="36" t="n"/>
      <c r="F454" s="36" t="n"/>
      <c r="G454" s="36" t="n"/>
      <c r="H454" s="36" t="n"/>
      <c r="I454" s="36">
        <f>I353</f>
        <v/>
      </c>
      <c r="J454" s="36" t="n"/>
      <c r="K454" s="36" t="n"/>
      <c r="L454" s="36" t="n"/>
      <c r="M454" s="36" t="n"/>
      <c r="N454" s="36">
        <f>N353</f>
        <v/>
      </c>
      <c r="O454" s="36" t="n"/>
      <c r="P454" s="36" t="n"/>
      <c r="Q454" s="36" t="n"/>
      <c r="R454" s="36" t="n"/>
      <c r="S454" s="36">
        <f>S353</f>
        <v/>
      </c>
      <c r="T454" s="36" t="n"/>
      <c r="U454" s="36" t="n"/>
      <c r="V454" s="36" t="n"/>
      <c r="W454" s="36" t="n"/>
      <c r="X454" s="36">
        <f>X353</f>
        <v/>
      </c>
      <c r="Y454" s="36" t="n"/>
      <c r="Z454" s="36" t="n"/>
      <c r="AA454" s="36" t="n"/>
      <c r="AB454" s="36" t="n"/>
      <c r="AC454" s="36">
        <f>AC353</f>
        <v/>
      </c>
      <c r="AD454" s="36" t="n"/>
      <c r="AE454" s="36" t="n"/>
      <c r="AF454" s="36" t="n"/>
      <c r="AG454" s="36" t="n"/>
      <c r="AH454" s="36">
        <f>AH353</f>
        <v/>
      </c>
      <c r="AI454" s="36" t="n"/>
      <c r="AJ454" s="36" t="n"/>
      <c r="AK454" s="36" t="n"/>
      <c r="AL454" s="36" t="n"/>
      <c r="AM454" s="36">
        <f>AM353</f>
        <v/>
      </c>
      <c r="AN454" s="36" t="n"/>
      <c r="AO454" s="36" t="n"/>
      <c r="AP454" s="36" t="n"/>
      <c r="AQ454" s="36" t="n"/>
      <c r="AR454" s="36">
        <f>AR353</f>
        <v/>
      </c>
      <c r="AS454" s="36" t="n"/>
      <c r="AT454" s="36" t="n"/>
      <c r="AU454" s="18" t="n"/>
      <c r="AV454" s="18" t="n"/>
      <c r="AW454" s="18">
        <f>AW353</f>
        <v/>
      </c>
      <c r="AX454" s="18">
        <f>AX353</f>
        <v/>
      </c>
      <c r="AY454" s="18">
        <f>AY353</f>
        <v/>
      </c>
      <c r="AZ454" s="18">
        <f>AZ353</f>
        <v/>
      </c>
      <c r="BA454" s="18">
        <f>BA353</f>
        <v/>
      </c>
      <c r="BB454" s="26" t="n"/>
    </row>
    <row r="455">
      <c r="B455" s="16" t="inlineStr">
        <is>
          <t>ROE = Net income / Equity</t>
        </is>
      </c>
      <c r="C455" s="68">
        <f>IF(AND(ISNUMBER(C453),ISNUMBER(C454)),IF(C454&lt;=0,"n/m",C453/C454),"n/a")</f>
        <v/>
      </c>
      <c r="D455" s="68">
        <f>IF(AND(ISNUMBER(D453),ISNUMBER(D454)),IF(D454&lt;=0,"n/m",D453/D454),"n/a")</f>
        <v/>
      </c>
      <c r="E455" s="68" t="n"/>
      <c r="F455" s="68" t="n"/>
      <c r="G455" s="68" t="n"/>
      <c r="H455" s="68" t="n"/>
      <c r="I455" s="68">
        <f>IF(AND(ISNUMBER(I453),ISNUMBER(I454)),IF(I454&lt;=0,"n/m",I453/I454),"n/a")</f>
        <v/>
      </c>
      <c r="J455" s="68" t="n"/>
      <c r="K455" s="68" t="n"/>
      <c r="L455" s="68" t="n"/>
      <c r="M455" s="68" t="n"/>
      <c r="N455" s="68">
        <f>IF(AND(ISNUMBER(N453),ISNUMBER(N454)),IF(N454&lt;=0,"n/m",N453/N454),"n/a")</f>
        <v/>
      </c>
      <c r="O455" s="68" t="n"/>
      <c r="P455" s="68" t="n"/>
      <c r="Q455" s="68" t="n"/>
      <c r="R455" s="68" t="n"/>
      <c r="S455" s="68">
        <f>IF(AND(ISNUMBER(S453),ISNUMBER(S454)),IF(S454&lt;=0,"n/m",S453/S454),"n/a")</f>
        <v/>
      </c>
      <c r="T455" s="68" t="n"/>
      <c r="U455" s="68" t="n"/>
      <c r="V455" s="68" t="n"/>
      <c r="W455" s="68" t="n"/>
      <c r="X455" s="68">
        <f>IF(AND(ISNUMBER(X453),ISNUMBER(X454)),IF(X454&lt;=0,"n/m",X453/X454),"n/a")</f>
        <v/>
      </c>
      <c r="Y455" s="68" t="n"/>
      <c r="Z455" s="68" t="n"/>
      <c r="AA455" s="68" t="n"/>
      <c r="AB455" s="68" t="n"/>
      <c r="AC455" s="68">
        <f>IF(AND(ISNUMBER(AC453),ISNUMBER(AC454)),IF(AC454&lt;=0,"n/m",AC453/AC454),"n/a")</f>
        <v/>
      </c>
      <c r="AD455" s="68" t="n"/>
      <c r="AE455" s="68" t="n"/>
      <c r="AF455" s="68" t="n"/>
      <c r="AG455" s="68" t="n"/>
      <c r="AH455" s="68">
        <f>IF(AND(ISNUMBER(AH453),ISNUMBER(AH454)),IF(AH454&lt;=0,"n/m",AH453/AH454),"n/a")</f>
        <v/>
      </c>
      <c r="AI455" s="68" t="n"/>
      <c r="AJ455" s="68" t="n"/>
      <c r="AK455" s="68" t="n"/>
      <c r="AL455" s="68" t="n"/>
      <c r="AM455" s="68">
        <f>IF(AND(ISNUMBER(AM453),ISNUMBER(AM454)),IF(AM454&lt;=0,"n/m",AM453/AM454),"n/a")</f>
        <v/>
      </c>
      <c r="AN455" s="68" t="n"/>
      <c r="AO455" s="68" t="n"/>
      <c r="AP455" s="68" t="n"/>
      <c r="AQ455" s="68" t="n"/>
      <c r="AR455" s="68">
        <f>IF(AND(ISNUMBER(AR453),ISNUMBER(AR454)),IF(AR454&lt;=0,"n/m",AR453/AR454),"n/a")</f>
        <v/>
      </c>
      <c r="AS455" s="68" t="n"/>
      <c r="AT455" s="68" t="n"/>
      <c r="AU455" s="69" t="n"/>
      <c r="AV455" s="69" t="n"/>
      <c r="AW455" s="69">
        <f>IFERROR(AW453/AW454,"n/a")</f>
        <v/>
      </c>
      <c r="AX455" s="69">
        <f>IFERROR(AX453/AX454,"n/a")</f>
        <v/>
      </c>
      <c r="AY455" s="69">
        <f>IFERROR(AY453/AY454,"n/a")</f>
        <v/>
      </c>
      <c r="AZ455" s="69">
        <f>IFERROR(AZ453/AZ454,"n/a")</f>
        <v/>
      </c>
      <c r="BA455" s="69">
        <f>IFERROR(BA453/BA454,"n/a")</f>
        <v/>
      </c>
      <c r="BB455" s="26" t="n"/>
    </row>
    <row r="456">
      <c r="B456" s="27" t="inlineStr">
        <is>
          <t>Leverage</t>
        </is>
      </c>
    </row>
    <row r="457">
      <c r="B457" s="16" t="inlineStr">
        <is>
          <t>Net debt = Total debt − cash − short-term investments</t>
        </is>
      </c>
      <c r="C457" s="36">
        <f>C437</f>
        <v/>
      </c>
      <c r="D457" s="36">
        <f>D437</f>
        <v/>
      </c>
      <c r="E457" s="36" t="n"/>
      <c r="F457" s="36" t="n"/>
      <c r="G457" s="36" t="n"/>
      <c r="H457" s="36" t="n"/>
      <c r="I457" s="36">
        <f>I437</f>
        <v/>
      </c>
      <c r="J457" s="36" t="n"/>
      <c r="K457" s="36" t="n"/>
      <c r="L457" s="36" t="n"/>
      <c r="M457" s="36" t="n"/>
      <c r="N457" s="36">
        <f>N437</f>
        <v/>
      </c>
      <c r="O457" s="36" t="n"/>
      <c r="P457" s="36" t="n"/>
      <c r="Q457" s="36" t="n"/>
      <c r="R457" s="36" t="n"/>
      <c r="S457" s="36">
        <f>S437</f>
        <v/>
      </c>
      <c r="T457" s="36" t="n"/>
      <c r="U457" s="36" t="n"/>
      <c r="V457" s="36" t="n"/>
      <c r="W457" s="36" t="n"/>
      <c r="X457" s="36">
        <f>X437</f>
        <v/>
      </c>
      <c r="Y457" s="36" t="n"/>
      <c r="Z457" s="36" t="n"/>
      <c r="AA457" s="36" t="n"/>
      <c r="AB457" s="36" t="n"/>
      <c r="AC457" s="36">
        <f>AC437</f>
        <v/>
      </c>
      <c r="AD457" s="36" t="n"/>
      <c r="AE457" s="36" t="n"/>
      <c r="AF457" s="36" t="n"/>
      <c r="AG457" s="36" t="n"/>
      <c r="AH457" s="36">
        <f>AH437</f>
        <v/>
      </c>
      <c r="AI457" s="36" t="n"/>
      <c r="AJ457" s="36" t="n"/>
      <c r="AK457" s="36" t="n"/>
      <c r="AL457" s="36" t="n"/>
      <c r="AM457" s="36">
        <f>AM437</f>
        <v/>
      </c>
      <c r="AN457" s="36" t="n"/>
      <c r="AO457" s="36" t="n"/>
      <c r="AP457" s="36" t="n"/>
      <c r="AQ457" s="36" t="n"/>
      <c r="AR457" s="36">
        <f>AR437</f>
        <v/>
      </c>
      <c r="AS457" s="36" t="n"/>
      <c r="AT457" s="36" t="n"/>
      <c r="AU457" s="18" t="n"/>
      <c r="AV457" s="18" t="n"/>
      <c r="AW457" s="18">
        <f>AW437</f>
        <v/>
      </c>
      <c r="AX457" s="18">
        <f>AX437</f>
        <v/>
      </c>
      <c r="AY457" s="18">
        <f>AY437</f>
        <v/>
      </c>
      <c r="AZ457" s="18">
        <f>AZ437</f>
        <v/>
      </c>
      <c r="BA457" s="18">
        <f>BA437</f>
        <v/>
      </c>
      <c r="BB457" s="26" t="n"/>
    </row>
    <row r="458">
      <c r="B458" s="16" t="inlineStr">
        <is>
          <t>Adjusted EBITDA (2027E pro forma for Delivery Hero full year)</t>
        </is>
      </c>
      <c r="C458" s="36">
        <f>C216</f>
        <v/>
      </c>
      <c r="D458" s="36">
        <f>D216</f>
        <v/>
      </c>
      <c r="E458" s="36" t="n"/>
      <c r="F458" s="36" t="n"/>
      <c r="G458" s="36" t="n"/>
      <c r="H458" s="36" t="n"/>
      <c r="I458" s="36">
        <f>I216</f>
        <v/>
      </c>
      <c r="J458" s="36" t="n"/>
      <c r="K458" s="36" t="n"/>
      <c r="L458" s="36" t="n"/>
      <c r="M458" s="36" t="n"/>
      <c r="N458" s="36">
        <f>N216</f>
        <v/>
      </c>
      <c r="O458" s="36" t="n"/>
      <c r="P458" s="36" t="n"/>
      <c r="Q458" s="36" t="n"/>
      <c r="R458" s="36" t="n"/>
      <c r="S458" s="36">
        <f>S216</f>
        <v/>
      </c>
      <c r="T458" s="36" t="n"/>
      <c r="U458" s="36" t="n"/>
      <c r="V458" s="36" t="n"/>
      <c r="W458" s="36" t="n"/>
      <c r="X458" s="36">
        <f>X216</f>
        <v/>
      </c>
      <c r="Y458" s="36" t="n"/>
      <c r="Z458" s="36" t="n"/>
      <c r="AA458" s="36" t="n"/>
      <c r="AB458" s="36" t="n"/>
      <c r="AC458" s="36">
        <f>AC216</f>
        <v/>
      </c>
      <c r="AD458" s="36" t="n"/>
      <c r="AE458" s="36" t="n"/>
      <c r="AF458" s="36" t="n"/>
      <c r="AG458" s="36" t="n"/>
      <c r="AH458" s="36">
        <f>AH216</f>
        <v/>
      </c>
      <c r="AI458" s="36" t="n"/>
      <c r="AJ458" s="36" t="n"/>
      <c r="AK458" s="36" t="n"/>
      <c r="AL458" s="36" t="n"/>
      <c r="AM458" s="36">
        <f>AM216</f>
        <v/>
      </c>
      <c r="AN458" s="36" t="n"/>
      <c r="AO458" s="36" t="n"/>
      <c r="AP458" s="36" t="n"/>
      <c r="AQ458" s="36" t="n"/>
      <c r="AR458" s="36">
        <f>AR216</f>
        <v/>
      </c>
      <c r="AS458" s="36" t="n"/>
      <c r="AT458" s="36" t="n"/>
      <c r="AU458" s="18" t="n"/>
      <c r="AV458" s="18" t="n"/>
      <c r="AW458" s="18">
        <f>AW216</f>
        <v/>
      </c>
      <c r="AX458" s="18">
        <f>AX216</f>
        <v/>
      </c>
      <c r="AY458" s="18">
        <f>AY216</f>
        <v/>
      </c>
      <c r="AZ458" s="18">
        <f>AZ216</f>
        <v/>
      </c>
      <c r="BA458" s="18">
        <f>BA216</f>
        <v/>
      </c>
      <c r="BB458" s="26" t="n"/>
    </row>
    <row r="459">
      <c r="B459" s="16" t="inlineStr">
        <is>
          <t>Net debt / Adjusted EBITDA (x)</t>
        </is>
      </c>
      <c r="C459" s="162">
        <f>IF(AND(ISNUMBER(C457),ISNUMBER(C458)),IF(C458&lt;=0,"n/m",C457/C458),"n/a")</f>
        <v/>
      </c>
      <c r="D459" s="162">
        <f>IF(AND(ISNUMBER(D457),ISNUMBER(D458)),IF(D458&lt;=0,"n/m",D457/D458),"n/a")</f>
        <v/>
      </c>
      <c r="E459" s="162" t="n"/>
      <c r="F459" s="162" t="n"/>
      <c r="G459" s="162" t="n"/>
      <c r="H459" s="162" t="n"/>
      <c r="I459" s="162">
        <f>IF(AND(ISNUMBER(I457),ISNUMBER(I458)),IF(I458&lt;=0,"n/m",I457/I458),"n/a")</f>
        <v/>
      </c>
      <c r="J459" s="162" t="n"/>
      <c r="K459" s="162" t="n"/>
      <c r="L459" s="162" t="n"/>
      <c r="M459" s="162" t="n"/>
      <c r="N459" s="162">
        <f>IF(AND(ISNUMBER(N457),ISNUMBER(N458)),IF(N458&lt;=0,"n/m",N457/N458),"n/a")</f>
        <v/>
      </c>
      <c r="O459" s="162" t="n"/>
      <c r="P459" s="162" t="n"/>
      <c r="Q459" s="162" t="n"/>
      <c r="R459" s="162" t="n"/>
      <c r="S459" s="162">
        <f>IF(AND(ISNUMBER(S457),ISNUMBER(S458)),IF(S458&lt;=0,"n/m",S457/S458),"n/a")</f>
        <v/>
      </c>
      <c r="T459" s="162" t="n"/>
      <c r="U459" s="162" t="n"/>
      <c r="V459" s="162" t="n"/>
      <c r="W459" s="162" t="n"/>
      <c r="X459" s="162">
        <f>IF(AND(ISNUMBER(X457),ISNUMBER(X458)),IF(X458&lt;=0,"n/m",X457/X458),"n/a")</f>
        <v/>
      </c>
      <c r="Y459" s="162" t="n"/>
      <c r="Z459" s="162" t="n"/>
      <c r="AA459" s="162" t="n"/>
      <c r="AB459" s="162" t="n"/>
      <c r="AC459" s="162">
        <f>IF(AND(ISNUMBER(AC457),ISNUMBER(AC458)),IF(AC458&lt;=0,"n/m",AC457/AC458),"n/a")</f>
        <v/>
      </c>
      <c r="AD459" s="162" t="n"/>
      <c r="AE459" s="162" t="n"/>
      <c r="AF459" s="162" t="n"/>
      <c r="AG459" s="162" t="n"/>
      <c r="AH459" s="162">
        <f>IF(AND(ISNUMBER(AH457),ISNUMBER(AH458)),IF(AH458&lt;=0,"n/m",AH457/AH458),"n/a")</f>
        <v/>
      </c>
      <c r="AI459" s="162" t="n"/>
      <c r="AJ459" s="162" t="n"/>
      <c r="AK459" s="162" t="n"/>
      <c r="AL459" s="162" t="n"/>
      <c r="AM459" s="162">
        <f>IF(AND(ISNUMBER(AM457),ISNUMBER(AM458)),IF(AM458&lt;=0,"n/m",AM457/AM458),"n/a")</f>
        <v/>
      </c>
      <c r="AN459" s="162" t="n"/>
      <c r="AO459" s="162" t="n"/>
      <c r="AP459" s="162" t="n"/>
      <c r="AQ459" s="162" t="n"/>
      <c r="AR459" s="162">
        <f>IF(AND(ISNUMBER(AR457),ISNUMBER(AR458)),IF(AR458&lt;=0,"n/m",AR457/AR458),"n/a")</f>
        <v/>
      </c>
      <c r="AS459" s="162" t="n"/>
      <c r="AT459" s="162" t="n"/>
      <c r="AU459" s="163" t="n"/>
      <c r="AV459" s="163" t="n"/>
      <c r="AW459" s="163">
        <f>IFERROR(AW457/AW458,"n/a")</f>
        <v/>
      </c>
      <c r="AX459" s="163">
        <f>IFERROR(AX457/AX458,"n/a")</f>
        <v/>
      </c>
      <c r="AY459" s="163">
        <f>IFERROR(AY457/AY458,"n/a")</f>
        <v/>
      </c>
      <c r="AZ459" s="163">
        <f>IFERROR(AZ457/AZ458,"n/a")</f>
        <v/>
      </c>
      <c r="BA459" s="163">
        <f>IFERROR(BA457/BA458,"n/a")</f>
        <v/>
      </c>
      <c r="BB459" s="26" t="n"/>
    </row>
    <row r="460">
      <c r="B460" s="16" t="inlineStr">
        <is>
          <t>Gross debt / Adjusted EBITDA (x) — Uber target &lt; 2x</t>
        </is>
      </c>
      <c r="C460" s="162">
        <f>IF(AND(ISNUMBER(C404),ISNUMBER(C458)),IF(C458&lt;=0,"n/m",C404/C458),"n/a")</f>
        <v/>
      </c>
      <c r="D460" s="162">
        <f>IF(AND(ISNUMBER(D404),ISNUMBER(D458)),IF(D458&lt;=0,"n/m",D404/D458),"n/a")</f>
        <v/>
      </c>
      <c r="E460" s="162" t="n"/>
      <c r="F460" s="162" t="n"/>
      <c r="G460" s="162" t="n"/>
      <c r="H460" s="162" t="n"/>
      <c r="I460" s="162">
        <f>IF(AND(ISNUMBER(I404),ISNUMBER(I458)),IF(I458&lt;=0,"n/m",I404/I458),"n/a")</f>
        <v/>
      </c>
      <c r="J460" s="162" t="n"/>
      <c r="K460" s="162" t="n"/>
      <c r="L460" s="162" t="n"/>
      <c r="M460" s="162" t="n"/>
      <c r="N460" s="162">
        <f>IF(AND(ISNUMBER(N404),ISNUMBER(N458)),IF(N458&lt;=0,"n/m",N404/N458),"n/a")</f>
        <v/>
      </c>
      <c r="O460" s="162" t="n"/>
      <c r="P460" s="162" t="n"/>
      <c r="Q460" s="162" t="n"/>
      <c r="R460" s="162" t="n"/>
      <c r="S460" s="162">
        <f>IF(AND(ISNUMBER(S404),ISNUMBER(S458)),IF(S458&lt;=0,"n/m",S404/S458),"n/a")</f>
        <v/>
      </c>
      <c r="T460" s="162" t="n"/>
      <c r="U460" s="162" t="n"/>
      <c r="V460" s="162" t="n"/>
      <c r="W460" s="162" t="n"/>
      <c r="X460" s="162">
        <f>IF(AND(ISNUMBER(X404),ISNUMBER(X458)),IF(X458&lt;=0,"n/m",X404/X458),"n/a")</f>
        <v/>
      </c>
      <c r="Y460" s="162" t="n"/>
      <c r="Z460" s="162" t="n"/>
      <c r="AA460" s="162" t="n"/>
      <c r="AB460" s="162" t="n"/>
      <c r="AC460" s="162">
        <f>IF(AND(ISNUMBER(AC404),ISNUMBER(AC458)),IF(AC458&lt;=0,"n/m",AC404/AC458),"n/a")</f>
        <v/>
      </c>
      <c r="AD460" s="162" t="n"/>
      <c r="AE460" s="162" t="n"/>
      <c r="AF460" s="162" t="n"/>
      <c r="AG460" s="162" t="n"/>
      <c r="AH460" s="162">
        <f>IF(AND(ISNUMBER(AH404),ISNUMBER(AH458)),IF(AH458&lt;=0,"n/m",AH404/AH458),"n/a")</f>
        <v/>
      </c>
      <c r="AI460" s="162" t="n"/>
      <c r="AJ460" s="162" t="n"/>
      <c r="AK460" s="162" t="n"/>
      <c r="AL460" s="162" t="n"/>
      <c r="AM460" s="162">
        <f>IF(AND(ISNUMBER(AM404),ISNUMBER(AM458)),IF(AM458&lt;=0,"n/m",AM404/AM458),"n/a")</f>
        <v/>
      </c>
      <c r="AN460" s="162" t="n"/>
      <c r="AO460" s="162" t="n"/>
      <c r="AP460" s="162" t="n"/>
      <c r="AQ460" s="162" t="n"/>
      <c r="AR460" s="162">
        <f>IF(AND(ISNUMBER(AR404),ISNUMBER(AR458)),IF(AR458&lt;=0,"n/m",AR404/AR458),"n/a")</f>
        <v/>
      </c>
      <c r="AS460" s="162" t="n"/>
      <c r="AT460" s="162" t="n"/>
      <c r="AU460" s="163" t="n"/>
      <c r="AV460" s="163" t="n"/>
      <c r="AW460" s="163">
        <f>IFERROR(AW404/AW458,"n/a")</f>
        <v/>
      </c>
      <c r="AX460" s="163">
        <f>IFERROR(AX404/AX458,"n/a")</f>
        <v/>
      </c>
      <c r="AY460" s="163">
        <f>IFERROR(AY404/AY458,"n/a")</f>
        <v/>
      </c>
      <c r="AZ460" s="163">
        <f>IFERROR(AZ404/AZ458,"n/a")</f>
        <v/>
      </c>
      <c r="BA460" s="163">
        <f>IFERROR(BA404/BA458,"n/a")</f>
        <v/>
      </c>
      <c r="BB460" s="26" t="n"/>
    </row>
    <row r="462">
      <c r="B462" s="10" t="inlineStr">
        <is>
          <t>VALUATION</t>
        </is>
      </c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  <c r="AH462" s="10" t="n"/>
      <c r="AI462" s="10" t="n"/>
      <c r="AJ462" s="10" t="n"/>
      <c r="AK462" s="10" t="n"/>
      <c r="AL462" s="10" t="n"/>
      <c r="AM462" s="10" t="n"/>
      <c r="AN462" s="10" t="n"/>
      <c r="AO462" s="10" t="n"/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0" t="inlineStr">
        <is>
          <t>VALUATION — share price input $70.97 (latest observable on EDGAR: Form 4 tax-withholding price 16-Sep-2026; update to market). Equity investments added back at carrying value.</t>
        </is>
      </c>
    </row>
    <row r="463">
      <c r="B463" s="27" t="inlineStr">
        <is>
          <t>Share price ($) — current</t>
        </is>
      </c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  <c r="AA463" s="30" t="n"/>
      <c r="AB463" s="30" t="n"/>
      <c r="AC463" s="30" t="n"/>
      <c r="AD463" s="30" t="n"/>
      <c r="AE463" s="30" t="n"/>
      <c r="AF463" s="30" t="n"/>
      <c r="AG463" s="30" t="n"/>
      <c r="AH463" s="30" t="n"/>
      <c r="AI463" s="30" t="n"/>
      <c r="AJ463" s="30" t="n"/>
      <c r="AK463" s="30" t="n"/>
      <c r="AL463" s="30" t="n"/>
      <c r="AM463" s="30" t="n"/>
      <c r="AN463" s="30" t="n"/>
      <c r="AO463" s="30" t="n"/>
      <c r="AP463" s="30" t="n"/>
      <c r="AQ463" s="30" t="n"/>
      <c r="AR463" s="30" t="n"/>
      <c r="AS463" s="30" t="n"/>
      <c r="AT463" s="30" t="n"/>
      <c r="AU463" s="31" t="n"/>
      <c r="AV463" s="31" t="n"/>
      <c r="AW463" s="67" t="n">
        <v>70.97</v>
      </c>
      <c r="AX463" s="31">
        <f>AW463</f>
        <v/>
      </c>
      <c r="AY463" s="31">
        <f>AX463</f>
        <v/>
      </c>
      <c r="AZ463" s="31">
        <f>AY463</f>
        <v/>
      </c>
      <c r="BA463" s="31">
        <f>AZ463</f>
        <v/>
      </c>
      <c r="BB463" s="26" t="n"/>
    </row>
    <row r="464">
      <c r="B464" s="27" t="inlineStr">
        <is>
          <t>Diluted shares at period end (m)</t>
        </is>
      </c>
      <c r="C464" s="160" t="n"/>
      <c r="D464" s="160" t="n"/>
      <c r="E464" s="160" t="n"/>
      <c r="F464" s="160" t="n"/>
      <c r="G464" s="160" t="n"/>
      <c r="H464" s="160" t="n"/>
      <c r="I464" s="160" t="n"/>
      <c r="J464" s="160" t="n"/>
      <c r="K464" s="160" t="n"/>
      <c r="L464" s="160" t="n"/>
      <c r="M464" s="160" t="n"/>
      <c r="N464" s="160" t="n"/>
      <c r="O464" s="160" t="n"/>
      <c r="P464" s="160" t="n"/>
      <c r="Q464" s="160" t="n"/>
      <c r="R464" s="160" t="n"/>
      <c r="S464" s="160" t="n"/>
      <c r="T464" s="160" t="n"/>
      <c r="U464" s="160" t="n"/>
      <c r="V464" s="160" t="n"/>
      <c r="W464" s="160" t="n"/>
      <c r="X464" s="160" t="n"/>
      <c r="Y464" s="160" t="n"/>
      <c r="Z464" s="160" t="n"/>
      <c r="AA464" s="160" t="n"/>
      <c r="AB464" s="160" t="n"/>
      <c r="AC464" s="160" t="n"/>
      <c r="AD464" s="160" t="n"/>
      <c r="AE464" s="160" t="n"/>
      <c r="AF464" s="160" t="n"/>
      <c r="AG464" s="160" t="n"/>
      <c r="AH464" s="160" t="n"/>
      <c r="AI464" s="160" t="n"/>
      <c r="AJ464" s="160" t="n"/>
      <c r="AK464" s="160" t="n"/>
      <c r="AL464" s="160" t="n"/>
      <c r="AM464" s="160" t="n"/>
      <c r="AN464" s="160" t="n"/>
      <c r="AO464" s="160" t="n"/>
      <c r="AP464" s="160" t="n"/>
      <c r="AQ464" s="160" t="n"/>
      <c r="AR464" s="160" t="n"/>
      <c r="AS464" s="160" t="n"/>
      <c r="AT464" s="160" t="n"/>
      <c r="AU464" s="159" t="n"/>
      <c r="AV464" s="159" t="n"/>
      <c r="AW464" s="159">
        <f>AW311+(AT175-AT174)</f>
        <v/>
      </c>
      <c r="AX464" s="159">
        <f>AX311+AX401</f>
        <v/>
      </c>
      <c r="AY464" s="159">
        <f>AY311+AY401</f>
        <v/>
      </c>
      <c r="AZ464" s="159">
        <f>AZ311+AZ401</f>
        <v/>
      </c>
      <c r="BA464" s="159">
        <f>BA311+BA401</f>
        <v/>
      </c>
      <c r="BB464" s="26" t="n"/>
    </row>
    <row r="465">
      <c r="B465" s="16" t="inlineStr">
        <is>
          <t>Market capitalisation (USDm)</t>
        </is>
      </c>
      <c r="C465" s="36" t="n"/>
      <c r="D465" s="3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18" t="n"/>
      <c r="AV465" s="18" t="n"/>
      <c r="AW465" s="18">
        <f>IFERROR(AW463*AW464,"n/a")</f>
        <v/>
      </c>
      <c r="AX465" s="18">
        <f>IFERROR(AX463*AX464,"n/a")</f>
        <v/>
      </c>
      <c r="AY465" s="18">
        <f>IFERROR(AY463*AY464,"n/a")</f>
        <v/>
      </c>
      <c r="AZ465" s="18">
        <f>IFERROR(AZ463*AZ464,"n/a")</f>
        <v/>
      </c>
      <c r="BA465" s="18">
        <f>IFERROR(BA463*BA464,"n/a")</f>
        <v/>
      </c>
      <c r="BB465" s="26" t="n"/>
    </row>
    <row r="466">
      <c r="B466" s="27" t="inlineStr">
        <is>
          <t>Net debt (USDm)</t>
        </is>
      </c>
      <c r="C466" s="43" t="n"/>
      <c r="D466" s="43" t="n"/>
      <c r="E466" s="43" t="n"/>
      <c r="F466" s="43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  <c r="W466" s="43" t="n"/>
      <c r="X466" s="43" t="n"/>
      <c r="Y466" s="43" t="n"/>
      <c r="Z466" s="43" t="n"/>
      <c r="AA466" s="43" t="n"/>
      <c r="AB466" s="43" t="n"/>
      <c r="AC466" s="43" t="n"/>
      <c r="AD466" s="43" t="n"/>
      <c r="AE466" s="43" t="n"/>
      <c r="AF466" s="43" t="n"/>
      <c r="AG466" s="43" t="n"/>
      <c r="AH466" s="43" t="n"/>
      <c r="AI466" s="43" t="n"/>
      <c r="AJ466" s="43" t="n"/>
      <c r="AK466" s="43" t="n"/>
      <c r="AL466" s="43" t="n"/>
      <c r="AM466" s="43" t="n"/>
      <c r="AN466" s="43" t="n"/>
      <c r="AO466" s="43" t="n"/>
      <c r="AP466" s="43" t="n"/>
      <c r="AQ466" s="43" t="n"/>
      <c r="AR466" s="43" t="n"/>
      <c r="AS466" s="43" t="n"/>
      <c r="AT466" s="43" t="n"/>
      <c r="AU466" s="45" t="n"/>
      <c r="AV466" s="45" t="n"/>
      <c r="AW466" s="45">
        <f>AW457</f>
        <v/>
      </c>
      <c r="AX466" s="45">
        <f>AX457</f>
        <v/>
      </c>
      <c r="AY466" s="45">
        <f>AY457</f>
        <v/>
      </c>
      <c r="AZ466" s="45">
        <f>AZ457</f>
        <v/>
      </c>
      <c r="BA466" s="45">
        <f>BA457</f>
        <v/>
      </c>
      <c r="BB466" s="26" t="n"/>
    </row>
    <row r="467">
      <c r="B467" s="27" t="inlineStr">
        <is>
          <t>Non-controlling interests incl. redeemable (USDm)</t>
        </is>
      </c>
      <c r="C467" s="43" t="n"/>
      <c r="D467" s="43" t="n"/>
      <c r="E467" s="43" t="n"/>
      <c r="F467" s="43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  <c r="W467" s="43" t="n"/>
      <c r="X467" s="43" t="n"/>
      <c r="Y467" s="43" t="n"/>
      <c r="Z467" s="43" t="n"/>
      <c r="AA467" s="43" t="n"/>
      <c r="AB467" s="43" t="n"/>
      <c r="AC467" s="43" t="n"/>
      <c r="AD467" s="43" t="n"/>
      <c r="AE467" s="43" t="n"/>
      <c r="AF467" s="43" t="n"/>
      <c r="AG467" s="43" t="n"/>
      <c r="AH467" s="43" t="n"/>
      <c r="AI467" s="43" t="n"/>
      <c r="AJ467" s="43" t="n"/>
      <c r="AK467" s="43" t="n"/>
      <c r="AL467" s="43" t="n"/>
      <c r="AM467" s="43" t="n"/>
      <c r="AN467" s="43" t="n"/>
      <c r="AO467" s="43" t="n"/>
      <c r="AP467" s="43" t="n"/>
      <c r="AQ467" s="43" t="n"/>
      <c r="AR467" s="43" t="n"/>
      <c r="AS467" s="43" t="n"/>
      <c r="AT467" s="43" t="n"/>
      <c r="AU467" s="45" t="n"/>
      <c r="AV467" s="45" t="n"/>
      <c r="AW467" s="45">
        <f>AW354+AW348</f>
        <v/>
      </c>
      <c r="AX467" s="45">
        <f>AX354+AX348</f>
        <v/>
      </c>
      <c r="AY467" s="45">
        <f>AY354+AY348</f>
        <v/>
      </c>
      <c r="AZ467" s="45">
        <f>AZ354+AZ348</f>
        <v/>
      </c>
      <c r="BA467" s="45">
        <f>BA354+BA348</f>
        <v/>
      </c>
      <c r="BB467" s="26" t="n"/>
    </row>
    <row r="468">
      <c r="B468" s="27" t="inlineStr">
        <is>
          <t>(−) Equity investments at carrying value (non-operating: securities + equity-method stakes)</t>
        </is>
      </c>
      <c r="C468" s="43" t="n"/>
      <c r="D468" s="43" t="n"/>
      <c r="E468" s="43" t="n"/>
      <c r="F468" s="43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  <c r="W468" s="43" t="n"/>
      <c r="X468" s="43" t="n"/>
      <c r="Y468" s="43" t="n"/>
      <c r="Z468" s="43" t="n"/>
      <c r="AA468" s="43" t="n"/>
      <c r="AB468" s="43" t="n"/>
      <c r="AC468" s="43" t="n"/>
      <c r="AD468" s="43" t="n"/>
      <c r="AE468" s="43" t="n"/>
      <c r="AF468" s="43" t="n"/>
      <c r="AG468" s="43" t="n"/>
      <c r="AH468" s="43" t="n"/>
      <c r="AI468" s="43" t="n"/>
      <c r="AJ468" s="43" t="n"/>
      <c r="AK468" s="43" t="n"/>
      <c r="AL468" s="43" t="n"/>
      <c r="AM468" s="43" t="n"/>
      <c r="AN468" s="43" t="n"/>
      <c r="AO468" s="43" t="n"/>
      <c r="AP468" s="43" t="n"/>
      <c r="AQ468" s="43" t="n"/>
      <c r="AR468" s="43" t="n"/>
      <c r="AS468" s="43" t="n"/>
      <c r="AT468" s="43" t="n"/>
      <c r="AU468" s="45" t="n"/>
      <c r="AV468" s="45" t="n"/>
      <c r="AW468" s="45">
        <f>-(AW326+AW327)</f>
        <v/>
      </c>
      <c r="AX468" s="45">
        <f>-(AX326+AX327)</f>
        <v/>
      </c>
      <c r="AY468" s="45">
        <f>-(AY326+AY327)</f>
        <v/>
      </c>
      <c r="AZ468" s="45">
        <f>-(AZ326+AZ327)</f>
        <v/>
      </c>
      <c r="BA468" s="45">
        <f>-(BA326+BA327)</f>
        <v/>
      </c>
      <c r="BB468" s="26" t="n"/>
    </row>
    <row r="469">
      <c r="B469" s="52" t="inlineStr">
        <is>
          <t>Enterprise value — operations (USDm)</t>
        </is>
      </c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  <c r="AA469" s="53" t="n"/>
      <c r="AB469" s="53" t="n"/>
      <c r="AC469" s="53" t="n"/>
      <c r="AD469" s="53" t="n"/>
      <c r="AE469" s="53" t="n"/>
      <c r="AF469" s="53" t="n"/>
      <c r="AG469" s="53" t="n"/>
      <c r="AH469" s="53" t="n"/>
      <c r="AI469" s="53" t="n"/>
      <c r="AJ469" s="53" t="n"/>
      <c r="AK469" s="53" t="n"/>
      <c r="AL469" s="53" t="n"/>
      <c r="AM469" s="53" t="n"/>
      <c r="AN469" s="53" t="n"/>
      <c r="AO469" s="53" t="n"/>
      <c r="AP469" s="53" t="n"/>
      <c r="AQ469" s="53" t="n"/>
      <c r="AR469" s="53" t="n"/>
      <c r="AS469" s="53" t="n"/>
      <c r="AT469" s="53" t="n"/>
      <c r="AU469" s="53" t="n"/>
      <c r="AV469" s="53" t="n"/>
      <c r="AW469" s="53">
        <f>IFERROR(AW465+AW466+AW467+AW468,"n/a")</f>
        <v/>
      </c>
      <c r="AX469" s="53">
        <f>IFERROR(AX465+AX466+AX467+AX468,"n/a")</f>
        <v/>
      </c>
      <c r="AY469" s="53">
        <f>IFERROR(AY465+AY466+AY467+AY468,"n/a")</f>
        <v/>
      </c>
      <c r="AZ469" s="53">
        <f>IFERROR(AZ465+AZ466+AZ467+AZ468,"n/a")</f>
        <v/>
      </c>
      <c r="BA469" s="53">
        <f>IFERROR(BA465+BA466+BA467+BA468,"n/a")</f>
        <v/>
      </c>
      <c r="BB469" s="26" t="n"/>
    </row>
    <row r="470">
      <c r="B470" s="27" t="inlineStr">
        <is>
          <t>Multiples</t>
        </is>
      </c>
    </row>
    <row r="471">
      <c r="B471" s="27" t="inlineStr">
        <is>
          <t xml:space="preserve">  EV / Gross Bookings</t>
        </is>
      </c>
      <c r="C471" s="155" t="n"/>
      <c r="D471" s="155" t="n"/>
      <c r="E471" s="155" t="n"/>
      <c r="F471" s="155" t="n"/>
      <c r="G471" s="155" t="n"/>
      <c r="H471" s="155" t="n"/>
      <c r="I471" s="155" t="n"/>
      <c r="J471" s="155" t="n"/>
      <c r="K471" s="155" t="n"/>
      <c r="L471" s="155" t="n"/>
      <c r="M471" s="155" t="n"/>
      <c r="N471" s="155" t="n"/>
      <c r="O471" s="155" t="n"/>
      <c r="P471" s="155" t="n"/>
      <c r="Q471" s="155" t="n"/>
      <c r="R471" s="155" t="n"/>
      <c r="S471" s="155" t="n"/>
      <c r="T471" s="155" t="n"/>
      <c r="U471" s="155" t="n"/>
      <c r="V471" s="155" t="n"/>
      <c r="W471" s="155" t="n"/>
      <c r="X471" s="155" t="n"/>
      <c r="Y471" s="155" t="n"/>
      <c r="Z471" s="155" t="n"/>
      <c r="AA471" s="155" t="n"/>
      <c r="AB471" s="155" t="n"/>
      <c r="AC471" s="155" t="n"/>
      <c r="AD471" s="155" t="n"/>
      <c r="AE471" s="155" t="n"/>
      <c r="AF471" s="155" t="n"/>
      <c r="AG471" s="155" t="n"/>
      <c r="AH471" s="155" t="n"/>
      <c r="AI471" s="155" t="n"/>
      <c r="AJ471" s="155" t="n"/>
      <c r="AK471" s="155" t="n"/>
      <c r="AL471" s="155" t="n"/>
      <c r="AM471" s="155" t="n"/>
      <c r="AN471" s="155" t="n"/>
      <c r="AO471" s="155" t="n"/>
      <c r="AP471" s="155" t="n"/>
      <c r="AQ471" s="155" t="n"/>
      <c r="AR471" s="155" t="n"/>
      <c r="AS471" s="155" t="n"/>
      <c r="AT471" s="155" t="n"/>
      <c r="AU471" s="156" t="n"/>
      <c r="AV471" s="156" t="n"/>
      <c r="AW471" s="156">
        <f>IFERROR(AW469/AW99,"n/a")</f>
        <v/>
      </c>
      <c r="AX471" s="156">
        <f>IFERROR(AX469/AX99,"n/a")</f>
        <v/>
      </c>
      <c r="AY471" s="156">
        <f>IFERROR(AY469/AY99,"n/a")</f>
        <v/>
      </c>
      <c r="AZ471" s="156">
        <f>IFERROR(AZ469/AZ99,"n/a")</f>
        <v/>
      </c>
      <c r="BA471" s="156">
        <f>IFERROR(BA469/BA99,"n/a")</f>
        <v/>
      </c>
      <c r="BB471" s="26" t="n"/>
    </row>
    <row r="472">
      <c r="B472" s="27" t="inlineStr">
        <is>
          <t xml:space="preserve">  EV / Revenue</t>
        </is>
      </c>
      <c r="C472" s="155" t="n"/>
      <c r="D472" s="155" t="n"/>
      <c r="E472" s="155" t="n"/>
      <c r="F472" s="155" t="n"/>
      <c r="G472" s="155" t="n"/>
      <c r="H472" s="155" t="n"/>
      <c r="I472" s="155" t="n"/>
      <c r="J472" s="155" t="n"/>
      <c r="K472" s="155" t="n"/>
      <c r="L472" s="155" t="n"/>
      <c r="M472" s="155" t="n"/>
      <c r="N472" s="155" t="n"/>
      <c r="O472" s="155" t="n"/>
      <c r="P472" s="155" t="n"/>
      <c r="Q472" s="155" t="n"/>
      <c r="R472" s="155" t="n"/>
      <c r="S472" s="155" t="n"/>
      <c r="T472" s="155" t="n"/>
      <c r="U472" s="155" t="n"/>
      <c r="V472" s="155" t="n"/>
      <c r="W472" s="155" t="n"/>
      <c r="X472" s="155" t="n"/>
      <c r="Y472" s="155" t="n"/>
      <c r="Z472" s="155" t="n"/>
      <c r="AA472" s="155" t="n"/>
      <c r="AB472" s="155" t="n"/>
      <c r="AC472" s="155" t="n"/>
      <c r="AD472" s="155" t="n"/>
      <c r="AE472" s="155" t="n"/>
      <c r="AF472" s="155" t="n"/>
      <c r="AG472" s="155" t="n"/>
      <c r="AH472" s="155" t="n"/>
      <c r="AI472" s="155" t="n"/>
      <c r="AJ472" s="155" t="n"/>
      <c r="AK472" s="155" t="n"/>
      <c r="AL472" s="155" t="n"/>
      <c r="AM472" s="155" t="n"/>
      <c r="AN472" s="155" t="n"/>
      <c r="AO472" s="155" t="n"/>
      <c r="AP472" s="155" t="n"/>
      <c r="AQ472" s="155" t="n"/>
      <c r="AR472" s="155" t="n"/>
      <c r="AS472" s="155" t="n"/>
      <c r="AT472" s="155" t="n"/>
      <c r="AU472" s="156" t="n"/>
      <c r="AV472" s="156" t="n"/>
      <c r="AW472" s="156">
        <f>IFERROR(AW469/AW148,"n/a")</f>
        <v/>
      </c>
      <c r="AX472" s="156">
        <f>IFERROR(AX469/AX148,"n/a")</f>
        <v/>
      </c>
      <c r="AY472" s="156">
        <f>IFERROR(AY469/AY148,"n/a")</f>
        <v/>
      </c>
      <c r="AZ472" s="156">
        <f>IFERROR(AZ469/AZ148,"n/a")</f>
        <v/>
      </c>
      <c r="BA472" s="156">
        <f>IFERROR(BA469/BA148,"n/a")</f>
        <v/>
      </c>
      <c r="BB472" s="26" t="n"/>
    </row>
    <row r="473">
      <c r="B473" s="27" t="inlineStr">
        <is>
          <t xml:space="preserve">  EV / Adjusted EBITDA (2027E pro forma)</t>
        </is>
      </c>
      <c r="C473" s="155" t="n"/>
      <c r="D473" s="155" t="n"/>
      <c r="E473" s="155" t="n"/>
      <c r="F473" s="155" t="n"/>
      <c r="G473" s="155" t="n"/>
      <c r="H473" s="155" t="n"/>
      <c r="I473" s="155" t="n"/>
      <c r="J473" s="155" t="n"/>
      <c r="K473" s="155" t="n"/>
      <c r="L473" s="155" t="n"/>
      <c r="M473" s="155" t="n"/>
      <c r="N473" s="155" t="n"/>
      <c r="O473" s="155" t="n"/>
      <c r="P473" s="155" t="n"/>
      <c r="Q473" s="155" t="n"/>
      <c r="R473" s="155" t="n"/>
      <c r="S473" s="155" t="n"/>
      <c r="T473" s="155" t="n"/>
      <c r="U473" s="155" t="n"/>
      <c r="V473" s="155" t="n"/>
      <c r="W473" s="155" t="n"/>
      <c r="X473" s="155" t="n"/>
      <c r="Y473" s="155" t="n"/>
      <c r="Z473" s="155" t="n"/>
      <c r="AA473" s="155" t="n"/>
      <c r="AB473" s="155" t="n"/>
      <c r="AC473" s="155" t="n"/>
      <c r="AD473" s="155" t="n"/>
      <c r="AE473" s="155" t="n"/>
      <c r="AF473" s="155" t="n"/>
      <c r="AG473" s="155" t="n"/>
      <c r="AH473" s="155" t="n"/>
      <c r="AI473" s="155" t="n"/>
      <c r="AJ473" s="155" t="n"/>
      <c r="AK473" s="155" t="n"/>
      <c r="AL473" s="155" t="n"/>
      <c r="AM473" s="155" t="n"/>
      <c r="AN473" s="155" t="n"/>
      <c r="AO473" s="155" t="n"/>
      <c r="AP473" s="155" t="n"/>
      <c r="AQ473" s="155" t="n"/>
      <c r="AR473" s="155" t="n"/>
      <c r="AS473" s="155" t="n"/>
      <c r="AT473" s="155" t="n"/>
      <c r="AU473" s="156" t="n"/>
      <c r="AV473" s="156" t="n"/>
      <c r="AW473" s="156">
        <f>IFERROR(AW469/AW216,"n/a")</f>
        <v/>
      </c>
      <c r="AX473" s="156">
        <f>IFERROR(AX469/AX216,"n/a")</f>
        <v/>
      </c>
      <c r="AY473" s="156">
        <f>IFERROR(AY469/AY216,"n/a")</f>
        <v/>
      </c>
      <c r="AZ473" s="156">
        <f>IFERROR(AZ469/AZ216,"n/a")</f>
        <v/>
      </c>
      <c r="BA473" s="156">
        <f>IFERROR(BA469/BA216,"n/a")</f>
        <v/>
      </c>
      <c r="BB473" s="26" t="n"/>
    </row>
    <row r="474">
      <c r="B474" s="27" t="inlineStr">
        <is>
          <t xml:space="preserve">  EV / Adjusted EBIT (Non-GAAP OI)</t>
        </is>
      </c>
      <c r="C474" s="155" t="n"/>
      <c r="D474" s="155" t="n"/>
      <c r="E474" s="155" t="n"/>
      <c r="F474" s="155" t="n"/>
      <c r="G474" s="155" t="n"/>
      <c r="H474" s="155" t="n"/>
      <c r="I474" s="155" t="n"/>
      <c r="J474" s="155" t="n"/>
      <c r="K474" s="155" t="n"/>
      <c r="L474" s="155" t="n"/>
      <c r="M474" s="155" t="n"/>
      <c r="N474" s="155" t="n"/>
      <c r="O474" s="155" t="n"/>
      <c r="P474" s="155" t="n"/>
      <c r="Q474" s="155" t="n"/>
      <c r="R474" s="155" t="n"/>
      <c r="S474" s="155" t="n"/>
      <c r="T474" s="155" t="n"/>
      <c r="U474" s="155" t="n"/>
      <c r="V474" s="155" t="n"/>
      <c r="W474" s="155" t="n"/>
      <c r="X474" s="155" t="n"/>
      <c r="Y474" s="155" t="n"/>
      <c r="Z474" s="155" t="n"/>
      <c r="AA474" s="155" t="n"/>
      <c r="AB474" s="155" t="n"/>
      <c r="AC474" s="155" t="n"/>
      <c r="AD474" s="155" t="n"/>
      <c r="AE474" s="155" t="n"/>
      <c r="AF474" s="155" t="n"/>
      <c r="AG474" s="155" t="n"/>
      <c r="AH474" s="155" t="n"/>
      <c r="AI474" s="155" t="n"/>
      <c r="AJ474" s="155" t="n"/>
      <c r="AK474" s="155" t="n"/>
      <c r="AL474" s="155" t="n"/>
      <c r="AM474" s="155" t="n"/>
      <c r="AN474" s="155" t="n"/>
      <c r="AO474" s="155" t="n"/>
      <c r="AP474" s="155" t="n"/>
      <c r="AQ474" s="155" t="n"/>
      <c r="AR474" s="155" t="n"/>
      <c r="AS474" s="155" t="n"/>
      <c r="AT474" s="155" t="n"/>
      <c r="AU474" s="156" t="n"/>
      <c r="AV474" s="156" t="n"/>
      <c r="AW474" s="156">
        <f>IFERROR(AW469/AW217,"n/a")</f>
        <v/>
      </c>
      <c r="AX474" s="156">
        <f>IFERROR(AX469/AX217,"n/a")</f>
        <v/>
      </c>
      <c r="AY474" s="156">
        <f>IFERROR(AY469/AY217,"n/a")</f>
        <v/>
      </c>
      <c r="AZ474" s="156">
        <f>IFERROR(AZ469/AZ217,"n/a")</f>
        <v/>
      </c>
      <c r="BA474" s="156">
        <f>IFERROR(BA469/BA217,"n/a")</f>
        <v/>
      </c>
      <c r="BB474" s="26" t="n"/>
    </row>
    <row r="475">
      <c r="B475" s="27" t="inlineStr">
        <is>
          <t xml:space="preserve">  EV / IC</t>
        </is>
      </c>
      <c r="C475" s="155" t="n"/>
      <c r="D475" s="155" t="n"/>
      <c r="E475" s="155" t="n"/>
      <c r="F475" s="155" t="n"/>
      <c r="G475" s="155" t="n"/>
      <c r="H475" s="155" t="n"/>
      <c r="I475" s="155" t="n"/>
      <c r="J475" s="155" t="n"/>
      <c r="K475" s="155" t="n"/>
      <c r="L475" s="155" t="n"/>
      <c r="M475" s="155" t="n"/>
      <c r="N475" s="155" t="n"/>
      <c r="O475" s="155" t="n"/>
      <c r="P475" s="155" t="n"/>
      <c r="Q475" s="155" t="n"/>
      <c r="R475" s="155" t="n"/>
      <c r="S475" s="155" t="n"/>
      <c r="T475" s="155" t="n"/>
      <c r="U475" s="155" t="n"/>
      <c r="V475" s="155" t="n"/>
      <c r="W475" s="155" t="n"/>
      <c r="X475" s="155" t="n"/>
      <c r="Y475" s="155" t="n"/>
      <c r="Z475" s="155" t="n"/>
      <c r="AA475" s="155" t="n"/>
      <c r="AB475" s="155" t="n"/>
      <c r="AC475" s="155" t="n"/>
      <c r="AD475" s="155" t="n"/>
      <c r="AE475" s="155" t="n"/>
      <c r="AF475" s="155" t="n"/>
      <c r="AG475" s="155" t="n"/>
      <c r="AH475" s="155" t="n"/>
      <c r="AI475" s="155" t="n"/>
      <c r="AJ475" s="155" t="n"/>
      <c r="AK475" s="155" t="n"/>
      <c r="AL475" s="155" t="n"/>
      <c r="AM475" s="155" t="n"/>
      <c r="AN475" s="155" t="n"/>
      <c r="AO475" s="155" t="n"/>
      <c r="AP475" s="155" t="n"/>
      <c r="AQ475" s="155" t="n"/>
      <c r="AR475" s="155" t="n"/>
      <c r="AS475" s="155" t="n"/>
      <c r="AT475" s="155" t="n"/>
      <c r="AU475" s="156" t="n"/>
      <c r="AV475" s="156" t="n"/>
      <c r="AW475" s="156">
        <f>IFERROR(AW469/AW435,"n/a")</f>
        <v/>
      </c>
      <c r="AX475" s="156">
        <f>IFERROR(AX469/AX435,"n/a")</f>
        <v/>
      </c>
      <c r="AY475" s="156">
        <f>IFERROR(AY469/AY435,"n/a")</f>
        <v/>
      </c>
      <c r="AZ475" s="156">
        <f>IFERROR(AZ469/AZ435,"n/a")</f>
        <v/>
      </c>
      <c r="BA475" s="156">
        <f>IFERROR(BA469/BA435,"n/a")</f>
        <v/>
      </c>
      <c r="BB475" s="26" t="n"/>
    </row>
    <row r="476">
      <c r="B476" s="27" t="inlineStr">
        <is>
          <t xml:space="preserve">  P / E (GAAP diluted)</t>
        </is>
      </c>
      <c r="C476" s="155" t="n"/>
      <c r="D476" s="155" t="n"/>
      <c r="E476" s="155" t="n"/>
      <c r="F476" s="155" t="n"/>
      <c r="G476" s="155" t="n"/>
      <c r="H476" s="155" t="n"/>
      <c r="I476" s="155" t="n"/>
      <c r="J476" s="155" t="n"/>
      <c r="K476" s="155" t="n"/>
      <c r="L476" s="155" t="n"/>
      <c r="M476" s="155" t="n"/>
      <c r="N476" s="155" t="n"/>
      <c r="O476" s="155" t="n"/>
      <c r="P476" s="155" t="n"/>
      <c r="Q476" s="155" t="n"/>
      <c r="R476" s="155" t="n"/>
      <c r="S476" s="155" t="n"/>
      <c r="T476" s="155" t="n"/>
      <c r="U476" s="155" t="n"/>
      <c r="V476" s="155" t="n"/>
      <c r="W476" s="155" t="n"/>
      <c r="X476" s="155" t="n"/>
      <c r="Y476" s="155" t="n"/>
      <c r="Z476" s="155" t="n"/>
      <c r="AA476" s="155" t="n"/>
      <c r="AB476" s="155" t="n"/>
      <c r="AC476" s="155" t="n"/>
      <c r="AD476" s="155" t="n"/>
      <c r="AE476" s="155" t="n"/>
      <c r="AF476" s="155" t="n"/>
      <c r="AG476" s="155" t="n"/>
      <c r="AH476" s="155" t="n"/>
      <c r="AI476" s="155" t="n"/>
      <c r="AJ476" s="155" t="n"/>
      <c r="AK476" s="155" t="n"/>
      <c r="AL476" s="155" t="n"/>
      <c r="AM476" s="155" t="n"/>
      <c r="AN476" s="155" t="n"/>
      <c r="AO476" s="155" t="n"/>
      <c r="AP476" s="155" t="n"/>
      <c r="AQ476" s="155" t="n"/>
      <c r="AR476" s="155" t="n"/>
      <c r="AS476" s="155" t="n"/>
      <c r="AT476" s="155" t="n"/>
      <c r="AU476" s="156" t="n"/>
      <c r="AV476" s="156" t="n"/>
      <c r="AW476" s="156">
        <f>IFERROR(AW463/AW177,"n/a")</f>
        <v/>
      </c>
      <c r="AX476" s="156">
        <f>IFERROR(AX463/AX177,"n/a")</f>
        <v/>
      </c>
      <c r="AY476" s="156">
        <f>IFERROR(AY463/AY177,"n/a")</f>
        <v/>
      </c>
      <c r="AZ476" s="156">
        <f>IFERROR(AZ463/AZ177,"n/a")</f>
        <v/>
      </c>
      <c r="BA476" s="156">
        <f>IFERROR(BA463/BA177,"n/a")</f>
        <v/>
      </c>
      <c r="BB476" s="26" t="n"/>
    </row>
    <row r="477">
      <c r="B477" s="27" t="inlineStr">
        <is>
          <t xml:space="preserve">  P / E (Non-GAAP EPS)</t>
        </is>
      </c>
      <c r="C477" s="155" t="n"/>
      <c r="D477" s="155" t="n"/>
      <c r="E477" s="155" t="n"/>
      <c r="F477" s="155" t="n"/>
      <c r="G477" s="155" t="n"/>
      <c r="H477" s="155" t="n"/>
      <c r="I477" s="155" t="n"/>
      <c r="J477" s="155" t="n"/>
      <c r="K477" s="155" t="n"/>
      <c r="L477" s="155" t="n"/>
      <c r="M477" s="155" t="n"/>
      <c r="N477" s="155" t="n"/>
      <c r="O477" s="155" t="n"/>
      <c r="P477" s="155" t="n"/>
      <c r="Q477" s="155" t="n"/>
      <c r="R477" s="155" t="n"/>
      <c r="S477" s="155" t="n"/>
      <c r="T477" s="155" t="n"/>
      <c r="U477" s="155" t="n"/>
      <c r="V477" s="155" t="n"/>
      <c r="W477" s="155" t="n"/>
      <c r="X477" s="155" t="n"/>
      <c r="Y477" s="155" t="n"/>
      <c r="Z477" s="155" t="n"/>
      <c r="AA477" s="155" t="n"/>
      <c r="AB477" s="155" t="n"/>
      <c r="AC477" s="155" t="n"/>
      <c r="AD477" s="155" t="n"/>
      <c r="AE477" s="155" t="n"/>
      <c r="AF477" s="155" t="n"/>
      <c r="AG477" s="155" t="n"/>
      <c r="AH477" s="155" t="n"/>
      <c r="AI477" s="155" t="n"/>
      <c r="AJ477" s="155" t="n"/>
      <c r="AK477" s="155" t="n"/>
      <c r="AL477" s="155" t="n"/>
      <c r="AM477" s="155" t="n"/>
      <c r="AN477" s="155" t="n"/>
      <c r="AO477" s="155" t="n"/>
      <c r="AP477" s="155" t="n"/>
      <c r="AQ477" s="155" t="n"/>
      <c r="AR477" s="155" t="n"/>
      <c r="AS477" s="155" t="n"/>
      <c r="AT477" s="155" t="n"/>
      <c r="AU477" s="156" t="n"/>
      <c r="AV477" s="156" t="n"/>
      <c r="AW477" s="156">
        <f>IFERROR(AW463/AW236,"n/a")</f>
        <v/>
      </c>
      <c r="AX477" s="156">
        <f>IFERROR(AX463/AX236,"n/a")</f>
        <v/>
      </c>
      <c r="AY477" s="156">
        <f>IFERROR(AY463/AY236,"n/a")</f>
        <v/>
      </c>
      <c r="AZ477" s="156">
        <f>IFERROR(AZ463/AZ236,"n/a")</f>
        <v/>
      </c>
      <c r="BA477" s="156">
        <f>IFERROR(BA463/BA236,"n/a")</f>
        <v/>
      </c>
      <c r="BB477" s="26" t="n"/>
    </row>
    <row r="478">
      <c r="B478" s="27" t="inlineStr">
        <is>
          <t xml:space="preserve">  FCF yield</t>
        </is>
      </c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39" t="n"/>
      <c r="AA478" s="39" t="n"/>
      <c r="AB478" s="39" t="n"/>
      <c r="AC478" s="39" t="n"/>
      <c r="AD478" s="39" t="n"/>
      <c r="AE478" s="39" t="n"/>
      <c r="AF478" s="39" t="n"/>
      <c r="AG478" s="39" t="n"/>
      <c r="AH478" s="39" t="n"/>
      <c r="AI478" s="39" t="n"/>
      <c r="AJ478" s="39" t="n"/>
      <c r="AK478" s="39" t="n"/>
      <c r="AL478" s="39" t="n"/>
      <c r="AM478" s="39" t="n"/>
      <c r="AN478" s="39" t="n"/>
      <c r="AO478" s="39" t="n"/>
      <c r="AP478" s="39" t="n"/>
      <c r="AQ478" s="39" t="n"/>
      <c r="AR478" s="39" t="n"/>
      <c r="AS478" s="39" t="n"/>
      <c r="AT478" s="39" t="n"/>
      <c r="AU478" s="25" t="n"/>
      <c r="AV478" s="25" t="n"/>
      <c r="AW478" s="25">
        <f>IFERROR(AW293/AW465,"n/a")</f>
        <v/>
      </c>
      <c r="AX478" s="25">
        <f>IFERROR(AX293/AX465,"n/a")</f>
        <v/>
      </c>
      <c r="AY478" s="25">
        <f>IFERROR(AY293/AY465,"n/a")</f>
        <v/>
      </c>
      <c r="AZ478" s="25">
        <f>IFERROR(AZ293/AZ465,"n/a")</f>
        <v/>
      </c>
      <c r="BA478" s="25">
        <f>IFERROR(BA293/BA465,"n/a")</f>
        <v/>
      </c>
      <c r="BB478" s="26" t="n"/>
    </row>
    <row r="479">
      <c r="B479" s="27" t="inlineStr">
        <is>
          <t xml:space="preserve">  Buyback yield (repurchases ÷ market cap)</t>
        </is>
      </c>
      <c r="C479" s="39" t="n"/>
      <c r="D479" s="39" t="n"/>
      <c r="E479" s="39" t="n"/>
      <c r="F479" s="39" t="n"/>
      <c r="G479" s="39" t="n"/>
      <c r="H479" s="39" t="n"/>
      <c r="I479" s="39" t="n"/>
      <c r="J479" s="39" t="n"/>
      <c r="K479" s="39" t="n"/>
      <c r="L479" s="39" t="n"/>
      <c r="M479" s="39" t="n"/>
      <c r="N479" s="39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39" t="n"/>
      <c r="AA479" s="39" t="n"/>
      <c r="AB479" s="39" t="n"/>
      <c r="AC479" s="39" t="n"/>
      <c r="AD479" s="39" t="n"/>
      <c r="AE479" s="39" t="n"/>
      <c r="AF479" s="39" t="n"/>
      <c r="AG479" s="39" t="n"/>
      <c r="AH479" s="39" t="n"/>
      <c r="AI479" s="39" t="n"/>
      <c r="AJ479" s="39" t="n"/>
      <c r="AK479" s="39" t="n"/>
      <c r="AL479" s="39" t="n"/>
      <c r="AM479" s="39" t="n"/>
      <c r="AN479" s="39" t="n"/>
      <c r="AO479" s="39" t="n"/>
      <c r="AP479" s="39" t="n"/>
      <c r="AQ479" s="39" t="n"/>
      <c r="AR479" s="39" t="n"/>
      <c r="AS479" s="39" t="n"/>
      <c r="AT479" s="39" t="n"/>
      <c r="AU479" s="25" t="n"/>
      <c r="AV479" s="25" t="n"/>
      <c r="AW479" s="25">
        <f>IFERROR(-AW281/AW465,"n/a")</f>
        <v/>
      </c>
      <c r="AX479" s="25">
        <f>IFERROR(-AX281/AX465,"n/a")</f>
        <v/>
      </c>
      <c r="AY479" s="25">
        <f>IFERROR(-AY281/AY465,"n/a")</f>
        <v/>
      </c>
      <c r="AZ479" s="25">
        <f>IFERROR(-AZ281/AZ465,"n/a")</f>
        <v/>
      </c>
      <c r="BA479" s="25">
        <f>IFERROR(-BA281/BA465,"n/a")</f>
        <v/>
      </c>
      <c r="BB479" s="26" t="n"/>
    </row>
  </sheetData>
  <dataValidations count="1">
    <dataValidation sqref="BB2" showDropDown="0" showInputMessage="0" showErrorMessage="0" allowBlank="0" type="list">
      <formula1>"Bull,Base,Bear"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1"/>
  <sheetViews>
    <sheetView showGridLines="0" zoomScale="80" workbookViewId="0">
      <selection activeCell="A1" sqref="A1"/>
    </sheetView>
  </sheetViews>
  <sheetFormatPr baseColWidth="8" defaultRowHeight="15"/>
  <cols>
    <col width="2.14" customWidth="1" min="1" max="1"/>
    <col width="63.86" customWidth="1" min="2" max="2"/>
    <col width="11.86" customWidth="1" min="3" max="3"/>
    <col width="11.86" customWidth="1" min="4" max="4"/>
    <col width="11.86" customWidth="1" min="5" max="5"/>
    <col width="11.86" customWidth="1" min="6" max="6"/>
    <col width="11.86" customWidth="1" min="7" max="7"/>
    <col width="11.86" customWidth="1" min="8" max="8"/>
    <col width="13.29" customWidth="1" min="9" max="9"/>
    <col width="12.57" customWidth="1" min="10" max="10"/>
    <col width="12.57" customWidth="1" min="11" max="11"/>
    <col width="12.57" customWidth="1" min="12" max="12"/>
    <col width="3.86" customWidth="1" min="13" max="13"/>
    <col width="63.86" customWidth="1" min="14" max="14"/>
    <col width="11.86" customWidth="1" min="15" max="15"/>
    <col width="11.86" customWidth="1" min="16" max="16"/>
    <col width="11.86" customWidth="1" min="17" max="17"/>
    <col width="11.86" customWidth="1" min="18" max="18"/>
    <col width="11.86" customWidth="1" min="19" max="19"/>
    <col width="11.86" customWidth="1" min="20" max="20"/>
    <col width="13.29" customWidth="1" min="21" max="21"/>
    <col width="12.57" customWidth="1" min="22" max="22"/>
    <col width="12.57" customWidth="1" min="23" max="23"/>
    <col width="12.57" customWidth="1" min="24" max="24"/>
    <col width="3.86" customWidth="1" min="25" max="25"/>
    <col width="63.86" customWidth="1" min="26" max="26"/>
    <col width="11.86" customWidth="1" min="27" max="27"/>
    <col width="11.86" customWidth="1" min="28" max="28"/>
    <col width="11.86" customWidth="1" min="29" max="29"/>
    <col width="11.86" customWidth="1" min="30" max="30"/>
    <col width="11.86" customWidth="1" min="31" max="31"/>
    <col width="11.86" customWidth="1" min="32" max="32"/>
    <col width="13.29" customWidth="1" min="33" max="33"/>
    <col width="12.57" customWidth="1" min="34" max="34"/>
    <col width="12.57" customWidth="1" min="35" max="35"/>
    <col width="12.57" customWidth="1" min="36" max="36"/>
    <col width="3.86" customWidth="1" min="37" max="37"/>
  </cols>
  <sheetData>
    <row r="2">
      <c r="B2" s="72" t="inlineStr">
        <is>
          <t>Uber Technologies (UBER) — Bull / Base / Bear Case P&amp;L Summary</t>
        </is>
      </c>
      <c r="J2" s="73" t="inlineStr">
        <is>
          <t>Share price ($):</t>
        </is>
      </c>
      <c r="K2" s="74">
        <f>Model!$AW$463</f>
        <v/>
      </c>
    </row>
    <row r="3">
      <c r="B3" s="4" t="inlineStr">
        <is>
          <t>Adjusted figures (company definitions: Adjusted EBITDA; Non-GAAP OI / Net Income / EPS from Q1/26, recast to Q1/24). Base block links live to the Model (switch = Model scenario cell); Bull / Bear blocks are value snapshots of the Model run with the switch set to Bull / Bear. 2027E+ include Delivery Hero from 1-Oct-2027.</t>
        </is>
      </c>
      <c r="J3" s="73" t="inlineStr">
        <is>
          <t>As of:</t>
        </is>
      </c>
      <c r="K3" s="75">
        <f>TODAY()</f>
        <v/>
      </c>
    </row>
    <row r="5">
      <c r="B5" s="10" t="inlineStr">
        <is>
          <t>Scenario:</t>
        </is>
      </c>
      <c r="C5" s="76">
        <f>Model!$BB$2</f>
        <v/>
      </c>
      <c r="N5" s="10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10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>
      <c r="B7" s="78" t="inlineStr">
        <is>
          <t>(USDm, except EPS and shares)</t>
        </is>
      </c>
      <c r="C7" s="79" t="inlineStr">
        <is>
          <t>2025A</t>
        </is>
      </c>
      <c r="D7" s="79" t="inlineStr">
        <is>
          <t>2026E</t>
        </is>
      </c>
      <c r="E7" s="79" t="inlineStr">
        <is>
          <t>2027E</t>
        </is>
      </c>
      <c r="F7" s="79" t="inlineStr">
        <is>
          <t>2028E</t>
        </is>
      </c>
      <c r="G7" s="79" t="inlineStr">
        <is>
          <t>2029E</t>
        </is>
      </c>
      <c r="H7" s="79" t="inlineStr">
        <is>
          <t>2030E</t>
        </is>
      </c>
      <c r="I7" s="79" t="inlineStr">
        <is>
          <t>25-'30 CAGR</t>
        </is>
      </c>
      <c r="J7" s="79" t="inlineStr">
        <is>
          <t>LT Hist Avg</t>
        </is>
      </c>
      <c r="K7" s="79" t="inlineStr">
        <is>
          <t>LT Hist Min</t>
        </is>
      </c>
      <c r="L7" s="79" t="inlineStr">
        <is>
          <t>LT Hist Max</t>
        </is>
      </c>
      <c r="N7" s="78" t="inlineStr">
        <is>
          <t>(USDm, except EPS and shares)</t>
        </is>
      </c>
      <c r="O7" s="79" t="inlineStr">
        <is>
          <t>2025A</t>
        </is>
      </c>
      <c r="P7" s="79" t="inlineStr">
        <is>
          <t>2026E</t>
        </is>
      </c>
      <c r="Q7" s="79" t="inlineStr">
        <is>
          <t>2027E</t>
        </is>
      </c>
      <c r="R7" s="79" t="inlineStr">
        <is>
          <t>2028E</t>
        </is>
      </c>
      <c r="S7" s="79" t="inlineStr">
        <is>
          <t>2029E</t>
        </is>
      </c>
      <c r="T7" s="79" t="inlineStr">
        <is>
          <t>2030E</t>
        </is>
      </c>
      <c r="U7" s="79" t="inlineStr">
        <is>
          <t>25-'30 CAGR</t>
        </is>
      </c>
      <c r="V7" s="79" t="inlineStr">
        <is>
          <t>LT Hist Avg</t>
        </is>
      </c>
      <c r="W7" s="79" t="inlineStr">
        <is>
          <t>LT Hist Min</t>
        </is>
      </c>
      <c r="X7" s="79" t="inlineStr">
        <is>
          <t>LT Hist Max</t>
        </is>
      </c>
      <c r="Z7" s="78" t="inlineStr">
        <is>
          <t>(USDm, except EPS and shares)</t>
        </is>
      </c>
      <c r="AA7" s="79" t="inlineStr">
        <is>
          <t>2025A</t>
        </is>
      </c>
      <c r="AB7" s="79" t="inlineStr">
        <is>
          <t>2026E</t>
        </is>
      </c>
      <c r="AC7" s="79" t="inlineStr">
        <is>
          <t>2027E</t>
        </is>
      </c>
      <c r="AD7" s="79" t="inlineStr">
        <is>
          <t>2028E</t>
        </is>
      </c>
      <c r="AE7" s="79" t="inlineStr">
        <is>
          <t>2029E</t>
        </is>
      </c>
      <c r="AF7" s="79" t="inlineStr">
        <is>
          <t>2030E</t>
        </is>
      </c>
      <c r="AG7" s="79" t="inlineStr">
        <is>
          <t>25-'30 CAGR</t>
        </is>
      </c>
      <c r="AH7" s="79" t="inlineStr">
        <is>
          <t>LT Hist Avg</t>
        </is>
      </c>
      <c r="AI7" s="79" t="inlineStr">
        <is>
          <t>LT Hist Min</t>
        </is>
      </c>
      <c r="AJ7" s="79" t="inlineStr">
        <is>
          <t>LT Hist Max</t>
        </is>
      </c>
    </row>
    <row r="9">
      <c r="B9" s="80" t="inlineStr">
        <is>
          <t>Gross Bookings</t>
        </is>
      </c>
      <c r="C9" s="81">
        <f>Model!AR99</f>
        <v/>
      </c>
      <c r="D9" s="82">
        <f>Model!AW99</f>
        <v/>
      </c>
      <c r="E9" s="82">
        <f>Model!AX99</f>
        <v/>
      </c>
      <c r="F9" s="82">
        <f>Model!AY99</f>
        <v/>
      </c>
      <c r="G9" s="82">
        <f>Model!AZ99</f>
        <v/>
      </c>
      <c r="H9" s="82">
        <f>Model!BA99</f>
        <v/>
      </c>
      <c r="I9" s="83">
        <f>IFERROR((H9/C9)^(1/5)-1,"n/m")</f>
        <v/>
      </c>
      <c r="N9" s="80" t="inlineStr">
        <is>
          <t>Gross Bookings</t>
        </is>
      </c>
      <c r="O9" s="81" t="n">
        <v>193454</v>
      </c>
      <c r="P9" s="82" t="n">
        <v>237564.77054137</v>
      </c>
      <c r="Q9" s="82" t="n">
        <v>295432.84654697</v>
      </c>
      <c r="R9" s="82" t="n">
        <v>391596.823894191</v>
      </c>
      <c r="S9" s="82" t="n">
        <v>454686.551626604</v>
      </c>
      <c r="T9" s="82" t="n">
        <v>524208.2206803</v>
      </c>
      <c r="U9" s="83" t="n">
        <v>0.220633325117511</v>
      </c>
      <c r="Z9" s="80" t="inlineStr">
        <is>
          <t>Gross Bookings</t>
        </is>
      </c>
      <c r="AA9" s="81" t="n">
        <v>193454</v>
      </c>
      <c r="AB9" s="82" t="n">
        <v>233381.424475671</v>
      </c>
      <c r="AC9" s="82" t="n">
        <v>275630.796798408</v>
      </c>
      <c r="AD9" s="82" t="n">
        <v>347073.285342123</v>
      </c>
      <c r="AE9" s="82" t="n">
        <v>382017.157540842</v>
      </c>
      <c r="AF9" s="82" t="n">
        <v>417374.891990234</v>
      </c>
      <c r="AG9" s="83" t="n">
        <v>0.166244802145632</v>
      </c>
    </row>
    <row r="10">
      <c r="B10" s="84" t="inlineStr">
        <is>
          <t xml:space="preserve">   Gross Bookings y/y %</t>
        </is>
      </c>
      <c r="C10" s="85" t="n"/>
      <c r="D10" s="86">
        <f>IFERROR(D9/C9-1,"")</f>
        <v/>
      </c>
      <c r="E10" s="86">
        <f>IFERROR(E9/D9-1,"")</f>
        <v/>
      </c>
      <c r="F10" s="86">
        <f>IFERROR(F9/E9-1,"")</f>
        <v/>
      </c>
      <c r="G10" s="86">
        <f>IFERROR(G9/F9-1,"")</f>
        <v/>
      </c>
      <c r="H10" s="86">
        <f>IFERROR(H9/G9-1,"")</f>
        <v/>
      </c>
      <c r="N10" s="84" t="inlineStr">
        <is>
          <t xml:space="preserve">   Gross Bookings y/y %</t>
        </is>
      </c>
      <c r="O10" s="85" t="n"/>
      <c r="P10" s="86" t="n">
        <v>0.228016844011339</v>
      </c>
      <c r="Q10" s="86" t="n">
        <v>0.243588625846031</v>
      </c>
      <c r="R10" s="86" t="n">
        <v>0.325501982840398</v>
      </c>
      <c r="S10" s="86" t="n">
        <v>0.161108885166697</v>
      </c>
      <c r="T10" s="86" t="n">
        <v>0.152900209616907</v>
      </c>
      <c r="Z10" s="84" t="inlineStr">
        <is>
          <t xml:space="preserve">   Gross Bookings y/y %</t>
        </is>
      </c>
      <c r="AA10" s="85" t="n"/>
      <c r="AB10" s="86" t="n">
        <v>0.20639234379062</v>
      </c>
      <c r="AC10" s="86" t="n">
        <v>0.181031427062619</v>
      </c>
      <c r="AD10" s="86" t="n">
        <v>0.259196321215031</v>
      </c>
      <c r="AE10" s="86" t="n">
        <v>0.100681538091512</v>
      </c>
      <c r="AF10" s="86" t="n">
        <v>0.09255535713893059</v>
      </c>
    </row>
    <row r="11">
      <c r="B11" s="80" t="inlineStr">
        <is>
          <t>Revenue</t>
        </is>
      </c>
      <c r="C11" s="81">
        <f>Model!AR148</f>
        <v/>
      </c>
      <c r="D11" s="82">
        <f>Model!AW148</f>
        <v/>
      </c>
      <c r="E11" s="82">
        <f>Model!AX148</f>
        <v/>
      </c>
      <c r="F11" s="82">
        <f>Model!AY148</f>
        <v/>
      </c>
      <c r="G11" s="82">
        <f>Model!AZ148</f>
        <v/>
      </c>
      <c r="H11" s="82">
        <f>Model!BA148</f>
        <v/>
      </c>
      <c r="I11" s="83">
        <f>IFERROR((H11/C11)^(1/5)-1,"n/m")</f>
        <v/>
      </c>
      <c r="N11" s="80" t="inlineStr">
        <is>
          <t>Revenue</t>
        </is>
      </c>
      <c r="O11" s="81" t="n">
        <v>52017</v>
      </c>
      <c r="P11" s="82" t="n">
        <v>57939.3622668262</v>
      </c>
      <c r="Q11" s="82" t="n">
        <v>71860.0935221806</v>
      </c>
      <c r="R11" s="82" t="n">
        <v>95151.2497950773</v>
      </c>
      <c r="S11" s="82" t="n">
        <v>110662.15557064</v>
      </c>
      <c r="T11" s="82" t="n">
        <v>127909.067428823</v>
      </c>
      <c r="U11" s="83" t="n">
        <v>0.197157267315251</v>
      </c>
      <c r="Z11" s="80" t="inlineStr">
        <is>
          <t>Revenue</t>
        </is>
      </c>
      <c r="AA11" s="81" t="n">
        <v>52017</v>
      </c>
      <c r="AB11" s="82" t="n">
        <v>57004.6015283114</v>
      </c>
      <c r="AC11" s="82" t="n">
        <v>66838.37856652219</v>
      </c>
      <c r="AD11" s="82" t="n">
        <v>83632.0654199452</v>
      </c>
      <c r="AE11" s="82" t="n">
        <v>91607.38986722491</v>
      </c>
      <c r="AF11" s="82" t="n">
        <v>99628.6160503748</v>
      </c>
      <c r="AG11" s="83" t="n">
        <v>0.138800788671284</v>
      </c>
    </row>
    <row r="12">
      <c r="B12" s="84" t="inlineStr">
        <is>
          <t xml:space="preserve">   Revenue y/y %</t>
        </is>
      </c>
      <c r="C12" s="85" t="n"/>
      <c r="D12" s="86">
        <f>IFERROR(D11/C11-1,"")</f>
        <v/>
      </c>
      <c r="E12" s="86">
        <f>IFERROR(E11/D11-1,"")</f>
        <v/>
      </c>
      <c r="F12" s="86">
        <f>IFERROR(F11/E11-1,"")</f>
        <v/>
      </c>
      <c r="G12" s="86">
        <f>IFERROR(G11/F11-1,"")</f>
        <v/>
      </c>
      <c r="H12" s="86">
        <f>IFERROR(H11/G11-1,"")</f>
        <v/>
      </c>
      <c r="N12" s="84" t="inlineStr">
        <is>
          <t xml:space="preserve">   Revenue y/y %</t>
        </is>
      </c>
      <c r="O12" s="85" t="n"/>
      <c r="P12" s="86" t="n">
        <v>0.113854360436514</v>
      </c>
      <c r="Q12" s="86" t="n">
        <v>0.24026379840437</v>
      </c>
      <c r="R12" s="86" t="n">
        <v>0.324118090184609</v>
      </c>
      <c r="S12" s="86" t="n">
        <v>0.163013158618182</v>
      </c>
      <c r="T12" s="86" t="n">
        <v>0.155851942059569</v>
      </c>
      <c r="Z12" s="84" t="inlineStr">
        <is>
          <t xml:space="preserve">   Revenue y/y %</t>
        </is>
      </c>
      <c r="AA12" s="85" t="n"/>
      <c r="AB12" s="86" t="n">
        <v>0.0958840672916812</v>
      </c>
      <c r="AC12" s="86" t="n">
        <v>0.172508477816951</v>
      </c>
      <c r="AD12" s="86" t="n">
        <v>0.251258142606029</v>
      </c>
      <c r="AE12" s="86" t="n">
        <v>0.0953620409496392</v>
      </c>
      <c r="AF12" s="86" t="n">
        <v>0.0875609074199781</v>
      </c>
    </row>
    <row r="13">
      <c r="B13" s="80" t="inlineStr">
        <is>
          <t>Adjusted EBITDA</t>
        </is>
      </c>
      <c r="C13" s="81">
        <f>Model!AR203</f>
        <v/>
      </c>
      <c r="D13" s="82">
        <f>Model!AW203</f>
        <v/>
      </c>
      <c r="E13" s="82">
        <f>Model!AX203</f>
        <v/>
      </c>
      <c r="F13" s="82">
        <f>Model!AY203</f>
        <v/>
      </c>
      <c r="G13" s="82">
        <f>Model!AZ203</f>
        <v/>
      </c>
      <c r="H13" s="82">
        <f>Model!BA203</f>
        <v/>
      </c>
      <c r="I13" s="83">
        <f>IFERROR((H13/C13)^(1/5)-1,"n/m")</f>
        <v/>
      </c>
      <c r="N13" s="80" t="inlineStr">
        <is>
          <t>Adjusted EBITDA</t>
        </is>
      </c>
      <c r="O13" s="81" t="n">
        <v>8730</v>
      </c>
      <c r="P13" s="82" t="n">
        <v>11573.8397383472</v>
      </c>
      <c r="Q13" s="82" t="n">
        <v>16038.2236073439</v>
      </c>
      <c r="R13" s="82" t="n">
        <v>22860.1944179124</v>
      </c>
      <c r="S13" s="82" t="n">
        <v>28311.3083245171</v>
      </c>
      <c r="T13" s="82" t="n">
        <v>34189.5077882586</v>
      </c>
      <c r="U13" s="83" t="n">
        <v>0.313940565712612</v>
      </c>
      <c r="Z13" s="80" t="inlineStr">
        <is>
          <t>Adjusted EBITDA</t>
        </is>
      </c>
      <c r="AA13" s="81" t="n">
        <v>8730</v>
      </c>
      <c r="AB13" s="82" t="n">
        <v>11364.4116574496</v>
      </c>
      <c r="AC13" s="82" t="n">
        <v>13362.2146070042</v>
      </c>
      <c r="AD13" s="82" t="n">
        <v>16507.0386901437</v>
      </c>
      <c r="AE13" s="82" t="n">
        <v>19043.1911033779</v>
      </c>
      <c r="AF13" s="82" t="n">
        <v>21156.0481774629</v>
      </c>
      <c r="AG13" s="83" t="n">
        <v>0.193669399893566</v>
      </c>
    </row>
    <row r="14">
      <c r="B14" s="84" t="inlineStr">
        <is>
          <t xml:space="preserve">   Adjusted EBITDA % of Gross Bookings</t>
        </is>
      </c>
      <c r="C14" s="87">
        <f>IFERROR(C13/C9,"")</f>
        <v/>
      </c>
      <c r="D14" s="88">
        <f>IFERROR(D13/D9,"")</f>
        <v/>
      </c>
      <c r="E14" s="88">
        <f>IFERROR(E13/E9,"")</f>
        <v/>
      </c>
      <c r="F14" s="88">
        <f>IFERROR(F13/F9,"")</f>
        <v/>
      </c>
      <c r="G14" s="88">
        <f>IFERROR(G13/G9,"")</f>
        <v/>
      </c>
      <c r="H14" s="88">
        <f>IFERROR(H13/H9,"")</f>
        <v/>
      </c>
      <c r="J14" s="89">
        <f>IFERROR(AVERAGE(Model!C254,Model!D254,Model!I254,Model!N254,Model!S254,Model!X254,Model!AC254,Model!AH254,Model!AM254,Model!AR254),"")</f>
        <v/>
      </c>
      <c r="K14" s="89">
        <f>IFERROR(MIN(Model!C254,Model!D254,Model!I254,Model!N254,Model!S254,Model!X254,Model!AC254,Model!AH254,Model!AM254,Model!AR254),"")</f>
        <v/>
      </c>
      <c r="L14" s="89">
        <f>IFERROR(MAX(Model!C254,Model!D254,Model!I254,Model!N254,Model!S254,Model!X254,Model!AC254,Model!AH254,Model!AM254,Model!AR254),"")</f>
        <v/>
      </c>
      <c r="N14" s="84" t="inlineStr">
        <is>
          <t xml:space="preserve">   Adjusted EBITDA % of Gross Bookings</t>
        </is>
      </c>
      <c r="O14" s="87" t="n">
        <v>0.0451270069370496</v>
      </c>
      <c r="P14" s="88" t="n">
        <v>0.0487186703313475</v>
      </c>
      <c r="Q14" s="88" t="n">
        <v>0.0542872053490304</v>
      </c>
      <c r="R14" s="88" t="n">
        <v>0.05837686371044</v>
      </c>
      <c r="S14" s="88" t="n">
        <v>0.0622655502416682</v>
      </c>
      <c r="T14" s="88" t="n">
        <v>0.0652212354546608</v>
      </c>
      <c r="V14" s="89">
        <f>IFERROR(AVERAGE(Model!C254,Model!D254,Model!I254,Model!N254,Model!S254,Model!X254,Model!AC254,Model!AH254,Model!AM254,Model!AR254),"")</f>
        <v/>
      </c>
      <c r="W14" s="89">
        <f>IFERROR(MIN(Model!C254,Model!D254,Model!I254,Model!N254,Model!S254,Model!X254,Model!AC254,Model!AH254,Model!AM254,Model!AR254),"")</f>
        <v/>
      </c>
      <c r="X14" s="89">
        <f>IFERROR(MAX(Model!C254,Model!D254,Model!I254,Model!N254,Model!S254,Model!X254,Model!AC254,Model!AH254,Model!AM254,Model!AR254),"")</f>
        <v/>
      </c>
      <c r="Z14" s="84" t="inlineStr">
        <is>
          <t xml:space="preserve">   Adjusted EBITDA % of Gross Bookings</t>
        </is>
      </c>
      <c r="AA14" s="87" t="n">
        <v>0.0451270069370496</v>
      </c>
      <c r="AB14" s="88" t="n">
        <v>0.0486945851966651</v>
      </c>
      <c r="AC14" s="88" t="n">
        <v>0.0484786706065257</v>
      </c>
      <c r="AD14" s="88" t="n">
        <v>0.0475606720173583</v>
      </c>
      <c r="AE14" s="88" t="n">
        <v>0.0498490466395922</v>
      </c>
      <c r="AF14" s="88" t="n">
        <v>0.0506883585559764</v>
      </c>
      <c r="AH14" s="89">
        <f>IFERROR(AVERAGE(Model!C254,Model!D254,Model!I254,Model!N254,Model!S254,Model!X254,Model!AC254,Model!AH254,Model!AM254,Model!AR254),"")</f>
        <v/>
      </c>
      <c r="AI14" s="89">
        <f>IFERROR(MIN(Model!C254,Model!D254,Model!I254,Model!N254,Model!S254,Model!X254,Model!AC254,Model!AH254,Model!AM254,Model!AR254),"")</f>
        <v/>
      </c>
      <c r="AJ14" s="89">
        <f>IFERROR(MAX(Model!C254,Model!D254,Model!I254,Model!N254,Model!S254,Model!X254,Model!AC254,Model!AH254,Model!AM254,Model!AR254),"")</f>
        <v/>
      </c>
    </row>
    <row r="16">
      <c r="B16" s="80" t="inlineStr">
        <is>
          <t>Income from Operations (GAAP)</t>
        </is>
      </c>
      <c r="C16" s="81">
        <f>Model!AR157</f>
        <v/>
      </c>
      <c r="D16" s="82">
        <f>Model!AW157</f>
        <v/>
      </c>
      <c r="E16" s="82">
        <f>Model!AX157</f>
        <v/>
      </c>
      <c r="F16" s="82">
        <f>Model!AY157</f>
        <v/>
      </c>
      <c r="G16" s="82">
        <f>Model!AZ157</f>
        <v/>
      </c>
      <c r="H16" s="82">
        <f>Model!BA157</f>
        <v/>
      </c>
      <c r="I16" s="83">
        <f>IFERROR((H16/C16)^(1/5)-1,"n/m")</f>
        <v/>
      </c>
      <c r="N16" s="80" t="inlineStr">
        <is>
          <t>Income from Operations (GAAP)</t>
        </is>
      </c>
      <c r="O16" s="81" t="n">
        <v>5565</v>
      </c>
      <c r="P16" s="82" t="n">
        <v>8151.27048096615</v>
      </c>
      <c r="Q16" s="82" t="n">
        <v>11595.2912376124</v>
      </c>
      <c r="R16" s="82" t="n">
        <v>16971.0719620511</v>
      </c>
      <c r="S16" s="82" t="n">
        <v>21950.0006139517</v>
      </c>
      <c r="T16" s="82" t="n">
        <v>27061.4001829675</v>
      </c>
      <c r="U16" s="83" t="n">
        <v>0.372072370463511</v>
      </c>
      <c r="Z16" s="80" t="inlineStr">
        <is>
          <t>Income from Operations (GAAP)</t>
        </is>
      </c>
      <c r="AA16" s="81" t="n">
        <v>5565</v>
      </c>
      <c r="AB16" s="82" t="n">
        <v>7976.71592984742</v>
      </c>
      <c r="AC16" s="82" t="n">
        <v>9183.46857930385</v>
      </c>
      <c r="AD16" s="82" t="n">
        <v>11217.6303004764</v>
      </c>
      <c r="AE16" s="82" t="n">
        <v>13675.3353446047</v>
      </c>
      <c r="AF16" s="82" t="n">
        <v>15497.2587965474</v>
      </c>
      <c r="AG16" s="83" t="n">
        <v>0.2273203730092</v>
      </c>
    </row>
    <row r="17">
      <c r="B17" s="84" t="inlineStr">
        <is>
          <t xml:space="preserve">   Income from operations y/y %</t>
        </is>
      </c>
      <c r="C17" s="85" t="n"/>
      <c r="D17" s="86">
        <f>IFERROR(D16/C16-1,"")</f>
        <v/>
      </c>
      <c r="E17" s="86">
        <f>IFERROR(E16/D16-1,"")</f>
        <v/>
      </c>
      <c r="F17" s="86">
        <f>IFERROR(F16/E16-1,"")</f>
        <v/>
      </c>
      <c r="G17" s="86">
        <f>IFERROR(G16/F16-1,"")</f>
        <v/>
      </c>
      <c r="H17" s="86">
        <f>IFERROR(H16/G16-1,"")</f>
        <v/>
      </c>
      <c r="N17" s="84" t="inlineStr">
        <is>
          <t xml:space="preserve">   Income from operations y/y %</t>
        </is>
      </c>
      <c r="O17" s="85" t="n"/>
      <c r="P17" s="86" t="n">
        <v>0.464738630901374</v>
      </c>
      <c r="Q17" s="86" t="n">
        <v>0.422513369503358</v>
      </c>
      <c r="R17" s="86" t="n">
        <v>0.463617568052187</v>
      </c>
      <c r="S17" s="86" t="n">
        <v>0.293377381407253</v>
      </c>
      <c r="T17" s="86" t="n">
        <v>0.232865577496471</v>
      </c>
      <c r="Z17" s="84" t="inlineStr">
        <is>
          <t xml:space="preserve">   Income from operations y/y %</t>
        </is>
      </c>
      <c r="AA17" s="85" t="n"/>
      <c r="AB17" s="86" t="n">
        <v>0.433372134743472</v>
      </c>
      <c r="AC17" s="86" t="n">
        <v>0.151284395742485</v>
      </c>
      <c r="AD17" s="86" t="n">
        <v>0.221502551416877</v>
      </c>
      <c r="AE17" s="86" t="n">
        <v>0.2190930685266</v>
      </c>
      <c r="AF17" s="86" t="n">
        <v>0.133226967093092</v>
      </c>
    </row>
    <row r="18">
      <c r="B18" s="84" t="inlineStr">
        <is>
          <t xml:space="preserve">   Operating margin (GAAP) % of revenue</t>
        </is>
      </c>
      <c r="C18" s="87">
        <f>IFERROR(C16/C11,"")</f>
        <v/>
      </c>
      <c r="D18" s="88">
        <f>IFERROR(D16/D11,"")</f>
        <v/>
      </c>
      <c r="E18" s="88">
        <f>IFERROR(E16/E11,"")</f>
        <v/>
      </c>
      <c r="F18" s="88">
        <f>IFERROR(F16/F11,"")</f>
        <v/>
      </c>
      <c r="G18" s="88">
        <f>IFERROR(G16/G11,"")</f>
        <v/>
      </c>
      <c r="H18" s="88">
        <f>IFERROR(H16/H11,"")</f>
        <v/>
      </c>
      <c r="J18" s="89">
        <f>IFERROR(AVERAGE(Model!C258,Model!D258,Model!I258,Model!N258,Model!S258,Model!X258,Model!AC258,Model!AH258,Model!AM258,Model!AR258),"")</f>
        <v/>
      </c>
      <c r="K18" s="89">
        <f>IFERROR(MIN(Model!C258,Model!D258,Model!I258,Model!N258,Model!S258,Model!X258,Model!AC258,Model!AH258,Model!AM258,Model!AR258),"")</f>
        <v/>
      </c>
      <c r="L18" s="89">
        <f>IFERROR(MAX(Model!C258,Model!D258,Model!I258,Model!N258,Model!S258,Model!X258,Model!AC258,Model!AH258,Model!AM258,Model!AR258),"")</f>
        <v/>
      </c>
      <c r="N18" s="84" t="inlineStr">
        <is>
          <t xml:space="preserve">   Operating margin (GAAP) % of revenue</t>
        </is>
      </c>
      <c r="O18" s="87" t="n">
        <v>0.106984255147356</v>
      </c>
      <c r="P18" s="88" t="n">
        <v>0.140686230604807</v>
      </c>
      <c r="Q18" s="88" t="n">
        <v>0.161359256150054</v>
      </c>
      <c r="R18" s="88" t="n">
        <v>0.178358897004515</v>
      </c>
      <c r="S18" s="88" t="n">
        <v>0.198351464425795</v>
      </c>
      <c r="T18" s="88" t="n">
        <v>0.211567488739813</v>
      </c>
      <c r="V18" s="89">
        <f>IFERROR(AVERAGE(Model!C258,Model!D258,Model!I258,Model!N258,Model!S258,Model!X258,Model!AC258,Model!AH258,Model!AM258,Model!AR258),"")</f>
        <v/>
      </c>
      <c r="W18" s="89">
        <f>IFERROR(MIN(Model!C258,Model!D258,Model!I258,Model!N258,Model!S258,Model!X258,Model!AC258,Model!AH258,Model!AM258,Model!AR258),"")</f>
        <v/>
      </c>
      <c r="X18" s="89">
        <f>IFERROR(MAX(Model!C258,Model!D258,Model!I258,Model!N258,Model!S258,Model!X258,Model!AC258,Model!AH258,Model!AM258,Model!AR258),"")</f>
        <v/>
      </c>
      <c r="Z18" s="84" t="inlineStr">
        <is>
          <t xml:space="preserve">   Operating margin (GAAP) % of revenue</t>
        </is>
      </c>
      <c r="AA18" s="87" t="n">
        <v>0.106984255147356</v>
      </c>
      <c r="AB18" s="88" t="n">
        <v>0.139931088297947</v>
      </c>
      <c r="AC18" s="88" t="n">
        <v>0.137398135266908</v>
      </c>
      <c r="AD18" s="88" t="n">
        <v>0.134130733758025</v>
      </c>
      <c r="AE18" s="88" t="n">
        <v>0.14928201059353</v>
      </c>
      <c r="AF18" s="88" t="n">
        <v>0.155550276726835</v>
      </c>
      <c r="AH18" s="89">
        <f>IFERROR(AVERAGE(Model!C258,Model!D258,Model!I258,Model!N258,Model!S258,Model!X258,Model!AC258,Model!AH258,Model!AM258,Model!AR258),"")</f>
        <v/>
      </c>
      <c r="AI18" s="89">
        <f>IFERROR(MIN(Model!C258,Model!D258,Model!I258,Model!N258,Model!S258,Model!X258,Model!AC258,Model!AH258,Model!AM258,Model!AR258),"")</f>
        <v/>
      </c>
      <c r="AJ18" s="89">
        <f>IFERROR(MAX(Model!C258,Model!D258,Model!I258,Model!N258,Model!S258,Model!X258,Model!AC258,Model!AH258,Model!AM258,Model!AR258),"")</f>
        <v/>
      </c>
    </row>
    <row r="20">
      <c r="B20" s="80" t="inlineStr">
        <is>
          <t>Non-GAAP Net Income (attributable to common)</t>
        </is>
      </c>
      <c r="C20" s="81">
        <f>Model!AR234</f>
        <v/>
      </c>
      <c r="D20" s="82">
        <f>Model!AW234</f>
        <v/>
      </c>
      <c r="E20" s="82">
        <f>Model!AX234</f>
        <v/>
      </c>
      <c r="F20" s="82">
        <f>Model!AY234</f>
        <v/>
      </c>
      <c r="G20" s="82">
        <f>Model!AZ234</f>
        <v/>
      </c>
      <c r="H20" s="82">
        <f>Model!BA234</f>
        <v/>
      </c>
      <c r="I20" s="83">
        <f>IFERROR((H20/C20)^(1/5)-1,"n/m")</f>
        <v/>
      </c>
      <c r="N20" s="80" t="inlineStr">
        <is>
          <t>Non-GAAP Net Income (attributable to common)</t>
        </is>
      </c>
      <c r="O20" s="81" t="n">
        <v>5200</v>
      </c>
      <c r="P20" s="82" t="n">
        <v>6827.32467623236</v>
      </c>
      <c r="Q20" s="82" t="n">
        <v>9672.50728584187</v>
      </c>
      <c r="R20" s="82" t="n">
        <v>13677.7072241089</v>
      </c>
      <c r="S20" s="82" t="n">
        <v>17155.5514279557</v>
      </c>
      <c r="T20" s="82" t="n">
        <v>20876.8986799259</v>
      </c>
      <c r="U20" s="83" t="n">
        <v>0.320482128992925</v>
      </c>
      <c r="Z20" s="80" t="inlineStr">
        <is>
          <t>Non-GAAP Net Income (attributable to common)</t>
        </is>
      </c>
      <c r="AA20" s="81" t="n">
        <v>5200</v>
      </c>
      <c r="AB20" s="82" t="n">
        <v>6694.66321738213</v>
      </c>
      <c r="AC20" s="82" t="n">
        <v>7931.35360969306</v>
      </c>
      <c r="AD20" s="82" t="n">
        <v>9750.30765251147</v>
      </c>
      <c r="AE20" s="82" t="n">
        <v>11337.9287102862</v>
      </c>
      <c r="AF20" s="82" t="n">
        <v>12640.4982507574</v>
      </c>
      <c r="AG20" s="83" t="n">
        <v>0.194406532122855</v>
      </c>
    </row>
    <row r="22">
      <c r="B22" s="80" t="inlineStr">
        <is>
          <t>FDSO (m)</t>
        </is>
      </c>
      <c r="C22" s="164">
        <f>Model!AR175</f>
        <v/>
      </c>
      <c r="D22" s="165">
        <f>Model!AW175</f>
        <v/>
      </c>
      <c r="E22" s="165">
        <f>Model!AX175</f>
        <v/>
      </c>
      <c r="F22" s="165">
        <f>Model!AY175</f>
        <v/>
      </c>
      <c r="G22" s="165">
        <f>Model!AZ175</f>
        <v/>
      </c>
      <c r="H22" s="165">
        <f>Model!BA175</f>
        <v/>
      </c>
      <c r="I22" s="83">
        <f>IFERROR((H22/C22)^(1/5)-1,"n/m")</f>
        <v/>
      </c>
      <c r="N22" s="80" t="inlineStr">
        <is>
          <t>FDSO (m)</t>
        </is>
      </c>
      <c r="O22" s="164" t="n">
        <v>2119.689</v>
      </c>
      <c r="P22" s="165" t="n">
        <v>2051.71665443145</v>
      </c>
      <c r="Q22" s="165" t="n">
        <v>1978.33916403639</v>
      </c>
      <c r="R22" s="165" t="n">
        <v>1821.92694579664</v>
      </c>
      <c r="S22" s="165" t="n">
        <v>1599.46383041749</v>
      </c>
      <c r="T22" s="165" t="n">
        <v>1346.95854318915</v>
      </c>
      <c r="U22" s="83" t="n">
        <v>-0.08669377740557541</v>
      </c>
      <c r="Z22" s="80" t="inlineStr">
        <is>
          <t>FDSO (m)</t>
        </is>
      </c>
      <c r="AA22" s="164" t="n">
        <v>2119.689</v>
      </c>
      <c r="AB22" s="165" t="n">
        <v>2060.52319240524</v>
      </c>
      <c r="AC22" s="165" t="n">
        <v>2068.16705821957</v>
      </c>
      <c r="AD22" s="165" t="n">
        <v>2013.74325695917</v>
      </c>
      <c r="AE22" s="165" t="n">
        <v>1888.41468108832</v>
      </c>
      <c r="AF22" s="165" t="n">
        <v>1747.50155278746</v>
      </c>
      <c r="AG22" s="83" t="n">
        <v>-0.0378803494904265</v>
      </c>
    </row>
    <row r="24">
      <c r="B24" s="80" t="inlineStr">
        <is>
          <t>Non-GAAP EPS — Diluted ($)</t>
        </is>
      </c>
      <c r="C24" s="92">
        <f>Model!AR236</f>
        <v/>
      </c>
      <c r="D24" s="93">
        <f>Model!AW236</f>
        <v/>
      </c>
      <c r="E24" s="93">
        <f>Model!AX236</f>
        <v/>
      </c>
      <c r="F24" s="93">
        <f>Model!AY236</f>
        <v/>
      </c>
      <c r="G24" s="93">
        <f>Model!AZ236</f>
        <v/>
      </c>
      <c r="H24" s="93">
        <f>Model!BA236</f>
        <v/>
      </c>
      <c r="I24" s="83">
        <f>IFERROR((H24/C24)^(1/5)-1,"n/m")</f>
        <v/>
      </c>
      <c r="N24" s="80" t="inlineStr">
        <is>
          <t>Non-GAAP EPS — Diluted ($)</t>
        </is>
      </c>
      <c r="O24" s="92" t="n">
        <v>2.45319006703342</v>
      </c>
      <c r="P24" s="93" t="n">
        <v>3.32761576092206</v>
      </c>
      <c r="Q24" s="93" t="n">
        <v>4.88920578517341</v>
      </c>
      <c r="R24" s="93" t="n">
        <v>7.50727533596485</v>
      </c>
      <c r="S24" s="93" t="n">
        <v>10.7258139269569</v>
      </c>
      <c r="T24" s="93" t="n">
        <v>15.4992882189948</v>
      </c>
      <c r="U24" s="83" t="n">
        <v>0.445826269793539</v>
      </c>
      <c r="Z24" s="80" t="inlineStr">
        <is>
          <t>Non-GAAP EPS — Diluted ($)</t>
        </is>
      </c>
      <c r="AA24" s="92" t="n">
        <v>2.45319006703342</v>
      </c>
      <c r="AB24" s="93" t="n">
        <v>3.24901133947805</v>
      </c>
      <c r="AC24" s="93" t="n">
        <v>3.83496757584031</v>
      </c>
      <c r="AD24" s="93" t="n">
        <v>4.84188221056283</v>
      </c>
      <c r="AE24" s="93" t="n">
        <v>6.0039401429309</v>
      </c>
      <c r="AF24" s="93" t="n">
        <v>7.23346896636191</v>
      </c>
      <c r="AG24" s="83" t="n">
        <v>0.241432426299841</v>
      </c>
    </row>
    <row r="25">
      <c r="B25" s="84" t="inlineStr">
        <is>
          <t xml:space="preserve">   EPS y/y %</t>
        </is>
      </c>
      <c r="C25" s="85" t="n"/>
      <c r="D25" s="86">
        <f>IFERROR(D24/C24-1,"")</f>
        <v/>
      </c>
      <c r="E25" s="86">
        <f>IFERROR(E24/D24-1,"")</f>
        <v/>
      </c>
      <c r="F25" s="86">
        <f>IFERROR(F24/E24-1,"")</f>
        <v/>
      </c>
      <c r="G25" s="86">
        <f>IFERROR(G24/F24-1,"")</f>
        <v/>
      </c>
      <c r="H25" s="86">
        <f>IFERROR(H24/G24-1,"")</f>
        <v/>
      </c>
      <c r="N25" s="84" t="inlineStr">
        <is>
          <t xml:space="preserve">   EPS y/y %</t>
        </is>
      </c>
      <c r="O25" s="85" t="n"/>
      <c r="P25" s="86" t="n">
        <v>0.35644433166406</v>
      </c>
      <c r="Q25" s="86" t="n">
        <v>0.469281953340265</v>
      </c>
      <c r="R25" s="86" t="n">
        <v>0.535479516679534</v>
      </c>
      <c r="S25" s="86" t="n">
        <v>0.42872259867346</v>
      </c>
      <c r="T25" s="86" t="n">
        <v>0.445045413294076</v>
      </c>
      <c r="Z25" s="84" t="inlineStr">
        <is>
          <t xml:space="preserve">   EPS y/y %</t>
        </is>
      </c>
      <c r="AA25" s="85" t="n"/>
      <c r="AB25" s="86" t="n">
        <v>0.324402614839785</v>
      </c>
      <c r="AC25" s="86" t="n">
        <v>0.180349089349868</v>
      </c>
      <c r="AD25" s="86" t="n">
        <v>0.26256144669017</v>
      </c>
      <c r="AE25" s="86" t="n">
        <v>0.24000128087234</v>
      </c>
      <c r="AF25" s="86" t="n">
        <v>0.204786988904055</v>
      </c>
    </row>
    <row r="27">
      <c r="B27" s="54" t="inlineStr">
        <is>
          <t>P / E (x) — assumed (Non-GAAP EPS)</t>
        </is>
      </c>
      <c r="C27" s="94" t="n"/>
      <c r="D27" s="95" t="n"/>
      <c r="E27" s="95" t="n"/>
      <c r="F27" s="95" t="n"/>
      <c r="G27" s="96" t="n">
        <v>24</v>
      </c>
      <c r="H27" s="96" t="n">
        <v>24</v>
      </c>
      <c r="N27" s="54" t="inlineStr">
        <is>
          <t>P / E (x) — assumed (Non-GAAP EPS)</t>
        </is>
      </c>
      <c r="O27" s="94" t="n"/>
      <c r="P27" s="95" t="n"/>
      <c r="Q27" s="95" t="n"/>
      <c r="R27" s="95" t="n"/>
      <c r="S27" s="96" t="n">
        <v>28</v>
      </c>
      <c r="T27" s="96" t="n">
        <v>28</v>
      </c>
      <c r="Z27" s="54" t="inlineStr">
        <is>
          <t>P / E (x) — assumed (Non-GAAP EPS)</t>
        </is>
      </c>
      <c r="AA27" s="94" t="n"/>
      <c r="AB27" s="95" t="n"/>
      <c r="AC27" s="95" t="n"/>
      <c r="AD27" s="95" t="n"/>
      <c r="AE27" s="96" t="n">
        <v>18</v>
      </c>
      <c r="AF27" s="96" t="n">
        <v>18</v>
      </c>
    </row>
    <row r="28">
      <c r="B28" s="54" t="inlineStr">
        <is>
          <t>Price Target ($)</t>
        </is>
      </c>
      <c r="C28" s="97" t="n"/>
      <c r="D28" s="98" t="n"/>
      <c r="E28" s="98" t="n"/>
      <c r="F28" s="98" t="n"/>
      <c r="G28" s="99">
        <f>G27*G24</f>
        <v/>
      </c>
      <c r="H28" s="99">
        <f>H27*H24</f>
        <v/>
      </c>
      <c r="N28" s="54" t="inlineStr">
        <is>
          <t>Price Target ($)</t>
        </is>
      </c>
      <c r="O28" s="97" t="n"/>
      <c r="P28" s="98" t="n"/>
      <c r="Q28" s="98" t="n"/>
      <c r="R28" s="98" t="n"/>
      <c r="S28" s="99">
        <f>S27*S24</f>
        <v/>
      </c>
      <c r="T28" s="99">
        <f>T27*T24</f>
        <v/>
      </c>
      <c r="Z28" s="54" t="inlineStr">
        <is>
          <t>Price Target ($)</t>
        </is>
      </c>
      <c r="AA28" s="97" t="n"/>
      <c r="AB28" s="98" t="n"/>
      <c r="AC28" s="98" t="n"/>
      <c r="AD28" s="98" t="n"/>
      <c r="AE28" s="99">
        <f>AE27*AE24</f>
        <v/>
      </c>
      <c r="AF28" s="99">
        <f>AF27*AF24</f>
        <v/>
      </c>
    </row>
    <row r="29">
      <c r="B29" s="84" t="inlineStr">
        <is>
          <t xml:space="preserve">   Upside / (Downside) vs current</t>
        </is>
      </c>
      <c r="C29" s="85" t="n"/>
      <c r="D29" s="86" t="n"/>
      <c r="E29" s="86" t="n"/>
      <c r="F29" s="86" t="n"/>
      <c r="G29" s="86">
        <f>IFERROR(G28/$K$2-1,"")</f>
        <v/>
      </c>
      <c r="H29" s="86">
        <f>IFERROR(H28/$K$2-1,"")</f>
        <v/>
      </c>
      <c r="N29" s="84" t="inlineStr">
        <is>
          <t xml:space="preserve">   Upside / (Downside) vs current</t>
        </is>
      </c>
      <c r="O29" s="85" t="n"/>
      <c r="P29" s="86" t="n"/>
      <c r="Q29" s="86" t="n"/>
      <c r="R29" s="86" t="n"/>
      <c r="S29" s="86">
        <f>IFERROR(S28/$K$2-1,"")</f>
        <v/>
      </c>
      <c r="T29" s="86">
        <f>IFERROR(T28/$K$2-1,"")</f>
        <v/>
      </c>
      <c r="Z29" s="84" t="inlineStr">
        <is>
          <t xml:space="preserve">   Upside / (Downside) vs current</t>
        </is>
      </c>
      <c r="AA29" s="85" t="n"/>
      <c r="AB29" s="86" t="n"/>
      <c r="AC29" s="86" t="n"/>
      <c r="AD29" s="86" t="n"/>
      <c r="AE29" s="86">
        <f>IFERROR(AE28/$K$2-1,"")</f>
        <v/>
      </c>
      <c r="AF29" s="86">
        <f>IFERROR(AF28/$K$2-1,"")</f>
        <v/>
      </c>
    </row>
    <row r="30">
      <c r="B30" s="54" t="inlineStr">
        <is>
          <t>IRR (to Dec-Y-1)</t>
        </is>
      </c>
      <c r="C30" s="100" t="n"/>
      <c r="D30" s="101" t="n"/>
      <c r="E30" s="101" t="n"/>
      <c r="F30" s="101" t="n"/>
      <c r="G30" s="101">
        <f>IFERROR((G28/$K$2)^(1/((DATE(2029-1,12,31)-$K$3)/365.25))-1,"")</f>
        <v/>
      </c>
      <c r="H30" s="101">
        <f>IFERROR((H28/$K$2)^(1/((DATE(2030-1,12,31)-$K$3)/365.25))-1,"")</f>
        <v/>
      </c>
      <c r="N30" s="54" t="inlineStr">
        <is>
          <t>IRR (to Dec-Y-1)</t>
        </is>
      </c>
      <c r="O30" s="100" t="n"/>
      <c r="P30" s="101" t="n"/>
      <c r="Q30" s="101" t="n"/>
      <c r="R30" s="101" t="n"/>
      <c r="S30" s="101">
        <f>IFERROR((S28/$K$2)^(1/((DATE(2029-1,12,31)-$K$3)/365.25))-1,"")</f>
        <v/>
      </c>
      <c r="T30" s="101">
        <f>IFERROR((T28/$K$2)^(1/((DATE(2030-1,12,31)-$K$3)/365.25))-1,"")</f>
        <v/>
      </c>
      <c r="Z30" s="54" t="inlineStr">
        <is>
          <t>IRR (to Dec-Y-1)</t>
        </is>
      </c>
      <c r="AA30" s="100" t="n"/>
      <c r="AB30" s="101" t="n"/>
      <c r="AC30" s="101" t="n"/>
      <c r="AD30" s="101" t="n"/>
      <c r="AE30" s="101">
        <f>IFERROR((AE28/$K$2)^(1/((DATE(2029-1,12,31)-$K$3)/365.25))-1,"")</f>
        <v/>
      </c>
      <c r="AF30" s="101">
        <f>IFERROR((AF28/$K$2)^(1/((DATE(2030-1,12,31)-$K$3)/365.25))-1,"")</f>
        <v/>
      </c>
    </row>
    <row r="32">
      <c r="B32" s="80" t="inlineStr">
        <is>
          <t>Free Cash Flow</t>
        </is>
      </c>
      <c r="C32" s="81">
        <f>Model!AR293</f>
        <v/>
      </c>
      <c r="D32" s="82">
        <f>Model!AW293</f>
        <v/>
      </c>
      <c r="E32" s="82">
        <f>Model!AX293</f>
        <v/>
      </c>
      <c r="F32" s="82">
        <f>Model!AY293</f>
        <v/>
      </c>
      <c r="G32" s="82">
        <f>Model!AZ293</f>
        <v/>
      </c>
      <c r="H32" s="82">
        <f>Model!BA293</f>
        <v/>
      </c>
      <c r="I32" s="83">
        <f>IFERROR((H32/C32)^(1/5)-1,"n/m")</f>
        <v/>
      </c>
      <c r="N32" s="80" t="inlineStr">
        <is>
          <t>Free Cash Flow</t>
        </is>
      </c>
      <c r="O32" s="81" t="n">
        <v>9763</v>
      </c>
      <c r="P32" s="82" t="n">
        <v>11717.5650033805</v>
      </c>
      <c r="Q32" s="82" t="n">
        <v>15485.0482111221</v>
      </c>
      <c r="R32" s="82" t="n">
        <v>21065.2187716176</v>
      </c>
      <c r="S32" s="82" t="n">
        <v>25830.6011347859</v>
      </c>
      <c r="T32" s="82" t="n">
        <v>30688.4236781739</v>
      </c>
      <c r="U32" s="83" t="n">
        <v>0.257413904284495</v>
      </c>
      <c r="Z32" s="80" t="inlineStr">
        <is>
          <t>Free Cash Flow</t>
        </is>
      </c>
      <c r="AA32" s="81" t="n">
        <v>9763</v>
      </c>
      <c r="AB32" s="82" t="n">
        <v>11236.122402129</v>
      </c>
      <c r="AC32" s="82" t="n">
        <v>12354.3909117854</v>
      </c>
      <c r="AD32" s="82" t="n">
        <v>14943.6892778802</v>
      </c>
      <c r="AE32" s="82" t="n">
        <v>17157.6850064399</v>
      </c>
      <c r="AF32" s="82" t="n">
        <v>18775.3913808787</v>
      </c>
      <c r="AG32" s="83" t="n">
        <v>0.139727800732085</v>
      </c>
    </row>
    <row r="33">
      <c r="B33" s="84" t="inlineStr">
        <is>
          <t xml:space="preserve">   FCF % of revenue</t>
        </is>
      </c>
      <c r="C33" s="87">
        <f>IFERROR(C32/C11,"")</f>
        <v/>
      </c>
      <c r="D33" s="88">
        <f>IFERROR(D32/D11,"")</f>
        <v/>
      </c>
      <c r="E33" s="88">
        <f>IFERROR(E32/E11,"")</f>
        <v/>
      </c>
      <c r="F33" s="88">
        <f>IFERROR(F32/F11,"")</f>
        <v/>
      </c>
      <c r="G33" s="88">
        <f>IFERROR(G32/G11,"")</f>
        <v/>
      </c>
      <c r="H33" s="88">
        <f>IFERROR(H32/H11,"")</f>
        <v/>
      </c>
      <c r="J33" s="89">
        <f>IFERROR(AVERAGE(Model!C298,Model!D298,Model!I298,Model!N298,Model!S298,Model!X298,Model!AC298,Model!AH298,Model!AM298,Model!AR298),"")</f>
        <v/>
      </c>
      <c r="K33" s="89">
        <f>IFERROR(MIN(Model!C298,Model!D298,Model!I298,Model!N298,Model!S298,Model!X298,Model!AC298,Model!AH298,Model!AM298,Model!AR298),"")</f>
        <v/>
      </c>
      <c r="L33" s="89">
        <f>IFERROR(MAX(Model!C298,Model!D298,Model!I298,Model!N298,Model!S298,Model!X298,Model!AC298,Model!AH298,Model!AM298,Model!AR298),"")</f>
        <v/>
      </c>
      <c r="N33" s="84" t="inlineStr">
        <is>
          <t xml:space="preserve">   FCF % of revenue</t>
        </is>
      </c>
      <c r="O33" s="87" t="n">
        <v>0.187688640252225</v>
      </c>
      <c r="P33" s="88" t="n">
        <v>0.202238418666363</v>
      </c>
      <c r="Q33" s="88" t="n">
        <v>0.21548884021898</v>
      </c>
      <c r="R33" s="88" t="n">
        <v>0.221386674552197</v>
      </c>
      <c r="S33" s="88" t="n">
        <v>0.233418561219848</v>
      </c>
      <c r="T33" s="88" t="n">
        <v>0.239923754390994</v>
      </c>
      <c r="V33" s="89">
        <f>IFERROR(AVERAGE(Model!C298,Model!D298,Model!I298,Model!N298,Model!S298,Model!X298,Model!AC298,Model!AH298,Model!AM298,Model!AR298),"")</f>
        <v/>
      </c>
      <c r="W33" s="89">
        <f>IFERROR(MIN(Model!C298,Model!D298,Model!I298,Model!N298,Model!S298,Model!X298,Model!AC298,Model!AH298,Model!AM298,Model!AR298),"")</f>
        <v/>
      </c>
      <c r="X33" s="89">
        <f>IFERROR(MAX(Model!C298,Model!D298,Model!I298,Model!N298,Model!S298,Model!X298,Model!AC298,Model!AH298,Model!AM298,Model!AR298),"")</f>
        <v/>
      </c>
      <c r="Z33" s="84" t="inlineStr">
        <is>
          <t xml:space="preserve">   FCF % of revenue</t>
        </is>
      </c>
      <c r="AA33" s="87" t="n">
        <v>0.187688640252225</v>
      </c>
      <c r="AB33" s="88" t="n">
        <v>0.197109042092831</v>
      </c>
      <c r="AC33" s="88" t="n">
        <v>0.184839775840605</v>
      </c>
      <c r="AD33" s="88" t="n">
        <v>0.178683728577584</v>
      </c>
      <c r="AE33" s="88" t="n">
        <v>0.187295861516283</v>
      </c>
      <c r="AF33" s="88" t="n">
        <v>0.188453800978078</v>
      </c>
      <c r="AH33" s="89">
        <f>IFERROR(AVERAGE(Model!C298,Model!D298,Model!I298,Model!N298,Model!S298,Model!X298,Model!AC298,Model!AH298,Model!AM298,Model!AR298),"")</f>
        <v/>
      </c>
      <c r="AI33" s="89">
        <f>IFERROR(MIN(Model!C298,Model!D298,Model!I298,Model!N298,Model!S298,Model!X298,Model!AC298,Model!AH298,Model!AM298,Model!AR298),"")</f>
        <v/>
      </c>
      <c r="AJ33" s="89">
        <f>IFERROR(MAX(Model!C298,Model!D298,Model!I298,Model!N298,Model!S298,Model!X298,Model!AC298,Model!AH298,Model!AM298,Model!AR298),"")</f>
        <v/>
      </c>
    </row>
    <row r="34">
      <c r="B34" s="84" t="inlineStr">
        <is>
          <t xml:space="preserve">   FCF / share ($)</t>
        </is>
      </c>
      <c r="C34" s="102">
        <f>IFERROR(C32/C22,"")</f>
        <v/>
      </c>
      <c r="D34" s="103">
        <f>IFERROR(D32/D22,"")</f>
        <v/>
      </c>
      <c r="E34" s="103">
        <f>IFERROR(E32/E22,"")</f>
        <v/>
      </c>
      <c r="F34" s="103">
        <f>IFERROR(F32/F22,"")</f>
        <v/>
      </c>
      <c r="G34" s="103">
        <f>IFERROR(G32/G22,"")</f>
        <v/>
      </c>
      <c r="H34" s="103">
        <f>IFERROR(H32/H22,"")</f>
        <v/>
      </c>
      <c r="N34" s="84" t="inlineStr">
        <is>
          <t xml:space="preserve">   FCF / share ($)</t>
        </is>
      </c>
      <c r="O34" s="102" t="n">
        <v>4.60586435085524</v>
      </c>
      <c r="P34" s="103" t="n">
        <v>5.71110293327882</v>
      </c>
      <c r="Q34" s="103" t="n">
        <v>7.82729700377971</v>
      </c>
      <c r="R34" s="103" t="n">
        <v>11.5620545709679</v>
      </c>
      <c r="S34" s="103" t="n">
        <v>16.1495375159835</v>
      </c>
      <c r="T34" s="103" t="n">
        <v>22.7834953297924</v>
      </c>
      <c r="Z34" s="84" t="inlineStr">
        <is>
          <t xml:space="preserve">   FCF / share ($)</t>
        </is>
      </c>
      <c r="AA34" s="102" t="n">
        <v>4.60586435085524</v>
      </c>
      <c r="AB34" s="103" t="n">
        <v>5.45304340351206</v>
      </c>
      <c r="AC34" s="103" t="n">
        <v>5.97359428131548</v>
      </c>
      <c r="AD34" s="103" t="n">
        <v>7.42085130576465</v>
      </c>
      <c r="AE34" s="103" t="n">
        <v>9.085761288697251</v>
      </c>
      <c r="AF34" s="103" t="n">
        <v>10.7441343047334</v>
      </c>
    </row>
    <row r="35">
      <c r="B35" s="84" t="inlineStr">
        <is>
          <t xml:space="preserve">   FCF Yield (on PT)</t>
        </is>
      </c>
      <c r="C35" s="87" t="n"/>
      <c r="D35" s="88" t="n"/>
      <c r="E35" s="88" t="n"/>
      <c r="F35" s="88" t="n"/>
      <c r="G35" s="88">
        <f>IFERROR(G34/G$28,"")</f>
        <v/>
      </c>
      <c r="H35" s="88">
        <f>IFERROR(H34/H$28,"")</f>
        <v/>
      </c>
      <c r="N35" s="84" t="inlineStr">
        <is>
          <t xml:space="preserve">   FCF Yield (on PT)</t>
        </is>
      </c>
      <c r="O35" s="87" t="n"/>
      <c r="P35" s="88" t="n"/>
      <c r="Q35" s="88" t="n"/>
      <c r="R35" s="88" t="n"/>
      <c r="S35" s="88">
        <f>IFERROR(S34/S$28,"")</f>
        <v/>
      </c>
      <c r="T35" s="88">
        <f>IFERROR(T34/T$28,"")</f>
        <v/>
      </c>
      <c r="Z35" s="84" t="inlineStr">
        <is>
          <t xml:space="preserve">   FCF Yield (on PT)</t>
        </is>
      </c>
      <c r="AA35" s="87" t="n"/>
      <c r="AB35" s="88" t="n"/>
      <c r="AC35" s="88" t="n"/>
      <c r="AD35" s="88" t="n"/>
      <c r="AE35" s="88">
        <f>IFERROR(AE34/AE$28,"")</f>
        <v/>
      </c>
      <c r="AF35" s="88">
        <f>IFERROR(AF34/AF$28,"")</f>
        <v/>
      </c>
    </row>
    <row r="36">
      <c r="B36" s="80" t="inlineStr">
        <is>
          <t>Adjusted EBITDA — pro forma (2027E incl. Delivery Hero full year)</t>
        </is>
      </c>
      <c r="C36" s="81">
        <f>Model!AR216</f>
        <v/>
      </c>
      <c r="D36" s="82">
        <f>Model!AW216</f>
        <v/>
      </c>
      <c r="E36" s="82">
        <f>Model!AX216</f>
        <v/>
      </c>
      <c r="F36" s="82">
        <f>Model!AY216</f>
        <v/>
      </c>
      <c r="G36" s="82">
        <f>Model!AZ216</f>
        <v/>
      </c>
      <c r="H36" s="82">
        <f>Model!BA216</f>
        <v/>
      </c>
      <c r="I36" s="83">
        <f>IFERROR((H36/C36)^(1/5)-1,"n/m")</f>
        <v/>
      </c>
      <c r="N36" s="80" t="inlineStr">
        <is>
          <t>Adjusted EBITDA — pro forma (2027E incl. Delivery Hero full year)</t>
        </is>
      </c>
      <c r="O36" s="81" t="n">
        <v>8730</v>
      </c>
      <c r="P36" s="82" t="n">
        <v>11573.8397383472</v>
      </c>
      <c r="Q36" s="82" t="n">
        <v>17131.5459744672</v>
      </c>
      <c r="R36" s="82" t="n">
        <v>22860.1944179124</v>
      </c>
      <c r="S36" s="82" t="n">
        <v>28311.3083245171</v>
      </c>
      <c r="T36" s="82" t="n">
        <v>34189.5077882586</v>
      </c>
      <c r="U36" s="83" t="n">
        <v>0.313940565712612</v>
      </c>
      <c r="Z36" s="80" t="inlineStr">
        <is>
          <t>Adjusted EBITDA — pro forma (2027E incl. Delivery Hero full year)</t>
        </is>
      </c>
      <c r="AA36" s="81" t="n">
        <v>8730</v>
      </c>
      <c r="AB36" s="82" t="n">
        <v>11364.4116574496</v>
      </c>
      <c r="AC36" s="82" t="n">
        <v>14027.7452261823</v>
      </c>
      <c r="AD36" s="82" t="n">
        <v>16507.0386901437</v>
      </c>
      <c r="AE36" s="82" t="n">
        <v>19043.1911033779</v>
      </c>
      <c r="AF36" s="82" t="n">
        <v>21156.0481774629</v>
      </c>
      <c r="AG36" s="83" t="n">
        <v>0.193669399893566</v>
      </c>
    </row>
    <row r="37">
      <c r="B37" s="84" t="inlineStr">
        <is>
          <t xml:space="preserve">   Adjusted EBITDA (pro forma) % of Gross Bookings</t>
        </is>
      </c>
      <c r="C37" s="87">
        <f>IFERROR(C36/C9,"")</f>
        <v/>
      </c>
      <c r="D37" s="88">
        <f>IFERROR(D36/D9,"")</f>
        <v/>
      </c>
      <c r="E37" s="88">
        <f>IFERROR(E36/E9,"")</f>
        <v/>
      </c>
      <c r="F37" s="88">
        <f>IFERROR(F36/F9,"")</f>
        <v/>
      </c>
      <c r="G37" s="88">
        <f>IFERROR(G36/G9,"")</f>
        <v/>
      </c>
      <c r="H37" s="88">
        <f>IFERROR(H36/H9,"")</f>
        <v/>
      </c>
      <c r="J37" s="89">
        <f>IFERROR(AVERAGE(Model!C254,Model!D254,Model!I254,Model!N254,Model!S254,Model!X254,Model!AC254,Model!AH254,Model!AM254,Model!AR254),"")</f>
        <v/>
      </c>
      <c r="K37" s="89">
        <f>IFERROR(MIN(Model!C254,Model!D254,Model!I254,Model!N254,Model!S254,Model!X254,Model!AC254,Model!AH254,Model!AM254,Model!AR254),"")</f>
        <v/>
      </c>
      <c r="L37" s="89">
        <f>IFERROR(MAX(Model!C254,Model!D254,Model!I254,Model!N254,Model!S254,Model!X254,Model!AC254,Model!AH254,Model!AM254,Model!AR254),"")</f>
        <v/>
      </c>
      <c r="N37" s="84" t="inlineStr">
        <is>
          <t xml:space="preserve">   Adjusted EBITDA (pro forma) % of Gross Bookings</t>
        </is>
      </c>
      <c r="O37" s="87" t="n">
        <v>0.0451270069370496</v>
      </c>
      <c r="P37" s="88" t="n">
        <v>0.0487186703313475</v>
      </c>
      <c r="Q37" s="88" t="n">
        <v>0.0579879528451266</v>
      </c>
      <c r="R37" s="88" t="n">
        <v>0.05837686371044</v>
      </c>
      <c r="S37" s="88" t="n">
        <v>0.0622655502416682</v>
      </c>
      <c r="T37" s="88" t="n">
        <v>0.0652212354546608</v>
      </c>
      <c r="V37" s="89">
        <f>IFERROR(AVERAGE(Model!C254,Model!D254,Model!I254,Model!N254,Model!S254,Model!X254,Model!AC254,Model!AH254,Model!AM254,Model!AR254),"")</f>
        <v/>
      </c>
      <c r="W37" s="89">
        <f>IFERROR(MIN(Model!C254,Model!D254,Model!I254,Model!N254,Model!S254,Model!X254,Model!AC254,Model!AH254,Model!AM254,Model!AR254),"")</f>
        <v/>
      </c>
      <c r="X37" s="89">
        <f>IFERROR(MAX(Model!C254,Model!D254,Model!I254,Model!N254,Model!S254,Model!X254,Model!AC254,Model!AH254,Model!AM254,Model!AR254),"")</f>
        <v/>
      </c>
      <c r="Z37" s="84" t="inlineStr">
        <is>
          <t xml:space="preserve">   Adjusted EBITDA (pro forma) % of Gross Bookings</t>
        </is>
      </c>
      <c r="AA37" s="87" t="n">
        <v>0.0451270069370496</v>
      </c>
      <c r="AB37" s="88" t="n">
        <v>0.0486945851966651</v>
      </c>
      <c r="AC37" s="88" t="n">
        <v>0.050893243386159</v>
      </c>
      <c r="AD37" s="88" t="n">
        <v>0.0475606720173583</v>
      </c>
      <c r="AE37" s="88" t="n">
        <v>0.0498490466395922</v>
      </c>
      <c r="AF37" s="88" t="n">
        <v>0.0506883585559764</v>
      </c>
      <c r="AH37" s="89">
        <f>IFERROR(AVERAGE(Model!C254,Model!D254,Model!I254,Model!N254,Model!S254,Model!X254,Model!AC254,Model!AH254,Model!AM254,Model!AR254),"")</f>
        <v/>
      </c>
      <c r="AI37" s="89">
        <f>IFERROR(MIN(Model!C254,Model!D254,Model!I254,Model!N254,Model!S254,Model!X254,Model!AC254,Model!AH254,Model!AM254,Model!AR254),"")</f>
        <v/>
      </c>
      <c r="AJ37" s="89">
        <f>IFERROR(MAX(Model!C254,Model!D254,Model!I254,Model!N254,Model!S254,Model!X254,Model!AC254,Model!AH254,Model!AM254,Model!AR254),"")</f>
        <v/>
      </c>
    </row>
    <row r="39">
      <c r="B39" s="80" t="inlineStr">
        <is>
          <t>Net Debt</t>
        </is>
      </c>
      <c r="C39" s="81">
        <f>Model!AR457</f>
        <v/>
      </c>
      <c r="D39" s="82">
        <f>Model!AW457</f>
        <v/>
      </c>
      <c r="E39" s="82">
        <f>Model!AX457</f>
        <v/>
      </c>
      <c r="F39" s="82">
        <f>Model!AY457</f>
        <v/>
      </c>
      <c r="G39" s="82">
        <f>Model!AZ457</f>
        <v/>
      </c>
      <c r="H39" s="82">
        <f>Model!BA457</f>
        <v/>
      </c>
      <c r="N39" s="80" t="inlineStr">
        <is>
          <t>Net Debt</t>
        </is>
      </c>
      <c r="O39" s="81" t="n">
        <v>2888</v>
      </c>
      <c r="P39" s="82" t="n">
        <v>3461.93499661954</v>
      </c>
      <c r="Q39" s="82" t="n">
        <v>10512.192943839</v>
      </c>
      <c r="R39" s="82" t="n">
        <v>11430.0972089562</v>
      </c>
      <c r="S39" s="82" t="n">
        <v>14155.6541622586</v>
      </c>
      <c r="T39" s="82" t="n">
        <v>17094.7538941293</v>
      </c>
      <c r="Z39" s="80" t="inlineStr">
        <is>
          <t>Net Debt</t>
        </is>
      </c>
      <c r="AA39" s="81" t="n">
        <v>2888</v>
      </c>
      <c r="AB39" s="82" t="n">
        <v>1443.37759787099</v>
      </c>
      <c r="AC39" s="82" t="n">
        <v>2099.10441403191</v>
      </c>
      <c r="AD39" s="82" t="n">
        <v>0</v>
      </c>
      <c r="AE39" s="82" t="n">
        <v>0</v>
      </c>
      <c r="AF39" s="82" t="n">
        <v>0</v>
      </c>
    </row>
    <row r="40">
      <c r="B40" s="84" t="inlineStr">
        <is>
          <t xml:space="preserve">   Net Debt / Adjusted EBITDA (x)</t>
        </is>
      </c>
      <c r="C40" s="166">
        <f>IFERROR(C39/C36,"")</f>
        <v/>
      </c>
      <c r="D40" s="167">
        <f>IFERROR(D39/D36,"")</f>
        <v/>
      </c>
      <c r="E40" s="167">
        <f>IFERROR(E39/E36,"")</f>
        <v/>
      </c>
      <c r="F40" s="167">
        <f>IFERROR(F39/F36,"")</f>
        <v/>
      </c>
      <c r="G40" s="167">
        <f>IFERROR(G39/G36,"")</f>
        <v/>
      </c>
      <c r="H40" s="167">
        <f>IFERROR(H39/H36,"")</f>
        <v/>
      </c>
      <c r="N40" s="84" t="inlineStr">
        <is>
          <t xml:space="preserve">   Net Debt / Adjusted EBITDA (x)</t>
        </is>
      </c>
      <c r="O40" s="166" t="n">
        <v>0.330813287514318</v>
      </c>
      <c r="P40" s="167" t="n">
        <v>0.299117239817071</v>
      </c>
      <c r="Q40" s="167" t="n">
        <v>0.613616130120793</v>
      </c>
      <c r="R40" s="167" t="n">
        <v>0.5</v>
      </c>
      <c r="S40" s="167" t="n">
        <v>0.5</v>
      </c>
      <c r="T40" s="167" t="n">
        <v>0.5</v>
      </c>
      <c r="Z40" s="84" t="inlineStr">
        <is>
          <t xml:space="preserve">   Net Debt / Adjusted EBITDA (x)</t>
        </is>
      </c>
      <c r="AA40" s="166" t="n">
        <v>0.330813287514318</v>
      </c>
      <c r="AB40" s="167" t="n">
        <v>0.127008563344749</v>
      </c>
      <c r="AC40" s="167" t="n">
        <v>0.149639473784711</v>
      </c>
      <c r="AD40" s="167" t="n">
        <v>0</v>
      </c>
      <c r="AE40" s="167" t="n">
        <v>0</v>
      </c>
      <c r="AF40" s="167" t="n">
        <v>0</v>
      </c>
    </row>
    <row r="41">
      <c r="B41" s="84" t="inlineStr">
        <is>
          <t xml:space="preserve">   Share repurchases ($m)</t>
        </is>
      </c>
      <c r="C41" s="106" t="n"/>
      <c r="D41" s="107">
        <f>Model!AW307</f>
        <v/>
      </c>
      <c r="E41" s="107">
        <f>Model!AX307</f>
        <v/>
      </c>
      <c r="F41" s="107">
        <f>Model!AY307</f>
        <v/>
      </c>
      <c r="G41" s="107">
        <f>Model!AZ307</f>
        <v/>
      </c>
      <c r="H41" s="107">
        <f>Model!BA307</f>
        <v/>
      </c>
      <c r="N41" s="84" t="inlineStr">
        <is>
          <t xml:space="preserve">   Share repurchases ($m)</t>
        </is>
      </c>
      <c r="O41" s="106" t="n"/>
      <c r="P41" s="107" t="n">
        <v>3000</v>
      </c>
      <c r="Q41" s="107" t="n">
        <v>11613.7861583416</v>
      </c>
      <c r="R41" s="107" t="n">
        <v>20958.1230367347</v>
      </c>
      <c r="S41" s="107" t="n">
        <v>26531.1580880883</v>
      </c>
      <c r="T41" s="107" t="n">
        <v>31602.5234100447</v>
      </c>
      <c r="Z41" s="84" t="inlineStr">
        <is>
          <t xml:space="preserve">   Share repurchases ($m)</t>
        </is>
      </c>
      <c r="AA41" s="106" t="n"/>
      <c r="AB41" s="107" t="n">
        <v>500</v>
      </c>
      <c r="AC41" s="107" t="n">
        <v>3088.59772794636</v>
      </c>
      <c r="AD41" s="107" t="n">
        <v>12819.5848638483</v>
      </c>
      <c r="AE41" s="107" t="n">
        <v>17132.6850064399</v>
      </c>
      <c r="AF41" s="107" t="n">
        <v>18750.3913808787</v>
      </c>
    </row>
    <row r="42">
      <c r="B42" s="84" t="inlineStr">
        <is>
          <t xml:space="preserve">   Implied avg buyback price ($)</t>
        </is>
      </c>
      <c r="C42" s="108" t="n"/>
      <c r="D42" s="109">
        <f>Model!AW306</f>
        <v/>
      </c>
      <c r="E42" s="109">
        <f>Model!AX306</f>
        <v/>
      </c>
      <c r="F42" s="109">
        <f>Model!AY306</f>
        <v/>
      </c>
      <c r="G42" s="109">
        <f>Model!AZ306</f>
        <v/>
      </c>
      <c r="H42" s="109">
        <f>Model!BA306</f>
        <v/>
      </c>
      <c r="N42" s="84" t="inlineStr">
        <is>
          <t xml:space="preserve">   Implied avg buyback price ($)</t>
        </is>
      </c>
      <c r="O42" s="108" t="n"/>
      <c r="P42" s="109" t="n">
        <v>70.97</v>
      </c>
      <c r="Q42" s="109" t="n">
        <v>78.06699999999999</v>
      </c>
      <c r="R42" s="109" t="n">
        <v>85.8737</v>
      </c>
      <c r="S42" s="109" t="n">
        <v>94.46107000000001</v>
      </c>
      <c r="T42" s="109" t="n">
        <v>103.907177</v>
      </c>
      <c r="Z42" s="84" t="inlineStr">
        <is>
          <t xml:space="preserve">   Implied avg buyback price ($)</t>
        </is>
      </c>
      <c r="AA42" s="108" t="n"/>
      <c r="AB42" s="109" t="n">
        <v>70.97</v>
      </c>
      <c r="AC42" s="109" t="n">
        <v>78.06699999999999</v>
      </c>
      <c r="AD42" s="109" t="n">
        <v>85.8737</v>
      </c>
      <c r="AE42" s="109" t="n">
        <v>94.46107000000001</v>
      </c>
      <c r="AF42" s="109" t="n">
        <v>103.907177</v>
      </c>
    </row>
    <row r="43">
      <c r="B43" s="84" t="inlineStr">
        <is>
          <t xml:space="preserve">   Shares repurchased (m)</t>
        </is>
      </c>
      <c r="C43" s="168" t="n"/>
      <c r="D43" s="169">
        <f>Model!AW308</f>
        <v/>
      </c>
      <c r="E43" s="169">
        <f>Model!AX308</f>
        <v/>
      </c>
      <c r="F43" s="169">
        <f>Model!AY308</f>
        <v/>
      </c>
      <c r="G43" s="169">
        <f>Model!AZ308</f>
        <v/>
      </c>
      <c r="H43" s="169">
        <f>Model!BA308</f>
        <v/>
      </c>
      <c r="N43" s="84" t="inlineStr">
        <is>
          <t xml:space="preserve">   Shares repurchased (m)</t>
        </is>
      </c>
      <c r="O43" s="168" t="n"/>
      <c r="P43" s="169" t="n">
        <v>42.2713822742004</v>
      </c>
      <c r="Q43" s="169" t="n">
        <v>148.76690737881</v>
      </c>
      <c r="R43" s="169" t="n">
        <v>244.057529100699</v>
      </c>
      <c r="S43" s="169" t="n">
        <v>280.868701657607</v>
      </c>
      <c r="T43" s="169" t="n">
        <v>304.141872799072</v>
      </c>
      <c r="Z43" s="84" t="inlineStr">
        <is>
          <t xml:space="preserve">   Shares repurchased (m)</t>
        </is>
      </c>
      <c r="AA43" s="168" t="n"/>
      <c r="AB43" s="169" t="n">
        <v>7.04523037903339</v>
      </c>
      <c r="AC43" s="169" t="n">
        <v>39.5634228028022</v>
      </c>
      <c r="AD43" s="169" t="n">
        <v>149.284179717985</v>
      </c>
      <c r="AE43" s="169" t="n">
        <v>181.372972023711</v>
      </c>
      <c r="AF43" s="169" t="n">
        <v>180.45328457801</v>
      </c>
    </row>
    <row r="45">
      <c r="B45" s="80" t="inlineStr">
        <is>
          <t>ROIC</t>
        </is>
      </c>
      <c r="C45" s="112">
        <f>Model!AR439</f>
        <v/>
      </c>
      <c r="D45" s="113">
        <f>Model!AW439</f>
        <v/>
      </c>
      <c r="E45" s="113">
        <f>Model!AX439</f>
        <v/>
      </c>
      <c r="F45" s="113">
        <f>Model!AY439</f>
        <v/>
      </c>
      <c r="G45" s="113">
        <f>Model!AZ439</f>
        <v/>
      </c>
      <c r="H45" s="113">
        <f>Model!BA439</f>
        <v/>
      </c>
      <c r="J45" s="89">
        <f>IFERROR(AVERAGE(Model!C439,Model!D439,Model!I439,Model!N439,Model!S439,Model!X439,Model!AC439,Model!AH439,Model!AM439,Model!AR439),"")</f>
        <v/>
      </c>
      <c r="K45" s="89">
        <f>IFERROR(MIN(Model!C439,Model!D439,Model!I439,Model!N439,Model!S439,Model!X439,Model!AC439,Model!AH439,Model!AM439,Model!AR439),"")</f>
        <v/>
      </c>
      <c r="L45" s="89">
        <f>IFERROR(MAX(Model!C439,Model!D439,Model!I439,Model!N439,Model!S439,Model!X439,Model!AC439,Model!AH439,Model!AM439,Model!AR439),"")</f>
        <v/>
      </c>
      <c r="N45" s="80" t="inlineStr">
        <is>
          <t>ROIC</t>
        </is>
      </c>
      <c r="O45" s="112" t="n">
        <v>0.234043522737841</v>
      </c>
      <c r="P45" s="113" t="n">
        <v>0.321691111644564</v>
      </c>
      <c r="Q45" s="113" t="n">
        <v>0.273967284185669</v>
      </c>
      <c r="R45" s="113" t="n">
        <v>0.450666178729548</v>
      </c>
      <c r="S45" s="113" t="n">
        <v>0.642439084578267</v>
      </c>
      <c r="T45" s="113" t="n">
        <v>0.93091450689592</v>
      </c>
      <c r="V45" s="89">
        <f>IFERROR(AVERAGE(Model!C439,Model!D439,Model!I439,Model!N439,Model!S439,Model!X439,Model!AC439,Model!AH439,Model!AM439,Model!AR439),"")</f>
        <v/>
      </c>
      <c r="W45" s="89">
        <f>IFERROR(MIN(Model!C439,Model!D439,Model!I439,Model!N439,Model!S439,Model!X439,Model!AC439,Model!AH439,Model!AM439,Model!AR439),"")</f>
        <v/>
      </c>
      <c r="X45" s="89">
        <f>IFERROR(MAX(Model!C439,Model!D439,Model!I439,Model!N439,Model!S439,Model!X439,Model!AC439,Model!AH439,Model!AM439,Model!AR439),"")</f>
        <v/>
      </c>
      <c r="Z45" s="80" t="inlineStr">
        <is>
          <t>ROIC</t>
        </is>
      </c>
      <c r="AA45" s="112" t="n">
        <v>0.234043522737841</v>
      </c>
      <c r="AB45" s="113" t="n">
        <v>0.310780512875822</v>
      </c>
      <c r="AC45" s="113" t="n">
        <v>0.218692294705963</v>
      </c>
      <c r="AD45" s="113" t="n">
        <v>0.299028977693858</v>
      </c>
      <c r="AE45" s="113" t="n">
        <v>0.394121269689251</v>
      </c>
      <c r="AF45" s="113" t="n">
        <v>0.505370028782144</v>
      </c>
      <c r="AH45" s="89">
        <f>IFERROR(AVERAGE(Model!C439,Model!D439,Model!I439,Model!N439,Model!S439,Model!X439,Model!AC439,Model!AH439,Model!AM439,Model!AR439),"")</f>
        <v/>
      </c>
      <c r="AI45" s="89">
        <f>IFERROR(MIN(Model!C439,Model!D439,Model!I439,Model!N439,Model!S439,Model!X439,Model!AC439,Model!AH439,Model!AM439,Model!AR439),"")</f>
        <v/>
      </c>
      <c r="AJ45" s="89">
        <f>IFERROR(MAX(Model!C439,Model!D439,Model!I439,Model!N439,Model!S439,Model!X439,Model!AC439,Model!AH439,Model!AM439,Model!AR439),"")</f>
        <v/>
      </c>
    </row>
    <row r="46">
      <c r="B46" s="80" t="inlineStr">
        <is>
          <t>RONTA</t>
        </is>
      </c>
      <c r="C46" s="112">
        <f>Model!AR451</f>
        <v/>
      </c>
      <c r="D46" s="113">
        <f>Model!AW451</f>
        <v/>
      </c>
      <c r="E46" s="113">
        <f>Model!AX451</f>
        <v/>
      </c>
      <c r="F46" s="113">
        <f>Model!AY451</f>
        <v/>
      </c>
      <c r="G46" s="113">
        <f>Model!AZ451</f>
        <v/>
      </c>
      <c r="H46" s="113">
        <f>Model!BA451</f>
        <v/>
      </c>
      <c r="J46" s="89">
        <f>IFERROR(AVERAGE(Model!C451,Model!D451,Model!I451,Model!N451,Model!S451,Model!X451,Model!AC451,Model!AH451,Model!AM451,Model!AR451),"")</f>
        <v/>
      </c>
      <c r="K46" s="89">
        <f>IFERROR(MIN(Model!C451,Model!D451,Model!I451,Model!N451,Model!S451,Model!X451,Model!AC451,Model!AH451,Model!AM451,Model!AR451),"")</f>
        <v/>
      </c>
      <c r="L46" s="89">
        <f>IFERROR(MAX(Model!C451,Model!D451,Model!I451,Model!N451,Model!S451,Model!X451,Model!AC451,Model!AH451,Model!AM451,Model!AR451),"")</f>
        <v/>
      </c>
      <c r="N46" s="80" t="inlineStr">
        <is>
          <t>RONTA</t>
        </is>
      </c>
      <c r="O46" s="112" t="n">
        <v>0.263705139623828</v>
      </c>
      <c r="P46" s="113" t="n">
        <v>0.262461150620101</v>
      </c>
      <c r="Q46" s="113" t="n">
        <v>0.550339785743194</v>
      </c>
      <c r="R46" s="113" t="n">
        <v>0.9078539393360729</v>
      </c>
      <c r="S46" s="113" t="n">
        <v>1.35085748215969</v>
      </c>
      <c r="T46" s="113" t="n">
        <v>2.08909182677581</v>
      </c>
      <c r="V46" s="89">
        <f>IFERROR(AVERAGE(Model!C451,Model!D451,Model!I451,Model!N451,Model!S451,Model!X451,Model!AC451,Model!AH451,Model!AM451,Model!AR451),"")</f>
        <v/>
      </c>
      <c r="W46" s="89">
        <f>IFERROR(MIN(Model!C451,Model!D451,Model!I451,Model!N451,Model!S451,Model!X451,Model!AC451,Model!AH451,Model!AM451,Model!AR451),"")</f>
        <v/>
      </c>
      <c r="X46" s="89">
        <f>IFERROR(MAX(Model!C451,Model!D451,Model!I451,Model!N451,Model!S451,Model!X451,Model!AC451,Model!AH451,Model!AM451,Model!AR451),"")</f>
        <v/>
      </c>
      <c r="Z46" s="80" t="inlineStr">
        <is>
          <t>RONTA</t>
        </is>
      </c>
      <c r="AA46" s="112" t="n">
        <v>0.263705139623828</v>
      </c>
      <c r="AB46" s="113" t="n">
        <v>0.237713161835078</v>
      </c>
      <c r="AC46" s="113" t="n">
        <v>0.298815074120575</v>
      </c>
      <c r="AD46" s="113" t="n">
        <v>0.359316985935757</v>
      </c>
      <c r="AE46" s="113" t="n">
        <v>0.445875910481912</v>
      </c>
      <c r="AF46" s="113" t="n">
        <v>0.532131827971712</v>
      </c>
      <c r="AH46" s="89">
        <f>IFERROR(AVERAGE(Model!C451,Model!D451,Model!I451,Model!N451,Model!S451,Model!X451,Model!AC451,Model!AH451,Model!AM451,Model!AR451),"")</f>
        <v/>
      </c>
      <c r="AI46" s="89">
        <f>IFERROR(MIN(Model!C451,Model!D451,Model!I451,Model!N451,Model!S451,Model!X451,Model!AC451,Model!AH451,Model!AM451,Model!AR451),"")</f>
        <v/>
      </c>
      <c r="AJ46" s="89">
        <f>IFERROR(MAX(Model!C451,Model!D451,Model!I451,Model!N451,Model!S451,Model!X451,Model!AC451,Model!AH451,Model!AM451,Model!AR451),"")</f>
        <v/>
      </c>
    </row>
    <row r="48">
      <c r="B48" s="80" t="inlineStr">
        <is>
          <t>Implied Market Cap (USDm)</t>
        </is>
      </c>
      <c r="C48" s="106" t="n"/>
      <c r="D48" s="114" t="n"/>
      <c r="E48" s="114" t="n"/>
      <c r="F48" s="114" t="n"/>
      <c r="G48" s="114">
        <f>G28*G22</f>
        <v/>
      </c>
      <c r="H48" s="114">
        <f>H28*H22</f>
        <v/>
      </c>
      <c r="N48" s="80" t="inlineStr">
        <is>
          <t>Implied Market Cap (USDm)</t>
        </is>
      </c>
      <c r="O48" s="106" t="n"/>
      <c r="P48" s="114" t="n"/>
      <c r="Q48" s="114" t="n"/>
      <c r="R48" s="114" t="n"/>
      <c r="S48" s="114">
        <f>S28*S22</f>
        <v/>
      </c>
      <c r="T48" s="114">
        <f>T28*T22</f>
        <v/>
      </c>
      <c r="Z48" s="80" t="inlineStr">
        <is>
          <t>Implied Market Cap (USDm)</t>
        </is>
      </c>
      <c r="AA48" s="106" t="n"/>
      <c r="AB48" s="114" t="n"/>
      <c r="AC48" s="114" t="n"/>
      <c r="AD48" s="114" t="n"/>
      <c r="AE48" s="114">
        <f>AE28*AE22</f>
        <v/>
      </c>
      <c r="AF48" s="114">
        <f>AF28*AF22</f>
        <v/>
      </c>
    </row>
    <row r="49">
      <c r="B49" s="80" t="inlineStr">
        <is>
          <t>(+) Net Debt &amp; NCI, (−) equity investments</t>
        </is>
      </c>
      <c r="C49" s="106" t="n"/>
      <c r="D49" s="114" t="n"/>
      <c r="E49" s="114" t="n"/>
      <c r="F49" s="114" t="n"/>
      <c r="G49" s="107">
        <f>G39+Model!AZ467+Model!AZ468</f>
        <v/>
      </c>
      <c r="H49" s="107">
        <f>H39+Model!BA467+Model!BA468</f>
        <v/>
      </c>
      <c r="N49" s="80" t="inlineStr">
        <is>
          <t>(+) Net Debt &amp; NCI, (−) equity investments</t>
        </is>
      </c>
      <c r="O49" s="106" t="n"/>
      <c r="P49" s="114" t="n"/>
      <c r="Q49" s="114" t="n"/>
      <c r="R49" s="114" t="n"/>
      <c r="S49" s="107">
        <f>S39+Model!AZ467+Model!AZ468</f>
        <v/>
      </c>
      <c r="T49" s="107">
        <f>T39+Model!BA467+Model!BA468</f>
        <v/>
      </c>
      <c r="Z49" s="80" t="inlineStr">
        <is>
          <t>(+) Net Debt &amp; NCI, (−) equity investments</t>
        </is>
      </c>
      <c r="AA49" s="106" t="n"/>
      <c r="AB49" s="114" t="n"/>
      <c r="AC49" s="114" t="n"/>
      <c r="AD49" s="114" t="n"/>
      <c r="AE49" s="107">
        <f>AE39+Model!AZ467+Model!AZ468</f>
        <v/>
      </c>
      <c r="AF49" s="107">
        <f>AF39+Model!BA467+Model!BA468</f>
        <v/>
      </c>
    </row>
    <row r="50">
      <c r="B50" s="80" t="inlineStr">
        <is>
          <t>Implied Enterprise Value (USDm)</t>
        </is>
      </c>
      <c r="C50" s="106" t="n"/>
      <c r="D50" s="114" t="n"/>
      <c r="E50" s="114" t="n"/>
      <c r="F50" s="114" t="n"/>
      <c r="G50" s="114">
        <f>G48+G49</f>
        <v/>
      </c>
      <c r="H50" s="114">
        <f>H48+H49</f>
        <v/>
      </c>
      <c r="N50" s="80" t="inlineStr">
        <is>
          <t>Implied Enterprise Value (USDm)</t>
        </is>
      </c>
      <c r="O50" s="106" t="n"/>
      <c r="P50" s="114" t="n"/>
      <c r="Q50" s="114" t="n"/>
      <c r="R50" s="114" t="n"/>
      <c r="S50" s="114">
        <f>S48+S49</f>
        <v/>
      </c>
      <c r="T50" s="114">
        <f>T48+T49</f>
        <v/>
      </c>
      <c r="Z50" s="80" t="inlineStr">
        <is>
          <t>Implied Enterprise Value (USDm)</t>
        </is>
      </c>
      <c r="AA50" s="106" t="n"/>
      <c r="AB50" s="114" t="n"/>
      <c r="AC50" s="114" t="n"/>
      <c r="AD50" s="114" t="n"/>
      <c r="AE50" s="114">
        <f>AE48+AE49</f>
        <v/>
      </c>
      <c r="AF50" s="114">
        <f>AF48+AF49</f>
        <v/>
      </c>
    </row>
    <row r="51">
      <c r="B51" s="80" t="inlineStr">
        <is>
          <t>Implied EV / Adjusted EBITDA (x)</t>
        </is>
      </c>
      <c r="C51" s="170" t="n"/>
      <c r="D51" s="171" t="n"/>
      <c r="E51" s="171" t="n"/>
      <c r="F51" s="171" t="n"/>
      <c r="G51" s="171">
        <f>IFERROR(G50/G36,"")</f>
        <v/>
      </c>
      <c r="H51" s="171">
        <f>IFERROR(H50/H36,"")</f>
        <v/>
      </c>
      <c r="N51" s="80" t="inlineStr">
        <is>
          <t>Implied EV / Adjusted EBITDA (x)</t>
        </is>
      </c>
      <c r="O51" s="170" t="n"/>
      <c r="P51" s="171" t="n"/>
      <c r="Q51" s="171" t="n"/>
      <c r="R51" s="171" t="n"/>
      <c r="S51" s="171">
        <f>IFERROR(S50/S36,"")</f>
        <v/>
      </c>
      <c r="T51" s="171">
        <f>IFERROR(T50/T36,"")</f>
        <v/>
      </c>
      <c r="Z51" s="80" t="inlineStr">
        <is>
          <t>Implied EV / Adjusted EBITDA (x)</t>
        </is>
      </c>
      <c r="AA51" s="170" t="n"/>
      <c r="AB51" s="171" t="n"/>
      <c r="AC51" s="171" t="n"/>
      <c r="AD51" s="171" t="n"/>
      <c r="AE51" s="171">
        <f>IFERROR(AE50/AE36,"")</f>
        <v/>
      </c>
      <c r="AF51" s="171">
        <f>IFERROR(AF50/AF36,"")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12"/>
  <sheetViews>
    <sheetView showGridLines="0" workbookViewId="0">
      <selection activeCell="A1" sqref="A1"/>
    </sheetView>
  </sheetViews>
  <sheetFormatPr baseColWidth="8" defaultRowHeight="15"/>
  <cols>
    <col width="3.43" customWidth="1" min="1" max="1"/>
    <col width="62" customWidth="1" min="2" max="2"/>
    <col width="13.57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</cols>
  <sheetData>
    <row r="2">
      <c r="B2" s="117" t="inlineStr">
        <is>
          <t>DCF VALUATION — UBER TECHNOLOGIES (UBER)</t>
        </is>
      </c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</row>
    <row r="4">
      <c r="B4" s="21" t="inlineStr">
        <is>
          <t>1. WACC BUILD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</row>
    <row r="5">
      <c r="B5" s="27" t="inlineStr">
        <is>
          <t>Risk-free rate (US 10Y govt)</t>
        </is>
      </c>
      <c r="C5" s="118" t="n">
        <v>0.055</v>
      </c>
      <c r="D5" s="119" t="inlineStr">
        <is>
          <t>Assumption (~US 10Y Treasury yield); same as the MLM model — update to market</t>
        </is>
      </c>
    </row>
    <row r="6">
      <c r="B6" s="27" t="inlineStr">
        <is>
          <t>Equity risk premium</t>
        </is>
      </c>
      <c r="C6" s="118" t="n">
        <v>0.05</v>
      </c>
      <c r="D6" s="119" t="inlineStr">
        <is>
          <t>US implied ERP ~4.5–5.5% (Damodaran)</t>
        </is>
      </c>
    </row>
    <row r="7">
      <c r="B7" s="27" t="inlineStr">
        <is>
          <t>Levered beta</t>
        </is>
      </c>
      <c r="C7" s="120" t="n">
        <v>1.2</v>
      </c>
      <c r="D7" s="119" t="inlineStr">
        <is>
          <t>Platform / internet peers (DoorDash, Lyft, Grab, Delivery Hero) ~1.1–1.4; Uber 5Y regression ~1.3</t>
        </is>
      </c>
    </row>
    <row r="8">
      <c r="B8" s="27" t="inlineStr">
        <is>
          <t>Cost of equity</t>
        </is>
      </c>
      <c r="C8" s="121">
        <f>C5+C7*C6</f>
        <v/>
      </c>
    </row>
    <row r="9">
      <c r="B9" s="27" t="inlineStr">
        <is>
          <t>Pre-tax cost of debt</t>
        </is>
      </c>
      <c r="C9" s="118" t="n">
        <v>0.05</v>
      </c>
      <c r="D9" s="119" t="inlineStr">
        <is>
          <t>Investment grade (BBB / Baa2); Sep-2026 € notes 3.75%–5.25% (4.44% blended); $ notes 4.15%–5.35%</t>
        </is>
      </c>
    </row>
    <row r="10">
      <c r="B10" s="27" t="inlineStr">
        <is>
          <t>Tax rate</t>
        </is>
      </c>
      <c r="C10" s="118" t="n">
        <v>0.24</v>
      </c>
      <c r="D10" s="119" t="inlineStr">
        <is>
          <t>Model 2027E+ effective / Non-GAAP tax rate</t>
        </is>
      </c>
    </row>
    <row r="11">
      <c r="B11" s="27" t="inlineStr">
        <is>
          <t>After-tax cost of debt</t>
        </is>
      </c>
      <c r="C11" s="121">
        <f>C9*(1-C10)</f>
        <v/>
      </c>
    </row>
    <row r="12">
      <c r="B12" s="27" t="inlineStr">
        <is>
          <t>Target D/V</t>
        </is>
      </c>
      <c r="C12" s="118" t="n">
        <v>0.1</v>
      </c>
      <c r="D12" s="119" t="inlineStr">
        <is>
          <t>Gross debt ~$21bn at YE2027E (post Delivery Hero) vs ~$145bn market cap ($70.97 × ~2.04bn shares)</t>
        </is>
      </c>
    </row>
    <row r="13">
      <c r="B13" s="122" t="inlineStr">
        <is>
          <t>WACC</t>
        </is>
      </c>
      <c r="C13" s="123">
        <f>C8*(1-C12)+C11*C12</f>
        <v/>
      </c>
    </row>
    <row r="15">
      <c r="B15" s="27" t="inlineStr">
        <is>
          <t>Valuation date (live)</t>
        </is>
      </c>
      <c r="C15" s="124">
        <f>TODAY()</f>
        <v/>
      </c>
      <c r="D15" s="119" t="inlineStr">
        <is>
          <t>Periods = (Dec-31-Year − today) / 365.25; cash flows assumed at year-end</t>
        </is>
      </c>
    </row>
    <row r="16">
      <c r="B16" s="21" t="inlineStr">
        <is>
          <t>2. UNLEVERED FREE CASH FLOW BUILD (USDm)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</row>
    <row r="17">
      <c r="D17" s="8" t="inlineStr">
        <is>
          <t>2026E</t>
        </is>
      </c>
      <c r="E17" s="8" t="inlineStr">
        <is>
          <t>2027E</t>
        </is>
      </c>
      <c r="F17" s="8" t="inlineStr">
        <is>
          <t>2028E</t>
        </is>
      </c>
      <c r="G17" s="8" t="inlineStr">
        <is>
          <t>2029E</t>
        </is>
      </c>
      <c r="H17" s="8" t="inlineStr">
        <is>
          <t>2030E</t>
        </is>
      </c>
      <c r="I17" s="8" t="inlineStr">
        <is>
          <t>2031E</t>
        </is>
      </c>
      <c r="J17" s="8" t="inlineStr">
        <is>
          <t>2032E</t>
        </is>
      </c>
      <c r="K17" s="8" t="inlineStr">
        <is>
          <t>2033E</t>
        </is>
      </c>
      <c r="L17" s="8" t="inlineStr">
        <is>
          <t>2034E</t>
        </is>
      </c>
      <c r="M17" s="8" t="inlineStr">
        <is>
          <t>2035E</t>
        </is>
      </c>
      <c r="N17" s="8" t="inlineStr">
        <is>
          <t>Terminal</t>
        </is>
      </c>
    </row>
    <row r="18">
      <c r="B18" s="27" t="inlineStr">
        <is>
          <t>Adj. EBIT (Non-GAAP OI) less cash adjusting items (legal / regulatory reserves, acquisition &amp; restructuring costs)</t>
        </is>
      </c>
      <c r="D18" s="125">
        <f>Model!AW212-Model!AW194-Model!AW196-Model!AW199</f>
        <v/>
      </c>
      <c r="E18" s="125">
        <f>Model!AX212-Model!AX194-Model!AX196-Model!AX199</f>
        <v/>
      </c>
      <c r="F18" s="125">
        <f>Model!AY212-Model!AY194-Model!AY196-Model!AY199</f>
        <v/>
      </c>
      <c r="G18" s="125">
        <f>Model!AZ212-Model!AZ194-Model!AZ196-Model!AZ199</f>
        <v/>
      </c>
      <c r="H18" s="125">
        <f>Model!BA212-Model!BA194-Model!BA196-Model!BA199</f>
        <v/>
      </c>
      <c r="I18" s="126">
        <f>H18*(1+I$26)</f>
        <v/>
      </c>
      <c r="J18" s="126">
        <f>I18*(1+J$26)</f>
        <v/>
      </c>
      <c r="K18" s="126">
        <f>J18*(1+K$26)</f>
        <v/>
      </c>
      <c r="L18" s="126">
        <f>K18*(1+L$26)</f>
        <v/>
      </c>
      <c r="M18" s="126">
        <f>L18*(1+M$26)</f>
        <v/>
      </c>
    </row>
    <row r="19">
      <c r="B19" s="27" t="inlineStr">
        <is>
          <t>× (1 − tax rate)</t>
        </is>
      </c>
      <c r="D19" s="127">
        <f>1-$C$10</f>
        <v/>
      </c>
      <c r="E19" s="127">
        <f>1-$C$10</f>
        <v/>
      </c>
      <c r="F19" s="127">
        <f>1-$C$10</f>
        <v/>
      </c>
      <c r="G19" s="127">
        <f>1-$C$10</f>
        <v/>
      </c>
      <c r="H19" s="127">
        <f>1-$C$10</f>
        <v/>
      </c>
      <c r="I19" s="127">
        <f>1-$C$10</f>
        <v/>
      </c>
      <c r="J19" s="127">
        <f>1-$C$10</f>
        <v/>
      </c>
      <c r="K19" s="127">
        <f>1-$C$10</f>
        <v/>
      </c>
      <c r="L19" s="127">
        <f>1-$C$10</f>
        <v/>
      </c>
      <c r="M19" s="127">
        <f>1-$C$10</f>
        <v/>
      </c>
    </row>
    <row r="20">
      <c r="B20" s="27" t="inlineStr">
        <is>
          <t>NOPAT</t>
        </is>
      </c>
      <c r="D20" s="126">
        <f>D18*D19</f>
        <v/>
      </c>
      <c r="E20" s="126">
        <f>E18*E19</f>
        <v/>
      </c>
      <c r="F20" s="126">
        <f>F18*F19</f>
        <v/>
      </c>
      <c r="G20" s="126">
        <f>G18*G19</f>
        <v/>
      </c>
      <c r="H20" s="126">
        <f>H18*H19</f>
        <v/>
      </c>
      <c r="I20" s="126">
        <f>I18*I19</f>
        <v/>
      </c>
      <c r="J20" s="126">
        <f>J18*J19</f>
        <v/>
      </c>
      <c r="K20" s="126">
        <f>K18*K19</f>
        <v/>
      </c>
      <c r="L20" s="126">
        <f>L18*L19</f>
        <v/>
      </c>
      <c r="M20" s="126">
        <f>M18*M19</f>
        <v/>
      </c>
    </row>
    <row r="21">
      <c r="B21" s="27" t="inlineStr">
        <is>
          <t>plus D&amp;A excl. amortization of acquired intangibles (Non-GAAP OI is after SBC)</t>
        </is>
      </c>
      <c r="D21" s="125">
        <f>Model!AW155-Model!AW172</f>
        <v/>
      </c>
      <c r="E21" s="125">
        <f>Model!AX155-Model!AX172</f>
        <v/>
      </c>
      <c r="F21" s="125">
        <f>Model!AY155-Model!AY172</f>
        <v/>
      </c>
      <c r="G21" s="125">
        <f>Model!AZ155-Model!AZ172</f>
        <v/>
      </c>
      <c r="H21" s="125">
        <f>Model!BA155-Model!BA172</f>
        <v/>
      </c>
      <c r="I21" s="126">
        <f>H21*(1+I$26)</f>
        <v/>
      </c>
      <c r="J21" s="126">
        <f>I21*(1+J$26)</f>
        <v/>
      </c>
      <c r="K21" s="126">
        <f>J21*(1+K$26)</f>
        <v/>
      </c>
      <c r="L21" s="126">
        <f>K21*(1+L$26)</f>
        <v/>
      </c>
      <c r="M21" s="126">
        <f>L21*(1+M$26)</f>
        <v/>
      </c>
    </row>
    <row r="22">
      <c r="B22" s="27" t="inlineStr">
        <is>
          <t>− Capex and acquisitions (Delivery Hero 2027E; M&amp;A lever 2029E–30E)</t>
        </is>
      </c>
      <c r="D22" s="125">
        <f>Model!AW273</f>
        <v/>
      </c>
      <c r="E22" s="125">
        <f>Model!AX273+Model!AX274</f>
        <v/>
      </c>
      <c r="F22" s="125">
        <f>Model!AY273+Model!AY274</f>
        <v/>
      </c>
      <c r="G22" s="125">
        <f>Model!AZ273+Model!AZ274</f>
        <v/>
      </c>
      <c r="H22" s="125">
        <f>Model!BA273+Model!BA274</f>
        <v/>
      </c>
      <c r="I22" s="126">
        <f>Model!BA273*(1+I$26)</f>
        <v/>
      </c>
      <c r="J22" s="126">
        <f>I22*(1+J$26)</f>
        <v/>
      </c>
      <c r="K22" s="126">
        <f>J22*(1+K$26)</f>
        <v/>
      </c>
      <c r="L22" s="126">
        <f>K22*(1+L$26)</f>
        <v/>
      </c>
      <c r="M22" s="126">
        <f>L22*(1+M$26)</f>
        <v/>
      </c>
    </row>
    <row r="23">
      <c r="B23" s="27" t="inlineStr">
        <is>
          <t>− Δ Working capital (CF statement 2026–30E; fade/terminal = −NWC × growth: negative NWC releases cash as the platform grows)</t>
        </is>
      </c>
      <c r="D23" s="125">
        <f>Model!AW270</f>
        <v/>
      </c>
      <c r="E23" s="125">
        <f>Model!AX270</f>
        <v/>
      </c>
      <c r="F23" s="125">
        <f>Model!AY270</f>
        <v/>
      </c>
      <c r="G23" s="125">
        <f>Model!AZ270</f>
        <v/>
      </c>
      <c r="H23" s="125">
        <f>Model!BA270</f>
        <v/>
      </c>
      <c r="I23" s="126">
        <f>-Model!BA373*(1+I$26)*I$26</f>
        <v/>
      </c>
      <c r="J23" s="126">
        <f>-Model!BA373*(1+$I$26)*(1+$J$26)*J$26</f>
        <v/>
      </c>
      <c r="K23" s="126">
        <f>-Model!BA373*(1+$I$26)*(1+$J$26)*(1+$K$26)*K$26</f>
        <v/>
      </c>
      <c r="L23" s="126">
        <f>-Model!BA373*(1+$I$26)*(1+$J$26)*(1+$K$26)*(1+$L$26)*L$26</f>
        <v/>
      </c>
      <c r="M23" s="126">
        <f>-Model!BA373*(1+$I$26)*(1+$J$26)*(1+$K$26)*(1+$L$26)*(1+$M$26)*M$26</f>
        <v/>
      </c>
      <c r="N23" s="126">
        <f>-Model!BA373*(1+$I$26)*(1+$J$26)*(1+$K$26)*(1+$L$26)*(1+$M$26)</f>
        <v/>
      </c>
      <c r="O23" s="119" t="inlineStr">
        <is>
          <t>← |NWC| at 2035E (terminal ΔWC = |NWC| × g)</t>
        </is>
      </c>
    </row>
    <row r="24">
      <c r="B24" s="122" t="inlineStr">
        <is>
          <t>Unlevered FCF</t>
        </is>
      </c>
      <c r="D24" s="128">
        <f>D20+D21+D22+D23</f>
        <v/>
      </c>
      <c r="E24" s="128">
        <f>E20+E21+E22+E23</f>
        <v/>
      </c>
      <c r="F24" s="128">
        <f>F20+F21+F22+F23</f>
        <v/>
      </c>
      <c r="G24" s="128">
        <f>G20+G21+G22+G23</f>
        <v/>
      </c>
      <c r="H24" s="128">
        <f>H20+H21+H22+H23</f>
        <v/>
      </c>
      <c r="I24" s="128">
        <f>I20+I21+I22+I23</f>
        <v/>
      </c>
      <c r="J24" s="128">
        <f>J20+J21+J22+J23</f>
        <v/>
      </c>
      <c r="K24" s="128">
        <f>K20+K21+K22+K23</f>
        <v/>
      </c>
      <c r="L24" s="128">
        <f>L20+L21+L22+L23</f>
        <v/>
      </c>
      <c r="M24" s="128">
        <f>M20+M21+M22+M23</f>
        <v/>
      </c>
      <c r="N24" s="128">
        <f>(M20+M21+M22+N23*$C$27)*(1+$C$27)</f>
        <v/>
      </c>
    </row>
    <row r="25">
      <c r="B25" s="27" t="inlineStr">
        <is>
          <t>Terminal Value (Gordon Growth)</t>
        </is>
      </c>
      <c r="N25" s="126">
        <f>N24/($C$13-$C$27)</f>
        <v/>
      </c>
    </row>
    <row r="26">
      <c r="B26" s="27" t="inlineStr">
        <is>
          <t>Fade-period growth (2031E–35E; 12% → 6% linear)</t>
        </is>
      </c>
      <c r="I26" s="129" t="n">
        <v>0.12</v>
      </c>
      <c r="J26" s="127">
        <f>I26+($M$26-$I$26)/4</f>
        <v/>
      </c>
      <c r="K26" s="127">
        <f>J26+($M$26-$I$26)/4</f>
        <v/>
      </c>
      <c r="L26" s="127">
        <f>K26+($M$26-$I$26)/4</f>
        <v/>
      </c>
      <c r="M26" s="129" t="n">
        <v>0.06</v>
      </c>
    </row>
    <row r="27">
      <c r="B27" s="27" t="inlineStr">
        <is>
          <t>Terminal growth rate</t>
        </is>
      </c>
      <c r="C27" s="129" t="n">
        <v>0.04</v>
      </c>
    </row>
    <row r="29">
      <c r="B29" s="27" t="inlineStr">
        <is>
          <t>Discount period (years)</t>
        </is>
      </c>
      <c r="D29" s="130">
        <f>(DATE(2026,12,31)-$C$15)/365.25</f>
        <v/>
      </c>
      <c r="E29" s="130">
        <f>(DATE(2027,12,31)-$C$15)/365.25</f>
        <v/>
      </c>
      <c r="F29" s="130">
        <f>(DATE(2028,12,31)-$C$15)/365.25</f>
        <v/>
      </c>
      <c r="G29" s="130">
        <f>(DATE(2029,12,31)-$C$15)/365.25</f>
        <v/>
      </c>
      <c r="H29" s="130">
        <f>(DATE(2030,12,31)-$C$15)/365.25</f>
        <v/>
      </c>
      <c r="I29" s="130">
        <f>(DATE(2031,12,31)-$C$15)/365.25</f>
        <v/>
      </c>
      <c r="J29" s="130">
        <f>(DATE(2032,12,31)-$C$15)/365.25</f>
        <v/>
      </c>
      <c r="K29" s="130">
        <f>(DATE(2033,12,31)-$C$15)/365.25</f>
        <v/>
      </c>
      <c r="L29" s="130">
        <f>(DATE(2034,12,31)-$C$15)/365.25</f>
        <v/>
      </c>
      <c r="M29" s="130">
        <f>(DATE(2035,12,31)-$C$15)/365.25</f>
        <v/>
      </c>
      <c r="N29" s="130">
        <f>M29</f>
        <v/>
      </c>
    </row>
    <row r="30">
      <c r="B30" s="27" t="inlineStr">
        <is>
          <t>Discount factor</t>
        </is>
      </c>
      <c r="D30" s="172">
        <f>1/(1+$C$13)^D29</f>
        <v/>
      </c>
      <c r="E30" s="172">
        <f>1/(1+$C$13)^E29</f>
        <v/>
      </c>
      <c r="F30" s="172">
        <f>1/(1+$C$13)^F29</f>
        <v/>
      </c>
      <c r="G30" s="172">
        <f>1/(1+$C$13)^G29</f>
        <v/>
      </c>
      <c r="H30" s="172">
        <f>1/(1+$C$13)^H29</f>
        <v/>
      </c>
      <c r="I30" s="172">
        <f>1/(1+$C$13)^I29</f>
        <v/>
      </c>
      <c r="J30" s="172">
        <f>1/(1+$C$13)^J29</f>
        <v/>
      </c>
      <c r="K30" s="172">
        <f>1/(1+$C$13)^K29</f>
        <v/>
      </c>
      <c r="L30" s="172">
        <f>1/(1+$C$13)^L29</f>
        <v/>
      </c>
      <c r="M30" s="172">
        <f>1/(1+$C$13)^M29</f>
        <v/>
      </c>
      <c r="N30" s="172">
        <f>1/(1+$C$13)^N29</f>
        <v/>
      </c>
    </row>
    <row r="31">
      <c r="B31" s="27" t="inlineStr">
        <is>
          <t>PV of UFCF</t>
        </is>
      </c>
      <c r="D31" s="126">
        <f>D24*D30</f>
        <v/>
      </c>
      <c r="E31" s="126">
        <f>E24*E30</f>
        <v/>
      </c>
      <c r="F31" s="126">
        <f>F24*F30</f>
        <v/>
      </c>
      <c r="G31" s="126">
        <f>G24*G30</f>
        <v/>
      </c>
      <c r="H31" s="126">
        <f>H24*H30</f>
        <v/>
      </c>
      <c r="I31" s="126">
        <f>I24*I30</f>
        <v/>
      </c>
      <c r="J31" s="126">
        <f>J24*J30</f>
        <v/>
      </c>
      <c r="K31" s="126">
        <f>K24*K30</f>
        <v/>
      </c>
      <c r="L31" s="126">
        <f>L24*L30</f>
        <v/>
      </c>
      <c r="M31" s="126">
        <f>M24*M30</f>
        <v/>
      </c>
      <c r="N31" s="126">
        <f>N25*N30</f>
        <v/>
      </c>
    </row>
    <row r="32">
      <c r="D32" s="119" t="inlineStr">
        <is>
          <t>Uber's Non-GAAP Operating Income is after stock-based compensation (treated as a real cost); acquired-intangible amortization is added back only via D&amp;A excl. amortization.</t>
        </is>
      </c>
    </row>
    <row r="33">
      <c r="B33" s="21" t="inlineStr">
        <is>
          <t>IMPLIED ROIC — invested capital roll-forward (USDm)</t>
        </is>
      </c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</row>
    <row r="34">
      <c r="B34" s="27" t="inlineStr">
        <is>
          <t>Opening invested capital</t>
        </is>
      </c>
      <c r="D34" s="125">
        <f>Model!AR435</f>
        <v/>
      </c>
      <c r="E34" s="126">
        <f>D38</f>
        <v/>
      </c>
      <c r="F34" s="126">
        <f>E38</f>
        <v/>
      </c>
      <c r="G34" s="126">
        <f>F38</f>
        <v/>
      </c>
      <c r="H34" s="126">
        <f>G38</f>
        <v/>
      </c>
      <c r="I34" s="126">
        <f>H38</f>
        <v/>
      </c>
      <c r="J34" s="126">
        <f>I38</f>
        <v/>
      </c>
      <c r="K34" s="126">
        <f>J38</f>
        <v/>
      </c>
      <c r="L34" s="126">
        <f>K38</f>
        <v/>
      </c>
      <c r="M34" s="126">
        <f>L38</f>
        <v/>
      </c>
    </row>
    <row r="35">
      <c r="B35" s="27" t="inlineStr">
        <is>
          <t>plus Capex and acquisitions</t>
        </is>
      </c>
      <c r="D35" s="126">
        <f>-D22</f>
        <v/>
      </c>
      <c r="E35" s="126">
        <f>-E22</f>
        <v/>
      </c>
      <c r="F35" s="126">
        <f>-F22</f>
        <v/>
      </c>
      <c r="G35" s="126">
        <f>-G22</f>
        <v/>
      </c>
      <c r="H35" s="126">
        <f>-H22</f>
        <v/>
      </c>
      <c r="I35" s="126">
        <f>-I22</f>
        <v/>
      </c>
      <c r="J35" s="126">
        <f>-J22</f>
        <v/>
      </c>
      <c r="K35" s="126">
        <f>-K22</f>
        <v/>
      </c>
      <c r="L35" s="126">
        <f>-L22</f>
        <v/>
      </c>
      <c r="M35" s="126">
        <f>-M22</f>
        <v/>
      </c>
    </row>
    <row r="36">
      <c r="B36" s="27" t="inlineStr">
        <is>
          <t>less D&amp;A</t>
        </is>
      </c>
      <c r="D36" s="126">
        <f>-D21</f>
        <v/>
      </c>
      <c r="E36" s="126">
        <f>-E21</f>
        <v/>
      </c>
      <c r="F36" s="126">
        <f>-F21</f>
        <v/>
      </c>
      <c r="G36" s="126">
        <f>-G21</f>
        <v/>
      </c>
      <c r="H36" s="126">
        <f>-H21</f>
        <v/>
      </c>
      <c r="I36" s="126">
        <f>-I21</f>
        <v/>
      </c>
      <c r="J36" s="126">
        <f>-J21</f>
        <v/>
      </c>
      <c r="K36" s="126">
        <f>-K21</f>
        <v/>
      </c>
      <c r="L36" s="126">
        <f>-L21</f>
        <v/>
      </c>
      <c r="M36" s="126">
        <f>-M21</f>
        <v/>
      </c>
    </row>
    <row r="37">
      <c r="B37" s="27" t="inlineStr">
        <is>
          <t>plus Δ Working capital investment</t>
        </is>
      </c>
      <c r="D37" s="126">
        <f>-D23</f>
        <v/>
      </c>
      <c r="E37" s="126">
        <f>-E23</f>
        <v/>
      </c>
      <c r="F37" s="126">
        <f>-F23</f>
        <v/>
      </c>
      <c r="G37" s="126">
        <f>-G23</f>
        <v/>
      </c>
      <c r="H37" s="126">
        <f>-H23</f>
        <v/>
      </c>
      <c r="I37" s="126">
        <f>-I23</f>
        <v/>
      </c>
      <c r="J37" s="126">
        <f>-J23</f>
        <v/>
      </c>
      <c r="K37" s="126">
        <f>-K23</f>
        <v/>
      </c>
      <c r="L37" s="126">
        <f>-L23</f>
        <v/>
      </c>
      <c r="M37" s="126">
        <f>-M23</f>
        <v/>
      </c>
    </row>
    <row r="38">
      <c r="B38" s="27" t="inlineStr">
        <is>
          <t>Closing invested capital</t>
        </is>
      </c>
      <c r="D38" s="132">
        <f>SUM(D34:D37)</f>
        <v/>
      </c>
      <c r="E38" s="132">
        <f>SUM(E34:E37)</f>
        <v/>
      </c>
      <c r="F38" s="132">
        <f>SUM(F34:F37)</f>
        <v/>
      </c>
      <c r="G38" s="132">
        <f>SUM(G34:G37)</f>
        <v/>
      </c>
      <c r="H38" s="132">
        <f>SUM(H34:H37)</f>
        <v/>
      </c>
      <c r="I38" s="132">
        <f>SUM(I34:I37)</f>
        <v/>
      </c>
      <c r="J38" s="132">
        <f>SUM(J34:J37)</f>
        <v/>
      </c>
      <c r="K38" s="132">
        <f>SUM(K34:K37)</f>
        <v/>
      </c>
      <c r="L38" s="132">
        <f>SUM(L34:L37)</f>
        <v/>
      </c>
      <c r="M38" s="132">
        <f>SUM(M34:M37)</f>
        <v/>
      </c>
    </row>
    <row r="39">
      <c r="B39" s="27" t="inlineStr">
        <is>
          <t>NOPAT (row 20)</t>
        </is>
      </c>
      <c r="D39" s="126">
        <f>D20</f>
        <v/>
      </c>
      <c r="E39" s="126">
        <f>E20</f>
        <v/>
      </c>
      <c r="F39" s="126">
        <f>F20</f>
        <v/>
      </c>
      <c r="G39" s="126">
        <f>G20</f>
        <v/>
      </c>
      <c r="H39" s="126">
        <f>H20</f>
        <v/>
      </c>
      <c r="I39" s="126">
        <f>I20</f>
        <v/>
      </c>
      <c r="J39" s="126">
        <f>J20</f>
        <v/>
      </c>
      <c r="K39" s="126">
        <f>K20</f>
        <v/>
      </c>
      <c r="L39" s="126">
        <f>L20</f>
        <v/>
      </c>
      <c r="M39" s="126">
        <f>M20</f>
        <v/>
      </c>
    </row>
    <row r="40">
      <c r="B40" s="27" t="inlineStr">
        <is>
          <t>Implied ROIC (NOPAT / avg. invested capital)</t>
        </is>
      </c>
      <c r="D40" s="127">
        <f>IFERROR(D39/AVERAGE(D34,D38),"")</f>
        <v/>
      </c>
      <c r="E40" s="127">
        <f>IFERROR(E39/AVERAGE(E34,E38),"")</f>
        <v/>
      </c>
      <c r="F40" s="127">
        <f>IFERROR(F39/AVERAGE(F34,F38),"")</f>
        <v/>
      </c>
      <c r="G40" s="127">
        <f>IFERROR(G39/AVERAGE(G34,G38),"")</f>
        <v/>
      </c>
      <c r="H40" s="127">
        <f>IFERROR(H39/AVERAGE(H34,H38),"")</f>
        <v/>
      </c>
      <c r="I40" s="127">
        <f>IFERROR(I39/AVERAGE(I34,I38),"")</f>
        <v/>
      </c>
      <c r="J40" s="127">
        <f>IFERROR(J39/AVERAGE(J34,J38),"")</f>
        <v/>
      </c>
      <c r="K40" s="127">
        <f>IFERROR(K39/AVERAGE(K34,K38),"")</f>
        <v/>
      </c>
      <c r="L40" s="127">
        <f>IFERROR(L39/AVERAGE(L34,L38),"")</f>
        <v/>
      </c>
      <c r="M40" s="127">
        <f>IFERROR(M39/AVERAGE(M34,M38),"")</f>
        <v/>
      </c>
    </row>
    <row r="41">
      <c r="B41" s="27" t="inlineStr">
        <is>
          <t>Reinvestment rate (net investment / NOPAT)</t>
        </is>
      </c>
      <c r="D41" s="127">
        <f>IFERROR(SUM(D35:D37)/D39,"")</f>
        <v/>
      </c>
      <c r="E41" s="127">
        <f>IFERROR(SUM(E35:E37)/E39,"")</f>
        <v/>
      </c>
      <c r="F41" s="127">
        <f>IFERROR(SUM(F35:F37)/F39,"")</f>
        <v/>
      </c>
      <c r="G41" s="127">
        <f>IFERROR(SUM(G35:G37)/G39,"")</f>
        <v/>
      </c>
      <c r="H41" s="127">
        <f>IFERROR(SUM(H35:H37)/H39,"")</f>
        <v/>
      </c>
      <c r="I41" s="127">
        <f>IFERROR(SUM(I35:I37)/I39,"")</f>
        <v/>
      </c>
      <c r="J41" s="127">
        <f>IFERROR(SUM(J35:J37)/J39,"")</f>
        <v/>
      </c>
      <c r="K41" s="127">
        <f>IFERROR(SUM(K35:K37)/K39,"")</f>
        <v/>
      </c>
      <c r="L41" s="127">
        <f>IFERROR(SUM(L35:L37)/L39,"")</f>
        <v/>
      </c>
      <c r="M41" s="127">
        <f>IFERROR(SUM(M35:M37)/M39,"")</f>
        <v/>
      </c>
    </row>
    <row r="42">
      <c r="B42" s="27" t="inlineStr">
        <is>
          <t>Implied terminal RONIC (g / reinvestment rate)</t>
        </is>
      </c>
      <c r="N42" s="127">
        <f>IFERROR($C$27/M41,"")</f>
        <v/>
      </c>
    </row>
    <row r="43">
      <c r="D43" s="119" t="inlineStr">
        <is>
          <t>Opening IC = Model 2025A invested capital (equity incl. NCI + net debt − non-operating investments). Negative working capital (insurance float, Driver / Merchant payables) keeps IC small — ROIC is very high by construction.</t>
        </is>
      </c>
    </row>
    <row r="44">
      <c r="B44" s="21" t="inlineStr">
        <is>
          <t>3. VALUATION SUMMARY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</row>
    <row r="45">
      <c r="B45" s="27" t="inlineStr">
        <is>
          <t>Sum of PV (explicit + fade)</t>
        </is>
      </c>
      <c r="C45" s="126">
        <f>SUM(D31:M31)</f>
        <v/>
      </c>
    </row>
    <row r="46">
      <c r="B46" s="27" t="inlineStr">
        <is>
          <t>PV of Terminal Value</t>
        </is>
      </c>
      <c r="C46" s="126">
        <f>N31</f>
        <v/>
      </c>
    </row>
    <row r="47">
      <c r="B47" s="122" t="inlineStr">
        <is>
          <t>Enterprise Value — operations</t>
        </is>
      </c>
      <c r="C47" s="128">
        <f>C45+C46</f>
        <v/>
      </c>
    </row>
    <row r="48">
      <c r="B48" s="27" t="inlineStr">
        <is>
          <t>Less: Net debt + NCI (Model 2026E YE) and Delivery Hero minorities at offer value</t>
        </is>
      </c>
      <c r="C48" s="125">
        <f>Model!AW457+Model!AW467+N(Model!AX388)</f>
        <v/>
      </c>
      <c r="D48" s="119" t="inlineStr">
        <is>
          <t>Delivery Hero cash consideration sits in 2027E UFCF (acquisitions) and 100% of its cash flows are consolidated, so the DH minorities (NCI at offer value) are deducted.</t>
        </is>
      </c>
    </row>
    <row r="49">
      <c r="B49" s="27" t="inlineStr">
        <is>
          <t>Plus: equity investments at carrying value (excl. the Delivery Hero stake, consolidated in 2027E)</t>
        </is>
      </c>
      <c r="C49" s="125">
        <f>Model!AW326+Model!AW327-Model!AX386*(N(Model!AX64)&gt;0)</f>
        <v/>
      </c>
      <c r="D49" s="119" t="inlineStr">
        <is>
          <t>Didi, Aurora, Grab, Lime and other stakes at 30-Jun-26 carrying value less the Aurora shares sold in Sep-26 (user choice: added at carrying value).</t>
        </is>
      </c>
    </row>
    <row r="50">
      <c r="B50" s="122" t="inlineStr">
        <is>
          <t>Equity Value</t>
        </is>
      </c>
      <c r="C50" s="128">
        <f>C47-C48+C49</f>
        <v/>
      </c>
    </row>
    <row r="51">
      <c r="B51" s="27" t="inlineStr">
        <is>
          <t>Diluted shares (m, Model 2026E)</t>
        </is>
      </c>
      <c r="C51" s="173">
        <f>Model!AW464</f>
        <v/>
      </c>
    </row>
    <row r="52">
      <c r="B52" s="122" t="inlineStr">
        <is>
          <t>Implied share price ($)</t>
        </is>
      </c>
      <c r="C52" s="134">
        <f>C50/C51</f>
        <v/>
      </c>
    </row>
    <row r="53">
      <c r="B53" s="27" t="inlineStr">
        <is>
          <t>Current share price ($)</t>
        </is>
      </c>
      <c r="C53" s="135">
        <f>Model!AW463</f>
        <v/>
      </c>
    </row>
    <row r="54">
      <c r="B54" s="122" t="inlineStr">
        <is>
          <t>Implied upside / (downside)</t>
        </is>
      </c>
      <c r="C54" s="136">
        <f>C52/C53-1</f>
        <v/>
      </c>
    </row>
    <row r="55">
      <c r="B55" s="27" t="inlineStr">
        <is>
          <t>Required discount to DCF value for target IRR</t>
        </is>
      </c>
      <c r="C55" s="127">
        <f>1-((1+C13)/(1+H55))^H56</f>
        <v/>
      </c>
      <c r="D55" s="27" t="inlineStr">
        <is>
          <t>vs. current</t>
        </is>
      </c>
      <c r="E55" s="27" t="inlineStr">
        <is>
          <t>Target IRR</t>
        </is>
      </c>
      <c r="H55" s="129" t="n">
        <v>0.15</v>
      </c>
    </row>
    <row r="56">
      <c r="B56" s="27" t="inlineStr">
        <is>
          <t>Max entry price for target IRR ($)</t>
        </is>
      </c>
      <c r="C56" s="137">
        <f>C52*(1-C55)</f>
        <v/>
      </c>
      <c r="D56" s="127">
        <f>C56/C53-1</f>
        <v/>
      </c>
      <c r="E56" s="27" t="inlineStr">
        <is>
          <t>Years for discount to close</t>
        </is>
      </c>
      <c r="H56" s="138" t="n">
        <v>3</v>
      </c>
    </row>
    <row r="59">
      <c r="B59" s="21" t="inlineStr">
        <is>
          <t>4. SENSITIVITY: IMPLIED PRICE ($) — WACC × Terminal Growth</t>
        </is>
      </c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</row>
    <row r="61">
      <c r="D61" s="122" t="inlineStr">
        <is>
          <t>WACC →</t>
        </is>
      </c>
    </row>
    <row r="62">
      <c r="B62" s="122" t="inlineStr">
        <is>
          <t>Terminal growth ↓</t>
        </is>
      </c>
      <c r="D62" s="139">
        <f>$F$62-0.01</f>
        <v/>
      </c>
      <c r="E62" s="139">
        <f>$F$62-0.005</f>
        <v/>
      </c>
      <c r="F62" s="139">
        <f>$C$13</f>
        <v/>
      </c>
      <c r="G62" s="139">
        <f>$F$62+0.005</f>
        <v/>
      </c>
      <c r="H62" s="139">
        <f>$F$62+0.01</f>
        <v/>
      </c>
    </row>
    <row r="63">
      <c r="B63" s="140">
        <f>$B$65-0.01</f>
        <v/>
      </c>
      <c r="D63" s="141">
        <f>IFERROR((SUMPRODUCT($D$24:$M$24/(1+D$62)^$D$29:$M$29)+(($M$20+$M$21+$M$22+$N$23*$B63)*(1+$B63)/(D$62-$B63))/(1+D$62)^$M$29-$C$48+$C$49)/$C$51,"")</f>
        <v/>
      </c>
      <c r="E63" s="141">
        <f>IFERROR((SUMPRODUCT($D$24:$M$24/(1+E$62)^$D$29:$M$29)+(($M$20+$M$21+$M$22+$N$23*$B63)*(1+$B63)/(E$62-$B63))/(1+E$62)^$M$29-$C$48+$C$49)/$C$51,"")</f>
        <v/>
      </c>
      <c r="F63" s="141">
        <f>IFERROR((SUMPRODUCT($D$24:$M$24/(1+F$62)^$D$29:$M$29)+(($M$20+$M$21+$M$22+$N$23*$B63)*(1+$B63)/(F$62-$B63))/(1+F$62)^$M$29-$C$48+$C$49)/$C$51,"")</f>
        <v/>
      </c>
      <c r="G63" s="141">
        <f>IFERROR((SUMPRODUCT($D$24:$M$24/(1+G$62)^$D$29:$M$29)+(($M$20+$M$21+$M$22+$N$23*$B63)*(1+$B63)/(G$62-$B63))/(1+G$62)^$M$29-$C$48+$C$49)/$C$51,"")</f>
        <v/>
      </c>
      <c r="H63" s="141">
        <f>IFERROR((SUMPRODUCT($D$24:$M$24/(1+H$62)^$D$29:$M$29)+(($M$20+$M$21+$M$22+$N$23*$B63)*(1+$B63)/(H$62-$B63))/(1+H$62)^$M$29-$C$48+$C$49)/$C$51,"")</f>
        <v/>
      </c>
    </row>
    <row r="64">
      <c r="B64" s="140">
        <f>$B$65-0.005</f>
        <v/>
      </c>
      <c r="D64" s="141">
        <f>IFERROR((SUMPRODUCT($D$24:$M$24/(1+D$62)^$D$29:$M$29)+(($M$20+$M$21+$M$22+$N$23*$B64)*(1+$B64)/(D$62-$B64))/(1+D$62)^$M$29-$C$48+$C$49)/$C$51,"")</f>
        <v/>
      </c>
      <c r="E64" s="141">
        <f>IFERROR((SUMPRODUCT($D$24:$M$24/(1+E$62)^$D$29:$M$29)+(($M$20+$M$21+$M$22+$N$23*$B64)*(1+$B64)/(E$62-$B64))/(1+E$62)^$M$29-$C$48+$C$49)/$C$51,"")</f>
        <v/>
      </c>
      <c r="F64" s="141">
        <f>IFERROR((SUMPRODUCT($D$24:$M$24/(1+F$62)^$D$29:$M$29)+(($M$20+$M$21+$M$22+$N$23*$B64)*(1+$B64)/(F$62-$B64))/(1+F$62)^$M$29-$C$48+$C$49)/$C$51,"")</f>
        <v/>
      </c>
      <c r="G64" s="141">
        <f>IFERROR((SUMPRODUCT($D$24:$M$24/(1+G$62)^$D$29:$M$29)+(($M$20+$M$21+$M$22+$N$23*$B64)*(1+$B64)/(G$62-$B64))/(1+G$62)^$M$29-$C$48+$C$49)/$C$51,"")</f>
        <v/>
      </c>
      <c r="H64" s="141">
        <f>IFERROR((SUMPRODUCT($D$24:$M$24/(1+H$62)^$D$29:$M$29)+(($M$20+$M$21+$M$22+$N$23*$B64)*(1+$B64)/(H$62-$B64))/(1+H$62)^$M$29-$C$48+$C$49)/$C$51,"")</f>
        <v/>
      </c>
    </row>
    <row r="65">
      <c r="B65" s="140">
        <f>$C$27</f>
        <v/>
      </c>
      <c r="D65" s="141">
        <f>IFERROR((SUMPRODUCT($D$24:$M$24/(1+D$62)^$D$29:$M$29)+(($M$20+$M$21+$M$22+$N$23*$B65)*(1+$B65)/(D$62-$B65))/(1+D$62)^$M$29-$C$48+$C$49)/$C$51,"")</f>
        <v/>
      </c>
      <c r="E65" s="141">
        <f>IFERROR((SUMPRODUCT($D$24:$M$24/(1+E$62)^$D$29:$M$29)+(($M$20+$M$21+$M$22+$N$23*$B65)*(1+$B65)/(E$62-$B65))/(1+E$62)^$M$29-$C$48+$C$49)/$C$51,"")</f>
        <v/>
      </c>
      <c r="F65" s="142">
        <f>IFERROR((SUMPRODUCT($D$24:$M$24/(1+F$62)^$D$29:$M$29)+(($M$20+$M$21+$M$22+$N$23*$B65)*(1+$B65)/(F$62-$B65))/(1+F$62)^$M$29-$C$48+$C$49)/$C$51,"")</f>
        <v/>
      </c>
      <c r="G65" s="141">
        <f>IFERROR((SUMPRODUCT($D$24:$M$24/(1+G$62)^$D$29:$M$29)+(($M$20+$M$21+$M$22+$N$23*$B65)*(1+$B65)/(G$62-$B65))/(1+G$62)^$M$29-$C$48+$C$49)/$C$51,"")</f>
        <v/>
      </c>
      <c r="H65" s="141">
        <f>IFERROR((SUMPRODUCT($D$24:$M$24/(1+H$62)^$D$29:$M$29)+(($M$20+$M$21+$M$22+$N$23*$B65)*(1+$B65)/(H$62-$B65))/(1+H$62)^$M$29-$C$48+$C$49)/$C$51,"")</f>
        <v/>
      </c>
    </row>
    <row r="66">
      <c r="B66" s="140">
        <f>$B$65+0.005</f>
        <v/>
      </c>
      <c r="D66" s="141">
        <f>IFERROR((SUMPRODUCT($D$24:$M$24/(1+D$62)^$D$29:$M$29)+(($M$20+$M$21+$M$22+$N$23*$B66)*(1+$B66)/(D$62-$B66))/(1+D$62)^$M$29-$C$48+$C$49)/$C$51,"")</f>
        <v/>
      </c>
      <c r="E66" s="141">
        <f>IFERROR((SUMPRODUCT($D$24:$M$24/(1+E$62)^$D$29:$M$29)+(($M$20+$M$21+$M$22+$N$23*$B66)*(1+$B66)/(E$62-$B66))/(1+E$62)^$M$29-$C$48+$C$49)/$C$51,"")</f>
        <v/>
      </c>
      <c r="F66" s="141">
        <f>IFERROR((SUMPRODUCT($D$24:$M$24/(1+F$62)^$D$29:$M$29)+(($M$20+$M$21+$M$22+$N$23*$B66)*(1+$B66)/(F$62-$B66))/(1+F$62)^$M$29-$C$48+$C$49)/$C$51,"")</f>
        <v/>
      </c>
      <c r="G66" s="141">
        <f>IFERROR((SUMPRODUCT($D$24:$M$24/(1+G$62)^$D$29:$M$29)+(($M$20+$M$21+$M$22+$N$23*$B66)*(1+$B66)/(G$62-$B66))/(1+G$62)^$M$29-$C$48+$C$49)/$C$51,"")</f>
        <v/>
      </c>
      <c r="H66" s="141">
        <f>IFERROR((SUMPRODUCT($D$24:$M$24/(1+H$62)^$D$29:$M$29)+(($M$20+$M$21+$M$22+$N$23*$B66)*(1+$B66)/(H$62-$B66))/(1+H$62)^$M$29-$C$48+$C$49)/$C$51,"")</f>
        <v/>
      </c>
    </row>
    <row r="67">
      <c r="B67" s="140">
        <f>$B$65+0.01</f>
        <v/>
      </c>
      <c r="D67" s="141">
        <f>IFERROR((SUMPRODUCT($D$24:$M$24/(1+D$62)^$D$29:$M$29)+(($M$20+$M$21+$M$22+$N$23*$B67)*(1+$B67)/(D$62-$B67))/(1+D$62)^$M$29-$C$48+$C$49)/$C$51,"")</f>
        <v/>
      </c>
      <c r="E67" s="141">
        <f>IFERROR((SUMPRODUCT($D$24:$M$24/(1+E$62)^$D$29:$M$29)+(($M$20+$M$21+$M$22+$N$23*$B67)*(1+$B67)/(E$62-$B67))/(1+E$62)^$M$29-$C$48+$C$49)/$C$51,"")</f>
        <v/>
      </c>
      <c r="F67" s="141">
        <f>IFERROR((SUMPRODUCT($D$24:$M$24/(1+F$62)^$D$29:$M$29)+(($M$20+$M$21+$M$22+$N$23*$B67)*(1+$B67)/(F$62-$B67))/(1+F$62)^$M$29-$C$48+$C$49)/$C$51,"")</f>
        <v/>
      </c>
      <c r="G67" s="141">
        <f>IFERROR((SUMPRODUCT($D$24:$M$24/(1+G$62)^$D$29:$M$29)+(($M$20+$M$21+$M$22+$N$23*$B67)*(1+$B67)/(G$62-$B67))/(1+G$62)^$M$29-$C$48+$C$49)/$C$51,"")</f>
        <v/>
      </c>
      <c r="H67" s="141">
        <f>IFERROR((SUMPRODUCT($D$24:$M$24/(1+H$62)^$D$29:$M$29)+(($M$20+$M$21+$M$22+$N$23*$B67)*(1+$B67)/(H$62-$B67))/(1+H$62)^$M$29-$C$48+$C$49)/$C$51,"")</f>
        <v/>
      </c>
    </row>
    <row r="70">
      <c r="B70" s="21" t="inlineStr">
        <is>
          <t>5. REVERSE DCF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</row>
    <row r="71">
      <c r="B71" s="143" t="inlineStr">
        <is>
          <t>To solve for the market-implied path: Data ▸ What-If Analysis ▸ Goal Seek — set C52 to the current price (C53) by changing the fade growth (I26) or Model scenario levers.</t>
        </is>
      </c>
    </row>
    <row r="73">
      <c r="B73" s="21" t="inlineStr">
        <is>
          <t>6. MAUBOUSSIN EV / NOPAT — TWO-STAGE FRAMEWORK</t>
        </is>
      </c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</row>
    <row r="74">
      <c r="B74" s="73" t="inlineStr">
        <is>
          <t>EV/NOPAT  =  1/r  +  [g × (1 − r/ROIIC) / (r × (r − g))] × [1 − ((1+g)/(1+r))^N]</t>
        </is>
      </c>
    </row>
    <row r="75">
      <c r="B75" s="119" t="inlineStr">
        <is>
          <t>Formula source: Mauboussin &amp; Rappaport, "Expectations Investing" (2021); Counterpoint Global value-driver framework.</t>
        </is>
      </c>
    </row>
    <row r="77">
      <c r="B77" s="21" t="inlineStr">
        <is>
          <t>Input</t>
        </is>
      </c>
      <c r="C77" s="21" t="inlineStr">
        <is>
          <t>Value</t>
        </is>
      </c>
      <c r="D77" s="21" t="inlineStr">
        <is>
          <t>Rationale (Uber characteristics)</t>
        </is>
      </c>
    </row>
    <row r="78">
      <c r="B78" s="27" t="inlineStr">
        <is>
          <t>r  (Cost of capital / WACC)</t>
        </is>
      </c>
      <c r="C78" s="121">
        <f>$C$13</f>
        <v/>
      </c>
      <c r="D78" s="119" t="inlineStr">
        <is>
          <t>Linked from Section 1 WACC build</t>
        </is>
      </c>
    </row>
    <row r="79">
      <c r="B79" s="27" t="inlineStr">
        <is>
          <t>g  (NOPAT growth, Stage 1)</t>
        </is>
      </c>
      <c r="C79" s="118" t="n">
        <v>0.15</v>
      </c>
      <c r="D79" s="119" t="inlineStr">
        <is>
          <t>Model Adjusted EBIT CAGR 2026–30E ~25% (incl. Delivery Hero); organic mid-teens Gross Bookings growth with operating leverage</t>
        </is>
      </c>
    </row>
    <row r="80">
      <c r="B80" s="27" t="inlineStr">
        <is>
          <t>ROIIC  (Return on incremental invested capital)</t>
        </is>
      </c>
      <c r="C80" s="118" t="n">
        <v>0.35</v>
      </c>
      <c r="D80" s="119" t="inlineStr">
        <is>
          <t>Asset-light marketplace with negative working capital; acquisitions (Delivery Hero, ~$19bn EV) dilute incremental returns</t>
        </is>
      </c>
    </row>
    <row r="81">
      <c r="B81" s="27" t="inlineStr">
        <is>
          <t>N  (Years of value creation / CAP)</t>
        </is>
      </c>
      <c r="C81" s="138" t="n">
        <v>15</v>
      </c>
      <c r="D81" s="119" t="inlineStr">
        <is>
          <t>Two-sided network scale (MAPCs 208m, cross-platform users), Uber One; AV disintermediation risk caps the horizon</t>
        </is>
      </c>
    </row>
    <row r="83">
      <c r="B83" s="21" t="inlineStr">
        <is>
          <t>Calculation</t>
        </is>
      </c>
      <c r="C83" s="21" t="inlineStr">
        <is>
          <t>Value</t>
        </is>
      </c>
    </row>
    <row r="84">
      <c r="B84" s="27" t="inlineStr">
        <is>
          <t>Steady-state component:  1 / r</t>
        </is>
      </c>
      <c r="C84" s="144">
        <f>1/C78</f>
        <v/>
      </c>
    </row>
    <row r="85">
      <c r="B85" s="27" t="inlineStr">
        <is>
          <t>Value-creation factor: 1 − r / ROIIC</t>
        </is>
      </c>
      <c r="C85" s="130">
        <f>1-C78/C80</f>
        <v/>
      </c>
    </row>
    <row r="86">
      <c r="B86" s="27" t="inlineStr">
        <is>
          <t>Growth multiplier: g × (1 − r/ROIIC) / (r × (r − g))</t>
        </is>
      </c>
      <c r="C86" s="130">
        <f>C79*C85/(C78*(C78-C79))</f>
        <v/>
      </c>
    </row>
    <row r="87">
      <c r="B87" s="27" t="inlineStr">
        <is>
          <t>Time decay: 1 − ((1+g)/(1+r))^N</t>
        </is>
      </c>
      <c r="C87" s="130">
        <f>1-((1+C79)/(1+C78))^C81</f>
        <v/>
      </c>
    </row>
    <row r="88">
      <c r="B88" s="27" t="inlineStr">
        <is>
          <t>PVGO component (growth value)</t>
        </is>
      </c>
      <c r="C88" s="144">
        <f>C86*C87</f>
        <v/>
      </c>
    </row>
    <row r="89">
      <c r="B89" s="10" t="inlineStr">
        <is>
          <t>Mauboussin EV / NOPAT (steady-state + PVGO)</t>
        </is>
      </c>
      <c r="C89" s="145">
        <f>C84+C88</f>
        <v/>
      </c>
    </row>
    <row r="91">
      <c r="B91" s="122" t="inlineStr">
        <is>
          <t>VALUATION  —  Applied to 2028E NOPAT</t>
        </is>
      </c>
      <c r="C91" s="122" t="inlineStr">
        <is>
          <t>USDm</t>
        </is>
      </c>
    </row>
    <row r="92">
      <c r="B92" s="27" t="inlineStr">
        <is>
          <t>2028E Adj. EBIT less cash adjusting items</t>
        </is>
      </c>
      <c r="C92" s="126">
        <f>F18</f>
        <v/>
      </c>
    </row>
    <row r="93">
      <c r="B93" s="27" t="inlineStr">
        <is>
          <t>Tax rate (from WACC build)</t>
        </is>
      </c>
      <c r="C93" s="127">
        <f>$C$10</f>
        <v/>
      </c>
    </row>
    <row r="94">
      <c r="B94" s="27" t="inlineStr">
        <is>
          <t>2028E NOPAT</t>
        </is>
      </c>
      <c r="C94" s="126">
        <f>C92*(1-C93)</f>
        <v/>
      </c>
    </row>
    <row r="95">
      <c r="B95" s="27" t="inlineStr">
        <is>
          <t>× Mauboussin EV/NOPAT multiple</t>
        </is>
      </c>
      <c r="C95" s="144">
        <f>C89</f>
        <v/>
      </c>
    </row>
    <row r="96">
      <c r="B96" s="27" t="inlineStr">
        <is>
          <t>Implied Enterprise Value (2028E basis)</t>
        </is>
      </c>
      <c r="C96" s="126">
        <f>C94*C95</f>
        <v/>
      </c>
    </row>
    <row r="97">
      <c r="B97" s="27" t="inlineStr">
        <is>
          <t>Less: YE2027 net debt + NCI (Model), plus equity investments</t>
        </is>
      </c>
      <c r="C97" s="125">
        <f>Model!AX457+Model!AX467-(Model!AX326+Model!AX327)</f>
        <v/>
      </c>
    </row>
    <row r="98">
      <c r="B98" s="27" t="inlineStr">
        <is>
          <t>Implied Equity Value</t>
        </is>
      </c>
      <c r="C98" s="126">
        <f>C96-C97</f>
        <v/>
      </c>
    </row>
    <row r="99">
      <c r="B99" s="27" t="inlineStr">
        <is>
          <t>Diluted shares 2028E (m, Model)</t>
        </is>
      </c>
      <c r="C99" s="173">
        <f>Model!AY464</f>
        <v/>
      </c>
    </row>
    <row r="100">
      <c r="B100" s="122" t="inlineStr">
        <is>
          <t>Implied share price 2028 ($)</t>
        </is>
      </c>
      <c r="C100" s="146">
        <f>C98/C99</f>
        <v/>
      </c>
    </row>
    <row r="102">
      <c r="B102" s="27" t="inlineStr">
        <is>
          <t>Current share price ($)</t>
        </is>
      </c>
      <c r="C102" s="137">
        <f>C53</f>
        <v/>
      </c>
    </row>
    <row r="103">
      <c r="B103" s="27" t="inlineStr">
        <is>
          <t>Implied upside / (downside)</t>
        </is>
      </c>
      <c r="C103" s="127">
        <f>C100/C102-1</f>
        <v/>
      </c>
    </row>
    <row r="105">
      <c r="B105" s="122" t="inlineStr">
        <is>
          <t>MARKET-IMPLIED EV/NOPAT TODAY</t>
        </is>
      </c>
      <c r="C105" s="122" t="inlineStr">
        <is>
          <t>USDm</t>
        </is>
      </c>
    </row>
    <row r="106">
      <c r="B106" s="27" t="inlineStr">
        <is>
          <t>Current market cap (spot × diluted shares)</t>
        </is>
      </c>
      <c r="C106" s="126">
        <f>C53*C51</f>
        <v/>
      </c>
    </row>
    <row r="107">
      <c r="B107" s="27" t="inlineStr">
        <is>
          <t>Plus: YE2026 net debt &amp; NCI, less equity investments</t>
        </is>
      </c>
      <c r="C107" s="126">
        <f>C48-C49</f>
        <v/>
      </c>
    </row>
    <row r="108">
      <c r="B108" s="27" t="inlineStr">
        <is>
          <t>Implied Enterprise Value (today)</t>
        </is>
      </c>
      <c r="C108" s="126">
        <f>C106+C107</f>
        <v/>
      </c>
    </row>
    <row r="109">
      <c r="B109" s="27" t="inlineStr">
        <is>
          <t>Uber market-implied EV/NOPAT (on 2028E NOPAT)</t>
        </is>
      </c>
      <c r="C109" s="144">
        <f>C108/C94</f>
        <v/>
      </c>
    </row>
    <row r="111">
      <c r="B111" s="27" t="inlineStr">
        <is>
          <t>Multiple gap (Mauboussin − Market)</t>
        </is>
      </c>
      <c r="C111" s="144">
        <f>C89-C109</f>
        <v/>
      </c>
    </row>
    <row r="112">
      <c r="B112" s="27" t="inlineStr">
        <is>
          <t>Implied re-rating headroom</t>
        </is>
      </c>
      <c r="C112" s="127">
        <f>C89/C109-1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1"/>
  <sheetViews>
    <sheetView showGridLines="0"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72" t="inlineStr">
        <is>
          <t>Uber Technologies — Historical Operating Performance (2016–2025)</t>
        </is>
      </c>
    </row>
    <row r="3">
      <c r="B3" s="4" t="inlineStr">
        <is>
          <t>All historicals · USDm · Linked to Model. Volume / price = trips y/y and Gross Bookings per trip y/y. Adjusted EBITDA as reconciled by the company; returns not meaningful (n/m → gap) in loss-making years.</t>
        </is>
      </c>
    </row>
    <row r="7">
      <c r="B7" s="147" t="n"/>
      <c r="C7" s="148" t="n">
        <v>2016</v>
      </c>
      <c r="D7" s="148" t="n">
        <v>2017</v>
      </c>
      <c r="E7" s="148" t="n">
        <v>2018</v>
      </c>
      <c r="F7" s="148" t="n">
        <v>2019</v>
      </c>
      <c r="G7" s="148" t="n">
        <v>2020</v>
      </c>
      <c r="H7" s="148" t="n">
        <v>2021</v>
      </c>
      <c r="I7" s="148" t="n">
        <v>2022</v>
      </c>
      <c r="J7" s="148" t="n">
        <v>2023</v>
      </c>
      <c r="K7" s="148" t="n">
        <v>2024</v>
      </c>
      <c r="L7" s="148" t="n">
        <v>2025</v>
      </c>
    </row>
    <row r="8">
      <c r="B8" s="143" t="inlineStr">
        <is>
          <t>Trips y/y % (volume)</t>
        </is>
      </c>
      <c r="C8" s="149">
        <f>IFERROR(Model!C14+0,0)</f>
        <v/>
      </c>
      <c r="D8" s="149">
        <f>IFERROR(Model!D14+0,0)</f>
        <v/>
      </c>
      <c r="E8" s="149">
        <f>IFERROR(Model!I14+0,0)</f>
        <v/>
      </c>
      <c r="F8" s="149">
        <f>IFERROR(Model!N14+0,0)</f>
        <v/>
      </c>
      <c r="G8" s="149">
        <f>IFERROR(Model!S14+0,0)</f>
        <v/>
      </c>
      <c r="H8" s="149">
        <f>IFERROR(Model!X14+0,0)</f>
        <v/>
      </c>
      <c r="I8" s="149">
        <f>IFERROR(Model!AC14+0,0)</f>
        <v/>
      </c>
      <c r="J8" s="149">
        <f>IFERROR(Model!AH14+0,0)</f>
        <v/>
      </c>
      <c r="K8" s="149">
        <f>IFERROR(Model!AM14+0,0)</f>
        <v/>
      </c>
      <c r="L8" s="149">
        <f>IFERROR(Model!AR14+0,0)</f>
        <v/>
      </c>
    </row>
    <row r="9">
      <c r="B9" s="143" t="inlineStr">
        <is>
          <t>Gross Bookings per trip y/y % (price / mix)</t>
        </is>
      </c>
      <c r="C9" s="149">
        <f>IFERROR(Model!C18+0,0)</f>
        <v/>
      </c>
      <c r="D9" s="149">
        <f>IFERROR(Model!D18+0,0)</f>
        <v/>
      </c>
      <c r="E9" s="149">
        <f>IFERROR(Model!I18+0,0)</f>
        <v/>
      </c>
      <c r="F9" s="149">
        <f>IFERROR(Model!N18+0,0)</f>
        <v/>
      </c>
      <c r="G9" s="149">
        <f>IFERROR(Model!S18+0,0)</f>
        <v/>
      </c>
      <c r="H9" s="149">
        <f>IFERROR(Model!X18+0,0)</f>
        <v/>
      </c>
      <c r="I9" s="149">
        <f>IFERROR(Model!AC18+0,0)</f>
        <v/>
      </c>
      <c r="J9" s="149">
        <f>IFERROR(Model!AH18+0,0)</f>
        <v/>
      </c>
      <c r="K9" s="149">
        <f>IFERROR(Model!AM18+0,0)</f>
        <v/>
      </c>
      <c r="L9" s="149">
        <f>IFERROR(Model!AR18+0,0)</f>
        <v/>
      </c>
    </row>
    <row r="11">
      <c r="C11">
        <f>C7</f>
        <v/>
      </c>
      <c r="D11">
        <f>D7</f>
        <v/>
      </c>
      <c r="E11">
        <f>E7</f>
        <v/>
      </c>
      <c r="F11">
        <f>F7</f>
        <v/>
      </c>
      <c r="G11">
        <f>G7</f>
        <v/>
      </c>
      <c r="H11">
        <f>H7</f>
        <v/>
      </c>
      <c r="I11">
        <f>I7</f>
        <v/>
      </c>
      <c r="J11">
        <f>J7</f>
        <v/>
      </c>
      <c r="K11">
        <f>K7</f>
        <v/>
      </c>
      <c r="L11">
        <f>L7</f>
        <v/>
      </c>
    </row>
    <row r="12">
      <c r="B12" s="143" t="inlineStr">
        <is>
          <t>Adjusted EBITDA</t>
        </is>
      </c>
      <c r="C12" s="150">
        <f>Model!C203</f>
        <v/>
      </c>
      <c r="D12" s="150">
        <f>Model!D203</f>
        <v/>
      </c>
      <c r="E12" s="150">
        <f>Model!I203</f>
        <v/>
      </c>
      <c r="F12" s="150">
        <f>Model!N203</f>
        <v/>
      </c>
      <c r="G12" s="150">
        <f>Model!S203</f>
        <v/>
      </c>
      <c r="H12" s="150">
        <f>Model!X203</f>
        <v/>
      </c>
      <c r="I12" s="150">
        <f>Model!AC203</f>
        <v/>
      </c>
      <c r="J12" s="150">
        <f>Model!AH203</f>
        <v/>
      </c>
      <c r="K12" s="150">
        <f>Model!AM203</f>
        <v/>
      </c>
      <c r="L12" s="150">
        <f>Model!AR203</f>
        <v/>
      </c>
    </row>
    <row r="13">
      <c r="B13" s="143" t="inlineStr">
        <is>
          <t>Income from Operations (GAAP)</t>
        </is>
      </c>
      <c r="C13" s="150">
        <f>Model!C157</f>
        <v/>
      </c>
      <c r="D13" s="150">
        <f>Model!D157</f>
        <v/>
      </c>
      <c r="E13" s="150">
        <f>Model!I157</f>
        <v/>
      </c>
      <c r="F13" s="150">
        <f>Model!N157</f>
        <v/>
      </c>
      <c r="G13" s="150">
        <f>Model!S157</f>
        <v/>
      </c>
      <c r="H13" s="150">
        <f>Model!X157</f>
        <v/>
      </c>
      <c r="I13" s="150">
        <f>Model!AC157</f>
        <v/>
      </c>
      <c r="J13" s="150">
        <f>Model!AH157</f>
        <v/>
      </c>
      <c r="K13" s="150">
        <f>Model!AM157</f>
        <v/>
      </c>
      <c r="L13" s="150">
        <f>Model!AR157</f>
        <v/>
      </c>
    </row>
    <row r="14">
      <c r="B14" s="143" t="inlineStr">
        <is>
          <t>Adj. EBITDA % of Gross Bookings</t>
        </is>
      </c>
      <c r="C14" s="149">
        <f>Model!C254</f>
        <v/>
      </c>
      <c r="D14" s="149">
        <f>Model!D254</f>
        <v/>
      </c>
      <c r="E14" s="149">
        <f>Model!I254</f>
        <v/>
      </c>
      <c r="F14" s="149">
        <f>Model!N254</f>
        <v/>
      </c>
      <c r="G14" s="149">
        <f>Model!S254</f>
        <v/>
      </c>
      <c r="H14" s="149">
        <f>Model!X254</f>
        <v/>
      </c>
      <c r="I14" s="149">
        <f>Model!AC254</f>
        <v/>
      </c>
      <c r="J14" s="149">
        <f>Model!AH254</f>
        <v/>
      </c>
      <c r="K14" s="149">
        <f>Model!AM254</f>
        <v/>
      </c>
      <c r="L14" s="149">
        <f>Model!AR254</f>
        <v/>
      </c>
    </row>
    <row r="15">
      <c r="B15" s="143" t="inlineStr">
        <is>
          <t>GAAP Op. Margin % (revenue)</t>
        </is>
      </c>
      <c r="C15" s="149">
        <f>Model!C258</f>
        <v/>
      </c>
      <c r="D15" s="149">
        <f>Model!D258</f>
        <v/>
      </c>
      <c r="E15" s="149">
        <f>Model!I258</f>
        <v/>
      </c>
      <c r="F15" s="149">
        <f>Model!N258</f>
        <v/>
      </c>
      <c r="G15" s="149">
        <f>Model!S258</f>
        <v/>
      </c>
      <c r="H15" s="149">
        <f>Model!X258</f>
        <v/>
      </c>
      <c r="I15" s="149">
        <f>Model!AC258</f>
        <v/>
      </c>
      <c r="J15" s="149">
        <f>Model!AH258</f>
        <v/>
      </c>
      <c r="K15" s="149">
        <f>Model!AM258</f>
        <v/>
      </c>
      <c r="L15" s="149">
        <f>Model!AR258</f>
        <v/>
      </c>
    </row>
    <row r="17">
      <c r="C17">
        <f>C7</f>
        <v/>
      </c>
      <c r="D17">
        <f>D7</f>
        <v/>
      </c>
      <c r="E17">
        <f>E7</f>
        <v/>
      </c>
      <c r="F17">
        <f>F7</f>
        <v/>
      </c>
      <c r="G17">
        <f>G7</f>
        <v/>
      </c>
      <c r="H17">
        <f>H7</f>
        <v/>
      </c>
      <c r="I17">
        <f>I7</f>
        <v/>
      </c>
      <c r="J17">
        <f>J7</f>
        <v/>
      </c>
      <c r="K17">
        <f>K7</f>
        <v/>
      </c>
      <c r="L17">
        <f>L7</f>
        <v/>
      </c>
    </row>
    <row r="18">
      <c r="B18" s="143" t="inlineStr">
        <is>
          <t>ROIC</t>
        </is>
      </c>
      <c r="C18" s="149">
        <f>IFERROR(Model!C439+0,NA())</f>
        <v/>
      </c>
      <c r="D18" s="149">
        <f>IFERROR(Model!D439+0,NA())</f>
        <v/>
      </c>
      <c r="E18" s="149">
        <f>IFERROR(Model!I439+0,NA())</f>
        <v/>
      </c>
      <c r="F18" s="149">
        <f>IFERROR(Model!N439+0,NA())</f>
        <v/>
      </c>
      <c r="G18" s="149">
        <f>IFERROR(Model!S439+0,NA())</f>
        <v/>
      </c>
      <c r="H18" s="149">
        <f>IFERROR(Model!X439+0,NA())</f>
        <v/>
      </c>
      <c r="I18" s="149">
        <f>IFERROR(Model!AC439+0,NA())</f>
        <v/>
      </c>
      <c r="J18" s="149">
        <f>IFERROR(Model!AH439+0,NA())</f>
        <v/>
      </c>
      <c r="K18" s="149">
        <f>IFERROR(Model!AM439+0,NA())</f>
        <v/>
      </c>
      <c r="L18" s="149">
        <f>IFERROR(Model!AR439+0,NA())</f>
        <v/>
      </c>
    </row>
    <row r="19">
      <c r="B19" s="143" t="inlineStr">
        <is>
          <t>RONTA</t>
        </is>
      </c>
      <c r="C19" s="149">
        <f>IFERROR(Model!C451+0,NA())</f>
        <v/>
      </c>
      <c r="D19" s="149">
        <f>IFERROR(Model!D451+0,NA())</f>
        <v/>
      </c>
      <c r="E19" s="149">
        <f>IFERROR(Model!I451+0,NA())</f>
        <v/>
      </c>
      <c r="F19" s="149">
        <f>IFERROR(Model!N451+0,NA())</f>
        <v/>
      </c>
      <c r="G19" s="149">
        <f>IFERROR(Model!S451+0,NA())</f>
        <v/>
      </c>
      <c r="H19" s="149">
        <f>IFERROR(Model!X451+0,NA())</f>
        <v/>
      </c>
      <c r="I19" s="149">
        <f>IFERROR(Model!AC451+0,NA())</f>
        <v/>
      </c>
      <c r="J19" s="149">
        <f>IFERROR(Model!AH451+0,NA())</f>
        <v/>
      </c>
      <c r="K19" s="149">
        <f>IFERROR(Model!AM451+0,NA())</f>
        <v/>
      </c>
      <c r="L19" s="149">
        <f>IFERROR(Model!AR451+0,NA())</f>
        <v/>
      </c>
    </row>
    <row r="20">
      <c r="B20" s="143" t="inlineStr">
        <is>
          <t>Adj. EBITDA % of Gross Bookings</t>
        </is>
      </c>
      <c r="C20" s="149">
        <f>IFERROR(Model!C254+0,NA())</f>
        <v/>
      </c>
      <c r="D20" s="149">
        <f>IFERROR(Model!D254+0,NA())</f>
        <v/>
      </c>
      <c r="E20" s="149">
        <f>IFERROR(Model!I254+0,NA())</f>
        <v/>
      </c>
      <c r="F20" s="149">
        <f>IFERROR(Model!N254+0,NA())</f>
        <v/>
      </c>
      <c r="G20" s="149">
        <f>IFERROR(Model!S254+0,NA())</f>
        <v/>
      </c>
      <c r="H20" s="149">
        <f>IFERROR(Model!X254+0,NA())</f>
        <v/>
      </c>
      <c r="I20" s="149">
        <f>IFERROR(Model!AC254+0,NA())</f>
        <v/>
      </c>
      <c r="J20" s="149">
        <f>IFERROR(Model!AH254+0,NA())</f>
        <v/>
      </c>
      <c r="K20" s="149">
        <f>IFERROR(Model!AM254+0,NA())</f>
        <v/>
      </c>
      <c r="L20" s="149">
        <f>IFERROR(Model!AR254+0,NA())</f>
        <v/>
      </c>
    </row>
    <row r="21">
      <c r="B21" s="143" t="inlineStr">
        <is>
          <t>FCF margin % (revenue)</t>
        </is>
      </c>
      <c r="C21" s="149">
        <f>IFERROR(Model!C298+0,NA())</f>
        <v/>
      </c>
      <c r="D21" s="149">
        <f>IFERROR(Model!D298+0,NA())</f>
        <v/>
      </c>
      <c r="E21" s="149">
        <f>IFERROR(Model!I298+0,NA())</f>
        <v/>
      </c>
      <c r="F21" s="149">
        <f>IFERROR(Model!N298+0,NA())</f>
        <v/>
      </c>
      <c r="G21" s="149">
        <f>IFERROR(Model!S298+0,NA())</f>
        <v/>
      </c>
      <c r="H21" s="149">
        <f>IFERROR(Model!X298+0,NA())</f>
        <v/>
      </c>
      <c r="I21" s="149">
        <f>IFERROR(Model!AC298+0,NA())</f>
        <v/>
      </c>
      <c r="J21" s="149">
        <f>IFERROR(Model!AH298+0,NA())</f>
        <v/>
      </c>
      <c r="K21" s="149">
        <f>IFERROR(Model!AM298+0,NA())</f>
        <v/>
      </c>
      <c r="L21" s="149">
        <f>IFERROR(Model!AR298+0,NA())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2026-10-07T11:59:08Z</dcterms:created>
  <dcterms:modified xmlns:dcterms="http://purl.org/dc/terms/" xmlns:xsi="http://www.w3.org/2001/XMLSchema-instance" xsi:type="dcterms:W3CDTF">2026-10-07T11:59:10Z</dcterms:modified>
</cp:coreProperties>
</file>